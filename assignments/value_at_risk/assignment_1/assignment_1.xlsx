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kemcleroth/Desktop/University/Masters/Modules/Semester 1/VaR/assignment/assignment_1/modelling/"/>
    </mc:Choice>
  </mc:AlternateContent>
  <xr:revisionPtr revIDLastSave="0" documentId="13_ncr:1_{2D3F381B-5EA4-5E4C-93A6-5BA17E29CD00}" xr6:coauthVersionLast="47" xr6:coauthVersionMax="47" xr10:uidLastSave="{00000000-0000-0000-0000-000000000000}"/>
  <bookViews>
    <workbookView xWindow="0" yWindow="0" windowWidth="38400" windowHeight="21600" activeTab="7" xr2:uid="{00000000-000D-0000-FFFF-FFFF00000000}"/>
  </bookViews>
  <sheets>
    <sheet name="Q2" sheetId="1" r:id="rId1"/>
    <sheet name="Q3 Returns" sheetId="5" r:id="rId2"/>
    <sheet name="Q3 Covariance" sheetId="6" r:id="rId3"/>
    <sheet name="Q3 PCA" sheetId="7" r:id="rId4"/>
    <sheet name="Q3 PC VaR" sheetId="8" r:id="rId5"/>
    <sheet name="Q4 a)" sheetId="2" r:id="rId6"/>
    <sheet name="Q4 b)" sheetId="3" r:id="rId7"/>
    <sheet name="Q5" sheetId="9" r:id="rId8"/>
  </sheets>
  <externalReferences>
    <externalReference r:id="rId9"/>
    <externalReference r:id="rId10"/>
  </externalReferences>
  <definedNames>
    <definedName name="solver_adj" localSheetId="7" hidden="1">'Q5'!$C$20</definedName>
    <definedName name="solver_cvg" localSheetId="7" hidden="1">0.0001</definedName>
    <definedName name="solver_drv" localSheetId="7" hidden="1">1</definedName>
    <definedName name="solver_eng" localSheetId="7" hidden="1">1</definedName>
    <definedName name="solver_itr" localSheetId="7" hidden="1">2147483647</definedName>
    <definedName name="solver_lin" localSheetId="7" hidden="1">2</definedName>
    <definedName name="solver_mip" localSheetId="7" hidden="1">2147483647</definedName>
    <definedName name="solver_mni" localSheetId="7" hidden="1">30</definedName>
    <definedName name="solver_mrt" localSheetId="7" hidden="1">0.075</definedName>
    <definedName name="solver_msl" localSheetId="7" hidden="1">2</definedName>
    <definedName name="solver_neg" localSheetId="7" hidden="1">1</definedName>
    <definedName name="solver_nod" localSheetId="7" hidden="1">2147483647</definedName>
    <definedName name="solver_num" localSheetId="7" hidden="1">0</definedName>
    <definedName name="solver_opt" localSheetId="7" hidden="1">'Q5'!$C$19</definedName>
    <definedName name="solver_pre" localSheetId="7" hidden="1">0.000001</definedName>
    <definedName name="solver_rbv" localSheetId="7" hidden="1">1</definedName>
    <definedName name="solver_rlx" localSheetId="7" hidden="1">2</definedName>
    <definedName name="solver_rsd" localSheetId="7" hidden="1">0</definedName>
    <definedName name="solver_scl" localSheetId="7" hidden="1">1</definedName>
    <definedName name="solver_sho" localSheetId="7" hidden="1">2</definedName>
    <definedName name="solver_ssz" localSheetId="7" hidden="1">100</definedName>
    <definedName name="solver_tim" localSheetId="7" hidden="1">2147483647</definedName>
    <definedName name="solver_tol" localSheetId="7" hidden="1">0.01</definedName>
    <definedName name="solver_typ" localSheetId="7" hidden="1">3</definedName>
    <definedName name="solver_val" localSheetId="7" hidden="1">0</definedName>
    <definedName name="solver_ver" localSheetId="7" hidden="1">2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9" l="1"/>
  <c r="D12" i="9"/>
  <c r="D10" i="9"/>
  <c r="G6" i="9" l="1"/>
  <c r="F6" i="9"/>
  <c r="G5" i="9"/>
  <c r="F5" i="9"/>
  <c r="G4" i="9"/>
  <c r="F4" i="9"/>
  <c r="D63" i="3"/>
  <c r="D62" i="3"/>
  <c r="A8" i="7" a="1"/>
  <c r="A8" i="7" s="1"/>
  <c r="A2" i="6" a="1"/>
  <c r="A2" i="6" s="1"/>
  <c r="BI253" i="5"/>
  <c r="BH253" i="5"/>
  <c r="BG253" i="5"/>
  <c r="BF253" i="5"/>
  <c r="BE253" i="5"/>
  <c r="BD253" i="5"/>
  <c r="BC253" i="5"/>
  <c r="BB253" i="5"/>
  <c r="BA253" i="5"/>
  <c r="AZ253" i="5"/>
  <c r="AY253" i="5"/>
  <c r="AX253" i="5"/>
  <c r="AW253" i="5"/>
  <c r="AV253" i="5"/>
  <c r="AU253" i="5"/>
  <c r="AT253" i="5"/>
  <c r="AS253" i="5"/>
  <c r="AR253" i="5"/>
  <c r="AQ253" i="5"/>
  <c r="AP253" i="5"/>
  <c r="AO253" i="5"/>
  <c r="AN253" i="5"/>
  <c r="AM253" i="5"/>
  <c r="AL253" i="5"/>
  <c r="AK253" i="5"/>
  <c r="AJ253" i="5"/>
  <c r="AI253" i="5"/>
  <c r="AH253" i="5"/>
  <c r="AG253" i="5"/>
  <c r="AF253" i="5"/>
  <c r="AE253" i="5"/>
  <c r="AD253" i="5"/>
  <c r="AC253" i="5"/>
  <c r="AB253" i="5"/>
  <c r="AA253" i="5"/>
  <c r="Z253" i="5"/>
  <c r="Y253" i="5"/>
  <c r="X253" i="5"/>
  <c r="W253" i="5"/>
  <c r="V253" i="5"/>
  <c r="U253" i="5"/>
  <c r="T253" i="5"/>
  <c r="S253" i="5"/>
  <c r="R253" i="5"/>
  <c r="Q253" i="5"/>
  <c r="P253" i="5"/>
  <c r="O253" i="5"/>
  <c r="N253" i="5"/>
  <c r="M253" i="5"/>
  <c r="L253" i="5"/>
  <c r="K253" i="5"/>
  <c r="J253" i="5"/>
  <c r="I253" i="5"/>
  <c r="H253" i="5"/>
  <c r="G253" i="5"/>
  <c r="F253" i="5"/>
  <c r="E253" i="5"/>
  <c r="D253" i="5"/>
  <c r="C253" i="5"/>
  <c r="B253" i="5"/>
  <c r="BI252" i="5"/>
  <c r="BH252" i="5"/>
  <c r="BG252" i="5"/>
  <c r="BF252" i="5"/>
  <c r="BE252" i="5"/>
  <c r="BD252" i="5"/>
  <c r="BC252" i="5"/>
  <c r="BB252" i="5"/>
  <c r="BA252" i="5"/>
  <c r="AZ252" i="5"/>
  <c r="AY252" i="5"/>
  <c r="AX252" i="5"/>
  <c r="AW252" i="5"/>
  <c r="AV252" i="5"/>
  <c r="AU252" i="5"/>
  <c r="AT252" i="5"/>
  <c r="AS252" i="5"/>
  <c r="AR252" i="5"/>
  <c r="AQ252" i="5"/>
  <c r="AP252" i="5"/>
  <c r="AO252" i="5"/>
  <c r="AN252" i="5"/>
  <c r="AM252" i="5"/>
  <c r="AL252" i="5"/>
  <c r="AK252" i="5"/>
  <c r="AJ252" i="5"/>
  <c r="AI252" i="5"/>
  <c r="AH252" i="5"/>
  <c r="AG252" i="5"/>
  <c r="AF252" i="5"/>
  <c r="AE252" i="5"/>
  <c r="AD252" i="5"/>
  <c r="AC252" i="5"/>
  <c r="AB252" i="5"/>
  <c r="AA252" i="5"/>
  <c r="Z252" i="5"/>
  <c r="Y252" i="5"/>
  <c r="X252" i="5"/>
  <c r="W252" i="5"/>
  <c r="V252" i="5"/>
  <c r="U252" i="5"/>
  <c r="T252" i="5"/>
  <c r="S252" i="5"/>
  <c r="R252" i="5"/>
  <c r="Q252" i="5"/>
  <c r="P252" i="5"/>
  <c r="O252" i="5"/>
  <c r="N252" i="5"/>
  <c r="M252" i="5"/>
  <c r="L252" i="5"/>
  <c r="K252" i="5"/>
  <c r="J252" i="5"/>
  <c r="I252" i="5"/>
  <c r="H252" i="5"/>
  <c r="G252" i="5"/>
  <c r="F252" i="5"/>
  <c r="E252" i="5"/>
  <c r="D252" i="5"/>
  <c r="C252" i="5"/>
  <c r="B252" i="5"/>
  <c r="BI251" i="5"/>
  <c r="BH251" i="5"/>
  <c r="BG251" i="5"/>
  <c r="BF251" i="5"/>
  <c r="BE251" i="5"/>
  <c r="BD251" i="5"/>
  <c r="BC251" i="5"/>
  <c r="BB251" i="5"/>
  <c r="BA251" i="5"/>
  <c r="AZ251" i="5"/>
  <c r="AY251" i="5"/>
  <c r="AX251" i="5"/>
  <c r="AW251" i="5"/>
  <c r="AV251" i="5"/>
  <c r="AU251" i="5"/>
  <c r="AT251" i="5"/>
  <c r="AS251" i="5"/>
  <c r="AR251" i="5"/>
  <c r="AQ251" i="5"/>
  <c r="AP251" i="5"/>
  <c r="AO251" i="5"/>
  <c r="AN251" i="5"/>
  <c r="AM251" i="5"/>
  <c r="AL251" i="5"/>
  <c r="AK251" i="5"/>
  <c r="AJ251" i="5"/>
  <c r="AI251" i="5"/>
  <c r="AH251" i="5"/>
  <c r="AG251" i="5"/>
  <c r="AF251" i="5"/>
  <c r="AE251" i="5"/>
  <c r="AD251" i="5"/>
  <c r="AC251" i="5"/>
  <c r="AB251" i="5"/>
  <c r="AA251" i="5"/>
  <c r="Z251" i="5"/>
  <c r="Y251" i="5"/>
  <c r="X251" i="5"/>
  <c r="W251" i="5"/>
  <c r="V251" i="5"/>
  <c r="U251" i="5"/>
  <c r="T251" i="5"/>
  <c r="S251" i="5"/>
  <c r="R251" i="5"/>
  <c r="Q251" i="5"/>
  <c r="P251" i="5"/>
  <c r="O251" i="5"/>
  <c r="N251" i="5"/>
  <c r="M251" i="5"/>
  <c r="L251" i="5"/>
  <c r="K251" i="5"/>
  <c r="J251" i="5"/>
  <c r="I251" i="5"/>
  <c r="H251" i="5"/>
  <c r="G251" i="5"/>
  <c r="F251" i="5"/>
  <c r="E251" i="5"/>
  <c r="D251" i="5"/>
  <c r="C251" i="5"/>
  <c r="B251" i="5"/>
  <c r="BI250" i="5"/>
  <c r="BH250" i="5"/>
  <c r="BG250" i="5"/>
  <c r="BF250" i="5"/>
  <c r="BE250" i="5"/>
  <c r="BD250" i="5"/>
  <c r="BC250" i="5"/>
  <c r="BB250" i="5"/>
  <c r="BA250" i="5"/>
  <c r="AZ250" i="5"/>
  <c r="AY250" i="5"/>
  <c r="AX250" i="5"/>
  <c r="AW250" i="5"/>
  <c r="AV250" i="5"/>
  <c r="AU250" i="5"/>
  <c r="AT250" i="5"/>
  <c r="AS250" i="5"/>
  <c r="AR250" i="5"/>
  <c r="AQ250" i="5"/>
  <c r="AP250" i="5"/>
  <c r="AO250" i="5"/>
  <c r="AN250" i="5"/>
  <c r="AM250" i="5"/>
  <c r="AL250" i="5"/>
  <c r="AK250" i="5"/>
  <c r="AJ250" i="5"/>
  <c r="AI250" i="5"/>
  <c r="AH250" i="5"/>
  <c r="AG250" i="5"/>
  <c r="AF250" i="5"/>
  <c r="AE250" i="5"/>
  <c r="AD250" i="5"/>
  <c r="AC250" i="5"/>
  <c r="AB250" i="5"/>
  <c r="AA250" i="5"/>
  <c r="Z250" i="5"/>
  <c r="Y250" i="5"/>
  <c r="X250" i="5"/>
  <c r="W250" i="5"/>
  <c r="V250" i="5"/>
  <c r="U250" i="5"/>
  <c r="T250" i="5"/>
  <c r="S250" i="5"/>
  <c r="R250" i="5"/>
  <c r="Q250" i="5"/>
  <c r="P250" i="5"/>
  <c r="O250" i="5"/>
  <c r="N250" i="5"/>
  <c r="M250" i="5"/>
  <c r="L250" i="5"/>
  <c r="K250" i="5"/>
  <c r="J250" i="5"/>
  <c r="I250" i="5"/>
  <c r="H250" i="5"/>
  <c r="G250" i="5"/>
  <c r="F250" i="5"/>
  <c r="E250" i="5"/>
  <c r="D250" i="5"/>
  <c r="C250" i="5"/>
  <c r="B250" i="5"/>
  <c r="BI249" i="5"/>
  <c r="BH249" i="5"/>
  <c r="BG249" i="5"/>
  <c r="BF249" i="5"/>
  <c r="BE249" i="5"/>
  <c r="BD249" i="5"/>
  <c r="BC249" i="5"/>
  <c r="BB249" i="5"/>
  <c r="BA249" i="5"/>
  <c r="AZ249" i="5"/>
  <c r="AY249" i="5"/>
  <c r="AX249" i="5"/>
  <c r="AW249" i="5"/>
  <c r="AV249" i="5"/>
  <c r="AU249" i="5"/>
  <c r="AT249" i="5"/>
  <c r="AS249" i="5"/>
  <c r="AR249" i="5"/>
  <c r="AQ249" i="5"/>
  <c r="AP249" i="5"/>
  <c r="AO249" i="5"/>
  <c r="AN249" i="5"/>
  <c r="AM249" i="5"/>
  <c r="AL249" i="5"/>
  <c r="AK249" i="5"/>
  <c r="AJ249" i="5"/>
  <c r="AI249" i="5"/>
  <c r="AH249" i="5"/>
  <c r="AG249" i="5"/>
  <c r="AF249" i="5"/>
  <c r="AE249" i="5"/>
  <c r="AD249" i="5"/>
  <c r="AC249" i="5"/>
  <c r="AB249" i="5"/>
  <c r="AA249" i="5"/>
  <c r="Z249" i="5"/>
  <c r="Y249" i="5"/>
  <c r="X249" i="5"/>
  <c r="W249" i="5"/>
  <c r="V249" i="5"/>
  <c r="U249" i="5"/>
  <c r="T249" i="5"/>
  <c r="S249" i="5"/>
  <c r="R249" i="5"/>
  <c r="Q249" i="5"/>
  <c r="P249" i="5"/>
  <c r="O249" i="5"/>
  <c r="N249" i="5"/>
  <c r="M249" i="5"/>
  <c r="L249" i="5"/>
  <c r="K249" i="5"/>
  <c r="J249" i="5"/>
  <c r="I249" i="5"/>
  <c r="H249" i="5"/>
  <c r="G249" i="5"/>
  <c r="F249" i="5"/>
  <c r="E249" i="5"/>
  <c r="D249" i="5"/>
  <c r="C249" i="5"/>
  <c r="B249" i="5"/>
  <c r="BI248" i="5"/>
  <c r="BH248" i="5"/>
  <c r="BG248" i="5"/>
  <c r="BF248" i="5"/>
  <c r="BE248" i="5"/>
  <c r="BD248" i="5"/>
  <c r="BC248" i="5"/>
  <c r="BB248" i="5"/>
  <c r="BA248" i="5"/>
  <c r="AZ248" i="5"/>
  <c r="AY248" i="5"/>
  <c r="AX248" i="5"/>
  <c r="AW248" i="5"/>
  <c r="AV248" i="5"/>
  <c r="AU248" i="5"/>
  <c r="AT248" i="5"/>
  <c r="AS248" i="5"/>
  <c r="AR248" i="5"/>
  <c r="AQ248" i="5"/>
  <c r="AP248" i="5"/>
  <c r="AO248" i="5"/>
  <c r="AN248" i="5"/>
  <c r="AM248" i="5"/>
  <c r="AL248" i="5"/>
  <c r="AK248" i="5"/>
  <c r="AJ248" i="5"/>
  <c r="AI248" i="5"/>
  <c r="AH248" i="5"/>
  <c r="AG248" i="5"/>
  <c r="AF248" i="5"/>
  <c r="AE248" i="5"/>
  <c r="AD248" i="5"/>
  <c r="AC248" i="5"/>
  <c r="AB248" i="5"/>
  <c r="AA248" i="5"/>
  <c r="Z248" i="5"/>
  <c r="Y248" i="5"/>
  <c r="X248" i="5"/>
  <c r="W248" i="5"/>
  <c r="V248" i="5"/>
  <c r="U248" i="5"/>
  <c r="T248" i="5"/>
  <c r="S248" i="5"/>
  <c r="R248" i="5"/>
  <c r="Q248" i="5"/>
  <c r="P248" i="5"/>
  <c r="O248" i="5"/>
  <c r="N248" i="5"/>
  <c r="M248" i="5"/>
  <c r="L248" i="5"/>
  <c r="K248" i="5"/>
  <c r="J248" i="5"/>
  <c r="I248" i="5"/>
  <c r="H248" i="5"/>
  <c r="G248" i="5"/>
  <c r="F248" i="5"/>
  <c r="E248" i="5"/>
  <c r="D248" i="5"/>
  <c r="C248" i="5"/>
  <c r="B248" i="5"/>
  <c r="BI247" i="5"/>
  <c r="BH247" i="5"/>
  <c r="BG247" i="5"/>
  <c r="BF247" i="5"/>
  <c r="BE247" i="5"/>
  <c r="BD247" i="5"/>
  <c r="BC247" i="5"/>
  <c r="BB247" i="5"/>
  <c r="BA247" i="5"/>
  <c r="AZ247" i="5"/>
  <c r="AY247" i="5"/>
  <c r="AX247" i="5"/>
  <c r="AW247" i="5"/>
  <c r="AV247" i="5"/>
  <c r="AU247" i="5"/>
  <c r="AT247" i="5"/>
  <c r="AS247" i="5"/>
  <c r="AR247" i="5"/>
  <c r="AQ247" i="5"/>
  <c r="AP247" i="5"/>
  <c r="AO247" i="5"/>
  <c r="AN247" i="5"/>
  <c r="AM247" i="5"/>
  <c r="AL247" i="5"/>
  <c r="AK247" i="5"/>
  <c r="AJ247" i="5"/>
  <c r="AI247" i="5"/>
  <c r="AH247" i="5"/>
  <c r="AG247" i="5"/>
  <c r="AF247" i="5"/>
  <c r="AE247" i="5"/>
  <c r="AD247" i="5"/>
  <c r="AC247" i="5"/>
  <c r="AB247" i="5"/>
  <c r="AA247" i="5"/>
  <c r="Z247" i="5"/>
  <c r="Y247" i="5"/>
  <c r="X247" i="5"/>
  <c r="W247" i="5"/>
  <c r="V247" i="5"/>
  <c r="U247" i="5"/>
  <c r="T247" i="5"/>
  <c r="S247" i="5"/>
  <c r="R247" i="5"/>
  <c r="Q247" i="5"/>
  <c r="P247" i="5"/>
  <c r="O247" i="5"/>
  <c r="N247" i="5"/>
  <c r="M247" i="5"/>
  <c r="L247" i="5"/>
  <c r="K247" i="5"/>
  <c r="J247" i="5"/>
  <c r="I247" i="5"/>
  <c r="H247" i="5"/>
  <c r="G247" i="5"/>
  <c r="F247" i="5"/>
  <c r="E247" i="5"/>
  <c r="D247" i="5"/>
  <c r="C247" i="5"/>
  <c r="B247" i="5"/>
  <c r="BI246" i="5"/>
  <c r="BH246" i="5"/>
  <c r="BG246" i="5"/>
  <c r="BF246" i="5"/>
  <c r="BE246" i="5"/>
  <c r="BD246" i="5"/>
  <c r="BC246" i="5"/>
  <c r="BB246" i="5"/>
  <c r="BA246" i="5"/>
  <c r="AZ246" i="5"/>
  <c r="AY246" i="5"/>
  <c r="AX246" i="5"/>
  <c r="AW246" i="5"/>
  <c r="AV246" i="5"/>
  <c r="AU246" i="5"/>
  <c r="AT246" i="5"/>
  <c r="AS246" i="5"/>
  <c r="AR246" i="5"/>
  <c r="AQ246" i="5"/>
  <c r="AP246" i="5"/>
  <c r="AO246" i="5"/>
  <c r="AN246" i="5"/>
  <c r="AM246" i="5"/>
  <c r="AL246" i="5"/>
  <c r="AK246" i="5"/>
  <c r="AJ246" i="5"/>
  <c r="AI246" i="5"/>
  <c r="AH246" i="5"/>
  <c r="AG246" i="5"/>
  <c r="AF246" i="5"/>
  <c r="AE246" i="5"/>
  <c r="AD246" i="5"/>
  <c r="AC246" i="5"/>
  <c r="AB246" i="5"/>
  <c r="AA246" i="5"/>
  <c r="Z246" i="5"/>
  <c r="Y246" i="5"/>
  <c r="X246" i="5"/>
  <c r="W246" i="5"/>
  <c r="V246" i="5"/>
  <c r="U246" i="5"/>
  <c r="T246" i="5"/>
  <c r="S246" i="5"/>
  <c r="R246" i="5"/>
  <c r="Q246" i="5"/>
  <c r="P246" i="5"/>
  <c r="O246" i="5"/>
  <c r="N246" i="5"/>
  <c r="M246" i="5"/>
  <c r="L246" i="5"/>
  <c r="K246" i="5"/>
  <c r="J246" i="5"/>
  <c r="I246" i="5"/>
  <c r="H246" i="5"/>
  <c r="G246" i="5"/>
  <c r="F246" i="5"/>
  <c r="E246" i="5"/>
  <c r="D246" i="5"/>
  <c r="C246" i="5"/>
  <c r="B246" i="5"/>
  <c r="BI245" i="5"/>
  <c r="BH245" i="5"/>
  <c r="BG245" i="5"/>
  <c r="BF245" i="5"/>
  <c r="BE245" i="5"/>
  <c r="BD245" i="5"/>
  <c r="BC245" i="5"/>
  <c r="BB245" i="5"/>
  <c r="BA245" i="5"/>
  <c r="AZ245" i="5"/>
  <c r="AY245" i="5"/>
  <c r="AX245" i="5"/>
  <c r="AW245" i="5"/>
  <c r="AV245" i="5"/>
  <c r="AU245" i="5"/>
  <c r="AT245" i="5"/>
  <c r="AS245" i="5"/>
  <c r="AR245" i="5"/>
  <c r="AQ245" i="5"/>
  <c r="AP245" i="5"/>
  <c r="AO245" i="5"/>
  <c r="AN245" i="5"/>
  <c r="AM245" i="5"/>
  <c r="AL245" i="5"/>
  <c r="AK245" i="5"/>
  <c r="AJ245" i="5"/>
  <c r="AI245" i="5"/>
  <c r="AH245" i="5"/>
  <c r="AG245" i="5"/>
  <c r="AF245" i="5"/>
  <c r="AE245" i="5"/>
  <c r="AD245" i="5"/>
  <c r="AC245" i="5"/>
  <c r="AB245" i="5"/>
  <c r="AA245" i="5"/>
  <c r="Z245" i="5"/>
  <c r="Y245" i="5"/>
  <c r="X245" i="5"/>
  <c r="W245" i="5"/>
  <c r="V245" i="5"/>
  <c r="U245" i="5"/>
  <c r="T245" i="5"/>
  <c r="S245" i="5"/>
  <c r="R245" i="5"/>
  <c r="Q245" i="5"/>
  <c r="P245" i="5"/>
  <c r="O245" i="5"/>
  <c r="N245" i="5"/>
  <c r="M245" i="5"/>
  <c r="L245" i="5"/>
  <c r="K245" i="5"/>
  <c r="J245" i="5"/>
  <c r="I245" i="5"/>
  <c r="H245" i="5"/>
  <c r="G245" i="5"/>
  <c r="F245" i="5"/>
  <c r="E245" i="5"/>
  <c r="D245" i="5"/>
  <c r="C245" i="5"/>
  <c r="B245" i="5"/>
  <c r="BI244" i="5"/>
  <c r="BH244" i="5"/>
  <c r="BG244" i="5"/>
  <c r="BF244" i="5"/>
  <c r="BE244" i="5"/>
  <c r="BD244" i="5"/>
  <c r="BC244" i="5"/>
  <c r="BB244" i="5"/>
  <c r="BA244" i="5"/>
  <c r="AZ244" i="5"/>
  <c r="AY244" i="5"/>
  <c r="AX244" i="5"/>
  <c r="AW244" i="5"/>
  <c r="AV244" i="5"/>
  <c r="AU244" i="5"/>
  <c r="AT244" i="5"/>
  <c r="AS244" i="5"/>
  <c r="AR244" i="5"/>
  <c r="AQ244" i="5"/>
  <c r="AP244" i="5"/>
  <c r="AO244" i="5"/>
  <c r="AN244" i="5"/>
  <c r="AM244" i="5"/>
  <c r="AL244" i="5"/>
  <c r="AK244" i="5"/>
  <c r="AJ244" i="5"/>
  <c r="AI244" i="5"/>
  <c r="AH244" i="5"/>
  <c r="AG244" i="5"/>
  <c r="AF244" i="5"/>
  <c r="AE244" i="5"/>
  <c r="AD244" i="5"/>
  <c r="AC244" i="5"/>
  <c r="AB244" i="5"/>
  <c r="AA244" i="5"/>
  <c r="Z244" i="5"/>
  <c r="Y244" i="5"/>
  <c r="X244" i="5"/>
  <c r="W244" i="5"/>
  <c r="V244" i="5"/>
  <c r="U244" i="5"/>
  <c r="T244" i="5"/>
  <c r="S244" i="5"/>
  <c r="R244" i="5"/>
  <c r="Q244" i="5"/>
  <c r="P244" i="5"/>
  <c r="O244" i="5"/>
  <c r="N244" i="5"/>
  <c r="M244" i="5"/>
  <c r="L244" i="5"/>
  <c r="K244" i="5"/>
  <c r="J244" i="5"/>
  <c r="I244" i="5"/>
  <c r="H244" i="5"/>
  <c r="G244" i="5"/>
  <c r="F244" i="5"/>
  <c r="E244" i="5"/>
  <c r="D244" i="5"/>
  <c r="C244" i="5"/>
  <c r="B244" i="5"/>
  <c r="BI243" i="5"/>
  <c r="BH243" i="5"/>
  <c r="BG243" i="5"/>
  <c r="BF243" i="5"/>
  <c r="BE243" i="5"/>
  <c r="BD243" i="5"/>
  <c r="BC243" i="5"/>
  <c r="BB243" i="5"/>
  <c r="BA243" i="5"/>
  <c r="AZ243" i="5"/>
  <c r="AY243" i="5"/>
  <c r="AX243" i="5"/>
  <c r="AW243" i="5"/>
  <c r="AV243" i="5"/>
  <c r="AU243" i="5"/>
  <c r="AT243" i="5"/>
  <c r="AS243" i="5"/>
  <c r="AR243" i="5"/>
  <c r="AQ243" i="5"/>
  <c r="AP243" i="5"/>
  <c r="AO243" i="5"/>
  <c r="AN243" i="5"/>
  <c r="AM243" i="5"/>
  <c r="AL243" i="5"/>
  <c r="AK243" i="5"/>
  <c r="AJ243" i="5"/>
  <c r="AI243" i="5"/>
  <c r="AH243" i="5"/>
  <c r="AG243" i="5"/>
  <c r="AF243" i="5"/>
  <c r="AE243" i="5"/>
  <c r="AD243" i="5"/>
  <c r="AC243" i="5"/>
  <c r="AB243" i="5"/>
  <c r="AA243" i="5"/>
  <c r="Z243" i="5"/>
  <c r="Y243" i="5"/>
  <c r="X243" i="5"/>
  <c r="W243" i="5"/>
  <c r="V243" i="5"/>
  <c r="U243" i="5"/>
  <c r="T243" i="5"/>
  <c r="S243" i="5"/>
  <c r="R243" i="5"/>
  <c r="Q243" i="5"/>
  <c r="P243" i="5"/>
  <c r="O243" i="5"/>
  <c r="N243" i="5"/>
  <c r="M243" i="5"/>
  <c r="L243" i="5"/>
  <c r="K243" i="5"/>
  <c r="J243" i="5"/>
  <c r="I243" i="5"/>
  <c r="H243" i="5"/>
  <c r="G243" i="5"/>
  <c r="F243" i="5"/>
  <c r="E243" i="5"/>
  <c r="D243" i="5"/>
  <c r="C243" i="5"/>
  <c r="B243" i="5"/>
  <c r="BI242" i="5"/>
  <c r="BH242" i="5"/>
  <c r="BG242" i="5"/>
  <c r="BF242" i="5"/>
  <c r="BE242" i="5"/>
  <c r="BD242" i="5"/>
  <c r="BC242" i="5"/>
  <c r="BB242" i="5"/>
  <c r="BA242" i="5"/>
  <c r="AZ242" i="5"/>
  <c r="AY242" i="5"/>
  <c r="AX242" i="5"/>
  <c r="AW242" i="5"/>
  <c r="AV242" i="5"/>
  <c r="AU242" i="5"/>
  <c r="AT242" i="5"/>
  <c r="AS242" i="5"/>
  <c r="AR242" i="5"/>
  <c r="AQ242" i="5"/>
  <c r="AP242" i="5"/>
  <c r="AO242" i="5"/>
  <c r="AN242" i="5"/>
  <c r="AM242" i="5"/>
  <c r="AL242" i="5"/>
  <c r="AK242" i="5"/>
  <c r="AJ242" i="5"/>
  <c r="AI242" i="5"/>
  <c r="AH242" i="5"/>
  <c r="AG242" i="5"/>
  <c r="AF242" i="5"/>
  <c r="AE242" i="5"/>
  <c r="AD242" i="5"/>
  <c r="AC242" i="5"/>
  <c r="AB242" i="5"/>
  <c r="AA242" i="5"/>
  <c r="Z242" i="5"/>
  <c r="Y242" i="5"/>
  <c r="X242" i="5"/>
  <c r="W242" i="5"/>
  <c r="V242" i="5"/>
  <c r="U242" i="5"/>
  <c r="T242" i="5"/>
  <c r="S242" i="5"/>
  <c r="R242" i="5"/>
  <c r="Q242" i="5"/>
  <c r="P242" i="5"/>
  <c r="O242" i="5"/>
  <c r="N242" i="5"/>
  <c r="M242" i="5"/>
  <c r="L242" i="5"/>
  <c r="K242" i="5"/>
  <c r="J242" i="5"/>
  <c r="I242" i="5"/>
  <c r="H242" i="5"/>
  <c r="G242" i="5"/>
  <c r="F242" i="5"/>
  <c r="E242" i="5"/>
  <c r="D242" i="5"/>
  <c r="C242" i="5"/>
  <c r="B242" i="5"/>
  <c r="BI241" i="5"/>
  <c r="BH241" i="5"/>
  <c r="BG241" i="5"/>
  <c r="BF241" i="5"/>
  <c r="BE241" i="5"/>
  <c r="BD241" i="5"/>
  <c r="BC241" i="5"/>
  <c r="BB241" i="5"/>
  <c r="BA241" i="5"/>
  <c r="AZ241" i="5"/>
  <c r="AY241" i="5"/>
  <c r="AX241" i="5"/>
  <c r="AW241" i="5"/>
  <c r="AV241" i="5"/>
  <c r="AU241" i="5"/>
  <c r="AT241" i="5"/>
  <c r="AS241" i="5"/>
  <c r="AR241" i="5"/>
  <c r="AQ241" i="5"/>
  <c r="AP241" i="5"/>
  <c r="AO241" i="5"/>
  <c r="AN241" i="5"/>
  <c r="AM241" i="5"/>
  <c r="AL241" i="5"/>
  <c r="AK241" i="5"/>
  <c r="AJ241" i="5"/>
  <c r="AI241" i="5"/>
  <c r="AH241" i="5"/>
  <c r="AG241" i="5"/>
  <c r="AF241" i="5"/>
  <c r="AE241" i="5"/>
  <c r="AD241" i="5"/>
  <c r="AC241" i="5"/>
  <c r="AB241" i="5"/>
  <c r="AA241" i="5"/>
  <c r="Z241" i="5"/>
  <c r="Y241" i="5"/>
  <c r="X241" i="5"/>
  <c r="W241" i="5"/>
  <c r="V241" i="5"/>
  <c r="U241" i="5"/>
  <c r="T241" i="5"/>
  <c r="S241" i="5"/>
  <c r="R241" i="5"/>
  <c r="Q241" i="5"/>
  <c r="P241" i="5"/>
  <c r="O241" i="5"/>
  <c r="N241" i="5"/>
  <c r="M241" i="5"/>
  <c r="L241" i="5"/>
  <c r="K241" i="5"/>
  <c r="J241" i="5"/>
  <c r="I241" i="5"/>
  <c r="H241" i="5"/>
  <c r="G241" i="5"/>
  <c r="F241" i="5"/>
  <c r="E241" i="5"/>
  <c r="D241" i="5"/>
  <c r="C241" i="5"/>
  <c r="B241" i="5"/>
  <c r="BI240" i="5"/>
  <c r="BH240" i="5"/>
  <c r="BG240" i="5"/>
  <c r="BF240" i="5"/>
  <c r="BE240" i="5"/>
  <c r="BD240" i="5"/>
  <c r="BC240" i="5"/>
  <c r="BB240" i="5"/>
  <c r="BA240" i="5"/>
  <c r="AZ240" i="5"/>
  <c r="AY240" i="5"/>
  <c r="AX240" i="5"/>
  <c r="AW240" i="5"/>
  <c r="AV240" i="5"/>
  <c r="AU240" i="5"/>
  <c r="AT240" i="5"/>
  <c r="AS240" i="5"/>
  <c r="AR240" i="5"/>
  <c r="AQ240" i="5"/>
  <c r="AP240" i="5"/>
  <c r="AO240" i="5"/>
  <c r="AN240" i="5"/>
  <c r="AM240" i="5"/>
  <c r="AL240" i="5"/>
  <c r="AK240" i="5"/>
  <c r="AJ240" i="5"/>
  <c r="AI240" i="5"/>
  <c r="AH240" i="5"/>
  <c r="AG240" i="5"/>
  <c r="AF240" i="5"/>
  <c r="AE240" i="5"/>
  <c r="AD240" i="5"/>
  <c r="AC240" i="5"/>
  <c r="AB240" i="5"/>
  <c r="AA240" i="5"/>
  <c r="Z240" i="5"/>
  <c r="Y240" i="5"/>
  <c r="X240" i="5"/>
  <c r="W240" i="5"/>
  <c r="V240" i="5"/>
  <c r="U240" i="5"/>
  <c r="T240" i="5"/>
  <c r="S240" i="5"/>
  <c r="R240" i="5"/>
  <c r="Q240" i="5"/>
  <c r="P240" i="5"/>
  <c r="O240" i="5"/>
  <c r="N240" i="5"/>
  <c r="M240" i="5"/>
  <c r="L240" i="5"/>
  <c r="K240" i="5"/>
  <c r="J240" i="5"/>
  <c r="I240" i="5"/>
  <c r="H240" i="5"/>
  <c r="G240" i="5"/>
  <c r="F240" i="5"/>
  <c r="E240" i="5"/>
  <c r="D240" i="5"/>
  <c r="C240" i="5"/>
  <c r="B240" i="5"/>
  <c r="BI239" i="5"/>
  <c r="BH239" i="5"/>
  <c r="BG239" i="5"/>
  <c r="BF239" i="5"/>
  <c r="BE239" i="5"/>
  <c r="BD239" i="5"/>
  <c r="BC239" i="5"/>
  <c r="BB239" i="5"/>
  <c r="BA239" i="5"/>
  <c r="AZ239" i="5"/>
  <c r="AY239" i="5"/>
  <c r="AX239" i="5"/>
  <c r="AW239" i="5"/>
  <c r="AV239" i="5"/>
  <c r="AU239" i="5"/>
  <c r="AT239" i="5"/>
  <c r="AS239" i="5"/>
  <c r="AR239" i="5"/>
  <c r="AQ239" i="5"/>
  <c r="AP239" i="5"/>
  <c r="AO239" i="5"/>
  <c r="AN239" i="5"/>
  <c r="AM239" i="5"/>
  <c r="AL239" i="5"/>
  <c r="AK239" i="5"/>
  <c r="AJ239" i="5"/>
  <c r="AI239" i="5"/>
  <c r="AH239" i="5"/>
  <c r="AG239" i="5"/>
  <c r="AF239" i="5"/>
  <c r="AE239" i="5"/>
  <c r="AD239" i="5"/>
  <c r="AC239" i="5"/>
  <c r="AB239" i="5"/>
  <c r="AA239" i="5"/>
  <c r="Z239" i="5"/>
  <c r="Y239" i="5"/>
  <c r="X239" i="5"/>
  <c r="W239" i="5"/>
  <c r="V239" i="5"/>
  <c r="U239" i="5"/>
  <c r="T239" i="5"/>
  <c r="S239" i="5"/>
  <c r="R239" i="5"/>
  <c r="Q239" i="5"/>
  <c r="P239" i="5"/>
  <c r="O239" i="5"/>
  <c r="N239" i="5"/>
  <c r="M239" i="5"/>
  <c r="L239" i="5"/>
  <c r="K239" i="5"/>
  <c r="J239" i="5"/>
  <c r="I239" i="5"/>
  <c r="H239" i="5"/>
  <c r="G239" i="5"/>
  <c r="F239" i="5"/>
  <c r="E239" i="5"/>
  <c r="D239" i="5"/>
  <c r="C239" i="5"/>
  <c r="B239" i="5"/>
  <c r="BI238" i="5"/>
  <c r="BH238" i="5"/>
  <c r="BG238" i="5"/>
  <c r="BF238" i="5"/>
  <c r="BE238" i="5"/>
  <c r="BD238" i="5"/>
  <c r="BC238" i="5"/>
  <c r="BB238" i="5"/>
  <c r="BA238" i="5"/>
  <c r="AZ238" i="5"/>
  <c r="AY238" i="5"/>
  <c r="AX238" i="5"/>
  <c r="AW238" i="5"/>
  <c r="AV238" i="5"/>
  <c r="AU238" i="5"/>
  <c r="AT238" i="5"/>
  <c r="AS238" i="5"/>
  <c r="AR238" i="5"/>
  <c r="AQ238" i="5"/>
  <c r="AP238" i="5"/>
  <c r="AO238" i="5"/>
  <c r="AN238" i="5"/>
  <c r="AM238" i="5"/>
  <c r="AL238" i="5"/>
  <c r="AK238" i="5"/>
  <c r="AJ238" i="5"/>
  <c r="AI238" i="5"/>
  <c r="AH238" i="5"/>
  <c r="AG238" i="5"/>
  <c r="AF238" i="5"/>
  <c r="AE238" i="5"/>
  <c r="AD238" i="5"/>
  <c r="AC238" i="5"/>
  <c r="AB238" i="5"/>
  <c r="AA238" i="5"/>
  <c r="Z238" i="5"/>
  <c r="Y238" i="5"/>
  <c r="X238" i="5"/>
  <c r="W238" i="5"/>
  <c r="V238" i="5"/>
  <c r="U238" i="5"/>
  <c r="T238" i="5"/>
  <c r="S238" i="5"/>
  <c r="R238" i="5"/>
  <c r="Q238" i="5"/>
  <c r="P238" i="5"/>
  <c r="O238" i="5"/>
  <c r="N238" i="5"/>
  <c r="M238" i="5"/>
  <c r="L238" i="5"/>
  <c r="K238" i="5"/>
  <c r="J238" i="5"/>
  <c r="I238" i="5"/>
  <c r="H238" i="5"/>
  <c r="G238" i="5"/>
  <c r="F238" i="5"/>
  <c r="E238" i="5"/>
  <c r="D238" i="5"/>
  <c r="C238" i="5"/>
  <c r="B238" i="5"/>
  <c r="BI237" i="5"/>
  <c r="BH237" i="5"/>
  <c r="BG237" i="5"/>
  <c r="BF237" i="5"/>
  <c r="BE237" i="5"/>
  <c r="BD237" i="5"/>
  <c r="BC237" i="5"/>
  <c r="BB237" i="5"/>
  <c r="BA237" i="5"/>
  <c r="AZ237" i="5"/>
  <c r="AY237" i="5"/>
  <c r="AX237" i="5"/>
  <c r="AW237" i="5"/>
  <c r="AV237" i="5"/>
  <c r="AU237" i="5"/>
  <c r="AT237" i="5"/>
  <c r="AS237" i="5"/>
  <c r="AR237" i="5"/>
  <c r="AQ237" i="5"/>
  <c r="AP237" i="5"/>
  <c r="AO237" i="5"/>
  <c r="AN237" i="5"/>
  <c r="AM237" i="5"/>
  <c r="AL237" i="5"/>
  <c r="AK237" i="5"/>
  <c r="AJ237" i="5"/>
  <c r="AI237" i="5"/>
  <c r="AH237" i="5"/>
  <c r="AG237" i="5"/>
  <c r="AF237" i="5"/>
  <c r="AE237" i="5"/>
  <c r="AD237" i="5"/>
  <c r="AC237" i="5"/>
  <c r="AB237" i="5"/>
  <c r="AA237" i="5"/>
  <c r="Z237" i="5"/>
  <c r="Y237" i="5"/>
  <c r="X237" i="5"/>
  <c r="W237" i="5"/>
  <c r="V237" i="5"/>
  <c r="U237" i="5"/>
  <c r="T237" i="5"/>
  <c r="S237" i="5"/>
  <c r="R237" i="5"/>
  <c r="Q237" i="5"/>
  <c r="P237" i="5"/>
  <c r="O237" i="5"/>
  <c r="N237" i="5"/>
  <c r="M237" i="5"/>
  <c r="L237" i="5"/>
  <c r="K237" i="5"/>
  <c r="J237" i="5"/>
  <c r="I237" i="5"/>
  <c r="H237" i="5"/>
  <c r="G237" i="5"/>
  <c r="F237" i="5"/>
  <c r="E237" i="5"/>
  <c r="D237" i="5"/>
  <c r="C237" i="5"/>
  <c r="B237" i="5"/>
  <c r="BI236" i="5"/>
  <c r="BH236" i="5"/>
  <c r="BG236" i="5"/>
  <c r="BF236" i="5"/>
  <c r="BE236" i="5"/>
  <c r="BD236" i="5"/>
  <c r="BC236" i="5"/>
  <c r="BB236" i="5"/>
  <c r="BA236" i="5"/>
  <c r="AZ236" i="5"/>
  <c r="AY236" i="5"/>
  <c r="AX236" i="5"/>
  <c r="AW236" i="5"/>
  <c r="AV236" i="5"/>
  <c r="AU236" i="5"/>
  <c r="AT236" i="5"/>
  <c r="AS236" i="5"/>
  <c r="AR236" i="5"/>
  <c r="AQ236" i="5"/>
  <c r="AP236" i="5"/>
  <c r="AO236" i="5"/>
  <c r="AN236" i="5"/>
  <c r="AM236" i="5"/>
  <c r="AL236" i="5"/>
  <c r="AK236" i="5"/>
  <c r="AJ236" i="5"/>
  <c r="AI236" i="5"/>
  <c r="AH236" i="5"/>
  <c r="AG236" i="5"/>
  <c r="AF236" i="5"/>
  <c r="AE236" i="5"/>
  <c r="AD236" i="5"/>
  <c r="AC236" i="5"/>
  <c r="AB236" i="5"/>
  <c r="AA236" i="5"/>
  <c r="Z236" i="5"/>
  <c r="Y236" i="5"/>
  <c r="X236" i="5"/>
  <c r="W236" i="5"/>
  <c r="V236" i="5"/>
  <c r="U236" i="5"/>
  <c r="T236" i="5"/>
  <c r="S236" i="5"/>
  <c r="R236" i="5"/>
  <c r="Q236" i="5"/>
  <c r="P236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C236" i="5"/>
  <c r="B236" i="5"/>
  <c r="BI235" i="5"/>
  <c r="BH235" i="5"/>
  <c r="BG235" i="5"/>
  <c r="BF235" i="5"/>
  <c r="BE235" i="5"/>
  <c r="BD235" i="5"/>
  <c r="BC235" i="5"/>
  <c r="BB235" i="5"/>
  <c r="BA235" i="5"/>
  <c r="AZ235" i="5"/>
  <c r="AY235" i="5"/>
  <c r="AX235" i="5"/>
  <c r="AW235" i="5"/>
  <c r="AV235" i="5"/>
  <c r="AU235" i="5"/>
  <c r="AT235" i="5"/>
  <c r="AS235" i="5"/>
  <c r="AR235" i="5"/>
  <c r="AQ235" i="5"/>
  <c r="AP235" i="5"/>
  <c r="AO235" i="5"/>
  <c r="AN235" i="5"/>
  <c r="AM235" i="5"/>
  <c r="AL235" i="5"/>
  <c r="AK235" i="5"/>
  <c r="AJ235" i="5"/>
  <c r="AI235" i="5"/>
  <c r="AH235" i="5"/>
  <c r="AG235" i="5"/>
  <c r="AF235" i="5"/>
  <c r="AE235" i="5"/>
  <c r="AD235" i="5"/>
  <c r="AC235" i="5"/>
  <c r="AB235" i="5"/>
  <c r="AA235" i="5"/>
  <c r="Z235" i="5"/>
  <c r="Y235" i="5"/>
  <c r="X235" i="5"/>
  <c r="W235" i="5"/>
  <c r="V235" i="5"/>
  <c r="U235" i="5"/>
  <c r="T235" i="5"/>
  <c r="S235" i="5"/>
  <c r="R235" i="5"/>
  <c r="Q235" i="5"/>
  <c r="P235" i="5"/>
  <c r="O235" i="5"/>
  <c r="N235" i="5"/>
  <c r="M235" i="5"/>
  <c r="L235" i="5"/>
  <c r="K235" i="5"/>
  <c r="J235" i="5"/>
  <c r="I235" i="5"/>
  <c r="H235" i="5"/>
  <c r="G235" i="5"/>
  <c r="F235" i="5"/>
  <c r="E235" i="5"/>
  <c r="D235" i="5"/>
  <c r="C235" i="5"/>
  <c r="B235" i="5"/>
  <c r="BI234" i="5"/>
  <c r="BH234" i="5"/>
  <c r="BG234" i="5"/>
  <c r="BF234" i="5"/>
  <c r="BE234" i="5"/>
  <c r="BD234" i="5"/>
  <c r="BC234" i="5"/>
  <c r="BB234" i="5"/>
  <c r="BA234" i="5"/>
  <c r="AZ234" i="5"/>
  <c r="AY234" i="5"/>
  <c r="AX234" i="5"/>
  <c r="AW234" i="5"/>
  <c r="AV234" i="5"/>
  <c r="AU234" i="5"/>
  <c r="AT234" i="5"/>
  <c r="AS234" i="5"/>
  <c r="AR234" i="5"/>
  <c r="AQ234" i="5"/>
  <c r="AP234" i="5"/>
  <c r="AO234" i="5"/>
  <c r="AN234" i="5"/>
  <c r="AM234" i="5"/>
  <c r="AL234" i="5"/>
  <c r="AK234" i="5"/>
  <c r="AJ234" i="5"/>
  <c r="AI234" i="5"/>
  <c r="AH234" i="5"/>
  <c r="AG234" i="5"/>
  <c r="AF234" i="5"/>
  <c r="AE234" i="5"/>
  <c r="AD234" i="5"/>
  <c r="AC234" i="5"/>
  <c r="AB234" i="5"/>
  <c r="AA234" i="5"/>
  <c r="Z234" i="5"/>
  <c r="Y234" i="5"/>
  <c r="X234" i="5"/>
  <c r="W234" i="5"/>
  <c r="V234" i="5"/>
  <c r="U234" i="5"/>
  <c r="T234" i="5"/>
  <c r="S234" i="5"/>
  <c r="R234" i="5"/>
  <c r="Q234" i="5"/>
  <c r="P234" i="5"/>
  <c r="O234" i="5"/>
  <c r="N234" i="5"/>
  <c r="M234" i="5"/>
  <c r="L234" i="5"/>
  <c r="K234" i="5"/>
  <c r="J234" i="5"/>
  <c r="I234" i="5"/>
  <c r="H234" i="5"/>
  <c r="G234" i="5"/>
  <c r="F234" i="5"/>
  <c r="E234" i="5"/>
  <c r="D234" i="5"/>
  <c r="C234" i="5"/>
  <c r="B234" i="5"/>
  <c r="BI233" i="5"/>
  <c r="BH233" i="5"/>
  <c r="BG233" i="5"/>
  <c r="BF233" i="5"/>
  <c r="BE233" i="5"/>
  <c r="BD233" i="5"/>
  <c r="BC233" i="5"/>
  <c r="BB233" i="5"/>
  <c r="BA233" i="5"/>
  <c r="AZ233" i="5"/>
  <c r="AY233" i="5"/>
  <c r="AX233" i="5"/>
  <c r="AW233" i="5"/>
  <c r="AV233" i="5"/>
  <c r="AU233" i="5"/>
  <c r="AT233" i="5"/>
  <c r="AS233" i="5"/>
  <c r="AR233" i="5"/>
  <c r="AQ233" i="5"/>
  <c r="AP233" i="5"/>
  <c r="AO233" i="5"/>
  <c r="AN233" i="5"/>
  <c r="AM233" i="5"/>
  <c r="AL233" i="5"/>
  <c r="AK233" i="5"/>
  <c r="AJ233" i="5"/>
  <c r="AI233" i="5"/>
  <c r="AH233" i="5"/>
  <c r="AG233" i="5"/>
  <c r="AF233" i="5"/>
  <c r="AE233" i="5"/>
  <c r="AD233" i="5"/>
  <c r="AC233" i="5"/>
  <c r="AB233" i="5"/>
  <c r="AA233" i="5"/>
  <c r="Z233" i="5"/>
  <c r="Y233" i="5"/>
  <c r="X233" i="5"/>
  <c r="W233" i="5"/>
  <c r="V233" i="5"/>
  <c r="U233" i="5"/>
  <c r="T233" i="5"/>
  <c r="S233" i="5"/>
  <c r="R233" i="5"/>
  <c r="Q233" i="5"/>
  <c r="P233" i="5"/>
  <c r="O233" i="5"/>
  <c r="N233" i="5"/>
  <c r="M233" i="5"/>
  <c r="L233" i="5"/>
  <c r="K233" i="5"/>
  <c r="J233" i="5"/>
  <c r="I233" i="5"/>
  <c r="H233" i="5"/>
  <c r="G233" i="5"/>
  <c r="F233" i="5"/>
  <c r="E233" i="5"/>
  <c r="D233" i="5"/>
  <c r="C233" i="5"/>
  <c r="B233" i="5"/>
  <c r="BI232" i="5"/>
  <c r="BH232" i="5"/>
  <c r="BG232" i="5"/>
  <c r="BF232" i="5"/>
  <c r="BE232" i="5"/>
  <c r="BD232" i="5"/>
  <c r="BC232" i="5"/>
  <c r="BB232" i="5"/>
  <c r="BA232" i="5"/>
  <c r="AZ232" i="5"/>
  <c r="AY232" i="5"/>
  <c r="AX232" i="5"/>
  <c r="AW232" i="5"/>
  <c r="AV232" i="5"/>
  <c r="AU232" i="5"/>
  <c r="AT232" i="5"/>
  <c r="AS232" i="5"/>
  <c r="AR232" i="5"/>
  <c r="AQ232" i="5"/>
  <c r="AP232" i="5"/>
  <c r="AO232" i="5"/>
  <c r="AN232" i="5"/>
  <c r="AM232" i="5"/>
  <c r="AL232" i="5"/>
  <c r="AK232" i="5"/>
  <c r="AJ232" i="5"/>
  <c r="AI232" i="5"/>
  <c r="AH232" i="5"/>
  <c r="AG232" i="5"/>
  <c r="AF232" i="5"/>
  <c r="AE232" i="5"/>
  <c r="AD232" i="5"/>
  <c r="AC232" i="5"/>
  <c r="AB232" i="5"/>
  <c r="AA232" i="5"/>
  <c r="Z232" i="5"/>
  <c r="Y232" i="5"/>
  <c r="X232" i="5"/>
  <c r="W232" i="5"/>
  <c r="V232" i="5"/>
  <c r="U232" i="5"/>
  <c r="T232" i="5"/>
  <c r="S232" i="5"/>
  <c r="R232" i="5"/>
  <c r="Q232" i="5"/>
  <c r="P232" i="5"/>
  <c r="O232" i="5"/>
  <c r="N232" i="5"/>
  <c r="M232" i="5"/>
  <c r="L232" i="5"/>
  <c r="K232" i="5"/>
  <c r="J232" i="5"/>
  <c r="I232" i="5"/>
  <c r="H232" i="5"/>
  <c r="G232" i="5"/>
  <c r="F232" i="5"/>
  <c r="E232" i="5"/>
  <c r="D232" i="5"/>
  <c r="C232" i="5"/>
  <c r="B232" i="5"/>
  <c r="BI231" i="5"/>
  <c r="BH231" i="5"/>
  <c r="BG231" i="5"/>
  <c r="BF231" i="5"/>
  <c r="BE231" i="5"/>
  <c r="BD231" i="5"/>
  <c r="BC231" i="5"/>
  <c r="BB231" i="5"/>
  <c r="BA231" i="5"/>
  <c r="AZ231" i="5"/>
  <c r="AY231" i="5"/>
  <c r="AX231" i="5"/>
  <c r="AW231" i="5"/>
  <c r="AV231" i="5"/>
  <c r="AU231" i="5"/>
  <c r="AT231" i="5"/>
  <c r="AS231" i="5"/>
  <c r="AR231" i="5"/>
  <c r="AQ231" i="5"/>
  <c r="AP231" i="5"/>
  <c r="AO231" i="5"/>
  <c r="AN231" i="5"/>
  <c r="AM231" i="5"/>
  <c r="AL231" i="5"/>
  <c r="AK231" i="5"/>
  <c r="AJ231" i="5"/>
  <c r="AI231" i="5"/>
  <c r="AH231" i="5"/>
  <c r="AG231" i="5"/>
  <c r="AF231" i="5"/>
  <c r="AE231" i="5"/>
  <c r="AD231" i="5"/>
  <c r="AC231" i="5"/>
  <c r="AB231" i="5"/>
  <c r="AA231" i="5"/>
  <c r="Z231" i="5"/>
  <c r="Y231" i="5"/>
  <c r="X231" i="5"/>
  <c r="W231" i="5"/>
  <c r="V231" i="5"/>
  <c r="U231" i="5"/>
  <c r="T231" i="5"/>
  <c r="S231" i="5"/>
  <c r="R231" i="5"/>
  <c r="Q231" i="5"/>
  <c r="P231" i="5"/>
  <c r="O231" i="5"/>
  <c r="N231" i="5"/>
  <c r="M231" i="5"/>
  <c r="L231" i="5"/>
  <c r="K231" i="5"/>
  <c r="J231" i="5"/>
  <c r="I231" i="5"/>
  <c r="H231" i="5"/>
  <c r="G231" i="5"/>
  <c r="F231" i="5"/>
  <c r="E231" i="5"/>
  <c r="D231" i="5"/>
  <c r="C231" i="5"/>
  <c r="B231" i="5"/>
  <c r="BI230" i="5"/>
  <c r="BH230" i="5"/>
  <c r="BG230" i="5"/>
  <c r="BF230" i="5"/>
  <c r="BE230" i="5"/>
  <c r="BD230" i="5"/>
  <c r="BC230" i="5"/>
  <c r="BB230" i="5"/>
  <c r="BA230" i="5"/>
  <c r="AZ230" i="5"/>
  <c r="AY230" i="5"/>
  <c r="AX230" i="5"/>
  <c r="AW230" i="5"/>
  <c r="AV230" i="5"/>
  <c r="AU230" i="5"/>
  <c r="AT230" i="5"/>
  <c r="AS230" i="5"/>
  <c r="AR230" i="5"/>
  <c r="AQ230" i="5"/>
  <c r="AP230" i="5"/>
  <c r="AO230" i="5"/>
  <c r="AN230" i="5"/>
  <c r="AM230" i="5"/>
  <c r="AL230" i="5"/>
  <c r="AK230" i="5"/>
  <c r="AJ230" i="5"/>
  <c r="AI230" i="5"/>
  <c r="AH230" i="5"/>
  <c r="AG230" i="5"/>
  <c r="AF230" i="5"/>
  <c r="AE230" i="5"/>
  <c r="AD230" i="5"/>
  <c r="AC230" i="5"/>
  <c r="AB230" i="5"/>
  <c r="AA230" i="5"/>
  <c r="Z230" i="5"/>
  <c r="Y230" i="5"/>
  <c r="X230" i="5"/>
  <c r="W230" i="5"/>
  <c r="V230" i="5"/>
  <c r="U230" i="5"/>
  <c r="T230" i="5"/>
  <c r="S230" i="5"/>
  <c r="R230" i="5"/>
  <c r="Q230" i="5"/>
  <c r="P230" i="5"/>
  <c r="O230" i="5"/>
  <c r="N230" i="5"/>
  <c r="M230" i="5"/>
  <c r="L230" i="5"/>
  <c r="K230" i="5"/>
  <c r="J230" i="5"/>
  <c r="I230" i="5"/>
  <c r="H230" i="5"/>
  <c r="G230" i="5"/>
  <c r="F230" i="5"/>
  <c r="E230" i="5"/>
  <c r="D230" i="5"/>
  <c r="C230" i="5"/>
  <c r="B230" i="5"/>
  <c r="BI229" i="5"/>
  <c r="BH229" i="5"/>
  <c r="BG229" i="5"/>
  <c r="BF229" i="5"/>
  <c r="BE229" i="5"/>
  <c r="BD229" i="5"/>
  <c r="BC229" i="5"/>
  <c r="BB229" i="5"/>
  <c r="BA229" i="5"/>
  <c r="AZ229" i="5"/>
  <c r="AY229" i="5"/>
  <c r="AX229" i="5"/>
  <c r="AW229" i="5"/>
  <c r="AV229" i="5"/>
  <c r="AU229" i="5"/>
  <c r="AT229" i="5"/>
  <c r="AS229" i="5"/>
  <c r="AR229" i="5"/>
  <c r="AQ229" i="5"/>
  <c r="AP229" i="5"/>
  <c r="AO229" i="5"/>
  <c r="AN229" i="5"/>
  <c r="AM229" i="5"/>
  <c r="AL229" i="5"/>
  <c r="AK229" i="5"/>
  <c r="AJ229" i="5"/>
  <c r="AI229" i="5"/>
  <c r="AH229" i="5"/>
  <c r="AG229" i="5"/>
  <c r="AF229" i="5"/>
  <c r="AE229" i="5"/>
  <c r="AD229" i="5"/>
  <c r="AC229" i="5"/>
  <c r="AB229" i="5"/>
  <c r="AA229" i="5"/>
  <c r="Z229" i="5"/>
  <c r="Y229" i="5"/>
  <c r="X229" i="5"/>
  <c r="W229" i="5"/>
  <c r="V229" i="5"/>
  <c r="U229" i="5"/>
  <c r="T229" i="5"/>
  <c r="S229" i="5"/>
  <c r="R229" i="5"/>
  <c r="Q229" i="5"/>
  <c r="P229" i="5"/>
  <c r="O229" i="5"/>
  <c r="N229" i="5"/>
  <c r="M229" i="5"/>
  <c r="L229" i="5"/>
  <c r="K229" i="5"/>
  <c r="J229" i="5"/>
  <c r="I229" i="5"/>
  <c r="H229" i="5"/>
  <c r="G229" i="5"/>
  <c r="F229" i="5"/>
  <c r="E229" i="5"/>
  <c r="D229" i="5"/>
  <c r="C229" i="5"/>
  <c r="B229" i="5"/>
  <c r="BI228" i="5"/>
  <c r="BH228" i="5"/>
  <c r="BG228" i="5"/>
  <c r="BF228" i="5"/>
  <c r="BE228" i="5"/>
  <c r="BD228" i="5"/>
  <c r="BC228" i="5"/>
  <c r="BB228" i="5"/>
  <c r="BA228" i="5"/>
  <c r="AZ228" i="5"/>
  <c r="AY228" i="5"/>
  <c r="AX228" i="5"/>
  <c r="AW228" i="5"/>
  <c r="AV228" i="5"/>
  <c r="AU228" i="5"/>
  <c r="AT228" i="5"/>
  <c r="AS228" i="5"/>
  <c r="AR228" i="5"/>
  <c r="AQ228" i="5"/>
  <c r="AP228" i="5"/>
  <c r="AO228" i="5"/>
  <c r="AN228" i="5"/>
  <c r="AM228" i="5"/>
  <c r="AL228" i="5"/>
  <c r="AK228" i="5"/>
  <c r="AJ228" i="5"/>
  <c r="AI228" i="5"/>
  <c r="AH228" i="5"/>
  <c r="AG228" i="5"/>
  <c r="AF228" i="5"/>
  <c r="AE228" i="5"/>
  <c r="AD228" i="5"/>
  <c r="AC228" i="5"/>
  <c r="AB228" i="5"/>
  <c r="AA228" i="5"/>
  <c r="Z228" i="5"/>
  <c r="Y228" i="5"/>
  <c r="X228" i="5"/>
  <c r="W228" i="5"/>
  <c r="V228" i="5"/>
  <c r="U228" i="5"/>
  <c r="T228" i="5"/>
  <c r="S228" i="5"/>
  <c r="R228" i="5"/>
  <c r="Q228" i="5"/>
  <c r="P228" i="5"/>
  <c r="O228" i="5"/>
  <c r="N228" i="5"/>
  <c r="M228" i="5"/>
  <c r="L228" i="5"/>
  <c r="K228" i="5"/>
  <c r="J228" i="5"/>
  <c r="I228" i="5"/>
  <c r="H228" i="5"/>
  <c r="G228" i="5"/>
  <c r="F228" i="5"/>
  <c r="E228" i="5"/>
  <c r="D228" i="5"/>
  <c r="C228" i="5"/>
  <c r="B228" i="5"/>
  <c r="BI227" i="5"/>
  <c r="BH227" i="5"/>
  <c r="BG227" i="5"/>
  <c r="BF227" i="5"/>
  <c r="BE227" i="5"/>
  <c r="BD227" i="5"/>
  <c r="BC227" i="5"/>
  <c r="BB227" i="5"/>
  <c r="BA227" i="5"/>
  <c r="AZ227" i="5"/>
  <c r="AY227" i="5"/>
  <c r="AX227" i="5"/>
  <c r="AW227" i="5"/>
  <c r="AV227" i="5"/>
  <c r="AU227" i="5"/>
  <c r="AT227" i="5"/>
  <c r="AS227" i="5"/>
  <c r="AR227" i="5"/>
  <c r="AQ227" i="5"/>
  <c r="AP227" i="5"/>
  <c r="AO227" i="5"/>
  <c r="AN227" i="5"/>
  <c r="AM227" i="5"/>
  <c r="AL227" i="5"/>
  <c r="AK227" i="5"/>
  <c r="AJ227" i="5"/>
  <c r="AI227" i="5"/>
  <c r="AH227" i="5"/>
  <c r="AG227" i="5"/>
  <c r="AF227" i="5"/>
  <c r="AE227" i="5"/>
  <c r="AD227" i="5"/>
  <c r="AC227" i="5"/>
  <c r="AB227" i="5"/>
  <c r="AA227" i="5"/>
  <c r="Z227" i="5"/>
  <c r="Y227" i="5"/>
  <c r="X227" i="5"/>
  <c r="W227" i="5"/>
  <c r="V227" i="5"/>
  <c r="U227" i="5"/>
  <c r="T227" i="5"/>
  <c r="S227" i="5"/>
  <c r="R227" i="5"/>
  <c r="Q227" i="5"/>
  <c r="P227" i="5"/>
  <c r="O227" i="5"/>
  <c r="N227" i="5"/>
  <c r="M227" i="5"/>
  <c r="L227" i="5"/>
  <c r="K227" i="5"/>
  <c r="J227" i="5"/>
  <c r="I227" i="5"/>
  <c r="H227" i="5"/>
  <c r="G227" i="5"/>
  <c r="F227" i="5"/>
  <c r="E227" i="5"/>
  <c r="D227" i="5"/>
  <c r="C227" i="5"/>
  <c r="B227" i="5"/>
  <c r="BI226" i="5"/>
  <c r="BH226" i="5"/>
  <c r="BG226" i="5"/>
  <c r="BF226" i="5"/>
  <c r="BE226" i="5"/>
  <c r="BD226" i="5"/>
  <c r="BC226" i="5"/>
  <c r="BB226" i="5"/>
  <c r="BA226" i="5"/>
  <c r="AZ226" i="5"/>
  <c r="AY226" i="5"/>
  <c r="AX226" i="5"/>
  <c r="AW226" i="5"/>
  <c r="AV226" i="5"/>
  <c r="AU226" i="5"/>
  <c r="AT226" i="5"/>
  <c r="AS226" i="5"/>
  <c r="AR226" i="5"/>
  <c r="AQ226" i="5"/>
  <c r="AP226" i="5"/>
  <c r="AO226" i="5"/>
  <c r="AN226" i="5"/>
  <c r="AM226" i="5"/>
  <c r="AL226" i="5"/>
  <c r="AK226" i="5"/>
  <c r="AJ226" i="5"/>
  <c r="AI226" i="5"/>
  <c r="AH226" i="5"/>
  <c r="AG226" i="5"/>
  <c r="AF226" i="5"/>
  <c r="AE226" i="5"/>
  <c r="AD226" i="5"/>
  <c r="AC226" i="5"/>
  <c r="AB226" i="5"/>
  <c r="AA226" i="5"/>
  <c r="Z226" i="5"/>
  <c r="Y226" i="5"/>
  <c r="X226" i="5"/>
  <c r="W226" i="5"/>
  <c r="V226" i="5"/>
  <c r="U226" i="5"/>
  <c r="T226" i="5"/>
  <c r="S226" i="5"/>
  <c r="R226" i="5"/>
  <c r="Q226" i="5"/>
  <c r="P226" i="5"/>
  <c r="O226" i="5"/>
  <c r="N226" i="5"/>
  <c r="M226" i="5"/>
  <c r="L226" i="5"/>
  <c r="K226" i="5"/>
  <c r="J226" i="5"/>
  <c r="I226" i="5"/>
  <c r="H226" i="5"/>
  <c r="G226" i="5"/>
  <c r="F226" i="5"/>
  <c r="E226" i="5"/>
  <c r="D226" i="5"/>
  <c r="C226" i="5"/>
  <c r="B226" i="5"/>
  <c r="BI225" i="5"/>
  <c r="BH225" i="5"/>
  <c r="BG225" i="5"/>
  <c r="BF225" i="5"/>
  <c r="BE225" i="5"/>
  <c r="BD225" i="5"/>
  <c r="BC225" i="5"/>
  <c r="BB225" i="5"/>
  <c r="BA225" i="5"/>
  <c r="AZ225" i="5"/>
  <c r="AY225" i="5"/>
  <c r="AX225" i="5"/>
  <c r="AW225" i="5"/>
  <c r="AV225" i="5"/>
  <c r="AU225" i="5"/>
  <c r="AT225" i="5"/>
  <c r="AS225" i="5"/>
  <c r="AR225" i="5"/>
  <c r="AQ225" i="5"/>
  <c r="AP225" i="5"/>
  <c r="AO225" i="5"/>
  <c r="AN225" i="5"/>
  <c r="AM225" i="5"/>
  <c r="AL225" i="5"/>
  <c r="AK225" i="5"/>
  <c r="AJ225" i="5"/>
  <c r="AI225" i="5"/>
  <c r="AH225" i="5"/>
  <c r="AG225" i="5"/>
  <c r="AF225" i="5"/>
  <c r="AE225" i="5"/>
  <c r="AD225" i="5"/>
  <c r="AC225" i="5"/>
  <c r="AB225" i="5"/>
  <c r="AA225" i="5"/>
  <c r="Z225" i="5"/>
  <c r="Y225" i="5"/>
  <c r="X225" i="5"/>
  <c r="W225" i="5"/>
  <c r="V225" i="5"/>
  <c r="U225" i="5"/>
  <c r="T225" i="5"/>
  <c r="S225" i="5"/>
  <c r="R225" i="5"/>
  <c r="Q225" i="5"/>
  <c r="P225" i="5"/>
  <c r="O225" i="5"/>
  <c r="N225" i="5"/>
  <c r="M225" i="5"/>
  <c r="L225" i="5"/>
  <c r="K225" i="5"/>
  <c r="J225" i="5"/>
  <c r="I225" i="5"/>
  <c r="H225" i="5"/>
  <c r="G225" i="5"/>
  <c r="F225" i="5"/>
  <c r="E225" i="5"/>
  <c r="D225" i="5"/>
  <c r="C225" i="5"/>
  <c r="B225" i="5"/>
  <c r="BI224" i="5"/>
  <c r="BH224" i="5"/>
  <c r="BG224" i="5"/>
  <c r="BF224" i="5"/>
  <c r="BE224" i="5"/>
  <c r="BD224" i="5"/>
  <c r="BC224" i="5"/>
  <c r="BB224" i="5"/>
  <c r="BA224" i="5"/>
  <c r="AZ224" i="5"/>
  <c r="AY224" i="5"/>
  <c r="AX224" i="5"/>
  <c r="AW224" i="5"/>
  <c r="AV224" i="5"/>
  <c r="AU224" i="5"/>
  <c r="AT224" i="5"/>
  <c r="AS224" i="5"/>
  <c r="AR224" i="5"/>
  <c r="AQ224" i="5"/>
  <c r="AP224" i="5"/>
  <c r="AO224" i="5"/>
  <c r="AN224" i="5"/>
  <c r="AM224" i="5"/>
  <c r="AL224" i="5"/>
  <c r="AK224" i="5"/>
  <c r="AJ224" i="5"/>
  <c r="AI224" i="5"/>
  <c r="AH224" i="5"/>
  <c r="AG224" i="5"/>
  <c r="AF224" i="5"/>
  <c r="AE224" i="5"/>
  <c r="AD224" i="5"/>
  <c r="AC224" i="5"/>
  <c r="AB224" i="5"/>
  <c r="AA224" i="5"/>
  <c r="Z224" i="5"/>
  <c r="Y224" i="5"/>
  <c r="X224" i="5"/>
  <c r="W224" i="5"/>
  <c r="V224" i="5"/>
  <c r="U224" i="5"/>
  <c r="T224" i="5"/>
  <c r="S224" i="5"/>
  <c r="R224" i="5"/>
  <c r="Q224" i="5"/>
  <c r="P224" i="5"/>
  <c r="O224" i="5"/>
  <c r="N224" i="5"/>
  <c r="M224" i="5"/>
  <c r="L224" i="5"/>
  <c r="K224" i="5"/>
  <c r="J224" i="5"/>
  <c r="I224" i="5"/>
  <c r="H224" i="5"/>
  <c r="G224" i="5"/>
  <c r="F224" i="5"/>
  <c r="E224" i="5"/>
  <c r="D224" i="5"/>
  <c r="C224" i="5"/>
  <c r="B224" i="5"/>
  <c r="BI223" i="5"/>
  <c r="BH223" i="5"/>
  <c r="BG223" i="5"/>
  <c r="BF223" i="5"/>
  <c r="BE223" i="5"/>
  <c r="BD223" i="5"/>
  <c r="BC223" i="5"/>
  <c r="BB223" i="5"/>
  <c r="BA223" i="5"/>
  <c r="AZ223" i="5"/>
  <c r="AY223" i="5"/>
  <c r="AX223" i="5"/>
  <c r="AW223" i="5"/>
  <c r="AV223" i="5"/>
  <c r="AU223" i="5"/>
  <c r="AT223" i="5"/>
  <c r="AS223" i="5"/>
  <c r="AR223" i="5"/>
  <c r="AQ223" i="5"/>
  <c r="AP223" i="5"/>
  <c r="AO223" i="5"/>
  <c r="AN223" i="5"/>
  <c r="AM223" i="5"/>
  <c r="AL223" i="5"/>
  <c r="AK223" i="5"/>
  <c r="AJ223" i="5"/>
  <c r="AI223" i="5"/>
  <c r="AH223" i="5"/>
  <c r="AG223" i="5"/>
  <c r="AF223" i="5"/>
  <c r="AE223" i="5"/>
  <c r="AD223" i="5"/>
  <c r="AC223" i="5"/>
  <c r="AB223" i="5"/>
  <c r="AA223" i="5"/>
  <c r="Z223" i="5"/>
  <c r="Y223" i="5"/>
  <c r="X223" i="5"/>
  <c r="W223" i="5"/>
  <c r="V223" i="5"/>
  <c r="U223" i="5"/>
  <c r="T223" i="5"/>
  <c r="S223" i="5"/>
  <c r="R223" i="5"/>
  <c r="Q223" i="5"/>
  <c r="P223" i="5"/>
  <c r="O223" i="5"/>
  <c r="N223" i="5"/>
  <c r="M223" i="5"/>
  <c r="L223" i="5"/>
  <c r="K223" i="5"/>
  <c r="J223" i="5"/>
  <c r="I223" i="5"/>
  <c r="H223" i="5"/>
  <c r="G223" i="5"/>
  <c r="F223" i="5"/>
  <c r="E223" i="5"/>
  <c r="D223" i="5"/>
  <c r="C223" i="5"/>
  <c r="B223" i="5"/>
  <c r="BI222" i="5"/>
  <c r="BH222" i="5"/>
  <c r="BG222" i="5"/>
  <c r="BF222" i="5"/>
  <c r="BE222" i="5"/>
  <c r="BD222" i="5"/>
  <c r="BC222" i="5"/>
  <c r="BB222" i="5"/>
  <c r="BA222" i="5"/>
  <c r="AZ222" i="5"/>
  <c r="AY222" i="5"/>
  <c r="AX222" i="5"/>
  <c r="AW222" i="5"/>
  <c r="AV222" i="5"/>
  <c r="AU222" i="5"/>
  <c r="AT222" i="5"/>
  <c r="AS222" i="5"/>
  <c r="AR222" i="5"/>
  <c r="AQ222" i="5"/>
  <c r="AP222" i="5"/>
  <c r="AO222" i="5"/>
  <c r="AN222" i="5"/>
  <c r="AM222" i="5"/>
  <c r="AL222" i="5"/>
  <c r="AK222" i="5"/>
  <c r="AJ222" i="5"/>
  <c r="AI222" i="5"/>
  <c r="AH222" i="5"/>
  <c r="AG222" i="5"/>
  <c r="AF222" i="5"/>
  <c r="AE222" i="5"/>
  <c r="AD222" i="5"/>
  <c r="AC222" i="5"/>
  <c r="AB222" i="5"/>
  <c r="AA222" i="5"/>
  <c r="Z222" i="5"/>
  <c r="Y222" i="5"/>
  <c r="X222" i="5"/>
  <c r="W222" i="5"/>
  <c r="V222" i="5"/>
  <c r="U222" i="5"/>
  <c r="T222" i="5"/>
  <c r="S222" i="5"/>
  <c r="R222" i="5"/>
  <c r="Q222" i="5"/>
  <c r="P222" i="5"/>
  <c r="O222" i="5"/>
  <c r="N222" i="5"/>
  <c r="M222" i="5"/>
  <c r="L222" i="5"/>
  <c r="K222" i="5"/>
  <c r="J222" i="5"/>
  <c r="I222" i="5"/>
  <c r="H222" i="5"/>
  <c r="G222" i="5"/>
  <c r="F222" i="5"/>
  <c r="E222" i="5"/>
  <c r="D222" i="5"/>
  <c r="C222" i="5"/>
  <c r="B222" i="5"/>
  <c r="BI221" i="5"/>
  <c r="BH221" i="5"/>
  <c r="BG221" i="5"/>
  <c r="BF221" i="5"/>
  <c r="BE221" i="5"/>
  <c r="BD221" i="5"/>
  <c r="BC221" i="5"/>
  <c r="BB221" i="5"/>
  <c r="BA221" i="5"/>
  <c r="AZ221" i="5"/>
  <c r="AY221" i="5"/>
  <c r="AX221" i="5"/>
  <c r="AW221" i="5"/>
  <c r="AV221" i="5"/>
  <c r="AU221" i="5"/>
  <c r="AT221" i="5"/>
  <c r="AS221" i="5"/>
  <c r="AR221" i="5"/>
  <c r="AQ221" i="5"/>
  <c r="AP221" i="5"/>
  <c r="AO221" i="5"/>
  <c r="AN221" i="5"/>
  <c r="AM221" i="5"/>
  <c r="AL221" i="5"/>
  <c r="AK221" i="5"/>
  <c r="AJ221" i="5"/>
  <c r="AI221" i="5"/>
  <c r="AH221" i="5"/>
  <c r="AG221" i="5"/>
  <c r="AF221" i="5"/>
  <c r="AE221" i="5"/>
  <c r="AD221" i="5"/>
  <c r="AC221" i="5"/>
  <c r="AB221" i="5"/>
  <c r="AA221" i="5"/>
  <c r="Z221" i="5"/>
  <c r="Y221" i="5"/>
  <c r="X221" i="5"/>
  <c r="W221" i="5"/>
  <c r="V221" i="5"/>
  <c r="U221" i="5"/>
  <c r="T221" i="5"/>
  <c r="S221" i="5"/>
  <c r="R221" i="5"/>
  <c r="Q221" i="5"/>
  <c r="P221" i="5"/>
  <c r="O221" i="5"/>
  <c r="N221" i="5"/>
  <c r="M221" i="5"/>
  <c r="L221" i="5"/>
  <c r="K221" i="5"/>
  <c r="J221" i="5"/>
  <c r="I221" i="5"/>
  <c r="H221" i="5"/>
  <c r="G221" i="5"/>
  <c r="F221" i="5"/>
  <c r="E221" i="5"/>
  <c r="D221" i="5"/>
  <c r="C221" i="5"/>
  <c r="B221" i="5"/>
  <c r="BI220" i="5"/>
  <c r="BH220" i="5"/>
  <c r="BG220" i="5"/>
  <c r="BF220" i="5"/>
  <c r="BE220" i="5"/>
  <c r="BD220" i="5"/>
  <c r="BC220" i="5"/>
  <c r="BB220" i="5"/>
  <c r="BA220" i="5"/>
  <c r="AZ220" i="5"/>
  <c r="AY220" i="5"/>
  <c r="AX220" i="5"/>
  <c r="AW220" i="5"/>
  <c r="AV220" i="5"/>
  <c r="AU220" i="5"/>
  <c r="AT220" i="5"/>
  <c r="AS220" i="5"/>
  <c r="AR220" i="5"/>
  <c r="AQ220" i="5"/>
  <c r="AP220" i="5"/>
  <c r="AO220" i="5"/>
  <c r="AN220" i="5"/>
  <c r="AM220" i="5"/>
  <c r="AL220" i="5"/>
  <c r="AK220" i="5"/>
  <c r="AJ220" i="5"/>
  <c r="AI220" i="5"/>
  <c r="AH220" i="5"/>
  <c r="AG220" i="5"/>
  <c r="AF220" i="5"/>
  <c r="AE220" i="5"/>
  <c r="AD220" i="5"/>
  <c r="AC220" i="5"/>
  <c r="AB220" i="5"/>
  <c r="AA220" i="5"/>
  <c r="Z220" i="5"/>
  <c r="Y220" i="5"/>
  <c r="X220" i="5"/>
  <c r="W220" i="5"/>
  <c r="V220" i="5"/>
  <c r="U220" i="5"/>
  <c r="T220" i="5"/>
  <c r="S220" i="5"/>
  <c r="R220" i="5"/>
  <c r="Q220" i="5"/>
  <c r="P220" i="5"/>
  <c r="O220" i="5"/>
  <c r="N220" i="5"/>
  <c r="M220" i="5"/>
  <c r="L220" i="5"/>
  <c r="K220" i="5"/>
  <c r="J220" i="5"/>
  <c r="I220" i="5"/>
  <c r="H220" i="5"/>
  <c r="G220" i="5"/>
  <c r="F220" i="5"/>
  <c r="E220" i="5"/>
  <c r="D220" i="5"/>
  <c r="C220" i="5"/>
  <c r="B220" i="5"/>
  <c r="BI219" i="5"/>
  <c r="BH219" i="5"/>
  <c r="BG219" i="5"/>
  <c r="BF219" i="5"/>
  <c r="BE219" i="5"/>
  <c r="BD219" i="5"/>
  <c r="BC219" i="5"/>
  <c r="BB219" i="5"/>
  <c r="BA219" i="5"/>
  <c r="AZ219" i="5"/>
  <c r="AY219" i="5"/>
  <c r="AX219" i="5"/>
  <c r="AW219" i="5"/>
  <c r="AV219" i="5"/>
  <c r="AU219" i="5"/>
  <c r="AT219" i="5"/>
  <c r="AS219" i="5"/>
  <c r="AR219" i="5"/>
  <c r="AQ219" i="5"/>
  <c r="AP219" i="5"/>
  <c r="AO219" i="5"/>
  <c r="AN219" i="5"/>
  <c r="AM219" i="5"/>
  <c r="AL219" i="5"/>
  <c r="AK219" i="5"/>
  <c r="AJ219" i="5"/>
  <c r="AI219" i="5"/>
  <c r="AH219" i="5"/>
  <c r="AG219" i="5"/>
  <c r="AF219" i="5"/>
  <c r="AE219" i="5"/>
  <c r="AD219" i="5"/>
  <c r="AC219" i="5"/>
  <c r="AB219" i="5"/>
  <c r="AA219" i="5"/>
  <c r="Z219" i="5"/>
  <c r="Y219" i="5"/>
  <c r="X219" i="5"/>
  <c r="W219" i="5"/>
  <c r="V219" i="5"/>
  <c r="U219" i="5"/>
  <c r="T219" i="5"/>
  <c r="S219" i="5"/>
  <c r="R219" i="5"/>
  <c r="Q219" i="5"/>
  <c r="P219" i="5"/>
  <c r="O219" i="5"/>
  <c r="N219" i="5"/>
  <c r="M219" i="5"/>
  <c r="L219" i="5"/>
  <c r="K219" i="5"/>
  <c r="J219" i="5"/>
  <c r="I219" i="5"/>
  <c r="H219" i="5"/>
  <c r="G219" i="5"/>
  <c r="F219" i="5"/>
  <c r="E219" i="5"/>
  <c r="D219" i="5"/>
  <c r="C219" i="5"/>
  <c r="B219" i="5"/>
  <c r="BI218" i="5"/>
  <c r="BH218" i="5"/>
  <c r="BG218" i="5"/>
  <c r="BF218" i="5"/>
  <c r="BE218" i="5"/>
  <c r="BD218" i="5"/>
  <c r="BC218" i="5"/>
  <c r="BB218" i="5"/>
  <c r="BA218" i="5"/>
  <c r="AZ218" i="5"/>
  <c r="AY218" i="5"/>
  <c r="AX218" i="5"/>
  <c r="AW218" i="5"/>
  <c r="AV218" i="5"/>
  <c r="AU218" i="5"/>
  <c r="AT218" i="5"/>
  <c r="AS218" i="5"/>
  <c r="AR218" i="5"/>
  <c r="AQ218" i="5"/>
  <c r="AP218" i="5"/>
  <c r="AO218" i="5"/>
  <c r="AN218" i="5"/>
  <c r="AM218" i="5"/>
  <c r="AL218" i="5"/>
  <c r="AK218" i="5"/>
  <c r="AJ218" i="5"/>
  <c r="AI218" i="5"/>
  <c r="AH218" i="5"/>
  <c r="AG218" i="5"/>
  <c r="AF218" i="5"/>
  <c r="AE218" i="5"/>
  <c r="AD218" i="5"/>
  <c r="AC218" i="5"/>
  <c r="AB218" i="5"/>
  <c r="AA218" i="5"/>
  <c r="Z218" i="5"/>
  <c r="Y218" i="5"/>
  <c r="X218" i="5"/>
  <c r="W218" i="5"/>
  <c r="V218" i="5"/>
  <c r="U218" i="5"/>
  <c r="T218" i="5"/>
  <c r="S218" i="5"/>
  <c r="R218" i="5"/>
  <c r="Q218" i="5"/>
  <c r="P218" i="5"/>
  <c r="O218" i="5"/>
  <c r="N218" i="5"/>
  <c r="M218" i="5"/>
  <c r="L218" i="5"/>
  <c r="K218" i="5"/>
  <c r="J218" i="5"/>
  <c r="I218" i="5"/>
  <c r="H218" i="5"/>
  <c r="G218" i="5"/>
  <c r="F218" i="5"/>
  <c r="E218" i="5"/>
  <c r="D218" i="5"/>
  <c r="C218" i="5"/>
  <c r="B218" i="5"/>
  <c r="BI217" i="5"/>
  <c r="BH217" i="5"/>
  <c r="BG217" i="5"/>
  <c r="BF217" i="5"/>
  <c r="BE217" i="5"/>
  <c r="BD217" i="5"/>
  <c r="BC217" i="5"/>
  <c r="BB217" i="5"/>
  <c r="BA217" i="5"/>
  <c r="AZ217" i="5"/>
  <c r="AY217" i="5"/>
  <c r="AX217" i="5"/>
  <c r="AW217" i="5"/>
  <c r="AV217" i="5"/>
  <c r="AU217" i="5"/>
  <c r="AT217" i="5"/>
  <c r="AS217" i="5"/>
  <c r="AR217" i="5"/>
  <c r="AQ217" i="5"/>
  <c r="AP217" i="5"/>
  <c r="AO217" i="5"/>
  <c r="AN217" i="5"/>
  <c r="AM217" i="5"/>
  <c r="AL217" i="5"/>
  <c r="AK217" i="5"/>
  <c r="AJ217" i="5"/>
  <c r="AI217" i="5"/>
  <c r="AH217" i="5"/>
  <c r="AG217" i="5"/>
  <c r="AF217" i="5"/>
  <c r="AE217" i="5"/>
  <c r="AD217" i="5"/>
  <c r="AC217" i="5"/>
  <c r="AB217" i="5"/>
  <c r="AA217" i="5"/>
  <c r="Z217" i="5"/>
  <c r="Y217" i="5"/>
  <c r="X217" i="5"/>
  <c r="W217" i="5"/>
  <c r="V217" i="5"/>
  <c r="U217" i="5"/>
  <c r="T217" i="5"/>
  <c r="S217" i="5"/>
  <c r="R217" i="5"/>
  <c r="Q217" i="5"/>
  <c r="P217" i="5"/>
  <c r="O217" i="5"/>
  <c r="N217" i="5"/>
  <c r="M217" i="5"/>
  <c r="L217" i="5"/>
  <c r="K217" i="5"/>
  <c r="J217" i="5"/>
  <c r="I217" i="5"/>
  <c r="H217" i="5"/>
  <c r="G217" i="5"/>
  <c r="F217" i="5"/>
  <c r="E217" i="5"/>
  <c r="D217" i="5"/>
  <c r="C217" i="5"/>
  <c r="B217" i="5"/>
  <c r="BI216" i="5"/>
  <c r="BH216" i="5"/>
  <c r="BG216" i="5"/>
  <c r="BF216" i="5"/>
  <c r="BE216" i="5"/>
  <c r="BD216" i="5"/>
  <c r="BC216" i="5"/>
  <c r="BB216" i="5"/>
  <c r="BA216" i="5"/>
  <c r="AZ216" i="5"/>
  <c r="AY216" i="5"/>
  <c r="AX216" i="5"/>
  <c r="AW216" i="5"/>
  <c r="AV216" i="5"/>
  <c r="AU216" i="5"/>
  <c r="AT216" i="5"/>
  <c r="AS216" i="5"/>
  <c r="AR216" i="5"/>
  <c r="AQ216" i="5"/>
  <c r="AP216" i="5"/>
  <c r="AO216" i="5"/>
  <c r="AN216" i="5"/>
  <c r="AM216" i="5"/>
  <c r="AL216" i="5"/>
  <c r="AK216" i="5"/>
  <c r="AJ216" i="5"/>
  <c r="AI216" i="5"/>
  <c r="AH216" i="5"/>
  <c r="AG216" i="5"/>
  <c r="AF216" i="5"/>
  <c r="AE216" i="5"/>
  <c r="AD216" i="5"/>
  <c r="AC216" i="5"/>
  <c r="AB216" i="5"/>
  <c r="AA216" i="5"/>
  <c r="Z216" i="5"/>
  <c r="Y216" i="5"/>
  <c r="X216" i="5"/>
  <c r="W216" i="5"/>
  <c r="V216" i="5"/>
  <c r="U216" i="5"/>
  <c r="T216" i="5"/>
  <c r="S216" i="5"/>
  <c r="R216" i="5"/>
  <c r="Q216" i="5"/>
  <c r="P216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C216" i="5"/>
  <c r="B216" i="5"/>
  <c r="BI215" i="5"/>
  <c r="BH215" i="5"/>
  <c r="BG215" i="5"/>
  <c r="BF215" i="5"/>
  <c r="BE215" i="5"/>
  <c r="BD215" i="5"/>
  <c r="BC215" i="5"/>
  <c r="BB215" i="5"/>
  <c r="BA215" i="5"/>
  <c r="AZ215" i="5"/>
  <c r="AY215" i="5"/>
  <c r="AX215" i="5"/>
  <c r="AW215" i="5"/>
  <c r="AV215" i="5"/>
  <c r="AU215" i="5"/>
  <c r="AT215" i="5"/>
  <c r="AS215" i="5"/>
  <c r="AR215" i="5"/>
  <c r="AQ215" i="5"/>
  <c r="AP215" i="5"/>
  <c r="AO215" i="5"/>
  <c r="AN215" i="5"/>
  <c r="AM215" i="5"/>
  <c r="AL215" i="5"/>
  <c r="AK215" i="5"/>
  <c r="AJ215" i="5"/>
  <c r="AI215" i="5"/>
  <c r="AH215" i="5"/>
  <c r="AG215" i="5"/>
  <c r="AF215" i="5"/>
  <c r="AE215" i="5"/>
  <c r="AD215" i="5"/>
  <c r="AC215" i="5"/>
  <c r="AB215" i="5"/>
  <c r="AA215" i="5"/>
  <c r="Z215" i="5"/>
  <c r="Y215" i="5"/>
  <c r="X215" i="5"/>
  <c r="W215" i="5"/>
  <c r="V215" i="5"/>
  <c r="U215" i="5"/>
  <c r="T215" i="5"/>
  <c r="S215" i="5"/>
  <c r="R215" i="5"/>
  <c r="Q215" i="5"/>
  <c r="P215" i="5"/>
  <c r="O215" i="5"/>
  <c r="N215" i="5"/>
  <c r="M215" i="5"/>
  <c r="L215" i="5"/>
  <c r="K215" i="5"/>
  <c r="J215" i="5"/>
  <c r="I215" i="5"/>
  <c r="H215" i="5"/>
  <c r="G215" i="5"/>
  <c r="F215" i="5"/>
  <c r="E215" i="5"/>
  <c r="D215" i="5"/>
  <c r="C215" i="5"/>
  <c r="B215" i="5"/>
  <c r="BI214" i="5"/>
  <c r="BH214" i="5"/>
  <c r="BG214" i="5"/>
  <c r="BF214" i="5"/>
  <c r="BE214" i="5"/>
  <c r="BD214" i="5"/>
  <c r="BC214" i="5"/>
  <c r="BB214" i="5"/>
  <c r="BA214" i="5"/>
  <c r="AZ214" i="5"/>
  <c r="AY214" i="5"/>
  <c r="AX214" i="5"/>
  <c r="AW214" i="5"/>
  <c r="AV214" i="5"/>
  <c r="AU214" i="5"/>
  <c r="AT214" i="5"/>
  <c r="AS214" i="5"/>
  <c r="AR214" i="5"/>
  <c r="AQ214" i="5"/>
  <c r="AP214" i="5"/>
  <c r="AO214" i="5"/>
  <c r="AN214" i="5"/>
  <c r="AM214" i="5"/>
  <c r="AL214" i="5"/>
  <c r="AK214" i="5"/>
  <c r="AJ214" i="5"/>
  <c r="AI214" i="5"/>
  <c r="AH214" i="5"/>
  <c r="AG214" i="5"/>
  <c r="AF214" i="5"/>
  <c r="AE214" i="5"/>
  <c r="AD214" i="5"/>
  <c r="AC214" i="5"/>
  <c r="AB214" i="5"/>
  <c r="AA214" i="5"/>
  <c r="Z214" i="5"/>
  <c r="Y214" i="5"/>
  <c r="X214" i="5"/>
  <c r="W214" i="5"/>
  <c r="V214" i="5"/>
  <c r="U214" i="5"/>
  <c r="T214" i="5"/>
  <c r="S214" i="5"/>
  <c r="R214" i="5"/>
  <c r="Q214" i="5"/>
  <c r="P214" i="5"/>
  <c r="O214" i="5"/>
  <c r="N214" i="5"/>
  <c r="M214" i="5"/>
  <c r="L214" i="5"/>
  <c r="K214" i="5"/>
  <c r="J214" i="5"/>
  <c r="I214" i="5"/>
  <c r="H214" i="5"/>
  <c r="G214" i="5"/>
  <c r="F214" i="5"/>
  <c r="E214" i="5"/>
  <c r="D214" i="5"/>
  <c r="C214" i="5"/>
  <c r="B214" i="5"/>
  <c r="BI213" i="5"/>
  <c r="BH213" i="5"/>
  <c r="BG213" i="5"/>
  <c r="BF213" i="5"/>
  <c r="BE213" i="5"/>
  <c r="BD213" i="5"/>
  <c r="BC213" i="5"/>
  <c r="BB213" i="5"/>
  <c r="BA213" i="5"/>
  <c r="AZ213" i="5"/>
  <c r="AY213" i="5"/>
  <c r="AX213" i="5"/>
  <c r="AW213" i="5"/>
  <c r="AV213" i="5"/>
  <c r="AU213" i="5"/>
  <c r="AT213" i="5"/>
  <c r="AS213" i="5"/>
  <c r="AR213" i="5"/>
  <c r="AQ213" i="5"/>
  <c r="AP213" i="5"/>
  <c r="AO213" i="5"/>
  <c r="AN213" i="5"/>
  <c r="AM213" i="5"/>
  <c r="AL213" i="5"/>
  <c r="AK213" i="5"/>
  <c r="AJ213" i="5"/>
  <c r="AI213" i="5"/>
  <c r="AH213" i="5"/>
  <c r="AG213" i="5"/>
  <c r="AF213" i="5"/>
  <c r="AE213" i="5"/>
  <c r="AD213" i="5"/>
  <c r="AC213" i="5"/>
  <c r="AB213" i="5"/>
  <c r="AA213" i="5"/>
  <c r="Z213" i="5"/>
  <c r="Y213" i="5"/>
  <c r="X213" i="5"/>
  <c r="W213" i="5"/>
  <c r="V213" i="5"/>
  <c r="U213" i="5"/>
  <c r="T213" i="5"/>
  <c r="S213" i="5"/>
  <c r="R213" i="5"/>
  <c r="Q213" i="5"/>
  <c r="P213" i="5"/>
  <c r="O213" i="5"/>
  <c r="N213" i="5"/>
  <c r="M213" i="5"/>
  <c r="L213" i="5"/>
  <c r="K213" i="5"/>
  <c r="J213" i="5"/>
  <c r="I213" i="5"/>
  <c r="H213" i="5"/>
  <c r="G213" i="5"/>
  <c r="F213" i="5"/>
  <c r="E213" i="5"/>
  <c r="D213" i="5"/>
  <c r="C213" i="5"/>
  <c r="B213" i="5"/>
  <c r="BI212" i="5"/>
  <c r="BH212" i="5"/>
  <c r="BG212" i="5"/>
  <c r="BF212" i="5"/>
  <c r="BE212" i="5"/>
  <c r="BD212" i="5"/>
  <c r="BC212" i="5"/>
  <c r="BB212" i="5"/>
  <c r="BA212" i="5"/>
  <c r="AZ212" i="5"/>
  <c r="AY212" i="5"/>
  <c r="AX212" i="5"/>
  <c r="AW212" i="5"/>
  <c r="AV212" i="5"/>
  <c r="AU212" i="5"/>
  <c r="AT212" i="5"/>
  <c r="AS212" i="5"/>
  <c r="AR212" i="5"/>
  <c r="AQ212" i="5"/>
  <c r="AP212" i="5"/>
  <c r="AO212" i="5"/>
  <c r="AN212" i="5"/>
  <c r="AM212" i="5"/>
  <c r="AL212" i="5"/>
  <c r="AK212" i="5"/>
  <c r="AJ212" i="5"/>
  <c r="AI212" i="5"/>
  <c r="AH212" i="5"/>
  <c r="AG212" i="5"/>
  <c r="AF212" i="5"/>
  <c r="AE212" i="5"/>
  <c r="AD212" i="5"/>
  <c r="AC212" i="5"/>
  <c r="AB212" i="5"/>
  <c r="AA212" i="5"/>
  <c r="Z212" i="5"/>
  <c r="Y212" i="5"/>
  <c r="X212" i="5"/>
  <c r="W212" i="5"/>
  <c r="V212" i="5"/>
  <c r="U212" i="5"/>
  <c r="T212" i="5"/>
  <c r="S212" i="5"/>
  <c r="R212" i="5"/>
  <c r="Q212" i="5"/>
  <c r="P212" i="5"/>
  <c r="O212" i="5"/>
  <c r="N212" i="5"/>
  <c r="M212" i="5"/>
  <c r="L212" i="5"/>
  <c r="K212" i="5"/>
  <c r="J212" i="5"/>
  <c r="I212" i="5"/>
  <c r="H212" i="5"/>
  <c r="G212" i="5"/>
  <c r="F212" i="5"/>
  <c r="E212" i="5"/>
  <c r="D212" i="5"/>
  <c r="C212" i="5"/>
  <c r="B212" i="5"/>
  <c r="BI211" i="5"/>
  <c r="BH211" i="5"/>
  <c r="BG211" i="5"/>
  <c r="BF211" i="5"/>
  <c r="BE211" i="5"/>
  <c r="BD211" i="5"/>
  <c r="BC211" i="5"/>
  <c r="BB211" i="5"/>
  <c r="BA211" i="5"/>
  <c r="AZ211" i="5"/>
  <c r="AY211" i="5"/>
  <c r="AX211" i="5"/>
  <c r="AW211" i="5"/>
  <c r="AV211" i="5"/>
  <c r="AU211" i="5"/>
  <c r="AT211" i="5"/>
  <c r="AS211" i="5"/>
  <c r="AR211" i="5"/>
  <c r="AQ211" i="5"/>
  <c r="AP211" i="5"/>
  <c r="AO211" i="5"/>
  <c r="AN211" i="5"/>
  <c r="AM211" i="5"/>
  <c r="AL211" i="5"/>
  <c r="AK211" i="5"/>
  <c r="AJ211" i="5"/>
  <c r="AI211" i="5"/>
  <c r="AH211" i="5"/>
  <c r="AG211" i="5"/>
  <c r="AF211" i="5"/>
  <c r="AE211" i="5"/>
  <c r="AD211" i="5"/>
  <c r="AC211" i="5"/>
  <c r="AB211" i="5"/>
  <c r="AA211" i="5"/>
  <c r="Z211" i="5"/>
  <c r="Y211" i="5"/>
  <c r="X211" i="5"/>
  <c r="W211" i="5"/>
  <c r="V211" i="5"/>
  <c r="U211" i="5"/>
  <c r="T211" i="5"/>
  <c r="S211" i="5"/>
  <c r="R211" i="5"/>
  <c r="Q211" i="5"/>
  <c r="P211" i="5"/>
  <c r="O211" i="5"/>
  <c r="N211" i="5"/>
  <c r="M211" i="5"/>
  <c r="L211" i="5"/>
  <c r="K211" i="5"/>
  <c r="J211" i="5"/>
  <c r="I211" i="5"/>
  <c r="H211" i="5"/>
  <c r="G211" i="5"/>
  <c r="F211" i="5"/>
  <c r="E211" i="5"/>
  <c r="D211" i="5"/>
  <c r="C211" i="5"/>
  <c r="B211" i="5"/>
  <c r="BI210" i="5"/>
  <c r="BH210" i="5"/>
  <c r="BG210" i="5"/>
  <c r="BF210" i="5"/>
  <c r="BE210" i="5"/>
  <c r="BD210" i="5"/>
  <c r="BC210" i="5"/>
  <c r="BB210" i="5"/>
  <c r="BA210" i="5"/>
  <c r="AZ210" i="5"/>
  <c r="AY210" i="5"/>
  <c r="AX210" i="5"/>
  <c r="AW210" i="5"/>
  <c r="AV210" i="5"/>
  <c r="AU210" i="5"/>
  <c r="AT210" i="5"/>
  <c r="AS210" i="5"/>
  <c r="AR210" i="5"/>
  <c r="AQ210" i="5"/>
  <c r="AP210" i="5"/>
  <c r="AO210" i="5"/>
  <c r="AN210" i="5"/>
  <c r="AM210" i="5"/>
  <c r="AL210" i="5"/>
  <c r="AK210" i="5"/>
  <c r="AJ210" i="5"/>
  <c r="AI210" i="5"/>
  <c r="AH210" i="5"/>
  <c r="AG210" i="5"/>
  <c r="AF210" i="5"/>
  <c r="AE210" i="5"/>
  <c r="AD210" i="5"/>
  <c r="AC210" i="5"/>
  <c r="AB210" i="5"/>
  <c r="AA210" i="5"/>
  <c r="Z210" i="5"/>
  <c r="Y210" i="5"/>
  <c r="X210" i="5"/>
  <c r="W210" i="5"/>
  <c r="V210" i="5"/>
  <c r="U210" i="5"/>
  <c r="T210" i="5"/>
  <c r="S210" i="5"/>
  <c r="R210" i="5"/>
  <c r="Q210" i="5"/>
  <c r="P210" i="5"/>
  <c r="O210" i="5"/>
  <c r="N210" i="5"/>
  <c r="M210" i="5"/>
  <c r="L210" i="5"/>
  <c r="K210" i="5"/>
  <c r="J210" i="5"/>
  <c r="I210" i="5"/>
  <c r="H210" i="5"/>
  <c r="G210" i="5"/>
  <c r="F210" i="5"/>
  <c r="E210" i="5"/>
  <c r="D210" i="5"/>
  <c r="C210" i="5"/>
  <c r="B210" i="5"/>
  <c r="BI209" i="5"/>
  <c r="BH209" i="5"/>
  <c r="BG209" i="5"/>
  <c r="BF209" i="5"/>
  <c r="BE209" i="5"/>
  <c r="BD209" i="5"/>
  <c r="BC209" i="5"/>
  <c r="BB209" i="5"/>
  <c r="BA209" i="5"/>
  <c r="AZ209" i="5"/>
  <c r="AY209" i="5"/>
  <c r="AX209" i="5"/>
  <c r="AW209" i="5"/>
  <c r="AV209" i="5"/>
  <c r="AU209" i="5"/>
  <c r="AT209" i="5"/>
  <c r="AS209" i="5"/>
  <c r="AR209" i="5"/>
  <c r="AQ209" i="5"/>
  <c r="AP209" i="5"/>
  <c r="AO209" i="5"/>
  <c r="AN209" i="5"/>
  <c r="AM209" i="5"/>
  <c r="AL209" i="5"/>
  <c r="AK209" i="5"/>
  <c r="AJ209" i="5"/>
  <c r="AI209" i="5"/>
  <c r="AH209" i="5"/>
  <c r="AG209" i="5"/>
  <c r="AF209" i="5"/>
  <c r="AE209" i="5"/>
  <c r="AD209" i="5"/>
  <c r="AC209" i="5"/>
  <c r="AB209" i="5"/>
  <c r="AA209" i="5"/>
  <c r="Z209" i="5"/>
  <c r="Y209" i="5"/>
  <c r="X209" i="5"/>
  <c r="W209" i="5"/>
  <c r="V209" i="5"/>
  <c r="U209" i="5"/>
  <c r="T209" i="5"/>
  <c r="S209" i="5"/>
  <c r="R209" i="5"/>
  <c r="Q209" i="5"/>
  <c r="P209" i="5"/>
  <c r="O209" i="5"/>
  <c r="N209" i="5"/>
  <c r="M209" i="5"/>
  <c r="L209" i="5"/>
  <c r="K209" i="5"/>
  <c r="J209" i="5"/>
  <c r="I209" i="5"/>
  <c r="H209" i="5"/>
  <c r="G209" i="5"/>
  <c r="F209" i="5"/>
  <c r="E209" i="5"/>
  <c r="D209" i="5"/>
  <c r="C209" i="5"/>
  <c r="B209" i="5"/>
  <c r="BI208" i="5"/>
  <c r="BH208" i="5"/>
  <c r="BG208" i="5"/>
  <c r="BF208" i="5"/>
  <c r="BE208" i="5"/>
  <c r="BD208" i="5"/>
  <c r="BC208" i="5"/>
  <c r="BB208" i="5"/>
  <c r="BA208" i="5"/>
  <c r="AZ208" i="5"/>
  <c r="AY208" i="5"/>
  <c r="AX208" i="5"/>
  <c r="AW208" i="5"/>
  <c r="AV208" i="5"/>
  <c r="AU208" i="5"/>
  <c r="AT208" i="5"/>
  <c r="AS208" i="5"/>
  <c r="AR208" i="5"/>
  <c r="AQ208" i="5"/>
  <c r="AP208" i="5"/>
  <c r="AO208" i="5"/>
  <c r="AN208" i="5"/>
  <c r="AM208" i="5"/>
  <c r="AL208" i="5"/>
  <c r="AK208" i="5"/>
  <c r="AJ208" i="5"/>
  <c r="AI208" i="5"/>
  <c r="AH208" i="5"/>
  <c r="AG208" i="5"/>
  <c r="AF208" i="5"/>
  <c r="AE208" i="5"/>
  <c r="AD208" i="5"/>
  <c r="AC208" i="5"/>
  <c r="AB208" i="5"/>
  <c r="AA208" i="5"/>
  <c r="Z208" i="5"/>
  <c r="Y208" i="5"/>
  <c r="X208" i="5"/>
  <c r="W208" i="5"/>
  <c r="V208" i="5"/>
  <c r="U208" i="5"/>
  <c r="T208" i="5"/>
  <c r="S208" i="5"/>
  <c r="R208" i="5"/>
  <c r="Q208" i="5"/>
  <c r="P208" i="5"/>
  <c r="O208" i="5"/>
  <c r="N208" i="5"/>
  <c r="M208" i="5"/>
  <c r="L208" i="5"/>
  <c r="K208" i="5"/>
  <c r="J208" i="5"/>
  <c r="I208" i="5"/>
  <c r="H208" i="5"/>
  <c r="G208" i="5"/>
  <c r="F208" i="5"/>
  <c r="E208" i="5"/>
  <c r="D208" i="5"/>
  <c r="C208" i="5"/>
  <c r="B208" i="5"/>
  <c r="BI207" i="5"/>
  <c r="BH207" i="5"/>
  <c r="BG207" i="5"/>
  <c r="BF207" i="5"/>
  <c r="BE207" i="5"/>
  <c r="BD207" i="5"/>
  <c r="BC207" i="5"/>
  <c r="BB207" i="5"/>
  <c r="BA207" i="5"/>
  <c r="AZ207" i="5"/>
  <c r="AY207" i="5"/>
  <c r="AX207" i="5"/>
  <c r="AW207" i="5"/>
  <c r="AV207" i="5"/>
  <c r="AU207" i="5"/>
  <c r="AT207" i="5"/>
  <c r="AS207" i="5"/>
  <c r="AR207" i="5"/>
  <c r="AQ207" i="5"/>
  <c r="AP207" i="5"/>
  <c r="AO207" i="5"/>
  <c r="AN207" i="5"/>
  <c r="AM207" i="5"/>
  <c r="AL207" i="5"/>
  <c r="AK207" i="5"/>
  <c r="AJ207" i="5"/>
  <c r="AI207" i="5"/>
  <c r="AH207" i="5"/>
  <c r="AG207" i="5"/>
  <c r="AF207" i="5"/>
  <c r="AE207" i="5"/>
  <c r="AD207" i="5"/>
  <c r="AC207" i="5"/>
  <c r="AB207" i="5"/>
  <c r="AA207" i="5"/>
  <c r="Z207" i="5"/>
  <c r="Y207" i="5"/>
  <c r="X207" i="5"/>
  <c r="W207" i="5"/>
  <c r="V207" i="5"/>
  <c r="U207" i="5"/>
  <c r="T207" i="5"/>
  <c r="S207" i="5"/>
  <c r="R207" i="5"/>
  <c r="Q207" i="5"/>
  <c r="P207" i="5"/>
  <c r="O207" i="5"/>
  <c r="N207" i="5"/>
  <c r="M207" i="5"/>
  <c r="L207" i="5"/>
  <c r="K207" i="5"/>
  <c r="J207" i="5"/>
  <c r="I207" i="5"/>
  <c r="H207" i="5"/>
  <c r="G207" i="5"/>
  <c r="F207" i="5"/>
  <c r="E207" i="5"/>
  <c r="D207" i="5"/>
  <c r="C207" i="5"/>
  <c r="B207" i="5"/>
  <c r="BI206" i="5"/>
  <c r="BH206" i="5"/>
  <c r="BG206" i="5"/>
  <c r="BF206" i="5"/>
  <c r="BE206" i="5"/>
  <c r="BD206" i="5"/>
  <c r="BC206" i="5"/>
  <c r="BB206" i="5"/>
  <c r="BA206" i="5"/>
  <c r="AZ206" i="5"/>
  <c r="AY206" i="5"/>
  <c r="AX206" i="5"/>
  <c r="AW206" i="5"/>
  <c r="AV206" i="5"/>
  <c r="AU206" i="5"/>
  <c r="AT206" i="5"/>
  <c r="AS206" i="5"/>
  <c r="AR206" i="5"/>
  <c r="AQ206" i="5"/>
  <c r="AP206" i="5"/>
  <c r="AO206" i="5"/>
  <c r="AN206" i="5"/>
  <c r="AM206" i="5"/>
  <c r="AL206" i="5"/>
  <c r="AK206" i="5"/>
  <c r="AJ206" i="5"/>
  <c r="AI206" i="5"/>
  <c r="AH206" i="5"/>
  <c r="AG206" i="5"/>
  <c r="AF206" i="5"/>
  <c r="AE206" i="5"/>
  <c r="AD206" i="5"/>
  <c r="AC206" i="5"/>
  <c r="AB206" i="5"/>
  <c r="AA206" i="5"/>
  <c r="Z206" i="5"/>
  <c r="Y206" i="5"/>
  <c r="X206" i="5"/>
  <c r="W206" i="5"/>
  <c r="V206" i="5"/>
  <c r="U206" i="5"/>
  <c r="T206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D206" i="5"/>
  <c r="C206" i="5"/>
  <c r="B206" i="5"/>
  <c r="BI205" i="5"/>
  <c r="BH205" i="5"/>
  <c r="BG205" i="5"/>
  <c r="BF205" i="5"/>
  <c r="BE205" i="5"/>
  <c r="BD205" i="5"/>
  <c r="BC205" i="5"/>
  <c r="BB205" i="5"/>
  <c r="BA205" i="5"/>
  <c r="AZ205" i="5"/>
  <c r="AY205" i="5"/>
  <c r="AX205" i="5"/>
  <c r="AW205" i="5"/>
  <c r="AV205" i="5"/>
  <c r="AU205" i="5"/>
  <c r="AT205" i="5"/>
  <c r="AS205" i="5"/>
  <c r="AR205" i="5"/>
  <c r="AQ205" i="5"/>
  <c r="AP205" i="5"/>
  <c r="AO205" i="5"/>
  <c r="AN205" i="5"/>
  <c r="AM205" i="5"/>
  <c r="AL205" i="5"/>
  <c r="AK205" i="5"/>
  <c r="AJ205" i="5"/>
  <c r="AI205" i="5"/>
  <c r="AH205" i="5"/>
  <c r="AG205" i="5"/>
  <c r="AF205" i="5"/>
  <c r="AE205" i="5"/>
  <c r="AD205" i="5"/>
  <c r="AC205" i="5"/>
  <c r="AB205" i="5"/>
  <c r="AA205" i="5"/>
  <c r="Z205" i="5"/>
  <c r="Y205" i="5"/>
  <c r="X205" i="5"/>
  <c r="W205" i="5"/>
  <c r="V205" i="5"/>
  <c r="U205" i="5"/>
  <c r="T205" i="5"/>
  <c r="S205" i="5"/>
  <c r="R205" i="5"/>
  <c r="Q205" i="5"/>
  <c r="P205" i="5"/>
  <c r="O205" i="5"/>
  <c r="N205" i="5"/>
  <c r="M205" i="5"/>
  <c r="L205" i="5"/>
  <c r="K205" i="5"/>
  <c r="J205" i="5"/>
  <c r="I205" i="5"/>
  <c r="H205" i="5"/>
  <c r="G205" i="5"/>
  <c r="F205" i="5"/>
  <c r="E205" i="5"/>
  <c r="D205" i="5"/>
  <c r="C205" i="5"/>
  <c r="B205" i="5"/>
  <c r="BI204" i="5"/>
  <c r="BH204" i="5"/>
  <c r="BG204" i="5"/>
  <c r="BF204" i="5"/>
  <c r="BE204" i="5"/>
  <c r="BD204" i="5"/>
  <c r="BC204" i="5"/>
  <c r="BB204" i="5"/>
  <c r="BA204" i="5"/>
  <c r="AZ204" i="5"/>
  <c r="AY204" i="5"/>
  <c r="AX204" i="5"/>
  <c r="AW204" i="5"/>
  <c r="AV204" i="5"/>
  <c r="AU204" i="5"/>
  <c r="AT204" i="5"/>
  <c r="AS204" i="5"/>
  <c r="AR204" i="5"/>
  <c r="AQ204" i="5"/>
  <c r="AP204" i="5"/>
  <c r="AO204" i="5"/>
  <c r="AN204" i="5"/>
  <c r="AM204" i="5"/>
  <c r="AL204" i="5"/>
  <c r="AK204" i="5"/>
  <c r="AJ204" i="5"/>
  <c r="AI204" i="5"/>
  <c r="AH204" i="5"/>
  <c r="AG204" i="5"/>
  <c r="AF204" i="5"/>
  <c r="AE204" i="5"/>
  <c r="AD204" i="5"/>
  <c r="AC204" i="5"/>
  <c r="AB204" i="5"/>
  <c r="AA204" i="5"/>
  <c r="Z204" i="5"/>
  <c r="Y204" i="5"/>
  <c r="X204" i="5"/>
  <c r="W204" i="5"/>
  <c r="V204" i="5"/>
  <c r="U204" i="5"/>
  <c r="T204" i="5"/>
  <c r="S204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F204" i="5"/>
  <c r="E204" i="5"/>
  <c r="D204" i="5"/>
  <c r="C204" i="5"/>
  <c r="B204" i="5"/>
  <c r="BI203" i="5"/>
  <c r="BH203" i="5"/>
  <c r="BG203" i="5"/>
  <c r="BF203" i="5"/>
  <c r="BE203" i="5"/>
  <c r="BD203" i="5"/>
  <c r="BC203" i="5"/>
  <c r="BB203" i="5"/>
  <c r="BA203" i="5"/>
  <c r="AZ203" i="5"/>
  <c r="AY203" i="5"/>
  <c r="AX203" i="5"/>
  <c r="AW203" i="5"/>
  <c r="AV203" i="5"/>
  <c r="AU203" i="5"/>
  <c r="AT203" i="5"/>
  <c r="AS203" i="5"/>
  <c r="AR203" i="5"/>
  <c r="AQ203" i="5"/>
  <c r="AP203" i="5"/>
  <c r="AO203" i="5"/>
  <c r="AN203" i="5"/>
  <c r="AM203" i="5"/>
  <c r="AL203" i="5"/>
  <c r="AK203" i="5"/>
  <c r="AJ203" i="5"/>
  <c r="AI203" i="5"/>
  <c r="AH203" i="5"/>
  <c r="AG203" i="5"/>
  <c r="AF203" i="5"/>
  <c r="AE203" i="5"/>
  <c r="AD203" i="5"/>
  <c r="AC203" i="5"/>
  <c r="AB203" i="5"/>
  <c r="AA203" i="5"/>
  <c r="Z203" i="5"/>
  <c r="Y203" i="5"/>
  <c r="X203" i="5"/>
  <c r="W203" i="5"/>
  <c r="V203" i="5"/>
  <c r="U203" i="5"/>
  <c r="T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C203" i="5"/>
  <c r="B203" i="5"/>
  <c r="BI202" i="5"/>
  <c r="BH202" i="5"/>
  <c r="BG202" i="5"/>
  <c r="BF202" i="5"/>
  <c r="BE202" i="5"/>
  <c r="BD202" i="5"/>
  <c r="BC202" i="5"/>
  <c r="BB202" i="5"/>
  <c r="BA202" i="5"/>
  <c r="AZ202" i="5"/>
  <c r="AY202" i="5"/>
  <c r="AX202" i="5"/>
  <c r="AW202" i="5"/>
  <c r="AV202" i="5"/>
  <c r="AU202" i="5"/>
  <c r="AT202" i="5"/>
  <c r="AS202" i="5"/>
  <c r="AR202" i="5"/>
  <c r="AQ202" i="5"/>
  <c r="AP202" i="5"/>
  <c r="AO202" i="5"/>
  <c r="AN202" i="5"/>
  <c r="AM202" i="5"/>
  <c r="AL202" i="5"/>
  <c r="AK202" i="5"/>
  <c r="AJ202" i="5"/>
  <c r="AI202" i="5"/>
  <c r="AH202" i="5"/>
  <c r="AG202" i="5"/>
  <c r="AF202" i="5"/>
  <c r="AE202" i="5"/>
  <c r="AD202" i="5"/>
  <c r="AC202" i="5"/>
  <c r="AB202" i="5"/>
  <c r="AA202" i="5"/>
  <c r="Z202" i="5"/>
  <c r="Y202" i="5"/>
  <c r="X202" i="5"/>
  <c r="W202" i="5"/>
  <c r="V202" i="5"/>
  <c r="U202" i="5"/>
  <c r="T202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D202" i="5"/>
  <c r="C202" i="5"/>
  <c r="B202" i="5"/>
  <c r="BI201" i="5"/>
  <c r="BH201" i="5"/>
  <c r="BG201" i="5"/>
  <c r="BF201" i="5"/>
  <c r="BE201" i="5"/>
  <c r="BD201" i="5"/>
  <c r="BC201" i="5"/>
  <c r="BB201" i="5"/>
  <c r="BA201" i="5"/>
  <c r="AZ201" i="5"/>
  <c r="AY201" i="5"/>
  <c r="AX201" i="5"/>
  <c r="AW201" i="5"/>
  <c r="AV201" i="5"/>
  <c r="AU201" i="5"/>
  <c r="AT201" i="5"/>
  <c r="AS201" i="5"/>
  <c r="AR201" i="5"/>
  <c r="AQ201" i="5"/>
  <c r="AP201" i="5"/>
  <c r="AO201" i="5"/>
  <c r="AN201" i="5"/>
  <c r="AM201" i="5"/>
  <c r="AL201" i="5"/>
  <c r="AK201" i="5"/>
  <c r="AJ201" i="5"/>
  <c r="AI201" i="5"/>
  <c r="AH201" i="5"/>
  <c r="AG201" i="5"/>
  <c r="AF201" i="5"/>
  <c r="AE201" i="5"/>
  <c r="AD201" i="5"/>
  <c r="AC201" i="5"/>
  <c r="AB201" i="5"/>
  <c r="AA201" i="5"/>
  <c r="Z201" i="5"/>
  <c r="Y201" i="5"/>
  <c r="X201" i="5"/>
  <c r="W201" i="5"/>
  <c r="V201" i="5"/>
  <c r="U201" i="5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D201" i="5"/>
  <c r="C201" i="5"/>
  <c r="B201" i="5"/>
  <c r="BI200" i="5"/>
  <c r="BH200" i="5"/>
  <c r="BG200" i="5"/>
  <c r="BF200" i="5"/>
  <c r="BE200" i="5"/>
  <c r="BD200" i="5"/>
  <c r="BC200" i="5"/>
  <c r="BB200" i="5"/>
  <c r="BA200" i="5"/>
  <c r="AZ200" i="5"/>
  <c r="AY200" i="5"/>
  <c r="AX200" i="5"/>
  <c r="AW200" i="5"/>
  <c r="AV200" i="5"/>
  <c r="AU200" i="5"/>
  <c r="AT200" i="5"/>
  <c r="AS200" i="5"/>
  <c r="AR200" i="5"/>
  <c r="AQ200" i="5"/>
  <c r="AP200" i="5"/>
  <c r="AO200" i="5"/>
  <c r="AN200" i="5"/>
  <c r="AM200" i="5"/>
  <c r="AL200" i="5"/>
  <c r="AK200" i="5"/>
  <c r="AJ200" i="5"/>
  <c r="AI200" i="5"/>
  <c r="AH200" i="5"/>
  <c r="AG200" i="5"/>
  <c r="AF200" i="5"/>
  <c r="AE200" i="5"/>
  <c r="AD200" i="5"/>
  <c r="AC200" i="5"/>
  <c r="AB200" i="5"/>
  <c r="AA200" i="5"/>
  <c r="Z200" i="5"/>
  <c r="Y200" i="5"/>
  <c r="X200" i="5"/>
  <c r="W200" i="5"/>
  <c r="V200" i="5"/>
  <c r="U200" i="5"/>
  <c r="T200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D200" i="5"/>
  <c r="C200" i="5"/>
  <c r="B200" i="5"/>
  <c r="BI199" i="5"/>
  <c r="BH199" i="5"/>
  <c r="BG199" i="5"/>
  <c r="BF199" i="5"/>
  <c r="BE199" i="5"/>
  <c r="BD199" i="5"/>
  <c r="BC199" i="5"/>
  <c r="BB199" i="5"/>
  <c r="BA199" i="5"/>
  <c r="AZ199" i="5"/>
  <c r="AY199" i="5"/>
  <c r="AX199" i="5"/>
  <c r="AW199" i="5"/>
  <c r="AV199" i="5"/>
  <c r="AU199" i="5"/>
  <c r="AT199" i="5"/>
  <c r="AS199" i="5"/>
  <c r="AR199" i="5"/>
  <c r="AQ199" i="5"/>
  <c r="AP199" i="5"/>
  <c r="AO199" i="5"/>
  <c r="AN199" i="5"/>
  <c r="AM199" i="5"/>
  <c r="AL199" i="5"/>
  <c r="AK199" i="5"/>
  <c r="AJ199" i="5"/>
  <c r="AI199" i="5"/>
  <c r="AH199" i="5"/>
  <c r="AG199" i="5"/>
  <c r="AF199" i="5"/>
  <c r="AE199" i="5"/>
  <c r="AD199" i="5"/>
  <c r="AC199" i="5"/>
  <c r="AB199" i="5"/>
  <c r="AA199" i="5"/>
  <c r="Z199" i="5"/>
  <c r="Y199" i="5"/>
  <c r="X199" i="5"/>
  <c r="W199" i="5"/>
  <c r="V199" i="5"/>
  <c r="U199" i="5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D199" i="5"/>
  <c r="C199" i="5"/>
  <c r="B199" i="5"/>
  <c r="BI198" i="5"/>
  <c r="BH198" i="5"/>
  <c r="BG198" i="5"/>
  <c r="BF198" i="5"/>
  <c r="BE198" i="5"/>
  <c r="BD198" i="5"/>
  <c r="BC198" i="5"/>
  <c r="BB198" i="5"/>
  <c r="BA198" i="5"/>
  <c r="AZ198" i="5"/>
  <c r="AY198" i="5"/>
  <c r="AX198" i="5"/>
  <c r="AW198" i="5"/>
  <c r="AV198" i="5"/>
  <c r="AU198" i="5"/>
  <c r="AT198" i="5"/>
  <c r="AS198" i="5"/>
  <c r="AR198" i="5"/>
  <c r="AQ198" i="5"/>
  <c r="AP198" i="5"/>
  <c r="AO198" i="5"/>
  <c r="AN198" i="5"/>
  <c r="AM198" i="5"/>
  <c r="AL198" i="5"/>
  <c r="AK198" i="5"/>
  <c r="AJ198" i="5"/>
  <c r="AI198" i="5"/>
  <c r="AH198" i="5"/>
  <c r="AG198" i="5"/>
  <c r="AF198" i="5"/>
  <c r="AE198" i="5"/>
  <c r="AD198" i="5"/>
  <c r="AC198" i="5"/>
  <c r="AB198" i="5"/>
  <c r="AA198" i="5"/>
  <c r="Z198" i="5"/>
  <c r="Y198" i="5"/>
  <c r="X198" i="5"/>
  <c r="W198" i="5"/>
  <c r="V198" i="5"/>
  <c r="U198" i="5"/>
  <c r="T198" i="5"/>
  <c r="S198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D198" i="5"/>
  <c r="C198" i="5"/>
  <c r="B198" i="5"/>
  <c r="BI197" i="5"/>
  <c r="BH197" i="5"/>
  <c r="BG197" i="5"/>
  <c r="BF197" i="5"/>
  <c r="BE197" i="5"/>
  <c r="BD197" i="5"/>
  <c r="BC197" i="5"/>
  <c r="BB197" i="5"/>
  <c r="BA197" i="5"/>
  <c r="AZ197" i="5"/>
  <c r="AY197" i="5"/>
  <c r="AX197" i="5"/>
  <c r="AW197" i="5"/>
  <c r="AV197" i="5"/>
  <c r="AU197" i="5"/>
  <c r="AT197" i="5"/>
  <c r="AS197" i="5"/>
  <c r="AR197" i="5"/>
  <c r="AQ197" i="5"/>
  <c r="AP197" i="5"/>
  <c r="AO197" i="5"/>
  <c r="AN197" i="5"/>
  <c r="AM197" i="5"/>
  <c r="AL197" i="5"/>
  <c r="AK197" i="5"/>
  <c r="AJ197" i="5"/>
  <c r="AI197" i="5"/>
  <c r="AH197" i="5"/>
  <c r="AG197" i="5"/>
  <c r="AF197" i="5"/>
  <c r="AE197" i="5"/>
  <c r="AD197" i="5"/>
  <c r="AC197" i="5"/>
  <c r="AB197" i="5"/>
  <c r="AA197" i="5"/>
  <c r="Z197" i="5"/>
  <c r="Y197" i="5"/>
  <c r="X197" i="5"/>
  <c r="W197" i="5"/>
  <c r="V197" i="5"/>
  <c r="U197" i="5"/>
  <c r="T197" i="5"/>
  <c r="S197" i="5"/>
  <c r="R197" i="5"/>
  <c r="Q197" i="5"/>
  <c r="P197" i="5"/>
  <c r="O197" i="5"/>
  <c r="N197" i="5"/>
  <c r="M197" i="5"/>
  <c r="L197" i="5"/>
  <c r="K197" i="5"/>
  <c r="J197" i="5"/>
  <c r="I197" i="5"/>
  <c r="H197" i="5"/>
  <c r="G197" i="5"/>
  <c r="F197" i="5"/>
  <c r="E197" i="5"/>
  <c r="D197" i="5"/>
  <c r="C197" i="5"/>
  <c r="B197" i="5"/>
  <c r="BI196" i="5"/>
  <c r="BH196" i="5"/>
  <c r="BG196" i="5"/>
  <c r="BF196" i="5"/>
  <c r="BE196" i="5"/>
  <c r="BD196" i="5"/>
  <c r="BC196" i="5"/>
  <c r="BB196" i="5"/>
  <c r="BA196" i="5"/>
  <c r="AZ196" i="5"/>
  <c r="AY196" i="5"/>
  <c r="AX196" i="5"/>
  <c r="AW196" i="5"/>
  <c r="AV196" i="5"/>
  <c r="AU196" i="5"/>
  <c r="AT196" i="5"/>
  <c r="AS196" i="5"/>
  <c r="AR196" i="5"/>
  <c r="AQ196" i="5"/>
  <c r="AP196" i="5"/>
  <c r="AO196" i="5"/>
  <c r="AN196" i="5"/>
  <c r="AM196" i="5"/>
  <c r="AL196" i="5"/>
  <c r="AK196" i="5"/>
  <c r="AJ196" i="5"/>
  <c r="AI196" i="5"/>
  <c r="AH196" i="5"/>
  <c r="AG196" i="5"/>
  <c r="AF196" i="5"/>
  <c r="AE196" i="5"/>
  <c r="AD196" i="5"/>
  <c r="AC196" i="5"/>
  <c r="AB196" i="5"/>
  <c r="AA196" i="5"/>
  <c r="Z196" i="5"/>
  <c r="Y196" i="5"/>
  <c r="X196" i="5"/>
  <c r="W196" i="5"/>
  <c r="V196" i="5"/>
  <c r="U196" i="5"/>
  <c r="T196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D196" i="5"/>
  <c r="C196" i="5"/>
  <c r="B196" i="5"/>
  <c r="BI195" i="5"/>
  <c r="BH195" i="5"/>
  <c r="BG195" i="5"/>
  <c r="BF195" i="5"/>
  <c r="BE195" i="5"/>
  <c r="BD195" i="5"/>
  <c r="BC195" i="5"/>
  <c r="BB195" i="5"/>
  <c r="BA195" i="5"/>
  <c r="AZ195" i="5"/>
  <c r="AY195" i="5"/>
  <c r="AX195" i="5"/>
  <c r="AW195" i="5"/>
  <c r="AV195" i="5"/>
  <c r="AU195" i="5"/>
  <c r="AT195" i="5"/>
  <c r="AS195" i="5"/>
  <c r="AR195" i="5"/>
  <c r="AQ195" i="5"/>
  <c r="AP195" i="5"/>
  <c r="AO195" i="5"/>
  <c r="AN195" i="5"/>
  <c r="AM195" i="5"/>
  <c r="AL195" i="5"/>
  <c r="AK195" i="5"/>
  <c r="AJ195" i="5"/>
  <c r="AI195" i="5"/>
  <c r="AH195" i="5"/>
  <c r="AG195" i="5"/>
  <c r="AF195" i="5"/>
  <c r="AE195" i="5"/>
  <c r="AD195" i="5"/>
  <c r="AC195" i="5"/>
  <c r="AB195" i="5"/>
  <c r="AA195" i="5"/>
  <c r="Z195" i="5"/>
  <c r="Y195" i="5"/>
  <c r="X195" i="5"/>
  <c r="W195" i="5"/>
  <c r="V195" i="5"/>
  <c r="U195" i="5"/>
  <c r="T195" i="5"/>
  <c r="S195" i="5"/>
  <c r="R195" i="5"/>
  <c r="Q195" i="5"/>
  <c r="P195" i="5"/>
  <c r="O195" i="5"/>
  <c r="N195" i="5"/>
  <c r="M195" i="5"/>
  <c r="L195" i="5"/>
  <c r="K195" i="5"/>
  <c r="J195" i="5"/>
  <c r="I195" i="5"/>
  <c r="H195" i="5"/>
  <c r="G195" i="5"/>
  <c r="F195" i="5"/>
  <c r="E195" i="5"/>
  <c r="D195" i="5"/>
  <c r="C195" i="5"/>
  <c r="B195" i="5"/>
  <c r="BI194" i="5"/>
  <c r="BH194" i="5"/>
  <c r="BG194" i="5"/>
  <c r="BF194" i="5"/>
  <c r="BE194" i="5"/>
  <c r="BD194" i="5"/>
  <c r="BC194" i="5"/>
  <c r="BB194" i="5"/>
  <c r="BA194" i="5"/>
  <c r="AZ194" i="5"/>
  <c r="AY194" i="5"/>
  <c r="AX194" i="5"/>
  <c r="AW194" i="5"/>
  <c r="AV194" i="5"/>
  <c r="AU194" i="5"/>
  <c r="AT194" i="5"/>
  <c r="AS194" i="5"/>
  <c r="AR194" i="5"/>
  <c r="AQ194" i="5"/>
  <c r="AP194" i="5"/>
  <c r="AO194" i="5"/>
  <c r="AN194" i="5"/>
  <c r="AM194" i="5"/>
  <c r="AL194" i="5"/>
  <c r="AK194" i="5"/>
  <c r="AJ194" i="5"/>
  <c r="AI194" i="5"/>
  <c r="AH194" i="5"/>
  <c r="AG194" i="5"/>
  <c r="AF194" i="5"/>
  <c r="AE194" i="5"/>
  <c r="AD194" i="5"/>
  <c r="AC194" i="5"/>
  <c r="AB194" i="5"/>
  <c r="AA194" i="5"/>
  <c r="Z194" i="5"/>
  <c r="Y194" i="5"/>
  <c r="X194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J194" i="5"/>
  <c r="I194" i="5"/>
  <c r="H194" i="5"/>
  <c r="G194" i="5"/>
  <c r="F194" i="5"/>
  <c r="E194" i="5"/>
  <c r="D194" i="5"/>
  <c r="C194" i="5"/>
  <c r="B194" i="5"/>
  <c r="BI193" i="5"/>
  <c r="BH193" i="5"/>
  <c r="BG193" i="5"/>
  <c r="BF193" i="5"/>
  <c r="BE193" i="5"/>
  <c r="BD193" i="5"/>
  <c r="BC193" i="5"/>
  <c r="BB193" i="5"/>
  <c r="BA193" i="5"/>
  <c r="AZ193" i="5"/>
  <c r="AY193" i="5"/>
  <c r="AX193" i="5"/>
  <c r="AW193" i="5"/>
  <c r="AV193" i="5"/>
  <c r="AU193" i="5"/>
  <c r="AT193" i="5"/>
  <c r="AS193" i="5"/>
  <c r="AR193" i="5"/>
  <c r="AQ193" i="5"/>
  <c r="AP193" i="5"/>
  <c r="AO193" i="5"/>
  <c r="AN193" i="5"/>
  <c r="AM193" i="5"/>
  <c r="AL193" i="5"/>
  <c r="AK193" i="5"/>
  <c r="AJ193" i="5"/>
  <c r="AI193" i="5"/>
  <c r="AH193" i="5"/>
  <c r="AG193" i="5"/>
  <c r="AF193" i="5"/>
  <c r="AE193" i="5"/>
  <c r="AD193" i="5"/>
  <c r="AC193" i="5"/>
  <c r="AB193" i="5"/>
  <c r="AA193" i="5"/>
  <c r="Z193" i="5"/>
  <c r="Y193" i="5"/>
  <c r="X193" i="5"/>
  <c r="W193" i="5"/>
  <c r="V193" i="5"/>
  <c r="U193" i="5"/>
  <c r="T193" i="5"/>
  <c r="S193" i="5"/>
  <c r="R193" i="5"/>
  <c r="Q193" i="5"/>
  <c r="P193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C193" i="5"/>
  <c r="B193" i="5"/>
  <c r="BI192" i="5"/>
  <c r="BH192" i="5"/>
  <c r="BG192" i="5"/>
  <c r="BF192" i="5"/>
  <c r="BE192" i="5"/>
  <c r="BD192" i="5"/>
  <c r="BC192" i="5"/>
  <c r="BB192" i="5"/>
  <c r="BA192" i="5"/>
  <c r="AZ192" i="5"/>
  <c r="AY192" i="5"/>
  <c r="AX192" i="5"/>
  <c r="AW192" i="5"/>
  <c r="AV192" i="5"/>
  <c r="AU192" i="5"/>
  <c r="AT192" i="5"/>
  <c r="AS192" i="5"/>
  <c r="AR192" i="5"/>
  <c r="AQ192" i="5"/>
  <c r="AP192" i="5"/>
  <c r="AO192" i="5"/>
  <c r="AN192" i="5"/>
  <c r="AM192" i="5"/>
  <c r="AL192" i="5"/>
  <c r="AK192" i="5"/>
  <c r="AJ192" i="5"/>
  <c r="AI192" i="5"/>
  <c r="AH192" i="5"/>
  <c r="AG192" i="5"/>
  <c r="AF192" i="5"/>
  <c r="AE192" i="5"/>
  <c r="AD192" i="5"/>
  <c r="AC192" i="5"/>
  <c r="AB192" i="5"/>
  <c r="AA192" i="5"/>
  <c r="Z192" i="5"/>
  <c r="Y192" i="5"/>
  <c r="X192" i="5"/>
  <c r="W192" i="5"/>
  <c r="V192" i="5"/>
  <c r="U192" i="5"/>
  <c r="T192" i="5"/>
  <c r="S192" i="5"/>
  <c r="R192" i="5"/>
  <c r="Q192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D192" i="5"/>
  <c r="C192" i="5"/>
  <c r="B192" i="5"/>
  <c r="BI191" i="5"/>
  <c r="BH191" i="5"/>
  <c r="BG191" i="5"/>
  <c r="BF191" i="5"/>
  <c r="BE191" i="5"/>
  <c r="BD191" i="5"/>
  <c r="BC191" i="5"/>
  <c r="BB191" i="5"/>
  <c r="BA191" i="5"/>
  <c r="AZ191" i="5"/>
  <c r="AY191" i="5"/>
  <c r="AX191" i="5"/>
  <c r="AW191" i="5"/>
  <c r="AV191" i="5"/>
  <c r="AU191" i="5"/>
  <c r="AT191" i="5"/>
  <c r="AS191" i="5"/>
  <c r="AR191" i="5"/>
  <c r="AQ191" i="5"/>
  <c r="AP191" i="5"/>
  <c r="AO191" i="5"/>
  <c r="AN191" i="5"/>
  <c r="AM191" i="5"/>
  <c r="AL191" i="5"/>
  <c r="AK191" i="5"/>
  <c r="AJ191" i="5"/>
  <c r="AI191" i="5"/>
  <c r="AH191" i="5"/>
  <c r="AG191" i="5"/>
  <c r="AF191" i="5"/>
  <c r="AE191" i="5"/>
  <c r="AD191" i="5"/>
  <c r="AC191" i="5"/>
  <c r="AB191" i="5"/>
  <c r="AA191" i="5"/>
  <c r="Z191" i="5"/>
  <c r="Y191" i="5"/>
  <c r="X191" i="5"/>
  <c r="W191" i="5"/>
  <c r="V191" i="5"/>
  <c r="U191" i="5"/>
  <c r="T191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D191" i="5"/>
  <c r="C191" i="5"/>
  <c r="B191" i="5"/>
  <c r="BI190" i="5"/>
  <c r="BH190" i="5"/>
  <c r="BG190" i="5"/>
  <c r="BF190" i="5"/>
  <c r="BE190" i="5"/>
  <c r="BD190" i="5"/>
  <c r="BC190" i="5"/>
  <c r="BB190" i="5"/>
  <c r="BA190" i="5"/>
  <c r="AZ190" i="5"/>
  <c r="AY190" i="5"/>
  <c r="AX190" i="5"/>
  <c r="AW190" i="5"/>
  <c r="AV190" i="5"/>
  <c r="AU190" i="5"/>
  <c r="AT190" i="5"/>
  <c r="AS190" i="5"/>
  <c r="AR190" i="5"/>
  <c r="AQ190" i="5"/>
  <c r="AP190" i="5"/>
  <c r="AO190" i="5"/>
  <c r="AN190" i="5"/>
  <c r="AM190" i="5"/>
  <c r="AL190" i="5"/>
  <c r="AK190" i="5"/>
  <c r="AJ190" i="5"/>
  <c r="AI190" i="5"/>
  <c r="AH190" i="5"/>
  <c r="AG190" i="5"/>
  <c r="AF190" i="5"/>
  <c r="AE190" i="5"/>
  <c r="AD190" i="5"/>
  <c r="AC190" i="5"/>
  <c r="AB190" i="5"/>
  <c r="AA190" i="5"/>
  <c r="Z190" i="5"/>
  <c r="Y190" i="5"/>
  <c r="X190" i="5"/>
  <c r="W190" i="5"/>
  <c r="V190" i="5"/>
  <c r="U190" i="5"/>
  <c r="T190" i="5"/>
  <c r="S190" i="5"/>
  <c r="R190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D190" i="5"/>
  <c r="C190" i="5"/>
  <c r="B190" i="5"/>
  <c r="BI189" i="5"/>
  <c r="BH189" i="5"/>
  <c r="BG189" i="5"/>
  <c r="BF189" i="5"/>
  <c r="BE189" i="5"/>
  <c r="BD189" i="5"/>
  <c r="BC189" i="5"/>
  <c r="BB189" i="5"/>
  <c r="BA189" i="5"/>
  <c r="AZ189" i="5"/>
  <c r="AY189" i="5"/>
  <c r="AX189" i="5"/>
  <c r="AW189" i="5"/>
  <c r="AV189" i="5"/>
  <c r="AU189" i="5"/>
  <c r="AT189" i="5"/>
  <c r="AS189" i="5"/>
  <c r="AR189" i="5"/>
  <c r="AQ189" i="5"/>
  <c r="AP189" i="5"/>
  <c r="AO189" i="5"/>
  <c r="AN189" i="5"/>
  <c r="AM189" i="5"/>
  <c r="AL189" i="5"/>
  <c r="AK189" i="5"/>
  <c r="AJ189" i="5"/>
  <c r="AI189" i="5"/>
  <c r="AH189" i="5"/>
  <c r="AG189" i="5"/>
  <c r="AF189" i="5"/>
  <c r="AE189" i="5"/>
  <c r="AD189" i="5"/>
  <c r="AC189" i="5"/>
  <c r="AB189" i="5"/>
  <c r="AA189" i="5"/>
  <c r="Z189" i="5"/>
  <c r="Y189" i="5"/>
  <c r="X189" i="5"/>
  <c r="W189" i="5"/>
  <c r="V189" i="5"/>
  <c r="U189" i="5"/>
  <c r="T189" i="5"/>
  <c r="S189" i="5"/>
  <c r="R189" i="5"/>
  <c r="Q189" i="5"/>
  <c r="P189" i="5"/>
  <c r="O189" i="5"/>
  <c r="N189" i="5"/>
  <c r="M189" i="5"/>
  <c r="L189" i="5"/>
  <c r="K189" i="5"/>
  <c r="J189" i="5"/>
  <c r="I189" i="5"/>
  <c r="H189" i="5"/>
  <c r="G189" i="5"/>
  <c r="F189" i="5"/>
  <c r="E189" i="5"/>
  <c r="D189" i="5"/>
  <c r="C189" i="5"/>
  <c r="B189" i="5"/>
  <c r="BI188" i="5"/>
  <c r="BH188" i="5"/>
  <c r="BG188" i="5"/>
  <c r="BF188" i="5"/>
  <c r="BE188" i="5"/>
  <c r="BD188" i="5"/>
  <c r="BC188" i="5"/>
  <c r="BB188" i="5"/>
  <c r="BA188" i="5"/>
  <c r="AZ188" i="5"/>
  <c r="AY188" i="5"/>
  <c r="AX188" i="5"/>
  <c r="AW188" i="5"/>
  <c r="AV188" i="5"/>
  <c r="AU188" i="5"/>
  <c r="AT188" i="5"/>
  <c r="AS188" i="5"/>
  <c r="AR188" i="5"/>
  <c r="AQ188" i="5"/>
  <c r="AP188" i="5"/>
  <c r="AO188" i="5"/>
  <c r="AN188" i="5"/>
  <c r="AM188" i="5"/>
  <c r="AL188" i="5"/>
  <c r="AK188" i="5"/>
  <c r="AJ188" i="5"/>
  <c r="AI188" i="5"/>
  <c r="AH188" i="5"/>
  <c r="AG188" i="5"/>
  <c r="AF188" i="5"/>
  <c r="AE188" i="5"/>
  <c r="AD188" i="5"/>
  <c r="AC188" i="5"/>
  <c r="AB188" i="5"/>
  <c r="AA188" i="5"/>
  <c r="Z188" i="5"/>
  <c r="Y188" i="5"/>
  <c r="X188" i="5"/>
  <c r="W188" i="5"/>
  <c r="V188" i="5"/>
  <c r="U188" i="5"/>
  <c r="T188" i="5"/>
  <c r="S188" i="5"/>
  <c r="R188" i="5"/>
  <c r="Q188" i="5"/>
  <c r="P188" i="5"/>
  <c r="O188" i="5"/>
  <c r="N188" i="5"/>
  <c r="M188" i="5"/>
  <c r="L188" i="5"/>
  <c r="K188" i="5"/>
  <c r="J188" i="5"/>
  <c r="I188" i="5"/>
  <c r="H188" i="5"/>
  <c r="G188" i="5"/>
  <c r="F188" i="5"/>
  <c r="E188" i="5"/>
  <c r="D188" i="5"/>
  <c r="C188" i="5"/>
  <c r="B188" i="5"/>
  <c r="BI187" i="5"/>
  <c r="BH187" i="5"/>
  <c r="BG187" i="5"/>
  <c r="BF187" i="5"/>
  <c r="BE187" i="5"/>
  <c r="BD187" i="5"/>
  <c r="BC187" i="5"/>
  <c r="BB187" i="5"/>
  <c r="BA187" i="5"/>
  <c r="AZ187" i="5"/>
  <c r="AY187" i="5"/>
  <c r="AX187" i="5"/>
  <c r="AW187" i="5"/>
  <c r="AV187" i="5"/>
  <c r="AU187" i="5"/>
  <c r="AT187" i="5"/>
  <c r="AS187" i="5"/>
  <c r="AR187" i="5"/>
  <c r="AQ187" i="5"/>
  <c r="AP187" i="5"/>
  <c r="AO187" i="5"/>
  <c r="AN187" i="5"/>
  <c r="AM187" i="5"/>
  <c r="AL187" i="5"/>
  <c r="AK187" i="5"/>
  <c r="AJ187" i="5"/>
  <c r="AI187" i="5"/>
  <c r="AH187" i="5"/>
  <c r="AG187" i="5"/>
  <c r="AF187" i="5"/>
  <c r="AE187" i="5"/>
  <c r="AD187" i="5"/>
  <c r="AC187" i="5"/>
  <c r="AB187" i="5"/>
  <c r="AA187" i="5"/>
  <c r="Z187" i="5"/>
  <c r="Y187" i="5"/>
  <c r="X187" i="5"/>
  <c r="W187" i="5"/>
  <c r="V187" i="5"/>
  <c r="U187" i="5"/>
  <c r="T187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D187" i="5"/>
  <c r="C187" i="5"/>
  <c r="B187" i="5"/>
  <c r="BI186" i="5"/>
  <c r="BH186" i="5"/>
  <c r="BG186" i="5"/>
  <c r="BF186" i="5"/>
  <c r="BE186" i="5"/>
  <c r="BD186" i="5"/>
  <c r="BC186" i="5"/>
  <c r="BB186" i="5"/>
  <c r="BA186" i="5"/>
  <c r="AZ186" i="5"/>
  <c r="AY186" i="5"/>
  <c r="AX186" i="5"/>
  <c r="AW186" i="5"/>
  <c r="AV186" i="5"/>
  <c r="AU186" i="5"/>
  <c r="AT186" i="5"/>
  <c r="AS186" i="5"/>
  <c r="AR186" i="5"/>
  <c r="AQ186" i="5"/>
  <c r="AP186" i="5"/>
  <c r="AO186" i="5"/>
  <c r="AN186" i="5"/>
  <c r="AM186" i="5"/>
  <c r="AL186" i="5"/>
  <c r="AK186" i="5"/>
  <c r="AJ186" i="5"/>
  <c r="AI186" i="5"/>
  <c r="AH186" i="5"/>
  <c r="AG186" i="5"/>
  <c r="AF186" i="5"/>
  <c r="AE186" i="5"/>
  <c r="AD186" i="5"/>
  <c r="AC186" i="5"/>
  <c r="AB186" i="5"/>
  <c r="AA186" i="5"/>
  <c r="Z186" i="5"/>
  <c r="Y186" i="5"/>
  <c r="X186" i="5"/>
  <c r="W186" i="5"/>
  <c r="V186" i="5"/>
  <c r="U186" i="5"/>
  <c r="T186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D186" i="5"/>
  <c r="C186" i="5"/>
  <c r="B186" i="5"/>
  <c r="BI185" i="5"/>
  <c r="BH185" i="5"/>
  <c r="BG185" i="5"/>
  <c r="BF185" i="5"/>
  <c r="BE185" i="5"/>
  <c r="BD185" i="5"/>
  <c r="BC185" i="5"/>
  <c r="BB185" i="5"/>
  <c r="BA185" i="5"/>
  <c r="AZ185" i="5"/>
  <c r="AY185" i="5"/>
  <c r="AX185" i="5"/>
  <c r="AW185" i="5"/>
  <c r="AV185" i="5"/>
  <c r="AU185" i="5"/>
  <c r="AT185" i="5"/>
  <c r="AS185" i="5"/>
  <c r="AR185" i="5"/>
  <c r="AQ185" i="5"/>
  <c r="AP185" i="5"/>
  <c r="AO185" i="5"/>
  <c r="AN185" i="5"/>
  <c r="AM185" i="5"/>
  <c r="AL185" i="5"/>
  <c r="AK185" i="5"/>
  <c r="AJ185" i="5"/>
  <c r="AI185" i="5"/>
  <c r="AH185" i="5"/>
  <c r="AG185" i="5"/>
  <c r="AF185" i="5"/>
  <c r="AE185" i="5"/>
  <c r="AD185" i="5"/>
  <c r="AC185" i="5"/>
  <c r="AB185" i="5"/>
  <c r="AA185" i="5"/>
  <c r="Z185" i="5"/>
  <c r="Y185" i="5"/>
  <c r="X185" i="5"/>
  <c r="W185" i="5"/>
  <c r="V185" i="5"/>
  <c r="U185" i="5"/>
  <c r="T185" i="5"/>
  <c r="S185" i="5"/>
  <c r="R185" i="5"/>
  <c r="Q185" i="5"/>
  <c r="P185" i="5"/>
  <c r="O185" i="5"/>
  <c r="N185" i="5"/>
  <c r="M185" i="5"/>
  <c r="L185" i="5"/>
  <c r="K185" i="5"/>
  <c r="J185" i="5"/>
  <c r="I185" i="5"/>
  <c r="H185" i="5"/>
  <c r="G185" i="5"/>
  <c r="F185" i="5"/>
  <c r="E185" i="5"/>
  <c r="D185" i="5"/>
  <c r="C185" i="5"/>
  <c r="B185" i="5"/>
  <c r="BI184" i="5"/>
  <c r="BH184" i="5"/>
  <c r="BG184" i="5"/>
  <c r="BF184" i="5"/>
  <c r="BE184" i="5"/>
  <c r="BD184" i="5"/>
  <c r="BC184" i="5"/>
  <c r="BB184" i="5"/>
  <c r="BA184" i="5"/>
  <c r="AZ184" i="5"/>
  <c r="AY184" i="5"/>
  <c r="AX184" i="5"/>
  <c r="AW184" i="5"/>
  <c r="AV184" i="5"/>
  <c r="AU184" i="5"/>
  <c r="AT184" i="5"/>
  <c r="AS184" i="5"/>
  <c r="AR184" i="5"/>
  <c r="AQ184" i="5"/>
  <c r="AP184" i="5"/>
  <c r="AO184" i="5"/>
  <c r="AN184" i="5"/>
  <c r="AM184" i="5"/>
  <c r="AL184" i="5"/>
  <c r="AK184" i="5"/>
  <c r="AJ184" i="5"/>
  <c r="AI184" i="5"/>
  <c r="AH184" i="5"/>
  <c r="AG184" i="5"/>
  <c r="AF184" i="5"/>
  <c r="AE184" i="5"/>
  <c r="AD184" i="5"/>
  <c r="AC184" i="5"/>
  <c r="AB184" i="5"/>
  <c r="AA184" i="5"/>
  <c r="Z184" i="5"/>
  <c r="Y184" i="5"/>
  <c r="X184" i="5"/>
  <c r="W184" i="5"/>
  <c r="V184" i="5"/>
  <c r="U184" i="5"/>
  <c r="T184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D184" i="5"/>
  <c r="C184" i="5"/>
  <c r="B184" i="5"/>
  <c r="BI183" i="5"/>
  <c r="BH183" i="5"/>
  <c r="BG183" i="5"/>
  <c r="BF183" i="5"/>
  <c r="BE183" i="5"/>
  <c r="BD183" i="5"/>
  <c r="BC183" i="5"/>
  <c r="BB183" i="5"/>
  <c r="BA183" i="5"/>
  <c r="AZ183" i="5"/>
  <c r="AY183" i="5"/>
  <c r="AX183" i="5"/>
  <c r="AW183" i="5"/>
  <c r="AV183" i="5"/>
  <c r="AU183" i="5"/>
  <c r="AT183" i="5"/>
  <c r="AS183" i="5"/>
  <c r="AR183" i="5"/>
  <c r="AQ183" i="5"/>
  <c r="AP183" i="5"/>
  <c r="AO183" i="5"/>
  <c r="AN183" i="5"/>
  <c r="AM183" i="5"/>
  <c r="AL183" i="5"/>
  <c r="AK183" i="5"/>
  <c r="AJ183" i="5"/>
  <c r="AI183" i="5"/>
  <c r="AH183" i="5"/>
  <c r="AG183" i="5"/>
  <c r="AF183" i="5"/>
  <c r="AE183" i="5"/>
  <c r="AD183" i="5"/>
  <c r="AC183" i="5"/>
  <c r="AB183" i="5"/>
  <c r="AA183" i="5"/>
  <c r="Z183" i="5"/>
  <c r="Y183" i="5"/>
  <c r="X183" i="5"/>
  <c r="W183" i="5"/>
  <c r="V183" i="5"/>
  <c r="U183" i="5"/>
  <c r="T183" i="5"/>
  <c r="S183" i="5"/>
  <c r="R183" i="5"/>
  <c r="Q183" i="5"/>
  <c r="P183" i="5"/>
  <c r="O183" i="5"/>
  <c r="N183" i="5"/>
  <c r="M183" i="5"/>
  <c r="L183" i="5"/>
  <c r="K183" i="5"/>
  <c r="J183" i="5"/>
  <c r="I183" i="5"/>
  <c r="H183" i="5"/>
  <c r="G183" i="5"/>
  <c r="F183" i="5"/>
  <c r="E183" i="5"/>
  <c r="D183" i="5"/>
  <c r="C183" i="5"/>
  <c r="B183" i="5"/>
  <c r="BI182" i="5"/>
  <c r="BH182" i="5"/>
  <c r="BG182" i="5"/>
  <c r="BF182" i="5"/>
  <c r="BE182" i="5"/>
  <c r="BD182" i="5"/>
  <c r="BC182" i="5"/>
  <c r="BB182" i="5"/>
  <c r="BA182" i="5"/>
  <c r="AZ182" i="5"/>
  <c r="AY182" i="5"/>
  <c r="AX182" i="5"/>
  <c r="AW182" i="5"/>
  <c r="AV182" i="5"/>
  <c r="AU182" i="5"/>
  <c r="AT182" i="5"/>
  <c r="AS182" i="5"/>
  <c r="AR182" i="5"/>
  <c r="AQ182" i="5"/>
  <c r="AP182" i="5"/>
  <c r="AO182" i="5"/>
  <c r="AN182" i="5"/>
  <c r="AM182" i="5"/>
  <c r="AL182" i="5"/>
  <c r="AK182" i="5"/>
  <c r="AJ182" i="5"/>
  <c r="AI182" i="5"/>
  <c r="AH182" i="5"/>
  <c r="AG182" i="5"/>
  <c r="AF182" i="5"/>
  <c r="AE182" i="5"/>
  <c r="AD182" i="5"/>
  <c r="AC182" i="5"/>
  <c r="AB182" i="5"/>
  <c r="AA182" i="5"/>
  <c r="Z182" i="5"/>
  <c r="Y182" i="5"/>
  <c r="X182" i="5"/>
  <c r="W182" i="5"/>
  <c r="V182" i="5"/>
  <c r="U182" i="5"/>
  <c r="T182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D182" i="5"/>
  <c r="C182" i="5"/>
  <c r="B182" i="5"/>
  <c r="BI181" i="5"/>
  <c r="BH181" i="5"/>
  <c r="BG181" i="5"/>
  <c r="BF181" i="5"/>
  <c r="BE181" i="5"/>
  <c r="BD181" i="5"/>
  <c r="BC181" i="5"/>
  <c r="BB181" i="5"/>
  <c r="BA181" i="5"/>
  <c r="AZ181" i="5"/>
  <c r="AY181" i="5"/>
  <c r="AX181" i="5"/>
  <c r="AW181" i="5"/>
  <c r="AV181" i="5"/>
  <c r="AU181" i="5"/>
  <c r="AT181" i="5"/>
  <c r="AS181" i="5"/>
  <c r="AR181" i="5"/>
  <c r="AQ181" i="5"/>
  <c r="AP181" i="5"/>
  <c r="AO181" i="5"/>
  <c r="AN181" i="5"/>
  <c r="AM181" i="5"/>
  <c r="AL181" i="5"/>
  <c r="AK181" i="5"/>
  <c r="AJ181" i="5"/>
  <c r="AI181" i="5"/>
  <c r="AH181" i="5"/>
  <c r="AG181" i="5"/>
  <c r="AF181" i="5"/>
  <c r="AE181" i="5"/>
  <c r="AD181" i="5"/>
  <c r="AC181" i="5"/>
  <c r="AB181" i="5"/>
  <c r="AA181" i="5"/>
  <c r="Z181" i="5"/>
  <c r="Y181" i="5"/>
  <c r="X181" i="5"/>
  <c r="W181" i="5"/>
  <c r="V181" i="5"/>
  <c r="U181" i="5"/>
  <c r="T181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D181" i="5"/>
  <c r="C181" i="5"/>
  <c r="B181" i="5"/>
  <c r="BI180" i="5"/>
  <c r="BH180" i="5"/>
  <c r="BG180" i="5"/>
  <c r="BF180" i="5"/>
  <c r="BE180" i="5"/>
  <c r="BD180" i="5"/>
  <c r="BC180" i="5"/>
  <c r="BB180" i="5"/>
  <c r="BA180" i="5"/>
  <c r="AZ180" i="5"/>
  <c r="AY180" i="5"/>
  <c r="AX180" i="5"/>
  <c r="AW180" i="5"/>
  <c r="AV180" i="5"/>
  <c r="AU180" i="5"/>
  <c r="AT180" i="5"/>
  <c r="AS180" i="5"/>
  <c r="AR180" i="5"/>
  <c r="AQ180" i="5"/>
  <c r="AP180" i="5"/>
  <c r="AO180" i="5"/>
  <c r="AN180" i="5"/>
  <c r="AM180" i="5"/>
  <c r="AL180" i="5"/>
  <c r="AK180" i="5"/>
  <c r="AJ180" i="5"/>
  <c r="AI180" i="5"/>
  <c r="AH180" i="5"/>
  <c r="AG180" i="5"/>
  <c r="AF180" i="5"/>
  <c r="AE180" i="5"/>
  <c r="AD180" i="5"/>
  <c r="AC180" i="5"/>
  <c r="AB180" i="5"/>
  <c r="AA180" i="5"/>
  <c r="Z180" i="5"/>
  <c r="Y180" i="5"/>
  <c r="X180" i="5"/>
  <c r="W180" i="5"/>
  <c r="V180" i="5"/>
  <c r="U180" i="5"/>
  <c r="T180" i="5"/>
  <c r="S180" i="5"/>
  <c r="R180" i="5"/>
  <c r="Q180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D180" i="5"/>
  <c r="C180" i="5"/>
  <c r="B180" i="5"/>
  <c r="BI179" i="5"/>
  <c r="BH179" i="5"/>
  <c r="BG179" i="5"/>
  <c r="BF179" i="5"/>
  <c r="BE179" i="5"/>
  <c r="BD179" i="5"/>
  <c r="BC179" i="5"/>
  <c r="BB179" i="5"/>
  <c r="BA179" i="5"/>
  <c r="AZ179" i="5"/>
  <c r="AY179" i="5"/>
  <c r="AX179" i="5"/>
  <c r="AW179" i="5"/>
  <c r="AV179" i="5"/>
  <c r="AU179" i="5"/>
  <c r="AT179" i="5"/>
  <c r="AS179" i="5"/>
  <c r="AR179" i="5"/>
  <c r="AQ179" i="5"/>
  <c r="AP179" i="5"/>
  <c r="AO179" i="5"/>
  <c r="AN179" i="5"/>
  <c r="AM179" i="5"/>
  <c r="AL179" i="5"/>
  <c r="AK179" i="5"/>
  <c r="AJ179" i="5"/>
  <c r="AI179" i="5"/>
  <c r="AH179" i="5"/>
  <c r="AG179" i="5"/>
  <c r="AF179" i="5"/>
  <c r="AE179" i="5"/>
  <c r="AD179" i="5"/>
  <c r="AC179" i="5"/>
  <c r="AB179" i="5"/>
  <c r="AA179" i="5"/>
  <c r="Z179" i="5"/>
  <c r="Y179" i="5"/>
  <c r="X179" i="5"/>
  <c r="W179" i="5"/>
  <c r="V179" i="5"/>
  <c r="U179" i="5"/>
  <c r="T179" i="5"/>
  <c r="S179" i="5"/>
  <c r="R179" i="5"/>
  <c r="Q179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D179" i="5"/>
  <c r="C179" i="5"/>
  <c r="B179" i="5"/>
  <c r="BI178" i="5"/>
  <c r="BH178" i="5"/>
  <c r="BG178" i="5"/>
  <c r="BF178" i="5"/>
  <c r="BE178" i="5"/>
  <c r="BD178" i="5"/>
  <c r="BC178" i="5"/>
  <c r="BB178" i="5"/>
  <c r="BA178" i="5"/>
  <c r="AZ178" i="5"/>
  <c r="AY178" i="5"/>
  <c r="AX178" i="5"/>
  <c r="AW178" i="5"/>
  <c r="AV178" i="5"/>
  <c r="AU178" i="5"/>
  <c r="AT178" i="5"/>
  <c r="AS178" i="5"/>
  <c r="AR178" i="5"/>
  <c r="AQ178" i="5"/>
  <c r="AP178" i="5"/>
  <c r="AO178" i="5"/>
  <c r="AN178" i="5"/>
  <c r="AM178" i="5"/>
  <c r="AL178" i="5"/>
  <c r="AK178" i="5"/>
  <c r="AJ178" i="5"/>
  <c r="AI178" i="5"/>
  <c r="AH178" i="5"/>
  <c r="AG178" i="5"/>
  <c r="AF178" i="5"/>
  <c r="AE178" i="5"/>
  <c r="AD178" i="5"/>
  <c r="AC178" i="5"/>
  <c r="AB178" i="5"/>
  <c r="AA178" i="5"/>
  <c r="Z178" i="5"/>
  <c r="Y178" i="5"/>
  <c r="X178" i="5"/>
  <c r="W178" i="5"/>
  <c r="V178" i="5"/>
  <c r="U178" i="5"/>
  <c r="T178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D178" i="5"/>
  <c r="C178" i="5"/>
  <c r="B178" i="5"/>
  <c r="BI177" i="5"/>
  <c r="BH177" i="5"/>
  <c r="BG177" i="5"/>
  <c r="BF177" i="5"/>
  <c r="BE177" i="5"/>
  <c r="BD177" i="5"/>
  <c r="BC177" i="5"/>
  <c r="BB177" i="5"/>
  <c r="BA177" i="5"/>
  <c r="AZ177" i="5"/>
  <c r="AY177" i="5"/>
  <c r="AX177" i="5"/>
  <c r="AW177" i="5"/>
  <c r="AV177" i="5"/>
  <c r="AU177" i="5"/>
  <c r="AT177" i="5"/>
  <c r="AS177" i="5"/>
  <c r="AR177" i="5"/>
  <c r="AQ177" i="5"/>
  <c r="AP177" i="5"/>
  <c r="AO177" i="5"/>
  <c r="AN177" i="5"/>
  <c r="AM177" i="5"/>
  <c r="AL177" i="5"/>
  <c r="AK177" i="5"/>
  <c r="AJ177" i="5"/>
  <c r="AI177" i="5"/>
  <c r="AH177" i="5"/>
  <c r="AG177" i="5"/>
  <c r="AF177" i="5"/>
  <c r="AE177" i="5"/>
  <c r="AD177" i="5"/>
  <c r="AC177" i="5"/>
  <c r="AB177" i="5"/>
  <c r="AA177" i="5"/>
  <c r="Z177" i="5"/>
  <c r="Y177" i="5"/>
  <c r="X177" i="5"/>
  <c r="W177" i="5"/>
  <c r="V177" i="5"/>
  <c r="U177" i="5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D177" i="5"/>
  <c r="C177" i="5"/>
  <c r="B177" i="5"/>
  <c r="BI176" i="5"/>
  <c r="BH176" i="5"/>
  <c r="BG176" i="5"/>
  <c r="BF176" i="5"/>
  <c r="BE176" i="5"/>
  <c r="BD176" i="5"/>
  <c r="BC176" i="5"/>
  <c r="BB176" i="5"/>
  <c r="BA176" i="5"/>
  <c r="AZ176" i="5"/>
  <c r="AY176" i="5"/>
  <c r="AX176" i="5"/>
  <c r="AW176" i="5"/>
  <c r="AV176" i="5"/>
  <c r="AU176" i="5"/>
  <c r="AT176" i="5"/>
  <c r="AS176" i="5"/>
  <c r="AR176" i="5"/>
  <c r="AQ176" i="5"/>
  <c r="AP176" i="5"/>
  <c r="AO176" i="5"/>
  <c r="AN176" i="5"/>
  <c r="AM176" i="5"/>
  <c r="AL176" i="5"/>
  <c r="AK176" i="5"/>
  <c r="AJ176" i="5"/>
  <c r="AI176" i="5"/>
  <c r="AH176" i="5"/>
  <c r="AG176" i="5"/>
  <c r="AF176" i="5"/>
  <c r="AE176" i="5"/>
  <c r="AD176" i="5"/>
  <c r="AC176" i="5"/>
  <c r="AB176" i="5"/>
  <c r="AA176" i="5"/>
  <c r="Z176" i="5"/>
  <c r="Y176" i="5"/>
  <c r="X176" i="5"/>
  <c r="W176" i="5"/>
  <c r="V176" i="5"/>
  <c r="U176" i="5"/>
  <c r="T176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D176" i="5"/>
  <c r="C176" i="5"/>
  <c r="B176" i="5"/>
  <c r="BI175" i="5"/>
  <c r="BH175" i="5"/>
  <c r="BG175" i="5"/>
  <c r="BF175" i="5"/>
  <c r="BE175" i="5"/>
  <c r="BD175" i="5"/>
  <c r="BC175" i="5"/>
  <c r="BB175" i="5"/>
  <c r="BA175" i="5"/>
  <c r="AZ175" i="5"/>
  <c r="AY175" i="5"/>
  <c r="AX175" i="5"/>
  <c r="AW175" i="5"/>
  <c r="AV175" i="5"/>
  <c r="AU175" i="5"/>
  <c r="AT175" i="5"/>
  <c r="AS175" i="5"/>
  <c r="AR175" i="5"/>
  <c r="AQ175" i="5"/>
  <c r="AP175" i="5"/>
  <c r="AO175" i="5"/>
  <c r="AN175" i="5"/>
  <c r="AM175" i="5"/>
  <c r="AL175" i="5"/>
  <c r="AK175" i="5"/>
  <c r="AJ175" i="5"/>
  <c r="AI175" i="5"/>
  <c r="AH175" i="5"/>
  <c r="AG175" i="5"/>
  <c r="AF175" i="5"/>
  <c r="AE175" i="5"/>
  <c r="AD175" i="5"/>
  <c r="AC175" i="5"/>
  <c r="AB175" i="5"/>
  <c r="AA175" i="5"/>
  <c r="Z175" i="5"/>
  <c r="Y175" i="5"/>
  <c r="X175" i="5"/>
  <c r="W175" i="5"/>
  <c r="V175" i="5"/>
  <c r="U175" i="5"/>
  <c r="T175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D175" i="5"/>
  <c r="C175" i="5"/>
  <c r="B175" i="5"/>
  <c r="BI174" i="5"/>
  <c r="BH174" i="5"/>
  <c r="BG174" i="5"/>
  <c r="BF174" i="5"/>
  <c r="BE174" i="5"/>
  <c r="BD174" i="5"/>
  <c r="BC174" i="5"/>
  <c r="BB174" i="5"/>
  <c r="BA174" i="5"/>
  <c r="AZ174" i="5"/>
  <c r="AY174" i="5"/>
  <c r="AX174" i="5"/>
  <c r="AW174" i="5"/>
  <c r="AV174" i="5"/>
  <c r="AU174" i="5"/>
  <c r="AT174" i="5"/>
  <c r="AS174" i="5"/>
  <c r="AR174" i="5"/>
  <c r="AQ174" i="5"/>
  <c r="AP174" i="5"/>
  <c r="AO174" i="5"/>
  <c r="AN174" i="5"/>
  <c r="AM174" i="5"/>
  <c r="AL174" i="5"/>
  <c r="AK174" i="5"/>
  <c r="AJ174" i="5"/>
  <c r="AI174" i="5"/>
  <c r="AH174" i="5"/>
  <c r="AG174" i="5"/>
  <c r="AF174" i="5"/>
  <c r="AE174" i="5"/>
  <c r="AD174" i="5"/>
  <c r="AC174" i="5"/>
  <c r="AB174" i="5"/>
  <c r="AA174" i="5"/>
  <c r="Z174" i="5"/>
  <c r="Y174" i="5"/>
  <c r="X174" i="5"/>
  <c r="W174" i="5"/>
  <c r="V174" i="5"/>
  <c r="U174" i="5"/>
  <c r="T174" i="5"/>
  <c r="S174" i="5"/>
  <c r="R174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D174" i="5"/>
  <c r="C174" i="5"/>
  <c r="B174" i="5"/>
  <c r="BI173" i="5"/>
  <c r="BH173" i="5"/>
  <c r="BG173" i="5"/>
  <c r="BF173" i="5"/>
  <c r="BE173" i="5"/>
  <c r="BD173" i="5"/>
  <c r="BC173" i="5"/>
  <c r="BB173" i="5"/>
  <c r="BA173" i="5"/>
  <c r="AZ173" i="5"/>
  <c r="AY173" i="5"/>
  <c r="AX173" i="5"/>
  <c r="AW173" i="5"/>
  <c r="AV173" i="5"/>
  <c r="AU173" i="5"/>
  <c r="AT173" i="5"/>
  <c r="AS173" i="5"/>
  <c r="AR173" i="5"/>
  <c r="AQ173" i="5"/>
  <c r="AP173" i="5"/>
  <c r="AO173" i="5"/>
  <c r="AN173" i="5"/>
  <c r="AM173" i="5"/>
  <c r="AL173" i="5"/>
  <c r="AK173" i="5"/>
  <c r="AJ173" i="5"/>
  <c r="AI173" i="5"/>
  <c r="AH173" i="5"/>
  <c r="AG173" i="5"/>
  <c r="AF173" i="5"/>
  <c r="AE173" i="5"/>
  <c r="AD173" i="5"/>
  <c r="AC173" i="5"/>
  <c r="AB173" i="5"/>
  <c r="AA173" i="5"/>
  <c r="Z173" i="5"/>
  <c r="Y173" i="5"/>
  <c r="X173" i="5"/>
  <c r="W173" i="5"/>
  <c r="V173" i="5"/>
  <c r="U173" i="5"/>
  <c r="T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C173" i="5"/>
  <c r="B173" i="5"/>
  <c r="BI172" i="5"/>
  <c r="BH172" i="5"/>
  <c r="BG172" i="5"/>
  <c r="BF172" i="5"/>
  <c r="BE172" i="5"/>
  <c r="BD172" i="5"/>
  <c r="BC172" i="5"/>
  <c r="BB172" i="5"/>
  <c r="BA172" i="5"/>
  <c r="AZ172" i="5"/>
  <c r="AY172" i="5"/>
  <c r="AX172" i="5"/>
  <c r="AW172" i="5"/>
  <c r="AV172" i="5"/>
  <c r="AU172" i="5"/>
  <c r="AT172" i="5"/>
  <c r="AS172" i="5"/>
  <c r="AR172" i="5"/>
  <c r="AQ172" i="5"/>
  <c r="AP172" i="5"/>
  <c r="AO172" i="5"/>
  <c r="AN172" i="5"/>
  <c r="AM172" i="5"/>
  <c r="AL172" i="5"/>
  <c r="AK172" i="5"/>
  <c r="AJ172" i="5"/>
  <c r="AI172" i="5"/>
  <c r="AH172" i="5"/>
  <c r="AG172" i="5"/>
  <c r="AF172" i="5"/>
  <c r="AE172" i="5"/>
  <c r="AD172" i="5"/>
  <c r="AC172" i="5"/>
  <c r="AB172" i="5"/>
  <c r="AA172" i="5"/>
  <c r="Z172" i="5"/>
  <c r="Y172" i="5"/>
  <c r="X172" i="5"/>
  <c r="W172" i="5"/>
  <c r="V172" i="5"/>
  <c r="U172" i="5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C172" i="5"/>
  <c r="B172" i="5"/>
  <c r="BI171" i="5"/>
  <c r="BH171" i="5"/>
  <c r="BG171" i="5"/>
  <c r="BF171" i="5"/>
  <c r="BE171" i="5"/>
  <c r="BD171" i="5"/>
  <c r="BC171" i="5"/>
  <c r="BB171" i="5"/>
  <c r="BA171" i="5"/>
  <c r="AZ171" i="5"/>
  <c r="AY171" i="5"/>
  <c r="AX171" i="5"/>
  <c r="AW171" i="5"/>
  <c r="AV171" i="5"/>
  <c r="AU171" i="5"/>
  <c r="AT171" i="5"/>
  <c r="AS171" i="5"/>
  <c r="AR171" i="5"/>
  <c r="AQ171" i="5"/>
  <c r="AP171" i="5"/>
  <c r="AO171" i="5"/>
  <c r="AN171" i="5"/>
  <c r="AM171" i="5"/>
  <c r="AL171" i="5"/>
  <c r="AK171" i="5"/>
  <c r="AJ171" i="5"/>
  <c r="AI171" i="5"/>
  <c r="AH171" i="5"/>
  <c r="AG171" i="5"/>
  <c r="AF171" i="5"/>
  <c r="AE171" i="5"/>
  <c r="AD171" i="5"/>
  <c r="AC171" i="5"/>
  <c r="AB171" i="5"/>
  <c r="AA171" i="5"/>
  <c r="Z171" i="5"/>
  <c r="Y171" i="5"/>
  <c r="X171" i="5"/>
  <c r="W171" i="5"/>
  <c r="V171" i="5"/>
  <c r="U171" i="5"/>
  <c r="T171" i="5"/>
  <c r="S171" i="5"/>
  <c r="R171" i="5"/>
  <c r="Q171" i="5"/>
  <c r="P171" i="5"/>
  <c r="O171" i="5"/>
  <c r="N171" i="5"/>
  <c r="M171" i="5"/>
  <c r="L171" i="5"/>
  <c r="K171" i="5"/>
  <c r="J171" i="5"/>
  <c r="I171" i="5"/>
  <c r="H171" i="5"/>
  <c r="G171" i="5"/>
  <c r="F171" i="5"/>
  <c r="E171" i="5"/>
  <c r="D171" i="5"/>
  <c r="C171" i="5"/>
  <c r="B171" i="5"/>
  <c r="BI170" i="5"/>
  <c r="BH170" i="5"/>
  <c r="BG170" i="5"/>
  <c r="BF170" i="5"/>
  <c r="BE170" i="5"/>
  <c r="BD170" i="5"/>
  <c r="BC170" i="5"/>
  <c r="BB170" i="5"/>
  <c r="BA170" i="5"/>
  <c r="AZ170" i="5"/>
  <c r="AY170" i="5"/>
  <c r="AX170" i="5"/>
  <c r="AW170" i="5"/>
  <c r="AV170" i="5"/>
  <c r="AU170" i="5"/>
  <c r="AT170" i="5"/>
  <c r="AS170" i="5"/>
  <c r="AR170" i="5"/>
  <c r="AQ170" i="5"/>
  <c r="AP170" i="5"/>
  <c r="AO170" i="5"/>
  <c r="AN170" i="5"/>
  <c r="AM170" i="5"/>
  <c r="AL170" i="5"/>
  <c r="AK170" i="5"/>
  <c r="AJ170" i="5"/>
  <c r="AI170" i="5"/>
  <c r="AH170" i="5"/>
  <c r="AG170" i="5"/>
  <c r="AF170" i="5"/>
  <c r="AE170" i="5"/>
  <c r="AD170" i="5"/>
  <c r="AC170" i="5"/>
  <c r="AB170" i="5"/>
  <c r="AA170" i="5"/>
  <c r="Z170" i="5"/>
  <c r="Y170" i="5"/>
  <c r="X170" i="5"/>
  <c r="W170" i="5"/>
  <c r="V170" i="5"/>
  <c r="U170" i="5"/>
  <c r="T170" i="5"/>
  <c r="S170" i="5"/>
  <c r="R170" i="5"/>
  <c r="Q170" i="5"/>
  <c r="P170" i="5"/>
  <c r="O170" i="5"/>
  <c r="N170" i="5"/>
  <c r="M170" i="5"/>
  <c r="L170" i="5"/>
  <c r="K170" i="5"/>
  <c r="J170" i="5"/>
  <c r="I170" i="5"/>
  <c r="H170" i="5"/>
  <c r="G170" i="5"/>
  <c r="F170" i="5"/>
  <c r="E170" i="5"/>
  <c r="D170" i="5"/>
  <c r="C170" i="5"/>
  <c r="B170" i="5"/>
  <c r="BI169" i="5"/>
  <c r="BH169" i="5"/>
  <c r="BG169" i="5"/>
  <c r="BF169" i="5"/>
  <c r="BE169" i="5"/>
  <c r="BD169" i="5"/>
  <c r="BC169" i="5"/>
  <c r="BB169" i="5"/>
  <c r="BA169" i="5"/>
  <c r="AZ169" i="5"/>
  <c r="AY169" i="5"/>
  <c r="AX169" i="5"/>
  <c r="AW169" i="5"/>
  <c r="AV169" i="5"/>
  <c r="AU169" i="5"/>
  <c r="AT169" i="5"/>
  <c r="AS169" i="5"/>
  <c r="AR169" i="5"/>
  <c r="AQ169" i="5"/>
  <c r="AP169" i="5"/>
  <c r="AO169" i="5"/>
  <c r="AN169" i="5"/>
  <c r="AM169" i="5"/>
  <c r="AL169" i="5"/>
  <c r="AK169" i="5"/>
  <c r="AJ169" i="5"/>
  <c r="AI169" i="5"/>
  <c r="AH169" i="5"/>
  <c r="AG169" i="5"/>
  <c r="AF169" i="5"/>
  <c r="AE169" i="5"/>
  <c r="AD169" i="5"/>
  <c r="AC169" i="5"/>
  <c r="AB169" i="5"/>
  <c r="AA169" i="5"/>
  <c r="Z169" i="5"/>
  <c r="Y169" i="5"/>
  <c r="X169" i="5"/>
  <c r="W169" i="5"/>
  <c r="V169" i="5"/>
  <c r="U169" i="5"/>
  <c r="T169" i="5"/>
  <c r="S169" i="5"/>
  <c r="R169" i="5"/>
  <c r="Q169" i="5"/>
  <c r="P169" i="5"/>
  <c r="O169" i="5"/>
  <c r="N169" i="5"/>
  <c r="M169" i="5"/>
  <c r="L169" i="5"/>
  <c r="K169" i="5"/>
  <c r="J169" i="5"/>
  <c r="I169" i="5"/>
  <c r="H169" i="5"/>
  <c r="G169" i="5"/>
  <c r="F169" i="5"/>
  <c r="E169" i="5"/>
  <c r="D169" i="5"/>
  <c r="C169" i="5"/>
  <c r="B169" i="5"/>
  <c r="BI168" i="5"/>
  <c r="BH168" i="5"/>
  <c r="BG168" i="5"/>
  <c r="BF168" i="5"/>
  <c r="BE168" i="5"/>
  <c r="BD168" i="5"/>
  <c r="BC168" i="5"/>
  <c r="BB168" i="5"/>
  <c r="BA168" i="5"/>
  <c r="AZ168" i="5"/>
  <c r="AY168" i="5"/>
  <c r="AX168" i="5"/>
  <c r="AW168" i="5"/>
  <c r="AV168" i="5"/>
  <c r="AU168" i="5"/>
  <c r="AT168" i="5"/>
  <c r="AS168" i="5"/>
  <c r="AR168" i="5"/>
  <c r="AQ168" i="5"/>
  <c r="AP168" i="5"/>
  <c r="AO168" i="5"/>
  <c r="AN168" i="5"/>
  <c r="AM168" i="5"/>
  <c r="AL168" i="5"/>
  <c r="AK168" i="5"/>
  <c r="AJ168" i="5"/>
  <c r="AI168" i="5"/>
  <c r="AH168" i="5"/>
  <c r="AG168" i="5"/>
  <c r="AF168" i="5"/>
  <c r="AE168" i="5"/>
  <c r="AD168" i="5"/>
  <c r="AC168" i="5"/>
  <c r="AB168" i="5"/>
  <c r="AA168" i="5"/>
  <c r="Z168" i="5"/>
  <c r="Y168" i="5"/>
  <c r="X168" i="5"/>
  <c r="W168" i="5"/>
  <c r="V168" i="5"/>
  <c r="U168" i="5"/>
  <c r="T168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D168" i="5"/>
  <c r="C168" i="5"/>
  <c r="B168" i="5"/>
  <c r="BI167" i="5"/>
  <c r="BH167" i="5"/>
  <c r="BG167" i="5"/>
  <c r="BF167" i="5"/>
  <c r="BE167" i="5"/>
  <c r="BD167" i="5"/>
  <c r="BC167" i="5"/>
  <c r="BB167" i="5"/>
  <c r="BA167" i="5"/>
  <c r="AZ167" i="5"/>
  <c r="AY167" i="5"/>
  <c r="AX167" i="5"/>
  <c r="AW167" i="5"/>
  <c r="AV167" i="5"/>
  <c r="AU167" i="5"/>
  <c r="AT167" i="5"/>
  <c r="AS167" i="5"/>
  <c r="AR167" i="5"/>
  <c r="AQ167" i="5"/>
  <c r="AP167" i="5"/>
  <c r="AO167" i="5"/>
  <c r="AN167" i="5"/>
  <c r="AM167" i="5"/>
  <c r="AL167" i="5"/>
  <c r="AK167" i="5"/>
  <c r="AJ167" i="5"/>
  <c r="AI167" i="5"/>
  <c r="AH167" i="5"/>
  <c r="AG167" i="5"/>
  <c r="AF167" i="5"/>
  <c r="AE167" i="5"/>
  <c r="AD167" i="5"/>
  <c r="AC167" i="5"/>
  <c r="AB167" i="5"/>
  <c r="AA167" i="5"/>
  <c r="Z167" i="5"/>
  <c r="Y167" i="5"/>
  <c r="X167" i="5"/>
  <c r="W167" i="5"/>
  <c r="V167" i="5"/>
  <c r="U167" i="5"/>
  <c r="T167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C167" i="5"/>
  <c r="B167" i="5"/>
  <c r="BI166" i="5"/>
  <c r="BH166" i="5"/>
  <c r="BG166" i="5"/>
  <c r="BF166" i="5"/>
  <c r="BE166" i="5"/>
  <c r="BD166" i="5"/>
  <c r="BC166" i="5"/>
  <c r="BB166" i="5"/>
  <c r="BA166" i="5"/>
  <c r="AZ166" i="5"/>
  <c r="AY166" i="5"/>
  <c r="AX166" i="5"/>
  <c r="AW166" i="5"/>
  <c r="AV166" i="5"/>
  <c r="AU166" i="5"/>
  <c r="AT166" i="5"/>
  <c r="AS166" i="5"/>
  <c r="AR166" i="5"/>
  <c r="AQ166" i="5"/>
  <c r="AP166" i="5"/>
  <c r="AO166" i="5"/>
  <c r="AN166" i="5"/>
  <c r="AM166" i="5"/>
  <c r="AL166" i="5"/>
  <c r="AK166" i="5"/>
  <c r="AJ166" i="5"/>
  <c r="AI166" i="5"/>
  <c r="AH166" i="5"/>
  <c r="AG166" i="5"/>
  <c r="AF166" i="5"/>
  <c r="AE166" i="5"/>
  <c r="AD166" i="5"/>
  <c r="AC166" i="5"/>
  <c r="AB166" i="5"/>
  <c r="AA166" i="5"/>
  <c r="Z166" i="5"/>
  <c r="Y166" i="5"/>
  <c r="X166" i="5"/>
  <c r="W166" i="5"/>
  <c r="V166" i="5"/>
  <c r="U166" i="5"/>
  <c r="T166" i="5"/>
  <c r="S166" i="5"/>
  <c r="R166" i="5"/>
  <c r="Q166" i="5"/>
  <c r="P166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C166" i="5"/>
  <c r="B166" i="5"/>
  <c r="BI165" i="5"/>
  <c r="BH165" i="5"/>
  <c r="BG165" i="5"/>
  <c r="BF165" i="5"/>
  <c r="BE165" i="5"/>
  <c r="BD165" i="5"/>
  <c r="BC165" i="5"/>
  <c r="BB165" i="5"/>
  <c r="BA165" i="5"/>
  <c r="AZ165" i="5"/>
  <c r="AY165" i="5"/>
  <c r="AX165" i="5"/>
  <c r="AW165" i="5"/>
  <c r="AV165" i="5"/>
  <c r="AU165" i="5"/>
  <c r="AT165" i="5"/>
  <c r="AS165" i="5"/>
  <c r="AR165" i="5"/>
  <c r="AQ165" i="5"/>
  <c r="AP165" i="5"/>
  <c r="AO165" i="5"/>
  <c r="AN165" i="5"/>
  <c r="AM165" i="5"/>
  <c r="AL165" i="5"/>
  <c r="AK165" i="5"/>
  <c r="AJ165" i="5"/>
  <c r="AI165" i="5"/>
  <c r="AH165" i="5"/>
  <c r="AG165" i="5"/>
  <c r="AF165" i="5"/>
  <c r="AE165" i="5"/>
  <c r="AD165" i="5"/>
  <c r="AC165" i="5"/>
  <c r="AB165" i="5"/>
  <c r="AA165" i="5"/>
  <c r="Z165" i="5"/>
  <c r="Y165" i="5"/>
  <c r="X165" i="5"/>
  <c r="W165" i="5"/>
  <c r="V165" i="5"/>
  <c r="U165" i="5"/>
  <c r="T165" i="5"/>
  <c r="S165" i="5"/>
  <c r="R165" i="5"/>
  <c r="Q165" i="5"/>
  <c r="P165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C165" i="5"/>
  <c r="B165" i="5"/>
  <c r="BI164" i="5"/>
  <c r="BH164" i="5"/>
  <c r="BG164" i="5"/>
  <c r="BF164" i="5"/>
  <c r="BE164" i="5"/>
  <c r="BD164" i="5"/>
  <c r="BC164" i="5"/>
  <c r="BB164" i="5"/>
  <c r="BA164" i="5"/>
  <c r="AZ164" i="5"/>
  <c r="AY164" i="5"/>
  <c r="AX164" i="5"/>
  <c r="AW164" i="5"/>
  <c r="AV164" i="5"/>
  <c r="AU164" i="5"/>
  <c r="AT164" i="5"/>
  <c r="AS164" i="5"/>
  <c r="AR164" i="5"/>
  <c r="AQ164" i="5"/>
  <c r="AP164" i="5"/>
  <c r="AO164" i="5"/>
  <c r="AN164" i="5"/>
  <c r="AM164" i="5"/>
  <c r="AL164" i="5"/>
  <c r="AK164" i="5"/>
  <c r="AJ164" i="5"/>
  <c r="AI164" i="5"/>
  <c r="AH164" i="5"/>
  <c r="AG164" i="5"/>
  <c r="AF164" i="5"/>
  <c r="AE164" i="5"/>
  <c r="AD164" i="5"/>
  <c r="AC164" i="5"/>
  <c r="AB164" i="5"/>
  <c r="AA164" i="5"/>
  <c r="Z164" i="5"/>
  <c r="Y164" i="5"/>
  <c r="X164" i="5"/>
  <c r="W164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B164" i="5"/>
  <c r="BI163" i="5"/>
  <c r="BH163" i="5"/>
  <c r="BG163" i="5"/>
  <c r="BF163" i="5"/>
  <c r="BE163" i="5"/>
  <c r="BD163" i="5"/>
  <c r="BC163" i="5"/>
  <c r="BB163" i="5"/>
  <c r="BA163" i="5"/>
  <c r="AZ163" i="5"/>
  <c r="AY163" i="5"/>
  <c r="AX163" i="5"/>
  <c r="AW163" i="5"/>
  <c r="AV163" i="5"/>
  <c r="AU163" i="5"/>
  <c r="AT163" i="5"/>
  <c r="AS163" i="5"/>
  <c r="AR163" i="5"/>
  <c r="AQ163" i="5"/>
  <c r="AP163" i="5"/>
  <c r="AO163" i="5"/>
  <c r="AN163" i="5"/>
  <c r="AM163" i="5"/>
  <c r="AL163" i="5"/>
  <c r="AK163" i="5"/>
  <c r="AJ163" i="5"/>
  <c r="AI163" i="5"/>
  <c r="AH163" i="5"/>
  <c r="AG163" i="5"/>
  <c r="AF163" i="5"/>
  <c r="AE163" i="5"/>
  <c r="AD163" i="5"/>
  <c r="AC163" i="5"/>
  <c r="AB163" i="5"/>
  <c r="AA163" i="5"/>
  <c r="Z163" i="5"/>
  <c r="Y163" i="5"/>
  <c r="X163" i="5"/>
  <c r="W163" i="5"/>
  <c r="V163" i="5"/>
  <c r="U163" i="5"/>
  <c r="T163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C163" i="5"/>
  <c r="B163" i="5"/>
  <c r="BI162" i="5"/>
  <c r="BH162" i="5"/>
  <c r="BG162" i="5"/>
  <c r="BF162" i="5"/>
  <c r="BE162" i="5"/>
  <c r="BD162" i="5"/>
  <c r="BC162" i="5"/>
  <c r="BB162" i="5"/>
  <c r="BA162" i="5"/>
  <c r="AZ162" i="5"/>
  <c r="AY162" i="5"/>
  <c r="AX162" i="5"/>
  <c r="AW162" i="5"/>
  <c r="AV162" i="5"/>
  <c r="AU162" i="5"/>
  <c r="AT162" i="5"/>
  <c r="AS162" i="5"/>
  <c r="AR162" i="5"/>
  <c r="AQ162" i="5"/>
  <c r="AP162" i="5"/>
  <c r="AO162" i="5"/>
  <c r="AN162" i="5"/>
  <c r="AM162" i="5"/>
  <c r="AL162" i="5"/>
  <c r="AK162" i="5"/>
  <c r="AJ162" i="5"/>
  <c r="AI162" i="5"/>
  <c r="AH162" i="5"/>
  <c r="AG162" i="5"/>
  <c r="AF162" i="5"/>
  <c r="AE162" i="5"/>
  <c r="AD162" i="5"/>
  <c r="AC162" i="5"/>
  <c r="AB162" i="5"/>
  <c r="AA162" i="5"/>
  <c r="Z162" i="5"/>
  <c r="Y162" i="5"/>
  <c r="X162" i="5"/>
  <c r="W162" i="5"/>
  <c r="V162" i="5"/>
  <c r="U162" i="5"/>
  <c r="T162" i="5"/>
  <c r="S162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F162" i="5"/>
  <c r="E162" i="5"/>
  <c r="D162" i="5"/>
  <c r="C162" i="5"/>
  <c r="B162" i="5"/>
  <c r="BI161" i="5"/>
  <c r="BH161" i="5"/>
  <c r="BG161" i="5"/>
  <c r="BF161" i="5"/>
  <c r="BE161" i="5"/>
  <c r="BD161" i="5"/>
  <c r="BC161" i="5"/>
  <c r="BB161" i="5"/>
  <c r="BA161" i="5"/>
  <c r="AZ161" i="5"/>
  <c r="AY161" i="5"/>
  <c r="AX161" i="5"/>
  <c r="AW161" i="5"/>
  <c r="AV161" i="5"/>
  <c r="AU161" i="5"/>
  <c r="AT161" i="5"/>
  <c r="AS161" i="5"/>
  <c r="AR161" i="5"/>
  <c r="AQ161" i="5"/>
  <c r="AP161" i="5"/>
  <c r="AO161" i="5"/>
  <c r="AN161" i="5"/>
  <c r="AM161" i="5"/>
  <c r="AL161" i="5"/>
  <c r="AK161" i="5"/>
  <c r="AJ161" i="5"/>
  <c r="AI161" i="5"/>
  <c r="AH161" i="5"/>
  <c r="AG161" i="5"/>
  <c r="AF161" i="5"/>
  <c r="AE161" i="5"/>
  <c r="AD161" i="5"/>
  <c r="AC161" i="5"/>
  <c r="AB161" i="5"/>
  <c r="AA161" i="5"/>
  <c r="Z161" i="5"/>
  <c r="Y161" i="5"/>
  <c r="X161" i="5"/>
  <c r="W161" i="5"/>
  <c r="V161" i="5"/>
  <c r="U161" i="5"/>
  <c r="T161" i="5"/>
  <c r="S161" i="5"/>
  <c r="R161" i="5"/>
  <c r="Q161" i="5"/>
  <c r="P161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C161" i="5"/>
  <c r="B161" i="5"/>
  <c r="BI160" i="5"/>
  <c r="BH160" i="5"/>
  <c r="BG160" i="5"/>
  <c r="BF160" i="5"/>
  <c r="BE160" i="5"/>
  <c r="BD160" i="5"/>
  <c r="BC160" i="5"/>
  <c r="BB160" i="5"/>
  <c r="BA160" i="5"/>
  <c r="AZ160" i="5"/>
  <c r="AY160" i="5"/>
  <c r="AX160" i="5"/>
  <c r="AW160" i="5"/>
  <c r="AV160" i="5"/>
  <c r="AU160" i="5"/>
  <c r="AT160" i="5"/>
  <c r="AS160" i="5"/>
  <c r="AR160" i="5"/>
  <c r="AQ160" i="5"/>
  <c r="AP160" i="5"/>
  <c r="AO160" i="5"/>
  <c r="AN160" i="5"/>
  <c r="AM160" i="5"/>
  <c r="AL160" i="5"/>
  <c r="AK160" i="5"/>
  <c r="AJ160" i="5"/>
  <c r="AI160" i="5"/>
  <c r="AH160" i="5"/>
  <c r="AG160" i="5"/>
  <c r="AF160" i="5"/>
  <c r="AE160" i="5"/>
  <c r="AD160" i="5"/>
  <c r="AC160" i="5"/>
  <c r="AB160" i="5"/>
  <c r="AA160" i="5"/>
  <c r="Z160" i="5"/>
  <c r="Y160" i="5"/>
  <c r="X160" i="5"/>
  <c r="W160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B160" i="5"/>
  <c r="BI159" i="5"/>
  <c r="BH159" i="5"/>
  <c r="BG159" i="5"/>
  <c r="BF159" i="5"/>
  <c r="BE159" i="5"/>
  <c r="BD159" i="5"/>
  <c r="BC159" i="5"/>
  <c r="BB159" i="5"/>
  <c r="BA159" i="5"/>
  <c r="AZ159" i="5"/>
  <c r="AY159" i="5"/>
  <c r="AX159" i="5"/>
  <c r="AW159" i="5"/>
  <c r="AV159" i="5"/>
  <c r="AU159" i="5"/>
  <c r="AT159" i="5"/>
  <c r="AS159" i="5"/>
  <c r="AR159" i="5"/>
  <c r="AQ159" i="5"/>
  <c r="AP159" i="5"/>
  <c r="AO159" i="5"/>
  <c r="AN159" i="5"/>
  <c r="AM159" i="5"/>
  <c r="AL159" i="5"/>
  <c r="AK159" i="5"/>
  <c r="AJ159" i="5"/>
  <c r="AI159" i="5"/>
  <c r="AH159" i="5"/>
  <c r="AG159" i="5"/>
  <c r="AF159" i="5"/>
  <c r="AE159" i="5"/>
  <c r="AD159" i="5"/>
  <c r="AC159" i="5"/>
  <c r="AB159" i="5"/>
  <c r="AA159" i="5"/>
  <c r="Z159" i="5"/>
  <c r="Y159" i="5"/>
  <c r="X159" i="5"/>
  <c r="W159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C159" i="5"/>
  <c r="B159" i="5"/>
  <c r="BI158" i="5"/>
  <c r="BH158" i="5"/>
  <c r="BG158" i="5"/>
  <c r="BF158" i="5"/>
  <c r="BE158" i="5"/>
  <c r="BD158" i="5"/>
  <c r="BC158" i="5"/>
  <c r="BB158" i="5"/>
  <c r="BA158" i="5"/>
  <c r="AZ158" i="5"/>
  <c r="AY158" i="5"/>
  <c r="AX158" i="5"/>
  <c r="AW158" i="5"/>
  <c r="AV158" i="5"/>
  <c r="AU158" i="5"/>
  <c r="AT158" i="5"/>
  <c r="AS158" i="5"/>
  <c r="AR158" i="5"/>
  <c r="AQ158" i="5"/>
  <c r="AP158" i="5"/>
  <c r="AO158" i="5"/>
  <c r="AN158" i="5"/>
  <c r="AM158" i="5"/>
  <c r="AL158" i="5"/>
  <c r="AK158" i="5"/>
  <c r="AJ158" i="5"/>
  <c r="AI158" i="5"/>
  <c r="AH158" i="5"/>
  <c r="AG158" i="5"/>
  <c r="AF158" i="5"/>
  <c r="AE158" i="5"/>
  <c r="AD158" i="5"/>
  <c r="AC158" i="5"/>
  <c r="AB158" i="5"/>
  <c r="AA158" i="5"/>
  <c r="Z158" i="5"/>
  <c r="Y158" i="5"/>
  <c r="X158" i="5"/>
  <c r="W158" i="5"/>
  <c r="V158" i="5"/>
  <c r="U158" i="5"/>
  <c r="T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B158" i="5"/>
  <c r="BI157" i="5"/>
  <c r="BH157" i="5"/>
  <c r="BG157" i="5"/>
  <c r="BF157" i="5"/>
  <c r="BE157" i="5"/>
  <c r="BD157" i="5"/>
  <c r="BC157" i="5"/>
  <c r="BB157" i="5"/>
  <c r="BA157" i="5"/>
  <c r="AZ157" i="5"/>
  <c r="AY157" i="5"/>
  <c r="AX157" i="5"/>
  <c r="AW157" i="5"/>
  <c r="AV157" i="5"/>
  <c r="AU157" i="5"/>
  <c r="AT157" i="5"/>
  <c r="AS157" i="5"/>
  <c r="AR157" i="5"/>
  <c r="AQ157" i="5"/>
  <c r="AP157" i="5"/>
  <c r="AO157" i="5"/>
  <c r="AN157" i="5"/>
  <c r="AM157" i="5"/>
  <c r="AL157" i="5"/>
  <c r="AK157" i="5"/>
  <c r="AJ157" i="5"/>
  <c r="AI157" i="5"/>
  <c r="AH157" i="5"/>
  <c r="AG157" i="5"/>
  <c r="AF157" i="5"/>
  <c r="AE157" i="5"/>
  <c r="AD157" i="5"/>
  <c r="AC157" i="5"/>
  <c r="AB157" i="5"/>
  <c r="AA157" i="5"/>
  <c r="Z157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C157" i="5"/>
  <c r="B157" i="5"/>
  <c r="BI156" i="5"/>
  <c r="BH156" i="5"/>
  <c r="BG156" i="5"/>
  <c r="BF156" i="5"/>
  <c r="BE156" i="5"/>
  <c r="BD156" i="5"/>
  <c r="BC156" i="5"/>
  <c r="BB156" i="5"/>
  <c r="BA156" i="5"/>
  <c r="AZ156" i="5"/>
  <c r="AY156" i="5"/>
  <c r="AX156" i="5"/>
  <c r="AW156" i="5"/>
  <c r="AV156" i="5"/>
  <c r="AU156" i="5"/>
  <c r="AT156" i="5"/>
  <c r="AS156" i="5"/>
  <c r="AR156" i="5"/>
  <c r="AQ156" i="5"/>
  <c r="AP156" i="5"/>
  <c r="AO156" i="5"/>
  <c r="AN156" i="5"/>
  <c r="AM156" i="5"/>
  <c r="AL156" i="5"/>
  <c r="AK156" i="5"/>
  <c r="AJ156" i="5"/>
  <c r="AI156" i="5"/>
  <c r="AH156" i="5"/>
  <c r="AG156" i="5"/>
  <c r="AF156" i="5"/>
  <c r="AE156" i="5"/>
  <c r="AD156" i="5"/>
  <c r="AC156" i="5"/>
  <c r="AB156" i="5"/>
  <c r="AA156" i="5"/>
  <c r="Z156" i="5"/>
  <c r="Y156" i="5"/>
  <c r="X156" i="5"/>
  <c r="W156" i="5"/>
  <c r="V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B156" i="5"/>
  <c r="BI155" i="5"/>
  <c r="BH155" i="5"/>
  <c r="BG155" i="5"/>
  <c r="BF155" i="5"/>
  <c r="BE155" i="5"/>
  <c r="BD155" i="5"/>
  <c r="BC155" i="5"/>
  <c r="BB155" i="5"/>
  <c r="BA155" i="5"/>
  <c r="AZ155" i="5"/>
  <c r="AY155" i="5"/>
  <c r="AX155" i="5"/>
  <c r="AW155" i="5"/>
  <c r="AV155" i="5"/>
  <c r="AU155" i="5"/>
  <c r="AT155" i="5"/>
  <c r="AS155" i="5"/>
  <c r="AR155" i="5"/>
  <c r="AQ155" i="5"/>
  <c r="AP155" i="5"/>
  <c r="AO155" i="5"/>
  <c r="AN155" i="5"/>
  <c r="AM155" i="5"/>
  <c r="AL155" i="5"/>
  <c r="AK155" i="5"/>
  <c r="AJ155" i="5"/>
  <c r="AI155" i="5"/>
  <c r="AH155" i="5"/>
  <c r="AG155" i="5"/>
  <c r="AF155" i="5"/>
  <c r="AE155" i="5"/>
  <c r="AD155" i="5"/>
  <c r="AC155" i="5"/>
  <c r="AB155" i="5"/>
  <c r="AA155" i="5"/>
  <c r="Z155" i="5"/>
  <c r="Y155" i="5"/>
  <c r="X155" i="5"/>
  <c r="W155" i="5"/>
  <c r="V155" i="5"/>
  <c r="U155" i="5"/>
  <c r="T155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B155" i="5"/>
  <c r="BI154" i="5"/>
  <c r="BH154" i="5"/>
  <c r="BG154" i="5"/>
  <c r="BF154" i="5"/>
  <c r="BE154" i="5"/>
  <c r="BD154" i="5"/>
  <c r="BC154" i="5"/>
  <c r="BB154" i="5"/>
  <c r="BA154" i="5"/>
  <c r="AZ154" i="5"/>
  <c r="AY154" i="5"/>
  <c r="AX154" i="5"/>
  <c r="AW154" i="5"/>
  <c r="AV154" i="5"/>
  <c r="AU154" i="5"/>
  <c r="AT154" i="5"/>
  <c r="AS154" i="5"/>
  <c r="AR154" i="5"/>
  <c r="AQ154" i="5"/>
  <c r="AP154" i="5"/>
  <c r="AO154" i="5"/>
  <c r="AN154" i="5"/>
  <c r="AM154" i="5"/>
  <c r="AL154" i="5"/>
  <c r="AK154" i="5"/>
  <c r="AJ154" i="5"/>
  <c r="AI154" i="5"/>
  <c r="AH154" i="5"/>
  <c r="AG154" i="5"/>
  <c r="AF154" i="5"/>
  <c r="AE154" i="5"/>
  <c r="AD154" i="5"/>
  <c r="AC154" i="5"/>
  <c r="AB154" i="5"/>
  <c r="AA154" i="5"/>
  <c r="Z154" i="5"/>
  <c r="Y154" i="5"/>
  <c r="X154" i="5"/>
  <c r="W154" i="5"/>
  <c r="V154" i="5"/>
  <c r="U154" i="5"/>
  <c r="T154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D154" i="5"/>
  <c r="C154" i="5"/>
  <c r="B154" i="5"/>
  <c r="BI153" i="5"/>
  <c r="BH153" i="5"/>
  <c r="BG153" i="5"/>
  <c r="BF153" i="5"/>
  <c r="BE153" i="5"/>
  <c r="BD153" i="5"/>
  <c r="BC153" i="5"/>
  <c r="BB153" i="5"/>
  <c r="BA153" i="5"/>
  <c r="AZ153" i="5"/>
  <c r="AY153" i="5"/>
  <c r="AX153" i="5"/>
  <c r="AW153" i="5"/>
  <c r="AV153" i="5"/>
  <c r="AU153" i="5"/>
  <c r="AT153" i="5"/>
  <c r="AS153" i="5"/>
  <c r="AR153" i="5"/>
  <c r="AQ153" i="5"/>
  <c r="AP153" i="5"/>
  <c r="AO153" i="5"/>
  <c r="AN153" i="5"/>
  <c r="AM153" i="5"/>
  <c r="AL153" i="5"/>
  <c r="AK153" i="5"/>
  <c r="AJ153" i="5"/>
  <c r="AI153" i="5"/>
  <c r="AH153" i="5"/>
  <c r="AG153" i="5"/>
  <c r="AF153" i="5"/>
  <c r="AE153" i="5"/>
  <c r="AD153" i="5"/>
  <c r="AC153" i="5"/>
  <c r="AB153" i="5"/>
  <c r="AA153" i="5"/>
  <c r="Z153" i="5"/>
  <c r="Y153" i="5"/>
  <c r="X153" i="5"/>
  <c r="W153" i="5"/>
  <c r="V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D153" i="5"/>
  <c r="C153" i="5"/>
  <c r="B153" i="5"/>
  <c r="BI152" i="5"/>
  <c r="BH152" i="5"/>
  <c r="BG152" i="5"/>
  <c r="BF152" i="5"/>
  <c r="BE152" i="5"/>
  <c r="BD152" i="5"/>
  <c r="BC152" i="5"/>
  <c r="BB152" i="5"/>
  <c r="BA152" i="5"/>
  <c r="AZ152" i="5"/>
  <c r="AY152" i="5"/>
  <c r="AX152" i="5"/>
  <c r="AW152" i="5"/>
  <c r="AV152" i="5"/>
  <c r="AU152" i="5"/>
  <c r="AT152" i="5"/>
  <c r="AS152" i="5"/>
  <c r="AR152" i="5"/>
  <c r="AQ152" i="5"/>
  <c r="AP152" i="5"/>
  <c r="AO152" i="5"/>
  <c r="AN152" i="5"/>
  <c r="AM152" i="5"/>
  <c r="AL152" i="5"/>
  <c r="AK152" i="5"/>
  <c r="AJ152" i="5"/>
  <c r="AI152" i="5"/>
  <c r="AH152" i="5"/>
  <c r="AG152" i="5"/>
  <c r="AF152" i="5"/>
  <c r="AE152" i="5"/>
  <c r="AD152" i="5"/>
  <c r="AC152" i="5"/>
  <c r="AB152" i="5"/>
  <c r="AA152" i="5"/>
  <c r="Z152" i="5"/>
  <c r="Y152" i="5"/>
  <c r="X152" i="5"/>
  <c r="W152" i="5"/>
  <c r="V152" i="5"/>
  <c r="U152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B152" i="5"/>
  <c r="BI151" i="5"/>
  <c r="BH151" i="5"/>
  <c r="BG151" i="5"/>
  <c r="BF151" i="5"/>
  <c r="BE151" i="5"/>
  <c r="BD151" i="5"/>
  <c r="BC151" i="5"/>
  <c r="BB151" i="5"/>
  <c r="BA151" i="5"/>
  <c r="AZ151" i="5"/>
  <c r="AY151" i="5"/>
  <c r="AX151" i="5"/>
  <c r="AW151" i="5"/>
  <c r="AV151" i="5"/>
  <c r="AU151" i="5"/>
  <c r="AT151" i="5"/>
  <c r="AS151" i="5"/>
  <c r="AR151" i="5"/>
  <c r="AQ151" i="5"/>
  <c r="AP151" i="5"/>
  <c r="AO151" i="5"/>
  <c r="AN151" i="5"/>
  <c r="AM151" i="5"/>
  <c r="AL151" i="5"/>
  <c r="AK151" i="5"/>
  <c r="AJ151" i="5"/>
  <c r="AI151" i="5"/>
  <c r="AH151" i="5"/>
  <c r="AG151" i="5"/>
  <c r="AF151" i="5"/>
  <c r="AE151" i="5"/>
  <c r="AD151" i="5"/>
  <c r="AC151" i="5"/>
  <c r="AB151" i="5"/>
  <c r="AA151" i="5"/>
  <c r="Z151" i="5"/>
  <c r="Y151" i="5"/>
  <c r="X151" i="5"/>
  <c r="W151" i="5"/>
  <c r="V151" i="5"/>
  <c r="U151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C151" i="5"/>
  <c r="B151" i="5"/>
  <c r="BI150" i="5"/>
  <c r="BH150" i="5"/>
  <c r="BG150" i="5"/>
  <c r="BF150" i="5"/>
  <c r="BE150" i="5"/>
  <c r="BD150" i="5"/>
  <c r="BC150" i="5"/>
  <c r="BB150" i="5"/>
  <c r="BA150" i="5"/>
  <c r="AZ150" i="5"/>
  <c r="AY150" i="5"/>
  <c r="AX150" i="5"/>
  <c r="AW150" i="5"/>
  <c r="AV150" i="5"/>
  <c r="AU150" i="5"/>
  <c r="AT150" i="5"/>
  <c r="AS150" i="5"/>
  <c r="AR150" i="5"/>
  <c r="AQ150" i="5"/>
  <c r="AP150" i="5"/>
  <c r="AO150" i="5"/>
  <c r="AN150" i="5"/>
  <c r="AM150" i="5"/>
  <c r="AL150" i="5"/>
  <c r="AK150" i="5"/>
  <c r="AJ150" i="5"/>
  <c r="AI150" i="5"/>
  <c r="AH150" i="5"/>
  <c r="AG150" i="5"/>
  <c r="AF150" i="5"/>
  <c r="AE150" i="5"/>
  <c r="AD150" i="5"/>
  <c r="AC150" i="5"/>
  <c r="AB150" i="5"/>
  <c r="AA150" i="5"/>
  <c r="Z150" i="5"/>
  <c r="Y150" i="5"/>
  <c r="X150" i="5"/>
  <c r="W150" i="5"/>
  <c r="V150" i="5"/>
  <c r="U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B150" i="5"/>
  <c r="BI149" i="5"/>
  <c r="BH149" i="5"/>
  <c r="BG149" i="5"/>
  <c r="BF149" i="5"/>
  <c r="BE149" i="5"/>
  <c r="BD149" i="5"/>
  <c r="BC149" i="5"/>
  <c r="BB149" i="5"/>
  <c r="BA149" i="5"/>
  <c r="AZ149" i="5"/>
  <c r="AY149" i="5"/>
  <c r="AX149" i="5"/>
  <c r="AW149" i="5"/>
  <c r="AV149" i="5"/>
  <c r="AU149" i="5"/>
  <c r="AT149" i="5"/>
  <c r="AS149" i="5"/>
  <c r="AR149" i="5"/>
  <c r="AQ149" i="5"/>
  <c r="AP149" i="5"/>
  <c r="AO149" i="5"/>
  <c r="AN149" i="5"/>
  <c r="AM149" i="5"/>
  <c r="AL149" i="5"/>
  <c r="AK149" i="5"/>
  <c r="AJ149" i="5"/>
  <c r="AI149" i="5"/>
  <c r="AH149" i="5"/>
  <c r="AG149" i="5"/>
  <c r="AF149" i="5"/>
  <c r="AE149" i="5"/>
  <c r="AD149" i="5"/>
  <c r="AC149" i="5"/>
  <c r="AB149" i="5"/>
  <c r="AA149" i="5"/>
  <c r="Z149" i="5"/>
  <c r="Y149" i="5"/>
  <c r="X149" i="5"/>
  <c r="W149" i="5"/>
  <c r="V149" i="5"/>
  <c r="U149" i="5"/>
  <c r="T149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B149" i="5"/>
  <c r="BI148" i="5"/>
  <c r="BH148" i="5"/>
  <c r="BG148" i="5"/>
  <c r="BF148" i="5"/>
  <c r="BE148" i="5"/>
  <c r="BD148" i="5"/>
  <c r="BC148" i="5"/>
  <c r="BB148" i="5"/>
  <c r="BA148" i="5"/>
  <c r="AZ148" i="5"/>
  <c r="AY148" i="5"/>
  <c r="AX148" i="5"/>
  <c r="AW148" i="5"/>
  <c r="AV148" i="5"/>
  <c r="AU148" i="5"/>
  <c r="AT148" i="5"/>
  <c r="AS148" i="5"/>
  <c r="AR148" i="5"/>
  <c r="AQ148" i="5"/>
  <c r="AP148" i="5"/>
  <c r="AO148" i="5"/>
  <c r="AN148" i="5"/>
  <c r="AM148" i="5"/>
  <c r="AL148" i="5"/>
  <c r="AK148" i="5"/>
  <c r="AJ148" i="5"/>
  <c r="AI148" i="5"/>
  <c r="AH148" i="5"/>
  <c r="AG148" i="5"/>
  <c r="AF148" i="5"/>
  <c r="AE148" i="5"/>
  <c r="AD148" i="5"/>
  <c r="AC148" i="5"/>
  <c r="AB148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B148" i="5"/>
  <c r="BI147" i="5"/>
  <c r="BH147" i="5"/>
  <c r="BG147" i="5"/>
  <c r="BF147" i="5"/>
  <c r="BE147" i="5"/>
  <c r="BD147" i="5"/>
  <c r="BC147" i="5"/>
  <c r="BB147" i="5"/>
  <c r="BA147" i="5"/>
  <c r="AZ147" i="5"/>
  <c r="AY147" i="5"/>
  <c r="AX147" i="5"/>
  <c r="AW147" i="5"/>
  <c r="AV147" i="5"/>
  <c r="AU147" i="5"/>
  <c r="AT147" i="5"/>
  <c r="AS147" i="5"/>
  <c r="AR147" i="5"/>
  <c r="AQ147" i="5"/>
  <c r="AP147" i="5"/>
  <c r="AO147" i="5"/>
  <c r="AN147" i="5"/>
  <c r="AM147" i="5"/>
  <c r="AL147" i="5"/>
  <c r="AK147" i="5"/>
  <c r="AJ147" i="5"/>
  <c r="AI147" i="5"/>
  <c r="AH147" i="5"/>
  <c r="AG147" i="5"/>
  <c r="AF147" i="5"/>
  <c r="AE147" i="5"/>
  <c r="AD147" i="5"/>
  <c r="AC147" i="5"/>
  <c r="AB147" i="5"/>
  <c r="AA147" i="5"/>
  <c r="Z147" i="5"/>
  <c r="Y147" i="5"/>
  <c r="X147" i="5"/>
  <c r="W147" i="5"/>
  <c r="V147" i="5"/>
  <c r="U147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B147" i="5"/>
  <c r="BI146" i="5"/>
  <c r="BH146" i="5"/>
  <c r="BG146" i="5"/>
  <c r="BF146" i="5"/>
  <c r="BE146" i="5"/>
  <c r="BD146" i="5"/>
  <c r="BC146" i="5"/>
  <c r="BB146" i="5"/>
  <c r="BA146" i="5"/>
  <c r="AZ146" i="5"/>
  <c r="AY146" i="5"/>
  <c r="AX146" i="5"/>
  <c r="AW146" i="5"/>
  <c r="AV146" i="5"/>
  <c r="AU146" i="5"/>
  <c r="AT146" i="5"/>
  <c r="AS146" i="5"/>
  <c r="AR146" i="5"/>
  <c r="AQ146" i="5"/>
  <c r="AP146" i="5"/>
  <c r="AO146" i="5"/>
  <c r="AN146" i="5"/>
  <c r="AM146" i="5"/>
  <c r="AL146" i="5"/>
  <c r="AK146" i="5"/>
  <c r="AJ146" i="5"/>
  <c r="AI146" i="5"/>
  <c r="AH146" i="5"/>
  <c r="AG146" i="5"/>
  <c r="AF146" i="5"/>
  <c r="AE146" i="5"/>
  <c r="AD146" i="5"/>
  <c r="AC146" i="5"/>
  <c r="AB146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B146" i="5"/>
  <c r="BI145" i="5"/>
  <c r="BH145" i="5"/>
  <c r="BG145" i="5"/>
  <c r="BF145" i="5"/>
  <c r="BE145" i="5"/>
  <c r="BD145" i="5"/>
  <c r="BC145" i="5"/>
  <c r="BB145" i="5"/>
  <c r="BA145" i="5"/>
  <c r="AZ145" i="5"/>
  <c r="AY145" i="5"/>
  <c r="AX145" i="5"/>
  <c r="AW145" i="5"/>
  <c r="AV145" i="5"/>
  <c r="AU145" i="5"/>
  <c r="AT145" i="5"/>
  <c r="AS145" i="5"/>
  <c r="AR145" i="5"/>
  <c r="AQ145" i="5"/>
  <c r="AP145" i="5"/>
  <c r="AO145" i="5"/>
  <c r="AN145" i="5"/>
  <c r="AM145" i="5"/>
  <c r="AL145" i="5"/>
  <c r="AK145" i="5"/>
  <c r="AJ145" i="5"/>
  <c r="AI145" i="5"/>
  <c r="AH145" i="5"/>
  <c r="AG145" i="5"/>
  <c r="AF145" i="5"/>
  <c r="AE145" i="5"/>
  <c r="AD145" i="5"/>
  <c r="AC145" i="5"/>
  <c r="AB145" i="5"/>
  <c r="AA145" i="5"/>
  <c r="Z145" i="5"/>
  <c r="Y145" i="5"/>
  <c r="X145" i="5"/>
  <c r="W145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B145" i="5"/>
  <c r="BI144" i="5"/>
  <c r="BH144" i="5"/>
  <c r="BG144" i="5"/>
  <c r="BF144" i="5"/>
  <c r="BE144" i="5"/>
  <c r="BD144" i="5"/>
  <c r="BC144" i="5"/>
  <c r="BB144" i="5"/>
  <c r="BA144" i="5"/>
  <c r="AZ144" i="5"/>
  <c r="AY144" i="5"/>
  <c r="AX144" i="5"/>
  <c r="AW144" i="5"/>
  <c r="AV144" i="5"/>
  <c r="AU144" i="5"/>
  <c r="AT144" i="5"/>
  <c r="AS144" i="5"/>
  <c r="AR144" i="5"/>
  <c r="AQ144" i="5"/>
  <c r="AP144" i="5"/>
  <c r="AO144" i="5"/>
  <c r="AN144" i="5"/>
  <c r="AM144" i="5"/>
  <c r="AL144" i="5"/>
  <c r="AK144" i="5"/>
  <c r="AJ144" i="5"/>
  <c r="AI144" i="5"/>
  <c r="AH144" i="5"/>
  <c r="AG144" i="5"/>
  <c r="AF144" i="5"/>
  <c r="AE144" i="5"/>
  <c r="AD144" i="5"/>
  <c r="AC144" i="5"/>
  <c r="AB144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B144" i="5"/>
  <c r="BI143" i="5"/>
  <c r="BH143" i="5"/>
  <c r="BG143" i="5"/>
  <c r="BF143" i="5"/>
  <c r="BE143" i="5"/>
  <c r="BD143" i="5"/>
  <c r="BC143" i="5"/>
  <c r="BB143" i="5"/>
  <c r="BA143" i="5"/>
  <c r="AZ143" i="5"/>
  <c r="AY143" i="5"/>
  <c r="AX143" i="5"/>
  <c r="AW143" i="5"/>
  <c r="AV143" i="5"/>
  <c r="AU143" i="5"/>
  <c r="AT143" i="5"/>
  <c r="AS143" i="5"/>
  <c r="AR143" i="5"/>
  <c r="AQ143" i="5"/>
  <c r="AP143" i="5"/>
  <c r="AO143" i="5"/>
  <c r="AN143" i="5"/>
  <c r="AM143" i="5"/>
  <c r="AL143" i="5"/>
  <c r="AK143" i="5"/>
  <c r="AJ143" i="5"/>
  <c r="AI143" i="5"/>
  <c r="AH143" i="5"/>
  <c r="AG143" i="5"/>
  <c r="AF143" i="5"/>
  <c r="AE143" i="5"/>
  <c r="AD143" i="5"/>
  <c r="AC143" i="5"/>
  <c r="AB143" i="5"/>
  <c r="AA143" i="5"/>
  <c r="Z143" i="5"/>
  <c r="Y143" i="5"/>
  <c r="X143" i="5"/>
  <c r="W143" i="5"/>
  <c r="V143" i="5"/>
  <c r="U143" i="5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B143" i="5"/>
  <c r="BI142" i="5"/>
  <c r="BH142" i="5"/>
  <c r="BG142" i="5"/>
  <c r="BF142" i="5"/>
  <c r="BE142" i="5"/>
  <c r="BD142" i="5"/>
  <c r="BC142" i="5"/>
  <c r="BB142" i="5"/>
  <c r="BA142" i="5"/>
  <c r="AZ142" i="5"/>
  <c r="AY142" i="5"/>
  <c r="AX142" i="5"/>
  <c r="AW142" i="5"/>
  <c r="AV142" i="5"/>
  <c r="AU142" i="5"/>
  <c r="AT142" i="5"/>
  <c r="AS142" i="5"/>
  <c r="AR142" i="5"/>
  <c r="AQ142" i="5"/>
  <c r="AP142" i="5"/>
  <c r="AO142" i="5"/>
  <c r="AN142" i="5"/>
  <c r="AM142" i="5"/>
  <c r="AL142" i="5"/>
  <c r="AK142" i="5"/>
  <c r="AJ142" i="5"/>
  <c r="AI142" i="5"/>
  <c r="AH142" i="5"/>
  <c r="AG142" i="5"/>
  <c r="AF142" i="5"/>
  <c r="AE142" i="5"/>
  <c r="AD142" i="5"/>
  <c r="AC142" i="5"/>
  <c r="AB142" i="5"/>
  <c r="AA142" i="5"/>
  <c r="Z142" i="5"/>
  <c r="Y142" i="5"/>
  <c r="X142" i="5"/>
  <c r="W142" i="5"/>
  <c r="V142" i="5"/>
  <c r="U142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B142" i="5"/>
  <c r="BI141" i="5"/>
  <c r="BH141" i="5"/>
  <c r="BG141" i="5"/>
  <c r="BF141" i="5"/>
  <c r="BE141" i="5"/>
  <c r="BD141" i="5"/>
  <c r="BC141" i="5"/>
  <c r="BB141" i="5"/>
  <c r="BA141" i="5"/>
  <c r="AZ141" i="5"/>
  <c r="AY141" i="5"/>
  <c r="AX141" i="5"/>
  <c r="AW141" i="5"/>
  <c r="AV141" i="5"/>
  <c r="AU141" i="5"/>
  <c r="AT141" i="5"/>
  <c r="AS141" i="5"/>
  <c r="AR141" i="5"/>
  <c r="AQ141" i="5"/>
  <c r="AP141" i="5"/>
  <c r="AO141" i="5"/>
  <c r="AN141" i="5"/>
  <c r="AM141" i="5"/>
  <c r="AL141" i="5"/>
  <c r="AK141" i="5"/>
  <c r="AJ141" i="5"/>
  <c r="AI141" i="5"/>
  <c r="AH141" i="5"/>
  <c r="AG141" i="5"/>
  <c r="AF141" i="5"/>
  <c r="AE141" i="5"/>
  <c r="AD141" i="5"/>
  <c r="AC141" i="5"/>
  <c r="AB141" i="5"/>
  <c r="AA141" i="5"/>
  <c r="Z141" i="5"/>
  <c r="Y141" i="5"/>
  <c r="X141" i="5"/>
  <c r="W141" i="5"/>
  <c r="V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B141" i="5"/>
  <c r="BI140" i="5"/>
  <c r="BH140" i="5"/>
  <c r="BG140" i="5"/>
  <c r="BF140" i="5"/>
  <c r="BE140" i="5"/>
  <c r="BD140" i="5"/>
  <c r="BC140" i="5"/>
  <c r="BB140" i="5"/>
  <c r="BA140" i="5"/>
  <c r="AZ140" i="5"/>
  <c r="AY140" i="5"/>
  <c r="AX140" i="5"/>
  <c r="AW140" i="5"/>
  <c r="AV140" i="5"/>
  <c r="AU140" i="5"/>
  <c r="AT140" i="5"/>
  <c r="AS140" i="5"/>
  <c r="AR140" i="5"/>
  <c r="AQ140" i="5"/>
  <c r="AP140" i="5"/>
  <c r="AO140" i="5"/>
  <c r="AN140" i="5"/>
  <c r="AM140" i="5"/>
  <c r="AL140" i="5"/>
  <c r="AK140" i="5"/>
  <c r="AJ140" i="5"/>
  <c r="AI140" i="5"/>
  <c r="AH140" i="5"/>
  <c r="AG140" i="5"/>
  <c r="AF140" i="5"/>
  <c r="AE140" i="5"/>
  <c r="AD140" i="5"/>
  <c r="AC140" i="5"/>
  <c r="AB140" i="5"/>
  <c r="AA140" i="5"/>
  <c r="Z140" i="5"/>
  <c r="Y140" i="5"/>
  <c r="X140" i="5"/>
  <c r="W140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B140" i="5"/>
  <c r="BI139" i="5"/>
  <c r="BH139" i="5"/>
  <c r="BG139" i="5"/>
  <c r="BF139" i="5"/>
  <c r="BE139" i="5"/>
  <c r="BD139" i="5"/>
  <c r="BC139" i="5"/>
  <c r="BB139" i="5"/>
  <c r="BA139" i="5"/>
  <c r="AZ139" i="5"/>
  <c r="AY139" i="5"/>
  <c r="AX139" i="5"/>
  <c r="AW139" i="5"/>
  <c r="AV139" i="5"/>
  <c r="AU139" i="5"/>
  <c r="AT139" i="5"/>
  <c r="AS139" i="5"/>
  <c r="AR139" i="5"/>
  <c r="AQ139" i="5"/>
  <c r="AP139" i="5"/>
  <c r="AO139" i="5"/>
  <c r="AN139" i="5"/>
  <c r="AM139" i="5"/>
  <c r="AL139" i="5"/>
  <c r="AK139" i="5"/>
  <c r="AJ139" i="5"/>
  <c r="AI139" i="5"/>
  <c r="AH139" i="5"/>
  <c r="AG139" i="5"/>
  <c r="AF139" i="5"/>
  <c r="AE139" i="5"/>
  <c r="AD139" i="5"/>
  <c r="AC139" i="5"/>
  <c r="AB139" i="5"/>
  <c r="AA139" i="5"/>
  <c r="Z139" i="5"/>
  <c r="Y139" i="5"/>
  <c r="X139" i="5"/>
  <c r="W139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B139" i="5"/>
  <c r="BI138" i="5"/>
  <c r="BH138" i="5"/>
  <c r="BG138" i="5"/>
  <c r="BF138" i="5"/>
  <c r="BE138" i="5"/>
  <c r="BD138" i="5"/>
  <c r="BC138" i="5"/>
  <c r="BB138" i="5"/>
  <c r="BA138" i="5"/>
  <c r="AZ138" i="5"/>
  <c r="AY138" i="5"/>
  <c r="AX138" i="5"/>
  <c r="AW138" i="5"/>
  <c r="AV138" i="5"/>
  <c r="AU138" i="5"/>
  <c r="AT138" i="5"/>
  <c r="AS138" i="5"/>
  <c r="AR138" i="5"/>
  <c r="AQ138" i="5"/>
  <c r="AP138" i="5"/>
  <c r="AO138" i="5"/>
  <c r="AN138" i="5"/>
  <c r="AM138" i="5"/>
  <c r="AL138" i="5"/>
  <c r="AK138" i="5"/>
  <c r="AJ138" i="5"/>
  <c r="AI138" i="5"/>
  <c r="AH138" i="5"/>
  <c r="AG138" i="5"/>
  <c r="AF138" i="5"/>
  <c r="AE138" i="5"/>
  <c r="AD138" i="5"/>
  <c r="AC138" i="5"/>
  <c r="AB138" i="5"/>
  <c r="AA138" i="5"/>
  <c r="Z138" i="5"/>
  <c r="Y138" i="5"/>
  <c r="X138" i="5"/>
  <c r="W138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B138" i="5"/>
  <c r="BI137" i="5"/>
  <c r="BH137" i="5"/>
  <c r="BG137" i="5"/>
  <c r="BF137" i="5"/>
  <c r="BE137" i="5"/>
  <c r="BD137" i="5"/>
  <c r="BC137" i="5"/>
  <c r="BB137" i="5"/>
  <c r="BA137" i="5"/>
  <c r="AZ137" i="5"/>
  <c r="AY137" i="5"/>
  <c r="AX137" i="5"/>
  <c r="AW137" i="5"/>
  <c r="AV137" i="5"/>
  <c r="AU137" i="5"/>
  <c r="AT137" i="5"/>
  <c r="AS137" i="5"/>
  <c r="AR137" i="5"/>
  <c r="AQ137" i="5"/>
  <c r="AP137" i="5"/>
  <c r="AO137" i="5"/>
  <c r="AN137" i="5"/>
  <c r="AM137" i="5"/>
  <c r="AL137" i="5"/>
  <c r="AK137" i="5"/>
  <c r="AJ137" i="5"/>
  <c r="AI137" i="5"/>
  <c r="AH137" i="5"/>
  <c r="AG137" i="5"/>
  <c r="AF137" i="5"/>
  <c r="AE137" i="5"/>
  <c r="AD137" i="5"/>
  <c r="AC137" i="5"/>
  <c r="AB137" i="5"/>
  <c r="AA137" i="5"/>
  <c r="Z137" i="5"/>
  <c r="Y137" i="5"/>
  <c r="X137" i="5"/>
  <c r="W137" i="5"/>
  <c r="V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B137" i="5"/>
  <c r="BI136" i="5"/>
  <c r="BH136" i="5"/>
  <c r="BG136" i="5"/>
  <c r="BF136" i="5"/>
  <c r="BE136" i="5"/>
  <c r="BD136" i="5"/>
  <c r="BC136" i="5"/>
  <c r="BB136" i="5"/>
  <c r="BA136" i="5"/>
  <c r="AZ136" i="5"/>
  <c r="AY136" i="5"/>
  <c r="AX136" i="5"/>
  <c r="AW136" i="5"/>
  <c r="AV136" i="5"/>
  <c r="AU136" i="5"/>
  <c r="AT136" i="5"/>
  <c r="AS136" i="5"/>
  <c r="AR136" i="5"/>
  <c r="AQ136" i="5"/>
  <c r="AP136" i="5"/>
  <c r="AO136" i="5"/>
  <c r="AN136" i="5"/>
  <c r="AM136" i="5"/>
  <c r="AL136" i="5"/>
  <c r="AK136" i="5"/>
  <c r="AJ136" i="5"/>
  <c r="AI136" i="5"/>
  <c r="AH136" i="5"/>
  <c r="AG136" i="5"/>
  <c r="AF136" i="5"/>
  <c r="AE136" i="5"/>
  <c r="AD136" i="5"/>
  <c r="AC136" i="5"/>
  <c r="AB136" i="5"/>
  <c r="AA136" i="5"/>
  <c r="Z136" i="5"/>
  <c r="Y136" i="5"/>
  <c r="X136" i="5"/>
  <c r="W136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B136" i="5"/>
  <c r="BI135" i="5"/>
  <c r="BH135" i="5"/>
  <c r="BG135" i="5"/>
  <c r="BF135" i="5"/>
  <c r="BE135" i="5"/>
  <c r="BD135" i="5"/>
  <c r="BC135" i="5"/>
  <c r="BB135" i="5"/>
  <c r="BA135" i="5"/>
  <c r="AZ135" i="5"/>
  <c r="AY135" i="5"/>
  <c r="AX135" i="5"/>
  <c r="AW135" i="5"/>
  <c r="AV135" i="5"/>
  <c r="AU135" i="5"/>
  <c r="AT135" i="5"/>
  <c r="AS135" i="5"/>
  <c r="AR135" i="5"/>
  <c r="AQ135" i="5"/>
  <c r="AP135" i="5"/>
  <c r="AO135" i="5"/>
  <c r="AN135" i="5"/>
  <c r="AM135" i="5"/>
  <c r="AL135" i="5"/>
  <c r="AK135" i="5"/>
  <c r="AJ135" i="5"/>
  <c r="AI135" i="5"/>
  <c r="AH135" i="5"/>
  <c r="AG135" i="5"/>
  <c r="AF135" i="5"/>
  <c r="AE135" i="5"/>
  <c r="AD135" i="5"/>
  <c r="AC135" i="5"/>
  <c r="AB135" i="5"/>
  <c r="AA135" i="5"/>
  <c r="Z135" i="5"/>
  <c r="Y135" i="5"/>
  <c r="X135" i="5"/>
  <c r="W135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B135" i="5"/>
  <c r="BI134" i="5"/>
  <c r="BH134" i="5"/>
  <c r="BG134" i="5"/>
  <c r="BF134" i="5"/>
  <c r="BE134" i="5"/>
  <c r="BD134" i="5"/>
  <c r="BC134" i="5"/>
  <c r="BB134" i="5"/>
  <c r="BA134" i="5"/>
  <c r="AZ134" i="5"/>
  <c r="AY134" i="5"/>
  <c r="AX134" i="5"/>
  <c r="AW134" i="5"/>
  <c r="AV134" i="5"/>
  <c r="AU134" i="5"/>
  <c r="AT134" i="5"/>
  <c r="AS134" i="5"/>
  <c r="AR134" i="5"/>
  <c r="AQ134" i="5"/>
  <c r="AP134" i="5"/>
  <c r="AO134" i="5"/>
  <c r="AN134" i="5"/>
  <c r="AM134" i="5"/>
  <c r="AL134" i="5"/>
  <c r="AK134" i="5"/>
  <c r="AJ134" i="5"/>
  <c r="AI134" i="5"/>
  <c r="AH134" i="5"/>
  <c r="AG134" i="5"/>
  <c r="AF134" i="5"/>
  <c r="AE134" i="5"/>
  <c r="AD134" i="5"/>
  <c r="AC134" i="5"/>
  <c r="AB134" i="5"/>
  <c r="AA134" i="5"/>
  <c r="Z134" i="5"/>
  <c r="Y134" i="5"/>
  <c r="X134" i="5"/>
  <c r="W134" i="5"/>
  <c r="V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B134" i="5"/>
  <c r="BI133" i="5"/>
  <c r="BH133" i="5"/>
  <c r="BG133" i="5"/>
  <c r="BF133" i="5"/>
  <c r="BE133" i="5"/>
  <c r="BD133" i="5"/>
  <c r="BC133" i="5"/>
  <c r="BB133" i="5"/>
  <c r="BA133" i="5"/>
  <c r="AZ133" i="5"/>
  <c r="AY133" i="5"/>
  <c r="AX133" i="5"/>
  <c r="AW133" i="5"/>
  <c r="AV133" i="5"/>
  <c r="AU133" i="5"/>
  <c r="AT133" i="5"/>
  <c r="AS133" i="5"/>
  <c r="AR133" i="5"/>
  <c r="AQ133" i="5"/>
  <c r="AP133" i="5"/>
  <c r="AO133" i="5"/>
  <c r="AN133" i="5"/>
  <c r="AM133" i="5"/>
  <c r="AL133" i="5"/>
  <c r="AK133" i="5"/>
  <c r="AJ133" i="5"/>
  <c r="AI133" i="5"/>
  <c r="AH133" i="5"/>
  <c r="AG133" i="5"/>
  <c r="AF133" i="5"/>
  <c r="AE133" i="5"/>
  <c r="AD133" i="5"/>
  <c r="AC133" i="5"/>
  <c r="AB133" i="5"/>
  <c r="AA133" i="5"/>
  <c r="Z133" i="5"/>
  <c r="Y133" i="5"/>
  <c r="X133" i="5"/>
  <c r="W133" i="5"/>
  <c r="V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B133" i="5"/>
  <c r="BI132" i="5"/>
  <c r="BH132" i="5"/>
  <c r="BG132" i="5"/>
  <c r="BF132" i="5"/>
  <c r="BE132" i="5"/>
  <c r="BD132" i="5"/>
  <c r="BC132" i="5"/>
  <c r="BB132" i="5"/>
  <c r="BA132" i="5"/>
  <c r="AZ132" i="5"/>
  <c r="AY132" i="5"/>
  <c r="AX132" i="5"/>
  <c r="AW132" i="5"/>
  <c r="AV132" i="5"/>
  <c r="AU132" i="5"/>
  <c r="AT132" i="5"/>
  <c r="AS132" i="5"/>
  <c r="AR132" i="5"/>
  <c r="AQ132" i="5"/>
  <c r="AP132" i="5"/>
  <c r="AO132" i="5"/>
  <c r="AN132" i="5"/>
  <c r="AM132" i="5"/>
  <c r="AL132" i="5"/>
  <c r="AK132" i="5"/>
  <c r="AJ132" i="5"/>
  <c r="AI132" i="5"/>
  <c r="AH132" i="5"/>
  <c r="AG132" i="5"/>
  <c r="AF132" i="5"/>
  <c r="AE132" i="5"/>
  <c r="AD132" i="5"/>
  <c r="AC132" i="5"/>
  <c r="AB132" i="5"/>
  <c r="AA132" i="5"/>
  <c r="Z132" i="5"/>
  <c r="Y132" i="5"/>
  <c r="X132" i="5"/>
  <c r="W132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B132" i="5"/>
  <c r="BI131" i="5"/>
  <c r="BH131" i="5"/>
  <c r="BG131" i="5"/>
  <c r="BF131" i="5"/>
  <c r="BE131" i="5"/>
  <c r="BD131" i="5"/>
  <c r="BC131" i="5"/>
  <c r="BB131" i="5"/>
  <c r="BA131" i="5"/>
  <c r="AZ131" i="5"/>
  <c r="AY131" i="5"/>
  <c r="AX131" i="5"/>
  <c r="AW131" i="5"/>
  <c r="AV131" i="5"/>
  <c r="AU131" i="5"/>
  <c r="AT131" i="5"/>
  <c r="AS131" i="5"/>
  <c r="AR131" i="5"/>
  <c r="AQ131" i="5"/>
  <c r="AP131" i="5"/>
  <c r="AO131" i="5"/>
  <c r="AN131" i="5"/>
  <c r="AM131" i="5"/>
  <c r="AL131" i="5"/>
  <c r="AK131" i="5"/>
  <c r="AJ131" i="5"/>
  <c r="AI131" i="5"/>
  <c r="AH131" i="5"/>
  <c r="AG131" i="5"/>
  <c r="AF131" i="5"/>
  <c r="AE131" i="5"/>
  <c r="AD131" i="5"/>
  <c r="AC131" i="5"/>
  <c r="AB131" i="5"/>
  <c r="AA131" i="5"/>
  <c r="Z131" i="5"/>
  <c r="Y131" i="5"/>
  <c r="X131" i="5"/>
  <c r="W131" i="5"/>
  <c r="V131" i="5"/>
  <c r="U131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B131" i="5"/>
  <c r="BI130" i="5"/>
  <c r="BH130" i="5"/>
  <c r="BG130" i="5"/>
  <c r="BF130" i="5"/>
  <c r="BE130" i="5"/>
  <c r="BD130" i="5"/>
  <c r="BC130" i="5"/>
  <c r="BB130" i="5"/>
  <c r="BA130" i="5"/>
  <c r="AZ130" i="5"/>
  <c r="AY130" i="5"/>
  <c r="AX130" i="5"/>
  <c r="AW130" i="5"/>
  <c r="AV130" i="5"/>
  <c r="AU130" i="5"/>
  <c r="AT130" i="5"/>
  <c r="AS130" i="5"/>
  <c r="AR130" i="5"/>
  <c r="AQ130" i="5"/>
  <c r="AP130" i="5"/>
  <c r="AO130" i="5"/>
  <c r="AN130" i="5"/>
  <c r="AM130" i="5"/>
  <c r="AL130" i="5"/>
  <c r="AK130" i="5"/>
  <c r="AJ130" i="5"/>
  <c r="AI130" i="5"/>
  <c r="AH130" i="5"/>
  <c r="AG130" i="5"/>
  <c r="AF130" i="5"/>
  <c r="AE130" i="5"/>
  <c r="AD130" i="5"/>
  <c r="AC130" i="5"/>
  <c r="AB130" i="5"/>
  <c r="AA130" i="5"/>
  <c r="Z130" i="5"/>
  <c r="Y130" i="5"/>
  <c r="X130" i="5"/>
  <c r="W130" i="5"/>
  <c r="V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B130" i="5"/>
  <c r="BI129" i="5"/>
  <c r="BH129" i="5"/>
  <c r="BG129" i="5"/>
  <c r="BF129" i="5"/>
  <c r="BE129" i="5"/>
  <c r="BD129" i="5"/>
  <c r="BC129" i="5"/>
  <c r="BB129" i="5"/>
  <c r="BA129" i="5"/>
  <c r="AZ129" i="5"/>
  <c r="AY129" i="5"/>
  <c r="AX129" i="5"/>
  <c r="AW129" i="5"/>
  <c r="AV129" i="5"/>
  <c r="AU129" i="5"/>
  <c r="AT129" i="5"/>
  <c r="AS129" i="5"/>
  <c r="AR129" i="5"/>
  <c r="AQ129" i="5"/>
  <c r="AP129" i="5"/>
  <c r="AO129" i="5"/>
  <c r="AN129" i="5"/>
  <c r="AM129" i="5"/>
  <c r="AL129" i="5"/>
  <c r="AK129" i="5"/>
  <c r="AJ129" i="5"/>
  <c r="AI129" i="5"/>
  <c r="AH129" i="5"/>
  <c r="AG129" i="5"/>
  <c r="AF129" i="5"/>
  <c r="AE129" i="5"/>
  <c r="AD129" i="5"/>
  <c r="AC129" i="5"/>
  <c r="AB129" i="5"/>
  <c r="AA129" i="5"/>
  <c r="Z129" i="5"/>
  <c r="Y129" i="5"/>
  <c r="X129" i="5"/>
  <c r="W129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B129" i="5"/>
  <c r="BI128" i="5"/>
  <c r="BH128" i="5"/>
  <c r="BG128" i="5"/>
  <c r="BF128" i="5"/>
  <c r="BE128" i="5"/>
  <c r="BD128" i="5"/>
  <c r="BC128" i="5"/>
  <c r="BB128" i="5"/>
  <c r="BA128" i="5"/>
  <c r="AZ128" i="5"/>
  <c r="AY128" i="5"/>
  <c r="AX128" i="5"/>
  <c r="AW128" i="5"/>
  <c r="AV128" i="5"/>
  <c r="AU128" i="5"/>
  <c r="AT128" i="5"/>
  <c r="AS128" i="5"/>
  <c r="AR128" i="5"/>
  <c r="AQ128" i="5"/>
  <c r="AP128" i="5"/>
  <c r="AO128" i="5"/>
  <c r="AN128" i="5"/>
  <c r="AM128" i="5"/>
  <c r="AL128" i="5"/>
  <c r="AK128" i="5"/>
  <c r="AJ128" i="5"/>
  <c r="AI128" i="5"/>
  <c r="AH128" i="5"/>
  <c r="AG128" i="5"/>
  <c r="AF128" i="5"/>
  <c r="AE128" i="5"/>
  <c r="AD128" i="5"/>
  <c r="AC128" i="5"/>
  <c r="AB128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B128" i="5"/>
  <c r="BI127" i="5"/>
  <c r="BH127" i="5"/>
  <c r="BG127" i="5"/>
  <c r="BF127" i="5"/>
  <c r="BE127" i="5"/>
  <c r="BD127" i="5"/>
  <c r="BC127" i="5"/>
  <c r="BB127" i="5"/>
  <c r="BA127" i="5"/>
  <c r="AZ127" i="5"/>
  <c r="AY127" i="5"/>
  <c r="AX127" i="5"/>
  <c r="AW127" i="5"/>
  <c r="AV127" i="5"/>
  <c r="AU127" i="5"/>
  <c r="AT127" i="5"/>
  <c r="AS127" i="5"/>
  <c r="AR127" i="5"/>
  <c r="AQ127" i="5"/>
  <c r="AP127" i="5"/>
  <c r="AO127" i="5"/>
  <c r="AN127" i="5"/>
  <c r="AM127" i="5"/>
  <c r="AL127" i="5"/>
  <c r="AK127" i="5"/>
  <c r="AJ127" i="5"/>
  <c r="AI127" i="5"/>
  <c r="AH127" i="5"/>
  <c r="AG127" i="5"/>
  <c r="AF127" i="5"/>
  <c r="AE127" i="5"/>
  <c r="AD127" i="5"/>
  <c r="AC127" i="5"/>
  <c r="AB127" i="5"/>
  <c r="AA127" i="5"/>
  <c r="Z127" i="5"/>
  <c r="Y127" i="5"/>
  <c r="X127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B127" i="5"/>
  <c r="BI126" i="5"/>
  <c r="BH126" i="5"/>
  <c r="BG126" i="5"/>
  <c r="BF126" i="5"/>
  <c r="BE126" i="5"/>
  <c r="BD126" i="5"/>
  <c r="BC126" i="5"/>
  <c r="BB126" i="5"/>
  <c r="BA126" i="5"/>
  <c r="AZ126" i="5"/>
  <c r="AY126" i="5"/>
  <c r="AX126" i="5"/>
  <c r="AW126" i="5"/>
  <c r="AV126" i="5"/>
  <c r="AU126" i="5"/>
  <c r="AT126" i="5"/>
  <c r="AS126" i="5"/>
  <c r="AR126" i="5"/>
  <c r="AQ126" i="5"/>
  <c r="AP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AC126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B126" i="5"/>
  <c r="BI125" i="5"/>
  <c r="BH125" i="5"/>
  <c r="BG125" i="5"/>
  <c r="BF125" i="5"/>
  <c r="BE125" i="5"/>
  <c r="BD125" i="5"/>
  <c r="BC125" i="5"/>
  <c r="BB125" i="5"/>
  <c r="BA125" i="5"/>
  <c r="AZ125" i="5"/>
  <c r="AY125" i="5"/>
  <c r="AX125" i="5"/>
  <c r="AW125" i="5"/>
  <c r="AV125" i="5"/>
  <c r="AU125" i="5"/>
  <c r="AT125" i="5"/>
  <c r="AS125" i="5"/>
  <c r="AR125" i="5"/>
  <c r="AQ125" i="5"/>
  <c r="AP125" i="5"/>
  <c r="AO125" i="5"/>
  <c r="AN125" i="5"/>
  <c r="AM125" i="5"/>
  <c r="AL125" i="5"/>
  <c r="AK125" i="5"/>
  <c r="AJ125" i="5"/>
  <c r="AI125" i="5"/>
  <c r="AH125" i="5"/>
  <c r="AG125" i="5"/>
  <c r="AF125" i="5"/>
  <c r="AE125" i="5"/>
  <c r="AD125" i="5"/>
  <c r="AC125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B125" i="5"/>
  <c r="BI124" i="5"/>
  <c r="BH124" i="5"/>
  <c r="BG124" i="5"/>
  <c r="BF124" i="5"/>
  <c r="BE124" i="5"/>
  <c r="BD124" i="5"/>
  <c r="BC124" i="5"/>
  <c r="BB124" i="5"/>
  <c r="BA124" i="5"/>
  <c r="AZ124" i="5"/>
  <c r="AY124" i="5"/>
  <c r="AX124" i="5"/>
  <c r="AW124" i="5"/>
  <c r="AV124" i="5"/>
  <c r="AU124" i="5"/>
  <c r="AT124" i="5"/>
  <c r="AS124" i="5"/>
  <c r="AR124" i="5"/>
  <c r="AQ124" i="5"/>
  <c r="AP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AC124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B124" i="5"/>
  <c r="BI123" i="5"/>
  <c r="BH123" i="5"/>
  <c r="BG123" i="5"/>
  <c r="BF123" i="5"/>
  <c r="BE123" i="5"/>
  <c r="BD123" i="5"/>
  <c r="BC123" i="5"/>
  <c r="BB123" i="5"/>
  <c r="BA123" i="5"/>
  <c r="AZ123" i="5"/>
  <c r="AY123" i="5"/>
  <c r="AX123" i="5"/>
  <c r="AW123" i="5"/>
  <c r="AV123" i="5"/>
  <c r="AU123" i="5"/>
  <c r="AT123" i="5"/>
  <c r="AS123" i="5"/>
  <c r="AR123" i="5"/>
  <c r="AQ123" i="5"/>
  <c r="AP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AC123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B123" i="5"/>
  <c r="BI122" i="5"/>
  <c r="BH122" i="5"/>
  <c r="BG122" i="5"/>
  <c r="BF122" i="5"/>
  <c r="BE122" i="5"/>
  <c r="BD122" i="5"/>
  <c r="BC122" i="5"/>
  <c r="BB122" i="5"/>
  <c r="BA122" i="5"/>
  <c r="AZ122" i="5"/>
  <c r="AY122" i="5"/>
  <c r="AX122" i="5"/>
  <c r="AW122" i="5"/>
  <c r="AV122" i="5"/>
  <c r="AU122" i="5"/>
  <c r="AT122" i="5"/>
  <c r="AS122" i="5"/>
  <c r="AR122" i="5"/>
  <c r="AQ122" i="5"/>
  <c r="AP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AC122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B122" i="5"/>
  <c r="BI121" i="5"/>
  <c r="BH121" i="5"/>
  <c r="BG121" i="5"/>
  <c r="BF121" i="5"/>
  <c r="BE121" i="5"/>
  <c r="BD121" i="5"/>
  <c r="BC121" i="5"/>
  <c r="BB121" i="5"/>
  <c r="BA121" i="5"/>
  <c r="AZ121" i="5"/>
  <c r="AY121" i="5"/>
  <c r="AX121" i="5"/>
  <c r="AW121" i="5"/>
  <c r="AV121" i="5"/>
  <c r="AU121" i="5"/>
  <c r="AT121" i="5"/>
  <c r="AS121" i="5"/>
  <c r="AR121" i="5"/>
  <c r="AQ121" i="5"/>
  <c r="AP121" i="5"/>
  <c r="AO121" i="5"/>
  <c r="AN121" i="5"/>
  <c r="AM121" i="5"/>
  <c r="AL121" i="5"/>
  <c r="AK121" i="5"/>
  <c r="AJ121" i="5"/>
  <c r="AI121" i="5"/>
  <c r="AH121" i="5"/>
  <c r="AG121" i="5"/>
  <c r="AF121" i="5"/>
  <c r="AE121" i="5"/>
  <c r="AD121" i="5"/>
  <c r="AC121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B121" i="5"/>
  <c r="BI120" i="5"/>
  <c r="BH120" i="5"/>
  <c r="BG120" i="5"/>
  <c r="BF120" i="5"/>
  <c r="BE120" i="5"/>
  <c r="BD120" i="5"/>
  <c r="BC120" i="5"/>
  <c r="BB120" i="5"/>
  <c r="BA120" i="5"/>
  <c r="AZ120" i="5"/>
  <c r="AY120" i="5"/>
  <c r="AX120" i="5"/>
  <c r="AW120" i="5"/>
  <c r="AV120" i="5"/>
  <c r="AU120" i="5"/>
  <c r="AT120" i="5"/>
  <c r="AS120" i="5"/>
  <c r="AR120" i="5"/>
  <c r="AQ120" i="5"/>
  <c r="AP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B120" i="5"/>
  <c r="BI119" i="5"/>
  <c r="BH119" i="5"/>
  <c r="BG119" i="5"/>
  <c r="BF119" i="5"/>
  <c r="BE119" i="5"/>
  <c r="BD119" i="5"/>
  <c r="BC119" i="5"/>
  <c r="BB119" i="5"/>
  <c r="BA119" i="5"/>
  <c r="AZ119" i="5"/>
  <c r="AY119" i="5"/>
  <c r="AX119" i="5"/>
  <c r="AW119" i="5"/>
  <c r="AV119" i="5"/>
  <c r="AU119" i="5"/>
  <c r="AT119" i="5"/>
  <c r="AS119" i="5"/>
  <c r="AR119" i="5"/>
  <c r="AQ119" i="5"/>
  <c r="AP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AC119" i="5"/>
  <c r="AB119" i="5"/>
  <c r="AA119" i="5"/>
  <c r="Z119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B119" i="5"/>
  <c r="BI118" i="5"/>
  <c r="BH118" i="5"/>
  <c r="BG118" i="5"/>
  <c r="BF118" i="5"/>
  <c r="BE118" i="5"/>
  <c r="BD118" i="5"/>
  <c r="BC118" i="5"/>
  <c r="BB118" i="5"/>
  <c r="BA118" i="5"/>
  <c r="AZ118" i="5"/>
  <c r="AY118" i="5"/>
  <c r="AX118" i="5"/>
  <c r="AW118" i="5"/>
  <c r="AV118" i="5"/>
  <c r="AU118" i="5"/>
  <c r="AT118" i="5"/>
  <c r="AS118" i="5"/>
  <c r="AR118" i="5"/>
  <c r="AQ118" i="5"/>
  <c r="AP118" i="5"/>
  <c r="AO118" i="5"/>
  <c r="AN118" i="5"/>
  <c r="AM118" i="5"/>
  <c r="AL118" i="5"/>
  <c r="AK118" i="5"/>
  <c r="AJ118" i="5"/>
  <c r="AI118" i="5"/>
  <c r="AH118" i="5"/>
  <c r="AG118" i="5"/>
  <c r="AF118" i="5"/>
  <c r="AE118" i="5"/>
  <c r="AD118" i="5"/>
  <c r="AC118" i="5"/>
  <c r="AB118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B118" i="5"/>
  <c r="BI117" i="5"/>
  <c r="BH117" i="5"/>
  <c r="BG117" i="5"/>
  <c r="BF117" i="5"/>
  <c r="BE117" i="5"/>
  <c r="BD117" i="5"/>
  <c r="BC117" i="5"/>
  <c r="BB117" i="5"/>
  <c r="BA117" i="5"/>
  <c r="AZ117" i="5"/>
  <c r="AY117" i="5"/>
  <c r="AX117" i="5"/>
  <c r="AW117" i="5"/>
  <c r="AV117" i="5"/>
  <c r="AU117" i="5"/>
  <c r="AT117" i="5"/>
  <c r="AS117" i="5"/>
  <c r="AR117" i="5"/>
  <c r="AQ117" i="5"/>
  <c r="AP117" i="5"/>
  <c r="AO117" i="5"/>
  <c r="AN117" i="5"/>
  <c r="AM117" i="5"/>
  <c r="AL117" i="5"/>
  <c r="AK117" i="5"/>
  <c r="AJ117" i="5"/>
  <c r="AI117" i="5"/>
  <c r="AH117" i="5"/>
  <c r="AG117" i="5"/>
  <c r="AF117" i="5"/>
  <c r="AE117" i="5"/>
  <c r="AD117" i="5"/>
  <c r="AC117" i="5"/>
  <c r="AB117" i="5"/>
  <c r="AA117" i="5"/>
  <c r="Z117" i="5"/>
  <c r="Y117" i="5"/>
  <c r="X117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B117" i="5"/>
  <c r="BI116" i="5"/>
  <c r="BH116" i="5"/>
  <c r="BG116" i="5"/>
  <c r="BF116" i="5"/>
  <c r="BE116" i="5"/>
  <c r="BD116" i="5"/>
  <c r="BC116" i="5"/>
  <c r="BB116" i="5"/>
  <c r="BA116" i="5"/>
  <c r="AZ116" i="5"/>
  <c r="AY116" i="5"/>
  <c r="AX116" i="5"/>
  <c r="AW116" i="5"/>
  <c r="AV116" i="5"/>
  <c r="AU116" i="5"/>
  <c r="AT116" i="5"/>
  <c r="AS116" i="5"/>
  <c r="AR116" i="5"/>
  <c r="AQ116" i="5"/>
  <c r="AP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AC116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B116" i="5"/>
  <c r="BI115" i="5"/>
  <c r="BH115" i="5"/>
  <c r="BG115" i="5"/>
  <c r="BF115" i="5"/>
  <c r="BE115" i="5"/>
  <c r="BD115" i="5"/>
  <c r="BC115" i="5"/>
  <c r="BB115" i="5"/>
  <c r="BA115" i="5"/>
  <c r="AZ115" i="5"/>
  <c r="AY115" i="5"/>
  <c r="AX115" i="5"/>
  <c r="AW115" i="5"/>
  <c r="AV115" i="5"/>
  <c r="AU115" i="5"/>
  <c r="AT115" i="5"/>
  <c r="AS115" i="5"/>
  <c r="AR115" i="5"/>
  <c r="AQ115" i="5"/>
  <c r="AP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AC115" i="5"/>
  <c r="AB115" i="5"/>
  <c r="AA115" i="5"/>
  <c r="Z115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B115" i="5"/>
  <c r="BI114" i="5"/>
  <c r="BH114" i="5"/>
  <c r="BG114" i="5"/>
  <c r="BF114" i="5"/>
  <c r="BE114" i="5"/>
  <c r="BD114" i="5"/>
  <c r="BC114" i="5"/>
  <c r="BB114" i="5"/>
  <c r="BA114" i="5"/>
  <c r="AZ114" i="5"/>
  <c r="AY114" i="5"/>
  <c r="AX114" i="5"/>
  <c r="AW114" i="5"/>
  <c r="AV114" i="5"/>
  <c r="AU114" i="5"/>
  <c r="AT114" i="5"/>
  <c r="AS114" i="5"/>
  <c r="AR114" i="5"/>
  <c r="AQ114" i="5"/>
  <c r="AP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AC114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B114" i="5"/>
  <c r="BI113" i="5"/>
  <c r="BH113" i="5"/>
  <c r="BG113" i="5"/>
  <c r="BF113" i="5"/>
  <c r="BE113" i="5"/>
  <c r="BD113" i="5"/>
  <c r="BC113" i="5"/>
  <c r="BB113" i="5"/>
  <c r="BA113" i="5"/>
  <c r="AZ113" i="5"/>
  <c r="AY113" i="5"/>
  <c r="AX113" i="5"/>
  <c r="AW113" i="5"/>
  <c r="AV113" i="5"/>
  <c r="AU113" i="5"/>
  <c r="AT113" i="5"/>
  <c r="AS113" i="5"/>
  <c r="AR113" i="5"/>
  <c r="AQ113" i="5"/>
  <c r="AP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B113" i="5"/>
  <c r="BI112" i="5"/>
  <c r="BH112" i="5"/>
  <c r="BG112" i="5"/>
  <c r="BF112" i="5"/>
  <c r="BE112" i="5"/>
  <c r="BD112" i="5"/>
  <c r="BC112" i="5"/>
  <c r="BB112" i="5"/>
  <c r="BA112" i="5"/>
  <c r="AZ112" i="5"/>
  <c r="AY112" i="5"/>
  <c r="AX112" i="5"/>
  <c r="AW112" i="5"/>
  <c r="AV112" i="5"/>
  <c r="AU112" i="5"/>
  <c r="AT112" i="5"/>
  <c r="AS112" i="5"/>
  <c r="AR112" i="5"/>
  <c r="AQ112" i="5"/>
  <c r="AP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AC112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B112" i="5"/>
  <c r="BI111" i="5"/>
  <c r="BH111" i="5"/>
  <c r="BG111" i="5"/>
  <c r="BF111" i="5"/>
  <c r="BE111" i="5"/>
  <c r="BD111" i="5"/>
  <c r="BC111" i="5"/>
  <c r="BB111" i="5"/>
  <c r="BA111" i="5"/>
  <c r="AZ111" i="5"/>
  <c r="AY111" i="5"/>
  <c r="AX111" i="5"/>
  <c r="AW111" i="5"/>
  <c r="AV111" i="5"/>
  <c r="AU111" i="5"/>
  <c r="AT111" i="5"/>
  <c r="AS111" i="5"/>
  <c r="AR111" i="5"/>
  <c r="AQ111" i="5"/>
  <c r="AP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AC111" i="5"/>
  <c r="AB111" i="5"/>
  <c r="AA111" i="5"/>
  <c r="Z111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B111" i="5"/>
  <c r="BI110" i="5"/>
  <c r="BH110" i="5"/>
  <c r="BG110" i="5"/>
  <c r="BF110" i="5"/>
  <c r="BE110" i="5"/>
  <c r="BD110" i="5"/>
  <c r="BC110" i="5"/>
  <c r="BB110" i="5"/>
  <c r="BA110" i="5"/>
  <c r="AZ110" i="5"/>
  <c r="AY110" i="5"/>
  <c r="AX110" i="5"/>
  <c r="AW110" i="5"/>
  <c r="AV110" i="5"/>
  <c r="AU110" i="5"/>
  <c r="AT110" i="5"/>
  <c r="AS110" i="5"/>
  <c r="AR110" i="5"/>
  <c r="AQ110" i="5"/>
  <c r="AP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AC110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B110" i="5"/>
  <c r="BI109" i="5"/>
  <c r="BH109" i="5"/>
  <c r="BG109" i="5"/>
  <c r="BF109" i="5"/>
  <c r="BE109" i="5"/>
  <c r="BD109" i="5"/>
  <c r="BC109" i="5"/>
  <c r="BB109" i="5"/>
  <c r="BA109" i="5"/>
  <c r="AZ109" i="5"/>
  <c r="AY109" i="5"/>
  <c r="AX109" i="5"/>
  <c r="AW109" i="5"/>
  <c r="AV109" i="5"/>
  <c r="AU109" i="5"/>
  <c r="AT109" i="5"/>
  <c r="AS109" i="5"/>
  <c r="AR109" i="5"/>
  <c r="AQ109" i="5"/>
  <c r="AP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AC109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B109" i="5"/>
  <c r="BI108" i="5"/>
  <c r="BH108" i="5"/>
  <c r="BG108" i="5"/>
  <c r="BF108" i="5"/>
  <c r="BE108" i="5"/>
  <c r="BD108" i="5"/>
  <c r="BC108" i="5"/>
  <c r="BB108" i="5"/>
  <c r="BA108" i="5"/>
  <c r="AZ108" i="5"/>
  <c r="AY108" i="5"/>
  <c r="AX108" i="5"/>
  <c r="AW108" i="5"/>
  <c r="AV108" i="5"/>
  <c r="AU108" i="5"/>
  <c r="AT108" i="5"/>
  <c r="AS108" i="5"/>
  <c r="AR108" i="5"/>
  <c r="AQ108" i="5"/>
  <c r="AP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B108" i="5"/>
  <c r="BI107" i="5"/>
  <c r="BH107" i="5"/>
  <c r="BG107" i="5"/>
  <c r="BF107" i="5"/>
  <c r="BE107" i="5"/>
  <c r="BD107" i="5"/>
  <c r="BC107" i="5"/>
  <c r="BB107" i="5"/>
  <c r="BA107" i="5"/>
  <c r="AZ107" i="5"/>
  <c r="AY107" i="5"/>
  <c r="AX107" i="5"/>
  <c r="AW107" i="5"/>
  <c r="AV107" i="5"/>
  <c r="AU107" i="5"/>
  <c r="AT107" i="5"/>
  <c r="AS107" i="5"/>
  <c r="AR107" i="5"/>
  <c r="AQ107" i="5"/>
  <c r="AP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AC107" i="5"/>
  <c r="AB107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B107" i="5"/>
  <c r="BI106" i="5"/>
  <c r="BH106" i="5"/>
  <c r="BG106" i="5"/>
  <c r="BF106" i="5"/>
  <c r="BE106" i="5"/>
  <c r="BD106" i="5"/>
  <c r="BC106" i="5"/>
  <c r="BB106" i="5"/>
  <c r="BA106" i="5"/>
  <c r="AZ106" i="5"/>
  <c r="AY106" i="5"/>
  <c r="AX106" i="5"/>
  <c r="AW106" i="5"/>
  <c r="AV106" i="5"/>
  <c r="AU106" i="5"/>
  <c r="AT106" i="5"/>
  <c r="AS106" i="5"/>
  <c r="AR106" i="5"/>
  <c r="AQ106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B106" i="5"/>
  <c r="BI105" i="5"/>
  <c r="BH105" i="5"/>
  <c r="BG105" i="5"/>
  <c r="BF105" i="5"/>
  <c r="BE105" i="5"/>
  <c r="BD105" i="5"/>
  <c r="BC105" i="5"/>
  <c r="BB105" i="5"/>
  <c r="BA105" i="5"/>
  <c r="AZ105" i="5"/>
  <c r="AY105" i="5"/>
  <c r="AX105" i="5"/>
  <c r="AW105" i="5"/>
  <c r="AV105" i="5"/>
  <c r="AU105" i="5"/>
  <c r="AT105" i="5"/>
  <c r="AS105" i="5"/>
  <c r="AR105" i="5"/>
  <c r="AQ105" i="5"/>
  <c r="AP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B105" i="5"/>
  <c r="BI104" i="5"/>
  <c r="BH104" i="5"/>
  <c r="BG104" i="5"/>
  <c r="BF104" i="5"/>
  <c r="BE104" i="5"/>
  <c r="BD104" i="5"/>
  <c r="BC104" i="5"/>
  <c r="BB104" i="5"/>
  <c r="BA104" i="5"/>
  <c r="AZ104" i="5"/>
  <c r="AY104" i="5"/>
  <c r="AX104" i="5"/>
  <c r="AW104" i="5"/>
  <c r="AV104" i="5"/>
  <c r="AU104" i="5"/>
  <c r="AT104" i="5"/>
  <c r="AS104" i="5"/>
  <c r="AR104" i="5"/>
  <c r="AQ104" i="5"/>
  <c r="AP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BI103" i="5"/>
  <c r="BH103" i="5"/>
  <c r="BG103" i="5"/>
  <c r="BF103" i="5"/>
  <c r="BE103" i="5"/>
  <c r="BD103" i="5"/>
  <c r="BC103" i="5"/>
  <c r="BB103" i="5"/>
  <c r="BA103" i="5"/>
  <c r="AZ103" i="5"/>
  <c r="AY103" i="5"/>
  <c r="AX103" i="5"/>
  <c r="AW103" i="5"/>
  <c r="AV103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BI102" i="5"/>
  <c r="BH102" i="5"/>
  <c r="BG102" i="5"/>
  <c r="BF102" i="5"/>
  <c r="BE102" i="5"/>
  <c r="BD102" i="5"/>
  <c r="BC102" i="5"/>
  <c r="BB102" i="5"/>
  <c r="BA102" i="5"/>
  <c r="AZ102" i="5"/>
  <c r="AY102" i="5"/>
  <c r="AX102" i="5"/>
  <c r="AW102" i="5"/>
  <c r="AV102" i="5"/>
  <c r="AU102" i="5"/>
  <c r="AT102" i="5"/>
  <c r="AS102" i="5"/>
  <c r="AR102" i="5"/>
  <c r="AQ102" i="5"/>
  <c r="AP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AC102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BI101" i="5"/>
  <c r="BH101" i="5"/>
  <c r="BG101" i="5"/>
  <c r="BF101" i="5"/>
  <c r="BE101" i="5"/>
  <c r="BD101" i="5"/>
  <c r="BC101" i="5"/>
  <c r="BB101" i="5"/>
  <c r="BA101" i="5"/>
  <c r="AZ101" i="5"/>
  <c r="AY101" i="5"/>
  <c r="AX101" i="5"/>
  <c r="AW101" i="5"/>
  <c r="AV101" i="5"/>
  <c r="AU101" i="5"/>
  <c r="AT101" i="5"/>
  <c r="AS101" i="5"/>
  <c r="AR101" i="5"/>
  <c r="AQ101" i="5"/>
  <c r="AP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AC101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BI100" i="5"/>
  <c r="BH100" i="5"/>
  <c r="BG100" i="5"/>
  <c r="BF100" i="5"/>
  <c r="BE100" i="5"/>
  <c r="BD100" i="5"/>
  <c r="BC100" i="5"/>
  <c r="BB100" i="5"/>
  <c r="BA100" i="5"/>
  <c r="AZ100" i="5"/>
  <c r="AY100" i="5"/>
  <c r="AX100" i="5"/>
  <c r="AW100" i="5"/>
  <c r="AV100" i="5"/>
  <c r="AU100" i="5"/>
  <c r="AT100" i="5"/>
  <c r="AS100" i="5"/>
  <c r="AR100" i="5"/>
  <c r="AQ100" i="5"/>
  <c r="AP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BI99" i="5"/>
  <c r="BH99" i="5"/>
  <c r="BG99" i="5"/>
  <c r="BF99" i="5"/>
  <c r="BE99" i="5"/>
  <c r="BD99" i="5"/>
  <c r="BC99" i="5"/>
  <c r="BB99" i="5"/>
  <c r="BA99" i="5"/>
  <c r="AZ99" i="5"/>
  <c r="AY99" i="5"/>
  <c r="AX99" i="5"/>
  <c r="AW99" i="5"/>
  <c r="AV99" i="5"/>
  <c r="AU99" i="5"/>
  <c r="AT99" i="5"/>
  <c r="AS99" i="5"/>
  <c r="AR99" i="5"/>
  <c r="AQ99" i="5"/>
  <c r="AP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B99" i="5"/>
  <c r="BI98" i="5"/>
  <c r="BH98" i="5"/>
  <c r="BG98" i="5"/>
  <c r="BF98" i="5"/>
  <c r="BE98" i="5"/>
  <c r="BD98" i="5"/>
  <c r="BC98" i="5"/>
  <c r="BB98" i="5"/>
  <c r="BA98" i="5"/>
  <c r="AZ98" i="5"/>
  <c r="AY98" i="5"/>
  <c r="AX98" i="5"/>
  <c r="AW98" i="5"/>
  <c r="AV98" i="5"/>
  <c r="AU98" i="5"/>
  <c r="AT98" i="5"/>
  <c r="AS98" i="5"/>
  <c r="AR98" i="5"/>
  <c r="AQ98" i="5"/>
  <c r="AP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B98" i="5"/>
  <c r="BI97" i="5"/>
  <c r="BH97" i="5"/>
  <c r="BG97" i="5"/>
  <c r="BF97" i="5"/>
  <c r="BE97" i="5"/>
  <c r="BD97" i="5"/>
  <c r="BC97" i="5"/>
  <c r="BB97" i="5"/>
  <c r="BA97" i="5"/>
  <c r="AZ97" i="5"/>
  <c r="AY97" i="5"/>
  <c r="AX97" i="5"/>
  <c r="AW97" i="5"/>
  <c r="AV97" i="5"/>
  <c r="AU97" i="5"/>
  <c r="AT97" i="5"/>
  <c r="AS97" i="5"/>
  <c r="AR97" i="5"/>
  <c r="AQ97" i="5"/>
  <c r="AP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AC97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B97" i="5"/>
  <c r="BI96" i="5"/>
  <c r="BH96" i="5"/>
  <c r="BG96" i="5"/>
  <c r="BF96" i="5"/>
  <c r="BE96" i="5"/>
  <c r="BD96" i="5"/>
  <c r="BC96" i="5"/>
  <c r="BB96" i="5"/>
  <c r="BA96" i="5"/>
  <c r="AZ96" i="5"/>
  <c r="AY96" i="5"/>
  <c r="AX96" i="5"/>
  <c r="AW96" i="5"/>
  <c r="AV96" i="5"/>
  <c r="AU96" i="5"/>
  <c r="AT96" i="5"/>
  <c r="AS96" i="5"/>
  <c r="AR96" i="5"/>
  <c r="AQ96" i="5"/>
  <c r="AP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B96" i="5"/>
  <c r="BI95" i="5"/>
  <c r="BH95" i="5"/>
  <c r="BG95" i="5"/>
  <c r="BF95" i="5"/>
  <c r="BE95" i="5"/>
  <c r="BD95" i="5"/>
  <c r="BC95" i="5"/>
  <c r="BB95" i="5"/>
  <c r="BA95" i="5"/>
  <c r="AZ95" i="5"/>
  <c r="AY95" i="5"/>
  <c r="AX95" i="5"/>
  <c r="AW95" i="5"/>
  <c r="AV95" i="5"/>
  <c r="AU95" i="5"/>
  <c r="AT95" i="5"/>
  <c r="AS95" i="5"/>
  <c r="AR95" i="5"/>
  <c r="AQ95" i="5"/>
  <c r="AP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AC95" i="5"/>
  <c r="AB95" i="5"/>
  <c r="AA95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B95" i="5"/>
  <c r="BI94" i="5"/>
  <c r="BH94" i="5"/>
  <c r="BG94" i="5"/>
  <c r="BF94" i="5"/>
  <c r="BE94" i="5"/>
  <c r="BD94" i="5"/>
  <c r="BC94" i="5"/>
  <c r="BB94" i="5"/>
  <c r="BA94" i="5"/>
  <c r="AZ94" i="5"/>
  <c r="AY94" i="5"/>
  <c r="AX94" i="5"/>
  <c r="AW94" i="5"/>
  <c r="AV94" i="5"/>
  <c r="AU94" i="5"/>
  <c r="AT94" i="5"/>
  <c r="AS94" i="5"/>
  <c r="AR94" i="5"/>
  <c r="AQ94" i="5"/>
  <c r="AP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AC94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B94" i="5"/>
  <c r="BI93" i="5"/>
  <c r="BH93" i="5"/>
  <c r="BG93" i="5"/>
  <c r="BF93" i="5"/>
  <c r="BE93" i="5"/>
  <c r="BD93" i="5"/>
  <c r="BC93" i="5"/>
  <c r="BB93" i="5"/>
  <c r="BA93" i="5"/>
  <c r="AZ93" i="5"/>
  <c r="AY93" i="5"/>
  <c r="AX93" i="5"/>
  <c r="AW93" i="5"/>
  <c r="AV93" i="5"/>
  <c r="AU93" i="5"/>
  <c r="AT93" i="5"/>
  <c r="AS93" i="5"/>
  <c r="AR93" i="5"/>
  <c r="AQ93" i="5"/>
  <c r="AP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B93" i="5"/>
  <c r="BI92" i="5"/>
  <c r="BH92" i="5"/>
  <c r="BG92" i="5"/>
  <c r="BF92" i="5"/>
  <c r="BE92" i="5"/>
  <c r="BD92" i="5"/>
  <c r="BC92" i="5"/>
  <c r="BB92" i="5"/>
  <c r="BA92" i="5"/>
  <c r="AZ92" i="5"/>
  <c r="AY92" i="5"/>
  <c r="AX92" i="5"/>
  <c r="AW92" i="5"/>
  <c r="AV92" i="5"/>
  <c r="AU92" i="5"/>
  <c r="AT92" i="5"/>
  <c r="AS92" i="5"/>
  <c r="AR92" i="5"/>
  <c r="AQ92" i="5"/>
  <c r="AP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92" i="5"/>
  <c r="BI91" i="5"/>
  <c r="BH91" i="5"/>
  <c r="BG91" i="5"/>
  <c r="BF91" i="5"/>
  <c r="BE91" i="5"/>
  <c r="BD91" i="5"/>
  <c r="BC91" i="5"/>
  <c r="BB91" i="5"/>
  <c r="BA91" i="5"/>
  <c r="AZ91" i="5"/>
  <c r="AY91" i="5"/>
  <c r="AX91" i="5"/>
  <c r="AW91" i="5"/>
  <c r="AV91" i="5"/>
  <c r="AU91" i="5"/>
  <c r="AT91" i="5"/>
  <c r="AS91" i="5"/>
  <c r="AR91" i="5"/>
  <c r="AQ91" i="5"/>
  <c r="AP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B91" i="5"/>
  <c r="BI90" i="5"/>
  <c r="BH90" i="5"/>
  <c r="BG90" i="5"/>
  <c r="BF90" i="5"/>
  <c r="BE90" i="5"/>
  <c r="BD90" i="5"/>
  <c r="BC90" i="5"/>
  <c r="BB90" i="5"/>
  <c r="BA90" i="5"/>
  <c r="AZ90" i="5"/>
  <c r="AY90" i="5"/>
  <c r="AX90" i="5"/>
  <c r="AW90" i="5"/>
  <c r="AV90" i="5"/>
  <c r="AU90" i="5"/>
  <c r="AT90" i="5"/>
  <c r="AS90" i="5"/>
  <c r="AR90" i="5"/>
  <c r="AQ90" i="5"/>
  <c r="AP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B90" i="5"/>
  <c r="BI89" i="5"/>
  <c r="BH89" i="5"/>
  <c r="BG89" i="5"/>
  <c r="BF89" i="5"/>
  <c r="BE89" i="5"/>
  <c r="BD89" i="5"/>
  <c r="BC89" i="5"/>
  <c r="BB89" i="5"/>
  <c r="BA89" i="5"/>
  <c r="AZ89" i="5"/>
  <c r="AY89" i="5"/>
  <c r="AX89" i="5"/>
  <c r="AW89" i="5"/>
  <c r="AV89" i="5"/>
  <c r="AU89" i="5"/>
  <c r="AT89" i="5"/>
  <c r="AS89" i="5"/>
  <c r="AR89" i="5"/>
  <c r="AQ89" i="5"/>
  <c r="AP89" i="5"/>
  <c r="AO89" i="5"/>
  <c r="AN89" i="5"/>
  <c r="AM89" i="5"/>
  <c r="AL89" i="5"/>
  <c r="AK89" i="5"/>
  <c r="AJ89" i="5"/>
  <c r="AI89" i="5"/>
  <c r="AH89" i="5"/>
  <c r="AG89" i="5"/>
  <c r="AF89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B89" i="5"/>
  <c r="BI88" i="5"/>
  <c r="BH88" i="5"/>
  <c r="BG88" i="5"/>
  <c r="BF88" i="5"/>
  <c r="BE88" i="5"/>
  <c r="BD88" i="5"/>
  <c r="BC88" i="5"/>
  <c r="BB88" i="5"/>
  <c r="BA88" i="5"/>
  <c r="AZ88" i="5"/>
  <c r="AY88" i="5"/>
  <c r="AX88" i="5"/>
  <c r="AW88" i="5"/>
  <c r="AV88" i="5"/>
  <c r="AU88" i="5"/>
  <c r="AT88" i="5"/>
  <c r="AS88" i="5"/>
  <c r="AR88" i="5"/>
  <c r="AQ88" i="5"/>
  <c r="AP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BI87" i="5"/>
  <c r="BH87" i="5"/>
  <c r="BG87" i="5"/>
  <c r="BF87" i="5"/>
  <c r="BE87" i="5"/>
  <c r="BD87" i="5"/>
  <c r="BC87" i="5"/>
  <c r="BB87" i="5"/>
  <c r="BA87" i="5"/>
  <c r="AZ87" i="5"/>
  <c r="AY87" i="5"/>
  <c r="AX87" i="5"/>
  <c r="AW87" i="5"/>
  <c r="AV87" i="5"/>
  <c r="AU87" i="5"/>
  <c r="AT87" i="5"/>
  <c r="AS87" i="5"/>
  <c r="AR87" i="5"/>
  <c r="AQ87" i="5"/>
  <c r="AP87" i="5"/>
  <c r="AO87" i="5"/>
  <c r="AN87" i="5"/>
  <c r="AM87" i="5"/>
  <c r="AL87" i="5"/>
  <c r="AK87" i="5"/>
  <c r="AJ87" i="5"/>
  <c r="AI87" i="5"/>
  <c r="AH87" i="5"/>
  <c r="AG87" i="5"/>
  <c r="AF87" i="5"/>
  <c r="AE87" i="5"/>
  <c r="AD87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B87" i="5"/>
  <c r="BI86" i="5"/>
  <c r="BH86" i="5"/>
  <c r="BG86" i="5"/>
  <c r="BF86" i="5"/>
  <c r="BE86" i="5"/>
  <c r="BD86" i="5"/>
  <c r="BC86" i="5"/>
  <c r="BB86" i="5"/>
  <c r="BA86" i="5"/>
  <c r="AZ86" i="5"/>
  <c r="AY86" i="5"/>
  <c r="AX86" i="5"/>
  <c r="AW86" i="5"/>
  <c r="AV86" i="5"/>
  <c r="AU86" i="5"/>
  <c r="AT86" i="5"/>
  <c r="AS86" i="5"/>
  <c r="AR86" i="5"/>
  <c r="AQ86" i="5"/>
  <c r="AP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AC86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86" i="5"/>
  <c r="BI85" i="5"/>
  <c r="BH85" i="5"/>
  <c r="BG85" i="5"/>
  <c r="BF85" i="5"/>
  <c r="BE85" i="5"/>
  <c r="BD85" i="5"/>
  <c r="BC85" i="5"/>
  <c r="BB85" i="5"/>
  <c r="BA85" i="5"/>
  <c r="AZ85" i="5"/>
  <c r="AY85" i="5"/>
  <c r="AX85" i="5"/>
  <c r="AW85" i="5"/>
  <c r="AV85" i="5"/>
  <c r="AU85" i="5"/>
  <c r="AT85" i="5"/>
  <c r="AS85" i="5"/>
  <c r="AR85" i="5"/>
  <c r="AQ85" i="5"/>
  <c r="AP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B85" i="5"/>
  <c r="BI84" i="5"/>
  <c r="BH84" i="5"/>
  <c r="BG84" i="5"/>
  <c r="BF84" i="5"/>
  <c r="BE84" i="5"/>
  <c r="BD84" i="5"/>
  <c r="BC84" i="5"/>
  <c r="BB84" i="5"/>
  <c r="BA84" i="5"/>
  <c r="AZ84" i="5"/>
  <c r="AY84" i="5"/>
  <c r="AX84" i="5"/>
  <c r="AW84" i="5"/>
  <c r="AV84" i="5"/>
  <c r="AU84" i="5"/>
  <c r="AT84" i="5"/>
  <c r="AS84" i="5"/>
  <c r="AR84" i="5"/>
  <c r="AQ84" i="5"/>
  <c r="AP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BI83" i="5"/>
  <c r="BH83" i="5"/>
  <c r="BG83" i="5"/>
  <c r="BF83" i="5"/>
  <c r="BE83" i="5"/>
  <c r="BD83" i="5"/>
  <c r="BC83" i="5"/>
  <c r="BB83" i="5"/>
  <c r="BA83" i="5"/>
  <c r="AZ83" i="5"/>
  <c r="AY83" i="5"/>
  <c r="AX83" i="5"/>
  <c r="AW83" i="5"/>
  <c r="AV83" i="5"/>
  <c r="AU83" i="5"/>
  <c r="AT83" i="5"/>
  <c r="AS83" i="5"/>
  <c r="AR83" i="5"/>
  <c r="AQ83" i="5"/>
  <c r="AP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B83" i="5"/>
  <c r="BI82" i="5"/>
  <c r="BH82" i="5"/>
  <c r="BG82" i="5"/>
  <c r="BF82" i="5"/>
  <c r="BE82" i="5"/>
  <c r="BD82" i="5"/>
  <c r="BC82" i="5"/>
  <c r="BB82" i="5"/>
  <c r="BA82" i="5"/>
  <c r="AZ82" i="5"/>
  <c r="AY82" i="5"/>
  <c r="AX82" i="5"/>
  <c r="AW82" i="5"/>
  <c r="AV82" i="5"/>
  <c r="AU82" i="5"/>
  <c r="AT82" i="5"/>
  <c r="AS82" i="5"/>
  <c r="AR82" i="5"/>
  <c r="AQ82" i="5"/>
  <c r="AP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B82" i="5"/>
  <c r="BI81" i="5"/>
  <c r="BH81" i="5"/>
  <c r="BG81" i="5"/>
  <c r="BF81" i="5"/>
  <c r="BE81" i="5"/>
  <c r="BD81" i="5"/>
  <c r="BC81" i="5"/>
  <c r="BB81" i="5"/>
  <c r="BA81" i="5"/>
  <c r="AZ81" i="5"/>
  <c r="AY81" i="5"/>
  <c r="AX81" i="5"/>
  <c r="AW81" i="5"/>
  <c r="AV81" i="5"/>
  <c r="AU81" i="5"/>
  <c r="AT81" i="5"/>
  <c r="AS81" i="5"/>
  <c r="AR81" i="5"/>
  <c r="AQ81" i="5"/>
  <c r="AP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B81" i="5"/>
  <c r="BI80" i="5"/>
  <c r="BH80" i="5"/>
  <c r="BG80" i="5"/>
  <c r="BF80" i="5"/>
  <c r="BE80" i="5"/>
  <c r="BD80" i="5"/>
  <c r="BC80" i="5"/>
  <c r="BB80" i="5"/>
  <c r="BA80" i="5"/>
  <c r="AZ80" i="5"/>
  <c r="AY80" i="5"/>
  <c r="AX80" i="5"/>
  <c r="AW80" i="5"/>
  <c r="AV80" i="5"/>
  <c r="AU80" i="5"/>
  <c r="AT80" i="5"/>
  <c r="AS80" i="5"/>
  <c r="AR80" i="5"/>
  <c r="AQ80" i="5"/>
  <c r="AP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BI79" i="5"/>
  <c r="BH79" i="5"/>
  <c r="BG79" i="5"/>
  <c r="BF79" i="5"/>
  <c r="BE79" i="5"/>
  <c r="BD79" i="5"/>
  <c r="BC79" i="5"/>
  <c r="BB79" i="5"/>
  <c r="BA79" i="5"/>
  <c r="AZ79" i="5"/>
  <c r="AY79" i="5"/>
  <c r="AX79" i="5"/>
  <c r="AW79" i="5"/>
  <c r="AV79" i="5"/>
  <c r="AU79" i="5"/>
  <c r="AT79" i="5"/>
  <c r="AS79" i="5"/>
  <c r="AR79" i="5"/>
  <c r="AQ79" i="5"/>
  <c r="AP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B79" i="5"/>
  <c r="BI78" i="5"/>
  <c r="BH78" i="5"/>
  <c r="BG78" i="5"/>
  <c r="BF78" i="5"/>
  <c r="BE78" i="5"/>
  <c r="BD78" i="5"/>
  <c r="BC78" i="5"/>
  <c r="BB78" i="5"/>
  <c r="BA78" i="5"/>
  <c r="AZ78" i="5"/>
  <c r="AY78" i="5"/>
  <c r="AX78" i="5"/>
  <c r="AW78" i="5"/>
  <c r="AV78" i="5"/>
  <c r="AU78" i="5"/>
  <c r="AT78" i="5"/>
  <c r="AS78" i="5"/>
  <c r="AR78" i="5"/>
  <c r="AQ78" i="5"/>
  <c r="AP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B78" i="5"/>
  <c r="BI77" i="5"/>
  <c r="BH77" i="5"/>
  <c r="BG77" i="5"/>
  <c r="BF77" i="5"/>
  <c r="BE77" i="5"/>
  <c r="BD77" i="5"/>
  <c r="BC77" i="5"/>
  <c r="BB77" i="5"/>
  <c r="BA77" i="5"/>
  <c r="AZ77" i="5"/>
  <c r="AY77" i="5"/>
  <c r="AX77" i="5"/>
  <c r="AW77" i="5"/>
  <c r="AV77" i="5"/>
  <c r="AU77" i="5"/>
  <c r="AT77" i="5"/>
  <c r="AS77" i="5"/>
  <c r="AR77" i="5"/>
  <c r="AQ77" i="5"/>
  <c r="AP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BI76" i="5"/>
  <c r="BH76" i="5"/>
  <c r="BG76" i="5"/>
  <c r="BF76" i="5"/>
  <c r="BE76" i="5"/>
  <c r="BD76" i="5"/>
  <c r="BC76" i="5"/>
  <c r="BB76" i="5"/>
  <c r="BA76" i="5"/>
  <c r="AZ76" i="5"/>
  <c r="AY76" i="5"/>
  <c r="AX76" i="5"/>
  <c r="AW76" i="5"/>
  <c r="AV76" i="5"/>
  <c r="AU76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BI75" i="5"/>
  <c r="BH75" i="5"/>
  <c r="BG75" i="5"/>
  <c r="BF75" i="5"/>
  <c r="BE75" i="5"/>
  <c r="BD75" i="5"/>
  <c r="BC75" i="5"/>
  <c r="BB75" i="5"/>
  <c r="BA75" i="5"/>
  <c r="AZ75" i="5"/>
  <c r="AY75" i="5"/>
  <c r="AX75" i="5"/>
  <c r="AW75" i="5"/>
  <c r="AV75" i="5"/>
  <c r="AU75" i="5"/>
  <c r="AT75" i="5"/>
  <c r="AS75" i="5"/>
  <c r="AR75" i="5"/>
  <c r="AQ75" i="5"/>
  <c r="AP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B75" i="5"/>
  <c r="BI74" i="5"/>
  <c r="BH74" i="5"/>
  <c r="BG74" i="5"/>
  <c r="BF74" i="5"/>
  <c r="BE74" i="5"/>
  <c r="BD74" i="5"/>
  <c r="BC74" i="5"/>
  <c r="BB74" i="5"/>
  <c r="BA74" i="5"/>
  <c r="AZ74" i="5"/>
  <c r="AY74" i="5"/>
  <c r="AX74" i="5"/>
  <c r="AW74" i="5"/>
  <c r="AV74" i="5"/>
  <c r="AU74" i="5"/>
  <c r="AT74" i="5"/>
  <c r="AS74" i="5"/>
  <c r="AR74" i="5"/>
  <c r="AQ74" i="5"/>
  <c r="AP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BI73" i="5"/>
  <c r="BH73" i="5"/>
  <c r="BG73" i="5"/>
  <c r="BF73" i="5"/>
  <c r="BE73" i="5"/>
  <c r="BD73" i="5"/>
  <c r="BC73" i="5"/>
  <c r="BB73" i="5"/>
  <c r="BA73" i="5"/>
  <c r="AZ73" i="5"/>
  <c r="AY73" i="5"/>
  <c r="AX73" i="5"/>
  <c r="AW73" i="5"/>
  <c r="AV73" i="5"/>
  <c r="AU73" i="5"/>
  <c r="AT73" i="5"/>
  <c r="AS73" i="5"/>
  <c r="AR73" i="5"/>
  <c r="AQ73" i="5"/>
  <c r="AP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B73" i="5"/>
  <c r="BI72" i="5"/>
  <c r="BH72" i="5"/>
  <c r="BG72" i="5"/>
  <c r="BF72" i="5"/>
  <c r="BE72" i="5"/>
  <c r="BD72" i="5"/>
  <c r="BC72" i="5"/>
  <c r="BB72" i="5"/>
  <c r="BA72" i="5"/>
  <c r="AZ72" i="5"/>
  <c r="AY72" i="5"/>
  <c r="AX72" i="5"/>
  <c r="AW72" i="5"/>
  <c r="AV72" i="5"/>
  <c r="AU72" i="5"/>
  <c r="AT72" i="5"/>
  <c r="AS72" i="5"/>
  <c r="AR72" i="5"/>
  <c r="AQ72" i="5"/>
  <c r="AP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BI71" i="5"/>
  <c r="BH71" i="5"/>
  <c r="BG71" i="5"/>
  <c r="BF71" i="5"/>
  <c r="BE71" i="5"/>
  <c r="BD71" i="5"/>
  <c r="BC71" i="5"/>
  <c r="BB71" i="5"/>
  <c r="BA71" i="5"/>
  <c r="AZ71" i="5"/>
  <c r="AY71" i="5"/>
  <c r="AX71" i="5"/>
  <c r="AW71" i="5"/>
  <c r="AV71" i="5"/>
  <c r="AU71" i="5"/>
  <c r="AT71" i="5"/>
  <c r="AS71" i="5"/>
  <c r="AR71" i="5"/>
  <c r="AQ71" i="5"/>
  <c r="AP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BI70" i="5"/>
  <c r="BH70" i="5"/>
  <c r="BG70" i="5"/>
  <c r="BF70" i="5"/>
  <c r="BE70" i="5"/>
  <c r="BD70" i="5"/>
  <c r="BC70" i="5"/>
  <c r="BB70" i="5"/>
  <c r="BA70" i="5"/>
  <c r="AZ70" i="5"/>
  <c r="AY70" i="5"/>
  <c r="AX70" i="5"/>
  <c r="AW70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BI69" i="5"/>
  <c r="BH69" i="5"/>
  <c r="BG69" i="5"/>
  <c r="BF69" i="5"/>
  <c r="BE69" i="5"/>
  <c r="BD69" i="5"/>
  <c r="BC69" i="5"/>
  <c r="BB69" i="5"/>
  <c r="BA69" i="5"/>
  <c r="AZ69" i="5"/>
  <c r="AY69" i="5"/>
  <c r="AX69" i="5"/>
  <c r="AW69" i="5"/>
  <c r="AV69" i="5"/>
  <c r="AU69" i="5"/>
  <c r="AT69" i="5"/>
  <c r="AS69" i="5"/>
  <c r="AR69" i="5"/>
  <c r="AQ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BI68" i="5"/>
  <c r="BH68" i="5"/>
  <c r="BG68" i="5"/>
  <c r="BF68" i="5"/>
  <c r="BE68" i="5"/>
  <c r="BD68" i="5"/>
  <c r="BC68" i="5"/>
  <c r="BB68" i="5"/>
  <c r="BA68" i="5"/>
  <c r="AZ68" i="5"/>
  <c r="AY68" i="5"/>
  <c r="AX68" i="5"/>
  <c r="AW68" i="5"/>
  <c r="AV68" i="5"/>
  <c r="AU68" i="5"/>
  <c r="AT68" i="5"/>
  <c r="AS68" i="5"/>
  <c r="AR68" i="5"/>
  <c r="AQ68" i="5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BI67" i="5"/>
  <c r="BH67" i="5"/>
  <c r="BG67" i="5"/>
  <c r="BF67" i="5"/>
  <c r="BE67" i="5"/>
  <c r="BD67" i="5"/>
  <c r="BC67" i="5"/>
  <c r="BB67" i="5"/>
  <c r="BA67" i="5"/>
  <c r="AZ67" i="5"/>
  <c r="AY67" i="5"/>
  <c r="AX67" i="5"/>
  <c r="AW67" i="5"/>
  <c r="AV67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BI66" i="5"/>
  <c r="BH66" i="5"/>
  <c r="BG66" i="5"/>
  <c r="BF66" i="5"/>
  <c r="BE66" i="5"/>
  <c r="BD66" i="5"/>
  <c r="BC66" i="5"/>
  <c r="BB66" i="5"/>
  <c r="BA66" i="5"/>
  <c r="AZ66" i="5"/>
  <c r="AY66" i="5"/>
  <c r="AX66" i="5"/>
  <c r="AW66" i="5"/>
  <c r="AV66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BI65" i="5"/>
  <c r="BH65" i="5"/>
  <c r="BG65" i="5"/>
  <c r="BF65" i="5"/>
  <c r="BE65" i="5"/>
  <c r="BD65" i="5"/>
  <c r="BC65" i="5"/>
  <c r="BB65" i="5"/>
  <c r="BA65" i="5"/>
  <c r="AZ65" i="5"/>
  <c r="AY65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BI64" i="5"/>
  <c r="BH64" i="5"/>
  <c r="BG64" i="5"/>
  <c r="BF64" i="5"/>
  <c r="BE64" i="5"/>
  <c r="BD64" i="5"/>
  <c r="BC64" i="5"/>
  <c r="BB64" i="5"/>
  <c r="BA64" i="5"/>
  <c r="AZ64" i="5"/>
  <c r="AY64" i="5"/>
  <c r="AX64" i="5"/>
  <c r="AW64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BI63" i="5"/>
  <c r="BH63" i="5"/>
  <c r="BG63" i="5"/>
  <c r="BF63" i="5"/>
  <c r="BE63" i="5"/>
  <c r="BD63" i="5"/>
  <c r="BC63" i="5"/>
  <c r="BB63" i="5"/>
  <c r="BA63" i="5"/>
  <c r="AZ63" i="5"/>
  <c r="AY63" i="5"/>
  <c r="AX63" i="5"/>
  <c r="AW63" i="5"/>
  <c r="AV63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BI62" i="5"/>
  <c r="BH62" i="5"/>
  <c r="BG62" i="5"/>
  <c r="BF62" i="5"/>
  <c r="BE62" i="5"/>
  <c r="BD62" i="5"/>
  <c r="BC62" i="5"/>
  <c r="BB62" i="5"/>
  <c r="BA62" i="5"/>
  <c r="AZ62" i="5"/>
  <c r="AY62" i="5"/>
  <c r="AX62" i="5"/>
  <c r="AW62" i="5"/>
  <c r="AV62" i="5"/>
  <c r="AU62" i="5"/>
  <c r="AT62" i="5"/>
  <c r="AS62" i="5"/>
  <c r="AR62" i="5"/>
  <c r="AQ62" i="5"/>
  <c r="AP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BI61" i="5"/>
  <c r="BH61" i="5"/>
  <c r="BG61" i="5"/>
  <c r="BF61" i="5"/>
  <c r="BE61" i="5"/>
  <c r="BD61" i="5"/>
  <c r="BC61" i="5"/>
  <c r="BB61" i="5"/>
  <c r="BA61" i="5"/>
  <c r="AZ61" i="5"/>
  <c r="AY61" i="5"/>
  <c r="AX61" i="5"/>
  <c r="AW61" i="5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BI60" i="5"/>
  <c r="BH60" i="5"/>
  <c r="BG60" i="5"/>
  <c r="BF60" i="5"/>
  <c r="BE60" i="5"/>
  <c r="BD60" i="5"/>
  <c r="BC60" i="5"/>
  <c r="BB60" i="5"/>
  <c r="BA60" i="5"/>
  <c r="AZ60" i="5"/>
  <c r="AY60" i="5"/>
  <c r="AX60" i="5"/>
  <c r="AW60" i="5"/>
  <c r="AV60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BI59" i="5"/>
  <c r="BH59" i="5"/>
  <c r="BG59" i="5"/>
  <c r="BF59" i="5"/>
  <c r="BE59" i="5"/>
  <c r="BD59" i="5"/>
  <c r="BC59" i="5"/>
  <c r="BB59" i="5"/>
  <c r="BA59" i="5"/>
  <c r="AZ59" i="5"/>
  <c r="AY59" i="5"/>
  <c r="AX59" i="5"/>
  <c r="AW59" i="5"/>
  <c r="AV59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BI58" i="5"/>
  <c r="BH58" i="5"/>
  <c r="BG58" i="5"/>
  <c r="BF58" i="5"/>
  <c r="BE58" i="5"/>
  <c r="BD58" i="5"/>
  <c r="BC58" i="5"/>
  <c r="BB58" i="5"/>
  <c r="BA58" i="5"/>
  <c r="AZ58" i="5"/>
  <c r="AY58" i="5"/>
  <c r="AX58" i="5"/>
  <c r="AW58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BI57" i="5"/>
  <c r="BH57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BI56" i="5"/>
  <c r="BH56" i="5"/>
  <c r="BG56" i="5"/>
  <c r="BF56" i="5"/>
  <c r="BE56" i="5"/>
  <c r="BD56" i="5"/>
  <c r="BC56" i="5"/>
  <c r="BB56" i="5"/>
  <c r="BA56" i="5"/>
  <c r="AZ56" i="5"/>
  <c r="AY56" i="5"/>
  <c r="AX56" i="5"/>
  <c r="AW56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BI55" i="5"/>
  <c r="BH55" i="5"/>
  <c r="BG55" i="5"/>
  <c r="BF55" i="5"/>
  <c r="BE55" i="5"/>
  <c r="BD55" i="5"/>
  <c r="BC55" i="5"/>
  <c r="BB55" i="5"/>
  <c r="BA55" i="5"/>
  <c r="AZ55" i="5"/>
  <c r="AY55" i="5"/>
  <c r="AX55" i="5"/>
  <c r="AW55" i="5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BI54" i="5"/>
  <c r="BH54" i="5"/>
  <c r="BG54" i="5"/>
  <c r="BF54" i="5"/>
  <c r="BE54" i="5"/>
  <c r="BD54" i="5"/>
  <c r="BC54" i="5"/>
  <c r="BB54" i="5"/>
  <c r="BA54" i="5"/>
  <c r="AZ54" i="5"/>
  <c r="AY54" i="5"/>
  <c r="AX54" i="5"/>
  <c r="AW54" i="5"/>
  <c r="AV54" i="5"/>
  <c r="AU54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BI53" i="5"/>
  <c r="BH53" i="5"/>
  <c r="BG53" i="5"/>
  <c r="BF53" i="5"/>
  <c r="BE53" i="5"/>
  <c r="BD53" i="5"/>
  <c r="BC53" i="5"/>
  <c r="BB53" i="5"/>
  <c r="BA53" i="5"/>
  <c r="AZ53" i="5"/>
  <c r="AY53" i="5"/>
  <c r="AX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BI52" i="5"/>
  <c r="BH52" i="5"/>
  <c r="BG52" i="5"/>
  <c r="BF52" i="5"/>
  <c r="BE52" i="5"/>
  <c r="BD52" i="5"/>
  <c r="BC52" i="5"/>
  <c r="BB52" i="5"/>
  <c r="BA52" i="5"/>
  <c r="AZ52" i="5"/>
  <c r="AY52" i="5"/>
  <c r="AX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BI51" i="5"/>
  <c r="BH51" i="5"/>
  <c r="BG51" i="5"/>
  <c r="BF51" i="5"/>
  <c r="BE51" i="5"/>
  <c r="BD51" i="5"/>
  <c r="BC51" i="5"/>
  <c r="BB51" i="5"/>
  <c r="BA51" i="5"/>
  <c r="AZ51" i="5"/>
  <c r="AY51" i="5"/>
  <c r="AX51" i="5"/>
  <c r="AW51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BI50" i="5"/>
  <c r="BH50" i="5"/>
  <c r="BG50" i="5"/>
  <c r="BF50" i="5"/>
  <c r="BE50" i="5"/>
  <c r="BD50" i="5"/>
  <c r="BC50" i="5"/>
  <c r="BB50" i="5"/>
  <c r="BA50" i="5"/>
  <c r="AZ50" i="5"/>
  <c r="AY50" i="5"/>
  <c r="AX50" i="5"/>
  <c r="AW50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BI49" i="5"/>
  <c r="BH49" i="5"/>
  <c r="BG49" i="5"/>
  <c r="BF49" i="5"/>
  <c r="BE49" i="5"/>
  <c r="BD49" i="5"/>
  <c r="BC49" i="5"/>
  <c r="BB49" i="5"/>
  <c r="BA49" i="5"/>
  <c r="AZ49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BI48" i="5"/>
  <c r="BH48" i="5"/>
  <c r="BG48" i="5"/>
  <c r="BF48" i="5"/>
  <c r="BE48" i="5"/>
  <c r="BD48" i="5"/>
  <c r="BC48" i="5"/>
  <c r="BB48" i="5"/>
  <c r="BA48" i="5"/>
  <c r="AZ48" i="5"/>
  <c r="AY48" i="5"/>
  <c r="AX48" i="5"/>
  <c r="AW48" i="5"/>
  <c r="AV48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BI47" i="5"/>
  <c r="BH47" i="5"/>
  <c r="BG47" i="5"/>
  <c r="BF47" i="5"/>
  <c r="BE47" i="5"/>
  <c r="BD47" i="5"/>
  <c r="BC47" i="5"/>
  <c r="BB47" i="5"/>
  <c r="BA47" i="5"/>
  <c r="AZ47" i="5"/>
  <c r="AY47" i="5"/>
  <c r="AX47" i="5"/>
  <c r="AW47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BI46" i="5"/>
  <c r="BH46" i="5"/>
  <c r="BG46" i="5"/>
  <c r="BF46" i="5"/>
  <c r="BE46" i="5"/>
  <c r="BD46" i="5"/>
  <c r="BC46" i="5"/>
  <c r="BB46" i="5"/>
  <c r="BA46" i="5"/>
  <c r="AZ46" i="5"/>
  <c r="AY46" i="5"/>
  <c r="AX46" i="5"/>
  <c r="AW46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BI45" i="5"/>
  <c r="BH45" i="5"/>
  <c r="BG45" i="5"/>
  <c r="BF45" i="5"/>
  <c r="BE45" i="5"/>
  <c r="BD45" i="5"/>
  <c r="BC45" i="5"/>
  <c r="BB45" i="5"/>
  <c r="BA45" i="5"/>
  <c r="AZ45" i="5"/>
  <c r="AY45" i="5"/>
  <c r="AX45" i="5"/>
  <c r="AW45" i="5"/>
  <c r="AV45" i="5"/>
  <c r="AU45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BI44" i="5"/>
  <c r="BH44" i="5"/>
  <c r="BG44" i="5"/>
  <c r="BF44" i="5"/>
  <c r="BE44" i="5"/>
  <c r="BD44" i="5"/>
  <c r="BC44" i="5"/>
  <c r="BB44" i="5"/>
  <c r="BA44" i="5"/>
  <c r="AZ44" i="5"/>
  <c r="AY44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BI43" i="5"/>
  <c r="BH43" i="5"/>
  <c r="BG43" i="5"/>
  <c r="BF43" i="5"/>
  <c r="BE43" i="5"/>
  <c r="BD43" i="5"/>
  <c r="BC43" i="5"/>
  <c r="BB43" i="5"/>
  <c r="BA43" i="5"/>
  <c r="AZ43" i="5"/>
  <c r="AY43" i="5"/>
  <c r="AX43" i="5"/>
  <c r="AW43" i="5"/>
  <c r="AV43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BI42" i="5"/>
  <c r="BH42" i="5"/>
  <c r="BG42" i="5"/>
  <c r="BF42" i="5"/>
  <c r="BE42" i="5"/>
  <c r="BD42" i="5"/>
  <c r="BC42" i="5"/>
  <c r="BB42" i="5"/>
  <c r="BA42" i="5"/>
  <c r="AZ42" i="5"/>
  <c r="AY42" i="5"/>
  <c r="AX42" i="5"/>
  <c r="AW42" i="5"/>
  <c r="AV42" i="5"/>
  <c r="AU42" i="5"/>
  <c r="AT42" i="5"/>
  <c r="AS42" i="5"/>
  <c r="AR42" i="5"/>
  <c r="AQ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BI41" i="5"/>
  <c r="BH41" i="5"/>
  <c r="BG41" i="5"/>
  <c r="BF41" i="5"/>
  <c r="BE41" i="5"/>
  <c r="BD41" i="5"/>
  <c r="BC41" i="5"/>
  <c r="BB41" i="5"/>
  <c r="BA41" i="5"/>
  <c r="AZ41" i="5"/>
  <c r="AY41" i="5"/>
  <c r="AX41" i="5"/>
  <c r="AW41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BI40" i="5"/>
  <c r="BH40" i="5"/>
  <c r="BG40" i="5"/>
  <c r="BF40" i="5"/>
  <c r="BE40" i="5"/>
  <c r="BD40" i="5"/>
  <c r="BC40" i="5"/>
  <c r="BB40" i="5"/>
  <c r="BA40" i="5"/>
  <c r="AZ40" i="5"/>
  <c r="AY40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BI39" i="5"/>
  <c r="BH39" i="5"/>
  <c r="BG39" i="5"/>
  <c r="BF39" i="5"/>
  <c r="BE39" i="5"/>
  <c r="BD39" i="5"/>
  <c r="BC39" i="5"/>
  <c r="BB39" i="5"/>
  <c r="BA39" i="5"/>
  <c r="AZ39" i="5"/>
  <c r="AY39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BI38" i="5"/>
  <c r="BH38" i="5"/>
  <c r="BG38" i="5"/>
  <c r="BF38" i="5"/>
  <c r="BE38" i="5"/>
  <c r="BD38" i="5"/>
  <c r="BC38" i="5"/>
  <c r="BB38" i="5"/>
  <c r="BA38" i="5"/>
  <c r="AZ38" i="5"/>
  <c r="AY38" i="5"/>
  <c r="AX38" i="5"/>
  <c r="AW38" i="5"/>
  <c r="AV38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BI37" i="5"/>
  <c r="BH37" i="5"/>
  <c r="BG37" i="5"/>
  <c r="BF37" i="5"/>
  <c r="BE37" i="5"/>
  <c r="BD37" i="5"/>
  <c r="BC37" i="5"/>
  <c r="BB37" i="5"/>
  <c r="BA37" i="5"/>
  <c r="AZ37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BI36" i="5"/>
  <c r="BH36" i="5"/>
  <c r="BG36" i="5"/>
  <c r="BF36" i="5"/>
  <c r="BE36" i="5"/>
  <c r="BD36" i="5"/>
  <c r="BC36" i="5"/>
  <c r="BB36" i="5"/>
  <c r="BA36" i="5"/>
  <c r="AZ36" i="5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BI34" i="5"/>
  <c r="BH34" i="5"/>
  <c r="BG34" i="5"/>
  <c r="BF34" i="5"/>
  <c r="BE34" i="5"/>
  <c r="BD34" i="5"/>
  <c r="BC34" i="5"/>
  <c r="BB34" i="5"/>
  <c r="BA34" i="5"/>
  <c r="AZ34" i="5"/>
  <c r="AY34" i="5"/>
  <c r="AX34" i="5"/>
  <c r="AW34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BI33" i="5"/>
  <c r="BH33" i="5"/>
  <c r="BG33" i="5"/>
  <c r="BF33" i="5"/>
  <c r="BE33" i="5"/>
  <c r="BD33" i="5"/>
  <c r="BC33" i="5"/>
  <c r="BB33" i="5"/>
  <c r="BA33" i="5"/>
  <c r="AZ33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BI32" i="5"/>
  <c r="BH32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BI31" i="5"/>
  <c r="BH31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BI30" i="5"/>
  <c r="BH30" i="5"/>
  <c r="BG30" i="5"/>
  <c r="BF30" i="5"/>
  <c r="BE30" i="5"/>
  <c r="BD30" i="5"/>
  <c r="BC30" i="5"/>
  <c r="BB30" i="5"/>
  <c r="BA30" i="5"/>
  <c r="AZ30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BI29" i="5"/>
  <c r="BH29" i="5"/>
  <c r="BG29" i="5"/>
  <c r="BF29" i="5"/>
  <c r="BE29" i="5"/>
  <c r="BD29" i="5"/>
  <c r="BC29" i="5"/>
  <c r="BB29" i="5"/>
  <c r="BA29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BI28" i="5"/>
  <c r="BH28" i="5"/>
  <c r="BG28" i="5"/>
  <c r="BF28" i="5"/>
  <c r="BE28" i="5"/>
  <c r="BD28" i="5"/>
  <c r="BC28" i="5"/>
  <c r="BB28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BI27" i="5"/>
  <c r="BH27" i="5"/>
  <c r="BG27" i="5"/>
  <c r="BF27" i="5"/>
  <c r="BE27" i="5"/>
  <c r="BD27" i="5"/>
  <c r="BC27" i="5"/>
  <c r="BB27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BI26" i="5"/>
  <c r="BH26" i="5"/>
  <c r="BG26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BI25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BI24" i="5"/>
  <c r="BH24" i="5"/>
  <c r="BG24" i="5"/>
  <c r="BF24" i="5"/>
  <c r="BE24" i="5"/>
  <c r="BD24" i="5"/>
  <c r="BC24" i="5"/>
  <c r="BB24" i="5"/>
  <c r="BA24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BI23" i="5"/>
  <c r="BH23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BI22" i="5"/>
  <c r="BH22" i="5"/>
  <c r="BG22" i="5"/>
  <c r="BF22" i="5"/>
  <c r="BE22" i="5"/>
  <c r="BD22" i="5"/>
  <c r="BC22" i="5"/>
  <c r="BB22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BI21" i="5"/>
  <c r="BH21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BI20" i="5"/>
  <c r="BH20" i="5"/>
  <c r="BG20" i="5"/>
  <c r="BF20" i="5"/>
  <c r="BE20" i="5"/>
  <c r="BD20" i="5"/>
  <c r="BC20" i="5"/>
  <c r="BB20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BI18" i="5"/>
  <c r="BH18" i="5"/>
  <c r="BG18" i="5"/>
  <c r="BF18" i="5"/>
  <c r="BE18" i="5"/>
  <c r="BD18" i="5"/>
  <c r="BC18" i="5"/>
  <c r="BB18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BI15" i="5"/>
  <c r="BH15" i="5"/>
  <c r="BG15" i="5"/>
  <c r="BF15" i="5"/>
  <c r="BE15" i="5"/>
  <c r="BD15" i="5"/>
  <c r="BC15" i="5"/>
  <c r="BB15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BI14" i="5"/>
  <c r="BH14" i="5"/>
  <c r="BG14" i="5"/>
  <c r="BF14" i="5"/>
  <c r="BE14" i="5"/>
  <c r="BD14" i="5"/>
  <c r="BC14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BI12" i="5"/>
  <c r="BH12" i="5"/>
  <c r="BG12" i="5"/>
  <c r="BF12" i="5"/>
  <c r="BE12" i="5"/>
  <c r="BD12" i="5"/>
  <c r="BC12" i="5"/>
  <c r="BB12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BI11" i="5"/>
  <c r="BH11" i="5"/>
  <c r="BG11" i="5"/>
  <c r="BF11" i="5"/>
  <c r="BE11" i="5"/>
  <c r="BD11" i="5"/>
  <c r="BC11" i="5"/>
  <c r="BB11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BI10" i="5"/>
  <c r="BH10" i="5"/>
  <c r="BG10" i="5"/>
  <c r="BF10" i="5"/>
  <c r="BE10" i="5"/>
  <c r="BD10" i="5"/>
  <c r="BC10" i="5"/>
  <c r="BB10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BI9" i="5"/>
  <c r="BH9" i="5"/>
  <c r="BG9" i="5"/>
  <c r="BF9" i="5"/>
  <c r="BE9" i="5"/>
  <c r="BD9" i="5"/>
  <c r="BC9" i="5"/>
  <c r="BB9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BI6" i="5"/>
  <c r="BH6" i="5"/>
  <c r="BG6" i="5"/>
  <c r="BF6" i="5"/>
  <c r="BE6" i="5"/>
  <c r="BD6" i="5"/>
  <c r="BC6" i="5"/>
  <c r="BB6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BI5" i="5"/>
  <c r="BH5" i="5"/>
  <c r="BG5" i="5"/>
  <c r="BF5" i="5"/>
  <c r="BE5" i="5"/>
  <c r="BD5" i="5"/>
  <c r="BC5" i="5"/>
  <c r="BB5" i="5"/>
  <c r="BA5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BI4" i="5"/>
  <c r="BH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BI3" i="5"/>
  <c r="BH3" i="5"/>
  <c r="BG3" i="5"/>
  <c r="BF3" i="5"/>
  <c r="BE3" i="5"/>
  <c r="BD3" i="5"/>
  <c r="BC3" i="5"/>
  <c r="BB3" i="5"/>
  <c r="BA3" i="5"/>
  <c r="AZ3" i="5"/>
  <c r="AY3" i="5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BI2" i="5"/>
  <c r="BH2" i="5"/>
  <c r="BG2" i="5"/>
  <c r="BF2" i="5"/>
  <c r="BE2" i="5"/>
  <c r="BD2" i="5"/>
  <c r="BC2" i="5"/>
  <c r="BB2" i="5"/>
  <c r="BA2" i="5"/>
  <c r="AZ2" i="5"/>
  <c r="AY2" i="5"/>
  <c r="AX2" i="5"/>
  <c r="AW2" i="5"/>
  <c r="AV2" i="5"/>
  <c r="AU2" i="5"/>
  <c r="AT2" i="5"/>
  <c r="AS2" i="5"/>
  <c r="AR2" i="5"/>
  <c r="AQ2" i="5"/>
  <c r="AP2" i="5"/>
  <c r="AO2" i="5"/>
  <c r="AN2" i="5"/>
  <c r="AM2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I2" i="5"/>
  <c r="H2" i="5"/>
  <c r="G2" i="5"/>
  <c r="F2" i="5"/>
  <c r="E2" i="5"/>
  <c r="D2" i="5"/>
  <c r="C2" i="5"/>
  <c r="B2" i="5"/>
  <c r="I41" i="3"/>
  <c r="F41" i="3"/>
  <c r="C41" i="3"/>
  <c r="D27" i="3" a="1"/>
  <c r="I27" i="3" s="1"/>
  <c r="D27" i="3"/>
  <c r="D29" i="3" s="1"/>
  <c r="C17" i="3" a="1"/>
  <c r="H17" i="3" s="1"/>
  <c r="C17" i="3"/>
  <c r="G8" i="3"/>
  <c r="G7" i="3"/>
  <c r="G6" i="3"/>
  <c r="G5" i="3"/>
  <c r="I22" i="2"/>
  <c r="F22" i="2"/>
  <c r="C22" i="2"/>
  <c r="C14" i="2" a="1"/>
  <c r="D14" i="2" s="1"/>
  <c r="D11" i="2"/>
  <c r="D10" i="2"/>
  <c r="C11" i="2" s="1"/>
  <c r="C10" i="2"/>
  <c r="D9" i="2"/>
  <c r="C9" i="2" a="1"/>
  <c r="C9" i="2" s="1"/>
  <c r="I37" i="1"/>
  <c r="F37" i="1"/>
  <c r="C37" i="1"/>
  <c r="B20" i="1" a="1"/>
  <c r="B25" i="1" s="1"/>
  <c r="I25" i="1" s="1"/>
  <c r="D19" i="1" a="1"/>
  <c r="H19" i="1" s="1"/>
  <c r="B2" i="6" a="1"/>
  <c r="C15" i="2" l="1" a="1"/>
  <c r="C19" i="9"/>
  <c r="I19" i="1"/>
  <c r="B2" i="6"/>
  <c r="I32" i="3"/>
  <c r="I30" i="3"/>
  <c r="I34" i="3"/>
  <c r="I33" i="3"/>
  <c r="H34" i="3" s="1"/>
  <c r="I29" i="3"/>
  <c r="I31" i="3"/>
  <c r="C16" i="2"/>
  <c r="D15" i="2"/>
  <c r="D16" i="2"/>
  <c r="I21" i="2" s="1"/>
  <c r="I23" i="2" s="1"/>
  <c r="I24" i="2" s="1"/>
  <c r="C15" i="2"/>
  <c r="B20" i="1"/>
  <c r="D19" i="1"/>
  <c r="B21" i="1"/>
  <c r="F19" i="1"/>
  <c r="B23" i="1"/>
  <c r="G19" i="1"/>
  <c r="E27" i="3"/>
  <c r="E19" i="1"/>
  <c r="B22" i="1"/>
  <c r="B24" i="1"/>
  <c r="D17" i="3"/>
  <c r="F27" i="3"/>
  <c r="E17" i="3"/>
  <c r="G27" i="3"/>
  <c r="C14" i="2"/>
  <c r="F17" i="3"/>
  <c r="H27" i="3"/>
  <c r="G17" i="3"/>
  <c r="E30" i="3" l="1"/>
  <c r="E29" i="3"/>
  <c r="G31" i="3"/>
  <c r="F32" i="3" s="1" a="1"/>
  <c r="G32" i="3"/>
  <c r="G30" i="3"/>
  <c r="G29" i="3"/>
  <c r="H23" i="1"/>
  <c r="G24" i="1" s="1" a="1"/>
  <c r="G23" i="1"/>
  <c r="I23" i="1"/>
  <c r="F31" i="3"/>
  <c r="F30" i="3"/>
  <c r="F29" i="3"/>
  <c r="H21" i="1"/>
  <c r="G21" i="1"/>
  <c r="E21" i="1"/>
  <c r="F21" i="1"/>
  <c r="I21" i="1"/>
  <c r="I24" i="1"/>
  <c r="H25" i="1" s="1"/>
  <c r="H24" i="1"/>
  <c r="H31" i="3"/>
  <c r="H32" i="3"/>
  <c r="G33" i="3" s="1" a="1"/>
  <c r="H30" i="3"/>
  <c r="H33" i="3"/>
  <c r="I40" i="3" s="1" a="1"/>
  <c r="I40" i="3" s="1"/>
  <c r="I42" i="3" s="1"/>
  <c r="H29" i="3"/>
  <c r="G22" i="1"/>
  <c r="F22" i="1"/>
  <c r="I22" i="1"/>
  <c r="H22" i="1"/>
  <c r="F20" i="1"/>
  <c r="I20" i="1"/>
  <c r="G20" i="1"/>
  <c r="H20" i="1"/>
  <c r="E20" i="1"/>
  <c r="D20" i="1"/>
  <c r="F21" i="2"/>
  <c r="F23" i="2" s="1"/>
  <c r="F24" i="2" s="1"/>
  <c r="B27" i="2" s="1"/>
  <c r="C21" i="2" a="1"/>
  <c r="C21" i="2" s="1"/>
  <c r="C23" i="2" s="1"/>
  <c r="C24" i="2" s="1"/>
  <c r="C32" i="2" a="1"/>
  <c r="B3" i="7" a="1"/>
  <c r="B8" i="7" a="1"/>
  <c r="J7" i="8" l="1"/>
  <c r="I6" i="8"/>
  <c r="B3" i="7"/>
  <c r="K4" i="7"/>
  <c r="O4" i="7"/>
  <c r="AC4" i="7"/>
  <c r="B8" i="7"/>
  <c r="C2" i="8" s="1" a="1"/>
  <c r="C2" i="8" s="1"/>
  <c r="H3" i="8" s="1" a="1"/>
  <c r="H3" i="8" s="1"/>
  <c r="E22" i="1" a="1"/>
  <c r="J29" i="1" a="1"/>
  <c r="G25" i="1"/>
  <c r="G24" i="1"/>
  <c r="F29" i="1" s="1" a="1"/>
  <c r="C33" i="2"/>
  <c r="D33" i="2" s="1"/>
  <c r="C37" i="2" s="1"/>
  <c r="C38" i="2" s="1"/>
  <c r="C32" i="2"/>
  <c r="D32" i="2" s="1"/>
  <c r="C35" i="2" s="1"/>
  <c r="C36" i="2" s="1"/>
  <c r="G34" i="3"/>
  <c r="G33" i="3"/>
  <c r="E31" i="3" a="1"/>
  <c r="F34" i="3"/>
  <c r="F33" i="3"/>
  <c r="F32" i="3"/>
  <c r="D30" i="3" a="1"/>
  <c r="D21" i="1" a="1"/>
  <c r="F23" i="1" a="1"/>
  <c r="B4" i="7" l="1"/>
  <c r="B5" i="7" s="1"/>
  <c r="H5" i="8"/>
  <c r="H10" i="8" s="1" a="1"/>
  <c r="H10" i="8" s="1"/>
  <c r="H11" i="8" s="1"/>
  <c r="AJ4" i="7"/>
  <c r="BF4" i="7"/>
  <c r="T4" i="7"/>
  <c r="AG4" i="7"/>
  <c r="AY4" i="7"/>
  <c r="AU4" i="7"/>
  <c r="AB4" i="7"/>
  <c r="V4" i="7"/>
  <c r="AH4" i="7"/>
  <c r="AK4" i="7"/>
  <c r="AE4" i="7"/>
  <c r="BA4" i="7"/>
  <c r="G4" i="7"/>
  <c r="BE4" i="7"/>
  <c r="AW4" i="7"/>
  <c r="X4" i="7"/>
  <c r="AX4" i="7"/>
  <c r="Y4" i="7"/>
  <c r="AV4" i="7"/>
  <c r="S4" i="7"/>
  <c r="BB4" i="7"/>
  <c r="AL4" i="7"/>
  <c r="N4" i="7"/>
  <c r="AP4" i="7"/>
  <c r="BH4" i="7"/>
  <c r="D4" i="7"/>
  <c r="AD4" i="7"/>
  <c r="L4" i="7"/>
  <c r="H4" i="7"/>
  <c r="BC4" i="7"/>
  <c r="J4" i="7"/>
  <c r="P4" i="7"/>
  <c r="AS4" i="7"/>
  <c r="U4" i="7"/>
  <c r="BG4" i="7"/>
  <c r="AM4" i="7"/>
  <c r="F4" i="7"/>
  <c r="M4" i="7"/>
  <c r="BI4" i="7"/>
  <c r="AQ4" i="7"/>
  <c r="AA4" i="7"/>
  <c r="E4" i="7"/>
  <c r="C4" i="7"/>
  <c r="AO4" i="7"/>
  <c r="C5" i="7"/>
  <c r="BD4" i="7"/>
  <c r="AI4" i="7"/>
  <c r="Z4" i="7"/>
  <c r="Q4" i="7"/>
  <c r="AF4" i="7"/>
  <c r="AR4" i="7"/>
  <c r="AN4" i="7"/>
  <c r="AZ4" i="7"/>
  <c r="AT4" i="7"/>
  <c r="W4" i="7"/>
  <c r="R4" i="7"/>
  <c r="I4" i="7"/>
  <c r="G30" i="1"/>
  <c r="F30" i="1"/>
  <c r="G31" i="1"/>
  <c r="F29" i="1"/>
  <c r="H29" i="1"/>
  <c r="G29" i="1"/>
  <c r="F31" i="1"/>
  <c r="H31" i="1"/>
  <c r="H30" i="1"/>
  <c r="C39" i="2"/>
  <c r="F23" i="1"/>
  <c r="F25" i="1"/>
  <c r="F24" i="1"/>
  <c r="D21" i="1"/>
  <c r="D25" i="1"/>
  <c r="D24" i="1"/>
  <c r="D23" i="1"/>
  <c r="D22" i="1"/>
  <c r="L29" i="1"/>
  <c r="K29" i="1"/>
  <c r="K31" i="1"/>
  <c r="J29" i="1"/>
  <c r="L30" i="1"/>
  <c r="J31" i="1"/>
  <c r="L31" i="1"/>
  <c r="K30" i="1"/>
  <c r="J30" i="1"/>
  <c r="E34" i="3"/>
  <c r="E33" i="3"/>
  <c r="E32" i="3"/>
  <c r="E31" i="3"/>
  <c r="D31" i="3"/>
  <c r="D30" i="3"/>
  <c r="D34" i="3"/>
  <c r="D32" i="3"/>
  <c r="D33" i="3"/>
  <c r="E24" i="1"/>
  <c r="E25" i="1"/>
  <c r="E23" i="1"/>
  <c r="E22" i="1"/>
  <c r="D5" i="7" l="1"/>
  <c r="E5" i="7" s="1"/>
  <c r="F5" i="7"/>
  <c r="G5" i="7" s="1"/>
  <c r="H5" i="7" s="1"/>
  <c r="I5" i="7" s="1"/>
  <c r="J5" i="7"/>
  <c r="K5" i="7" s="1"/>
  <c r="L5" i="7" s="1"/>
  <c r="M5" i="7" s="1"/>
  <c r="N5" i="7" s="1"/>
  <c r="O5" i="7" s="1"/>
  <c r="P5" i="7" s="1"/>
  <c r="Q5" i="7" s="1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AF5" i="7" s="1"/>
  <c r="AG5" i="7" s="1"/>
  <c r="AH5" i="7" s="1"/>
  <c r="AI5" i="7" s="1"/>
  <c r="AJ5" i="7" s="1"/>
  <c r="AK5" i="7" s="1"/>
  <c r="AL5" i="7" s="1"/>
  <c r="AM5" i="7" s="1"/>
  <c r="AN5" i="7" s="1"/>
  <c r="AO5" i="7" s="1"/>
  <c r="AP5" i="7" s="1"/>
  <c r="AQ5" i="7" s="1"/>
  <c r="AR5" i="7" s="1"/>
  <c r="AS5" i="7" s="1"/>
  <c r="AT5" i="7" s="1"/>
  <c r="AU5" i="7" s="1"/>
  <c r="AV5" i="7" s="1"/>
  <c r="AW5" i="7" s="1"/>
  <c r="AX5" i="7" s="1"/>
  <c r="AY5" i="7" s="1"/>
  <c r="AZ5" i="7" s="1"/>
  <c r="BA5" i="7" s="1"/>
  <c r="BB5" i="7" s="1"/>
  <c r="BC5" i="7" s="1"/>
  <c r="BD5" i="7" s="1"/>
  <c r="BE5" i="7" s="1"/>
  <c r="BF5" i="7" s="1"/>
  <c r="BG5" i="7" s="1"/>
  <c r="BH5" i="7" s="1"/>
  <c r="BI5" i="7" s="1"/>
  <c r="C45" i="1" a="1"/>
  <c r="C36" i="1" a="1"/>
  <c r="C36" i="1" s="1"/>
  <c r="C38" i="1" s="1"/>
  <c r="C39" i="1" s="1"/>
  <c r="B29" i="1" a="1"/>
  <c r="I36" i="1" a="1"/>
  <c r="I36" i="1" s="1"/>
  <c r="I38" i="1" s="1"/>
  <c r="I39" i="1" s="1"/>
  <c r="C49" i="3" a="1"/>
  <c r="C40" i="3" a="1"/>
  <c r="C40" i="3" s="1"/>
  <c r="C42" i="3" s="1"/>
  <c r="F40" i="3" a="1"/>
  <c r="F40" i="3" s="1"/>
  <c r="F42" i="3" s="1"/>
  <c r="B45" i="3" s="1"/>
  <c r="C51" i="3" l="1"/>
  <c r="D51" i="3" s="1"/>
  <c r="C50" i="3"/>
  <c r="D50" i="3" s="1"/>
  <c r="C49" i="3"/>
  <c r="D49" i="3" s="1"/>
  <c r="C54" i="3"/>
  <c r="D54" i="3" s="1"/>
  <c r="C53" i="3"/>
  <c r="D53" i="3" s="1"/>
  <c r="C58" i="3" s="1" a="1"/>
  <c r="C58" i="3" s="1"/>
  <c r="C63" i="3" s="1"/>
  <c r="C52" i="3"/>
  <c r="D52" i="3" s="1"/>
  <c r="B31" i="1"/>
  <c r="B30" i="1"/>
  <c r="C29" i="1"/>
  <c r="D30" i="1"/>
  <c r="C30" i="1"/>
  <c r="D29" i="1"/>
  <c r="D31" i="1"/>
  <c r="C31" i="1"/>
  <c r="B29" i="1"/>
  <c r="C49" i="1"/>
  <c r="D49" i="1" s="1"/>
  <c r="C47" i="1"/>
  <c r="D47" i="1" s="1"/>
  <c r="C48" i="1"/>
  <c r="D48" i="1" s="1"/>
  <c r="C45" i="1"/>
  <c r="D45" i="1" s="1"/>
  <c r="C50" i="1"/>
  <c r="D50" i="1" s="1"/>
  <c r="C46" i="1"/>
  <c r="D46" i="1" s="1"/>
  <c r="F36" i="1" l="1" a="1"/>
  <c r="F36" i="1" s="1"/>
  <c r="F38" i="1" s="1"/>
  <c r="F39" i="1" s="1"/>
  <c r="C41" i="1" s="1"/>
  <c r="C57" i="3" a="1"/>
  <c r="C57" i="3" s="1"/>
  <c r="C62" i="3" s="1"/>
  <c r="C64" i="3" s="1"/>
  <c r="C54" i="1" a="1"/>
  <c r="C54" i="1" s="1"/>
  <c r="C55" i="1" s="1"/>
  <c r="C56" i="1" s="1"/>
  <c r="C59" i="1" a="1"/>
  <c r="C59" i="1" s="1"/>
  <c r="C60" i="1" s="1"/>
  <c r="C61" i="1" s="1"/>
  <c r="C6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<sst xmlns="http://schemas.openxmlformats.org/spreadsheetml/2006/main" count="530" uniqueCount="242">
  <si>
    <t>Maturity (Years)</t>
  </si>
  <si>
    <t>US1</t>
  </si>
  <si>
    <t>US2</t>
  </si>
  <si>
    <t>US3</t>
  </si>
  <si>
    <t>UK1</t>
  </si>
  <si>
    <t>UK2</t>
  </si>
  <si>
    <t>UK3</t>
  </si>
  <si>
    <t>Volatility (bps)</t>
  </si>
  <si>
    <t>Correlation Matrix</t>
  </si>
  <si>
    <t>Covariance (Annual)</t>
  </si>
  <si>
    <t>Vol (bps)</t>
  </si>
  <si>
    <t>US COVARIANCE</t>
  </si>
  <si>
    <t>UK COVARIANCE</t>
  </si>
  <si>
    <t>US-UK COVARIANCE</t>
  </si>
  <si>
    <t>Invers Normal</t>
  </si>
  <si>
    <t>1% Total Risk Factor VaR</t>
  </si>
  <si>
    <t>10-day VaR</t>
  </si>
  <si>
    <t>1% US Interest Rate VaR</t>
  </si>
  <si>
    <t>1% UK Interest Rate VaR</t>
  </si>
  <si>
    <r>
      <t>q</t>
    </r>
    <r>
      <rPr>
        <sz val="12"/>
        <color theme="1"/>
        <rFont val="Calibri"/>
        <family val="2"/>
      </rPr>
      <t>'</t>
    </r>
    <r>
      <rPr>
        <sz val="12"/>
        <color theme="1"/>
        <rFont val="Symbol"/>
        <charset val="2"/>
      </rPr>
      <t>Wq</t>
    </r>
  </si>
  <si>
    <t>Wq</t>
  </si>
  <si>
    <r>
      <t>g(</t>
    </r>
    <r>
      <rPr>
        <sz val="12"/>
        <color theme="1"/>
        <rFont val="Symbol"/>
        <charset val="2"/>
      </rPr>
      <t>q</t>
    </r>
    <r>
      <rPr>
        <sz val="12"/>
        <color theme="1"/>
        <rFont val="Calibri"/>
        <family val="2"/>
      </rPr>
      <t>)</t>
    </r>
  </si>
  <si>
    <t>Annual VaR</t>
  </si>
  <si>
    <t>US Marginal VaR</t>
  </si>
  <si>
    <t>UK Marginal VaR</t>
  </si>
  <si>
    <r>
      <t>PV01($) Vector (</t>
    </r>
    <r>
      <rPr>
        <sz val="12"/>
        <color theme="1"/>
        <rFont val="Symbol"/>
        <charset val="2"/>
      </rPr>
      <t>q</t>
    </r>
    <r>
      <rPr>
        <sz val="12"/>
        <color theme="1"/>
        <rFont val="Calibri"/>
        <family val="2"/>
      </rPr>
      <t>)</t>
    </r>
  </si>
  <si>
    <t>Sum of Marginals</t>
  </si>
  <si>
    <t>Portfolio Information</t>
  </si>
  <si>
    <t>Sum of Stand Alones</t>
  </si>
  <si>
    <t>Beta</t>
  </si>
  <si>
    <t>Correlation</t>
  </si>
  <si>
    <t>Portfolio ($)</t>
  </si>
  <si>
    <t>Information</t>
  </si>
  <si>
    <t xml:space="preserve"> $/£</t>
  </si>
  <si>
    <t>FTSE 100</t>
  </si>
  <si>
    <t>Volatilities (Yearly)</t>
  </si>
  <si>
    <t>Covariance Matrix (Yearly)</t>
  </si>
  <si>
    <t>Covariance Matrix (10-day)</t>
  </si>
  <si>
    <t>10-day Systematic VaR</t>
  </si>
  <si>
    <t>alpha</t>
  </si>
  <si>
    <t>NormInv</t>
  </si>
  <si>
    <t>Currency</t>
  </si>
  <si>
    <t>Risk Factors</t>
  </si>
  <si>
    <t>10-day VaR (%)</t>
  </si>
  <si>
    <t>10-day VaR ($)</t>
  </si>
  <si>
    <t>10-day Equity  VaR</t>
  </si>
  <si>
    <t>10-day Forex VaR</t>
  </si>
  <si>
    <t>Sum of Stand-Alone VaRs</t>
  </si>
  <si>
    <t>Systematic and Stand-Alone VaR</t>
  </si>
  <si>
    <t>Marginal VaR</t>
  </si>
  <si>
    <t>Equity Marginal VaR (%)</t>
  </si>
  <si>
    <t>Forex Marginal VaR (%)</t>
  </si>
  <si>
    <t>Forex Marginal VaR ($)</t>
  </si>
  <si>
    <t>Equity Marginal VaR ($)</t>
  </si>
  <si>
    <t>Sum of Marginal VaRs</t>
  </si>
  <si>
    <t>Graphing Quanto Correlation vs Systematic VaR</t>
  </si>
  <si>
    <t>Return</t>
  </si>
  <si>
    <t>Vol</t>
  </si>
  <si>
    <t>Net dollar Beta</t>
  </si>
  <si>
    <t>Index</t>
  </si>
  <si>
    <t>S&amp;P 500</t>
  </si>
  <si>
    <t>CAC 40</t>
  </si>
  <si>
    <t>DAX 30</t>
  </si>
  <si>
    <t>X1</t>
  </si>
  <si>
    <t>X2</t>
  </si>
  <si>
    <t>X3</t>
  </si>
  <si>
    <t>X4</t>
  </si>
  <si>
    <t>$/£</t>
  </si>
  <si>
    <t>Exposure</t>
  </si>
  <si>
    <t>$/€</t>
  </si>
  <si>
    <t>X5</t>
  </si>
  <si>
    <t>X6</t>
  </si>
  <si>
    <t>Local Exposures</t>
  </si>
  <si>
    <t>Forex Exposures</t>
  </si>
  <si>
    <t>Amount ($)</t>
  </si>
  <si>
    <t>Covariance Matrix (Annual)</t>
  </si>
  <si>
    <t>Norm Inv</t>
  </si>
  <si>
    <t>VaR</t>
  </si>
  <si>
    <t>1% 10 Day Equity</t>
  </si>
  <si>
    <t>1% 10 Day Forex</t>
  </si>
  <si>
    <t>1% 10 Day Systematic</t>
  </si>
  <si>
    <t>Sum of Stand-Alones</t>
  </si>
  <si>
    <t>Equity Marginal VaR</t>
  </si>
  <si>
    <t>Forex Maginal VaR</t>
  </si>
  <si>
    <t>Sum</t>
  </si>
  <si>
    <t>Annual</t>
  </si>
  <si>
    <t>10-Day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</si>
  <si>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</si>
  <si>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</si>
  <si>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</si>
  <si>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</si>
  <si>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</si>
  <si>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</si>
  <si>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</si>
  <si>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</si>
  <si>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</si>
  <si>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</si>
  <si>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</si>
  <si>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12m</t>
  </si>
  <si>
    <t>13m</t>
  </si>
  <si>
    <t>14m</t>
  </si>
  <si>
    <t>15m</t>
  </si>
  <si>
    <t>16m</t>
  </si>
  <si>
    <t>17m</t>
  </si>
  <si>
    <t>18m</t>
  </si>
  <si>
    <t>19m</t>
  </si>
  <si>
    <t>20m</t>
  </si>
  <si>
    <t>21m</t>
  </si>
  <si>
    <t>22m</t>
  </si>
  <si>
    <t>23m</t>
  </si>
  <si>
    <t>24m</t>
  </si>
  <si>
    <t>25m</t>
  </si>
  <si>
    <t>26m</t>
  </si>
  <si>
    <t>27m</t>
  </si>
  <si>
    <t>28m</t>
  </si>
  <si>
    <t>29m</t>
  </si>
  <si>
    <t>30m</t>
  </si>
  <si>
    <t>31m</t>
  </si>
  <si>
    <t>32m</t>
  </si>
  <si>
    <t>33m</t>
  </si>
  <si>
    <t>34m</t>
  </si>
  <si>
    <t>35m</t>
  </si>
  <si>
    <t>36m</t>
  </si>
  <si>
    <t>37m</t>
  </si>
  <si>
    <t>38m</t>
  </si>
  <si>
    <t>39m</t>
  </si>
  <si>
    <t>40m</t>
  </si>
  <si>
    <t>41m</t>
  </si>
  <si>
    <t>42m</t>
  </si>
  <si>
    <t>43m</t>
  </si>
  <si>
    <t>44m</t>
  </si>
  <si>
    <t>45m</t>
  </si>
  <si>
    <t>46m</t>
  </si>
  <si>
    <t>47m</t>
  </si>
  <si>
    <t>48m</t>
  </si>
  <si>
    <t>49m</t>
  </si>
  <si>
    <t>50m</t>
  </si>
  <si>
    <t>51m</t>
  </si>
  <si>
    <t>52m</t>
  </si>
  <si>
    <t>53m</t>
  </si>
  <si>
    <t>54m</t>
  </si>
  <si>
    <t>55m</t>
  </si>
  <si>
    <t>56m</t>
  </si>
  <si>
    <t>57m</t>
  </si>
  <si>
    <t>58m</t>
  </si>
  <si>
    <t>59m</t>
  </si>
  <si>
    <t>60m</t>
  </si>
  <si>
    <t>Dates</t>
  </si>
  <si>
    <t>Eigenvalues</t>
  </si>
  <si>
    <t>Eigenvector</t>
  </si>
  <si>
    <t>Percentage Explained</t>
  </si>
  <si>
    <t>Cumulative Percentage Explained</t>
  </si>
  <si>
    <t>PV01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</si>
  <si>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</si>
  <si>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</si>
  <si>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</si>
  <si>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</si>
  <si>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</si>
  <si>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</si>
  <si>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</si>
  <si>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</si>
  <si>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</si>
  <si>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</si>
  <si>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</si>
  <si>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</si>
  <si>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</si>
  <si>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</si>
  <si>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</si>
  <si>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</si>
  <si>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</si>
  <si>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</si>
  <si>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</si>
  <si>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</si>
  <si>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</si>
  <si>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</si>
  <si>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</si>
  <si>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</si>
  <si>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</si>
  <si>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</si>
  <si>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</si>
  <si>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</si>
  <si>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</si>
  <si>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</si>
  <si>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</si>
  <si>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</si>
  <si>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</si>
  <si>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</si>
  <si>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</si>
  <si>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</si>
  <si>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</si>
  <si>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</si>
  <si>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</si>
  <si>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</si>
  <si>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</si>
  <si>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</si>
  <si>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</si>
  <si>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</si>
  <si>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</si>
  <si>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</si>
  <si>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</si>
  <si>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</si>
  <si>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</si>
  <si>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</si>
  <si>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</si>
  <si>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</si>
  <si>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</si>
  <si>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</si>
  <si>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</si>
  <si>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</si>
  <si>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</si>
  <si>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</si>
  <si>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</si>
  <si>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</si>
  <si>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PC1</t>
  </si>
  <si>
    <t>PC2</t>
  </si>
  <si>
    <t>PC3</t>
  </si>
  <si>
    <t>Net sensitivities</t>
  </si>
  <si>
    <t>%</t>
  </si>
  <si>
    <t>Equity</t>
  </si>
  <si>
    <t>Forex</t>
  </si>
  <si>
    <t>q</t>
  </si>
  <si>
    <t>p</t>
  </si>
  <si>
    <r>
      <t>μ</t>
    </r>
    <r>
      <rPr>
        <vertAlign val="subscript"/>
        <sz val="10"/>
        <rFont val="Calibri"/>
        <family val="2"/>
      </rPr>
      <t>1</t>
    </r>
  </si>
  <si>
    <r>
      <t>μ</t>
    </r>
    <r>
      <rPr>
        <vertAlign val="subscript"/>
        <sz val="10"/>
        <rFont val="Calibri"/>
        <family val="2"/>
      </rPr>
      <t>2</t>
    </r>
  </si>
  <si>
    <r>
      <t>σ</t>
    </r>
    <r>
      <rPr>
        <vertAlign val="subscript"/>
        <sz val="10"/>
        <rFont val="Calibri"/>
        <family val="2"/>
      </rPr>
      <t>1</t>
    </r>
  </si>
  <si>
    <r>
      <t>σ</t>
    </r>
    <r>
      <rPr>
        <vertAlign val="subscript"/>
        <sz val="10"/>
        <rFont val="Calibri"/>
        <family val="2"/>
      </rPr>
      <t>2</t>
    </r>
  </si>
  <si>
    <t>ALSI</t>
  </si>
  <si>
    <t>TOP40</t>
  </si>
  <si>
    <t>INDI25</t>
  </si>
  <si>
    <t>df</t>
  </si>
  <si>
    <t>Mixture Parameters</t>
  </si>
  <si>
    <t>VaR Parameters</t>
  </si>
  <si>
    <t>Significance Level</t>
  </si>
  <si>
    <t>Objective</t>
  </si>
  <si>
    <t>Mixture VaR</t>
  </si>
  <si>
    <t>t-dist Parameters</t>
  </si>
  <si>
    <t>t-dist VaR</t>
  </si>
  <si>
    <t>μ</t>
  </si>
  <si>
    <t>σ</t>
  </si>
  <si>
    <t>Risk Horizon</t>
  </si>
  <si>
    <t>Objective for calculating Mixture VaR</t>
  </si>
  <si>
    <r>
      <t>g(</t>
    </r>
    <r>
      <rPr>
        <b/>
        <sz val="12"/>
        <color theme="1"/>
        <rFont val="Symbol"/>
        <charset val="2"/>
      </rPr>
      <t>q</t>
    </r>
    <r>
      <rPr>
        <b/>
        <sz val="12"/>
        <color theme="1"/>
        <rFont val="Calibri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</si>
</sst>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 mmm\ yy"/>
    <numFmt numFmtId="165" formatCode="0.000%"/>
    <numFmt numFmtId="166" formatCode="0.0%"/>
    <numFmt numFmtId="170" formatCode="0.0000000%"/>
    <numFmt numFmtId="171" formatCode="0.00000000%"/>
    <numFmt numFmtId="172" formatCode="0.000000000000000%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theme="1"/>
      <name val="Symbol"/>
      <charset val="2"/>
    </font>
    <font>
      <b/>
      <sz val="12"/>
      <color theme="1"/>
      <name val="Calibri"/>
      <family val="2"/>
    </font>
    <font>
      <sz val="12"/>
      <color rgb="FF00000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Symbol"/>
      <family val="1"/>
      <charset val="2"/>
    </font>
    <font>
      <vertAlign val="subscript"/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2"/>
      <color theme="1"/>
      <name val="Symbol"/>
      <charset val="2"/>
    </font>
    <font>
      <b/>
      <sz val="12"/>
      <color rgb="FF000000"/>
      <name val="Calibri"/>
      <family val="2"/>
    </font>
    <font>
      <b/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6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/>
    <xf numFmtId="0" fontId="1" fillId="0" borderId="3" xfId="0" applyFont="1" applyBorder="1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0" borderId="0" xfId="0" applyFont="1" applyAlignment="1">
      <alignment horizontal="center" vertical="top" wrapText="1"/>
    </xf>
    <xf numFmtId="0" fontId="1" fillId="6" borderId="1" xfId="0" applyFont="1" applyFill="1" applyBorder="1"/>
    <xf numFmtId="0" fontId="1" fillId="0" borderId="1" xfId="0" applyFont="1" applyBorder="1" applyAlignment="1">
      <alignment horizontal="center"/>
    </xf>
    <xf numFmtId="1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7" xfId="0" applyFont="1" applyBorder="1"/>
    <xf numFmtId="0" fontId="0" fillId="0" borderId="1" xfId="0" applyBorder="1"/>
    <xf numFmtId="0" fontId="9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2" fontId="11" fillId="0" borderId="1" xfId="0" applyNumberFormat="1" applyFont="1" applyBorder="1" applyAlignment="1">
      <alignment horizontal="center"/>
    </xf>
    <xf numFmtId="170" fontId="0" fillId="0" borderId="1" xfId="1" applyNumberFormat="1" applyFont="1" applyBorder="1"/>
    <xf numFmtId="171" fontId="0" fillId="0" borderId="1" xfId="1" applyNumberFormat="1" applyFont="1" applyBorder="1"/>
    <xf numFmtId="0" fontId="11" fillId="0" borderId="1" xfId="0" applyFont="1" applyBorder="1" applyAlignment="1">
      <alignment horizontal="center"/>
    </xf>
    <xf numFmtId="166" fontId="11" fillId="0" borderId="1" xfId="0" applyNumberFormat="1" applyFont="1" applyBorder="1" applyAlignment="1">
      <alignment horizontal="center"/>
    </xf>
    <xf numFmtId="165" fontId="11" fillId="0" borderId="1" xfId="1" applyNumberFormat="1" applyFont="1" applyFill="1" applyBorder="1" applyAlignment="1">
      <alignment horizontal="center"/>
    </xf>
    <xf numFmtId="10" fontId="11" fillId="0" borderId="1" xfId="1" applyNumberFormat="1" applyFont="1" applyBorder="1" applyAlignment="1">
      <alignment horizontal="center"/>
    </xf>
    <xf numFmtId="172" fontId="0" fillId="0" borderId="1" xfId="0" applyNumberFormat="1" applyBorder="1"/>
    <xf numFmtId="0" fontId="3" fillId="0" borderId="1" xfId="0" applyFont="1" applyBorder="1" applyAlignment="1">
      <alignment horizontal="center"/>
    </xf>
    <xf numFmtId="0" fontId="13" fillId="0" borderId="1" xfId="0" applyFont="1" applyBorder="1"/>
    <xf numFmtId="0" fontId="3" fillId="0" borderId="1" xfId="0" applyFont="1" applyBorder="1"/>
    <xf numFmtId="0" fontId="1" fillId="3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/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top" wrapText="1"/>
    </xf>
    <xf numFmtId="0" fontId="1" fillId="5" borderId="2" xfId="0" applyFont="1" applyFill="1" applyBorder="1" applyAlignment="1">
      <alignment horizontal="center" vertical="top" wrapText="1"/>
    </xf>
    <xf numFmtId="9" fontId="1" fillId="3" borderId="1" xfId="0" applyNumberFormat="1" applyFont="1" applyFill="1" applyBorder="1" applyAlignment="1">
      <alignment horizontal="center"/>
    </xf>
    <xf numFmtId="9" fontId="1" fillId="5" borderId="1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6" borderId="1" xfId="0" applyFont="1" applyFill="1" applyBorder="1"/>
    <xf numFmtId="0" fontId="0" fillId="6" borderId="1" xfId="0" applyFill="1" applyBorder="1"/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2" borderId="1" xfId="0" applyFill="1" applyBorder="1"/>
    <xf numFmtId="0" fontId="15" fillId="0" borderId="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5" fillId="0" borderId="1" xfId="0" applyFont="1" applyBorder="1"/>
    <xf numFmtId="0" fontId="15" fillId="0" borderId="1" xfId="0" applyFont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Quanto</a:t>
            </a:r>
            <a:r>
              <a:rPr lang="en-GB" baseline="0"/>
              <a:t> Correlation vs Systematic VaR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Systematic VaR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'Q4 a)'!$B$73:$B$82</c:f>
              <c:numCache>
                <c:formatCode>General</c:formatCode>
                <c:ptCount val="10"/>
                <c:pt idx="0">
                  <c:v>-1</c:v>
                </c:pt>
                <c:pt idx="1">
                  <c:v>-0.75</c:v>
                </c:pt>
                <c:pt idx="2">
                  <c:v>-0.5</c:v>
                </c:pt>
                <c:pt idx="3">
                  <c:v>-0.25</c:v>
                </c:pt>
                <c:pt idx="4">
                  <c:v>0</c:v>
                </c:pt>
                <c:pt idx="5">
                  <c:v>0.25</c:v>
                </c:pt>
                <c:pt idx="6">
                  <c:v>0.3</c:v>
                </c:pt>
                <c:pt idx="7">
                  <c:v>0.5</c:v>
                </c:pt>
                <c:pt idx="8">
                  <c:v>0.75</c:v>
                </c:pt>
                <c:pt idx="9">
                  <c:v>1</c:v>
                </c:pt>
              </c:numCache>
            </c:numRef>
          </c:xVal>
          <c:yVal>
            <c:numRef>
              <c:f>'Q4 a)'!$C$73:$C$82</c:f>
              <c:numCache>
                <c:formatCode>General</c:formatCode>
                <c:ptCount val="10"/>
                <c:pt idx="0">
                  <c:v>23263.478740408689</c:v>
                </c:pt>
                <c:pt idx="1">
                  <c:v>141506.2168065455</c:v>
                </c:pt>
                <c:pt idx="2">
                  <c:v>198763.24948716423</c:v>
                </c:pt>
                <c:pt idx="3">
                  <c:v>242877.84851338813</c:v>
                </c:pt>
                <c:pt idx="4">
                  <c:v>280129.37948435172</c:v>
                </c:pt>
                <c:pt idx="5">
                  <c:v>312978.09700054658</c:v>
                </c:pt>
                <c:pt idx="6">
                  <c:v>319142.37135241489</c:v>
                </c:pt>
                <c:pt idx="7">
                  <c:v>342692.44105156325</c:v>
                </c:pt>
                <c:pt idx="8">
                  <c:v>370028.2814943674</c:v>
                </c:pt>
                <c:pt idx="9">
                  <c:v>395479.13858694292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8A-DD45-A376-D23C92D03501}"/>
            </c:ext>
          </c:extLst>
        </c:ser>
        <c:ser>
          <c:idx val="1"/>
          <c:order val="1"/>
          <c:tx>
            <c:v>Equity VaR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'Q4 a)'!$B$73:$B$82</c:f>
              <c:numCache>
                <c:formatCode>General</c:formatCode>
                <c:ptCount val="10"/>
                <c:pt idx="0">
                  <c:v>-1</c:v>
                </c:pt>
                <c:pt idx="1">
                  <c:v>-0.75</c:v>
                </c:pt>
                <c:pt idx="2">
                  <c:v>-0.5</c:v>
                </c:pt>
                <c:pt idx="3">
                  <c:v>-0.25</c:v>
                </c:pt>
                <c:pt idx="4">
                  <c:v>0</c:v>
                </c:pt>
                <c:pt idx="5">
                  <c:v>0.25</c:v>
                </c:pt>
                <c:pt idx="6">
                  <c:v>0.3</c:v>
                </c:pt>
                <c:pt idx="7">
                  <c:v>0.5</c:v>
                </c:pt>
                <c:pt idx="8">
                  <c:v>0.75</c:v>
                </c:pt>
                <c:pt idx="9">
                  <c:v>1</c:v>
                </c:pt>
              </c:numCache>
            </c:numRef>
          </c:xVal>
          <c:yVal>
            <c:numRef>
              <c:f>'Q4 a)'!$E$73:$E$82</c:f>
              <c:numCache>
                <c:formatCode>General</c:formatCode>
                <c:ptCount val="10"/>
                <c:pt idx="0">
                  <c:v>209371.30866367565</c:v>
                </c:pt>
                <c:pt idx="1">
                  <c:v>209371.30866367565</c:v>
                </c:pt>
                <c:pt idx="2">
                  <c:v>209371.30866367565</c:v>
                </c:pt>
                <c:pt idx="3">
                  <c:v>209371.30866367565</c:v>
                </c:pt>
                <c:pt idx="4">
                  <c:v>209371.30866367565</c:v>
                </c:pt>
                <c:pt idx="5">
                  <c:v>209371.30866367565</c:v>
                </c:pt>
                <c:pt idx="6">
                  <c:v>209371.30866367565</c:v>
                </c:pt>
                <c:pt idx="7">
                  <c:v>209371.30866367565</c:v>
                </c:pt>
                <c:pt idx="8">
                  <c:v>209371.30866367565</c:v>
                </c:pt>
                <c:pt idx="9">
                  <c:v>209371.30866367565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1B-364D-AAEF-787EFC1F4642}"/>
            </c:ext>
          </c:extLst>
        </c:ser>
        <c:ser>
          <c:idx val="2"/>
          <c:order val="2"/>
          <c:tx>
            <c:v>Forex VaR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'Q4 a)'!$B$73:$B$82</c:f>
              <c:numCache>
                <c:formatCode>General</c:formatCode>
                <c:ptCount val="10"/>
                <c:pt idx="0">
                  <c:v>-1</c:v>
                </c:pt>
                <c:pt idx="1">
                  <c:v>-0.75</c:v>
                </c:pt>
                <c:pt idx="2">
                  <c:v>-0.5</c:v>
                </c:pt>
                <c:pt idx="3">
                  <c:v>-0.25</c:v>
                </c:pt>
                <c:pt idx="4">
                  <c:v>0</c:v>
                </c:pt>
                <c:pt idx="5">
                  <c:v>0.25</c:v>
                </c:pt>
                <c:pt idx="6">
                  <c:v>0.3</c:v>
                </c:pt>
                <c:pt idx="7">
                  <c:v>0.5</c:v>
                </c:pt>
                <c:pt idx="8">
                  <c:v>0.75</c:v>
                </c:pt>
                <c:pt idx="9">
                  <c:v>1</c:v>
                </c:pt>
              </c:numCache>
            </c:numRef>
          </c:xVal>
          <c:yVal>
            <c:numRef>
              <c:f>'Q4 a)'!$F$73:$F$82</c:f>
              <c:numCache>
                <c:formatCode>General</c:formatCode>
                <c:ptCount val="10"/>
                <c:pt idx="0">
                  <c:v>186107.82992326727</c:v>
                </c:pt>
                <c:pt idx="1">
                  <c:v>186107.82992326727</c:v>
                </c:pt>
                <c:pt idx="2">
                  <c:v>186107.82992326727</c:v>
                </c:pt>
                <c:pt idx="3">
                  <c:v>186107.82992326727</c:v>
                </c:pt>
                <c:pt idx="4">
                  <c:v>186107.82992326727</c:v>
                </c:pt>
                <c:pt idx="5">
                  <c:v>186107.82992326727</c:v>
                </c:pt>
                <c:pt idx="6">
                  <c:v>186107.82992326727</c:v>
                </c:pt>
                <c:pt idx="7">
                  <c:v>186107.82992326727</c:v>
                </c:pt>
                <c:pt idx="8">
                  <c:v>186107.82992326727</c:v>
                </c:pt>
                <c:pt idx="9">
                  <c:v>186107.82992326727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1B-364D-AAEF-787EFC1F4642}"/>
            </c:ext>
          </c:extLst>
        </c:ser>
        <c:ser>
          <c:idx val="3"/>
          <c:order val="3"/>
          <c:tx>
            <c:v>Sum of Equity and Forex VaR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'Q4 a)'!$B$73:$B$82</c:f>
              <c:numCache>
                <c:formatCode>General</c:formatCode>
                <c:ptCount val="10"/>
                <c:pt idx="0">
                  <c:v>-1</c:v>
                </c:pt>
                <c:pt idx="1">
                  <c:v>-0.75</c:v>
                </c:pt>
                <c:pt idx="2">
                  <c:v>-0.5</c:v>
                </c:pt>
                <c:pt idx="3">
                  <c:v>-0.25</c:v>
                </c:pt>
                <c:pt idx="4">
                  <c:v>0</c:v>
                </c:pt>
                <c:pt idx="5">
                  <c:v>0.25</c:v>
                </c:pt>
                <c:pt idx="6">
                  <c:v>0.3</c:v>
                </c:pt>
                <c:pt idx="7">
                  <c:v>0.5</c:v>
                </c:pt>
                <c:pt idx="8">
                  <c:v>0.75</c:v>
                </c:pt>
                <c:pt idx="9">
                  <c:v>1</c:v>
                </c:pt>
              </c:numCache>
            </c:numRef>
          </c:xVal>
          <c:yVal>
            <c:numRef>
              <c:f>'Q4 a)'!$G$73:$G$82</c:f>
              <c:numCache>
                <c:formatCode>General</c:formatCode>
                <c:ptCount val="10"/>
                <c:pt idx="0">
                  <c:v>395479.13858694292</c:v>
                </c:pt>
                <c:pt idx="1">
                  <c:v>395479.13858694292</c:v>
                </c:pt>
                <c:pt idx="2">
                  <c:v>395479.13858694292</c:v>
                </c:pt>
                <c:pt idx="3">
                  <c:v>395479.13858694292</c:v>
                </c:pt>
                <c:pt idx="4">
                  <c:v>395479.13858694292</c:v>
                </c:pt>
                <c:pt idx="5">
                  <c:v>395479.13858694292</c:v>
                </c:pt>
                <c:pt idx="6">
                  <c:v>395479.13858694292</c:v>
                </c:pt>
                <c:pt idx="7">
                  <c:v>395479.13858694292</c:v>
                </c:pt>
                <c:pt idx="8">
                  <c:v>395479.13858694292</c:v>
                </c:pt>
                <c:pt idx="9">
                  <c:v>395479.13858694292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1B-364D-AAEF-787EFC1F4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200080"/>
        <c:axId val="1507485968"/>
      </c:scatterChart>
      <c:valAx>
        <c:axId val="1507200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Quanto Correlation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485968"/>
        <c:crosses val="autoZero"/>
        <c:crossBetween val="midCat"/>
      </c:valAx>
      <c:valAx>
        <c:axId val="150748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Systematic VaR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200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34637</xdr:colOff>
      <xdr:row>40</xdr:row>
      <xdr:rowOff>80819</xdr:rowOff>
    </xdr:from>
    <xdr:to>
      <xdr:col>13</xdr:col>
      <xdr:colOff>127000</xdr:colOff>
      <xdr:row>72</xdr:row>
      <xdr:rowOff>69274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C92F03-F0B8-F7ED-9ED6-1B7B9DA81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akemcleroth/Desktop/University/Masters/Modules/Semester%201/VaR/textbook/excel/IV.2/Case%20Study_IV.2.4_PC%20VaR.xls" TargetMode="External"/><Relationship Id="rId1" Type="http://schemas.openxmlformats.org/officeDocument/2006/relationships/externalLinkPath" Target="/Users/jakemcleroth/Desktop/University/Masters/Modules/Semester%201/VaR/textbook/excel/IV.2/Case%20Study_IV.2.4_PC%20VaR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akemcleroth/Desktop/University/Masters/Modules/Semester%201/VaR/textbook/excel/matrix/matrix.xla" TargetMode="External"/><Relationship Id="rId1" Type="http://schemas.openxmlformats.org/officeDocument/2006/relationships/externalLinkPath" Target="/Users/jakemcleroth/Desktop/University/Masters/Modules/Semester%201/VaR/textbook/excel/matrix/matrix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reement"/>
      <sheetName val="Short Spot"/>
      <sheetName val="Rtns (bps)"/>
      <sheetName val="Covariance"/>
      <sheetName val="PCA"/>
      <sheetName val="PCs"/>
      <sheetName val="Figure_IV.2.2"/>
      <sheetName val="EX_IV.2.7"/>
      <sheetName val="EX_IV.2.8"/>
      <sheetName val="EX_IV.2.9 and IV.2.10"/>
    </sheetNames>
    <sheetDataSet>
      <sheetData sheetId="0" refreshError="1"/>
      <sheetData sheetId="1">
        <row r="2">
          <cell r="B2">
            <v>5.0695019537042096</v>
          </cell>
          <cell r="C2">
            <v>5.1180733262416362</v>
          </cell>
          <cell r="D2">
            <v>5.1537052321522374</v>
          </cell>
          <cell r="E2">
            <v>5.1793311889547171</v>
          </cell>
          <cell r="F2">
            <v>5.1961176606926989</v>
          </cell>
          <cell r="G2">
            <v>5.2055464999604721</v>
          </cell>
          <cell r="H2">
            <v>5.2092096809144071</v>
          </cell>
          <cell r="I2">
            <v>5.2085922295888274</v>
          </cell>
          <cell r="J2">
            <v>5.2049320140319484</v>
          </cell>
          <cell r="K2">
            <v>5.1992954597837473</v>
          </cell>
          <cell r="L2">
            <v>5.1925106590983372</v>
          </cell>
          <cell r="M2">
            <v>5.1851419883682697</v>
          </cell>
          <cell r="N2">
            <v>5.1775922481260643</v>
          </cell>
          <cell r="O2">
            <v>5.1701234689378897</v>
          </cell>
          <cell r="P2">
            <v>5.1628539346923779</v>
          </cell>
          <cell r="Q2">
            <v>5.1558204395317571</v>
          </cell>
          <cell r="R2">
            <v>5.1490356453363857</v>
          </cell>
          <cell r="S2">
            <v>5.1425000489534582</v>
          </cell>
          <cell r="T2">
            <v>5.1362051889021423</v>
          </cell>
          <cell r="U2">
            <v>5.1301358849555747</v>
          </cell>
          <cell r="V2">
            <v>5.1242718378423024</v>
          </cell>
          <cell r="W2">
            <v>5.1185888322750781</v>
          </cell>
          <cell r="X2">
            <v>5.11306128011792</v>
          </cell>
          <cell r="Y2">
            <v>5.107666373549443</v>
          </cell>
          <cell r="Z2">
            <v>5.1023844879568037</v>
          </cell>
          <cell r="AA2">
            <v>5.0971985759321976</v>
          </cell>
          <cell r="AB2">
            <v>5.0920936907592935</v>
          </cell>
          <cell r="AC2">
            <v>5.0870566421692054</v>
          </cell>
          <cell r="AD2">
            <v>5.0820757632136377</v>
          </cell>
          <cell r="AE2">
            <v>5.0771406734162827</v>
          </cell>
          <cell r="AF2">
            <v>5.0722420713801899</v>
          </cell>
          <cell r="AG2">
            <v>5.0673715661816221</v>
          </cell>
          <cell r="AH2">
            <v>5.0625215394195617</v>
          </cell>
          <cell r="AI2">
            <v>5.0576850504450537</v>
          </cell>
          <cell r="AJ2">
            <v>5.0528559508059292</v>
          </cell>
          <cell r="AK2">
            <v>5.0480289862215999</v>
          </cell>
          <cell r="AL2">
            <v>5.0431996731748638</v>
          </cell>
          <cell r="AM2">
            <v>5.03836416061975</v>
          </cell>
          <cell r="AN2">
            <v>5.0335191425665027</v>
          </cell>
          <cell r="AO2">
            <v>5.0286617899406254</v>
          </cell>
          <cell r="AP2">
            <v>5.0237896924224863</v>
          </cell>
          <cell r="AQ2">
            <v>5.0189008086751405</v>
          </cell>
          <cell r="AR2">
            <v>5.013993425298465</v>
          </cell>
          <cell r="AS2">
            <v>5.00906612264406</v>
          </cell>
          <cell r="AT2">
            <v>5.0041177427067121</v>
          </cell>
          <cell r="AU2">
            <v>4.999147360685674</v>
          </cell>
          <cell r="AV2">
            <v>4.9941542601756792</v>
          </cell>
          <cell r="AW2">
            <v>4.989137913852228</v>
          </cell>
          <cell r="AX2">
            <v>4.9840980035115265</v>
          </cell>
          <cell r="AY2">
            <v>4.9790344512594178</v>
          </cell>
          <cell r="AZ2">
            <v>4.9739474027931205</v>
          </cell>
          <cell r="BA2">
            <v>4.9688372059035251</v>
          </cell>
          <cell r="BB2">
            <v>4.9637043914097374</v>
          </cell>
          <cell r="BC2">
            <v>4.9585496562121643</v>
          </cell>
          <cell r="BD2">
            <v>4.9533738485061729</v>
          </cell>
          <cell r="BE2">
            <v>4.9481779564125832</v>
          </cell>
          <cell r="BF2">
            <v>4.9429630971760474</v>
          </cell>
          <cell r="BG2">
            <v>4.9377305061131489</v>
          </cell>
          <cell r="BH2">
            <v>4.9324815266063116</v>
          </cell>
          <cell r="BI2">
            <v>4.9272176010983113</v>
          </cell>
        </row>
        <row r="3">
          <cell r="B3">
            <v>5.0681461627058546</v>
          </cell>
          <cell r="C3">
            <v>5.1147191103484975</v>
          </cell>
          <cell r="D3">
            <v>5.1519417629856656</v>
          </cell>
          <cell r="E3">
            <v>5.1791639201678352</v>
          </cell>
          <cell r="F3">
            <v>5.1971777219338078</v>
          </cell>
          <cell r="G3">
            <v>5.2075091927862101</v>
          </cell>
          <cell r="H3">
            <v>5.2118909821820605</v>
          </cell>
          <cell r="I3">
            <v>5.2119228379988636</v>
          </cell>
          <cell r="J3">
            <v>5.2088930168374832</v>
          </cell>
          <cell r="K3">
            <v>5.2038832137463782</v>
          </cell>
          <cell r="L3">
            <v>5.1977197103134474</v>
          </cell>
          <cell r="M3">
            <v>5.1909567902533409</v>
          </cell>
          <cell r="N3">
            <v>5.1839800787974593</v>
          </cell>
          <cell r="O3">
            <v>5.1770340560158949</v>
          </cell>
          <cell r="P3">
            <v>5.1702271270015903</v>
          </cell>
          <cell r="Q3">
            <v>5.1635929419934818</v>
          </cell>
          <cell r="R3">
            <v>5.157144474455885</v>
          </cell>
          <cell r="S3">
            <v>5.1508844022186082</v>
          </cell>
          <cell r="T3">
            <v>5.1448078196108238</v>
          </cell>
          <cell r="U3">
            <v>5.1389041333362266</v>
          </cell>
          <cell r="V3">
            <v>5.133158416669577</v>
          </cell>
          <cell r="W3">
            <v>5.1275524357863995</v>
          </cell>
          <cell r="X3">
            <v>5.1220668976555404</v>
          </cell>
          <cell r="Y3">
            <v>5.1166849165615336</v>
          </cell>
          <cell r="Z3">
            <v>5.1113922757519576</v>
          </cell>
          <cell r="AA3">
            <v>5.1061769178517284</v>
          </cell>
          <cell r="AB3">
            <v>5.1010285435563851</v>
          </cell>
          <cell r="AC3">
            <v>5.0959382468393075</v>
          </cell>
          <cell r="AD3">
            <v>5.0908981681421563</v>
          </cell>
          <cell r="AE3">
            <v>5.0859012959286334</v>
          </cell>
          <cell r="AF3">
            <v>5.0809413297958415</v>
          </cell>
          <cell r="AG3">
            <v>5.0760125693596905</v>
          </cell>
          <cell r="AH3">
            <v>5.0711098233429581</v>
          </cell>
          <cell r="AI3">
            <v>5.0662283531092269</v>
          </cell>
          <cell r="AJ3">
            <v>5.0613639954321368</v>
          </cell>
          <cell r="AK3">
            <v>5.0565132560712698</v>
          </cell>
          <cell r="AL3">
            <v>5.0516731874069523</v>
          </cell>
          <cell r="AM3">
            <v>5.0468412446838347</v>
          </cell>
          <cell r="AN3">
            <v>5.0420152230450945</v>
          </cell>
          <cell r="AO3">
            <v>5.0371932150352592</v>
          </cell>
          <cell r="AP3">
            <v>5.0323735743317419</v>
          </cell>
          <cell r="AQ3">
            <v>5.0275548840810709</v>
          </cell>
          <cell r="AR3">
            <v>5.0227359182404205</v>
          </cell>
          <cell r="AS3">
            <v>5.0179156014339785</v>
          </cell>
          <cell r="AT3">
            <v>5.0130929892936802</v>
          </cell>
          <cell r="AU3">
            <v>5.0082672542166886</v>
          </cell>
          <cell r="AV3">
            <v>5.0034376729435603</v>
          </cell>
          <cell r="AW3">
            <v>4.9986036169284382</v>
          </cell>
          <cell r="AX3">
            <v>4.9937645610010657</v>
          </cell>
          <cell r="AY3">
            <v>4.98892009561105</v>
          </cell>
          <cell r="AZ3">
            <v>4.9840699182010484</v>
          </cell>
          <cell r="BA3">
            <v>4.9792138229192</v>
          </cell>
          <cell r="BB3">
            <v>4.9743516914959551</v>
          </cell>
          <cell r="BC3">
            <v>4.9694834851346119</v>
          </cell>
          <cell r="BD3">
            <v>4.9646092373051189</v>
          </cell>
          <cell r="BE3">
            <v>4.9597290533962806</v>
          </cell>
          <cell r="BF3">
            <v>4.9548431334865031</v>
          </cell>
          <cell r="BG3">
            <v>4.9499517788813883</v>
          </cell>
          <cell r="BH3">
            <v>4.9450553840129876</v>
          </cell>
          <cell r="BI3">
            <v>4.940154428679274</v>
          </cell>
        </row>
        <row r="4">
          <cell r="B4">
            <v>5.0696226246893312</v>
          </cell>
          <cell r="C4">
            <v>5.1180093237381179</v>
          </cell>
          <cell r="D4">
            <v>5.1572316889406</v>
          </cell>
          <cell r="E4">
            <v>5.186412381529709</v>
          </cell>
          <cell r="F4">
            <v>5.206048904231487</v>
          </cell>
          <cell r="G4">
            <v>5.2175638253032259</v>
          </cell>
          <cell r="H4">
            <v>5.2226512310170827</v>
          </cell>
          <cell r="I4">
            <v>5.2228843922856152</v>
          </cell>
          <cell r="J4">
            <v>5.2195905836267649</v>
          </cell>
          <cell r="K4">
            <v>5.2139405064862911</v>
          </cell>
          <cell r="L4">
            <v>5.2068598750169173</v>
          </cell>
          <cell r="M4">
            <v>5.1989935670786389</v>
          </cell>
          <cell r="N4">
            <v>5.1908063305223182</v>
          </cell>
          <cell r="O4">
            <v>5.1826027383139666</v>
          </cell>
          <cell r="P4">
            <v>5.1745325920480898</v>
          </cell>
          <cell r="Q4">
            <v>5.1666587968706077</v>
          </cell>
          <cell r="R4">
            <v>5.1590143213472155</v>
          </cell>
          <cell r="S4">
            <v>5.1516146672017253</v>
          </cell>
          <cell r="T4">
            <v>5.1444624671232138</v>
          </cell>
          <cell r="U4">
            <v>5.137550702024706</v>
          </cell>
          <cell r="V4">
            <v>5.1308649990850919</v>
          </cell>
          <cell r="W4">
            <v>5.124385365963108</v>
          </cell>
          <cell r="X4">
            <v>5.1180894314915912</v>
          </cell>
          <cell r="Y4">
            <v>5.1119569241663294</v>
          </cell>
          <cell r="Z4">
            <v>5.1059700931228953</v>
          </cell>
          <cell r="AA4">
            <v>5.1001132265124385</v>
          </cell>
          <cell r="AB4">
            <v>5.094372275884826</v>
          </cell>
          <cell r="AC4">
            <v>5.0887346208077444</v>
          </cell>
          <cell r="AD4">
            <v>5.0831889427082038</v>
          </cell>
          <cell r="AE4">
            <v>5.0777250328410677</v>
          </cell>
          <cell r="AF4">
            <v>5.0723336133697536</v>
          </cell>
          <cell r="AG4">
            <v>5.0670061919117817</v>
          </cell>
          <cell r="AH4">
            <v>5.0617349425307232</v>
          </cell>
          <cell r="AI4">
            <v>5.056512634841547</v>
          </cell>
          <cell r="AJ4">
            <v>5.0513328001265601</v>
          </cell>
          <cell r="AK4">
            <v>5.0461898423727627</v>
          </cell>
          <cell r="AL4">
            <v>5.0410788947854188</v>
          </cell>
          <cell r="AM4">
            <v>5.0359956634132539</v>
          </cell>
          <cell r="AN4">
            <v>5.0309363449810371</v>
          </cell>
          <cell r="AO4">
            <v>5.0258975655508111</v>
          </cell>
          <cell r="AP4">
            <v>5.0208763281636903</v>
          </cell>
          <cell r="AQ4">
            <v>5.0158699677468404</v>
          </cell>
          <cell r="AR4">
            <v>5.0108761085412299</v>
          </cell>
          <cell r="AS4">
            <v>5.0058926255153722</v>
          </cell>
          <cell r="AT4">
            <v>5.0009176156792989</v>
          </cell>
          <cell r="AU4">
            <v>4.9959493739492151</v>
          </cell>
          <cell r="AV4">
            <v>4.9909863720936531</v>
          </cell>
          <cell r="AW4">
            <v>4.9860272418976619</v>
          </cell>
          <cell r="AX4">
            <v>4.9810707800047807</v>
          </cell>
          <cell r="AY4">
            <v>4.976115955697245</v>
          </cell>
          <cell r="AZ4">
            <v>4.9711618966251576</v>
          </cell>
          <cell r="BA4">
            <v>4.9662078735788526</v>
          </cell>
          <cell r="BB4">
            <v>4.961253286985106</v>
          </cell>
          <cell r="BC4">
            <v>4.956297654903759</v>
          </cell>
          <cell r="BD4">
            <v>4.9513406023626905</v>
          </cell>
          <cell r="BE4">
            <v>4.9463818586939965</v>
          </cell>
          <cell r="BF4">
            <v>4.9414212785964438</v>
          </cell>
          <cell r="BG4">
            <v>4.9364588455187981</v>
          </cell>
          <cell r="BH4">
            <v>4.9314946611521577</v>
          </cell>
          <cell r="BI4">
            <v>4.9265289355764299</v>
          </cell>
        </row>
        <row r="5">
          <cell r="B5">
            <v>5.0787880007639004</v>
          </cell>
          <cell r="C5">
            <v>5.1265516646977938</v>
          </cell>
          <cell r="D5">
            <v>5.1591561044081802</v>
          </cell>
          <cell r="E5">
            <v>5.1826351458752882</v>
          </cell>
          <cell r="F5">
            <v>5.1990719597432857</v>
          </cell>
          <cell r="G5">
            <v>5.2098289290229429</v>
          </cell>
          <cell r="H5">
            <v>5.2160025620642481</v>
          </cell>
          <cell r="I5">
            <v>5.2184045183977572</v>
          </cell>
          <cell r="J5">
            <v>5.2177949394306626</v>
          </cell>
          <cell r="K5">
            <v>5.2149465537707718</v>
          </cell>
          <cell r="L5">
            <v>5.2105390293427263</v>
          </cell>
          <cell r="M5">
            <v>5.2051089918908593</v>
          </cell>
          <cell r="N5">
            <v>5.1990776893914665</v>
          </cell>
          <cell r="O5">
            <v>5.1927388771019327</v>
          </cell>
          <cell r="P5">
            <v>5.1862608227115485</v>
          </cell>
          <cell r="Q5">
            <v>5.1797392695929716</v>
          </cell>
          <cell r="R5">
            <v>5.1732378125091296</v>
          </cell>
          <cell r="S5">
            <v>5.166798743401305</v>
          </cell>
          <cell r="T5">
            <v>5.1604486574084589</v>
          </cell>
          <cell r="U5">
            <v>5.1542023770678211</v>
          </cell>
          <cell r="V5">
            <v>5.1480657553152946</v>
          </cell>
          <cell r="W5">
            <v>5.1420377836341657</v>
          </cell>
          <cell r="X5">
            <v>5.1361136138862378</v>
          </cell>
          <cell r="Y5">
            <v>5.1302877853699389</v>
          </cell>
          <cell r="Z5">
            <v>5.1245547462671022</v>
          </cell>
          <cell r="AA5">
            <v>5.118908871642434</v>
          </cell>
          <cell r="AB5">
            <v>5.1133444808309116</v>
          </cell>
          <cell r="AC5">
            <v>5.1078559297417332</v>
          </cell>
          <cell r="AD5">
            <v>5.1024377333647335</v>
          </cell>
          <cell r="AE5">
            <v>5.097084560041659</v>
          </cell>
          <cell r="AF5">
            <v>5.0917912067536921</v>
          </cell>
          <cell r="AG5">
            <v>5.0865525790215314</v>
          </cell>
          <cell r="AH5">
            <v>5.0813636744719251</v>
          </cell>
          <cell r="AI5">
            <v>5.0762196098986951</v>
          </cell>
          <cell r="AJ5">
            <v>5.0711158900831226</v>
          </cell>
          <cell r="AK5">
            <v>5.0660485516047329</v>
          </cell>
          <cell r="AL5">
            <v>5.0610140616419352</v>
          </cell>
          <cell r="AM5">
            <v>5.0560092146022075</v>
          </cell>
          <cell r="AN5">
            <v>5.051031085018213</v>
          </cell>
          <cell r="AO5">
            <v>5.0460769925320337</v>
          </cell>
          <cell r="AP5">
            <v>5.0411444720037704</v>
          </cell>
          <cell r="AQ5">
            <v>5.0362312484102647</v>
          </cell>
          <cell r="AR5">
            <v>5.0313352217657235</v>
          </cell>
          <cell r="AS5">
            <v>5.0264544553533916</v>
          </cell>
          <cell r="AT5">
            <v>5.0215871584834222</v>
          </cell>
          <cell r="AU5">
            <v>5.0167316706204144</v>
          </cell>
          <cell r="AV5">
            <v>5.0118864475371918</v>
          </cell>
          <cell r="AW5">
            <v>5.0070500523261288</v>
          </cell>
          <cell r="AX5">
            <v>5.0022211755586738</v>
          </cell>
          <cell r="AY5">
            <v>4.9973986512426611</v>
          </cell>
          <cell r="AZ5">
            <v>4.9925814451191561</v>
          </cell>
          <cell r="BA5">
            <v>4.9877686419957952</v>
          </cell>
          <cell r="BB5">
            <v>4.9829594345140942</v>
          </cell>
          <cell r="BC5">
            <v>4.9781531131648205</v>
          </cell>
          <cell r="BD5">
            <v>4.9733490574900134</v>
          </cell>
          <cell r="BE5">
            <v>4.9685467388756832</v>
          </cell>
          <cell r="BF5">
            <v>4.9637457495619755</v>
          </cell>
          <cell r="BG5">
            <v>4.9589458061499645</v>
          </cell>
          <cell r="BH5">
            <v>4.9541467393148881</v>
          </cell>
          <cell r="BI5">
            <v>4.9493484842999687</v>
          </cell>
        </row>
        <row r="6">
          <cell r="B6">
            <v>5.0838872450392403</v>
          </cell>
          <cell r="C6">
            <v>5.1349401369543379</v>
          </cell>
          <cell r="D6">
            <v>5.168309980080104</v>
          </cell>
          <cell r="E6">
            <v>5.1927150274215768</v>
          </cell>
          <cell r="F6">
            <v>5.2102717877213642</v>
          </cell>
          <cell r="G6">
            <v>5.2221793115730577</v>
          </cell>
          <cell r="H6">
            <v>5.2293399689585627</v>
          </cell>
          <cell r="I6">
            <v>5.2324149536944082</v>
          </cell>
          <cell r="J6">
            <v>5.2321259969356673</v>
          </cell>
          <cell r="K6">
            <v>5.2292773252122764</v>
          </cell>
          <cell r="L6">
            <v>5.2246071561472247</v>
          </cell>
          <cell r="M6">
            <v>5.2187159511673507</v>
          </cell>
          <cell r="N6">
            <v>5.2120839117701578</v>
          </cell>
          <cell r="O6">
            <v>5.2050501274321554</v>
          </cell>
          <cell r="P6">
            <v>5.1978183288175073</v>
          </cell>
          <cell r="Q6">
            <v>5.1905123505427655</v>
          </cell>
          <cell r="R6">
            <v>5.1832161156575882</v>
          </cell>
          <cell r="S6">
            <v>5.1759862310006284</v>
          </cell>
          <cell r="T6">
            <v>5.1688591756764399</v>
          </cell>
          <cell r="U6">
            <v>5.1618563329889886</v>
          </cell>
          <cell r="V6">
            <v>5.1549875846799003</v>
          </cell>
          <cell r="W6">
            <v>5.148254019101782</v>
          </cell>
          <cell r="X6">
            <v>5.1416516872020823</v>
          </cell>
          <cell r="Y6">
            <v>5.1351753736694485</v>
          </cell>
          <cell r="Z6">
            <v>5.1288192606256207</v>
          </cell>
          <cell r="AA6">
            <v>5.1225770437982687</v>
          </cell>
          <cell r="AB6">
            <v>5.116442032133758</v>
          </cell>
          <cell r="AC6">
            <v>5.1104073988890031</v>
          </cell>
          <cell r="AD6">
            <v>5.1044664698174342</v>
          </cell>
          <cell r="AE6">
            <v>5.0986127369188807</v>
          </cell>
          <cell r="AF6">
            <v>5.0928398316494148</v>
          </cell>
          <cell r="AG6">
            <v>5.0871415031313116</v>
          </cell>
          <cell r="AH6">
            <v>5.0815116003556549</v>
          </cell>
          <cell r="AI6">
            <v>5.0759441102447393</v>
          </cell>
          <cell r="AJ6">
            <v>5.0704334777726796</v>
          </cell>
          <cell r="AK6">
            <v>5.0649747609569093</v>
          </cell>
          <cell r="AL6">
            <v>5.0595635184519665</v>
          </cell>
          <cell r="AM6">
            <v>5.0541957000769155</v>
          </cell>
          <cell r="AN6">
            <v>5.0488675922841848</v>
          </cell>
          <cell r="AO6">
            <v>5.0435757760803686</v>
          </cell>
          <cell r="AP6">
            <v>5.0383170911049939</v>
          </cell>
          <cell r="AQ6">
            <v>5.0330886060612769</v>
          </cell>
          <cell r="AR6">
            <v>5.0278876070078367</v>
          </cell>
          <cell r="AS6">
            <v>5.0227115887153708</v>
          </cell>
          <cell r="AT6">
            <v>5.0175582330957749</v>
          </cell>
          <cell r="AU6">
            <v>5.0124253888607111</v>
          </cell>
          <cell r="AV6">
            <v>5.0073110537769914</v>
          </cell>
          <cell r="AW6">
            <v>5.0022133630483863</v>
          </cell>
          <cell r="AX6">
            <v>4.9971306106855709</v>
          </cell>
          <cell r="AY6">
            <v>4.9920612640049082</v>
          </cell>
          <cell r="AZ6">
            <v>4.987003948898626</v>
          </cell>
          <cell r="BA6">
            <v>4.9819574345871516</v>
          </cell>
          <cell r="BB6">
            <v>4.9769206200975766</v>
          </cell>
          <cell r="BC6">
            <v>4.9718925222445218</v>
          </cell>
          <cell r="BD6">
            <v>4.9668722650569554</v>
          </cell>
          <cell r="BE6">
            <v>4.9618590822397328</v>
          </cell>
          <cell r="BF6">
            <v>4.956852345955796</v>
          </cell>
          <cell r="BG6">
            <v>4.9518515682657203</v>
          </cell>
          <cell r="BH6">
            <v>4.9468563894764426</v>
          </cell>
          <cell r="BI6">
            <v>4.9418665674540625</v>
          </cell>
        </row>
        <row r="7">
          <cell r="B7">
            <v>5.0978523238559479</v>
          </cell>
          <cell r="C7">
            <v>5.1535486848276095</v>
          </cell>
          <cell r="D7">
            <v>5.1865609165953863</v>
          </cell>
          <cell r="E7">
            <v>5.2099151467607339</v>
          </cell>
          <cell r="F7">
            <v>5.2263345805777099</v>
          </cell>
          <cell r="G7">
            <v>5.2371892761346501</v>
          </cell>
          <cell r="H7">
            <v>5.2434391341452082</v>
          </cell>
          <cell r="I7">
            <v>5.2457634144995851</v>
          </cell>
          <cell r="J7">
            <v>5.2448908989070544</v>
          </cell>
          <cell r="K7">
            <v>5.2416218198954185</v>
          </cell>
          <cell r="L7">
            <v>5.2366795530519248</v>
          </cell>
          <cell r="M7">
            <v>5.2306392356952873</v>
          </cell>
          <cell r="N7">
            <v>5.2239513028508204</v>
          </cell>
          <cell r="O7">
            <v>5.2169285339825997</v>
          </cell>
          <cell r="P7">
            <v>5.2097544564920639</v>
          </cell>
          <cell r="Q7">
            <v>5.2025383878079294</v>
          </cell>
          <cell r="R7">
            <v>5.1953537131651126</v>
          </cell>
          <cell r="S7">
            <v>5.1882492344306277</v>
          </cell>
          <cell r="T7">
            <v>5.1812556394109386</v>
          </cell>
          <cell r="U7">
            <v>5.1743900303670927</v>
          </cell>
          <cell r="V7">
            <v>5.1676591586683855</v>
          </cell>
          <cell r="W7">
            <v>5.1610618844259282</v>
          </cell>
          <cell r="X7">
            <v>5.1545927691285414</v>
          </cell>
          <cell r="Y7">
            <v>5.1482455486612784</v>
          </cell>
          <cell r="Z7">
            <v>5.1420136545560631</v>
          </cell>
          <cell r="AA7">
            <v>5.1358902726587248</v>
          </cell>
          <cell r="AB7">
            <v>5.1298683984269431</v>
          </cell>
          <cell r="AC7">
            <v>5.1239410382986295</v>
          </cell>
          <cell r="AD7">
            <v>5.1181014342651432</v>
          </cell>
          <cell r="AE7">
            <v>5.1123430552753941</v>
          </cell>
          <cell r="AF7">
            <v>5.1066595606393621</v>
          </cell>
          <cell r="AG7">
            <v>5.1010447702841821</v>
          </cell>
          <cell r="AH7">
            <v>5.0954926404749132</v>
          </cell>
          <cell r="AI7">
            <v>5.0899972992314293</v>
          </cell>
          <cell r="AJ7">
            <v>5.0845533492757964</v>
          </cell>
          <cell r="AK7">
            <v>5.0791559976643867</v>
          </cell>
          <cell r="AL7">
            <v>5.0738009458443747</v>
          </cell>
          <cell r="AM7">
            <v>5.0684842875350853</v>
          </cell>
          <cell r="AN7">
            <v>5.0632024550469934</v>
          </cell>
          <cell r="AO7">
            <v>5.0579521769578264</v>
          </cell>
          <cell r="AP7">
            <v>5.0527304419824137</v>
          </cell>
          <cell r="AQ7">
            <v>5.0475344692278394</v>
          </cell>
          <cell r="AR7">
            <v>5.0423616949813805</v>
          </cell>
          <cell r="AS7">
            <v>5.0372097616222344</v>
          </cell>
          <cell r="AT7">
            <v>5.0320764959696209</v>
          </cell>
          <cell r="AU7">
            <v>5.0269598892349654</v>
          </cell>
          <cell r="AV7">
            <v>5.0218580795335841</v>
          </cell>
          <cell r="AW7">
            <v>5.0167693406976861</v>
          </cell>
          <cell r="AX7">
            <v>5.0116921024024368</v>
          </cell>
          <cell r="AY7">
            <v>5.006624961708865</v>
          </cell>
          <cell r="AZ7">
            <v>5.0015666684771025</v>
          </cell>
          <cell r="BA7">
            <v>4.9965161106741611</v>
          </cell>
          <cell r="BB7">
            <v>4.9914723013449835</v>
          </cell>
          <cell r="BC7">
            <v>4.9864343670311522</v>
          </cell>
          <cell r="BD7">
            <v>4.9814015376242198</v>
          </cell>
          <cell r="BE7">
            <v>4.9763731497201942</v>
          </cell>
          <cell r="BF7">
            <v>4.9713486744307085</v>
          </cell>
          <cell r="BG7">
            <v>4.9663277177807723</v>
          </cell>
          <cell r="BH7">
            <v>4.9613100094281606</v>
          </cell>
          <cell r="BI7">
            <v>4.9562953923606825</v>
          </cell>
        </row>
        <row r="8">
          <cell r="B8">
            <v>5.1105035271131651</v>
          </cell>
          <cell r="C8">
            <v>5.1624715493721753</v>
          </cell>
          <cell r="D8">
            <v>5.1935762981347979</v>
          </cell>
          <cell r="E8">
            <v>5.2152084050619889</v>
          </cell>
          <cell r="F8">
            <v>5.230523481448067</v>
          </cell>
          <cell r="G8">
            <v>5.2409518350099784</v>
          </cell>
          <cell r="H8">
            <v>5.2473112529786494</v>
          </cell>
          <cell r="I8">
            <v>5.2499987063373252</v>
          </cell>
          <cell r="J8">
            <v>5.2495497304066383</v>
          </cell>
          <cell r="K8">
            <v>5.2466564851163726</v>
          </cell>
          <cell r="L8">
            <v>5.2419925290750919</v>
          </cell>
          <cell r="M8">
            <v>5.2361261498003353</v>
          </cell>
          <cell r="N8">
            <v>5.2295205825149127</v>
          </cell>
          <cell r="O8">
            <v>5.2225066845628865</v>
          </cell>
          <cell r="P8">
            <v>5.2152863360386155</v>
          </cell>
          <cell r="Q8">
            <v>5.207985386516417</v>
          </cell>
          <cell r="R8">
            <v>5.2006898288710373</v>
          </cell>
          <cell r="S8">
            <v>5.1934579114955568</v>
          </cell>
          <cell r="T8">
            <v>5.186327439480781</v>
          </cell>
          <cell r="U8">
            <v>5.1793208854408102</v>
          </cell>
          <cell r="V8">
            <v>5.1724490401027259</v>
          </cell>
          <cell r="W8">
            <v>5.1657137916114548</v>
          </cell>
          <cell r="X8">
            <v>5.1591120163708366</v>
          </cell>
          <cell r="Y8">
            <v>5.1526391217795506</v>
          </cell>
          <cell r="Z8">
            <v>5.1462896558987623</v>
          </cell>
          <cell r="AA8">
            <v>5.140057472765343</v>
          </cell>
          <cell r="AB8">
            <v>5.1339358763093843</v>
          </cell>
          <cell r="AC8">
            <v>5.1279179547482139</v>
          </cell>
          <cell r="AD8">
            <v>5.1219969150237681</v>
          </cell>
          <cell r="AE8">
            <v>5.1161660998032801</v>
          </cell>
          <cell r="AF8">
            <v>5.1104189655930252</v>
          </cell>
          <cell r="AG8">
            <v>5.1047490649509619</v>
          </cell>
          <cell r="AH8">
            <v>5.0991500320428003</v>
          </cell>
          <cell r="AI8">
            <v>5.0936156376313386</v>
          </cell>
          <cell r="AJ8">
            <v>5.0881401325482729</v>
          </cell>
          <cell r="AK8">
            <v>5.082718382270361</v>
          </cell>
          <cell r="AL8">
            <v>5.0773457540453508</v>
          </cell>
          <cell r="AM8">
            <v>5.0720180156476014</v>
          </cell>
          <cell r="AN8">
            <v>5.0667312811031069</v>
          </cell>
          <cell r="AO8">
            <v>5.0614819674080502</v>
          </cell>
          <cell r="AP8">
            <v>5.0562667575812075</v>
          </cell>
          <cell r="AQ8">
            <v>5.0510825709039917</v>
          </cell>
          <cell r="AR8">
            <v>5.0459265547003227</v>
          </cell>
          <cell r="AS8">
            <v>5.0407960763565169</v>
          </cell>
          <cell r="AT8">
            <v>5.0356887003646751</v>
          </cell>
          <cell r="AU8">
            <v>5.0306021668981371</v>
          </cell>
          <cell r="AV8">
            <v>5.0255343731227766</v>
          </cell>
          <cell r="AW8">
            <v>5.020483361599811</v>
          </cell>
          <cell r="AX8">
            <v>5.015447341295908</v>
          </cell>
          <cell r="AY8">
            <v>5.0104246975677871</v>
          </cell>
          <cell r="AZ8">
            <v>5.0054139764811953</v>
          </cell>
          <cell r="BA8">
            <v>5.0004138693581028</v>
          </cell>
          <cell r="BB8">
            <v>4.995423199073298</v>
          </cell>
          <cell r="BC8">
            <v>4.9904409078735625</v>
          </cell>
          <cell r="BD8">
            <v>4.9854660467543255</v>
          </cell>
          <cell r="BE8">
            <v>4.9804977797779513</v>
          </cell>
          <cell r="BF8">
            <v>4.9755354125537163</v>
          </cell>
          <cell r="BG8">
            <v>4.9705783915040858</v>
          </cell>
          <cell r="BH8">
            <v>4.9656262920512573</v>
          </cell>
          <cell r="BI8">
            <v>4.9606788078671844</v>
          </cell>
        </row>
        <row r="9">
          <cell r="B9">
            <v>5.1147071598858211</v>
          </cell>
          <cell r="C9">
            <v>5.1704940179880161</v>
          </cell>
          <cell r="D9">
            <v>5.2162248358274832</v>
          </cell>
          <cell r="E9">
            <v>5.2529604383046866</v>
          </cell>
          <cell r="F9">
            <v>5.2810796815259735</v>
          </cell>
          <cell r="G9">
            <v>5.3017005390039715</v>
          </cell>
          <cell r="H9">
            <v>5.3161600034134127</v>
          </cell>
          <cell r="I9">
            <v>5.3256353450243763</v>
          </cell>
          <cell r="J9">
            <v>5.3311376232889813</v>
          </cell>
          <cell r="K9">
            <v>5.3335904721859215</v>
          </cell>
          <cell r="L9">
            <v>5.3337587488043461</v>
          </cell>
          <cell r="M9">
            <v>5.3322181464237213</v>
          </cell>
          <cell r="N9">
            <v>5.3294169328689662</v>
          </cell>
          <cell r="O9">
            <v>5.3256883653755684</v>
          </cell>
          <cell r="P9">
            <v>5.321259426285109</v>
          </cell>
          <cell r="Q9">
            <v>5.3162908031099647</v>
          </cell>
          <cell r="R9">
            <v>5.3109038508554107</v>
          </cell>
          <cell r="S9">
            <v>5.3051920264604879</v>
          </cell>
          <cell r="T9">
            <v>5.2992282303943794</v>
          </cell>
          <cell r="U9">
            <v>5.2930699457738708</v>
          </cell>
          <cell r="V9">
            <v>5.2867629091615509</v>
          </cell>
          <cell r="W9">
            <v>5.2803437757001204</v>
          </cell>
          <cell r="X9">
            <v>5.2738420290523038</v>
          </cell>
          <cell r="Y9">
            <v>5.267281399022945</v>
          </cell>
          <cell r="Z9">
            <v>5.2606810035025173</v>
          </cell>
          <cell r="AA9">
            <v>5.2540562353731834</v>
          </cell>
          <cell r="AB9">
            <v>5.2474194511586072</v>
          </cell>
          <cell r="AC9">
            <v>5.2407804971044998</v>
          </cell>
          <cell r="AD9">
            <v>5.2341471231034333</v>
          </cell>
          <cell r="AE9">
            <v>5.2275253299540978</v>
          </cell>
          <cell r="AF9">
            <v>5.2209196514731193</v>
          </cell>
          <cell r="AG9">
            <v>5.2143333837110148</v>
          </cell>
          <cell r="AH9">
            <v>5.2077687726126314</v>
          </cell>
          <cell r="AI9">
            <v>5.2012272177903247</v>
          </cell>
          <cell r="AJ9">
            <v>5.1947096391421681</v>
          </cell>
          <cell r="AK9">
            <v>5.1882166725259236</v>
          </cell>
          <cell r="AL9">
            <v>5.1817487128445654</v>
          </cell>
          <cell r="AM9">
            <v>5.1753059459050279</v>
          </cell>
          <cell r="AN9">
            <v>5.1688883752369774</v>
          </cell>
          <cell r="AO9">
            <v>5.1624958448774745</v>
          </cell>
          <cell r="AP9">
            <v>5.1561280588213014</v>
          </cell>
          <cell r="AQ9">
            <v>5.1497846005291663</v>
          </cell>
          <cell r="AR9">
            <v>5.1434649729800439</v>
          </cell>
          <cell r="AS9">
            <v>5.1371686303876221</v>
          </cell>
          <cell r="AT9">
            <v>5.1308949853237698</v>
          </cell>
          <cell r="AU9">
            <v>5.1246434132448133</v>
          </cell>
          <cell r="AV9">
            <v>5.1184132564424845</v>
          </cell>
          <cell r="AW9">
            <v>5.1122038341869844</v>
          </cell>
          <cell r="AX9">
            <v>5.1060144911650003</v>
          </cell>
          <cell r="AY9">
            <v>5.0998446267815227</v>
          </cell>
          <cell r="AZ9">
            <v>5.0936936915262976</v>
          </cell>
          <cell r="BA9">
            <v>5.0875611820618269</v>
          </cell>
          <cell r="BB9">
            <v>5.0814466368674429</v>
          </cell>
          <cell r="BC9">
            <v>5.0753496323673897</v>
          </cell>
          <cell r="BD9">
            <v>5.0692697798089705</v>
          </cell>
          <cell r="BE9">
            <v>5.0632067391460476</v>
          </cell>
          <cell r="BF9">
            <v>5.0571602578944947</v>
          </cell>
          <cell r="BG9">
            <v>5.0511301754963798</v>
          </cell>
          <cell r="BH9">
            <v>5.0451164156300656</v>
          </cell>
          <cell r="BI9">
            <v>5.0391189791905173</v>
          </cell>
        </row>
        <row r="10">
          <cell r="B10">
            <v>5.3077983130266437</v>
          </cell>
          <cell r="C10">
            <v>5.3453931368094851</v>
          </cell>
          <cell r="D10">
            <v>5.3754901955571839</v>
          </cell>
          <cell r="E10">
            <v>5.3998542891263721</v>
          </cell>
          <cell r="F10">
            <v>5.4186100662884371</v>
          </cell>
          <cell r="G10">
            <v>5.4321658211531361</v>
          </cell>
          <cell r="H10">
            <v>5.4408964246685025</v>
          </cell>
          <cell r="I10">
            <v>5.4449227477623836</v>
          </cell>
          <cell r="J10">
            <v>5.4448021329198717</v>
          </cell>
          <cell r="K10">
            <v>5.4414173409969608</v>
          </cell>
          <cell r="L10">
            <v>5.4356550197951039</v>
          </cell>
          <cell r="M10">
            <v>5.4282473153537474</v>
          </cell>
          <cell r="N10">
            <v>5.4197851603541372</v>
          </cell>
          <cell r="O10">
            <v>5.4107032462138562</v>
          </cell>
          <cell r="P10">
            <v>5.4012812068344589</v>
          </cell>
          <cell r="Q10">
            <v>5.3917038243813664</v>
          </cell>
          <cell r="R10">
            <v>5.382099935392584</v>
          </cell>
          <cell r="S10">
            <v>5.3725585166970475</v>
          </cell>
          <cell r="T10">
            <v>5.3631391748117521</v>
          </cell>
          <cell r="U10">
            <v>5.353879488519742</v>
          </cell>
          <cell r="V10">
            <v>5.3448002535686587</v>
          </cell>
          <cell r="W10">
            <v>5.3359095529287561</v>
          </cell>
          <cell r="X10">
            <v>5.3272082132941962</v>
          </cell>
          <cell r="Y10">
            <v>5.3186938974637208</v>
          </cell>
          <cell r="Z10">
            <v>5.3103619623412301</v>
          </cell>
          <cell r="AA10">
            <v>5.3022059023770893</v>
          </cell>
          <cell r="AB10">
            <v>5.2942177485119126</v>
          </cell>
          <cell r="AC10">
            <v>5.2863888847050013</v>
          </cell>
          <cell r="AD10">
            <v>5.2787106827584802</v>
          </cell>
          <cell r="AE10">
            <v>5.271174548869026</v>
          </cell>
          <cell r="AF10">
            <v>5.2637719180803764</v>
          </cell>
          <cell r="AG10">
            <v>5.2564942497759626</v>
          </cell>
          <cell r="AH10">
            <v>5.2493330247208743</v>
          </cell>
          <cell r="AI10">
            <v>5.2422798604465894</v>
          </cell>
          <cell r="AJ10">
            <v>5.2353269532227005</v>
          </cell>
          <cell r="AK10">
            <v>5.2284671912216778</v>
          </cell>
          <cell r="AL10">
            <v>5.2216940602775086</v>
          </cell>
          <cell r="AM10">
            <v>5.2150015615850771</v>
          </cell>
          <cell r="AN10">
            <v>5.2083841454262281</v>
          </cell>
          <cell r="AO10">
            <v>5.201836655033901</v>
          </cell>
          <cell r="AP10">
            <v>5.1953542786733449</v>
          </cell>
          <cell r="AQ10">
            <v>5.1889325149976848</v>
          </cell>
          <cell r="AR10">
            <v>5.1825671819041412</v>
          </cell>
          <cell r="AS10">
            <v>5.1762544116591362</v>
          </cell>
          <cell r="AT10">
            <v>5.1699906177069792</v>
          </cell>
          <cell r="AU10">
            <v>5.1637724641070513</v>
          </cell>
          <cell r="AV10">
            <v>5.1575968388885007</v>
          </cell>
          <cell r="AW10">
            <v>5.1514608392485064</v>
          </cell>
          <cell r="AX10">
            <v>5.1453617955072017</v>
          </cell>
          <cell r="AY10">
            <v>5.1392972729680668</v>
          </cell>
          <cell r="AZ10">
            <v>5.1332650498467718</v>
          </cell>
          <cell r="BA10">
            <v>5.1272630967988464</v>
          </cell>
          <cell r="BB10">
            <v>5.1212895587649774</v>
          </cell>
          <cell r="BC10">
            <v>5.1153427388334949</v>
          </cell>
          <cell r="BD10">
            <v>5.109421084473257</v>
          </cell>
          <cell r="BE10">
            <v>5.1035231948937829</v>
          </cell>
          <cell r="BF10">
            <v>5.0976478488549564</v>
          </cell>
          <cell r="BG10">
            <v>5.0917939981162457</v>
          </cell>
          <cell r="BH10">
            <v>5.0859607528101085</v>
          </cell>
          <cell r="BI10">
            <v>5.0801473682442362</v>
          </cell>
        </row>
        <row r="11">
          <cell r="B11">
            <v>5.3206347520482966</v>
          </cell>
          <cell r="C11">
            <v>5.3565745180428515</v>
          </cell>
          <cell r="D11">
            <v>5.3846517583225078</v>
          </cell>
          <cell r="E11">
            <v>5.407605984481008</v>
          </cell>
          <cell r="F11">
            <v>5.4252629494889995</v>
          </cell>
          <cell r="G11">
            <v>5.4378624788809091</v>
          </cell>
          <cell r="H11">
            <v>5.4456904619079278</v>
          </cell>
          <cell r="I11">
            <v>5.4488431691854089</v>
          </cell>
          <cell r="J11">
            <v>5.4478835712531701</v>
          </cell>
          <cell r="K11">
            <v>5.4437104914301235</v>
          </cell>
          <cell r="L11">
            <v>5.4372211800911483</v>
          </cell>
          <cell r="M11">
            <v>5.4291462102873878</v>
          </cell>
          <cell r="N11">
            <v>5.4200710532445289</v>
          </cell>
          <cell r="O11">
            <v>5.4104215422393391</v>
          </cell>
          <cell r="P11">
            <v>5.4004693221639544</v>
          </cell>
          <cell r="Q11">
            <v>5.3903937398414055</v>
          </cell>
          <cell r="R11">
            <v>5.3803197088088996</v>
          </cell>
          <cell r="S11">
            <v>5.3703333037387573</v>
          </cell>
          <cell r="T11">
            <v>5.3604919811923226</v>
          </cell>
          <cell r="U11">
            <v>5.3508317341477047</v>
          </cell>
          <cell r="V11">
            <v>5.3413722023770545</v>
          </cell>
          <cell r="W11">
            <v>5.3321206713624205</v>
          </cell>
          <cell r="X11">
            <v>5.3230774588717091</v>
          </cell>
          <cell r="Y11">
            <v>5.3142397752681507</v>
          </cell>
          <cell r="Z11">
            <v>5.3056025357938577</v>
          </cell>
          <cell r="AA11">
            <v>5.2971588019394735</v>
          </cell>
          <cell r="AB11">
            <v>5.2889001841251035</v>
          </cell>
          <cell r="AC11">
            <v>5.2808176556819442</v>
          </cell>
          <cell r="AD11">
            <v>5.2729021491791075</v>
          </cell>
          <cell r="AE11">
            <v>5.265144600743116</v>
          </cell>
          <cell r="AF11">
            <v>5.2575359494841312</v>
          </cell>
          <cell r="AG11">
            <v>5.2500671370297622</v>
          </cell>
          <cell r="AH11">
            <v>5.2427291081653467</v>
          </cell>
          <cell r="AI11">
            <v>5.2355129400245195</v>
          </cell>
          <cell r="AJ11">
            <v>5.2284102893444668</v>
          </cell>
          <cell r="AK11">
            <v>5.2214134952115172</v>
          </cell>
          <cell r="AL11">
            <v>5.2145154974923402</v>
          </cell>
          <cell r="AM11">
            <v>5.2077097623207553</v>
          </cell>
          <cell r="AN11">
            <v>5.2009902148517879</v>
          </cell>
          <cell r="AO11">
            <v>5.1943511818840138</v>
          </cell>
          <cell r="AP11">
            <v>5.1877873428839179</v>
          </cell>
          <cell r="AQ11">
            <v>5.181293696351065</v>
          </cell>
          <cell r="AR11">
            <v>5.1748655761652662</v>
          </cell>
          <cell r="AS11">
            <v>5.1684986482194244</v>
          </cell>
          <cell r="AT11">
            <v>5.162188875252105</v>
          </cell>
          <cell r="AU11">
            <v>5.1559324845817081</v>
          </cell>
          <cell r="AV11">
            <v>5.1497259399886044</v>
          </cell>
          <cell r="AW11">
            <v>5.1435659277070691</v>
          </cell>
          <cell r="AX11">
            <v>5.1374493856022729</v>
          </cell>
          <cell r="AY11">
            <v>5.1313735048048352</v>
          </cell>
          <cell r="AZ11">
            <v>5.1253357057880082</v>
          </cell>
          <cell r="BA11">
            <v>5.1193336163155019</v>
          </cell>
          <cell r="BB11">
            <v>5.1133650518857809</v>
          </cell>
          <cell r="BC11">
            <v>5.1074279983492161</v>
          </cell>
          <cell r="BD11">
            <v>5.1015205972377924</v>
          </cell>
          <cell r="BE11">
            <v>5.0956411555891767</v>
          </cell>
          <cell r="BF11">
            <v>5.0897881761904031</v>
          </cell>
          <cell r="BG11">
            <v>5.0839603496509511</v>
          </cell>
          <cell r="BH11">
            <v>5.0781565385104601</v>
          </cell>
          <cell r="BI11">
            <v>5.0723757629112196</v>
          </cell>
        </row>
        <row r="12">
          <cell r="B12">
            <v>5.3130225527474826</v>
          </cell>
          <cell r="C12">
            <v>5.3555428312917588</v>
          </cell>
          <cell r="D12">
            <v>5.3847107988174256</v>
          </cell>
          <cell r="E12">
            <v>5.4076582282154462</v>
          </cell>
          <cell r="F12">
            <v>5.4250747305033782</v>
          </cell>
          <cell r="G12">
            <v>5.4374632801386253</v>
          </cell>
          <cell r="H12">
            <v>5.4451507627723146</v>
          </cell>
          <cell r="I12">
            <v>5.4481644766496764</v>
          </cell>
          <cell r="J12">
            <v>5.4470413026656743</v>
          </cell>
          <cell r="K12">
            <v>5.4426813635178037</v>
          </cell>
          <cell r="L12">
            <v>5.4359897228574878</v>
          </cell>
          <cell r="M12">
            <v>5.4277017463972292</v>
          </cell>
          <cell r="N12">
            <v>5.4184090503940645</v>
          </cell>
          <cell r="O12">
            <v>5.4085440503230204</v>
          </cell>
          <cell r="P12">
            <v>5.3983828030510912</v>
          </cell>
          <cell r="Q12">
            <v>5.3881078881779034</v>
          </cell>
          <cell r="R12">
            <v>5.3778461820651744</v>
          </cell>
          <cell r="S12">
            <v>5.3676847350427375</v>
          </cell>
          <cell r="T12">
            <v>5.3576812519432382</v>
          </cell>
          <cell r="U12">
            <v>5.3478714284764308</v>
          </cell>
          <cell r="V12">
            <v>5.3382741915016503</v>
          </cell>
          <cell r="W12">
            <v>5.3288958434718454</v>
          </cell>
          <cell r="X12">
            <v>5.3197357120268496</v>
          </cell>
          <cell r="Y12">
            <v>5.3107900142059119</v>
          </cell>
          <cell r="Z12">
            <v>5.3020526515477471</v>
          </cell>
          <cell r="AA12">
            <v>5.2935156553811771</v>
          </cell>
          <cell r="AB12">
            <v>5.2851696083863535</v>
          </cell>
          <cell r="AC12">
            <v>5.277004543428002</v>
          </cell>
          <cell r="AD12">
            <v>5.269010560460468</v>
          </cell>
          <cell r="AE12">
            <v>5.2611778517711132</v>
          </cell>
          <cell r="AF12">
            <v>5.2534966870878996</v>
          </cell>
          <cell r="AG12">
            <v>5.2459574014792922</v>
          </cell>
          <cell r="AH12">
            <v>5.2385503868704992</v>
          </cell>
          <cell r="AI12">
            <v>5.2312662272835793</v>
          </cell>
          <cell r="AJ12">
            <v>5.2240961486459048</v>
          </cell>
          <cell r="AK12">
            <v>5.2170321053676032</v>
          </cell>
          <cell r="AL12">
            <v>5.210066701005057</v>
          </cell>
          <cell r="AM12">
            <v>5.2031931125930484</v>
          </cell>
          <cell r="AN12">
            <v>5.1964050175515109</v>
          </cell>
          <cell r="AO12">
            <v>5.1896965311373915</v>
          </cell>
          <cell r="AP12">
            <v>5.18306215306034</v>
          </cell>
          <cell r="AQ12">
            <v>5.1764967313407624</v>
          </cell>
          <cell r="AR12">
            <v>5.1699954783157649</v>
          </cell>
          <cell r="AS12">
            <v>5.1635539634182175</v>
          </cell>
          <cell r="AT12">
            <v>5.157168075011378</v>
          </cell>
          <cell r="AU12">
            <v>5.1508339857225645</v>
          </cell>
          <cell r="AV12">
            <v>5.1445481222451628</v>
          </cell>
          <cell r="AW12">
            <v>5.1383071501609781</v>
          </cell>
          <cell r="AX12">
            <v>5.1321080003041439</v>
          </cell>
          <cell r="AY12">
            <v>5.1259478665925364</v>
          </cell>
          <cell r="AZ12">
            <v>5.1198241809578207</v>
          </cell>
          <cell r="BA12">
            <v>5.1137345904595115</v>
          </cell>
          <cell r="BB12">
            <v>5.1076769369898898</v>
          </cell>
          <cell r="BC12">
            <v>5.1016492392339323</v>
          </cell>
          <cell r="BD12">
            <v>5.0956496775384252</v>
          </cell>
          <cell r="BE12">
            <v>5.0896766035739498</v>
          </cell>
          <cell r="BF12">
            <v>5.0837285675658546</v>
          </cell>
          <cell r="BG12">
            <v>5.0778043089458258</v>
          </cell>
          <cell r="BH12">
            <v>5.0719027403323267</v>
          </cell>
          <cell r="BI12">
            <v>5.0660229330983695</v>
          </cell>
        </row>
        <row r="13">
          <cell r="B13">
            <v>5.3133374929458608</v>
          </cell>
          <cell r="C13">
            <v>5.3579011911278611</v>
          </cell>
          <cell r="D13">
            <v>5.3910178842500045</v>
          </cell>
          <cell r="E13">
            <v>5.4174100952304336</v>
          </cell>
          <cell r="F13">
            <v>5.4377526220505157</v>
          </cell>
          <cell r="G13">
            <v>5.4526997331794291</v>
          </cell>
          <cell r="H13">
            <v>5.4627292944138572</v>
          </cell>
          <cell r="I13">
            <v>5.4679518527881488</v>
          </cell>
          <cell r="J13">
            <v>5.4689358709747893</v>
          </cell>
          <cell r="K13">
            <v>5.4665828850886333</v>
          </cell>
          <cell r="L13">
            <v>5.4617840431528322</v>
          </cell>
          <cell r="M13">
            <v>5.45525391311965</v>
          </cell>
          <cell r="N13">
            <v>5.4475654939175451</v>
          </cell>
          <cell r="O13">
            <v>5.4391416046599455</v>
          </cell>
          <cell r="P13">
            <v>5.4302588265831639</v>
          </cell>
          <cell r="Q13">
            <v>5.4211054684785109</v>
          </cell>
          <cell r="R13">
            <v>5.4118160046893049</v>
          </cell>
          <cell r="S13">
            <v>5.4024863236724432</v>
          </cell>
          <cell r="T13">
            <v>5.3931838821790477</v>
          </cell>
          <cell r="U13">
            <v>5.3839548131809023</v>
          </cell>
          <cell r="V13">
            <v>5.3748290029787142</v>
          </cell>
          <cell r="W13">
            <v>5.3658240444933023</v>
          </cell>
          <cell r="X13">
            <v>5.3569499837915133</v>
          </cell>
          <cell r="Y13">
            <v>5.3482124942760656</v>
          </cell>
          <cell r="Z13">
            <v>5.3396138550431349</v>
          </cell>
          <cell r="AA13">
            <v>5.3311536036401765</v>
          </cell>
          <cell r="AB13">
            <v>5.3228291082932611</v>
          </cell>
          <cell r="AC13">
            <v>5.3146364562680182</v>
          </cell>
          <cell r="AD13">
            <v>5.3065710548308802</v>
          </cell>
          <cell r="AE13">
            <v>5.2986277685022731</v>
          </cell>
          <cell r="AF13">
            <v>5.2908010065962872</v>
          </cell>
          <cell r="AG13">
            <v>5.2830847943466761</v>
          </cell>
          <cell r="AH13">
            <v>5.2754728327551463</v>
          </cell>
          <cell r="AI13">
            <v>5.2679586828300407</v>
          </cell>
          <cell r="AJ13">
            <v>5.2605362055011282</v>
          </cell>
          <cell r="AK13">
            <v>5.2531996668784657</v>
          </cell>
          <cell r="AL13">
            <v>5.2459437169677825</v>
          </cell>
          <cell r="AM13">
            <v>5.2387633567933873</v>
          </cell>
          <cell r="AN13">
            <v>5.2316538940860493</v>
          </cell>
          <cell r="AO13">
            <v>5.2246109049446963</v>
          </cell>
          <cell r="AP13">
            <v>5.2176302011268971</v>
          </cell>
          <cell r="AQ13">
            <v>5.2107078126962749</v>
          </cell>
          <cell r="AR13">
            <v>5.2038400203293653</v>
          </cell>
          <cell r="AS13">
            <v>5.1970233592970843</v>
          </cell>
          <cell r="AT13">
            <v>5.1902545924515477</v>
          </cell>
          <cell r="AU13">
            <v>5.1835306854889893</v>
          </cell>
          <cell r="AV13">
            <v>5.1768487854389402</v>
          </cell>
          <cell r="AW13">
            <v>5.1702062151699124</v>
          </cell>
          <cell r="AX13">
            <v>5.1636005109419827</v>
          </cell>
          <cell r="AY13">
            <v>5.1570294258124516</v>
          </cell>
          <cell r="AZ13">
            <v>5.1504909090200623</v>
          </cell>
          <cell r="BA13">
            <v>5.1439830871214127</v>
          </cell>
          <cell r="BB13">
            <v>5.1375042472628429</v>
          </cell>
          <cell r="BC13">
            <v>5.1310528223110285</v>
          </cell>
          <cell r="BD13">
            <v>5.124627378759409</v>
          </cell>
          <cell r="BE13">
            <v>5.1182266309607245</v>
          </cell>
          <cell r="BF13">
            <v>5.1118494708198616</v>
          </cell>
          <cell r="BG13">
            <v>5.1054949596898949</v>
          </cell>
          <cell r="BH13">
            <v>5.0991623140210418</v>
          </cell>
          <cell r="BI13">
            <v>5.0928508924358926</v>
          </cell>
        </row>
        <row r="14">
          <cell r="B14">
            <v>5.3307249241535972</v>
          </cell>
          <cell r="C14">
            <v>5.3863987515644851</v>
          </cell>
          <cell r="D14">
            <v>5.4243382416075336</v>
          </cell>
          <cell r="E14">
            <v>5.4534572496299347</v>
          </cell>
          <cell r="F14">
            <v>5.475409032186958</v>
          </cell>
          <cell r="G14">
            <v>5.49122280804146</v>
          </cell>
          <cell r="H14">
            <v>5.5015200544679201</v>
          </cell>
          <cell r="I14">
            <v>5.5064299170640112</v>
          </cell>
          <cell r="J14">
            <v>5.5066153908108317</v>
          </cell>
          <cell r="K14">
            <v>5.5031239097160229</v>
          </cell>
          <cell r="L14">
            <v>5.4969808402411182</v>
          </cell>
          <cell r="M14">
            <v>5.4889957041314146</v>
          </cell>
          <cell r="N14">
            <v>5.4798171609425683</v>
          </cell>
          <cell r="O14">
            <v>5.4699244440969217</v>
          </cell>
          <cell r="P14">
            <v>5.459628673561741</v>
          </cell>
          <cell r="Q14">
            <v>5.4491393800200543</v>
          </cell>
          <cell r="R14">
            <v>5.4386034937056351</v>
          </cell>
          <cell r="S14">
            <v>5.4281230117364858</v>
          </cell>
          <cell r="T14">
            <v>5.4177668226189919</v>
          </cell>
          <cell r="U14">
            <v>5.4075789834008159</v>
          </cell>
          <cell r="V14">
            <v>5.3975846320079048</v>
          </cell>
          <cell r="W14">
            <v>5.3877947266192789</v>
          </cell>
          <cell r="X14">
            <v>5.3782123212103485</v>
          </cell>
          <cell r="Y14">
            <v>5.3688365072937767</v>
          </cell>
          <cell r="Z14">
            <v>5.359663340403686</v>
          </cell>
          <cell r="AA14">
            <v>5.3506864239654206</v>
          </cell>
          <cell r="AB14">
            <v>5.3418974705680125</v>
          </cell>
          <cell r="AC14">
            <v>5.3332873997940897</v>
          </cell>
          <cell r="AD14">
            <v>5.3248470114690534</v>
          </cell>
          <cell r="AE14">
            <v>5.31656703598322</v>
          </cell>
          <cell r="AF14">
            <v>5.3084381454910172</v>
          </cell>
          <cell r="AG14">
            <v>5.3004509630103565</v>
          </cell>
          <cell r="AH14">
            <v>5.2925960724328496</v>
          </cell>
          <cell r="AI14">
            <v>5.2848641994348764</v>
          </cell>
          <cell r="AJ14">
            <v>5.277246689994568</v>
          </cell>
          <cell r="AK14">
            <v>5.2697355831974173</v>
          </cell>
          <cell r="AL14">
            <v>5.262323538087565</v>
          </cell>
          <cell r="AM14">
            <v>5.255003761833188</v>
          </cell>
          <cell r="AN14">
            <v>5.2477699397909339</v>
          </cell>
          <cell r="AO14">
            <v>5.2406161757323657</v>
          </cell>
          <cell r="AP14">
            <v>5.233536940850402</v>
          </cell>
          <cell r="AQ14">
            <v>5.2265270429331858</v>
          </cell>
          <cell r="AR14">
            <v>5.2195816512420814</v>
          </cell>
          <cell r="AS14">
            <v>5.2126962889331869</v>
          </cell>
          <cell r="AT14">
            <v>5.2058667948981165</v>
          </cell>
          <cell r="AU14">
            <v>5.1990892894449177</v>
          </cell>
          <cell r="AV14">
            <v>5.1923601444589949</v>
          </cell>
          <cell r="AW14">
            <v>5.1856759720709906</v>
          </cell>
          <cell r="AX14">
            <v>5.1790336570046218</v>
          </cell>
          <cell r="AY14">
            <v>5.1724303528573792</v>
          </cell>
          <cell r="AZ14">
            <v>5.165863456265134</v>
          </cell>
          <cell r="BA14">
            <v>5.1593305835330563</v>
          </cell>
          <cell r="BB14">
            <v>5.1528295499120969</v>
          </cell>
          <cell r="BC14">
            <v>5.1463583511780895</v>
          </cell>
          <cell r="BD14">
            <v>5.1399151486113945</v>
          </cell>
          <cell r="BE14">
            <v>5.1334982822955162</v>
          </cell>
          <cell r="BF14">
            <v>5.1271062980077504</v>
          </cell>
          <cell r="BG14">
            <v>5.1207379360786005</v>
          </cell>
          <cell r="BH14">
            <v>5.1143921149091609</v>
          </cell>
          <cell r="BI14">
            <v>5.1080679161318905</v>
          </cell>
        </row>
        <row r="15">
          <cell r="B15">
            <v>5.337161571014307</v>
          </cell>
          <cell r="C15">
            <v>5.3948275454588535</v>
          </cell>
          <cell r="D15">
            <v>5.430138939148101</v>
          </cell>
          <cell r="E15">
            <v>5.4565730870858484</v>
          </cell>
          <cell r="F15">
            <v>5.4765040172698356</v>
          </cell>
          <cell r="G15">
            <v>5.4906896995681231</v>
          </cell>
          <cell r="H15">
            <v>5.4995065835132984</v>
          </cell>
          <cell r="I15">
            <v>5.5035096477937326</v>
          </cell>
          <cell r="J15">
            <v>5.5034764586305229</v>
          </cell>
          <cell r="K15">
            <v>5.5002868777761913</v>
          </cell>
          <cell r="L15">
            <v>5.4947719215542286</v>
          </cell>
          <cell r="M15">
            <v>5.4876273782984315</v>
          </cell>
          <cell r="N15">
            <v>5.4794086655854128</v>
          </cell>
          <cell r="O15">
            <v>5.47052172134745</v>
          </cell>
          <cell r="P15">
            <v>5.4612300851422209</v>
          </cell>
          <cell r="Q15">
            <v>5.4517133024661977</v>
          </cell>
          <cell r="R15">
            <v>5.4420988413228812</v>
          </cell>
          <cell r="S15">
            <v>5.43247670164528</v>
          </cell>
          <cell r="T15">
            <v>5.4229092753144572</v>
          </cell>
          <cell r="U15">
            <v>5.4134382481725147</v>
          </cell>
          <cell r="V15">
            <v>5.4040895305937617</v>
          </cell>
          <cell r="W15">
            <v>5.3948772740893149</v>
          </cell>
          <cell r="X15">
            <v>5.3858088369954542</v>
          </cell>
          <cell r="Y15">
            <v>5.3768875948115182</v>
          </cell>
          <cell r="Z15">
            <v>5.3681137950377122</v>
          </cell>
          <cell r="AA15">
            <v>5.3594851588825172</v>
          </cell>
          <cell r="AB15">
            <v>5.3509974596278731</v>
          </cell>
          <cell r="AC15">
            <v>5.3426454735007516</v>
          </cell>
          <cell r="AD15">
            <v>5.3344234939758604</v>
          </cell>
          <cell r="AE15">
            <v>5.3263254260089621</v>
          </cell>
          <cell r="AF15">
            <v>5.3183448487012148</v>
          </cell>
          <cell r="AG15">
            <v>5.3104750662139599</v>
          </cell>
          <cell r="AH15">
            <v>5.3027091540157434</v>
          </cell>
          <cell r="AI15">
            <v>5.2950401835669449</v>
          </cell>
          <cell r="AJ15">
            <v>5.2874616568561512</v>
          </cell>
          <cell r="AK15">
            <v>5.2799675578690302</v>
          </cell>
          <cell r="AL15">
            <v>5.2725523058667836</v>
          </cell>
          <cell r="AM15">
            <v>5.2652107055470738</v>
          </cell>
          <cell r="AN15">
            <v>5.2579378977995592</v>
          </cell>
          <cell r="AO15">
            <v>5.2507293176819037</v>
          </cell>
          <cell r="AP15">
            <v>5.2435806586480327</v>
          </cell>
          <cell r="AQ15">
            <v>5.2364878580808982</v>
          </cell>
          <cell r="AR15">
            <v>5.2294471321972971</v>
          </cell>
          <cell r="AS15">
            <v>5.222454970933887</v>
          </cell>
          <cell r="AT15">
            <v>5.215508108145487</v>
          </cell>
          <cell r="AU15">
            <v>5.2086034950922322</v>
          </cell>
          <cell r="AV15">
            <v>5.2017382775385954</v>
          </cell>
          <cell r="AW15">
            <v>5.1949097932265147</v>
          </cell>
          <cell r="AX15">
            <v>5.1881156058796671</v>
          </cell>
          <cell r="AY15">
            <v>5.1813535002962832</v>
          </cell>
          <cell r="AZ15">
            <v>5.1746214609142864</v>
          </cell>
          <cell r="BA15">
            <v>5.1679176526151682</v>
          </cell>
          <cell r="BB15">
            <v>5.1612404037010053</v>
          </cell>
          <cell r="BC15">
            <v>5.1545881907629267</v>
          </cell>
          <cell r="BD15">
            <v>5.1479596273704189</v>
          </cell>
          <cell r="BE15">
            <v>5.1413534834652355</v>
          </cell>
          <cell r="BF15">
            <v>5.1347687102407926</v>
          </cell>
          <cell r="BG15">
            <v>5.1282044290873117</v>
          </cell>
          <cell r="BH15">
            <v>5.1216599171686639</v>
          </cell>
          <cell r="BI15">
            <v>5.1151345944412325</v>
          </cell>
        </row>
        <row r="16">
          <cell r="B16">
            <v>5.3549612906946118</v>
          </cell>
          <cell r="C16">
            <v>5.4125599942243294</v>
          </cell>
          <cell r="D16">
            <v>5.4482116426815086</v>
          </cell>
          <cell r="E16">
            <v>5.4756248743524036</v>
          </cell>
          <cell r="F16">
            <v>5.4967546988621994</v>
          </cell>
          <cell r="G16">
            <v>5.5120441248447944</v>
          </cell>
          <cell r="H16">
            <v>5.5216349034483168</v>
          </cell>
          <cell r="I16">
            <v>5.5259981163860976</v>
          </cell>
          <cell r="J16">
            <v>5.5259443630215879</v>
          </cell>
          <cell r="K16">
            <v>5.5224431930135207</v>
          </cell>
          <cell r="L16">
            <v>5.516422101772779</v>
          </cell>
          <cell r="M16">
            <v>5.5086543134999868</v>
          </cell>
          <cell r="N16">
            <v>5.4997551445301447</v>
          </cell>
          <cell r="O16">
            <v>5.49016821475358</v>
          </cell>
          <cell r="P16">
            <v>5.4801773027370215</v>
          </cell>
          <cell r="Q16">
            <v>5.4699742897716179</v>
          </cell>
          <cell r="R16">
            <v>5.4596941597145738</v>
          </cell>
          <cell r="S16">
            <v>5.449430938814821</v>
          </cell>
          <cell r="T16">
            <v>5.4392484740309843</v>
          </cell>
          <cell r="U16">
            <v>5.429187977853962</v>
          </cell>
          <cell r="V16">
            <v>5.4192734187119314</v>
          </cell>
          <cell r="W16">
            <v>5.4095160611391053</v>
          </cell>
          <cell r="X16">
            <v>5.3999204152753304</v>
          </cell>
          <cell r="Y16">
            <v>5.3904873609032018</v>
          </cell>
          <cell r="Z16">
            <v>5.3812149370918885</v>
          </cell>
          <cell r="AA16">
            <v>5.3720988888032597</v>
          </cell>
          <cell r="AB16">
            <v>5.3631332284387838</v>
          </cell>
          <cell r="AC16">
            <v>5.3543112304876521</v>
          </cell>
          <cell r="AD16">
            <v>5.3456259204893186</v>
          </cell>
          <cell r="AE16">
            <v>5.3370701293923055</v>
          </cell>
          <cell r="AF16">
            <v>5.3286365249398333</v>
          </cell>
          <cell r="AG16">
            <v>5.3203176371706613</v>
          </cell>
          <cell r="AH16">
            <v>5.3121058852648595</v>
          </cell>
          <cell r="AI16">
            <v>5.3039938091424395</v>
          </cell>
          <cell r="AJ16">
            <v>5.2959745062529588</v>
          </cell>
          <cell r="AK16">
            <v>5.2880416566809547</v>
          </cell>
          <cell r="AL16">
            <v>5.2801894433508147</v>
          </cell>
          <cell r="AM16">
            <v>5.2724124852659981</v>
          </cell>
          <cell r="AN16">
            <v>5.264705781589698</v>
          </cell>
          <cell r="AO16">
            <v>5.2570646641248828</v>
          </cell>
          <cell r="AP16">
            <v>5.2494847568806984</v>
          </cell>
          <cell r="AQ16">
            <v>5.2419619577849526</v>
          </cell>
          <cell r="AR16">
            <v>5.2344924660217185</v>
          </cell>
          <cell r="AS16">
            <v>5.2270727708766245</v>
          </cell>
          <cell r="AT16">
            <v>5.2196996199593046</v>
          </cell>
          <cell r="AU16">
            <v>5.2123699911246915</v>
          </cell>
          <cell r="AV16">
            <v>5.2050810682643256</v>
          </cell>
          <cell r="AW16">
            <v>5.1978302383611572</v>
          </cell>
          <cell r="AX16">
            <v>5.1906151226011445</v>
          </cell>
          <cell r="AY16">
            <v>5.1834335687957145</v>
          </cell>
          <cell r="AZ16">
            <v>5.1762836293402703</v>
          </cell>
          <cell r="BA16">
            <v>5.1691635415426536</v>
          </cell>
          <cell r="BB16">
            <v>5.1620717101785729</v>
          </cell>
          <cell r="BC16">
            <v>5.1550066919853244</v>
          </cell>
          <cell r="BD16">
            <v>5.1479671843186781</v>
          </cell>
          <cell r="BE16">
            <v>5.1409520451162054</v>
          </cell>
          <cell r="BF16">
            <v>5.1339603157308487</v>
          </cell>
          <cell r="BG16">
            <v>5.1269912091055323</v>
          </cell>
          <cell r="BH16">
            <v>5.1200440952317035</v>
          </cell>
          <cell r="BI16">
            <v>5.1131184880619518</v>
          </cell>
        </row>
        <row r="17">
          <cell r="B17">
            <v>5.3523237991824386</v>
          </cell>
          <cell r="C17">
            <v>5.4187086674387928</v>
          </cell>
          <cell r="D17">
            <v>5.4548867967751526</v>
          </cell>
          <cell r="E17">
            <v>5.4809846410276739</v>
          </cell>
          <cell r="F17">
            <v>5.5008081657402119</v>
          </cell>
          <cell r="G17">
            <v>5.51517095255873</v>
          </cell>
          <cell r="H17">
            <v>5.524205514809605</v>
          </cell>
          <cell r="I17">
            <v>5.5284071220040438</v>
          </cell>
          <cell r="J17">
            <v>5.5285283120896533</v>
          </cell>
          <cell r="K17">
            <v>5.5254242172767469</v>
          </cell>
          <cell r="L17">
            <v>5.5199218611804914</v>
          </cell>
          <cell r="M17">
            <v>5.5127346051053285</v>
          </cell>
          <cell r="N17">
            <v>5.5044338850679271</v>
          </cell>
          <cell r="O17">
            <v>5.4954334065067467</v>
          </cell>
          <cell r="P17">
            <v>5.4860015600927694</v>
          </cell>
          <cell r="Q17">
            <v>5.4763222627212453</v>
          </cell>
          <cell r="R17">
            <v>5.466526188807638</v>
          </cell>
          <cell r="S17">
            <v>5.4567056509136123</v>
          </cell>
          <cell r="T17">
            <v>5.4469246949717034</v>
          </cell>
          <cell r="U17">
            <v>5.4372261669426125</v>
          </cell>
          <cell r="V17">
            <v>5.4276367620144645</v>
          </cell>
          <cell r="W17">
            <v>5.4181712402827138</v>
          </cell>
          <cell r="X17">
            <v>5.4088375949809704</v>
          </cell>
          <cell r="Y17">
            <v>5.3996397512014234</v>
          </cell>
          <cell r="Z17">
            <v>5.3905784216061692</v>
          </cell>
          <cell r="AA17">
            <v>5.3816517246626407</v>
          </cell>
          <cell r="AB17">
            <v>5.3728558050633071</v>
          </cell>
          <cell r="AC17">
            <v>5.3641858318262212</v>
          </cell>
          <cell r="AD17">
            <v>5.3556364832818675</v>
          </cell>
          <cell r="AE17">
            <v>5.3472020387601109</v>
          </cell>
          <cell r="AF17">
            <v>5.3388764429451205</v>
          </cell>
          <cell r="AG17">
            <v>5.3306533581637732</v>
          </cell>
          <cell r="AH17">
            <v>5.322526214401246</v>
          </cell>
          <cell r="AI17">
            <v>5.3144884703633091</v>
          </cell>
          <cell r="AJ17">
            <v>5.3065340538869537</v>
          </cell>
          <cell r="AK17">
            <v>5.2986573905175334</v>
          </cell>
          <cell r="AL17">
            <v>5.2908533393501909</v>
          </cell>
          <cell r="AM17">
            <v>5.2831171369860757</v>
          </cell>
          <cell r="AN17">
            <v>5.2754443491508933</v>
          </cell>
          <cell r="AO17">
            <v>5.2678308295543292</v>
          </cell>
          <cell r="AP17">
            <v>5.2602726849418158</v>
          </cell>
          <cell r="AQ17">
            <v>5.2527662621463982</v>
          </cell>
          <cell r="AR17">
            <v>5.2453081771551497</v>
          </cell>
          <cell r="AS17">
            <v>5.2378953051397286</v>
          </cell>
          <cell r="AT17">
            <v>5.230524752004194</v>
          </cell>
          <cell r="AU17">
            <v>5.2231938293054005</v>
          </cell>
          <cell r="AV17">
            <v>5.2159000327256555</v>
          </cell>
          <cell r="AW17">
            <v>5.2086410420415987</v>
          </cell>
          <cell r="AX17">
            <v>5.2014147520292147</v>
          </cell>
          <cell r="AY17">
            <v>5.1942192650133894</v>
          </cell>
          <cell r="AZ17">
            <v>5.1870528706471841</v>
          </cell>
          <cell r="BA17">
            <v>5.1799140278995122</v>
          </cell>
          <cell r="BB17">
            <v>5.1728013490819436</v>
          </cell>
          <cell r="BC17">
            <v>5.165713585650308</v>
          </cell>
          <cell r="BD17">
            <v>5.1586496183364501</v>
          </cell>
          <cell r="BE17">
            <v>5.151608478728126</v>
          </cell>
          <cell r="BF17">
            <v>5.1445893710180925</v>
          </cell>
          <cell r="BG17">
            <v>5.1375916605630527</v>
          </cell>
          <cell r="BH17">
            <v>5.1306148602257018</v>
          </cell>
          <cell r="BI17">
            <v>5.1236586180825627</v>
          </cell>
        </row>
        <row r="18">
          <cell r="B18">
            <v>5.3024014369711043</v>
          </cell>
          <cell r="C18">
            <v>5.3532020798382005</v>
          </cell>
          <cell r="D18">
            <v>5.3904605346038936</v>
          </cell>
          <cell r="E18">
            <v>5.4195612969475544</v>
          </cell>
          <cell r="F18">
            <v>5.4417272959722824</v>
          </cell>
          <cell r="G18">
            <v>5.4573756291816684</v>
          </cell>
          <cell r="H18">
            <v>5.4669299184465494</v>
          </cell>
          <cell r="I18">
            <v>5.4713416071778296</v>
          </cell>
          <cell r="J18">
            <v>5.4716341661945957</v>
          </cell>
          <cell r="K18">
            <v>5.4688125913016821</v>
          </cell>
          <cell r="L18">
            <v>5.4637724423652445</v>
          </cell>
          <cell r="M18">
            <v>5.4572371182125385</v>
          </cell>
          <cell r="N18">
            <v>5.4497607387847902</v>
          </cell>
          <cell r="O18">
            <v>5.441727579371725</v>
          </cell>
          <cell r="P18">
            <v>5.4333734921677586</v>
          </cell>
          <cell r="Q18">
            <v>5.4248555717940414</v>
          </cell>
          <cell r="R18">
            <v>5.4162835882944815</v>
          </cell>
          <cell r="S18">
            <v>5.4077332308368131</v>
          </cell>
          <cell r="T18">
            <v>5.3992550763642218</v>
          </cell>
          <cell r="U18">
            <v>5.3908808676514797</v>
          </cell>
          <cell r="V18">
            <v>5.3826280004142335</v>
          </cell>
          <cell r="W18">
            <v>5.3745034738626751</v>
          </cell>
          <cell r="X18">
            <v>5.3665091512036884</v>
          </cell>
          <cell r="Y18">
            <v>5.3586442265325998</v>
          </cell>
          <cell r="Z18">
            <v>5.35090579862303</v>
          </cell>
          <cell r="AA18">
            <v>5.3432892744421734</v>
          </cell>
          <cell r="AB18">
            <v>5.3357888089601087</v>
          </cell>
          <cell r="AC18">
            <v>5.3283980660826895</v>
          </cell>
          <cell r="AD18">
            <v>5.3211105482636052</v>
          </cell>
          <cell r="AE18">
            <v>5.3139196301033227</v>
          </cell>
          <cell r="AF18">
            <v>5.3068185789705655</v>
          </cell>
          <cell r="AG18">
            <v>5.2998005717572818</v>
          </cell>
          <cell r="AH18">
            <v>5.2928587168104917</v>
          </cell>
          <cell r="AI18">
            <v>5.2859862902801771</v>
          </cell>
          <cell r="AJ18">
            <v>5.2791771241024987</v>
          </cell>
          <cell r="AK18">
            <v>5.2724256087762829</v>
          </cell>
          <cell r="AL18">
            <v>5.2657266203290236</v>
          </cell>
          <cell r="AM18">
            <v>5.2590754571847613</v>
          </cell>
          <cell r="AN18">
            <v>5.2524677860212838</v>
          </cell>
          <cell r="AO18">
            <v>5.2458995957384111</v>
          </cell>
          <cell r="AP18">
            <v>5.2393671583485268</v>
          </cell>
          <cell r="AQ18">
            <v>5.2328670104478681</v>
          </cell>
          <cell r="AR18">
            <v>5.2263959690581423</v>
          </cell>
          <cell r="AS18">
            <v>5.2199511153947409</v>
          </cell>
          <cell r="AT18">
            <v>5.2135297657324058</v>
          </cell>
          <cell r="AU18">
            <v>5.2071294458552995</v>
          </cell>
          <cell r="AV18">
            <v>5.2007478691910292</v>
          </cell>
          <cell r="AW18">
            <v>5.1943829368976742</v>
          </cell>
          <cell r="AX18">
            <v>5.1880327659682886</v>
          </cell>
          <cell r="AY18">
            <v>5.1816956799971043</v>
          </cell>
          <cell r="AZ18">
            <v>5.1753701890135444</v>
          </cell>
          <cell r="BA18">
            <v>5.1690549715557568</v>
          </cell>
          <cell r="BB18">
            <v>5.1627488587735666</v>
          </cell>
          <cell r="BC18">
            <v>5.1564508202977652</v>
          </cell>
          <cell r="BD18">
            <v>5.1501599548549404</v>
          </cell>
          <cell r="BE18">
            <v>5.1438755133561358</v>
          </cell>
          <cell r="BF18">
            <v>5.1375969195552411</v>
          </cell>
          <cell r="BG18">
            <v>5.1313237581870981</v>
          </cell>
          <cell r="BH18">
            <v>5.1250557613250471</v>
          </cell>
          <cell r="BI18">
            <v>5.1187927961027126</v>
          </cell>
        </row>
        <row r="19">
          <cell r="B19">
            <v>5.3088952207976901</v>
          </cell>
          <cell r="C19">
            <v>5.3565628436066239</v>
          </cell>
          <cell r="D19">
            <v>5.3936473931267903</v>
          </cell>
          <cell r="E19">
            <v>5.4240449894520832</v>
          </cell>
          <cell r="F19">
            <v>5.448491064608338</v>
          </cell>
          <cell r="G19">
            <v>5.466938530124124</v>
          </cell>
          <cell r="H19">
            <v>5.4793992608414186</v>
          </cell>
          <cell r="I19">
            <v>5.4865760426901158</v>
          </cell>
          <cell r="J19">
            <v>5.4893743102762036</v>
          </cell>
          <cell r="K19">
            <v>5.4887512451918354</v>
          </cell>
          <cell r="L19">
            <v>5.485604786849839</v>
          </cell>
          <cell r="M19">
            <v>5.4806920710664517</v>
          </cell>
          <cell r="N19">
            <v>5.4746064703032662</v>
          </cell>
          <cell r="O19">
            <v>5.4677722362637624</v>
          </cell>
          <cell r="P19">
            <v>5.4604637164435967</v>
          </cell>
          <cell r="Q19">
            <v>5.4528693856666237</v>
          </cell>
          <cell r="R19">
            <v>5.4451230437345348</v>
          </cell>
          <cell r="S19">
            <v>5.4373190605676918</v>
          </cell>
          <cell r="T19">
            <v>5.4295227524896799</v>
          </cell>
          <cell r="U19">
            <v>5.4217776456265181</v>
          </cell>
          <cell r="V19">
            <v>5.4141106678478783</v>
          </cell>
          <cell r="W19">
            <v>5.4065366258953107</v>
          </cell>
          <cell r="X19">
            <v>5.3990636672919523</v>
          </cell>
          <cell r="Y19">
            <v>5.3916958906305403</v>
          </cell>
          <cell r="Z19">
            <v>5.3844341858108349</v>
          </cell>
          <cell r="AA19">
            <v>5.3772768521121703</v>
          </cell>
          <cell r="AB19">
            <v>5.3702202489805648</v>
          </cell>
          <cell r="AC19">
            <v>5.3632598124185353</v>
          </cell>
          <cell r="AD19">
            <v>5.3563904978173316</v>
          </cell>
          <cell r="AE19">
            <v>5.3496068667748853</v>
          </cell>
          <cell r="AF19">
            <v>5.3429031506108808</v>
          </cell>
          <cell r="AG19">
            <v>5.33627330197272</v>
          </cell>
          <cell r="AH19">
            <v>5.3297110474244098</v>
          </cell>
          <cell r="AI19">
            <v>5.3232101724212502</v>
          </cell>
          <cell r="AJ19">
            <v>5.316764938983443</v>
          </cell>
          <cell r="AK19">
            <v>5.3103700979436779</v>
          </cell>
          <cell r="AL19">
            <v>5.3040208318517585</v>
          </cell>
          <cell r="AM19">
            <v>5.2977127009057616</v>
          </cell>
          <cell r="AN19">
            <v>5.2914415945674778</v>
          </cell>
          <cell r="AO19">
            <v>5.2852036904044528</v>
          </cell>
          <cell r="AP19">
            <v>5.2789954192226141</v>
          </cell>
          <cell r="AQ19">
            <v>5.2728134530192348</v>
          </cell>
          <cell r="AR19">
            <v>5.2666547284425489</v>
          </cell>
          <cell r="AS19">
            <v>5.2605164327255505</v>
          </cell>
          <cell r="AT19">
            <v>5.2543959760304277</v>
          </cell>
          <cell r="AU19">
            <v>5.2482909672171214</v>
          </cell>
          <cell r="AV19">
            <v>5.2421991932364005</v>
          </cell>
          <cell r="AW19">
            <v>5.2361186218094531</v>
          </cell>
          <cell r="AX19">
            <v>5.2300474304178808</v>
          </cell>
          <cell r="AY19">
            <v>5.2239839967716408</v>
          </cell>
          <cell r="AZ19">
            <v>5.2179268792430209</v>
          </cell>
          <cell r="BA19">
            <v>5.2118747994952566</v>
          </cell>
          <cell r="BB19">
            <v>5.2058266270777223</v>
          </cell>
          <cell r="BC19">
            <v>5.1997813657327798</v>
          </cell>
          <cell r="BD19">
            <v>5.1937381449073543</v>
          </cell>
          <cell r="BE19">
            <v>5.1876962449681585</v>
          </cell>
          <cell r="BF19">
            <v>5.1816551172651533</v>
          </cell>
          <cell r="BG19">
            <v>5.1756143720906875</v>
          </cell>
          <cell r="BH19">
            <v>5.1695737652097975</v>
          </cell>
          <cell r="BI19">
            <v>5.1635331857374878</v>
          </cell>
        </row>
        <row r="20">
          <cell r="B20">
            <v>5.3119034912273353</v>
          </cell>
          <cell r="C20">
            <v>5.368634256490143</v>
          </cell>
          <cell r="D20">
            <v>5.4084789413226693</v>
          </cell>
          <cell r="E20">
            <v>5.4397875142052383</v>
          </cell>
          <cell r="F20">
            <v>5.4643754642774667</v>
          </cell>
          <cell r="G20">
            <v>5.4825866286549081</v>
          </cell>
          <cell r="H20">
            <v>5.4946196026401575</v>
          </cell>
          <cell r="I20">
            <v>5.5012264444613477</v>
          </cell>
          <cell r="J20">
            <v>5.5033515951803569</v>
          </cell>
          <cell r="K20">
            <v>5.5019995434583455</v>
          </cell>
          <cell r="L20">
            <v>5.4981088012729709</v>
          </cell>
          <cell r="M20">
            <v>5.492455393821257</v>
          </cell>
          <cell r="N20">
            <v>5.4856369765780197</v>
          </cell>
          <cell r="O20">
            <v>5.4780800222310475</v>
          </cell>
          <cell r="P20">
            <v>5.470060214382376</v>
          </cell>
          <cell r="Q20">
            <v>5.4617676071098957</v>
          </cell>
          <cell r="R20">
            <v>5.4533369174641537</v>
          </cell>
          <cell r="S20">
            <v>5.4448629209643009</v>
          </cell>
          <cell r="T20">
            <v>5.4364109625274066</v>
          </cell>
          <cell r="U20">
            <v>5.4280243141189768</v>
          </cell>
          <cell r="V20">
            <v>5.4197294408740619</v>
          </cell>
          <cell r="W20">
            <v>5.4115407928415422</v>
          </cell>
          <cell r="X20">
            <v>5.4034664945635944</v>
          </cell>
          <cell r="Y20">
            <v>5.3955107276856991</v>
          </cell>
          <cell r="Z20">
            <v>5.3876745361198122</v>
          </cell>
          <cell r="AA20">
            <v>5.3799564321208706</v>
          </cell>
          <cell r="AB20">
            <v>5.372353090814693</v>
          </cell>
          <cell r="AC20">
            <v>5.3648603761113121</v>
          </cell>
          <cell r="AD20">
            <v>5.3574737163557851</v>
          </cell>
          <cell r="AE20">
            <v>5.3501881803631468</v>
          </cell>
          <cell r="AF20">
            <v>5.3429985354071121</v>
          </cell>
          <cell r="AG20">
            <v>5.3358992943359267</v>
          </cell>
          <cell r="AH20">
            <v>5.328884771269772</v>
          </cell>
          <cell r="AI20">
            <v>5.3219494055907175</v>
          </cell>
          <cell r="AJ20">
            <v>5.3150881451062864</v>
          </cell>
          <cell r="AK20">
            <v>5.3082964207457559</v>
          </cell>
          <cell r="AL20">
            <v>5.3015700601573004</v>
          </cell>
          <cell r="AM20">
            <v>5.2949052303319011</v>
          </cell>
          <cell r="AN20">
            <v>5.2882983940669037</v>
          </cell>
          <cell r="AO20">
            <v>5.2817462729902234</v>
          </cell>
          <cell r="AP20">
            <v>5.275245816343836</v>
          </cell>
          <cell r="AQ20">
            <v>5.2687941883261376</v>
          </cell>
          <cell r="AR20">
            <v>5.2623887759152099</v>
          </cell>
          <cell r="AS20">
            <v>5.2560271716208256</v>
          </cell>
          <cell r="AT20">
            <v>5.2497071506960022</v>
          </cell>
          <cell r="AU20">
            <v>5.2434266512736043</v>
          </cell>
          <cell r="AV20">
            <v>5.2371837575608327</v>
          </cell>
          <cell r="AW20">
            <v>5.2309766985176909</v>
          </cell>
          <cell r="AX20">
            <v>5.2248038579814411</v>
          </cell>
          <cell r="AY20">
            <v>5.2186637638724376</v>
          </cell>
          <cell r="AZ20">
            <v>5.2125550740785389</v>
          </cell>
          <cell r="BA20">
            <v>5.2064765639582404</v>
          </cell>
          <cell r="BB20">
            <v>5.2004271152585337</v>
          </cell>
          <cell r="BC20">
            <v>5.1944057062645959</v>
          </cell>
          <cell r="BD20">
            <v>5.1884114054850361</v>
          </cell>
          <cell r="BE20">
            <v>5.1824433819183833</v>
          </cell>
          <cell r="BF20">
            <v>5.1765009097177392</v>
          </cell>
          <cell r="BG20">
            <v>5.170583359929493</v>
          </cell>
          <cell r="BH20">
            <v>5.1646901922820101</v>
          </cell>
          <cell r="BI20">
            <v>5.158820947795479</v>
          </cell>
        </row>
        <row r="21">
          <cell r="B21">
            <v>5.3137504898476333</v>
          </cell>
          <cell r="C21">
            <v>5.3661921231303316</v>
          </cell>
          <cell r="D21">
            <v>5.4064869974701679</v>
          </cell>
          <cell r="E21">
            <v>5.4391710995951081</v>
          </cell>
          <cell r="F21">
            <v>5.4650982007118039</v>
          </cell>
          <cell r="G21">
            <v>5.484409596345408</v>
          </cell>
          <cell r="H21">
            <v>5.4972957428791069</v>
          </cell>
          <cell r="I21">
            <v>5.5045078951792341</v>
          </cell>
          <cell r="J21">
            <v>5.5070354092477309</v>
          </cell>
          <cell r="K21">
            <v>5.5059551438167285</v>
          </cell>
          <cell r="L21">
            <v>5.5022712475076219</v>
          </cell>
          <cell r="M21">
            <v>5.4968018345350877</v>
          </cell>
          <cell r="N21">
            <v>5.4901723722908962</v>
          </cell>
          <cell r="O21">
            <v>5.4828217518223594</v>
          </cell>
          <cell r="P21">
            <v>5.475029279917174</v>
          </cell>
          <cell r="Q21">
            <v>5.4669863663360543</v>
          </cell>
          <cell r="R21">
            <v>5.4588277027852827</v>
          </cell>
          <cell r="S21">
            <v>5.4506470366481885</v>
          </cell>
          <cell r="T21">
            <v>5.4425079458069634</v>
          </cell>
          <cell r="U21">
            <v>5.4344513810179498</v>
          </cell>
          <cell r="V21">
            <v>5.4265010694102438</v>
          </cell>
          <cell r="W21">
            <v>5.4186686333068401</v>
          </cell>
          <cell r="X21">
            <v>5.4109597527012134</v>
          </cell>
          <cell r="Y21">
            <v>5.4033765356994419</v>
          </cell>
          <cell r="Z21">
            <v>5.3959182476533805</v>
          </cell>
          <cell r="AA21">
            <v>5.3885818614518879</v>
          </cell>
          <cell r="AB21">
            <v>5.3813627340476744</v>
          </cell>
          <cell r="AC21">
            <v>5.3742556164437651</v>
          </cell>
          <cell r="AD21">
            <v>5.3672549839513861</v>
          </cell>
          <cell r="AE21">
            <v>5.3603550848770301</v>
          </cell>
          <cell r="AF21">
            <v>5.3535499771361188</v>
          </cell>
          <cell r="AG21">
            <v>5.3468335580016113</v>
          </cell>
          <cell r="AH21">
            <v>5.340199608992231</v>
          </cell>
          <cell r="AI21">
            <v>5.3336421301812997</v>
          </cell>
          <cell r="AJ21">
            <v>5.3271557103710867</v>
          </cell>
          <cell r="AK21">
            <v>5.3207354809096721</v>
          </cell>
          <cell r="AL21">
            <v>5.3143770120339395</v>
          </cell>
          <cell r="AM21">
            <v>5.3080762482612052</v>
          </cell>
          <cell r="AN21">
            <v>5.3018294603732103</v>
          </cell>
          <cell r="AO21">
            <v>5.2956332046330576</v>
          </cell>
          <cell r="AP21">
            <v>5.2894842883628828</v>
          </cell>
          <cell r="AQ21">
            <v>5.2833797541465275</v>
          </cell>
          <cell r="AR21">
            <v>5.2773168822230749</v>
          </cell>
          <cell r="AS21">
            <v>5.2712931702302201</v>
          </cell>
          <cell r="AT21">
            <v>5.2653063090798149</v>
          </cell>
          <cell r="AU21">
            <v>5.2593541619498101</v>
          </cell>
          <cell r="AV21">
            <v>5.2534347466057358</v>
          </cell>
          <cell r="AW21">
            <v>5.2475462345363217</v>
          </cell>
          <cell r="AX21">
            <v>5.2416869606512915</v>
          </cell>
          <cell r="AY21">
            <v>5.2358554113361944</v>
          </cell>
          <cell r="AZ21">
            <v>5.2300502096081747</v>
          </cell>
          <cell r="BA21">
            <v>5.2242701019783269</v>
          </cell>
          <cell r="BB21">
            <v>5.218513946801318</v>
          </cell>
          <cell r="BC21">
            <v>5.2127807039206964</v>
          </cell>
          <cell r="BD21">
            <v>5.2070694283140515</v>
          </cell>
          <cell r="BE21">
            <v>5.2013792811457531</v>
          </cell>
          <cell r="BF21">
            <v>5.1957095338289427</v>
          </cell>
          <cell r="BG21">
            <v>5.1900595592370067</v>
          </cell>
          <cell r="BH21">
            <v>5.1844288231052529</v>
          </cell>
          <cell r="BI21">
            <v>5.1788168762924132</v>
          </cell>
        </row>
        <row r="22">
          <cell r="B22">
            <v>5.3076498409338484</v>
          </cell>
          <cell r="C22">
            <v>5.3535357293358068</v>
          </cell>
          <cell r="D22">
            <v>5.3870048998728199</v>
          </cell>
          <cell r="E22">
            <v>5.4145463725958827</v>
          </cell>
          <cell r="F22">
            <v>5.4372503518436366</v>
          </cell>
          <cell r="G22">
            <v>5.4548691796414213</v>
          </cell>
          <cell r="H22">
            <v>5.4670541637867274</v>
          </cell>
          <cell r="I22">
            <v>5.4741243059233762</v>
          </cell>
          <cell r="J22">
            <v>5.4767989531879948</v>
          </cell>
          <cell r="K22">
            <v>5.4759789803560048</v>
          </cell>
          <cell r="L22">
            <v>5.4725676902645972</v>
          </cell>
          <cell r="M22">
            <v>5.4673378281714458</v>
          </cell>
          <cell r="N22">
            <v>5.4608955109796664</v>
          </cell>
          <cell r="O22">
            <v>5.4536775535858082</v>
          </cell>
          <cell r="P22">
            <v>5.4459712207836688</v>
          </cell>
          <cell r="Q22">
            <v>5.4379763665759606</v>
          </cell>
          <cell r="R22">
            <v>5.4298348179107361</v>
          </cell>
          <cell r="S22">
            <v>5.4216465025629672</v>
          </cell>
          <cell r="T22">
            <v>5.4134804752327375</v>
          </cell>
          <cell r="U22">
            <v>5.4053826358139574</v>
          </cell>
          <cell r="V22">
            <v>5.3973812605295111</v>
          </cell>
          <cell r="W22">
            <v>5.3894921350410758</v>
          </cell>
          <cell r="X22">
            <v>5.3817243338993945</v>
          </cell>
          <cell r="Y22">
            <v>5.3740825289228917</v>
          </cell>
          <cell r="Z22">
            <v>5.3665678795286196</v>
          </cell>
          <cell r="AA22">
            <v>5.359178713309487</v>
          </cell>
          <cell r="AB22">
            <v>5.3519113494146371</v>
          </cell>
          <cell r="AC22">
            <v>5.3447612503226321</v>
          </cell>
          <cell r="AD22">
            <v>5.337723399275597</v>
          </cell>
          <cell r="AE22">
            <v>5.3307923824330858</v>
          </cell>
          <cell r="AF22">
            <v>5.3239624529176437</v>
          </cell>
          <cell r="AG22">
            <v>5.3172275828518574</v>
          </cell>
          <cell r="AH22">
            <v>5.3105815301551038</v>
          </cell>
          <cell r="AI22">
            <v>5.3040182070666271</v>
          </cell>
          <cell r="AJ22">
            <v>5.2975320550211347</v>
          </cell>
          <cell r="AK22">
            <v>5.2911180130669857</v>
          </cell>
          <cell r="AL22">
            <v>5.2847714443893548</v>
          </cell>
          <cell r="AM22">
            <v>5.2784880792037692</v>
          </cell>
          <cell r="AN22">
            <v>5.2722639676965528</v>
          </cell>
          <cell r="AO22">
            <v>5.2660954400284847</v>
          </cell>
          <cell r="AP22">
            <v>5.2599790728209657</v>
          </cell>
          <cell r="AQ22">
            <v>5.2539116795292795</v>
          </cell>
          <cell r="AR22">
            <v>5.247890321584876</v>
          </cell>
          <cell r="AS22">
            <v>5.2419122883063904</v>
          </cell>
          <cell r="AT22">
            <v>5.2359750716062914</v>
          </cell>
          <cell r="AU22">
            <v>5.2300763439698192</v>
          </cell>
          <cell r="AV22">
            <v>5.2242139400723868</v>
          </cell>
          <cell r="AW22">
            <v>5.2183858571824082</v>
          </cell>
          <cell r="AX22">
            <v>5.212590265364514</v>
          </cell>
          <cell r="AY22">
            <v>5.2068254944584114</v>
          </cell>
          <cell r="AZ22">
            <v>5.2010900184184603</v>
          </cell>
          <cell r="BA22">
            <v>5.1953824414565037</v>
          </cell>
          <cell r="BB22">
            <v>5.1897014857534165</v>
          </cell>
          <cell r="BC22">
            <v>5.1840459805386709</v>
          </cell>
          <cell r="BD22">
            <v>5.1784148557305727</v>
          </cell>
          <cell r="BE22">
            <v>5.1728071539677734</v>
          </cell>
          <cell r="BF22">
            <v>5.1672220341020729</v>
          </cell>
          <cell r="BG22">
            <v>5.1616587618199201</v>
          </cell>
          <cell r="BH22">
            <v>5.1561167005886146</v>
          </cell>
          <cell r="BI22">
            <v>5.1505953035079219</v>
          </cell>
        </row>
        <row r="23">
          <cell r="B23">
            <v>5.3084862429643866</v>
          </cell>
          <cell r="C23">
            <v>5.3544650364365243</v>
          </cell>
          <cell r="D23">
            <v>5.3885791922978274</v>
          </cell>
          <cell r="E23">
            <v>5.4163345780286578</v>
          </cell>
          <cell r="F23">
            <v>5.4387576658991259</v>
          </cell>
          <cell r="G23">
            <v>5.4557860241935296</v>
          </cell>
          <cell r="H23">
            <v>5.4673088569921431</v>
          </cell>
          <cell r="I23">
            <v>5.4737904118455978</v>
          </cell>
          <cell r="J23">
            <v>5.4760145486559528</v>
          </cell>
          <cell r="K23">
            <v>5.4749051257994372</v>
          </cell>
          <cell r="L23">
            <v>5.4713543059900314</v>
          </cell>
          <cell r="M23">
            <v>5.466100313256967</v>
          </cell>
          <cell r="N23">
            <v>5.4597140936240862</v>
          </cell>
          <cell r="O23">
            <v>5.4526023147871809</v>
          </cell>
          <cell r="P23">
            <v>5.4450294368963119</v>
          </cell>
          <cell r="Q23">
            <v>5.4371793743097587</v>
          </cell>
          <cell r="R23">
            <v>5.429182847218148</v>
          </cell>
          <cell r="S23">
            <v>5.4211321641037484</v>
          </cell>
          <cell r="T23">
            <v>5.4130913300847734</v>
          </cell>
          <cell r="U23">
            <v>5.4051031227563966</v>
          </cell>
          <cell r="V23">
            <v>5.3971941673693751</v>
          </cell>
          <cell r="W23">
            <v>5.3893797126619649</v>
          </cell>
          <cell r="X23">
            <v>5.3816688881078685</v>
          </cell>
          <cell r="Y23">
            <v>5.374066744131623</v>
          </cell>
          <cell r="Z23">
            <v>5.36657507459568</v>
          </cell>
          <cell r="AA23">
            <v>5.3591930486486232</v>
          </cell>
          <cell r="AB23">
            <v>5.3519179732611324</v>
          </cell>
          <cell r="AC23">
            <v>5.3447463059102187</v>
          </cell>
          <cell r="AD23">
            <v>5.3376739832097604</v>
          </cell>
          <cell r="AE23">
            <v>5.3306965091758531</v>
          </cell>
          <cell r="AF23">
            <v>5.3238090250006449</v>
          </cell>
          <cell r="AG23">
            <v>5.3170063657435724</v>
          </cell>
          <cell r="AH23">
            <v>5.3102831326770872</v>
          </cell>
          <cell r="AI23">
            <v>5.3036340541149869</v>
          </cell>
          <cell r="AJ23">
            <v>5.2970543247742956</v>
          </cell>
          <cell r="AK23">
            <v>5.2905395716816583</v>
          </cell>
          <cell r="AL23">
            <v>5.2840857842021514</v>
          </cell>
          <cell r="AM23">
            <v>5.2776892641469546</v>
          </cell>
          <cell r="AN23">
            <v>5.2713465857108224</v>
          </cell>
          <cell r="AO23">
            <v>5.2650545614241295</v>
          </cell>
          <cell r="AP23">
            <v>5.2588102137634252</v>
          </cell>
          <cell r="AQ23">
            <v>5.252610768747779</v>
          </cell>
          <cell r="AR23">
            <v>5.2464536661832692</v>
          </cell>
          <cell r="AS23">
            <v>5.2403365418993868</v>
          </cell>
          <cell r="AT23">
            <v>5.2342572059843988</v>
          </cell>
          <cell r="AU23">
            <v>5.2282136238441881</v>
          </cell>
          <cell r="AV23">
            <v>5.2222039006537955</v>
          </cell>
          <cell r="AW23">
            <v>5.2162262849905447</v>
          </cell>
          <cell r="AX23">
            <v>5.210279180410696</v>
          </cell>
          <cell r="AY23">
            <v>5.2043611337682538</v>
          </cell>
          <cell r="AZ23">
            <v>5.1984708211680886</v>
          </cell>
          <cell r="BA23">
            <v>5.1926070355379661</v>
          </cell>
          <cell r="BB23">
            <v>5.1867686756075182</v>
          </cell>
          <cell r="BC23">
            <v>5.1809547361163695</v>
          </cell>
          <cell r="BD23">
            <v>5.1751643026432088</v>
          </cell>
          <cell r="BE23">
            <v>5.1693965638338177</v>
          </cell>
          <cell r="BF23">
            <v>5.1636508143993467</v>
          </cell>
          <cell r="BG23">
            <v>5.1579264464851766</v>
          </cell>
          <cell r="BH23">
            <v>5.152222941413771</v>
          </cell>
          <cell r="BI23">
            <v>5.1465398622532605</v>
          </cell>
        </row>
        <row r="24">
          <cell r="B24">
            <v>5.3135910569787468</v>
          </cell>
          <cell r="C24">
            <v>5.3673231707561504</v>
          </cell>
          <cell r="D24">
            <v>5.4047171487017982</v>
          </cell>
          <cell r="E24">
            <v>5.4345125201308688</v>
          </cell>
          <cell r="F24">
            <v>5.4584089204097603</v>
          </cell>
          <cell r="G24">
            <v>5.4766128875052198</v>
          </cell>
          <cell r="H24">
            <v>5.489154645851861</v>
          </cell>
          <cell r="I24">
            <v>5.4965514795196029</v>
          </cell>
          <cell r="J24">
            <v>5.4996146600943394</v>
          </cell>
          <cell r="K24">
            <v>5.4992857702122686</v>
          </cell>
          <cell r="L24">
            <v>5.4964670055681912</v>
          </cell>
          <cell r="M24">
            <v>5.4918990685341464</v>
          </cell>
          <cell r="N24">
            <v>5.4861530831515273</v>
          </cell>
          <cell r="O24">
            <v>5.479635021208642</v>
          </cell>
          <cell r="P24">
            <v>5.4726090634497666</v>
          </cell>
          <cell r="Q24">
            <v>5.4652599825418475</v>
          </cell>
          <cell r="R24">
            <v>5.4577200035487712</v>
          </cell>
          <cell r="S24">
            <v>5.450083404361652</v>
          </cell>
          <cell r="T24">
            <v>5.4424165017969184</v>
          </cell>
          <cell r="U24">
            <v>5.4347646418649944</v>
          </cell>
          <cell r="V24">
            <v>5.4271572168987277</v>
          </cell>
          <cell r="W24">
            <v>5.4196123713894782</v>
          </cell>
          <cell r="X24">
            <v>5.4121419728578788</v>
          </cell>
          <cell r="Y24">
            <v>5.4047535614893585</v>
          </cell>
          <cell r="Z24">
            <v>5.3974512200594225</v>
          </cell>
          <cell r="AA24">
            <v>5.3902362451622876</v>
          </cell>
          <cell r="AB24">
            <v>5.3831079317547204</v>
          </cell>
          <cell r="AC24">
            <v>5.3760645436977557</v>
          </cell>
          <cell r="AD24">
            <v>5.3691036432162376</v>
          </cell>
          <cell r="AE24">
            <v>5.3622222087922085</v>
          </cell>
          <cell r="AF24">
            <v>5.3554167293169668</v>
          </cell>
          <cell r="AG24">
            <v>5.3486832805896229</v>
          </cell>
          <cell r="AH24">
            <v>5.3420176161410602</v>
          </cell>
          <cell r="AI24">
            <v>5.335415536225744</v>
          </cell>
          <cell r="AJ24">
            <v>5.3288732086376074</v>
          </cell>
          <cell r="AK24">
            <v>5.3223871400039613</v>
          </cell>
          <cell r="AL24">
            <v>5.3159541155536267</v>
          </cell>
          <cell r="AM24">
            <v>5.3095711599106492</v>
          </cell>
          <cell r="AN24">
            <v>5.3032355063984564</v>
          </cell>
          <cell r="AO24">
            <v>5.2969445709524319</v>
          </cell>
          <cell r="AP24">
            <v>5.2906959304900685</v>
          </cell>
          <cell r="AQ24">
            <v>5.2844873192956632</v>
          </cell>
          <cell r="AR24">
            <v>5.278316637101379</v>
          </cell>
          <cell r="AS24">
            <v>5.2721819349574846</v>
          </cell>
          <cell r="AT24">
            <v>5.2660813984268664</v>
          </cell>
          <cell r="AU24">
            <v>5.260013332964089</v>
          </cell>
          <cell r="AV24">
            <v>5.2539761522663442</v>
          </cell>
          <cell r="AW24">
            <v>5.2479683854862973</v>
          </cell>
          <cell r="AX24">
            <v>5.2419886902268509</v>
          </cell>
          <cell r="AY24">
            <v>5.2360358429971798</v>
          </cell>
          <cell r="AZ24">
            <v>5.2301087275560523</v>
          </cell>
          <cell r="BA24">
            <v>5.2242063245993728</v>
          </cell>
          <cell r="BB24">
            <v>5.2183277026151753</v>
          </cell>
          <cell r="BC24">
            <v>5.2124720097624921</v>
          </cell>
          <cell r="BD24">
            <v>5.2066384705488078</v>
          </cell>
          <cell r="BE24">
            <v>5.2008263995975623</v>
          </cell>
          <cell r="BF24">
            <v>5.1950352050721973</v>
          </cell>
          <cell r="BG24">
            <v>5.189264381039477</v>
          </cell>
          <cell r="BH24">
            <v>5.1835135001895498</v>
          </cell>
          <cell r="BI24">
            <v>5.177782207283995</v>
          </cell>
        </row>
        <row r="25">
          <cell r="B25">
            <v>5.330973293592983</v>
          </cell>
          <cell r="C25">
            <v>5.3882409141672118</v>
          </cell>
          <cell r="D25">
            <v>5.4252916940558489</v>
          </cell>
          <cell r="E25">
            <v>5.4548770843633205</v>
          </cell>
          <cell r="F25">
            <v>5.4787744872668993</v>
          </cell>
          <cell r="G25">
            <v>5.4970671528354904</v>
          </cell>
          <cell r="H25">
            <v>5.5096488264301389</v>
          </cell>
          <cell r="I25">
            <v>5.5169322890625052</v>
          </cell>
          <cell r="J25">
            <v>5.5197260078002008</v>
          </cell>
          <cell r="K25">
            <v>5.519025596201379</v>
          </cell>
          <cell r="L25">
            <v>5.5157805906267932</v>
          </cell>
          <cell r="M25">
            <v>5.5107483579919165</v>
          </cell>
          <cell r="N25">
            <v>5.5045129967506456</v>
          </cell>
          <cell r="O25">
            <v>5.4974935130570222</v>
          </cell>
          <cell r="P25">
            <v>5.4899633433821426</v>
          </cell>
          <cell r="Q25">
            <v>5.4821141432498237</v>
          </cell>
          <cell r="R25">
            <v>5.4740827690003124</v>
          </cell>
          <cell r="S25">
            <v>5.4659665002330176</v>
          </cell>
          <cell r="T25">
            <v>5.4578334547383109</v>
          </cell>
          <cell r="U25">
            <v>5.4497298789497863</v>
          </cell>
          <cell r="V25">
            <v>5.4416854008714708</v>
          </cell>
          <cell r="W25">
            <v>5.4337181394081133</v>
          </cell>
          <cell r="X25">
            <v>5.4258397050377845</v>
          </cell>
          <cell r="Y25">
            <v>5.4180570543560576</v>
          </cell>
          <cell r="Z25">
            <v>5.4103734223425572</v>
          </cell>
          <cell r="AA25">
            <v>5.4027890527660212</v>
          </cell>
          <cell r="AB25">
            <v>5.3953021623587007</v>
          </cell>
          <cell r="AC25">
            <v>5.387910053289974</v>
          </cell>
          <cell r="AD25">
            <v>5.3806094162126783</v>
          </cell>
          <cell r="AE25">
            <v>5.3733964325572616</v>
          </cell>
          <cell r="AF25">
            <v>5.3662668566644411</v>
          </cell>
          <cell r="AG25">
            <v>5.3592160825191506</v>
          </cell>
          <cell r="AH25">
            <v>5.3522392419603371</v>
          </cell>
          <cell r="AI25">
            <v>5.3453316167661535</v>
          </cell>
          <cell r="AJ25">
            <v>5.3384889234298036</v>
          </cell>
          <cell r="AK25">
            <v>5.3317072686598248</v>
          </cell>
          <cell r="AL25">
            <v>5.3249830889855447</v>
          </cell>
          <cell r="AM25">
            <v>5.3183131063169551</v>
          </cell>
          <cell r="AN25">
            <v>5.3116942913571146</v>
          </cell>
          <cell r="AO25">
            <v>5.3051238325030265</v>
          </cell>
          <cell r="AP25">
            <v>5.298599110385954</v>
          </cell>
          <cell r="AQ25">
            <v>5.2921176937494545</v>
          </cell>
          <cell r="AR25">
            <v>5.2856773432117041</v>
          </cell>
          <cell r="AS25">
            <v>5.2792759929626483</v>
          </cell>
          <cell r="AT25">
            <v>5.2729117314793275</v>
          </cell>
          <cell r="AU25">
            <v>5.2665827847555393</v>
          </cell>
          <cell r="AV25">
            <v>5.2602875032157588</v>
          </cell>
          <cell r="AW25">
            <v>5.2540243676923657</v>
          </cell>
          <cell r="AX25">
            <v>5.2477919965489157</v>
          </cell>
          <cell r="AY25">
            <v>5.2415891339936866</v>
          </cell>
          <cell r="AZ25">
            <v>5.2354146377419628</v>
          </cell>
          <cell r="BA25">
            <v>5.229267468101904</v>
          </cell>
          <cell r="BB25">
            <v>5.2231466782959677</v>
          </cell>
          <cell r="BC25">
            <v>5.2170514058841828</v>
          </cell>
          <cell r="BD25">
            <v>5.2109808700610865</v>
          </cell>
          <cell r="BE25">
            <v>5.2049343847108256</v>
          </cell>
          <cell r="BF25">
            <v>5.1989113590833629</v>
          </cell>
          <cell r="BG25">
            <v>5.1929112898002794</v>
          </cell>
          <cell r="BH25">
            <v>5.1869337534503925</v>
          </cell>
          <cell r="BI25">
            <v>5.1809783999258299</v>
          </cell>
        </row>
        <row r="26">
          <cell r="B26">
            <v>5.3445745612720756</v>
          </cell>
          <cell r="C26">
            <v>5.39949391217342</v>
          </cell>
          <cell r="D26">
            <v>5.4330206592719357</v>
          </cell>
          <cell r="E26">
            <v>5.4595666761703221</v>
          </cell>
          <cell r="F26">
            <v>5.4811870812108747</v>
          </cell>
          <cell r="G26">
            <v>5.4979646288583854</v>
          </cell>
          <cell r="H26">
            <v>5.509659219385223</v>
          </cell>
          <cell r="I26">
            <v>5.5164879359802121</v>
          </cell>
          <cell r="J26">
            <v>5.5191285647818118</v>
          </cell>
          <cell r="K26">
            <v>5.5184887762386738</v>
          </cell>
          <cell r="L26">
            <v>5.5154524394376478</v>
          </cell>
          <cell r="M26">
            <v>5.5107274610604966</v>
          </cell>
          <cell r="N26">
            <v>5.5048637291799212</v>
          </cell>
          <cell r="O26">
            <v>5.4982506594894938</v>
          </cell>
          <cell r="P26">
            <v>5.4911388692928265</v>
          </cell>
          <cell r="Q26">
            <v>5.4837040305333833</v>
          </cell>
          <cell r="R26">
            <v>5.4760717096603964</v>
          </cell>
          <cell r="S26">
            <v>5.4683312859653057</v>
          </cell>
          <cell r="T26">
            <v>5.4605454745180264</v>
          </cell>
          <cell r="U26">
            <v>5.4527569922223229</v>
          </cell>
          <cell r="V26">
            <v>5.4449933726508748</v>
          </cell>
          <cell r="W26">
            <v>5.4372717932424566</v>
          </cell>
          <cell r="X26">
            <v>5.429603726720643</v>
          </cell>
          <cell r="Y26">
            <v>5.4219965703636959</v>
          </cell>
          <cell r="Z26">
            <v>5.4144544620165043</v>
          </cell>
          <cell r="AA26">
            <v>5.406978921069487</v>
          </cell>
          <cell r="AB26">
            <v>5.3995696816848611</v>
          </cell>
          <cell r="AC26">
            <v>5.3922256039357759</v>
          </cell>
          <cell r="AD26">
            <v>5.3849449299914722</v>
          </cell>
          <cell r="AE26">
            <v>5.3777253872870761</v>
          </cell>
          <cell r="AF26">
            <v>5.3705642715452244</v>
          </cell>
          <cell r="AG26">
            <v>5.3634585142355826</v>
          </cell>
          <cell r="AH26">
            <v>5.3564047816335325</v>
          </cell>
          <cell r="AI26">
            <v>5.3493998566070928</v>
          </cell>
          <cell r="AJ26">
            <v>5.3424408822954463</v>
          </cell>
          <cell r="AK26">
            <v>5.3355253079768143</v>
          </cell>
          <cell r="AL26">
            <v>5.328650821536578</v>
          </cell>
          <cell r="AM26">
            <v>5.32181531481619</v>
          </cell>
          <cell r="AN26">
            <v>5.3150168574645322</v>
          </cell>
          <cell r="AO26">
            <v>5.3082536747119828</v>
          </cell>
          <cell r="AP26">
            <v>5.3015241290567952</v>
          </cell>
          <cell r="AQ26">
            <v>5.2948267141473488</v>
          </cell>
          <cell r="AR26">
            <v>5.2881600525309791</v>
          </cell>
          <cell r="AS26">
            <v>5.2815228826298313</v>
          </cell>
          <cell r="AT26">
            <v>5.2749140458660966</v>
          </cell>
          <cell r="AU26">
            <v>5.268332475466357</v>
          </cell>
          <cell r="AV26">
            <v>5.2617771883970024</v>
          </cell>
          <cell r="AW26">
            <v>5.2552472955727243</v>
          </cell>
          <cell r="AX26">
            <v>5.2487420112675309</v>
          </cell>
          <cell r="AY26">
            <v>5.2422606445264508</v>
          </cell>
          <cell r="AZ26">
            <v>5.2358025898742575</v>
          </cell>
          <cell r="BA26">
            <v>5.2293673190962666</v>
          </cell>
          <cell r="BB26">
            <v>5.2229543739496016</v>
          </cell>
          <cell r="BC26">
            <v>5.216563359718271</v>
          </cell>
          <cell r="BD26">
            <v>5.2101939443522527</v>
          </cell>
          <cell r="BE26">
            <v>5.2038458714596434</v>
          </cell>
          <cell r="BF26">
            <v>5.1975189612887807</v>
          </cell>
          <cell r="BG26">
            <v>5.1912131042873204</v>
          </cell>
          <cell r="BH26">
            <v>5.1849282551531566</v>
          </cell>
          <cell r="BI26">
            <v>5.1786644274802134</v>
          </cell>
        </row>
        <row r="27">
          <cell r="B27">
            <v>5.3566560751675372</v>
          </cell>
          <cell r="C27">
            <v>5.4109706633304269</v>
          </cell>
          <cell r="D27">
            <v>5.4454609556847791</v>
          </cell>
          <cell r="E27">
            <v>5.4729155559323344</v>
          </cell>
          <cell r="F27">
            <v>5.4952627116491977</v>
          </cell>
          <cell r="G27">
            <v>5.5124868757741474</v>
          </cell>
          <cell r="H27">
            <v>5.5242994217268384</v>
          </cell>
          <cell r="I27">
            <v>5.5309518298522802</v>
          </cell>
          <cell r="J27">
            <v>5.5331793144980024</v>
          </cell>
          <cell r="K27">
            <v>5.5319545051094225</v>
          </cell>
          <cell r="L27">
            <v>5.5282199657622275</v>
          </cell>
          <cell r="M27">
            <v>5.5227279936523157</v>
          </cell>
          <cell r="N27">
            <v>5.5160635007025824</v>
          </cell>
          <cell r="O27">
            <v>5.5086418128784338</v>
          </cell>
          <cell r="P27">
            <v>5.5007316022125785</v>
          </cell>
          <cell r="Q27">
            <v>5.4925209630621143</v>
          </cell>
          <cell r="R27">
            <v>5.4841436677957827</v>
          </cell>
          <cell r="S27">
            <v>5.4756942562611934</v>
          </cell>
          <cell r="T27">
            <v>5.4672383601324981</v>
          </cell>
          <cell r="U27">
            <v>5.4588199299537443</v>
          </cell>
          <cell r="V27">
            <v>5.4504664671375247</v>
          </cell>
          <cell r="W27">
            <v>5.4421943561902202</v>
          </cell>
          <cell r="X27">
            <v>5.4340138661957358</v>
          </cell>
          <cell r="Y27">
            <v>5.4259308611837858</v>
          </cell>
          <cell r="Z27">
            <v>5.4179476817468961</v>
          </cell>
          <cell r="AA27">
            <v>5.4100638439697901</v>
          </cell>
          <cell r="AB27">
            <v>5.4022770278080419</v>
          </cell>
          <cell r="AC27">
            <v>5.3945841407332615</v>
          </cell>
          <cell r="AD27">
            <v>5.3869815712149638</v>
          </cell>
          <cell r="AE27">
            <v>5.3794652753570018</v>
          </cell>
          <cell r="AF27">
            <v>5.3720308466339581</v>
          </cell>
          <cell r="AG27">
            <v>5.3646735725661943</v>
          </cell>
          <cell r="AH27">
            <v>5.3573885364079619</v>
          </cell>
          <cell r="AI27">
            <v>5.3501710421993804</v>
          </cell>
          <cell r="AJ27">
            <v>5.3430168627467456</v>
          </cell>
          <cell r="AK27">
            <v>5.3359221768412457</v>
          </cell>
          <cell r="AL27">
            <v>5.3288834983192208</v>
          </cell>
          <cell r="AM27">
            <v>5.3218976301504508</v>
          </cell>
          <cell r="AN27">
            <v>5.3149616273696934</v>
          </cell>
          <cell r="AO27">
            <v>5.3080727655685687</v>
          </cell>
          <cell r="AP27">
            <v>5.3012285153676286</v>
          </cell>
          <cell r="AQ27">
            <v>5.2944265383325302</v>
          </cell>
          <cell r="AR27">
            <v>5.287664687410758</v>
          </cell>
          <cell r="AS27">
            <v>5.280940987765729</v>
          </cell>
          <cell r="AT27">
            <v>5.2742536176417874</v>
          </cell>
          <cell r="AU27">
            <v>5.2676008917249835</v>
          </cell>
          <cell r="AV27">
            <v>5.2609812488282355</v>
          </cell>
          <cell r="AW27">
            <v>5.2543932611934583</v>
          </cell>
          <cell r="AX27">
            <v>5.2478356416295648</v>
          </cell>
          <cell r="AY27">
            <v>5.2413072311888289</v>
          </cell>
          <cell r="AZ27">
            <v>5.2348069865940028</v>
          </cell>
          <cell r="BA27">
            <v>5.2283339691161581</v>
          </cell>
          <cell r="BB27">
            <v>5.2218873347116341</v>
          </cell>
          <cell r="BC27">
            <v>5.2154663253097908</v>
          </cell>
          <cell r="BD27">
            <v>5.20907026728226</v>
          </cell>
          <cell r="BE27">
            <v>5.2026985858658765</v>
          </cell>
          <cell r="BF27">
            <v>5.1963508048427407</v>
          </cell>
          <cell r="BG27">
            <v>5.19002653820041</v>
          </cell>
          <cell r="BH27">
            <v>5.1837254824873744</v>
          </cell>
          <cell r="BI27">
            <v>5.1774474099329728</v>
          </cell>
        </row>
        <row r="28">
          <cell r="B28">
            <v>5.3477840232825837</v>
          </cell>
          <cell r="C28">
            <v>5.4083449060232223</v>
          </cell>
          <cell r="D28">
            <v>5.4457577068302445</v>
          </cell>
          <cell r="E28">
            <v>5.4741990250357055</v>
          </cell>
          <cell r="F28">
            <v>5.4961206345757274</v>
          </cell>
          <cell r="G28">
            <v>5.511829509856808</v>
          </cell>
          <cell r="H28">
            <v>5.5214016713751564</v>
          </cell>
          <cell r="I28">
            <v>5.5254496819839538</v>
          </cell>
          <cell r="J28">
            <v>5.5249460501020566</v>
          </cell>
          <cell r="K28">
            <v>5.5210261410831984</v>
          </cell>
          <cell r="L28">
            <v>5.514730218302466</v>
          </cell>
          <cell r="M28">
            <v>5.506858395935085</v>
          </cell>
          <cell r="N28">
            <v>5.498020676998042</v>
          </cell>
          <cell r="O28">
            <v>5.4886354582688268</v>
          </cell>
          <cell r="P28">
            <v>5.4789610177245835</v>
          </cell>
          <cell r="Q28">
            <v>5.4691733847322856</v>
          </cell>
          <cell r="R28">
            <v>5.4593936309884805</v>
          </cell>
          <cell r="S28">
            <v>5.4497031365403874</v>
          </cell>
          <cell r="T28">
            <v>5.4401540349567687</v>
          </cell>
          <cell r="U28">
            <v>5.4307765249475466</v>
          </cell>
          <cell r="V28">
            <v>5.4215842114962323</v>
          </cell>
          <cell r="W28">
            <v>5.4125802837779249</v>
          </cell>
          <cell r="X28">
            <v>5.4037634103868486</v>
          </cell>
          <cell r="Y28">
            <v>5.3951292437309801</v>
          </cell>
          <cell r="Z28">
            <v>5.3866710237521938</v>
          </cell>
          <cell r="AA28">
            <v>5.3783800731403701</v>
          </cell>
          <cell r="AB28">
            <v>5.3702467597188113</v>
          </cell>
          <cell r="AC28">
            <v>5.3622615600531898</v>
          </cell>
          <cell r="AD28">
            <v>5.3544151745861397</v>
          </cell>
          <cell r="AE28">
            <v>5.3466984904139592</v>
          </cell>
          <cell r="AF28">
            <v>5.3391025511811776</v>
          </cell>
          <cell r="AG28">
            <v>5.3316185326578456</v>
          </cell>
          <cell r="AH28">
            <v>5.3242377947756774</v>
          </cell>
          <cell r="AI28">
            <v>5.3169523252015374</v>
          </cell>
          <cell r="AJ28">
            <v>5.3097549592706477</v>
          </cell>
          <cell r="AK28">
            <v>5.3026392621523257</v>
          </cell>
          <cell r="AL28">
            <v>5.2955994127183459</v>
          </cell>
          <cell r="AM28">
            <v>5.2886301209788797</v>
          </cell>
          <cell r="AN28">
            <v>5.2817265599878187</v>
          </cell>
          <cell r="AO28">
            <v>5.2748843079623153</v>
          </cell>
          <cell r="AP28">
            <v>5.2680993010170365</v>
          </cell>
          <cell r="AQ28">
            <v>5.2613678176520304</v>
          </cell>
          <cell r="AR28">
            <v>5.2546864687754189</v>
          </cell>
          <cell r="AS28">
            <v>5.2480521630322912</v>
          </cell>
          <cell r="AT28">
            <v>5.2414620737228503</v>
          </cell>
          <cell r="AU28">
            <v>5.2349136100355631</v>
          </cell>
          <cell r="AV28">
            <v>5.2284043944976206</v>
          </cell>
          <cell r="AW28">
            <v>5.2219322641508423</v>
          </cell>
          <cell r="AX28">
            <v>5.2154952689809528</v>
          </cell>
          <cell r="AY28">
            <v>5.2090916521602297</v>
          </cell>
          <cell r="AZ28">
            <v>5.2027198311076495</v>
          </cell>
          <cell r="BA28">
            <v>5.1963783807343908</v>
          </cell>
          <cell r="BB28">
            <v>5.1900660185860854</v>
          </cell>
          <cell r="BC28">
            <v>5.1837815917069765</v>
          </cell>
          <cell r="BD28">
            <v>5.1775240714289694</v>
          </cell>
          <cell r="BE28">
            <v>5.1712925634795432</v>
          </cell>
          <cell r="BF28">
            <v>5.1650863036701447</v>
          </cell>
          <cell r="BG28">
            <v>5.1589046467996811</v>
          </cell>
          <cell r="BH28">
            <v>5.1527470565708526</v>
          </cell>
          <cell r="BI28">
            <v>5.1466130965148276</v>
          </cell>
        </row>
        <row r="29">
          <cell r="B29">
            <v>5.3479953150952637</v>
          </cell>
          <cell r="C29">
            <v>5.4030009141627309</v>
          </cell>
          <cell r="D29">
            <v>5.43254132524706</v>
          </cell>
          <cell r="E29">
            <v>5.4543507400472215</v>
          </cell>
          <cell r="F29">
            <v>5.4716542597267344</v>
          </cell>
          <cell r="G29">
            <v>5.4842424713737996</v>
          </cell>
          <cell r="H29">
            <v>5.4914124494979069</v>
          </cell>
          <cell r="I29">
            <v>5.4932568316259651</v>
          </cell>
          <cell r="J29">
            <v>5.4905319943119393</v>
          </cell>
          <cell r="K29">
            <v>5.4843203937851692</v>
          </cell>
          <cell r="L29">
            <v>5.4756857830132368</v>
          </cell>
          <cell r="M29">
            <v>5.4654736463075162</v>
          </cell>
          <cell r="N29">
            <v>5.4543422634430687</v>
          </cell>
          <cell r="O29">
            <v>5.4427502944647639</v>
          </cell>
          <cell r="P29">
            <v>5.4309833125650027</v>
          </cell>
          <cell r="Q29">
            <v>5.4192341157585844</v>
          </cell>
          <cell r="R29">
            <v>5.4076327613665782</v>
          </cell>
          <cell r="S29">
            <v>5.3962639939868131</v>
          </cell>
          <cell r="T29">
            <v>5.3851791698947231</v>
          </cell>
          <cell r="U29">
            <v>5.3744046041239564</v>
          </cell>
          <cell r="V29">
            <v>5.3639477041146941</v>
          </cell>
          <cell r="W29">
            <v>5.3538043761274769</v>
          </cell>
          <cell r="X29">
            <v>5.3439658901854949</v>
          </cell>
          <cell r="Y29">
            <v>5.3344204658923511</v>
          </cell>
          <cell r="Z29">
            <v>5.3251538828142779</v>
          </cell>
          <cell r="AA29">
            <v>5.3161500024092394</v>
          </cell>
          <cell r="AB29">
            <v>5.3073920383629272</v>
          </cell>
          <cell r="AC29">
            <v>5.298863923940079</v>
          </cell>
          <cell r="AD29">
            <v>5.2905503597214141</v>
          </cell>
          <cell r="AE29">
            <v>5.2824366857781415</v>
          </cell>
          <cell r="AF29">
            <v>5.2745087785283395</v>
          </cell>
          <cell r="AG29">
            <v>5.2667529670248276</v>
          </cell>
          <cell r="AH29">
            <v>5.2591560624214262</v>
          </cell>
          <cell r="AI29">
            <v>5.2517058738753573</v>
          </cell>
          <cell r="AJ29">
            <v>5.2443914254996677</v>
          </cell>
          <cell r="AK29">
            <v>5.2372027930416296</v>
          </cell>
          <cell r="AL29">
            <v>5.2301309505508584</v>
          </cell>
          <cell r="AM29">
            <v>5.2231676511234033</v>
          </cell>
          <cell r="AN29">
            <v>5.2163053270239992</v>
          </cell>
          <cell r="AO29">
            <v>5.2095370047899792</v>
          </cell>
          <cell r="AP29">
            <v>5.2028562367533473</v>
          </cell>
          <cell r="AQ29">
            <v>5.1962570841892513</v>
          </cell>
          <cell r="AR29">
            <v>5.1897341050107082</v>
          </cell>
          <cell r="AS29">
            <v>5.1832823017700971</v>
          </cell>
          <cell r="AT29">
            <v>5.1768970722547838</v>
          </cell>
          <cell r="AU29">
            <v>5.1705741665269684</v>
          </cell>
          <cell r="AV29">
            <v>5.1643096533298767</v>
          </cell>
          <cell r="AW29">
            <v>5.1580999194219626</v>
          </cell>
          <cell r="AX29">
            <v>5.1519416634039521</v>
          </cell>
          <cell r="AY29">
            <v>5.1458318663309734</v>
          </cell>
          <cell r="AZ29">
            <v>5.1397677640209443</v>
          </cell>
          <cell r="BA29">
            <v>5.1337468225581482</v>
          </cell>
          <cell r="BB29">
            <v>5.1277667165699992</v>
          </cell>
          <cell r="BC29">
            <v>5.1218253100382185</v>
          </cell>
          <cell r="BD29">
            <v>5.1159206482350532</v>
          </cell>
          <cell r="BE29">
            <v>5.1100509689085314</v>
          </cell>
          <cell r="BF29">
            <v>5.1042146943416657</v>
          </cell>
          <cell r="BG29">
            <v>5.0984104155617134</v>
          </cell>
          <cell r="BH29">
            <v>5.0926368780398157</v>
          </cell>
          <cell r="BI29">
            <v>5.0868929688206732</v>
          </cell>
        </row>
        <row r="30">
          <cell r="B30">
            <v>5.2896974645206871</v>
          </cell>
          <cell r="C30">
            <v>5.3509942181268677</v>
          </cell>
          <cell r="D30">
            <v>5.3885146702645272</v>
          </cell>
          <cell r="E30">
            <v>5.4165244306998037</v>
          </cell>
          <cell r="F30">
            <v>5.4381017046063658</v>
          </cell>
          <cell r="G30">
            <v>5.4536953208620256</v>
          </cell>
          <cell r="H30">
            <v>5.4634769248220163</v>
          </cell>
          <cell r="I30">
            <v>5.4680916463712377</v>
          </cell>
          <cell r="J30">
            <v>5.4684496211889631</v>
          </cell>
          <cell r="K30">
            <v>5.4655788403371188</v>
          </cell>
          <cell r="L30">
            <v>5.4604326395189373</v>
          </cell>
          <cell r="M30">
            <v>5.4537532888175591</v>
          </cell>
          <cell r="N30">
            <v>5.4461047426833895</v>
          </cell>
          <cell r="O30">
            <v>5.4378741390574312</v>
          </cell>
          <cell r="P30">
            <v>5.4293036437043485</v>
          </cell>
          <cell r="Q30">
            <v>5.4205614795606225</v>
          </cell>
          <cell r="R30">
            <v>5.4117657364966325</v>
          </cell>
          <cell r="S30">
            <v>5.4029982971683612</v>
          </cell>
          <cell r="T30">
            <v>5.3943143652317023</v>
          </cell>
          <cell r="U30">
            <v>5.3857491350924835</v>
          </cell>
          <cell r="V30">
            <v>5.3773227087891904</v>
          </cell>
          <cell r="W30">
            <v>5.369045544095453</v>
          </cell>
          <cell r="X30">
            <v>5.3609228340521113</v>
          </cell>
          <cell r="Y30">
            <v>5.352955851412065</v>
          </cell>
          <cell r="Z30">
            <v>5.3451427327040335</v>
          </cell>
          <cell r="AA30">
            <v>5.3374791306855611</v>
          </cell>
          <cell r="AB30">
            <v>5.3299593001086611</v>
          </cell>
          <cell r="AC30">
            <v>5.3225770363752067</v>
          </cell>
          <cell r="AD30">
            <v>5.3153258266969718</v>
          </cell>
          <cell r="AE30">
            <v>5.3081989014614033</v>
          </cell>
          <cell r="AF30">
            <v>5.3011892756548971</v>
          </cell>
          <cell r="AG30">
            <v>5.2942897828719193</v>
          </cell>
          <cell r="AH30">
            <v>5.2874932108145734</v>
          </cell>
          <cell r="AI30">
            <v>5.2807928093891006</v>
          </cell>
          <cell r="AJ30">
            <v>5.2741824693042751</v>
          </cell>
          <cell r="AK30">
            <v>5.2676566163569802</v>
          </cell>
          <cell r="AL30">
            <v>5.2612101189695979</v>
          </cell>
          <cell r="AM30">
            <v>5.2548382285317548</v>
          </cell>
          <cell r="AN30">
            <v>5.2485365303019531</v>
          </cell>
          <cell r="AO30">
            <v>5.2423009016740698</v>
          </cell>
          <cell r="AP30">
            <v>5.2361274805917803</v>
          </cell>
          <cell r="AQ30">
            <v>5.2300126693813738</v>
          </cell>
          <cell r="AR30">
            <v>5.2239531327913324</v>
          </cell>
          <cell r="AS30">
            <v>5.2179457702042829</v>
          </cell>
          <cell r="AT30">
            <v>5.2119876895665174</v>
          </cell>
          <cell r="AU30">
            <v>5.2060761847211623</v>
          </cell>
          <cell r="AV30">
            <v>5.200208720488658</v>
          </cell>
          <cell r="AW30">
            <v>5.1943829459363471</v>
          </cell>
          <cell r="AX30">
            <v>5.1885966957851268</v>
          </cell>
          <cell r="AY30">
            <v>5.1828479728449199</v>
          </cell>
          <cell r="AZ30">
            <v>5.1771349315353525</v>
          </cell>
          <cell r="BA30">
            <v>5.1714558633079006</v>
          </cell>
          <cell r="BB30">
            <v>5.1658091837183546</v>
          </cell>
          <cell r="BC30">
            <v>5.1601934211927629</v>
          </cell>
          <cell r="BD30">
            <v>5.1546072184458023</v>
          </cell>
          <cell r="BE30">
            <v>5.1490493501148853</v>
          </cell>
          <cell r="BF30">
            <v>5.1435187183848106</v>
          </cell>
          <cell r="BG30">
            <v>5.1380143420422497</v>
          </cell>
          <cell r="BH30">
            <v>5.1325353465942385</v>
          </cell>
          <cell r="BI30">
            <v>5.127080955374808</v>
          </cell>
        </row>
        <row r="31">
          <cell r="B31">
            <v>5.3060212905568571</v>
          </cell>
          <cell r="C31">
            <v>5.3596793780697896</v>
          </cell>
          <cell r="D31">
            <v>5.3946188871386065</v>
          </cell>
          <cell r="E31">
            <v>5.4217792446186603</v>
          </cell>
          <cell r="F31">
            <v>5.4430918654168048</v>
          </cell>
          <cell r="G31">
            <v>5.4584988935296836</v>
          </cell>
          <cell r="H31">
            <v>5.4680128099692569</v>
          </cell>
          <cell r="I31">
            <v>5.4722993314920272</v>
          </cell>
          <cell r="J31">
            <v>5.472312321150155</v>
          </cell>
          <cell r="K31">
            <v>5.4691276442922563</v>
          </cell>
          <cell r="L31">
            <v>5.463727063947605</v>
          </cell>
          <cell r="M31">
            <v>5.456859398881071</v>
          </cell>
          <cell r="N31">
            <v>5.4490864104954921</v>
          </cell>
          <cell r="O31">
            <v>5.4407858776235329</v>
          </cell>
          <cell r="P31">
            <v>5.4321929378565486</v>
          </cell>
          <cell r="Q31">
            <v>5.4234699432268068</v>
          </cell>
          <cell r="R31">
            <v>5.4147295934290094</v>
          </cell>
          <cell r="S31">
            <v>5.406048728136267</v>
          </cell>
          <cell r="T31">
            <v>5.3974777638479017</v>
          </cell>
          <cell r="U31">
            <v>5.3890472996828818</v>
          </cell>
          <cell r="V31">
            <v>5.3807730403229979</v>
          </cell>
          <cell r="W31">
            <v>5.3726616258519515</v>
          </cell>
          <cell r="X31">
            <v>5.3647151761248493</v>
          </cell>
          <cell r="Y31">
            <v>5.3569324869050741</v>
          </cell>
          <cell r="Z31">
            <v>5.3493096946834058</v>
          </cell>
          <cell r="AA31">
            <v>5.3418408436021076</v>
          </cell>
          <cell r="AB31">
            <v>5.3345189107417283</v>
          </cell>
          <cell r="AC31">
            <v>5.327336649912418</v>
          </cell>
          <cell r="AD31">
            <v>5.3202866922459409</v>
          </cell>
          <cell r="AE31">
            <v>5.3133615666421132</v>
          </cell>
          <cell r="AF31">
            <v>5.3065537162578167</v>
          </cell>
          <cell r="AG31">
            <v>5.2998555124250704</v>
          </cell>
          <cell r="AH31">
            <v>5.2932593821628915</v>
          </cell>
          <cell r="AI31">
            <v>5.286758298611602</v>
          </cell>
          <cell r="AJ31">
            <v>5.2803459280003562</v>
          </cell>
          <cell r="AK31">
            <v>5.274016510699794</v>
          </cell>
          <cell r="AL31">
            <v>5.2677647614584986</v>
          </cell>
          <cell r="AM31">
            <v>5.2615858055764155</v>
          </cell>
          <cell r="AN31">
            <v>5.2554751262700847</v>
          </cell>
          <cell r="AO31">
            <v>5.2494285199334367</v>
          </cell>
          <cell r="AP31">
            <v>5.2434420619466717</v>
          </cell>
          <cell r="AQ31">
            <v>5.237512104961926</v>
          </cell>
          <cell r="AR31">
            <v>5.2316352708707319</v>
          </cell>
          <cell r="AS31">
            <v>5.225808421751732</v>
          </cell>
          <cell r="AT31">
            <v>5.2200286331832286</v>
          </cell>
          <cell r="AU31">
            <v>5.2142931710424651</v>
          </cell>
          <cell r="AV31">
            <v>5.2085994764915116</v>
          </cell>
          <cell r="AW31">
            <v>5.202945178400844</v>
          </cell>
          <cell r="AX31">
            <v>5.1973280927484904</v>
          </cell>
          <cell r="AY31">
            <v>5.1917462047283411</v>
          </cell>
          <cell r="AZ31">
            <v>5.1861976521603506</v>
          </cell>
          <cell r="BA31">
            <v>5.1806807108149622</v>
          </cell>
          <cell r="BB31">
            <v>5.1751937813989084</v>
          </cell>
          <cell r="BC31">
            <v>5.1697353782921134</v>
          </cell>
          <cell r="BD31">
            <v>5.1643041311472295</v>
          </cell>
          <cell r="BE31">
            <v>5.1588988010013477</v>
          </cell>
          <cell r="BF31">
            <v>5.1535182750519049</v>
          </cell>
          <cell r="BG31">
            <v>5.1481615558146787</v>
          </cell>
          <cell r="BH31">
            <v>5.1428277513510441</v>
          </cell>
          <cell r="BI31">
            <v>5.1375160664725081</v>
          </cell>
        </row>
        <row r="32">
          <cell r="B32">
            <v>5.2982210559409797</v>
          </cell>
          <cell r="C32">
            <v>5.3315708511998539</v>
          </cell>
          <cell r="D32">
            <v>5.3540658926601097</v>
          </cell>
          <cell r="E32">
            <v>5.3730295019625665</v>
          </cell>
          <cell r="F32">
            <v>5.3892627813471963</v>
          </cell>
          <cell r="G32">
            <v>5.4017304580628416</v>
          </cell>
          <cell r="H32">
            <v>5.4096505993656097</v>
          </cell>
          <cell r="I32">
            <v>5.4131566202817432</v>
          </cell>
          <cell r="J32">
            <v>5.4128815234555869</v>
          </cell>
          <cell r="K32">
            <v>5.4096959736664152</v>
          </cell>
          <cell r="L32">
            <v>5.4044610853337565</v>
          </cell>
          <cell r="M32">
            <v>5.3978571950744652</v>
          </cell>
          <cell r="N32">
            <v>5.390402825202175</v>
          </cell>
          <cell r="O32">
            <v>5.3824512871146535</v>
          </cell>
          <cell r="P32">
            <v>5.374225338159393</v>
          </cell>
          <cell r="Q32">
            <v>5.3658794687659039</v>
          </cell>
          <cell r="R32">
            <v>5.3575213272248172</v>
          </cell>
          <cell r="S32">
            <v>5.3492247313931252</v>
          </cell>
          <cell r="T32">
            <v>5.3410385714398698</v>
          </cell>
          <cell r="U32">
            <v>5.332993041768141</v>
          </cell>
          <cell r="V32">
            <v>5.3251042921239797</v>
          </cell>
          <cell r="W32">
            <v>5.3173797851538156</v>
          </cell>
          <cell r="X32">
            <v>5.3098223066065433</v>
          </cell>
          <cell r="Y32">
            <v>5.3024311305180056</v>
          </cell>
          <cell r="Z32">
            <v>5.2952027215536122</v>
          </cell>
          <cell r="AA32">
            <v>5.2881313379205626</v>
          </cell>
          <cell r="AB32">
            <v>5.2812100930214871</v>
          </cell>
          <cell r="AC32">
            <v>5.274431782066956</v>
          </cell>
          <cell r="AD32">
            <v>5.2677889906758697</v>
          </cell>
          <cell r="AE32">
            <v>5.2612741298074086</v>
          </cell>
          <cell r="AF32">
            <v>5.2548794639319478</v>
          </cell>
          <cell r="AG32">
            <v>5.2485971346824778</v>
          </cell>
          <cell r="AH32">
            <v>5.2424193087124209</v>
          </cell>
          <cell r="AI32">
            <v>5.2363386835947692</v>
          </cell>
          <cell r="AJ32">
            <v>5.2303486266931216</v>
          </cell>
          <cell r="AK32">
            <v>5.2244430706995848</v>
          </cell>
          <cell r="AL32">
            <v>5.2186164254089134</v>
          </cell>
          <cell r="AM32">
            <v>5.2128635142657664</v>
          </cell>
          <cell r="AN32">
            <v>5.2071795213326721</v>
          </cell>
          <cell r="AO32">
            <v>5.2015599462141413</v>
          </cell>
          <cell r="AP32">
            <v>5.1960005709419175</v>
          </cell>
          <cell r="AQ32">
            <v>5.1904974649638671</v>
          </cell>
          <cell r="AR32">
            <v>5.1850469793392433</v>
          </cell>
          <cell r="AS32">
            <v>5.1796457163213834</v>
          </cell>
          <cell r="AT32">
            <v>5.174290501447266</v>
          </cell>
          <cell r="AU32">
            <v>5.1689783592790111</v>
          </cell>
          <cell r="AV32">
            <v>5.1637064988407282</v>
          </cell>
          <cell r="AW32">
            <v>5.1584723299954929</v>
          </cell>
          <cell r="AX32">
            <v>5.1532734629634183</v>
          </cell>
          <cell r="AY32">
            <v>5.1481076890697954</v>
          </cell>
          <cell r="AZ32">
            <v>5.1429729629896821</v>
          </cell>
          <cell r="BA32">
            <v>5.1378673870412053</v>
          </cell>
          <cell r="BB32">
            <v>5.1327891972569573</v>
          </cell>
          <cell r="BC32">
            <v>5.127736751418027</v>
          </cell>
          <cell r="BD32">
            <v>5.1227085320777972</v>
          </cell>
          <cell r="BE32">
            <v>5.1177031643794182</v>
          </cell>
          <cell r="BF32">
            <v>5.1127194099194249</v>
          </cell>
          <cell r="BG32">
            <v>5.1077561550103194</v>
          </cell>
          <cell r="BH32">
            <v>5.1028124001114161</v>
          </cell>
          <cell r="BI32">
            <v>5.0978872503166031</v>
          </cell>
        </row>
        <row r="33">
          <cell r="B33">
            <v>5.2964436300875661</v>
          </cell>
          <cell r="C33">
            <v>5.3274947323057313</v>
          </cell>
          <cell r="D33">
            <v>5.351378998956176</v>
          </cell>
          <cell r="E33">
            <v>5.3722292478556168</v>
          </cell>
          <cell r="F33">
            <v>5.3902069843719485</v>
          </cell>
          <cell r="G33">
            <v>5.4040882320330894</v>
          </cell>
          <cell r="H33">
            <v>5.4130867383513621</v>
          </cell>
          <cell r="I33">
            <v>5.4173790006859681</v>
          </cell>
          <cell r="J33">
            <v>5.4176443783227439</v>
          </cell>
          <cell r="K33">
            <v>5.414800907835188</v>
          </cell>
          <cell r="L33">
            <v>5.4097561687806381</v>
          </cell>
          <cell r="M33">
            <v>5.4032294947730781</v>
          </cell>
          <cell r="N33">
            <v>5.3957720648436656</v>
          </cell>
          <cell r="O33">
            <v>5.3877641975233912</v>
          </cell>
          <cell r="P33">
            <v>5.3794495685115002</v>
          </cell>
          <cell r="Q33">
            <v>5.3709972083882782</v>
          </cell>
          <cell r="R33">
            <v>5.3625245691088468</v>
          </cell>
          <cell r="S33">
            <v>5.3541118513990362</v>
          </cell>
          <cell r="T33">
            <v>5.3458118077104739</v>
          </cell>
          <cell r="U33">
            <v>5.3376566042891831</v>
          </cell>
          <cell r="V33">
            <v>5.3296629830072169</v>
          </cell>
          <cell r="W33">
            <v>5.3218383323438463</v>
          </cell>
          <cell r="X33">
            <v>5.314185059746376</v>
          </cell>
          <cell r="Y33">
            <v>5.3067018204201721</v>
          </cell>
          <cell r="Z33">
            <v>5.2993842677772296</v>
          </cell>
          <cell r="AA33">
            <v>5.2922257161786019</v>
          </cell>
          <cell r="AB33">
            <v>5.2852183841348372</v>
          </cell>
          <cell r="AC33">
            <v>5.2783543079058104</v>
          </cell>
          <cell r="AD33">
            <v>5.271625429155459</v>
          </cell>
          <cell r="AE33">
            <v>5.2650236107177681</v>
          </cell>
          <cell r="AF33">
            <v>5.2585406493112803</v>
          </cell>
          <cell r="AG33">
            <v>5.2521682869854667</v>
          </cell>
          <cell r="AH33">
            <v>5.2458983665638135</v>
          </cell>
          <cell r="AI33">
            <v>5.2397233524920352</v>
          </cell>
          <cell r="AJ33">
            <v>5.2336364501539174</v>
          </cell>
          <cell r="AK33">
            <v>5.2276314834016073</v>
          </cell>
          <cell r="AL33">
            <v>5.2217027951353261</v>
          </cell>
          <cell r="AM33">
            <v>5.2158451781956225</v>
          </cell>
          <cell r="AN33">
            <v>5.210053817678701</v>
          </cell>
          <cell r="AO33">
            <v>5.2043242419074343</v>
          </cell>
          <cell r="AP33">
            <v>5.1986522863236955</v>
          </cell>
          <cell r="AQ33">
            <v>5.1930340947945117</v>
          </cell>
          <cell r="AR33">
            <v>5.1874661089515914</v>
          </cell>
          <cell r="AS33">
            <v>5.1819450356508305</v>
          </cell>
          <cell r="AT33">
            <v>5.1764678175029575</v>
          </cell>
          <cell r="AU33">
            <v>5.1710316072651112</v>
          </cell>
          <cell r="AV33">
            <v>5.1656337521462188</v>
          </cell>
          <cell r="AW33">
            <v>5.1602718065222621</v>
          </cell>
          <cell r="AX33">
            <v>5.1549435280301381</v>
          </cell>
          <cell r="AY33">
            <v>5.1496468578372907</v>
          </cell>
          <cell r="AZ33">
            <v>5.1443799026485282</v>
          </cell>
          <cell r="BA33">
            <v>5.1391409187889607</v>
          </cell>
          <cell r="BB33">
            <v>5.133928298088887</v>
          </cell>
          <cell r="BC33">
            <v>5.1287405557839483</v>
          </cell>
          <cell r="BD33">
            <v>5.1235763325677874</v>
          </cell>
          <cell r="BE33">
            <v>5.1184344087297031</v>
          </cell>
          <cell r="BF33">
            <v>5.1133136970438802</v>
          </cell>
          <cell r="BG33">
            <v>5.1082132313633908</v>
          </cell>
          <cell r="BH33">
            <v>5.1031321563592638</v>
          </cell>
          <cell r="BI33">
            <v>5.0980697182856725</v>
          </cell>
        </row>
        <row r="34">
          <cell r="B34">
            <v>5.2981582041911643</v>
          </cell>
          <cell r="C34">
            <v>5.3206966032075327</v>
          </cell>
          <cell r="D34">
            <v>5.3362641109471154</v>
          </cell>
          <cell r="E34">
            <v>5.3503436971014446</v>
          </cell>
          <cell r="F34">
            <v>5.363160207687085</v>
          </cell>
          <cell r="G34">
            <v>5.3730173493241846</v>
          </cell>
          <cell r="H34">
            <v>5.3786283994641542</v>
          </cell>
          <cell r="I34">
            <v>5.3798450140507423</v>
          </cell>
          <cell r="J34">
            <v>5.3772061126009296</v>
          </cell>
          <cell r="K34">
            <v>5.3715882802250112</v>
          </cell>
          <cell r="L34">
            <v>5.3638996211852241</v>
          </cell>
          <cell r="M34">
            <v>5.3548657765507972</v>
          </cell>
          <cell r="N34">
            <v>5.3450439359545303</v>
          </cell>
          <cell r="O34">
            <v>5.33481734872848</v>
          </cell>
          <cell r="P34">
            <v>5.3244293194715224</v>
          </cell>
          <cell r="Q34">
            <v>5.3140456010632633</v>
          </cell>
          <cell r="R34">
            <v>5.3037781804902222</v>
          </cell>
          <cell r="S34">
            <v>5.2937002138161287</v>
          </cell>
          <cell r="T34">
            <v>5.2838562448458131</v>
          </cell>
          <cell r="U34">
            <v>5.2742693581928304</v>
          </cell>
          <cell r="V34">
            <v>5.2649466631714219</v>
          </cell>
          <cell r="W34">
            <v>5.2558862845749159</v>
          </cell>
          <cell r="X34">
            <v>5.2470821667263081</v>
          </cell>
          <cell r="Y34">
            <v>5.23852515549485</v>
          </cell>
          <cell r="Z34">
            <v>5.2302036179893907</v>
          </cell>
          <cell r="AA34">
            <v>5.2221040429359729</v>
          </cell>
          <cell r="AB34">
            <v>5.2142124560270604</v>
          </cell>
          <cell r="AC34">
            <v>5.2065153827008235</v>
          </cell>
          <cell r="AD34">
            <v>5.1989998243512154</v>
          </cell>
          <cell r="AE34">
            <v>5.1916531790020075</v>
          </cell>
          <cell r="AF34">
            <v>5.1844631773342362</v>
          </cell>
          <cell r="AG34">
            <v>5.1774178324227167</v>
          </cell>
          <cell r="AH34">
            <v>5.1705055769594646</v>
          </cell>
          <cell r="AI34">
            <v>5.1637158071229781</v>
          </cell>
          <cell r="AJ34">
            <v>5.1570389652307451</v>
          </cell>
          <cell r="AK34">
            <v>5.1504663876101731</v>
          </cell>
          <cell r="AL34">
            <v>5.14399017718398</v>
          </cell>
          <cell r="AM34">
            <v>5.1376031023001323</v>
          </cell>
          <cell r="AN34">
            <v>5.1312985114209244</v>
          </cell>
          <cell r="AO34">
            <v>5.1250702606169503</v>
          </cell>
          <cell r="AP34">
            <v>5.1189126606899809</v>
          </cell>
          <cell r="AQ34">
            <v>5.1128204775358634</v>
          </cell>
          <cell r="AR34">
            <v>5.1067889129743191</v>
          </cell>
          <cell r="AS34">
            <v>5.1008135567629127</v>
          </cell>
          <cell r="AT34">
            <v>5.0948903434928461</v>
          </cell>
          <cell r="AU34">
            <v>5.0890155151386827</v>
          </cell>
          <cell r="AV34">
            <v>5.0831855971311457</v>
          </cell>
          <cell r="AW34">
            <v>5.0773974087949698</v>
          </cell>
          <cell r="AX34">
            <v>5.0716480527722085</v>
          </cell>
          <cell r="AY34">
            <v>5.0659348872792229</v>
          </cell>
          <cell r="AZ34">
            <v>5.0602555010503769</v>
          </cell>
          <cell r="BA34">
            <v>5.0546076911728441</v>
          </cell>
          <cell r="BB34">
            <v>5.0489894434306857</v>
          </cell>
          <cell r="BC34">
            <v>5.0433989154336922</v>
          </cell>
          <cell r="BD34">
            <v>5.0378344366956691</v>
          </cell>
          <cell r="BE34">
            <v>5.0322945211460706</v>
          </cell>
          <cell r="BF34">
            <v>5.0267778561455438</v>
          </cell>
          <cell r="BG34">
            <v>5.0212832875455957</v>
          </cell>
          <cell r="BH34">
            <v>5.0158098062571561</v>
          </cell>
          <cell r="BI34">
            <v>5.0103565361622975</v>
          </cell>
        </row>
        <row r="35">
          <cell r="B35">
            <v>5.2935256900216432</v>
          </cell>
          <cell r="C35">
            <v>5.3197572365420669</v>
          </cell>
          <cell r="D35">
            <v>5.3407395993376738</v>
          </cell>
          <cell r="E35">
            <v>5.3586430296241057</v>
          </cell>
          <cell r="F35">
            <v>5.3732256365423563</v>
          </cell>
          <cell r="G35">
            <v>5.3833563623028553</v>
          </cell>
          <cell r="H35">
            <v>5.3885708038655125</v>
          </cell>
          <cell r="I35">
            <v>5.3892679059221305</v>
          </cell>
          <cell r="J35">
            <v>5.3862432636333688</v>
          </cell>
          <cell r="K35">
            <v>5.3804734965536323</v>
          </cell>
          <cell r="L35">
            <v>5.3728702794721244</v>
          </cell>
          <cell r="M35">
            <v>5.3641170532226132</v>
          </cell>
          <cell r="N35">
            <v>5.354716778191646</v>
          </cell>
          <cell r="O35">
            <v>5.3449981867281418</v>
          </cell>
          <cell r="P35">
            <v>5.3351626256342373</v>
          </cell>
          <cell r="Q35">
            <v>5.3253464319122585</v>
          </cell>
          <cell r="R35">
            <v>5.3156408910585178</v>
          </cell>
          <cell r="S35">
            <v>5.3061047513705217</v>
          </cell>
          <cell r="T35">
            <v>5.2967727863677219</v>
          </cell>
          <cell r="U35">
            <v>5.2876617886514046</v>
          </cell>
          <cell r="V35">
            <v>5.2787753486618056</v>
          </cell>
          <cell r="W35">
            <v>5.2701102539669193</v>
          </cell>
          <cell r="X35">
            <v>5.2616602922916647</v>
          </cell>
          <cell r="Y35">
            <v>5.2534170026016342</v>
          </cell>
          <cell r="Z35">
            <v>5.2453701249211448</v>
          </cell>
          <cell r="AA35">
            <v>5.2375080851632303</v>
          </cell>
          <cell r="AB35">
            <v>5.2298191518436923</v>
          </cell>
          <cell r="AC35">
            <v>5.2222920703168523</v>
          </cell>
          <cell r="AD35">
            <v>5.2149160118396027</v>
          </cell>
          <cell r="AE35">
            <v>5.2076805025876416</v>
          </cell>
          <cell r="AF35">
            <v>5.2005753664105043</v>
          </cell>
          <cell r="AG35">
            <v>5.1935906816418438</v>
          </cell>
          <cell r="AH35">
            <v>5.1867169380415294</v>
          </cell>
          <cell r="AI35">
            <v>5.1799454982984852</v>
          </cell>
          <cell r="AJ35">
            <v>5.1732686195794733</v>
          </cell>
          <cell r="AK35">
            <v>5.1666793033592384</v>
          </cell>
          <cell r="AL35">
            <v>5.160171181212502</v>
          </cell>
          <cell r="AM35">
            <v>5.1537384314739647</v>
          </cell>
          <cell r="AN35">
            <v>5.1473757091408849</v>
          </cell>
          <cell r="AO35">
            <v>5.1410780863162238</v>
          </cell>
          <cell r="AP35">
            <v>5.1348410094822059</v>
          </cell>
          <cell r="AQ35">
            <v>5.1286602930928122</v>
          </cell>
          <cell r="AR35">
            <v>5.1225320957984604</v>
          </cell>
          <cell r="AS35">
            <v>5.1164528819378949</v>
          </cell>
          <cell r="AT35">
            <v>5.1104193875728177</v>
          </cell>
          <cell r="AU35">
            <v>5.10442859103701</v>
          </cell>
          <cell r="AV35">
            <v>5.0984776975301909</v>
          </cell>
          <cell r="AW35">
            <v>5.0925641525664238</v>
          </cell>
          <cell r="AX35">
            <v>5.0866856318695541</v>
          </cell>
          <cell r="AY35">
            <v>5.0808400186345679</v>
          </cell>
          <cell r="AZ35">
            <v>5.075025383187282</v>
          </cell>
          <cell r="BA35">
            <v>5.0692399649909987</v>
          </cell>
          <cell r="BB35">
            <v>5.0634821566901325</v>
          </cell>
          <cell r="BC35">
            <v>5.0577504908684592</v>
          </cell>
          <cell r="BD35">
            <v>5.0520436446264343</v>
          </cell>
          <cell r="BE35">
            <v>5.0463604513658558</v>
          </cell>
          <cell r="BF35">
            <v>5.0406998906306741</v>
          </cell>
          <cell r="BG35">
            <v>5.035061075510133</v>
          </cell>
          <cell r="BH35">
            <v>5.0294432413213661</v>
          </cell>
          <cell r="BI35">
            <v>5.0238457354237491</v>
          </cell>
        </row>
        <row r="36">
          <cell r="B36">
            <v>5.2931534190618219</v>
          </cell>
          <cell r="C36">
            <v>5.3237033331320749</v>
          </cell>
          <cell r="D36">
            <v>5.3466354161350713</v>
          </cell>
          <cell r="E36">
            <v>5.3662239363216679</v>
          </cell>
          <cell r="F36">
            <v>5.3824396954540488</v>
          </cell>
          <cell r="G36">
            <v>5.3940788206639798</v>
          </cell>
          <cell r="H36">
            <v>5.4005977632060826</v>
          </cell>
          <cell r="I36">
            <v>5.4023590107465056</v>
          </cell>
          <cell r="J36">
            <v>5.4001716223941321</v>
          </cell>
          <cell r="K36">
            <v>5.3950501492771901</v>
          </cell>
          <cell r="L36">
            <v>5.3879348982868276</v>
          </cell>
          <cell r="M36">
            <v>5.3795306992784857</v>
          </cell>
          <cell r="N36">
            <v>5.3703639351307979</v>
          </cell>
          <cell r="O36">
            <v>5.3607865536577766</v>
          </cell>
          <cell r="P36">
            <v>5.3510222802299596</v>
          </cell>
          <cell r="Q36">
            <v>5.341224716741368</v>
          </cell>
          <cell r="R36">
            <v>5.3314985319927253</v>
          </cell>
          <cell r="S36">
            <v>5.3219130542173714</v>
          </cell>
          <cell r="T36">
            <v>5.3125115712305773</v>
          </cell>
          <cell r="U36">
            <v>5.3033178408601351</v>
          </cell>
          <cell r="V36">
            <v>5.2943412452545235</v>
          </cell>
          <cell r="W36">
            <v>5.2855832127594891</v>
          </cell>
          <cell r="X36">
            <v>5.2770409543226755</v>
          </cell>
          <cell r="Y36">
            <v>5.2687084396792701</v>
          </cell>
          <cell r="Z36">
            <v>5.2605770457457641</v>
          </cell>
          <cell r="AA36">
            <v>5.2526362297985107</v>
          </cell>
          <cell r="AB36">
            <v>5.2448749365866965</v>
          </cell>
          <cell r="AC36">
            <v>5.2372823389496501</v>
          </cell>
          <cell r="AD36">
            <v>5.2298478284103265</v>
          </cell>
          <cell r="AE36">
            <v>5.222560978728036</v>
          </cell>
          <cell r="AF36">
            <v>5.2154115165054762</v>
          </cell>
          <cell r="AG36">
            <v>5.2083893018519696</v>
          </cell>
          <cell r="AH36">
            <v>5.201484534672125</v>
          </cell>
          <cell r="AI36">
            <v>5.1946882655715321</v>
          </cell>
          <cell r="AJ36">
            <v>5.1879924226556806</v>
          </cell>
          <cell r="AK36">
            <v>5.1813896787554254</v>
          </cell>
          <cell r="AL36">
            <v>5.1748733452006919</v>
          </cell>
          <cell r="AM36">
            <v>5.1684372876525009</v>
          </cell>
          <cell r="AN36">
            <v>5.1620758550348835</v>
          </cell>
          <cell r="AO36">
            <v>5.1557838191750385</v>
          </cell>
          <cell r="AP36">
            <v>5.1495563342354407</v>
          </cell>
          <cell r="AQ36">
            <v>5.1433889387415261</v>
          </cell>
          <cell r="AR36">
            <v>5.1372775329042799</v>
          </cell>
          <cell r="AS36">
            <v>5.1312183381323262</v>
          </cell>
          <cell r="AT36">
            <v>5.1252078613432941</v>
          </cell>
          <cell r="AU36">
            <v>5.1192428640425298</v>
          </cell>
          <cell r="AV36">
            <v>5.1133203463190515</v>
          </cell>
          <cell r="AW36">
            <v>5.1074375586292531</v>
          </cell>
          <cell r="AX36">
            <v>5.1015919894600765</v>
          </cell>
          <cell r="AY36">
            <v>5.0957813417454352</v>
          </cell>
          <cell r="AZ36">
            <v>5.0900035118420091</v>
          </cell>
          <cell r="BA36">
            <v>5.08425657093089</v>
          </cell>
          <cell r="BB36">
            <v>5.0785387485247249</v>
          </cell>
          <cell r="BC36">
            <v>5.0728484189148295</v>
          </cell>
          <cell r="BD36">
            <v>5.0671841062530394</v>
          </cell>
          <cell r="BE36">
            <v>5.061544495389219</v>
          </cell>
          <cell r="BF36">
            <v>5.055928420961747</v>
          </cell>
          <cell r="BG36">
            <v>5.050334854485409</v>
          </cell>
          <cell r="BH36">
            <v>5.0447628927516854</v>
          </cell>
          <cell r="BI36">
            <v>5.0392117473890439</v>
          </cell>
        </row>
        <row r="37">
          <cell r="B37">
            <v>5.3011279833987004</v>
          </cell>
          <cell r="C37">
            <v>5.3335295252561545</v>
          </cell>
          <cell r="D37">
            <v>5.3575290974928347</v>
          </cell>
          <cell r="E37">
            <v>5.3783089684649221</v>
          </cell>
          <cell r="F37">
            <v>5.3958685273939011</v>
          </cell>
          <cell r="G37">
            <v>5.4087719022577216</v>
          </cell>
          <cell r="H37">
            <v>5.4163062858162379</v>
          </cell>
          <cell r="I37">
            <v>5.418770333272378</v>
          </cell>
          <cell r="J37">
            <v>5.4169920480321201</v>
          </cell>
          <cell r="K37">
            <v>5.4120472325553282</v>
          </cell>
          <cell r="L37">
            <v>5.4049431390382363</v>
          </cell>
          <cell r="M37">
            <v>5.3964378049439121</v>
          </cell>
          <cell r="N37">
            <v>5.3871000130484106</v>
          </cell>
          <cell r="O37">
            <v>5.3773097727953898</v>
          </cell>
          <cell r="P37">
            <v>5.3673088165817147</v>
          </cell>
          <cell r="Q37">
            <v>5.3572631855610036</v>
          </cell>
          <cell r="R37">
            <v>5.3472860250252348</v>
          </cell>
          <cell r="S37">
            <v>5.3374522776996605</v>
          </cell>
          <cell r="T37">
            <v>5.3278087370498293</v>
          </cell>
          <cell r="U37">
            <v>5.318381085290067</v>
          </cell>
          <cell r="V37">
            <v>5.3091795432749223</v>
          </cell>
          <cell r="W37">
            <v>5.3002059607188139</v>
          </cell>
          <cell r="X37">
            <v>5.2914577532041092</v>
          </cell>
          <cell r="Y37">
            <v>5.2829289177530017</v>
          </cell>
          <cell r="Z37">
            <v>5.2746107168297636</v>
          </cell>
          <cell r="AA37">
            <v>5.2664924083184816</v>
          </cell>
          <cell r="AB37">
            <v>5.2585627446712149</v>
          </cell>
          <cell r="AC37">
            <v>5.250810710583198</v>
          </cell>
          <cell r="AD37">
            <v>5.2432255094913369</v>
          </cell>
          <cell r="AE37">
            <v>5.2357965271172535</v>
          </cell>
          <cell r="AF37">
            <v>5.2285133020665322</v>
          </cell>
          <cell r="AG37">
            <v>5.2213655076278798</v>
          </cell>
          <cell r="AH37">
            <v>5.2143431739042683</v>
          </cell>
          <cell r="AI37">
            <v>5.2074371925967098</v>
          </cell>
          <cell r="AJ37">
            <v>5.200639330691307</v>
          </cell>
          <cell r="AK37">
            <v>5.1939421020633754</v>
          </cell>
          <cell r="AL37">
            <v>5.1873386632439642</v>
          </cell>
          <cell r="AM37">
            <v>5.1808227287804121</v>
          </cell>
          <cell r="AN37">
            <v>5.1743884996957954</v>
          </cell>
          <cell r="AO37">
            <v>5.1680306027484049</v>
          </cell>
          <cell r="AP37">
            <v>5.1617440504631693</v>
          </cell>
          <cell r="AQ37">
            <v>5.1555242428338159</v>
          </cell>
          <cell r="AR37">
            <v>5.1493669427585225</v>
          </cell>
          <cell r="AS37">
            <v>5.1432682352957899</v>
          </cell>
          <cell r="AT37">
            <v>5.1372244918688459</v>
          </cell>
          <cell r="AU37">
            <v>5.1312323392824677</v>
          </cell>
          <cell r="AV37">
            <v>5.1252886441093022</v>
          </cell>
          <cell r="AW37">
            <v>5.1193905230689083</v>
          </cell>
          <cell r="AX37">
            <v>5.1135353293177888</v>
          </cell>
          <cell r="AY37">
            <v>5.1077206289702977</v>
          </cell>
          <cell r="AZ37">
            <v>5.1019441802204231</v>
          </cell>
          <cell r="BA37">
            <v>5.0962039148725902</v>
          </cell>
          <cell r="BB37">
            <v>5.0904979219633155</v>
          </cell>
          <cell r="BC37">
            <v>5.0848244344455384</v>
          </cell>
          <cell r="BD37">
            <v>5.0791818345267785</v>
          </cell>
          <cell r="BE37">
            <v>5.073568663090998</v>
          </cell>
          <cell r="BF37">
            <v>5.0679836085137993</v>
          </cell>
          <cell r="BG37">
            <v>5.0624254939478499</v>
          </cell>
          <cell r="BH37">
            <v>5.0568932659010946</v>
          </cell>
          <cell r="BI37">
            <v>5.0513859839571529</v>
          </cell>
        </row>
        <row r="38">
          <cell r="B38">
            <v>5.2930588051532546</v>
          </cell>
          <cell r="C38">
            <v>5.3236180162557556</v>
          </cell>
          <cell r="D38">
            <v>5.3479273016064983</v>
          </cell>
          <cell r="E38">
            <v>5.3684547855159854</v>
          </cell>
          <cell r="F38">
            <v>5.3849758125988112</v>
          </cell>
          <cell r="G38">
            <v>5.3964580545637197</v>
          </cell>
          <cell r="H38">
            <v>5.4025652557140003</v>
          </cell>
          <cell r="I38">
            <v>5.4037744368347385</v>
          </cell>
          <cell r="J38">
            <v>5.400975585714014</v>
          </cell>
          <cell r="K38">
            <v>5.3952467019991746</v>
          </cell>
          <cell r="L38">
            <v>5.3875662735372627</v>
          </cell>
          <cell r="M38">
            <v>5.3786588251356404</v>
          </cell>
          <cell r="N38">
            <v>5.3690613339031392</v>
          </cell>
          <cell r="O38">
            <v>5.3591188097496429</v>
          </cell>
          <cell r="P38">
            <v>5.3490435174666402</v>
          </cell>
          <cell r="Q38">
            <v>5.338979645251186</v>
          </cell>
          <cell r="R38">
            <v>5.3290238641581951</v>
          </cell>
          <cell r="S38">
            <v>5.3192385273065907</v>
          </cell>
          <cell r="T38">
            <v>5.3096607009150967</v>
          </cell>
          <cell r="U38">
            <v>5.3003084872813835</v>
          </cell>
          <cell r="V38">
            <v>5.2911862548934767</v>
          </cell>
          <cell r="W38">
            <v>5.2822915259234104</v>
          </cell>
          <cell r="X38">
            <v>5.2736185386102568</v>
          </cell>
          <cell r="Y38">
            <v>5.2651590112638624</v>
          </cell>
          <cell r="Z38">
            <v>5.2569026466990971</v>
          </cell>
          <cell r="AA38">
            <v>5.2488377269771904</v>
          </cell>
          <cell r="AB38">
            <v>5.2409524280406083</v>
          </cell>
          <cell r="AC38">
            <v>5.233235399824264</v>
          </cell>
          <cell r="AD38">
            <v>5.2256757048907652</v>
          </cell>
          <cell r="AE38">
            <v>5.2182627496591207</v>
          </cell>
          <cell r="AF38">
            <v>5.2109862289440487</v>
          </cell>
          <cell r="AG38">
            <v>5.2038360876647145</v>
          </cell>
          <cell r="AH38">
            <v>5.1968027322595374</v>
          </cell>
          <cell r="AI38">
            <v>5.1898774945763799</v>
          </cell>
          <cell r="AJ38">
            <v>5.1830526120160592</v>
          </cell>
          <cell r="AK38">
            <v>5.1763210663963637</v>
          </cell>
          <cell r="AL38">
            <v>5.1696764690452968</v>
          </cell>
          <cell r="AM38">
            <v>5.1631129776742091</v>
          </cell>
          <cell r="AN38">
            <v>5.1566252263286554</v>
          </cell>
          <cell r="AO38">
            <v>5.1502082659176613</v>
          </cell>
          <cell r="AP38">
            <v>5.1438575229574228</v>
          </cell>
          <cell r="AQ38">
            <v>5.1375687901209535</v>
          </cell>
          <cell r="AR38">
            <v>5.1313381977501473</v>
          </cell>
          <cell r="AS38">
            <v>5.1251621757773451</v>
          </cell>
          <cell r="AT38">
            <v>5.1190374204375164</v>
          </cell>
          <cell r="AU38">
            <v>5.1129608654965892</v>
          </cell>
          <cell r="AV38">
            <v>5.106929668624737</v>
          </cell>
          <cell r="AW38">
            <v>5.10094122106673</v>
          </cell>
          <cell r="AX38">
            <v>5.0949931340184698</v>
          </cell>
          <cell r="AY38">
            <v>5.0890832167495281</v>
          </cell>
          <cell r="AZ38">
            <v>5.0832094571841635</v>
          </cell>
          <cell r="BA38">
            <v>5.0773700047229902</v>
          </cell>
          <cell r="BB38">
            <v>5.0715631550093523</v>
          </cell>
          <cell r="BC38">
            <v>5.0657873377183815</v>
          </cell>
          <cell r="BD38">
            <v>5.0600411221629731</v>
          </cell>
          <cell r="BE38">
            <v>5.0543232252630261</v>
          </cell>
          <cell r="BF38">
            <v>5.048632500837825</v>
          </cell>
          <cell r="BG38">
            <v>5.0429679278044084</v>
          </cell>
          <cell r="BH38">
            <v>5.0373285995760693</v>
          </cell>
          <cell r="BI38">
            <v>5.0317137145209943</v>
          </cell>
        </row>
        <row r="39">
          <cell r="B39">
            <v>5.2901799787322545</v>
          </cell>
          <cell r="C39">
            <v>5.3278776015493952</v>
          </cell>
          <cell r="D39">
            <v>5.3529473336023452</v>
          </cell>
          <cell r="E39">
            <v>5.3733886750764484</v>
          </cell>
          <cell r="F39">
            <v>5.3899902163799434</v>
          </cell>
          <cell r="G39">
            <v>5.4019696198122826</v>
          </cell>
          <cell r="H39">
            <v>5.4089803593876589</v>
          </cell>
          <cell r="I39">
            <v>5.4113975573325783</v>
          </cell>
          <cell r="J39">
            <v>5.4100180503880519</v>
          </cell>
          <cell r="K39">
            <v>5.4058345138735584</v>
          </cell>
          <cell r="L39">
            <v>5.3997474553981872</v>
          </cell>
          <cell r="M39">
            <v>5.3924248204102776</v>
          </cell>
          <cell r="N39">
            <v>5.3843666625702191</v>
          </cell>
          <cell r="O39">
            <v>5.3758975873716599</v>
          </cell>
          <cell r="P39">
            <v>5.3672206752473635</v>
          </cell>
          <cell r="Q39">
            <v>5.3584759253680208</v>
          </cell>
          <cell r="R39">
            <v>5.349759219447308</v>
          </cell>
          <cell r="S39">
            <v>5.3411345765910463</v>
          </cell>
          <cell r="T39">
            <v>5.3326425381940084</v>
          </cell>
          <cell r="U39">
            <v>5.3243060389593682</v>
          </cell>
          <cell r="V39">
            <v>5.3161352130051629</v>
          </cell>
          <cell r="W39">
            <v>5.3081332776780883</v>
          </cell>
          <cell r="X39">
            <v>5.3002995606544632</v>
          </cell>
          <cell r="Y39">
            <v>5.2926303621018054</v>
          </cell>
          <cell r="Z39">
            <v>5.2851195608232011</v>
          </cell>
          <cell r="AA39">
            <v>5.2777592862834197</v>
          </cell>
          <cell r="AB39">
            <v>5.2705412061472039</v>
          </cell>
          <cell r="AC39">
            <v>5.2634570867057757</v>
          </cell>
          <cell r="AD39">
            <v>5.2564987911314924</v>
          </cell>
          <cell r="AE39">
            <v>5.2496582633309838</v>
          </cell>
          <cell r="AF39">
            <v>5.2429275149234984</v>
          </cell>
          <cell r="AG39">
            <v>5.2362986223388441</v>
          </cell>
          <cell r="AH39">
            <v>5.2297639630525596</v>
          </cell>
          <cell r="AI39">
            <v>5.2233166587615836</v>
          </cell>
          <cell r="AJ39">
            <v>5.2169505598267518</v>
          </cell>
          <cell r="AK39">
            <v>5.2106601022337777</v>
          </cell>
          <cell r="AL39">
            <v>5.2044402128656477</v>
          </cell>
          <cell r="AM39">
            <v>5.1982862446354057</v>
          </cell>
          <cell r="AN39">
            <v>5.1921939218669166</v>
          </cell>
          <cell r="AO39">
            <v>5.1861592939368917</v>
          </cell>
          <cell r="AP39">
            <v>5.1801787029747759</v>
          </cell>
          <cell r="AQ39">
            <v>5.1742487739911578</v>
          </cell>
          <cell r="AR39">
            <v>5.168366391246261</v>
          </cell>
          <cell r="AS39">
            <v>5.1625286689540095</v>
          </cell>
          <cell r="AT39">
            <v>5.1567329257316272</v>
          </cell>
          <cell r="AU39">
            <v>5.1509766625828961</v>
          </cell>
          <cell r="AV39">
            <v>5.1452575547783734</v>
          </cell>
          <cell r="AW39">
            <v>5.1395734633397483</v>
          </cell>
          <cell r="AX39">
            <v>5.1339224245717698</v>
          </cell>
          <cell r="AY39">
            <v>5.1283026326135692</v>
          </cell>
          <cell r="AZ39">
            <v>5.12271242396469</v>
          </cell>
          <cell r="BA39">
            <v>5.1171502637965913</v>
          </cell>
          <cell r="BB39">
            <v>5.1116147338137887</v>
          </cell>
          <cell r="BC39">
            <v>5.1061045230116786</v>
          </cell>
          <cell r="BD39">
            <v>5.1006184366566103</v>
          </cell>
          <cell r="BE39">
            <v>5.0951554059237818</v>
          </cell>
          <cell r="BF39">
            <v>5.0897144788510849</v>
          </cell>
          <cell r="BG39">
            <v>5.0842948102647387</v>
          </cell>
          <cell r="BH39">
            <v>5.0788956527294289</v>
          </cell>
          <cell r="BI39">
            <v>5.0735163484034365</v>
          </cell>
        </row>
        <row r="40">
          <cell r="B40">
            <v>5.2933579007480338</v>
          </cell>
          <cell r="C40">
            <v>5.3289268499360212</v>
          </cell>
          <cell r="D40">
            <v>5.3522504315472021</v>
          </cell>
          <cell r="E40">
            <v>5.3714550738612452</v>
          </cell>
          <cell r="F40">
            <v>5.3872066502985696</v>
          </cell>
          <cell r="G40">
            <v>5.3984131120129861</v>
          </cell>
          <cell r="H40">
            <v>5.4046057720325296</v>
          </cell>
          <cell r="I40">
            <v>5.4061354524051293</v>
          </cell>
          <cell r="J40">
            <v>5.4038253284243813</v>
          </cell>
          <cell r="K40">
            <v>5.3987130964867598</v>
          </cell>
          <cell r="L40">
            <v>5.3917129407762827</v>
          </cell>
          <cell r="M40">
            <v>5.3834979491376327</v>
          </cell>
          <cell r="N40">
            <v>5.3745792459847586</v>
          </cell>
          <cell r="O40">
            <v>5.3652831084027222</v>
          </cell>
          <cell r="P40">
            <v>5.355809740587814</v>
          </cell>
          <cell r="Q40">
            <v>5.3462968333050975</v>
          </cell>
          <cell r="R40">
            <v>5.3368382738076763</v>
          </cell>
          <cell r="S40">
            <v>5.3274963134789095</v>
          </cell>
          <cell r="T40">
            <v>5.3183098930612926</v>
          </cell>
          <cell r="U40">
            <v>5.309300475365121</v>
          </cell>
          <cell r="V40">
            <v>5.3004769902128901</v>
          </cell>
          <cell r="W40">
            <v>5.2918416560652046</v>
          </cell>
          <cell r="X40">
            <v>5.2833926611954283</v>
          </cell>
          <cell r="Y40">
            <v>5.2751250308836655</v>
          </cell>
          <cell r="Z40">
            <v>5.2670312622890973</v>
          </cell>
          <cell r="AA40">
            <v>5.2591021201345081</v>
          </cell>
          <cell r="AB40">
            <v>5.251328090193577</v>
          </cell>
          <cell r="AC40">
            <v>5.2436998791509026</v>
          </cell>
          <cell r="AD40">
            <v>5.2362083859043231</v>
          </cell>
          <cell r="AE40">
            <v>5.2288446695293676</v>
          </cell>
          <cell r="AF40">
            <v>5.2215999234441641</v>
          </cell>
          <cell r="AG40">
            <v>5.2144654678707969</v>
          </cell>
          <cell r="AH40">
            <v>5.2074330259319712</v>
          </cell>
          <cell r="AI40">
            <v>5.2004951342938579</v>
          </cell>
          <cell r="AJ40">
            <v>5.1936450981841951</v>
          </cell>
          <cell r="AK40">
            <v>5.1868768683775057</v>
          </cell>
          <cell r="AL40">
            <v>5.1801849491507639</v>
          </cell>
          <cell r="AM40">
            <v>5.1735643254051507</v>
          </cell>
          <cell r="AN40">
            <v>5.1670104010475555</v>
          </cell>
          <cell r="AO40">
            <v>5.1605189468145527</v>
          </cell>
          <cell r="AP40">
            <v>5.1540860675447053</v>
          </cell>
          <cell r="AQ40">
            <v>5.1477081948727088</v>
          </cell>
          <cell r="AR40">
            <v>5.1413820588104784</v>
          </cell>
          <cell r="AS40">
            <v>5.135104653938634</v>
          </cell>
          <cell r="AT40">
            <v>5.1288732100099654</v>
          </cell>
          <cell r="AU40">
            <v>5.1226851667630937</v>
          </cell>
          <cell r="AV40">
            <v>5.1165381649094508</v>
          </cell>
          <cell r="AW40">
            <v>5.1104300531789741</v>
          </cell>
          <cell r="AX40">
            <v>5.1043588734013845</v>
          </cell>
          <cell r="AY40">
            <v>5.0983228412243147</v>
          </cell>
          <cell r="AZ40">
            <v>5.0923203290723338</v>
          </cell>
          <cell r="BA40">
            <v>5.0863498510722449</v>
          </cell>
          <cell r="BB40">
            <v>5.0804100496849722</v>
          </cell>
          <cell r="BC40">
            <v>5.0744996859202818</v>
          </cell>
          <cell r="BD40">
            <v>5.0686176475975842</v>
          </cell>
          <cell r="BE40">
            <v>5.0627629544001085</v>
          </cell>
          <cell r="BF40">
            <v>5.0569347475292554</v>
          </cell>
          <cell r="BG40">
            <v>5.0511322792288791</v>
          </cell>
          <cell r="BH40">
            <v>5.045354903374923</v>
          </cell>
          <cell r="BI40">
            <v>5.039602067006073</v>
          </cell>
        </row>
        <row r="41">
          <cell r="B41">
            <v>5.2945232734549661</v>
          </cell>
          <cell r="C41">
            <v>5.3230282406963116</v>
          </cell>
          <cell r="D41">
            <v>5.3442342172629722</v>
          </cell>
          <cell r="E41">
            <v>5.3634543932711258</v>
          </cell>
          <cell r="F41">
            <v>5.3805335058787671</v>
          </cell>
          <cell r="G41">
            <v>5.3939527004779864</v>
          </cell>
          <cell r="H41">
            <v>5.4028951926815045</v>
          </cell>
          <cell r="I41">
            <v>5.4073801524732827</v>
          </cell>
          <cell r="J41">
            <v>5.4079454761742118</v>
          </cell>
          <cell r="K41">
            <v>5.4053817259824646</v>
          </cell>
          <cell r="L41">
            <v>5.4004494241758847</v>
          </cell>
          <cell r="M41">
            <v>5.3937535402072125</v>
          </cell>
          <cell r="N41">
            <v>5.3857896006533075</v>
          </cell>
          <cell r="O41">
            <v>5.376941101070952</v>
          </cell>
          <cell r="P41">
            <v>5.3674852850715684</v>
          </cell>
          <cell r="Q41">
            <v>5.3576249510413936</v>
          </cell>
          <cell r="R41">
            <v>5.3475103498911825</v>
          </cell>
          <cell r="S41">
            <v>5.3372537815771874</v>
          </cell>
          <cell r="T41">
            <v>5.3269395821944459</v>
          </cell>
          <cell r="U41">
            <v>5.3166311149420835</v>
          </cell>
          <cell r="V41">
            <v>5.3063757636699584</v>
          </cell>
          <cell r="W41">
            <v>5.2962085645489516</v>
          </cell>
          <cell r="X41">
            <v>5.2861548903490059</v>
          </cell>
          <cell r="Y41">
            <v>5.2762324636476503</v>
          </cell>
          <cell r="Z41">
            <v>5.2664529245943772</v>
          </cell>
          <cell r="AA41">
            <v>5.2568236609994505</v>
          </cell>
          <cell r="AB41">
            <v>5.2473495033971904</v>
          </cell>
          <cell r="AC41">
            <v>5.2380333070620031</v>
          </cell>
          <cell r="AD41">
            <v>5.2288762926172749</v>
          </cell>
          <cell r="AE41">
            <v>5.2198783184772051</v>
          </cell>
          <cell r="AF41">
            <v>5.2110381005579729</v>
          </cell>
          <cell r="AG41">
            <v>5.2023533907930437</v>
          </cell>
          <cell r="AH41">
            <v>5.1938211231911655</v>
          </cell>
          <cell r="AI41">
            <v>5.1854375365271386</v>
          </cell>
          <cell r="AJ41">
            <v>5.177198395734111</v>
          </cell>
          <cell r="AK41">
            <v>5.1690993626690753</v>
          </cell>
          <cell r="AL41">
            <v>5.1611360929689383</v>
          </cell>
          <cell r="AM41">
            <v>5.1533042375506</v>
          </cell>
          <cell r="AN41">
            <v>5.1455994432160814</v>
          </cell>
          <cell r="AO41">
            <v>5.1380173537211622</v>
          </cell>
          <cell r="AP41">
            <v>5.1305536383706611</v>
          </cell>
          <cell r="AQ41">
            <v>5.1232040597712167</v>
          </cell>
          <cell r="AR41">
            <v>5.1159644823081152</v>
          </cell>
          <cell r="AS41">
            <v>5.1088308607389896</v>
          </cell>
          <cell r="AT41">
            <v>5.1017992301524346</v>
          </cell>
          <cell r="AU41">
            <v>5.0948656985413825</v>
          </cell>
          <cell r="AV41">
            <v>5.0880264794110621</v>
          </cell>
          <cell r="AW41">
            <v>5.0812779595242947</v>
          </cell>
          <cell r="AX41">
            <v>5.0746166975749105</v>
          </cell>
          <cell r="AY41">
            <v>5.0680394070482535</v>
          </cell>
          <cell r="AZ41">
            <v>5.0615429410455341</v>
          </cell>
          <cell r="BA41">
            <v>5.0551242788592434</v>
          </cell>
          <cell r="BB41">
            <v>5.048780514068655</v>
          </cell>
          <cell r="BC41">
            <v>5.0425088503890931</v>
          </cell>
          <cell r="BD41">
            <v>5.0363066448732612</v>
          </cell>
          <cell r="BE41">
            <v>5.0301714368020258</v>
          </cell>
          <cell r="BF41">
            <v>5.0241009345680352</v>
          </cell>
          <cell r="BG41">
            <v>5.0180930010971139</v>
          </cell>
          <cell r="BH41">
            <v>5.0121456407522311</v>
          </cell>
          <cell r="BI41">
            <v>5.0062569875470437</v>
          </cell>
        </row>
        <row r="42">
          <cell r="B42">
            <v>5.2984144162179003</v>
          </cell>
          <cell r="C42">
            <v>5.3243471267127571</v>
          </cell>
          <cell r="D42">
            <v>5.341780504240516</v>
          </cell>
          <cell r="E42">
            <v>5.3579770025189069</v>
          </cell>
          <cell r="F42">
            <v>5.3728256740236011</v>
          </cell>
          <cell r="G42">
            <v>5.3843427432408726</v>
          </cell>
          <cell r="H42">
            <v>5.391437148941554</v>
          </cell>
          <cell r="I42">
            <v>5.3940359667527913</v>
          </cell>
          <cell r="J42">
            <v>5.392674692625528</v>
          </cell>
          <cell r="K42">
            <v>5.3881816425108875</v>
          </cell>
          <cell r="L42">
            <v>5.3813520526256324</v>
          </cell>
          <cell r="M42">
            <v>5.3728216491231136</v>
          </cell>
          <cell r="N42">
            <v>5.363118121005507</v>
          </cell>
          <cell r="O42">
            <v>5.3526535797782762</v>
          </cell>
          <cell r="P42">
            <v>5.3417230597419083</v>
          </cell>
          <cell r="Q42">
            <v>5.3305381930610984</v>
          </cell>
          <cell r="R42">
            <v>5.3192517403028479</v>
          </cell>
          <cell r="S42">
            <v>5.3079739436580358</v>
          </cell>
          <cell r="T42">
            <v>5.2967837159877735</v>
          </cell>
          <cell r="U42">
            <v>5.285736476302989</v>
          </cell>
          <cell r="V42">
            <v>5.2748700505764621</v>
          </cell>
          <cell r="W42">
            <v>5.2642096656936932</v>
          </cell>
          <cell r="X42">
            <v>5.2537710409122349</v>
          </cell>
          <cell r="Y42">
            <v>5.243562374418266</v>
          </cell>
          <cell r="Z42">
            <v>5.2335859079800962</v>
          </cell>
          <cell r="AA42">
            <v>5.2238400236077913</v>
          </cell>
          <cell r="AB42">
            <v>5.2143211757640699</v>
          </cell>
          <cell r="AC42">
            <v>5.2050243895592159</v>
          </cell>
          <cell r="AD42">
            <v>5.1959435072175246</v>
          </cell>
          <cell r="AE42">
            <v>5.1870713852249732</v>
          </cell>
          <cell r="AF42">
            <v>5.178400053319268</v>
          </cell>
          <cell r="AG42">
            <v>5.1699208578875657</v>
          </cell>
          <cell r="AH42">
            <v>5.1616248141725638</v>
          </cell>
          <cell r="AI42">
            <v>5.1535029991653856</v>
          </cell>
          <cell r="AJ42">
            <v>5.1455466704913899</v>
          </cell>
          <cell r="AK42">
            <v>5.1377474278464774</v>
          </cell>
          <cell r="AL42">
            <v>5.1300972136456258</v>
          </cell>
          <cell r="AM42">
            <v>5.1225882682327581</v>
          </cell>
          <cell r="AN42">
            <v>5.1152130916847449</v>
          </cell>
          <cell r="AO42">
            <v>5.1079644126882497</v>
          </cell>
          <cell r="AP42">
            <v>5.1008352191902624</v>
          </cell>
          <cell r="AQ42">
            <v>5.0938188638107835</v>
          </cell>
          <cell r="AR42">
            <v>5.0869090558217467</v>
          </cell>
          <cell r="AS42">
            <v>5.0800998208425776</v>
          </cell>
          <cell r="AT42">
            <v>5.0733854656904658</v>
          </cell>
          <cell r="AU42">
            <v>5.0667605495784596</v>
          </cell>
          <cell r="AV42">
            <v>5.0602199051568419</v>
          </cell>
          <cell r="AW42">
            <v>5.0537586968530936</v>
          </cell>
          <cell r="AX42">
            <v>5.047372403609736</v>
          </cell>
          <cell r="AY42">
            <v>5.0410567874712502</v>
          </cell>
          <cell r="AZ42">
            <v>5.0348078658289825</v>
          </cell>
          <cell r="BA42">
            <v>5.0286218868685681</v>
          </cell>
          <cell r="BB42">
            <v>5.0224953077981258</v>
          </cell>
          <cell r="BC42">
            <v>5.0164247831076327</v>
          </cell>
          <cell r="BD42">
            <v>5.0104072041443644</v>
          </cell>
          <cell r="BE42">
            <v>5.0044397207744078</v>
          </cell>
          <cell r="BF42">
            <v>4.9985197213030768</v>
          </cell>
          <cell r="BG42">
            <v>4.9926448119198108</v>
          </cell>
          <cell r="BH42">
            <v>4.9868127982334176</v>
          </cell>
          <cell r="BI42">
            <v>4.9810216686577657</v>
          </cell>
        </row>
        <row r="43">
          <cell r="B43">
            <v>5.2854489601300028</v>
          </cell>
          <cell r="C43">
            <v>5.3057259641646155</v>
          </cell>
          <cell r="D43">
            <v>5.3218100237828692</v>
          </cell>
          <cell r="E43">
            <v>5.337419931549241</v>
          </cell>
          <cell r="F43">
            <v>5.3522433338490023</v>
          </cell>
          <cell r="G43">
            <v>5.3641825590430123</v>
          </cell>
          <cell r="H43">
            <v>5.3720121597102661</v>
          </cell>
          <cell r="I43">
            <v>5.3755137370678128</v>
          </cell>
          <cell r="J43">
            <v>5.3751234266382859</v>
          </cell>
          <cell r="K43">
            <v>5.3716055307627686</v>
          </cell>
          <cell r="L43">
            <v>5.365725193711282</v>
          </cell>
          <cell r="M43">
            <v>5.3580988718339126</v>
          </cell>
          <cell r="N43">
            <v>5.3492393498586219</v>
          </cell>
          <cell r="O43">
            <v>5.3395509625961246</v>
          </cell>
          <cell r="P43">
            <v>5.329325916090677</v>
          </cell>
          <cell r="Q43">
            <v>5.3187758129267984</v>
          </cell>
          <cell r="R43">
            <v>5.308055359063732</v>
          </cell>
          <cell r="S43">
            <v>5.297278168453551</v>
          </cell>
          <cell r="T43">
            <v>5.286527576727277</v>
          </cell>
          <cell r="U43">
            <v>5.2758642123394317</v>
          </cell>
          <cell r="V43">
            <v>5.265331527615186</v>
          </cell>
          <cell r="W43">
            <v>5.2549600763294197</v>
          </cell>
          <cell r="X43">
            <v>5.2447704405078612</v>
          </cell>
          <cell r="Y43">
            <v>5.2347753095719991</v>
          </cell>
          <cell r="Z43">
            <v>5.2249811185936723</v>
          </cell>
          <cell r="AA43">
            <v>5.2153900989550355</v>
          </cell>
          <cell r="AB43">
            <v>5.206002067529778</v>
          </cell>
          <cell r="AC43">
            <v>5.1968149747525434</v>
          </cell>
          <cell r="AD43">
            <v>5.1878252264258959</v>
          </cell>
          <cell r="AE43">
            <v>5.1790279411589939</v>
          </cell>
          <cell r="AF43">
            <v>5.1704171579794309</v>
          </cell>
          <cell r="AG43">
            <v>5.1619860211841413</v>
          </cell>
          <cell r="AH43">
            <v>5.1537271697362002</v>
          </cell>
          <cell r="AI43">
            <v>5.1456331386791696</v>
          </cell>
          <cell r="AJ43">
            <v>5.1376964914533136</v>
          </cell>
          <cell r="AK43">
            <v>5.1299099805595763</v>
          </cell>
          <cell r="AL43">
            <v>5.1222665602042223</v>
          </cell>
          <cell r="AM43">
            <v>5.1147593599500132</v>
          </cell>
          <cell r="AN43">
            <v>5.1073816622346087</v>
          </cell>
          <cell r="AO43">
            <v>5.1001268849674766</v>
          </cell>
          <cell r="AP43">
            <v>5.0929886291889712</v>
          </cell>
          <cell r="AQ43">
            <v>5.0859607960571482</v>
          </cell>
          <cell r="AR43">
            <v>5.0790375842789741</v>
          </cell>
          <cell r="AS43">
            <v>5.0722134564605028</v>
          </cell>
          <cell r="AT43">
            <v>5.0654831097847515</v>
          </cell>
          <cell r="AU43">
            <v>5.0588414526204195</v>
          </cell>
          <cell r="AV43">
            <v>5.0522836325965388</v>
          </cell>
          <cell r="AW43">
            <v>5.0458050968601551</v>
          </cell>
          <cell r="AX43">
            <v>5.0394015764729909</v>
          </cell>
          <cell r="AY43">
            <v>5.0330690580432185</v>
          </cell>
          <cell r="AZ43">
            <v>5.0268037586718801</v>
          </cell>
          <cell r="BA43">
            <v>5.0206021037901163</v>
          </cell>
          <cell r="BB43">
            <v>5.0144607075085492</v>
          </cell>
          <cell r="BC43">
            <v>5.008376363703511</v>
          </cell>
          <cell r="BD43">
            <v>5.0023460887705529</v>
          </cell>
          <cell r="BE43">
            <v>4.9963671426761653</v>
          </cell>
          <cell r="BF43">
            <v>4.990437009820929</v>
          </cell>
          <cell r="BG43">
            <v>4.9845533796917545</v>
          </cell>
          <cell r="BH43">
            <v>4.9787141294816761</v>
          </cell>
          <cell r="BI43">
            <v>4.9729173084550409</v>
          </cell>
        </row>
        <row r="44">
          <cell r="B44">
            <v>5.2862079559885524</v>
          </cell>
          <cell r="C44">
            <v>5.3121226343072765</v>
          </cell>
          <cell r="D44">
            <v>5.3318290359941418</v>
          </cell>
          <cell r="E44">
            <v>5.3504510952688875</v>
          </cell>
          <cell r="F44">
            <v>5.367718808108207</v>
          </cell>
          <cell r="G44">
            <v>5.3812879220294105</v>
          </cell>
          <cell r="H44">
            <v>5.3899304279324927</v>
          </cell>
          <cell r="I44">
            <v>5.3935444035966249</v>
          </cell>
          <cell r="J44">
            <v>5.3927184209422148</v>
          </cell>
          <cell r="K44">
            <v>5.3883853977479239</v>
          </cell>
          <cell r="L44">
            <v>5.3814477503233018</v>
          </cell>
          <cell r="M44">
            <v>5.3726229137279482</v>
          </cell>
          <cell r="N44">
            <v>5.3625053812847083</v>
          </cell>
          <cell r="O44">
            <v>5.3515542435986614</v>
          </cell>
          <cell r="P44">
            <v>5.340095935298284</v>
          </cell>
          <cell r="Q44">
            <v>5.3283641797586121</v>
          </cell>
          <cell r="R44">
            <v>5.3165272596636362</v>
          </cell>
          <cell r="S44">
            <v>5.304706194976025</v>
          </cell>
          <cell r="T44">
            <v>5.2929871804953708</v>
          </cell>
          <cell r="U44">
            <v>5.2814302985207462</v>
          </cell>
          <cell r="V44">
            <v>5.2700761567937624</v>
          </cell>
          <cell r="W44">
            <v>5.2589514843839318</v>
          </cell>
          <cell r="X44">
            <v>5.2480725046588788</v>
          </cell>
          <cell r="Y44">
            <v>5.2374471280507642</v>
          </cell>
          <cell r="Z44">
            <v>5.2270767105799099</v>
          </cell>
          <cell r="AA44">
            <v>5.2169585460104111</v>
          </cell>
          <cell r="AB44">
            <v>5.2070879855360062</v>
          </cell>
          <cell r="AC44">
            <v>5.1974589290949318</v>
          </cell>
          <cell r="AD44">
            <v>5.188064075588338</v>
          </cell>
          <cell r="AE44">
            <v>5.1788951230531479</v>
          </cell>
          <cell r="AF44">
            <v>5.1699429300917634</v>
          </cell>
          <cell r="AG44">
            <v>5.1611976698563025</v>
          </cell>
          <cell r="AH44">
            <v>5.1526492566647084</v>
          </cell>
          <cell r="AI44">
            <v>5.1442877713322455</v>
          </cell>
          <cell r="AJ44">
            <v>5.1361035719899126</v>
          </cell>
          <cell r="AK44">
            <v>5.1280874362465161</v>
          </cell>
          <cell r="AL44">
            <v>5.120230543164098</v>
          </cell>
          <cell r="AM44">
            <v>5.1125244205801081</v>
          </cell>
          <cell r="AN44">
            <v>5.104960900392606</v>
          </cell>
          <cell r="AO44">
            <v>5.0975320828063229</v>
          </cell>
          <cell r="AP44">
            <v>5.0902303773838931</v>
          </cell>
          <cell r="AQ44">
            <v>5.0830486144550013</v>
          </cell>
          <cell r="AR44">
            <v>5.0759800280332872</v>
          </cell>
          <cell r="AS44">
            <v>5.0690182100630246</v>
          </cell>
          <cell r="AT44">
            <v>5.0621570706490591</v>
          </cell>
          <cell r="AU44">
            <v>5.0553908060260442</v>
          </cell>
          <cell r="AV44">
            <v>5.0487139224939686</v>
          </cell>
          <cell r="AW44">
            <v>5.0421212893357277</v>
          </cell>
          <cell r="AX44">
            <v>5.0356081155128631</v>
          </cell>
          <cell r="AY44">
            <v>5.0291699157110514</v>
          </cell>
          <cell r="AZ44">
            <v>5.0228024803671545</v>
          </cell>
          <cell r="BA44">
            <v>5.0165018491546816</v>
          </cell>
          <cell r="BB44">
            <v>5.0102642874777636</v>
          </cell>
          <cell r="BC44">
            <v>5.004086275318218</v>
          </cell>
          <cell r="BD44">
            <v>4.9979645493716447</v>
          </cell>
          <cell r="BE44">
            <v>4.9918961198274214</v>
          </cell>
          <cell r="BF44">
            <v>4.9858782483124156</v>
          </cell>
          <cell r="BG44">
            <v>4.9799084262153306</v>
          </cell>
          <cell r="BH44">
            <v>4.9739843552153671</v>
          </cell>
          <cell r="BI44">
            <v>4.9681039297704759</v>
          </cell>
        </row>
        <row r="45">
          <cell r="B45">
            <v>5.2967849153010196</v>
          </cell>
          <cell r="C45">
            <v>5.3150439923400921</v>
          </cell>
          <cell r="D45">
            <v>5.3280297305109299</v>
          </cell>
          <cell r="E45">
            <v>5.3413775252997517</v>
          </cell>
          <cell r="F45">
            <v>5.3546002243628577</v>
          </cell>
          <cell r="G45">
            <v>5.3649301508715741</v>
          </cell>
          <cell r="H45">
            <v>5.3710058910179326</v>
          </cell>
          <cell r="I45">
            <v>5.3726595726782378</v>
          </cell>
          <cell r="J45">
            <v>5.3703998854760115</v>
          </cell>
          <cell r="K45">
            <v>5.3650618852285472</v>
          </cell>
          <cell r="L45">
            <v>5.3574372607252965</v>
          </cell>
          <cell r="M45">
            <v>5.3481508402518632</v>
          </cell>
          <cell r="N45">
            <v>5.3377227617211362</v>
          </cell>
          <cell r="O45">
            <v>5.3265694445549583</v>
          </cell>
          <cell r="P45">
            <v>5.3149910913657363</v>
          </cell>
          <cell r="Q45">
            <v>5.3032022715069633</v>
          </cell>
          <cell r="R45">
            <v>5.2913571071886514</v>
          </cell>
          <cell r="S45">
            <v>5.2795660643505267</v>
          </cell>
          <cell r="T45">
            <v>5.2679074411542137</v>
          </cell>
          <cell r="U45">
            <v>5.2564354213358904</v>
          </cell>
          <cell r="V45">
            <v>5.2451862772860389</v>
          </cell>
          <cell r="W45">
            <v>5.234183465995196</v>
          </cell>
          <cell r="X45">
            <v>5.2234406616855091</v>
          </cell>
          <cell r="Y45">
            <v>5.2129637953382675</v>
          </cell>
          <cell r="Z45">
            <v>5.2027527358944745</v>
          </cell>
          <cell r="AA45">
            <v>5.1928037322621066</v>
          </cell>
          <cell r="AB45">
            <v>5.1831112282632068</v>
          </cell>
          <cell r="AC45">
            <v>5.1736682761382955</v>
          </cell>
          <cell r="AD45">
            <v>5.1644667764742174</v>
          </cell>
          <cell r="AE45">
            <v>5.1554976701464206</v>
          </cell>
          <cell r="AF45">
            <v>5.1467510931111198</v>
          </cell>
          <cell r="AG45">
            <v>5.1382165366139168</v>
          </cell>
          <cell r="AH45">
            <v>5.1298833063862741</v>
          </cell>
          <cell r="AI45">
            <v>5.1217409019779456</v>
          </cell>
          <cell r="AJ45">
            <v>5.1137791391781002</v>
          </cell>
          <cell r="AK45">
            <v>5.1059882991611634</v>
          </cell>
          <cell r="AL45">
            <v>5.0983590977592383</v>
          </cell>
          <cell r="AM45">
            <v>5.0908826283092736</v>
          </cell>
          <cell r="AN45">
            <v>5.0835503132549986</v>
          </cell>
          <cell r="AO45">
            <v>5.076353867079642</v>
          </cell>
          <cell r="AP45">
            <v>5.0692853519793459</v>
          </cell>
          <cell r="AQ45">
            <v>5.062337283963088</v>
          </cell>
          <cell r="AR45">
            <v>5.0555026047494049</v>
          </cell>
          <cell r="AS45">
            <v>5.0487746334202823</v>
          </cell>
          <cell r="AT45">
            <v>5.0421470244918813</v>
          </cell>
          <cell r="AU45">
            <v>5.0356137357379405</v>
          </cell>
          <cell r="AV45">
            <v>5.0291690614651854</v>
          </cell>
          <cell r="AW45">
            <v>5.0228076801103541</v>
          </cell>
          <cell r="AX45">
            <v>5.0165246252539033</v>
          </cell>
          <cell r="AY45">
            <v>5.0103152501068102</v>
          </cell>
          <cell r="AZ45">
            <v>5.0041751961742476</v>
          </cell>
          <cell r="BA45">
            <v>4.9981003655349854</v>
          </cell>
          <cell r="BB45">
            <v>4.9920868962952021</v>
          </cell>
          <cell r="BC45">
            <v>4.9861311540641866</v>
          </cell>
          <cell r="BD45">
            <v>4.9802297765140162</v>
          </cell>
          <cell r="BE45">
            <v>4.9743796828637779</v>
          </cell>
          <cell r="BF45">
            <v>4.9685780503281922</v>
          </cell>
          <cell r="BG45">
            <v>4.9628222918766136</v>
          </cell>
          <cell r="BH45">
            <v>4.9571100362538232</v>
          </cell>
          <cell r="BI45">
            <v>4.9514391100436583</v>
          </cell>
        </row>
        <row r="46">
          <cell r="B46">
            <v>5.2940409758865474</v>
          </cell>
          <cell r="C46">
            <v>5.3013508715983866</v>
          </cell>
          <cell r="D46">
            <v>5.3071108899553794</v>
          </cell>
          <cell r="E46">
            <v>5.3144276195685798</v>
          </cell>
          <cell r="F46">
            <v>5.322477317653326</v>
          </cell>
          <cell r="G46">
            <v>5.3286427115499801</v>
          </cell>
          <cell r="H46">
            <v>5.3315956083662774</v>
          </cell>
          <cell r="I46">
            <v>5.3310716197235068</v>
          </cell>
          <cell r="J46">
            <v>5.3274366282799361</v>
          </cell>
          <cell r="K46">
            <v>5.3213601283281688</v>
          </cell>
          <cell r="L46">
            <v>5.3134784904813088</v>
          </cell>
          <cell r="M46">
            <v>5.3042899550822113</v>
          </cell>
          <cell r="N46">
            <v>5.2942073030684274</v>
          </cell>
          <cell r="O46">
            <v>5.2835626789286767</v>
          </cell>
          <cell r="P46">
            <v>5.2725960483417804</v>
          </cell>
          <cell r="Q46">
            <v>5.2614790650962933</v>
          </cell>
          <cell r="R46">
            <v>5.2503351628119832</v>
          </cell>
          <cell r="S46">
            <v>5.2392529494311715</v>
          </cell>
          <cell r="T46">
            <v>5.2282953718706739</v>
          </cell>
          <cell r="U46">
            <v>5.2175061419504134</v>
          </cell>
          <cell r="V46">
            <v>5.2069146900009251</v>
          </cell>
          <cell r="W46">
            <v>5.1965401819672561</v>
          </cell>
          <cell r="X46">
            <v>5.1863939220778565</v>
          </cell>
          <cell r="Y46">
            <v>5.176480991473432</v>
          </cell>
          <cell r="Z46">
            <v>5.1668016032769772</v>
          </cell>
          <cell r="AA46">
            <v>5.157353008371321</v>
          </cell>
          <cell r="AB46">
            <v>5.1481308538483388</v>
          </cell>
          <cell r="AC46">
            <v>5.1391295278901055</v>
          </cell>
          <cell r="AD46">
            <v>5.130342376822294</v>
          </cell>
          <cell r="AE46">
            <v>5.1217618787569199</v>
          </cell>
          <cell r="AF46">
            <v>5.1133797836268577</v>
          </cell>
          <cell r="AG46">
            <v>5.1051872585395399</v>
          </cell>
          <cell r="AH46">
            <v>5.0971752774201997</v>
          </cell>
          <cell r="AI46">
            <v>5.0893349238542109</v>
          </cell>
          <cell r="AJ46">
            <v>5.081657508455268</v>
          </cell>
          <cell r="AK46">
            <v>5.0741347047791017</v>
          </cell>
          <cell r="AL46">
            <v>5.0667585258698908</v>
          </cell>
          <cell r="AM46">
            <v>5.059521279609319</v>
          </cell>
          <cell r="AN46">
            <v>5.0524155309169094</v>
          </cell>
          <cell r="AO46">
            <v>5.0454340736588303</v>
          </cell>
          <cell r="AP46">
            <v>5.0385699833932955</v>
          </cell>
          <cell r="AQ46">
            <v>5.0318167050898346</v>
          </cell>
          <cell r="AR46">
            <v>5.0251680287789977</v>
          </cell>
          <cell r="AS46">
            <v>5.018618050354438</v>
          </cell>
          <cell r="AT46">
            <v>5.0121611375881328</v>
          </cell>
          <cell r="AU46">
            <v>5.0057919051938393</v>
          </cell>
          <cell r="AV46">
            <v>4.9995052522210699</v>
          </cell>
          <cell r="AW46">
            <v>4.9932964071274597</v>
          </cell>
          <cell r="AX46">
            <v>4.9871609025854751</v>
          </cell>
          <cell r="AY46">
            <v>4.9810945450612092</v>
          </cell>
          <cell r="AZ46">
            <v>4.9750933879718788</v>
          </cell>
          <cell r="BA46">
            <v>4.9691537079405173</v>
          </cell>
          <cell r="BB46">
            <v>4.9632719837936552</v>
          </cell>
          <cell r="BC46">
            <v>4.9574448923062953</v>
          </cell>
          <cell r="BD46">
            <v>4.9516693553893889</v>
          </cell>
          <cell r="BE46">
            <v>4.9459425495605851</v>
          </cell>
          <cell r="BF46">
            <v>4.9402618845425268</v>
          </cell>
          <cell r="BG46">
            <v>4.9346249831589795</v>
          </cell>
          <cell r="BH46">
            <v>4.929029663275406</v>
          </cell>
          <cell r="BI46">
            <v>4.9234739216098147</v>
          </cell>
        </row>
        <row r="47">
          <cell r="B47">
            <v>5.2975844963630951</v>
          </cell>
          <cell r="C47">
            <v>5.3150733193714244</v>
          </cell>
          <cell r="D47">
            <v>5.3257229340115249</v>
          </cell>
          <cell r="E47">
            <v>5.3365282519414672</v>
          </cell>
          <cell r="F47">
            <v>5.3473339449405213</v>
          </cell>
          <cell r="G47">
            <v>5.3553960463779084</v>
          </cell>
          <cell r="H47">
            <v>5.3593942298773234</v>
          </cell>
          <cell r="I47">
            <v>5.3591755177511349</v>
          </cell>
          <cell r="J47">
            <v>5.3552670970300573</v>
          </cell>
          <cell r="K47">
            <v>5.3485175932161066</v>
          </cell>
          <cell r="L47">
            <v>5.3397065733120828</v>
          </cell>
          <cell r="M47">
            <v>5.3294333646040686</v>
          </cell>
          <cell r="N47">
            <v>5.3181878193833354</v>
          </cell>
          <cell r="O47">
            <v>5.3063637202124925</v>
          </cell>
          <cell r="P47">
            <v>5.2942433735169097</v>
          </cell>
          <cell r="Q47">
            <v>5.2820258697113927</v>
          </cell>
          <cell r="R47">
            <v>5.2698515584848762</v>
          </cell>
          <cell r="S47">
            <v>5.2578183656687365</v>
          </cell>
          <cell r="T47">
            <v>5.2459929574098236</v>
          </cell>
          <cell r="U47">
            <v>5.2344185847610696</v>
          </cell>
          <cell r="V47">
            <v>5.2231215653226721</v>
          </cell>
          <cell r="W47">
            <v>5.2121168702286838</v>
          </cell>
          <cell r="X47">
            <v>5.2014109466493181</v>
          </cell>
          <cell r="Y47">
            <v>5.191003494812148</v>
          </cell>
          <cell r="Z47">
            <v>5.1808889990170313</v>
          </cell>
          <cell r="AA47">
            <v>5.171059186638483</v>
          </cell>
          <cell r="AB47">
            <v>5.1615046712716737</v>
          </cell>
          <cell r="AC47">
            <v>5.15221522560394</v>
          </cell>
          <cell r="AD47">
            <v>5.1431799263988909</v>
          </cell>
          <cell r="AE47">
            <v>5.1343872704836961</v>
          </cell>
          <cell r="AF47">
            <v>5.1258252682881942</v>
          </cell>
          <cell r="AG47">
            <v>5.1174815663825814</v>
          </cell>
          <cell r="AH47">
            <v>5.1093439070522013</v>
          </cell>
          <cell r="AI47">
            <v>5.1014004573817084</v>
          </cell>
          <cell r="AJ47">
            <v>5.0936399066141345</v>
          </cell>
          <cell r="AK47">
            <v>5.0860515804462878</v>
          </cell>
          <cell r="AL47">
            <v>5.0786253811829303</v>
          </cell>
          <cell r="AM47">
            <v>5.0713517118775417</v>
          </cell>
          <cell r="AN47">
            <v>5.0642214121337679</v>
          </cell>
          <cell r="AO47">
            <v>5.0572257089579038</v>
          </cell>
          <cell r="AP47">
            <v>5.0503562663773556</v>
          </cell>
          <cell r="AQ47">
            <v>5.0436052688929944</v>
          </cell>
          <cell r="AR47">
            <v>5.0369653800046512</v>
          </cell>
          <cell r="AS47">
            <v>5.0304296877868975</v>
          </cell>
          <cell r="AT47">
            <v>5.0239916577140749</v>
          </cell>
          <cell r="AU47">
            <v>5.0176450971039719</v>
          </cell>
          <cell r="AV47">
            <v>5.0113841869061559</v>
          </cell>
          <cell r="AW47">
            <v>5.0052035171636078</v>
          </cell>
          <cell r="AX47">
            <v>4.9990980529082085</v>
          </cell>
          <cell r="AY47">
            <v>4.9930630966618965</v>
          </cell>
          <cell r="AZ47">
            <v>4.9870942553493967</v>
          </cell>
          <cell r="BA47">
            <v>4.9811874110287304</v>
          </cell>
          <cell r="BB47">
            <v>4.9753386950164034</v>
          </cell>
          <cell r="BC47">
            <v>4.9695444807514164</v>
          </cell>
          <cell r="BD47">
            <v>4.9638014279902292</v>
          </cell>
          <cell r="BE47">
            <v>4.9581064868278819</v>
          </cell>
          <cell r="BF47">
            <v>4.9524568729951364</v>
          </cell>
          <cell r="BG47">
            <v>4.9468500449588451</v>
          </cell>
          <cell r="BH47">
            <v>4.9412836833511014</v>
          </cell>
          <cell r="BI47">
            <v>4.9357556725441682</v>
          </cell>
        </row>
        <row r="48">
          <cell r="B48">
            <v>5.3019511058741386</v>
          </cell>
          <cell r="C48">
            <v>5.3186502453154985</v>
          </cell>
          <cell r="D48">
            <v>5.3289764270381408</v>
          </cell>
          <cell r="E48">
            <v>5.3397472048574235</v>
          </cell>
          <cell r="F48">
            <v>5.3505220075586628</v>
          </cell>
          <cell r="G48">
            <v>5.3584638374709082</v>
          </cell>
          <cell r="H48">
            <v>5.3622621402151758</v>
          </cell>
          <cell r="I48">
            <v>5.3617841297791111</v>
          </cell>
          <cell r="J48">
            <v>5.3575834282598942</v>
          </cell>
          <cell r="K48">
            <v>5.3505374733655486</v>
          </cell>
          <cell r="L48">
            <v>5.3414499341928003</v>
          </cell>
          <cell r="M48">
            <v>5.3309314136277308</v>
          </cell>
          <cell r="N48">
            <v>5.319473185182197</v>
          </cell>
          <cell r="O48">
            <v>5.3074664424617044</v>
          </cell>
          <cell r="P48">
            <v>5.2951905274296802</v>
          </cell>
          <cell r="Q48">
            <v>5.2828416695725746</v>
          </cell>
          <cell r="R48">
            <v>5.2705574307359964</v>
          </cell>
          <cell r="S48">
            <v>5.2584330016916034</v>
          </cell>
          <cell r="T48">
            <v>5.2465323524197265</v>
          </cell>
          <cell r="U48">
            <v>5.2348960796563802</v>
          </cell>
          <cell r="V48">
            <v>5.2235481084292026</v>
          </cell>
          <cell r="W48">
            <v>5.2125015071377154</v>
          </cell>
          <cell r="X48">
            <v>5.2017612295567535</v>
          </cell>
          <cell r="Y48">
            <v>5.1913258063237144</v>
          </cell>
          <cell r="Z48">
            <v>5.1811888296710071</v>
          </cell>
          <cell r="AA48">
            <v>5.1713413699763855</v>
          </cell>
          <cell r="AB48">
            <v>5.1617735055211034</v>
          </cell>
          <cell r="AC48">
            <v>5.1524745622616264</v>
          </cell>
          <cell r="AD48">
            <v>5.1434332435407972</v>
          </cell>
          <cell r="AE48">
            <v>5.1346377338567732</v>
          </cell>
          <cell r="AF48">
            <v>5.1260757825520553</v>
          </cell>
          <cell r="AG48">
            <v>5.117734824128223</v>
          </cell>
          <cell r="AH48">
            <v>5.1096024406660545</v>
          </cell>
          <cell r="AI48">
            <v>5.1016666686211494</v>
          </cell>
          <cell r="AJ48">
            <v>5.093916087988779</v>
          </cell>
          <cell r="AK48">
            <v>5.0863399198305634</v>
          </cell>
          <cell r="AL48">
            <v>5.0789279618118011</v>
          </cell>
          <cell r="AM48">
            <v>5.071670512336552</v>
          </cell>
          <cell r="AN48">
            <v>5.0645583063503574</v>
          </cell>
          <cell r="AO48">
            <v>5.0575824669921454</v>
          </cell>
          <cell r="AP48">
            <v>5.0507345580293155</v>
          </cell>
          <cell r="AQ48">
            <v>5.0440066612653967</v>
          </cell>
          <cell r="AR48">
            <v>5.0373913330065223</v>
          </cell>
          <cell r="AS48">
            <v>5.0308815501436932</v>
          </cell>
          <cell r="AT48">
            <v>5.024470663421126</v>
          </cell>
          <cell r="AU48">
            <v>5.0181523633883689</v>
          </cell>
          <cell r="AV48">
            <v>5.0119207187027879</v>
          </cell>
          <cell r="AW48">
            <v>5.0057702123290513</v>
          </cell>
          <cell r="AX48">
            <v>4.999695706324994</v>
          </cell>
          <cell r="AY48">
            <v>4.9936924039322914</v>
          </cell>
          <cell r="AZ48">
            <v>4.9877558161270743</v>
          </cell>
          <cell r="BA48">
            <v>4.981881732030069</v>
          </cell>
          <cell r="BB48">
            <v>4.9760661927864902</v>
          </cell>
          <cell r="BC48">
            <v>4.9703054863249365</v>
          </cell>
          <cell r="BD48">
            <v>4.9645961942548436</v>
          </cell>
          <cell r="BE48">
            <v>4.9589351944099489</v>
          </cell>
          <cell r="BF48">
            <v>4.9533196355063147</v>
          </cell>
          <cell r="BG48">
            <v>4.9477469137904038</v>
          </cell>
          <cell r="BH48">
            <v>4.9422146520619226</v>
          </cell>
          <cell r="BI48">
            <v>4.9367206809174844</v>
          </cell>
        </row>
        <row r="49">
          <cell r="B49">
            <v>5.3056064314178917</v>
          </cell>
          <cell r="C49">
            <v>5.3215781500070349</v>
          </cell>
          <cell r="D49">
            <v>5.330304147354239</v>
          </cell>
          <cell r="E49">
            <v>5.3393058250236489</v>
          </cell>
          <cell r="F49">
            <v>5.3481393503049572</v>
          </cell>
          <cell r="G49">
            <v>5.3541423208685419</v>
          </cell>
          <cell r="H49">
            <v>5.3562034499672233</v>
          </cell>
          <cell r="I49">
            <v>5.3542919117892458</v>
          </cell>
          <cell r="J49">
            <v>5.3489705181411358</v>
          </cell>
          <cell r="K49">
            <v>5.3410764785244327</v>
          </cell>
          <cell r="L49">
            <v>5.3313529331815568</v>
          </cell>
          <cell r="M49">
            <v>5.320358981542177</v>
          </cell>
          <cell r="N49">
            <v>5.3085446886787162</v>
          </cell>
          <cell r="O49">
            <v>5.2962705817315667</v>
          </cell>
          <cell r="P49">
            <v>5.2837946739858168</v>
          </cell>
          <cell r="Q49">
            <v>5.2712979373101208</v>
          </cell>
          <cell r="R49">
            <v>5.2589069608856525</v>
          </cell>
          <cell r="S49">
            <v>5.246709057508169</v>
          </cell>
          <cell r="T49">
            <v>5.2347625994789224</v>
          </cell>
          <cell r="U49">
            <v>5.2231042958929432</v>
          </cell>
          <cell r="V49">
            <v>5.2117553501259799</v>
          </cell>
          <cell r="W49">
            <v>5.200726641123544</v>
          </cell>
          <cell r="X49">
            <v>5.1900212550688121</v>
          </cell>
          <cell r="Y49">
            <v>5.1796361094257648</v>
          </cell>
          <cell r="Z49">
            <v>5.1695634127121899</v>
          </cell>
          <cell r="AA49">
            <v>5.1597930873704083</v>
          </cell>
          <cell r="AB49">
            <v>5.1503142168875744</v>
          </cell>
          <cell r="AC49">
            <v>5.1411152498362966</v>
          </cell>
          <cell r="AD49">
            <v>5.1321841093426661</v>
          </cell>
          <cell r="AE49">
            <v>5.1235082806606727</v>
          </cell>
          <cell r="AF49">
            <v>5.1150748818093872</v>
          </cell>
          <cell r="AG49">
            <v>5.1068707773708448</v>
          </cell>
          <cell r="AH49">
            <v>5.0988830253484849</v>
          </cell>
          <cell r="AI49">
            <v>5.09109915255417</v>
          </cell>
          <cell r="AJ49">
            <v>5.0835072559565413</v>
          </cell>
          <cell r="AK49">
            <v>5.0760961060545906</v>
          </cell>
          <cell r="AL49">
            <v>5.068855077230114</v>
          </cell>
          <cell r="AM49">
            <v>5.061774068290819</v>
          </cell>
          <cell r="AN49">
            <v>5.054843435236231</v>
          </cell>
          <cell r="AO49">
            <v>5.0480539414887629</v>
          </cell>
          <cell r="AP49">
            <v>5.0413968148559061</v>
          </cell>
          <cell r="AQ49">
            <v>5.0348638214223937</v>
          </cell>
          <cell r="AR49">
            <v>5.0284472181393616</v>
          </cell>
          <cell r="AS49">
            <v>5.0221396970450503</v>
          </cell>
          <cell r="AT49">
            <v>5.0159343369217968</v>
          </cell>
          <cell r="AU49">
            <v>5.0098245689575291</v>
          </cell>
          <cell r="AV49">
            <v>5.0038042182585913</v>
          </cell>
          <cell r="AW49">
            <v>4.9978675374264183</v>
          </cell>
          <cell r="AX49">
            <v>4.9920091692655832</v>
          </cell>
          <cell r="AY49">
            <v>4.9862241077634879</v>
          </cell>
          <cell r="AZ49">
            <v>4.9805076636606751</v>
          </cell>
          <cell r="BA49">
            <v>4.9748554339937918</v>
          </cell>
          <cell r="BB49">
            <v>4.9692632752576875</v>
          </cell>
          <cell r="BC49">
            <v>4.9637272997152806</v>
          </cell>
          <cell r="BD49">
            <v>4.9582439241158509</v>
          </cell>
          <cell r="BE49">
            <v>4.9528098702157282</v>
          </cell>
          <cell r="BF49">
            <v>4.9474221385529162</v>
          </cell>
          <cell r="BG49">
            <v>4.9420779844141913</v>
          </cell>
          <cell r="BH49">
            <v>4.9367748962462237</v>
          </cell>
          <cell r="BI49">
            <v>4.9315105763945617</v>
          </cell>
        </row>
        <row r="50">
          <cell r="B50">
            <v>5.2902112498311435</v>
          </cell>
          <cell r="C50">
            <v>5.3081157957256462</v>
          </cell>
          <cell r="D50">
            <v>5.3213590889605573</v>
          </cell>
          <cell r="E50">
            <v>5.3341509177256858</v>
          </cell>
          <cell r="F50">
            <v>5.3456851884630732</v>
          </cell>
          <cell r="G50">
            <v>5.353825579865239</v>
          </cell>
          <cell r="H50">
            <v>5.3578222289603206</v>
          </cell>
          <cell r="I50">
            <v>5.3577940955744356</v>
          </cell>
          <cell r="J50">
            <v>5.354345823164592</v>
          </cell>
          <cell r="K50">
            <v>5.3482976364767945</v>
          </cell>
          <cell r="L50">
            <v>5.3403628183997149</v>
          </cell>
          <cell r="M50">
            <v>5.3310772007888572</v>
          </cell>
          <cell r="N50">
            <v>5.3208723661229236</v>
          </cell>
          <cell r="O50">
            <v>5.3101010907356549</v>
          </cell>
          <cell r="P50">
            <v>5.2990191299594578</v>
          </cell>
          <cell r="Q50">
            <v>5.2878087838323609</v>
          </cell>
          <cell r="R50">
            <v>5.2766005014844479</v>
          </cell>
          <cell r="S50">
            <v>5.2654872841678237</v>
          </cell>
          <cell r="T50">
            <v>5.2545345399613526</v>
          </cell>
          <cell r="U50">
            <v>5.2437870164976861</v>
          </cell>
          <cell r="V50">
            <v>5.2332742992851999</v>
          </cell>
          <cell r="W50">
            <v>5.2230150309664509</v>
          </cell>
          <cell r="X50">
            <v>5.2130193935724263</v>
          </cell>
          <cell r="Y50">
            <v>5.2032908716631416</v>
          </cell>
          <cell r="Z50">
            <v>5.1938278419499655</v>
          </cell>
          <cell r="AA50">
            <v>5.184625855639351</v>
          </cell>
          <cell r="AB50">
            <v>5.1756788696945595</v>
          </cell>
          <cell r="AC50">
            <v>5.1669795581383244</v>
          </cell>
          <cell r="AD50">
            <v>5.1585195332494909</v>
          </cell>
          <cell r="AE50">
            <v>5.1502895225203389</v>
          </cell>
          <cell r="AF50">
            <v>5.1422795114604583</v>
          </cell>
          <cell r="AG50">
            <v>5.1344789278179359</v>
          </cell>
          <cell r="AH50">
            <v>5.1268771061006015</v>
          </cell>
          <cell r="AI50">
            <v>5.1194635379033091</v>
          </cell>
          <cell r="AJ50">
            <v>5.1122280408957161</v>
          </cell>
          <cell r="AK50">
            <v>5.1051608908420532</v>
          </cell>
          <cell r="AL50">
            <v>5.0982527753797848</v>
          </cell>
          <cell r="AM50">
            <v>5.0914947398257686</v>
          </cell>
          <cell r="AN50">
            <v>5.0848781413199227</v>
          </cell>
          <cell r="AO50">
            <v>5.0783946208002089</v>
          </cell>
          <cell r="AP50">
            <v>5.0720361859366863</v>
          </cell>
          <cell r="AQ50">
            <v>5.0657952822182146</v>
          </cell>
          <cell r="AR50">
            <v>5.0596647522321359</v>
          </cell>
          <cell r="AS50">
            <v>5.0536377905394474</v>
          </cell>
          <cell r="AT50">
            <v>5.047707904568048</v>
          </cell>
          <cell r="AU50">
            <v>5.0418688925411157</v>
          </cell>
          <cell r="AV50">
            <v>5.0361149051728473</v>
          </cell>
          <cell r="AW50">
            <v>5.0304404793719897</v>
          </cell>
          <cell r="AX50">
            <v>5.0248405032473125</v>
          </cell>
          <cell r="AY50">
            <v>5.0193101809876079</v>
          </cell>
          <cell r="AZ50">
            <v>5.0138450018734435</v>
          </cell>
          <cell r="BA50">
            <v>5.0084407128645037</v>
          </cell>
          <cell r="BB50">
            <v>5.0030932947040681</v>
          </cell>
          <cell r="BC50">
            <v>4.9977989671784533</v>
          </cell>
          <cell r="BD50">
            <v>4.9925542428761878</v>
          </cell>
          <cell r="BE50">
            <v>4.9873559241680914</v>
          </cell>
          <cell r="BF50">
            <v>4.9822010780461943</v>
          </cell>
          <cell r="BG50">
            <v>4.9770870133115697</v>
          </cell>
          <cell r="BH50">
            <v>4.9720112600820414</v>
          </cell>
          <cell r="BI50">
            <v>4.9669715517022883</v>
          </cell>
        </row>
        <row r="51">
          <cell r="B51">
            <v>5.2948242933178813</v>
          </cell>
          <cell r="C51">
            <v>5.3105751887705397</v>
          </cell>
          <cell r="D51">
            <v>5.3249369703825344</v>
          </cell>
          <cell r="E51">
            <v>5.339611670267149</v>
          </cell>
          <cell r="F51">
            <v>5.3528824760003992</v>
          </cell>
          <cell r="G51">
            <v>5.3623211608862711</v>
          </cell>
          <cell r="H51">
            <v>5.367101240677</v>
          </cell>
          <cell r="I51">
            <v>5.3673543900832223</v>
          </cell>
          <cell r="J51">
            <v>5.3637636432897553</v>
          </cell>
          <cell r="K51">
            <v>5.3572571767909025</v>
          </cell>
          <cell r="L51">
            <v>5.3486480664657607</v>
          </cell>
          <cell r="M51">
            <v>5.3385466373007482</v>
          </cell>
          <cell r="N51">
            <v>5.3274454042001249</v>
          </cell>
          <cell r="O51">
            <v>5.3157516650859087</v>
          </cell>
          <cell r="P51">
            <v>5.303758621338762</v>
          </cell>
          <cell r="Q51">
            <v>5.2916726305356772</v>
          </cell>
          <cell r="R51">
            <v>5.279638748735171</v>
          </cell>
          <cell r="S51">
            <v>5.2677577586768596</v>
          </cell>
          <cell r="T51">
            <v>5.256097820654861</v>
          </cell>
          <cell r="U51">
            <v>5.2447027178280141</v>
          </cell>
          <cell r="V51">
            <v>5.2335990164562354</v>
          </cell>
          <cell r="W51">
            <v>5.2228016639144794</v>
          </cell>
          <cell r="X51">
            <v>5.2123167205237717</v>
          </cell>
          <cell r="Y51">
            <v>5.202143212087285</v>
          </cell>
          <cell r="Z51">
            <v>5.1922749084619451</v>
          </cell>
          <cell r="AA51">
            <v>5.1827031128444316</v>
          </cell>
          <cell r="AB51">
            <v>5.173418019999966</v>
          </cell>
          <cell r="AC51">
            <v>5.1644089441328838</v>
          </cell>
          <cell r="AD51">
            <v>5.1556644707074781</v>
          </cell>
          <cell r="AE51">
            <v>5.1471725779046746</v>
          </cell>
          <cell r="AF51">
            <v>5.1389207347654047</v>
          </cell>
          <cell r="AG51">
            <v>5.1308960712425611</v>
          </cell>
          <cell r="AH51">
            <v>5.1230858921884046</v>
          </cell>
          <cell r="AI51">
            <v>5.1154779196915818</v>
          </cell>
          <cell r="AJ51">
            <v>5.1080604326769183</v>
          </cell>
          <cell r="AK51">
            <v>5.1008223615921784</v>
          </cell>
          <cell r="AL51">
            <v>5.0937532141753987</v>
          </cell>
          <cell r="AM51">
            <v>5.086842999495647</v>
          </cell>
          <cell r="AN51">
            <v>5.0800821636798181</v>
          </cell>
          <cell r="AO51">
            <v>5.0734615479807461</v>
          </cell>
          <cell r="AP51">
            <v>5.066972464533988</v>
          </cell>
          <cell r="AQ51">
            <v>5.0606067528959802</v>
          </cell>
          <cell r="AR51">
            <v>5.0543567277907249</v>
          </cell>
          <cell r="AS51">
            <v>5.0482151251134866</v>
          </cell>
          <cell r="AT51">
            <v>5.0421750551376725</v>
          </cell>
          <cell r="AU51">
            <v>5.0362299745462886</v>
          </cell>
          <cell r="AV51">
            <v>5.0303737398278017</v>
          </cell>
          <cell r="AW51">
            <v>5.0246006294515846</v>
          </cell>
          <cell r="AX51">
            <v>5.0189053044033702</v>
          </cell>
          <cell r="AY51">
            <v>5.013282769933606</v>
          </cell>
          <cell r="AZ51">
            <v>5.0077283418060148</v>
          </cell>
          <cell r="BA51">
            <v>5.0022376164405484</v>
          </cell>
          <cell r="BB51">
            <v>4.9968064449435925</v>
          </cell>
          <cell r="BC51">
            <v>4.9914309372902972</v>
          </cell>
          <cell r="BD51">
            <v>4.9861075110029205</v>
          </cell>
          <cell r="BE51">
            <v>4.9808328841532772</v>
          </cell>
          <cell r="BF51">
            <v>4.9756040491843736</v>
          </cell>
          <cell r="BG51">
            <v>4.9704182492577251</v>
          </cell>
          <cell r="BH51">
            <v>4.9652729570060199</v>
          </cell>
          <cell r="BI51">
            <v>4.9601658558330177</v>
          </cell>
        </row>
        <row r="52">
          <cell r="B52">
            <v>5.2879846358199796</v>
          </cell>
          <cell r="C52">
            <v>5.3076344484446025</v>
          </cell>
          <cell r="D52">
            <v>5.3184559274230656</v>
          </cell>
          <cell r="E52">
            <v>5.3291981637534187</v>
          </cell>
          <cell r="F52">
            <v>5.3390779620092239</v>
          </cell>
          <cell r="G52">
            <v>5.3456451086100847</v>
          </cell>
          <cell r="H52">
            <v>5.3479419268708428</v>
          </cell>
          <cell r="I52">
            <v>5.3459855611959251</v>
          </cell>
          <cell r="J52">
            <v>5.3404101906334756</v>
          </cell>
          <cell r="K52">
            <v>5.3321307305030823</v>
          </cell>
          <cell r="L52">
            <v>5.3219546214212494</v>
          </cell>
          <cell r="M52">
            <v>5.3104799441319503</v>
          </cell>
          <cell r="N52">
            <v>5.2981810662889863</v>
          </cell>
          <cell r="O52">
            <v>5.2854439073475241</v>
          </cell>
          <cell r="P52">
            <v>5.2725428477757763</v>
          </cell>
          <cell r="Q52">
            <v>5.259668085556533</v>
          </cell>
          <cell r="R52">
            <v>5.2469503957331325</v>
          </cell>
          <cell r="S52">
            <v>5.234477636781536</v>
          </cell>
          <cell r="T52">
            <v>5.222306044443858</v>
          </cell>
          <cell r="U52">
            <v>5.2104682796871442</v>
          </cell>
          <cell r="V52">
            <v>5.1989809813759011</v>
          </cell>
          <cell r="W52">
            <v>5.1878506505146476</v>
          </cell>
          <cell r="X52">
            <v>5.1770761044935858</v>
          </cell>
          <cell r="Y52">
            <v>5.1666500795697852</v>
          </cell>
          <cell r="Z52">
            <v>5.1565608899199518</v>
          </cell>
          <cell r="AA52">
            <v>5.1467952313786469</v>
          </cell>
          <cell r="AB52">
            <v>5.1373394022366208</v>
          </cell>
          <cell r="AC52">
            <v>5.1281794010940782</v>
          </cell>
          <cell r="AD52">
            <v>5.1193009785314683</v>
          </cell>
          <cell r="AE52">
            <v>5.1106896784461027</v>
          </cell>
          <cell r="AF52">
            <v>5.102330871707351</v>
          </cell>
          <cell r="AG52">
            <v>5.0942098864727239</v>
          </cell>
          <cell r="AH52">
            <v>5.086312500250008</v>
          </cell>
          <cell r="AI52">
            <v>5.0786251368677426</v>
          </cell>
          <cell r="AJ52">
            <v>5.0711349643742585</v>
          </cell>
          <cell r="AK52">
            <v>5.0638299452865372</v>
          </cell>
          <cell r="AL52">
            <v>5.0566987403990815</v>
          </cell>
          <cell r="AM52">
            <v>5.0497306169052951</v>
          </cell>
          <cell r="AN52">
            <v>5.0429153706542467</v>
          </cell>
          <cell r="AO52">
            <v>5.0362432741487657</v>
          </cell>
          <cell r="AP52">
            <v>5.0297051435770008</v>
          </cell>
          <cell r="AQ52">
            <v>5.0232923799000524</v>
          </cell>
          <cell r="AR52">
            <v>5.0169969085787232</v>
          </cell>
          <cell r="AS52">
            <v>5.0108111199712813</v>
          </cell>
          <cell r="AT52">
            <v>5.0047278176866365</v>
          </cell>
          <cell r="AU52">
            <v>4.998740188250661</v>
          </cell>
          <cell r="AV52">
            <v>4.9928418550360387</v>
          </cell>
          <cell r="AW52">
            <v>4.9870268950278351</v>
          </cell>
          <cell r="AX52">
            <v>4.9812897956776805</v>
          </cell>
          <cell r="AY52">
            <v>4.9756254138571112</v>
          </cell>
          <cell r="AZ52">
            <v>4.9700289396399295</v>
          </cell>
          <cell r="BA52">
            <v>4.9644958642635322</v>
          </cell>
          <cell r="BB52">
            <v>4.9590219523637602</v>
          </cell>
          <cell r="BC52">
            <v>4.9536032467921656</v>
          </cell>
          <cell r="BD52">
            <v>4.9482361160214454</v>
          </cell>
          <cell r="BE52">
            <v>4.9429172441103644</v>
          </cell>
          <cell r="BF52">
            <v>4.9376436031582882</v>
          </cell>
          <cell r="BG52">
            <v>4.9324124284741062</v>
          </cell>
          <cell r="BH52">
            <v>4.9272211962703336</v>
          </cell>
          <cell r="BI52">
            <v>4.9220676041176494</v>
          </cell>
        </row>
        <row r="53">
          <cell r="B53">
            <v>5.289781615086536</v>
          </cell>
          <cell r="C53">
            <v>5.3016469851004233</v>
          </cell>
          <cell r="D53">
            <v>5.3071299877740801</v>
          </cell>
          <cell r="E53">
            <v>5.3133012652980494</v>
          </cell>
          <cell r="F53">
            <v>5.3195451742060262</v>
          </cell>
          <cell r="G53">
            <v>5.3233336926915431</v>
          </cell>
          <cell r="H53">
            <v>5.323563843080751</v>
          </cell>
          <cell r="I53">
            <v>5.3200989381898607</v>
          </cell>
          <cell r="J53">
            <v>5.3134451472573421</v>
          </cell>
          <cell r="K53">
            <v>5.3044032275441486</v>
          </cell>
          <cell r="L53">
            <v>5.2936867511909194</v>
          </cell>
          <cell r="M53">
            <v>5.2818308957426758</v>
          </cell>
          <cell r="N53">
            <v>5.2692655810745848</v>
          </cell>
          <cell r="O53">
            <v>5.2563397255335849</v>
          </cell>
          <cell r="P53">
            <v>5.2433010673845422</v>
          </cell>
          <cell r="Q53">
            <v>5.2303215128048421</v>
          </cell>
          <cell r="R53">
            <v>5.2175194394327082</v>
          </cell>
          <cell r="S53">
            <v>5.2049745654058457</v>
          </cell>
          <cell r="T53">
            <v>5.1927381229142133</v>
          </cell>
          <cell r="U53">
            <v>5.1808401049187385</v>
          </cell>
          <cell r="V53">
            <v>5.1692958658253065</v>
          </cell>
          <cell r="W53">
            <v>5.1581111096289405</v>
          </cell>
          <cell r="X53">
            <v>5.1472841569100956</v>
          </cell>
          <cell r="Y53">
            <v>5.1368074854436401</v>
          </cell>
          <cell r="Z53">
            <v>5.1266693608683935</v>
          </cell>
          <cell r="AA53">
            <v>5.1168565279286415</v>
          </cell>
          <cell r="AB53">
            <v>5.1073553171242283</v>
          </cell>
          <cell r="AC53">
            <v>5.0981517396710014</v>
          </cell>
          <cell r="AD53">
            <v>5.0892315425497801</v>
          </cell>
          <cell r="AE53">
            <v>5.080580252545519</v>
          </cell>
          <cell r="AF53">
            <v>5.0721832122336474</v>
          </cell>
          <cell r="AG53">
            <v>5.0640257194744036</v>
          </cell>
          <cell r="AH53">
            <v>5.0560935135593539</v>
          </cell>
          <cell r="AI53">
            <v>5.0483729574517824</v>
          </cell>
          <cell r="AJ53">
            <v>5.0408511550391175</v>
          </cell>
          <cell r="AK53">
            <v>5.0335160050192469</v>
          </cell>
          <cell r="AL53">
            <v>5.0263561037931366</v>
          </cell>
          <cell r="AM53">
            <v>5.0193606536617947</v>
          </cell>
          <cell r="AN53">
            <v>5.0125193851478711</v>
          </cell>
          <cell r="AO53">
            <v>5.0058225071780784</v>
          </cell>
          <cell r="AP53">
            <v>4.9992607801944278</v>
          </cell>
          <cell r="AQ53">
            <v>4.9928255539196771</v>
          </cell>
          <cell r="AR53">
            <v>4.9865087056562922</v>
          </cell>
          <cell r="AS53">
            <v>4.9803025803341958</v>
          </cell>
          <cell r="AT53">
            <v>4.9741999385686002</v>
          </cell>
          <cell r="AU53">
            <v>4.9681939276741609</v>
          </cell>
          <cell r="AV53">
            <v>4.9622781368767708</v>
          </cell>
          <cell r="AW53">
            <v>4.9564466102258979</v>
          </cell>
          <cell r="AX53">
            <v>4.9506938028363274</v>
          </cell>
          <cell r="AY53">
            <v>4.945014539781635</v>
          </cell>
          <cell r="AZ53">
            <v>4.9394039798237106</v>
          </cell>
          <cell r="BA53">
            <v>4.9338575833273488</v>
          </cell>
          <cell r="BB53">
            <v>4.9283710846147066</v>
          </cell>
          <cell r="BC53">
            <v>4.9229404989548966</v>
          </cell>
          <cell r="BD53">
            <v>4.9175621694811209</v>
          </cell>
          <cell r="BE53">
            <v>4.9122327554358645</v>
          </cell>
          <cell r="BF53">
            <v>4.906949204540485</v>
          </cell>
          <cell r="BG53">
            <v>4.9017087281263469</v>
          </cell>
          <cell r="BH53">
            <v>4.896508778794983</v>
          </cell>
          <cell r="BI53">
            <v>4.8913470309735469</v>
          </cell>
        </row>
        <row r="54">
          <cell r="B54">
            <v>5.2899063939973869</v>
          </cell>
          <cell r="C54">
            <v>5.3109308400944144</v>
          </cell>
          <cell r="D54">
            <v>5.3200612966580376</v>
          </cell>
          <cell r="E54">
            <v>5.3283197853463218</v>
          </cell>
          <cell r="F54">
            <v>5.3357665147905102</v>
          </cell>
          <cell r="G54">
            <v>5.3404567397342912</v>
          </cell>
          <cell r="H54">
            <v>5.3416690703997061</v>
          </cell>
          <cell r="I54">
            <v>5.3394494566863973</v>
          </cell>
          <cell r="J54">
            <v>5.3343340119309666</v>
          </cell>
          <cell r="K54">
            <v>5.3270722261890411</v>
          </cell>
          <cell r="L54">
            <v>5.3183005425352583</v>
          </cell>
          <cell r="M54">
            <v>5.308490435282935</v>
          </cell>
          <cell r="N54">
            <v>5.2980125052566232</v>
          </cell>
          <cell r="O54">
            <v>5.2871545980318775</v>
          </cell>
          <cell r="P54">
            <v>5.2761206651207964</v>
          </cell>
          <cell r="Q54">
            <v>5.2650533352335342</v>
          </cell>
          <cell r="R54">
            <v>5.2540519501665557</v>
          </cell>
          <cell r="S54">
            <v>5.2431845889453141</v>
          </cell>
          <cell r="T54">
            <v>5.232496294869259</v>
          </cell>
          <cell r="U54">
            <v>5.2220149592507985</v>
          </cell>
          <cell r="V54">
            <v>5.2117567996584704</v>
          </cell>
          <cell r="W54">
            <v>5.2017304094763013</v>
          </cell>
          <cell r="X54">
            <v>5.1919385447299744</v>
          </cell>
          <cell r="Y54">
            <v>5.182379342871843</v>
          </cell>
          <cell r="Z54">
            <v>5.1730476431324668</v>
          </cell>
          <cell r="AA54">
            <v>5.16393711263422</v>
          </cell>
          <cell r="AB54">
            <v>5.1550410716146526</v>
          </cell>
          <cell r="AC54">
            <v>5.1463525687637404</v>
          </cell>
          <cell r="AD54">
            <v>5.1378644280424357</v>
          </cell>
          <cell r="AE54">
            <v>5.1295692861375013</v>
          </cell>
          <cell r="AF54">
            <v>5.1214596304624473</v>
          </cell>
          <cell r="AG54">
            <v>5.1135279460860801</v>
          </cell>
          <cell r="AH54">
            <v>5.1057668753978405</v>
          </cell>
          <cell r="AI54">
            <v>5.098169221561661</v>
          </cell>
          <cell r="AJ54">
            <v>5.0907279720793275</v>
          </cell>
          <cell r="AK54">
            <v>5.0834363071154733</v>
          </cell>
          <cell r="AL54">
            <v>5.0762875754696246</v>
          </cell>
          <cell r="AM54">
            <v>5.0692752723874079</v>
          </cell>
          <cell r="AN54">
            <v>5.0623930207872805</v>
          </cell>
          <cell r="AO54">
            <v>5.0556345652398145</v>
          </cell>
          <cell r="AP54">
            <v>5.0489938307635862</v>
          </cell>
          <cell r="AQ54">
            <v>5.0424649552537328</v>
          </cell>
          <cell r="AR54">
            <v>5.036042267931256</v>
          </cell>
          <cell r="AS54">
            <v>5.0297202676014434</v>
          </cell>
          <cell r="AT54">
            <v>5.0234936038425433</v>
          </cell>
          <cell r="AU54">
            <v>5.0173570799839293</v>
          </cell>
          <cell r="AV54">
            <v>5.0113057424746863</v>
          </cell>
          <cell r="AW54">
            <v>5.0053349157036164</v>
          </cell>
          <cell r="AX54">
            <v>4.9994401760411327</v>
          </cell>
          <cell r="AY54">
            <v>4.9936173266410817</v>
          </cell>
          <cell r="AZ54">
            <v>4.9878623752070874</v>
          </cell>
          <cell r="BA54">
            <v>4.9821715143242962</v>
          </cell>
          <cell r="BB54">
            <v>4.9765411051152535</v>
          </cell>
          <cell r="BC54">
            <v>4.9709676997597718</v>
          </cell>
          <cell r="BD54">
            <v>4.9654481034132099</v>
          </cell>
          <cell r="BE54">
            <v>4.9599793692980771</v>
          </cell>
          <cell r="BF54">
            <v>4.9545587770189625</v>
          </cell>
          <cell r="BG54">
            <v>4.9491838130468357</v>
          </cell>
          <cell r="BH54">
            <v>4.9438521531879962</v>
          </cell>
          <cell r="BI54">
            <v>4.9385616476530423</v>
          </cell>
        </row>
        <row r="55">
          <cell r="B55">
            <v>5.2904401127712459</v>
          </cell>
          <cell r="C55">
            <v>5.308784662004113</v>
          </cell>
          <cell r="D55">
            <v>5.3164144033544574</v>
          </cell>
          <cell r="E55">
            <v>5.3246371300600028</v>
          </cell>
          <cell r="F55">
            <v>5.3329112235493001</v>
          </cell>
          <cell r="G55">
            <v>5.3385820887002016</v>
          </cell>
          <cell r="H55">
            <v>5.3406492920062076</v>
          </cell>
          <cell r="I55">
            <v>5.3390666063618797</v>
          </cell>
          <cell r="J55">
            <v>5.3343804471461675</v>
          </cell>
          <cell r="K55">
            <v>5.3273747943284784</v>
          </cell>
          <cell r="L55">
            <v>5.3186993062576571</v>
          </cell>
          <cell r="M55">
            <v>5.3088561110236574</v>
          </cell>
          <cell r="N55">
            <v>5.2982581530670823</v>
          </cell>
          <cell r="O55">
            <v>5.2872287196653538</v>
          </cell>
          <cell r="P55">
            <v>5.2759970012031285</v>
          </cell>
          <cell r="Q55">
            <v>5.2647239864834274</v>
          </cell>
          <cell r="R55">
            <v>5.2535225219685211</v>
          </cell>
          <cell r="S55">
            <v>5.2424706846523668</v>
          </cell>
          <cell r="T55">
            <v>5.2316209319245273</v>
          </cell>
          <cell r="U55">
            <v>5.2210066465311771</v>
          </cell>
          <cell r="V55">
            <v>5.2106478566976966</v>
          </cell>
          <cell r="W55">
            <v>5.2005552224339446</v>
          </cell>
          <cell r="X55">
            <v>5.1907321378517048</v>
          </cell>
          <cell r="Y55">
            <v>5.1811762527799461</v>
          </cell>
          <cell r="Z55">
            <v>5.1718812341809741</v>
          </cell>
          <cell r="AA55">
            <v>5.1628393601087694</v>
          </cell>
          <cell r="AB55">
            <v>5.1540423733870808</v>
          </cell>
          <cell r="AC55">
            <v>5.1454815852305087</v>
          </cell>
          <cell r="AD55">
            <v>5.1371479496598811</v>
          </cell>
          <cell r="AE55">
            <v>5.1290321230345368</v>
          </cell>
          <cell r="AF55">
            <v>5.121124530559233</v>
          </cell>
          <cell r="AG55">
            <v>5.113415619332951</v>
          </cell>
          <cell r="AH55">
            <v>5.1058960809121974</v>
          </cell>
          <cell r="AI55">
            <v>5.0985568465383828</v>
          </cell>
          <cell r="AJ55">
            <v>5.0913891055696432</v>
          </cell>
          <cell r="AK55">
            <v>5.0843843005715472</v>
          </cell>
          <cell r="AL55">
            <v>5.0775340944096845</v>
          </cell>
          <cell r="AM55">
            <v>5.0708303412628188</v>
          </cell>
          <cell r="AN55">
            <v>5.0642650621203469</v>
          </cell>
          <cell r="AO55">
            <v>5.0578304433663845</v>
          </cell>
          <cell r="AP55">
            <v>5.0515189273580212</v>
          </cell>
          <cell r="AQ55">
            <v>5.0453232472725249</v>
          </cell>
          <cell r="AR55">
            <v>5.0392363960669577</v>
          </cell>
          <cell r="AS55">
            <v>5.0332515969577418</v>
          </cell>
          <cell r="AT55">
            <v>5.0273622779708633</v>
          </cell>
          <cell r="AU55">
            <v>5.0215620786455064</v>
          </cell>
          <cell r="AV55">
            <v>5.0158449507226814</v>
          </cell>
          <cell r="AW55">
            <v>5.0102051818756967</v>
          </cell>
          <cell r="AX55">
            <v>5.0046373629525105</v>
          </cell>
          <cell r="AY55">
            <v>4.9991363576582755</v>
          </cell>
          <cell r="AZ55">
            <v>4.9936972758046272</v>
          </cell>
          <cell r="BA55">
            <v>4.9883154496456044</v>
          </cell>
          <cell r="BB55">
            <v>4.982986415228547</v>
          </cell>
          <cell r="BC55">
            <v>4.977705948617265</v>
          </cell>
          <cell r="BD55">
            <v>4.9724701360531594</v>
          </cell>
          <cell r="BE55">
            <v>4.9672753622283077</v>
          </cell>
          <cell r="BF55">
            <v>4.9621182841286977</v>
          </cell>
          <cell r="BG55">
            <v>4.9569958075606166</v>
          </cell>
          <cell r="BH55">
            <v>4.9519050660641808</v>
          </cell>
          <cell r="BI55">
            <v>4.9468434034629452</v>
          </cell>
        </row>
        <row r="56">
          <cell r="B56">
            <v>5.2946783912317166</v>
          </cell>
          <cell r="C56">
            <v>5.3122330172271166</v>
          </cell>
          <cell r="D56">
            <v>5.3266801379073252</v>
          </cell>
          <cell r="E56">
            <v>5.3414707984927317</v>
          </cell>
          <cell r="F56">
            <v>5.3546435886953603</v>
          </cell>
          <cell r="G56">
            <v>5.3638104962375328</v>
          </cell>
          <cell r="H56">
            <v>5.3684146439063767</v>
          </cell>
          <cell r="I56">
            <v>5.3687728556754371</v>
          </cell>
          <cell r="J56">
            <v>5.3656444655408677</v>
          </cell>
          <cell r="K56">
            <v>5.3599328034244484</v>
          </cell>
          <cell r="L56">
            <v>5.3523567852653429</v>
          </cell>
          <cell r="M56">
            <v>5.3434644601035961</v>
          </cell>
          <cell r="N56">
            <v>5.3336989146011575</v>
          </cell>
          <cell r="O56">
            <v>5.3234020441855714</v>
          </cell>
          <cell r="P56">
            <v>5.3128165180845039</v>
          </cell>
          <cell r="Q56">
            <v>5.3021138869826769</v>
          </cell>
          <cell r="R56">
            <v>5.2914155002375889</v>
          </cell>
          <cell r="S56">
            <v>5.2808064506926327</v>
          </cell>
          <cell r="T56">
            <v>5.2703451158805112</v>
          </cell>
          <cell r="U56">
            <v>5.2600699898932728</v>
          </cell>
          <cell r="V56">
            <v>5.2500055929202869</v>
          </cell>
          <cell r="W56">
            <v>5.240166529959458</v>
          </cell>
          <cell r="X56">
            <v>5.2305597013718232</v>
          </cell>
          <cell r="Y56">
            <v>5.221185917864303</v>
          </cell>
          <cell r="Z56">
            <v>5.2120417554612848</v>
          </cell>
          <cell r="AA56">
            <v>5.2031221328999697</v>
          </cell>
          <cell r="AB56">
            <v>5.1944211518880303</v>
          </cell>
          <cell r="AC56">
            <v>5.185932248963093</v>
          </cell>
          <cell r="AD56">
            <v>5.1776483101772302</v>
          </cell>
          <cell r="AE56">
            <v>5.1695617628445536</v>
          </cell>
          <cell r="AF56">
            <v>5.1616646700148872</v>
          </cell>
          <cell r="AG56">
            <v>5.1539490056703823</v>
          </cell>
          <cell r="AH56">
            <v>5.1464068798974481</v>
          </cell>
          <cell r="AI56">
            <v>5.1390305429355543</v>
          </cell>
          <cell r="AJ56">
            <v>5.13181239323987</v>
          </cell>
          <cell r="AK56">
            <v>5.1247449722407117</v>
          </cell>
          <cell r="AL56">
            <v>5.117820945598444</v>
          </cell>
          <cell r="AM56">
            <v>5.1110330868574181</v>
          </cell>
          <cell r="AN56">
            <v>5.104374263654945</v>
          </cell>
          <cell r="AO56">
            <v>5.0978374464526848</v>
          </cell>
          <cell r="AP56">
            <v>5.0914158032824499</v>
          </cell>
          <cell r="AQ56">
            <v>5.0851027350843241</v>
          </cell>
          <cell r="AR56">
            <v>5.0788918508417193</v>
          </cell>
          <cell r="AS56">
            <v>5.0727769439401031</v>
          </cell>
          <cell r="AT56">
            <v>5.0667519718680429</v>
          </cell>
          <cell r="AU56">
            <v>5.0608110695097688</v>
          </cell>
          <cell r="AV56">
            <v>5.0549486523922207</v>
          </cell>
          <cell r="AW56">
            <v>5.0491594392320742</v>
          </cell>
          <cell r="AX56">
            <v>5.0434384222104054</v>
          </cell>
          <cell r="AY56">
            <v>5.0377808396262527</v>
          </cell>
          <cell r="AZ56">
            <v>5.0321821517674028</v>
          </cell>
          <cell r="BA56">
            <v>5.0266380195653237</v>
          </cell>
          <cell r="BB56">
            <v>5.0211442884006106</v>
          </cell>
          <cell r="BC56">
            <v>5.0156970283261231</v>
          </cell>
          <cell r="BD56">
            <v>5.0102926026056895</v>
          </cell>
          <cell r="BE56">
            <v>5.004927655704611</v>
          </cell>
          <cell r="BF56">
            <v>4.9995990886355406</v>
          </cell>
          <cell r="BG56">
            <v>4.9943040368423341</v>
          </cell>
          <cell r="BH56">
            <v>4.9890398503329934</v>
          </cell>
          <cell r="BI56">
            <v>4.9838040775525805</v>
          </cell>
        </row>
        <row r="57">
          <cell r="B57">
            <v>5.3088142859104908</v>
          </cell>
          <cell r="C57">
            <v>5.3350911492201627</v>
          </cell>
          <cell r="D57">
            <v>5.3557408988634299</v>
          </cell>
          <cell r="E57">
            <v>5.3757988101073675</v>
          </cell>
          <cell r="F57">
            <v>5.3934220836510622</v>
          </cell>
          <cell r="G57">
            <v>5.4062928081759445</v>
          </cell>
          <cell r="H57">
            <v>5.4139341240750465</v>
          </cell>
          <cell r="I57">
            <v>5.4167388042416604</v>
          </cell>
          <cell r="J57">
            <v>5.4155436603410365</v>
          </cell>
          <cell r="K57">
            <v>5.4113269473228174</v>
          </cell>
          <cell r="L57">
            <v>5.4048791846200652</v>
          </cell>
          <cell r="M57">
            <v>5.396813705509623</v>
          </cell>
          <cell r="N57">
            <v>5.3876331862114082</v>
          </cell>
          <cell r="O57">
            <v>5.3777295829125062</v>
          </cell>
          <cell r="P57">
            <v>5.3673833046136608</v>
          </cell>
          <cell r="Q57">
            <v>5.3567946030580522</v>
          </cell>
          <cell r="R57">
            <v>5.3461071483919405</v>
          </cell>
          <cell r="S57">
            <v>5.3354237462749188</v>
          </cell>
          <cell r="T57">
            <v>5.3248170917281294</v>
          </cell>
          <cell r="U57">
            <v>5.3143374364405993</v>
          </cell>
          <cell r="V57">
            <v>5.3040189127494894</v>
          </cell>
          <cell r="W57">
            <v>5.2938838823474175</v>
          </cell>
          <cell r="X57">
            <v>5.2839455335872394</v>
          </cell>
          <cell r="Y57">
            <v>5.2742098055826352</v>
          </cell>
          <cell r="Z57">
            <v>5.2646775464095903</v>
          </cell>
          <cell r="AA57">
            <v>5.2553473115481681</v>
          </cell>
          <cell r="AB57">
            <v>5.2462162983049163</v>
          </cell>
          <cell r="AC57">
            <v>5.2372805929939474</v>
          </cell>
          <cell r="AD57">
            <v>5.2285353624873592</v>
          </cell>
          <cell r="AE57">
            <v>5.2199750074555942</v>
          </cell>
          <cell r="AF57">
            <v>5.2115933096860534</v>
          </cell>
          <cell r="AG57">
            <v>5.2033837590468872</v>
          </cell>
          <cell r="AH57">
            <v>5.1953398056846689</v>
          </cell>
          <cell r="AI57">
            <v>5.1874548875798894</v>
          </cell>
          <cell r="AJ57">
            <v>5.1797224564631579</v>
          </cell>
          <cell r="AK57">
            <v>5.1721359881900595</v>
          </cell>
          <cell r="AL57">
            <v>5.1646889798875444</v>
          </cell>
          <cell r="AM57">
            <v>5.157374947155061</v>
          </cell>
          <cell r="AN57">
            <v>5.1501874217635972</v>
          </cell>
          <cell r="AO57">
            <v>5.1431199732477388</v>
          </cell>
          <cell r="AP57">
            <v>5.1361663180251345</v>
          </cell>
          <cell r="AQ57">
            <v>5.1293203599285153</v>
          </cell>
          <cell r="AR57">
            <v>5.1225761703405279</v>
          </cell>
          <cell r="AS57">
            <v>5.1159279691539679</v>
          </cell>
          <cell r="AT57">
            <v>5.1093701085335521</v>
          </cell>
          <cell r="AU57">
            <v>5.1028970921644072</v>
          </cell>
          <cell r="AV57">
            <v>5.0965036809393434</v>
          </cell>
          <cell r="AW57">
            <v>5.090184914100977</v>
          </cell>
          <cell r="AX57">
            <v>5.0839360818020811</v>
          </cell>
          <cell r="AY57">
            <v>5.0777527000145755</v>
          </cell>
          <cell r="AZ57">
            <v>5.0716304883903867</v>
          </cell>
          <cell r="BA57">
            <v>5.0655653506768399</v>
          </cell>
          <cell r="BB57">
            <v>5.0595533605342444</v>
          </cell>
          <cell r="BC57">
            <v>5.053590805389601</v>
          </cell>
          <cell r="BD57">
            <v>5.0476742530443932</v>
          </cell>
          <cell r="BE57">
            <v>5.0418005391979985</v>
          </cell>
          <cell r="BF57">
            <v>5.0359667439541766</v>
          </cell>
          <cell r="BG57">
            <v>5.0301701707517328</v>
          </cell>
          <cell r="BH57">
            <v>5.0244083274378104</v>
          </cell>
          <cell r="BI57">
            <v>5.0186789112043231</v>
          </cell>
        </row>
        <row r="58">
          <cell r="B58">
            <v>5.3035816801637692</v>
          </cell>
          <cell r="C58">
            <v>5.3337455324666498</v>
          </cell>
          <cell r="D58">
            <v>5.3566764716094868</v>
          </cell>
          <cell r="E58">
            <v>5.3774381954402148</v>
          </cell>
          <cell r="F58">
            <v>5.3946678016396268</v>
          </cell>
          <cell r="G58">
            <v>5.4065169531175092</v>
          </cell>
          <cell r="H58">
            <v>5.4128638677597918</v>
          </cell>
          <cell r="I58">
            <v>5.4143406365793876</v>
          </cell>
          <cell r="J58">
            <v>5.4119158628418482</v>
          </cell>
          <cell r="K58">
            <v>5.4066341143942038</v>
          </cell>
          <cell r="L58">
            <v>5.3993114600527763</v>
          </cell>
          <cell r="M58">
            <v>5.3905623386591754</v>
          </cell>
          <cell r="N58">
            <v>5.3808699822358106</v>
          </cell>
          <cell r="O58">
            <v>5.3705972070881725</v>
          </cell>
          <cell r="P58">
            <v>5.3600004636600493</v>
          </cell>
          <cell r="Q58">
            <v>5.3492602698946037</v>
          </cell>
          <cell r="R58">
            <v>5.338503543290364</v>
          </cell>
          <cell r="S58">
            <v>5.3278184899136232</v>
          </cell>
          <cell r="T58">
            <v>5.3172647917676956</v>
          </cell>
          <cell r="U58">
            <v>5.3068810225847791</v>
          </cell>
          <cell r="V58">
            <v>5.2966915035560218</v>
          </cell>
          <cell r="W58">
            <v>5.2867107327806231</v>
          </cell>
          <cell r="X58">
            <v>5.2769455806452399</v>
          </cell>
          <cell r="Y58">
            <v>5.267396895069461</v>
          </cell>
          <cell r="Z58">
            <v>5.2580614564337065</v>
          </cell>
          <cell r="AA58">
            <v>5.2489345498422546</v>
          </cell>
          <cell r="AB58">
            <v>5.2400107062940551</v>
          </cell>
          <cell r="AC58">
            <v>5.2312838407366469</v>
          </cell>
          <cell r="AD58">
            <v>5.2227473582819153</v>
          </cell>
          <cell r="AE58">
            <v>5.2143942391790921</v>
          </cell>
          <cell r="AF58">
            <v>5.2062171335398908</v>
          </cell>
          <cell r="AG58">
            <v>5.1982086446377078</v>
          </cell>
          <cell r="AH58">
            <v>5.1903615309080537</v>
          </cell>
          <cell r="AI58">
            <v>5.1826686991562383</v>
          </cell>
          <cell r="AJ58">
            <v>5.1751231915697158</v>
          </cell>
          <cell r="AK58">
            <v>5.1677181707918107</v>
          </cell>
          <cell r="AL58">
            <v>5.1604469037563154</v>
          </cell>
          <cell r="AM58">
            <v>5.1533027479650659</v>
          </cell>
          <cell r="AN58">
            <v>5.1462791399726839</v>
          </cell>
          <cell r="AO58">
            <v>5.1393696098172024</v>
          </cell>
          <cell r="AP58">
            <v>5.132567877470767</v>
          </cell>
          <cell r="AQ58">
            <v>5.1258678813763385</v>
          </cell>
          <cell r="AR58">
            <v>5.119263754533069</v>
          </cell>
          <cell r="AS58">
            <v>5.1127498023876461</v>
          </cell>
          <cell r="AT58">
            <v>5.1063204840116603</v>
          </cell>
          <cell r="AU58">
            <v>5.0999704299658415</v>
          </cell>
          <cell r="AV58">
            <v>5.0936945397852691</v>
          </cell>
          <cell r="AW58">
            <v>5.0874879962034907</v>
          </cell>
          <cell r="AX58">
            <v>5.0813462369762936</v>
          </cell>
          <cell r="AY58">
            <v>5.0752649293794745</v>
          </cell>
          <cell r="AZ58">
            <v>5.069239947706885</v>
          </cell>
          <cell r="BA58">
            <v>5.0632673533648438</v>
          </cell>
          <cell r="BB58">
            <v>5.0573433807859729</v>
          </cell>
          <cell r="BC58">
            <v>5.0514644811926699</v>
          </cell>
          <cell r="BD58">
            <v>5.045627383187921</v>
          </cell>
          <cell r="BE58">
            <v>5.0398290787113735</v>
          </cell>
          <cell r="BF58">
            <v>5.0340667999422548</v>
          </cell>
          <cell r="BG58">
            <v>5.0283379985890599</v>
          </cell>
          <cell r="BH58">
            <v>5.0226403272853837</v>
          </cell>
          <cell r="BI58">
            <v>5.016971625066045</v>
          </cell>
        </row>
        <row r="59">
          <cell r="B59">
            <v>5.3104179150059778</v>
          </cell>
          <cell r="C59">
            <v>5.3491520805365838</v>
          </cell>
          <cell r="D59">
            <v>5.3765506111950199</v>
          </cell>
          <cell r="E59">
            <v>5.3998507751331761</v>
          </cell>
          <cell r="F59">
            <v>5.4183184448515354</v>
          </cell>
          <cell r="G59">
            <v>5.4307381511847401</v>
          </cell>
          <cell r="H59">
            <v>5.4373564918541621</v>
          </cell>
          <cell r="I59">
            <v>5.4389980447427906</v>
          </cell>
          <cell r="J59">
            <v>5.4366862530658313</v>
          </cell>
          <cell r="K59">
            <v>5.4314538916049138</v>
          </cell>
          <cell r="L59">
            <v>5.4241025624714059</v>
          </cell>
          <cell r="M59">
            <v>5.4152370680239246</v>
          </cell>
          <cell r="N59">
            <v>5.4053373150772579</v>
          </cell>
          <cell r="O59">
            <v>5.3947724709135763</v>
          </cell>
          <cell r="P59">
            <v>5.3838084056226005</v>
          </cell>
          <cell r="Q59">
            <v>5.3726365849124917</v>
          </cell>
          <cell r="R59">
            <v>5.3613959531718036</v>
          </cell>
          <cell r="S59">
            <v>5.3501875227249363</v>
          </cell>
          <cell r="T59">
            <v>5.339084355954272</v>
          </cell>
          <cell r="U59">
            <v>5.3281385527856866</v>
          </cell>
          <cell r="V59">
            <v>5.3173862417496185</v>
          </cell>
          <cell r="W59">
            <v>5.3068512098436686</v>
          </cell>
          <cell r="X59">
            <v>5.296547585474527</v>
          </cell>
          <cell r="Y59">
            <v>5.2864818699501281</v>
          </cell>
          <cell r="Z59">
            <v>5.2766552348067615</v>
          </cell>
          <cell r="AA59">
            <v>5.2670662577512131</v>
          </cell>
          <cell r="AB59">
            <v>5.2577118132908822</v>
          </cell>
          <cell r="AC59">
            <v>5.2485873792265334</v>
          </cell>
          <cell r="AD59">
            <v>5.239687277463787</v>
          </cell>
          <cell r="AE59">
            <v>5.2310048666623112</v>
          </cell>
          <cell r="AF59">
            <v>5.2225326975980684</v>
          </cell>
          <cell r="AG59">
            <v>5.2142626393951437</v>
          </cell>
          <cell r="AH59">
            <v>5.206185983434656</v>
          </cell>
          <cell r="AI59">
            <v>5.1982936468439345</v>
          </cell>
          <cell r="AJ59">
            <v>5.1905767087724586</v>
          </cell>
          <cell r="AK59">
            <v>5.1830265997873362</v>
          </cell>
          <cell r="AL59">
            <v>5.1756350597320058</v>
          </cell>
          <cell r="AM59">
            <v>5.1683940970319728</v>
          </cell>
          <cell r="AN59">
            <v>5.1612959543809325</v>
          </cell>
          <cell r="AO59">
            <v>5.154333102142564</v>
          </cell>
          <cell r="AP59">
            <v>5.147498303390738</v>
          </cell>
          <cell r="AQ59">
            <v>5.1407846199599696</v>
          </cell>
          <cell r="AR59">
            <v>5.1341853787419094</v>
          </cell>
          <cell r="AS59">
            <v>5.1276941415652137</v>
          </cell>
          <cell r="AT59">
            <v>5.1213046795602359</v>
          </cell>
          <cell r="AU59">
            <v>5.1150109894122968</v>
          </cell>
          <cell r="AV59">
            <v>5.108807390200421</v>
          </cell>
          <cell r="AW59">
            <v>5.1026885306956613</v>
          </cell>
          <cell r="AX59">
            <v>5.0966493563057949</v>
          </cell>
          <cell r="AY59">
            <v>5.0906850794116583</v>
          </cell>
          <cell r="AZ59">
            <v>5.0847911531933141</v>
          </cell>
          <cell r="BA59">
            <v>5.0789632484762848</v>
          </cell>
          <cell r="BB59">
            <v>5.0731972363575961</v>
          </cell>
          <cell r="BC59">
            <v>5.0674892172840833</v>
          </cell>
          <cell r="BD59">
            <v>5.061835559702657</v>
          </cell>
          <cell r="BE59">
            <v>5.0562328833905026</v>
          </cell>
          <cell r="BF59">
            <v>5.050678037409269</v>
          </cell>
          <cell r="BG59">
            <v>5.0451680803391623</v>
          </cell>
          <cell r="BH59">
            <v>5.0397002625231355</v>
          </cell>
          <cell r="BI59">
            <v>5.0342720123819573</v>
          </cell>
        </row>
        <row r="60">
          <cell r="B60">
            <v>5.3209649181380545</v>
          </cell>
          <cell r="C60">
            <v>5.3546119221527633</v>
          </cell>
          <cell r="D60">
            <v>5.37741788162473</v>
          </cell>
          <cell r="E60">
            <v>5.3984482196419901</v>
          </cell>
          <cell r="F60">
            <v>5.4163627391038736</v>
          </cell>
          <cell r="G60">
            <v>5.429213637850304</v>
          </cell>
          <cell r="H60">
            <v>5.4367774443757932</v>
          </cell>
          <cell r="I60">
            <v>5.439586413756099</v>
          </cell>
          <cell r="J60">
            <v>5.4385478415858541</v>
          </cell>
          <cell r="K60">
            <v>5.4346528690999412</v>
          </cell>
          <cell r="L60">
            <v>5.4286835386963892</v>
          </cell>
          <cell r="M60">
            <v>5.4212363951383411</v>
          </cell>
          <cell r="N60">
            <v>5.4127851526583202</v>
          </cell>
          <cell r="O60">
            <v>5.4036896479500252</v>
          </cell>
          <cell r="P60">
            <v>5.3942058593704889</v>
          </cell>
          <cell r="Q60">
            <v>5.3845154957275811</v>
          </cell>
          <cell r="R60">
            <v>5.3747478400902038</v>
          </cell>
          <cell r="S60">
            <v>5.3649943124935611</v>
          </cell>
          <cell r="T60">
            <v>5.3553184349656426</v>
          </cell>
          <cell r="U60">
            <v>5.3457631326612507</v>
          </cell>
          <cell r="V60">
            <v>5.3363571318078016</v>
          </cell>
          <cell r="W60">
            <v>5.3271189140934476</v>
          </cell>
          <cell r="X60">
            <v>5.3180589664000832</v>
          </cell>
          <cell r="Y60">
            <v>5.309181480148184</v>
          </cell>
          <cell r="Z60">
            <v>5.3004865128021503</v>
          </cell>
          <cell r="AA60">
            <v>5.2919723923643094</v>
          </cell>
          <cell r="AB60">
            <v>5.2836363406575355</v>
          </cell>
          <cell r="AC60">
            <v>5.2754746715542078</v>
          </cell>
          <cell r="AD60">
            <v>5.2674829475194009</v>
          </cell>
          <cell r="AE60">
            <v>5.259656104872902</v>
          </cell>
          <cell r="AF60">
            <v>5.251988591708578</v>
          </cell>
          <cell r="AG60">
            <v>5.2444746732090604</v>
          </cell>
          <cell r="AH60">
            <v>5.2371086042247681</v>
          </cell>
          <cell r="AI60">
            <v>5.2298846335070506</v>
          </cell>
          <cell r="AJ60">
            <v>5.2227969910510224</v>
          </cell>
          <cell r="AK60">
            <v>5.2158398859521302</v>
          </cell>
          <cell r="AL60">
            <v>5.2090075091554917</v>
          </cell>
          <cell r="AM60">
            <v>5.202294035844087</v>
          </cell>
          <cell r="AN60">
            <v>5.1956936277872625</v>
          </cell>
          <cell r="AO60">
            <v>5.189200465550166</v>
          </cell>
          <cell r="AP60">
            <v>5.1828088448044252</v>
          </cell>
          <cell r="AQ60">
            <v>5.1765131973755665</v>
          </cell>
          <cell r="AR60">
            <v>5.1703080759618327</v>
          </cell>
          <cell r="AS60">
            <v>5.1641881403986476</v>
          </cell>
          <cell r="AT60">
            <v>5.1581481467290038</v>
          </cell>
          <cell r="AU60">
            <v>5.1521829844546811</v>
          </cell>
          <cell r="AV60">
            <v>5.1462877799808524</v>
          </cell>
          <cell r="AW60">
            <v>5.1404579034749682</v>
          </cell>
          <cell r="AX60">
            <v>5.1346889442386985</v>
          </cell>
          <cell r="AY60">
            <v>5.1289766887945127</v>
          </cell>
          <cell r="AZ60">
            <v>5.1233171015503043</v>
          </cell>
          <cell r="BA60">
            <v>5.1177063076950295</v>
          </cell>
          <cell r="BB60">
            <v>5.1121405846250729</v>
          </cell>
          <cell r="BC60">
            <v>5.1066164213801759</v>
          </cell>
          <cell r="BD60">
            <v>5.1011305733573211</v>
          </cell>
          <cell r="BE60">
            <v>5.0956800453469295</v>
          </cell>
          <cell r="BF60">
            <v>5.0902620696562497</v>
          </cell>
          <cell r="BG60">
            <v>5.0848740864958337</v>
          </cell>
          <cell r="BH60">
            <v>5.0795137263606289</v>
          </cell>
          <cell r="BI60">
            <v>5.0741787981082132</v>
          </cell>
        </row>
        <row r="61">
          <cell r="B61">
            <v>5.3213225169599081</v>
          </cell>
          <cell r="C61">
            <v>5.3646177877558472</v>
          </cell>
          <cell r="D61">
            <v>5.3917219196702604</v>
          </cell>
          <cell r="E61">
            <v>5.4136331178909725</v>
          </cell>
          <cell r="F61">
            <v>5.4303268905938316</v>
          </cell>
          <cell r="G61">
            <v>5.4412037126973578</v>
          </cell>
          <cell r="H61">
            <v>5.4467728456354418</v>
          </cell>
          <cell r="I61">
            <v>5.4479228313882642</v>
          </cell>
          <cell r="J61">
            <v>5.4456332510424268</v>
          </cell>
          <cell r="K61">
            <v>5.4408313137322892</v>
          </cell>
          <cell r="L61">
            <v>5.4342195920129104</v>
          </cell>
          <cell r="M61">
            <v>5.4263277864984927</v>
          </cell>
          <cell r="N61">
            <v>5.4175777852293647</v>
          </cell>
          <cell r="O61">
            <v>5.4082938193692733</v>
          </cell>
          <cell r="P61">
            <v>5.3987055164294029</v>
          </cell>
          <cell r="Q61">
            <v>5.388974678080066</v>
          </cell>
          <cell r="R61">
            <v>5.3792152289247417</v>
          </cell>
          <cell r="S61">
            <v>5.3695065156853028</v>
          </cell>
          <cell r="T61">
            <v>5.3599024084508171</v>
          </cell>
          <cell r="U61">
            <v>5.350438072880114</v>
          </cell>
          <cell r="V61">
            <v>5.3411361222935376</v>
          </cell>
          <cell r="W61">
            <v>5.3320102391888762</v>
          </cell>
          <cell r="X61">
            <v>5.3230671376642675</v>
          </cell>
          <cell r="Y61">
            <v>5.3143080554767224</v>
          </cell>
          <cell r="Z61">
            <v>5.3057308028654369</v>
          </cell>
          <cell r="AA61">
            <v>5.2973320046430299</v>
          </cell>
          <cell r="AB61">
            <v>5.2891075939743351</v>
          </cell>
          <cell r="AC61">
            <v>5.281052936311486</v>
          </cell>
          <cell r="AD61">
            <v>5.2731629272754184</v>
          </cell>
          <cell r="AE61">
            <v>5.265432071002774</v>
          </cell>
          <cell r="AF61">
            <v>5.2578545769238971</v>
          </cell>
          <cell r="AG61">
            <v>5.2504245973682542</v>
          </cell>
          <cell r="AH61">
            <v>5.2431363489914018</v>
          </cell>
          <cell r="AI61">
            <v>5.2359841024881177</v>
          </cell>
          <cell r="AJ61">
            <v>5.2289621580924228</v>
          </cell>
          <cell r="AK61">
            <v>5.2220648360152309</v>
          </cell>
          <cell r="AL61">
            <v>5.2152864736726627</v>
          </cell>
          <cell r="AM61">
            <v>5.2086214234222057</v>
          </cell>
          <cell r="AN61">
            <v>5.2020640510273211</v>
          </cell>
          <cell r="AO61">
            <v>5.1956087630528378</v>
          </cell>
          <cell r="AP61">
            <v>5.1892500888222015</v>
          </cell>
          <cell r="AQ61">
            <v>5.182982694203945</v>
          </cell>
          <cell r="AR61">
            <v>5.1768013661108689</v>
          </cell>
          <cell r="AS61">
            <v>5.1707009987450174</v>
          </cell>
          <cell r="AT61">
            <v>5.1646765828474122</v>
          </cell>
          <cell r="AU61">
            <v>5.1587232443266364</v>
          </cell>
          <cell r="AV61">
            <v>5.1528363422868226</v>
          </cell>
          <cell r="AW61">
            <v>5.1470114725662697</v>
          </cell>
          <cell r="AX61">
            <v>5.1412444437509528</v>
          </cell>
          <cell r="AY61">
            <v>5.1355312558997586</v>
          </cell>
          <cell r="AZ61">
            <v>5.1298680817726217</v>
          </cell>
          <cell r="BA61">
            <v>5.1242512502246704</v>
          </cell>
          <cell r="BB61">
            <v>5.118677238763147</v>
          </cell>
          <cell r="BC61">
            <v>5.1131427335461304</v>
          </cell>
          <cell r="BD61">
            <v>5.1076446794272146</v>
          </cell>
          <cell r="BE61">
            <v>5.1021802626334205</v>
          </cell>
          <cell r="BF61">
            <v>5.0967468895920787</v>
          </cell>
          <cell r="BG61">
            <v>5.0913421679480475</v>
          </cell>
          <cell r="BH61">
            <v>5.0859638895114916</v>
          </cell>
          <cell r="BI61">
            <v>5.0806100192357828</v>
          </cell>
        </row>
        <row r="62">
          <cell r="B62">
            <v>5.3217075755605094</v>
          </cell>
          <cell r="C62">
            <v>5.3660230251107288</v>
          </cell>
          <cell r="D62">
            <v>5.3942932096484766</v>
          </cell>
          <cell r="E62">
            <v>5.4173796441366644</v>
          </cell>
          <cell r="F62">
            <v>5.4350754554961602</v>
          </cell>
          <cell r="G62">
            <v>5.4467980254112236</v>
          </cell>
          <cell r="H62">
            <v>5.4530509733771186</v>
          </cell>
          <cell r="I62">
            <v>5.4547305714112566</v>
          </cell>
          <cell r="J62">
            <v>5.4528585457391623</v>
          </cell>
          <cell r="K62">
            <v>5.4484152662030301</v>
          </cell>
          <cell r="L62">
            <v>5.4421457749598989</v>
          </cell>
          <cell r="M62">
            <v>5.4346033461436498</v>
          </cell>
          <cell r="N62">
            <v>5.4262180213700599</v>
          </cell>
          <cell r="O62">
            <v>5.4173133585894329</v>
          </cell>
          <cell r="P62">
            <v>5.4081173252696066</v>
          </cell>
          <cell r="Q62">
            <v>5.3987899160558559</v>
          </cell>
          <cell r="R62">
            <v>5.389443144775349</v>
          </cell>
          <cell r="S62">
            <v>5.3801543724421839</v>
          </cell>
          <cell r="T62">
            <v>5.3709754294850267</v>
          </cell>
          <cell r="U62">
            <v>5.3619395160193699</v>
          </cell>
          <cell r="V62">
            <v>5.3530676502529264</v>
          </cell>
          <cell r="W62">
            <v>5.3443722832940681</v>
          </cell>
          <cell r="X62">
            <v>5.3358591815740413</v>
          </cell>
          <cell r="Y62">
            <v>5.3275288657408684</v>
          </cell>
          <cell r="Z62">
            <v>5.3193786330451562</v>
          </cell>
          <cell r="AA62">
            <v>5.3114046813199982</v>
          </cell>
          <cell r="AB62">
            <v>5.3036025520834755</v>
          </cell>
          <cell r="AC62">
            <v>5.2959672479738167</v>
          </cell>
          <cell r="AD62">
            <v>5.2884933256597089</v>
          </cell>
          <cell r="AE62">
            <v>5.281174970240829</v>
          </cell>
          <cell r="AF62">
            <v>5.2740060929957604</v>
          </cell>
          <cell r="AG62">
            <v>5.2669805722005982</v>
          </cell>
          <cell r="AH62">
            <v>5.2600923667238222</v>
          </cell>
          <cell r="AI62">
            <v>5.2533355076605464</v>
          </cell>
          <cell r="AJ62">
            <v>5.2467040862943914</v>
          </cell>
          <cell r="AK62">
            <v>5.2401922452195944</v>
          </cell>
          <cell r="AL62">
            <v>5.2337941714014962</v>
          </cell>
          <cell r="AM62">
            <v>5.2275040903382397</v>
          </cell>
          <cell r="AN62">
            <v>5.2213162616125324</v>
          </cell>
          <cell r="AO62">
            <v>5.2152250059574241</v>
          </cell>
          <cell r="AP62">
            <v>5.2092247846132516</v>
          </cell>
          <cell r="AQ62">
            <v>5.2033102088704055</v>
          </cell>
          <cell r="AR62">
            <v>5.1974760229089529</v>
          </cell>
          <cell r="AS62">
            <v>5.1917170886975406</v>
          </cell>
          <cell r="AT62">
            <v>5.186028374338111</v>
          </cell>
          <cell r="AU62">
            <v>5.1804049944925712</v>
          </cell>
          <cell r="AV62">
            <v>5.1748423051999115</v>
          </cell>
          <cell r="AW62">
            <v>5.1693359039508247</v>
          </cell>
          <cell r="AX62">
            <v>5.1638816051675533</v>
          </cell>
          <cell r="AY62">
            <v>5.1584754185107329</v>
          </cell>
          <cell r="AZ62">
            <v>5.1531135297383699</v>
          </cell>
          <cell r="BA62">
            <v>5.147792283773474</v>
          </cell>
          <cell r="BB62">
            <v>5.142508178059856</v>
          </cell>
          <cell r="BC62">
            <v>5.1372579255892159</v>
          </cell>
          <cell r="BD62">
            <v>5.1320385024518966</v>
          </cell>
          <cell r="BE62">
            <v>5.1268471294364213</v>
          </cell>
          <cell r="BF62">
            <v>5.1216812505647402</v>
          </cell>
          <cell r="BG62">
            <v>5.1165385138479715</v>
          </cell>
          <cell r="BH62">
            <v>5.1114167539996496</v>
          </cell>
          <cell r="BI62">
            <v>5.1063139818516143</v>
          </cell>
        </row>
        <row r="63">
          <cell r="B63">
            <v>5.3234353707647832</v>
          </cell>
          <cell r="C63">
            <v>5.3618140540373211</v>
          </cell>
          <cell r="D63">
            <v>5.3862105615157727</v>
          </cell>
          <cell r="E63">
            <v>5.4075571997852228</v>
          </cell>
          <cell r="F63">
            <v>5.4249582622059895</v>
          </cell>
          <cell r="G63">
            <v>5.4371774845302943</v>
          </cell>
          <cell r="H63">
            <v>5.444231421762038</v>
          </cell>
          <cell r="I63">
            <v>5.4467013803370179</v>
          </cell>
          <cell r="J63">
            <v>5.4454785921418418</v>
          </cell>
          <cell r="K63">
            <v>5.4414981401517064</v>
          </cell>
          <cell r="L63">
            <v>5.4354932241847775</v>
          </cell>
          <cell r="M63">
            <v>5.4280311847987051</v>
          </cell>
          <cell r="N63">
            <v>5.4195746205646849</v>
          </cell>
          <cell r="O63">
            <v>5.4104844117039637</v>
          </cell>
          <cell r="P63">
            <v>5.4010180878177367</v>
          </cell>
          <cell r="Q63">
            <v>5.3913587771940126</v>
          </cell>
          <cell r="R63">
            <v>5.381637089543565</v>
          </cell>
          <cell r="S63">
            <v>5.3719457044935899</v>
          </cell>
          <cell r="T63">
            <v>5.3623493553700152</v>
          </cell>
          <cell r="U63">
            <v>5.3528921022259173</v>
          </cell>
          <cell r="V63">
            <v>5.3436032827101894</v>
          </cell>
          <cell r="W63">
            <v>5.3345012596829946</v>
          </cell>
          <cell r="X63">
            <v>5.3255958152151139</v>
          </cell>
          <cell r="Y63">
            <v>5.3168900022571979</v>
          </cell>
          <cell r="Z63">
            <v>5.3083826936881175</v>
          </cell>
          <cell r="AA63">
            <v>5.3000711176683479</v>
          </cell>
          <cell r="AB63">
            <v>5.2919514152855776</v>
          </cell>
          <cell r="AC63">
            <v>5.2840188348196495</v>
          </cell>
          <cell r="AD63">
            <v>5.2762678856749572</v>
          </cell>
          <cell r="AE63">
            <v>5.268692461678679</v>
          </cell>
          <cell r="AF63">
            <v>5.2612859952595272</v>
          </cell>
          <cell r="AG63">
            <v>5.254041794184249</v>
          </cell>
          <cell r="AH63">
            <v>5.2469531956270483</v>
          </cell>
          <cell r="AI63">
            <v>5.2400135722371841</v>
          </cell>
          <cell r="AJ63">
            <v>5.2332163421120299</v>
          </cell>
          <cell r="AK63">
            <v>5.2265549666796431</v>
          </cell>
          <cell r="AL63">
            <v>5.2200229448803528</v>
          </cell>
          <cell r="AM63">
            <v>5.2136138082309289</v>
          </cell>
          <cell r="AN63">
            <v>5.2073211173940077</v>
          </cell>
          <cell r="AO63">
            <v>5.2011384986060776</v>
          </cell>
          <cell r="AP63">
            <v>5.1950597386711461</v>
          </cell>
          <cell r="AQ63">
            <v>5.1890787946860568</v>
          </cell>
          <cell r="AR63">
            <v>5.1831897744949922</v>
          </cell>
          <cell r="AS63">
            <v>5.177386919559094</v>
          </cell>
          <cell r="AT63">
            <v>5.1716645920189537</v>
          </cell>
          <cell r="AU63">
            <v>5.1660173219186012</v>
          </cell>
          <cell r="AV63">
            <v>5.1604399084450527</v>
          </cell>
          <cell r="AW63">
            <v>5.1549274169603505</v>
          </cell>
          <cell r="AX63">
            <v>5.1494751519275122</v>
          </cell>
          <cell r="AY63">
            <v>5.1440786330004382</v>
          </cell>
          <cell r="AZ63">
            <v>5.1387335739267694</v>
          </cell>
          <cell r="BA63">
            <v>5.1334358638854578</v>
          </cell>
          <cell r="BB63">
            <v>5.1281815608358867</v>
          </cell>
          <cell r="BC63">
            <v>5.1229669590333256</v>
          </cell>
          <cell r="BD63">
            <v>5.1177886348630226</v>
          </cell>
          <cell r="BE63">
            <v>5.1126434262617284</v>
          </cell>
          <cell r="BF63">
            <v>5.1075284097745888</v>
          </cell>
          <cell r="BG63">
            <v>5.1024408799854566</v>
          </cell>
          <cell r="BH63">
            <v>5.0973783310403871</v>
          </cell>
          <cell r="BI63">
            <v>5.0923384456874121</v>
          </cell>
        </row>
        <row r="64">
          <cell r="B64">
            <v>5.3263160582594802</v>
          </cell>
          <cell r="C64">
            <v>5.3713411843232715</v>
          </cell>
          <cell r="D64">
            <v>5.3987636961232024</v>
          </cell>
          <cell r="E64">
            <v>5.4208447961954365</v>
          </cell>
          <cell r="F64">
            <v>5.4378993500074229</v>
          </cell>
          <cell r="G64">
            <v>5.4496561295109061</v>
          </cell>
          <cell r="H64">
            <v>5.4565176165972753</v>
          </cell>
          <cell r="I64">
            <v>5.4591775303472936</v>
          </cell>
          <cell r="J64">
            <v>5.4584809012126376</v>
          </cell>
          <cell r="K64">
            <v>5.4552611571799998</v>
          </cell>
          <cell r="L64">
            <v>5.4501740250789688</v>
          </cell>
          <cell r="M64">
            <v>5.4437268949457218</v>
          </cell>
          <cell r="N64">
            <v>5.4363321884077012</v>
          </cell>
          <cell r="O64">
            <v>5.4283136434841772</v>
          </cell>
          <cell r="P64">
            <v>5.4199038307878586</v>
          </cell>
          <cell r="Q64">
            <v>5.4112690307306277</v>
          </cell>
          <cell r="R64">
            <v>5.402528730420487</v>
          </cell>
          <cell r="S64">
            <v>5.3937686218015264</v>
          </cell>
          <cell r="T64">
            <v>5.385049497472842</v>
          </cell>
          <cell r="U64">
            <v>5.3764137216834458</v>
          </cell>
          <cell r="V64">
            <v>5.3678904352887367</v>
          </cell>
          <cell r="W64">
            <v>5.359498857187079</v>
          </cell>
          <cell r="X64">
            <v>5.3512504464075921</v>
          </cell>
          <cell r="Y64">
            <v>5.3431505819706491</v>
          </cell>
          <cell r="Z64">
            <v>5.3352008448948087</v>
          </cell>
          <cell r="AA64">
            <v>5.3274011771444583</v>
          </cell>
          <cell r="AB64">
            <v>5.3197503765382681</v>
          </cell>
          <cell r="AC64">
            <v>5.3122463011171774</v>
          </cell>
          <cell r="AD64">
            <v>5.3048860311750383</v>
          </cell>
          <cell r="AE64">
            <v>5.2976659990241091</v>
          </cell>
          <cell r="AF64">
            <v>5.2905821301434726</v>
          </cell>
          <cell r="AG64">
            <v>5.2836300851845515</v>
          </cell>
          <cell r="AH64">
            <v>5.2768053773586603</v>
          </cell>
          <cell r="AI64">
            <v>5.2701033941138968</v>
          </cell>
          <cell r="AJ64">
            <v>5.2635194096981923</v>
          </cell>
          <cell r="AK64">
            <v>5.2570485994884013</v>
          </cell>
          <cell r="AL64">
            <v>5.2506860533414468</v>
          </cell>
          <cell r="AM64">
            <v>5.2444267868469394</v>
          </cell>
          <cell r="AN64">
            <v>5.2382657515862459</v>
          </cell>
          <cell r="AO64">
            <v>5.2321978769258193</v>
          </cell>
          <cell r="AP64">
            <v>5.2262181533301497</v>
          </cell>
          <cell r="AQ64">
            <v>5.2203216459563757</v>
          </cell>
          <cell r="AR64">
            <v>5.2145034861165387</v>
          </cell>
          <cell r="AS64">
            <v>5.2087588637599929</v>
          </cell>
          <cell r="AT64">
            <v>5.2030830231690466</v>
          </cell>
          <cell r="AU64">
            <v>5.1974713183691499</v>
          </cell>
          <cell r="AV64">
            <v>5.1919193139250082</v>
          </cell>
          <cell r="AW64">
            <v>5.1864227847962319</v>
          </cell>
          <cell r="AX64">
            <v>5.1809776949220847</v>
          </cell>
          <cell r="AY64">
            <v>5.1755801783235196</v>
          </cell>
          <cell r="AZ64">
            <v>5.1702265224284956</v>
          </cell>
          <cell r="BA64">
            <v>5.1649131533228472</v>
          </cell>
          <cell r="BB64">
            <v>5.1596366335458796</v>
          </cell>
          <cell r="BC64">
            <v>5.154393732835536</v>
          </cell>
          <cell r="BD64">
            <v>5.1491814720903442</v>
          </cell>
          <cell r="BE64">
            <v>5.1439971048212989</v>
          </cell>
          <cell r="BF64">
            <v>5.1388380967472642</v>
          </cell>
          <cell r="BG64">
            <v>5.1337021075011897</v>
          </cell>
          <cell r="BH64">
            <v>5.1285869741997674</v>
          </cell>
          <cell r="BI64">
            <v>5.1234907028889554</v>
          </cell>
        </row>
        <row r="65">
          <cell r="B65">
            <v>5.3420112547466987</v>
          </cell>
          <cell r="C65">
            <v>5.3811816765950331</v>
          </cell>
          <cell r="D65">
            <v>5.4073409261548964</v>
          </cell>
          <cell r="E65">
            <v>5.4305268666759003</v>
          </cell>
          <cell r="F65">
            <v>5.4495428348456842</v>
          </cell>
          <cell r="G65">
            <v>5.4633780079833398</v>
          </cell>
          <cell r="H65">
            <v>5.4720040058425159</v>
          </cell>
          <cell r="I65">
            <v>5.4759234176381861</v>
          </cell>
          <cell r="J65">
            <v>5.4760278010491605</v>
          </cell>
          <cell r="K65">
            <v>5.473267190135803</v>
          </cell>
          <cell r="L65">
            <v>5.468390234686991</v>
          </cell>
          <cell r="M65">
            <v>5.461978116580994</v>
          </cell>
          <cell r="N65">
            <v>5.4545008360105713</v>
          </cell>
          <cell r="O65">
            <v>5.4463224440446592</v>
          </cell>
          <cell r="P65">
            <v>5.4377034084335563</v>
          </cell>
          <cell r="Q65">
            <v>5.4288296430153036</v>
          </cell>
          <cell r="R65">
            <v>5.4198344352913912</v>
          </cell>
          <cell r="S65">
            <v>5.4108130648535635</v>
          </cell>
          <cell r="T65">
            <v>5.4018328122866297</v>
          </cell>
          <cell r="U65">
            <v>5.3929403583553901</v>
          </cell>
          <cell r="V65">
            <v>5.3841677424346353</v>
          </cell>
          <cell r="W65">
            <v>5.3755359939570955</v>
          </cell>
          <cell r="X65">
            <v>5.3670575289207596</v>
          </cell>
          <cell r="Y65">
            <v>5.3587380556353947</v>
          </cell>
          <cell r="Z65">
            <v>5.3505792964911674</v>
          </cell>
          <cell r="AA65">
            <v>5.3425812486896795</v>
          </cell>
          <cell r="AB65">
            <v>5.3347426565735612</v>
          </cell>
          <cell r="AC65">
            <v>5.3270612353523354</v>
          </cell>
          <cell r="AD65">
            <v>5.3195338485391517</v>
          </cell>
          <cell r="AE65">
            <v>5.3121566503177569</v>
          </cell>
          <cell r="AF65">
            <v>5.3049252493723591</v>
          </cell>
          <cell r="AG65">
            <v>5.2978349673359029</v>
          </cell>
          <cell r="AH65">
            <v>5.2908809486345421</v>
          </cell>
          <cell r="AI65">
            <v>5.2840581964133193</v>
          </cell>
          <cell r="AJ65">
            <v>5.277361609115709</v>
          </cell>
          <cell r="AK65">
            <v>5.2707859983449055</v>
          </cell>
          <cell r="AL65">
            <v>5.264326100609046</v>
          </cell>
          <cell r="AM65">
            <v>5.2579765872021422</v>
          </cell>
          <cell r="AN65">
            <v>5.2517320739573252</v>
          </cell>
          <cell r="AO65">
            <v>5.2455871698650647</v>
          </cell>
          <cell r="AP65">
            <v>5.2395365576414346</v>
          </cell>
          <cell r="AQ65">
            <v>5.233575001158874</v>
          </cell>
          <cell r="AR65">
            <v>5.2276973360586751</v>
          </cell>
          <cell r="AS65">
            <v>5.2218984615954351</v>
          </cell>
          <cell r="AT65">
            <v>5.2161733374260981</v>
          </cell>
          <cell r="AU65">
            <v>5.2105170517086226</v>
          </cell>
          <cell r="AV65">
            <v>5.2049249175318204</v>
          </cell>
          <cell r="AW65">
            <v>5.1993924659808792</v>
          </cell>
          <cell r="AX65">
            <v>5.1939154239029763</v>
          </cell>
          <cell r="AY65">
            <v>5.1884896943310803</v>
          </cell>
          <cell r="AZ65">
            <v>5.1831113392108348</v>
          </cell>
          <cell r="BA65">
            <v>5.1777765641376474</v>
          </cell>
          <cell r="BB65">
            <v>5.1724817204088378</v>
          </cell>
          <cell r="BC65">
            <v>5.1672233832839343</v>
          </cell>
          <cell r="BD65">
            <v>5.161998387230736</v>
          </cell>
          <cell r="BE65">
            <v>5.1568038052419531</v>
          </cell>
          <cell r="BF65">
            <v>5.1516369279119756</v>
          </cell>
          <cell r="BG65">
            <v>5.1464952446781007</v>
          </cell>
          <cell r="BH65">
            <v>5.1413764269878177</v>
          </cell>
          <cell r="BI65">
            <v>5.1362783217051975</v>
          </cell>
        </row>
        <row r="66">
          <cell r="B66">
            <v>5.3663107131392973</v>
          </cell>
          <cell r="C66">
            <v>5.4056409891565576</v>
          </cell>
          <cell r="D66">
            <v>5.4328346268922489</v>
          </cell>
          <cell r="E66">
            <v>5.4556131176427298</v>
          </cell>
          <cell r="F66">
            <v>5.4735695896573207</v>
          </cell>
          <cell r="G66">
            <v>5.486385205694118</v>
          </cell>
          <cell r="H66">
            <v>5.4944204070133944</v>
          </cell>
          <cell r="I66">
            <v>5.4983221726307523</v>
          </cell>
          <cell r="J66">
            <v>5.4988812767278157</v>
          </cell>
          <cell r="K66">
            <v>5.4968452126008911</v>
          </cell>
          <cell r="L66">
            <v>5.4927904940175063</v>
          </cell>
          <cell r="M66">
            <v>5.4871831247463234</v>
          </cell>
          <cell r="N66">
            <v>5.4804240004333122</v>
          </cell>
          <cell r="O66">
            <v>5.4728413225567403</v>
          </cell>
          <cell r="P66">
            <v>5.4646790262940046</v>
          </cell>
          <cell r="Q66">
            <v>5.456119708849414</v>
          </cell>
          <cell r="R66">
            <v>5.4473026700312204</v>
          </cell>
          <cell r="S66">
            <v>5.438335939306076</v>
          </cell>
          <cell r="T66">
            <v>5.4293044601771463</v>
          </cell>
          <cell r="U66">
            <v>5.4202744486298799</v>
          </cell>
          <cell r="V66">
            <v>5.4112950929898638</v>
          </cell>
          <cell r="W66">
            <v>5.4024018472095552</v>
          </cell>
          <cell r="X66">
            <v>5.3936194145126333</v>
          </cell>
          <cell r="Y66">
            <v>5.3849640839027959</v>
          </cell>
          <cell r="Z66">
            <v>5.3764465021133407</v>
          </cell>
          <cell r="AA66">
            <v>5.3680738567443624</v>
          </cell>
          <cell r="AB66">
            <v>5.3598506192072612</v>
          </cell>
          <cell r="AC66">
            <v>5.3517790297584602</v>
          </cell>
          <cell r="AD66">
            <v>5.3438594821813004</v>
          </cell>
          <cell r="AE66">
            <v>5.3360908322500036</v>
          </cell>
          <cell r="AF66">
            <v>5.3284707143604715</v>
          </cell>
          <cell r="AG66">
            <v>5.3209959548434878</v>
          </cell>
          <cell r="AH66">
            <v>5.3136627750514656</v>
          </cell>
          <cell r="AI66">
            <v>5.3064669306282131</v>
          </cell>
          <cell r="AJ66">
            <v>5.2994038648625992</v>
          </cell>
          <cell r="AK66">
            <v>5.2924687682479234</v>
          </cell>
          <cell r="AL66">
            <v>5.2856566126778208</v>
          </cell>
          <cell r="AM66">
            <v>5.2789621802093709</v>
          </cell>
          <cell r="AN66">
            <v>5.2723800897595021</v>
          </cell>
          <cell r="AO66">
            <v>5.2659048796288923</v>
          </cell>
          <cell r="AP66">
            <v>5.2595311278331698</v>
          </cell>
          <cell r="AQ66">
            <v>5.2532534680469869</v>
          </cell>
          <cell r="AR66">
            <v>5.2470665831760837</v>
          </cell>
          <cell r="AS66">
            <v>5.240965199762849</v>
          </cell>
          <cell r="AT66">
            <v>5.2349440881330356</v>
          </cell>
          <cell r="AU66">
            <v>5.2289981441802178</v>
          </cell>
          <cell r="AV66">
            <v>5.2231224947101182</v>
          </cell>
          <cell r="AW66">
            <v>5.2173124896671581</v>
          </cell>
          <cell r="AX66">
            <v>5.2115636793703484</v>
          </cell>
          <cell r="AY66">
            <v>5.2058717944758364</v>
          </cell>
          <cell r="AZ66">
            <v>5.2002327282967808</v>
          </cell>
          <cell r="BA66">
            <v>5.1946425211946989</v>
          </cell>
          <cell r="BB66">
            <v>5.1890973648428327</v>
          </cell>
          <cell r="BC66">
            <v>5.1835936861040448</v>
          </cell>
          <cell r="BD66">
            <v>5.178128180813804</v>
          </cell>
          <cell r="BE66">
            <v>5.1726977919302106</v>
          </cell>
          <cell r="BF66">
            <v>5.1672996878565645</v>
          </cell>
          <cell r="BG66">
            <v>5.1619312430064408</v>
          </cell>
          <cell r="BH66">
            <v>5.1565900203743498</v>
          </cell>
          <cell r="BI66">
            <v>5.1512737653480398</v>
          </cell>
        </row>
        <row r="67">
          <cell r="B67">
            <v>5.3796725105112291</v>
          </cell>
          <cell r="C67">
            <v>5.414250305804865</v>
          </cell>
          <cell r="D67">
            <v>5.4405416486489511</v>
          </cell>
          <cell r="E67">
            <v>5.4638037704974955</v>
          </cell>
          <cell r="F67">
            <v>5.4827553237322215</v>
          </cell>
          <cell r="G67">
            <v>5.4966959345448902</v>
          </cell>
          <cell r="H67">
            <v>5.5057843881096575</v>
          </cell>
          <cell r="I67">
            <v>5.5105748150348948</v>
          </cell>
          <cell r="J67">
            <v>5.5118517160906171</v>
          </cell>
          <cell r="K67">
            <v>5.5104013259279148</v>
          </cell>
          <cell r="L67">
            <v>5.5068513879244332</v>
          </cell>
          <cell r="M67">
            <v>5.5017056607117416</v>
          </cell>
          <cell r="N67">
            <v>5.495388284718179</v>
          </cell>
          <cell r="O67">
            <v>5.4882396892861633</v>
          </cell>
          <cell r="P67">
            <v>5.4805110560076713</v>
          </cell>
          <cell r="Q67">
            <v>5.4723890677088942</v>
          </cell>
          <cell r="R67">
            <v>5.4640148786724243</v>
          </cell>
          <cell r="S67">
            <v>5.4554967614549241</v>
          </cell>
          <cell r="T67">
            <v>5.4469187181185044</v>
          </cell>
          <cell r="U67">
            <v>5.4383453860791064</v>
          </cell>
          <cell r="V67">
            <v>5.4298245391090632</v>
          </cell>
          <cell r="W67">
            <v>5.4213905137112475</v>
          </cell>
          <cell r="X67">
            <v>5.4130671292029433</v>
          </cell>
          <cell r="Y67">
            <v>5.4048699888014236</v>
          </cell>
          <cell r="Z67">
            <v>5.396809248457207</v>
          </cell>
          <cell r="AA67">
            <v>5.3888917213623913</v>
          </cell>
          <cell r="AB67">
            <v>5.3811215866191588</v>
          </cell>
          <cell r="AC67">
            <v>5.3735008596129825</v>
          </cell>
          <cell r="AD67">
            <v>5.3660297650672284</v>
          </cell>
          <cell r="AE67">
            <v>5.3587070363209293</v>
          </cell>
          <cell r="AF67">
            <v>5.3515302211818341</v>
          </cell>
          <cell r="AG67">
            <v>5.3444960635195802</v>
          </cell>
          <cell r="AH67">
            <v>5.3376006920002856</v>
          </cell>
          <cell r="AI67">
            <v>5.3308397673348367</v>
          </cell>
          <cell r="AJ67">
            <v>5.3242086412021017</v>
          </cell>
          <cell r="AK67">
            <v>5.3177024149376297</v>
          </cell>
          <cell r="AL67">
            <v>5.3113159733860424</v>
          </cell>
          <cell r="AM67">
            <v>5.3050440133866728</v>
          </cell>
          <cell r="AN67">
            <v>5.2988810706963667</v>
          </cell>
          <cell r="AO67">
            <v>5.292821605861656</v>
          </cell>
          <cell r="AP67">
            <v>5.2868601221289149</v>
          </cell>
          <cell r="AQ67">
            <v>5.2809911790586854</v>
          </cell>
          <cell r="AR67">
            <v>5.2752093860039491</v>
          </cell>
          <cell r="AS67">
            <v>5.2695093964518867</v>
          </cell>
          <cell r="AT67">
            <v>5.2638859089956993</v>
          </cell>
          <cell r="AU67">
            <v>5.2583337538736803</v>
          </cell>
          <cell r="AV67">
            <v>5.2528479956329015</v>
          </cell>
          <cell r="AW67">
            <v>5.2474239233481006</v>
          </cell>
          <cell r="AX67">
            <v>5.2420570277126597</v>
          </cell>
          <cell r="AY67">
            <v>5.2367429808767518</v>
          </cell>
          <cell r="AZ67">
            <v>5.2314776186574541</v>
          </cell>
          <cell r="BA67">
            <v>5.2262569248533364</v>
          </cell>
          <cell r="BB67">
            <v>5.2210770375134432</v>
          </cell>
          <cell r="BC67">
            <v>5.2159343350179972</v>
          </cell>
          <cell r="BD67">
            <v>5.2108254668078686</v>
          </cell>
          <cell r="BE67">
            <v>5.2057473310042619</v>
          </cell>
          <cell r="BF67">
            <v>5.2006970525946556</v>
          </cell>
          <cell r="BG67">
            <v>5.1956719638753572</v>
          </cell>
          <cell r="BH67">
            <v>5.1906695869275818</v>
          </cell>
          <cell r="BI67">
            <v>5.1856876284564368</v>
          </cell>
        </row>
        <row r="68">
          <cell r="B68">
            <v>5.3798998145123589</v>
          </cell>
          <cell r="C68">
            <v>5.4190106274367666</v>
          </cell>
          <cell r="D68">
            <v>5.4443438083582372</v>
          </cell>
          <cell r="E68">
            <v>5.465052564107225</v>
          </cell>
          <cell r="F68">
            <v>5.4809519494926224</v>
          </cell>
          <cell r="G68">
            <v>5.4918335978976049</v>
          </cell>
          <cell r="H68">
            <v>5.4981141421006381</v>
          </cell>
          <cell r="I68">
            <v>5.5004542509801082</v>
          </cell>
          <cell r="J68">
            <v>5.4996208543383984</v>
          </cell>
          <cell r="K68">
            <v>5.4963331279482661</v>
          </cell>
          <cell r="L68">
            <v>5.491158694629501</v>
          </cell>
          <cell r="M68">
            <v>5.4845549689669992</v>
          </cell>
          <cell r="N68">
            <v>5.4769154450580508</v>
          </cell>
          <cell r="O68">
            <v>5.4685621933946802</v>
          </cell>
          <cell r="P68">
            <v>5.459732455072035</v>
          </cell>
          <cell r="Q68">
            <v>5.4506016072428212</v>
          </cell>
          <cell r="R68">
            <v>5.4413013583910752</v>
          </cell>
          <cell r="S68">
            <v>5.4319318785178927</v>
          </cell>
          <cell r="T68">
            <v>5.42257004901297</v>
          </cell>
          <cell r="U68">
            <v>5.4132740665343135</v>
          </cell>
          <cell r="V68">
            <v>5.404085833742915</v>
          </cell>
          <cell r="W68">
            <v>5.3950342977374799</v>
          </cell>
          <cell r="X68">
            <v>5.3861382658249148</v>
          </cell>
          <cell r="Y68">
            <v>5.3774086666760859</v>
          </cell>
          <cell r="Z68">
            <v>5.3688515118756079</v>
          </cell>
          <cell r="AA68">
            <v>5.3604700534534651</v>
          </cell>
          <cell r="AB68">
            <v>5.352265388241527</v>
          </cell>
          <cell r="AC68">
            <v>5.3442368427303633</v>
          </cell>
          <cell r="AD68">
            <v>5.3363822783004933</v>
          </cell>
          <cell r="AE68">
            <v>5.3286983367892269</v>
          </cell>
          <cell r="AF68">
            <v>5.3211807272800433</v>
          </cell>
          <cell r="AG68">
            <v>5.3138246230396291</v>
          </cell>
          <cell r="AH68">
            <v>5.3066248214001943</v>
          </cell>
          <cell r="AI68">
            <v>5.2995758448066912</v>
          </cell>
          <cell r="AJ68">
            <v>5.2926720488868035</v>
          </cell>
          <cell r="AK68">
            <v>5.2859076564350618</v>
          </cell>
          <cell r="AL68">
            <v>5.2792767753726739</v>
          </cell>
          <cell r="AM68">
            <v>5.272773413862434</v>
          </cell>
          <cell r="AN68">
            <v>5.2663914964168175</v>
          </cell>
          <cell r="AO68">
            <v>5.2601249431675301</v>
          </cell>
          <cell r="AP68">
            <v>5.2539677762920531</v>
          </cell>
          <cell r="AQ68">
            <v>5.2479141245789771</v>
          </cell>
          <cell r="AR68">
            <v>5.2419582110459553</v>
          </cell>
          <cell r="AS68">
            <v>5.2360943422318584</v>
          </cell>
          <cell r="AT68">
            <v>5.2303169054470802</v>
          </cell>
          <cell r="AU68">
            <v>5.224620451580571</v>
          </cell>
          <cell r="AV68">
            <v>5.2189997863999462</v>
          </cell>
          <cell r="AW68">
            <v>5.2134499564397911</v>
          </cell>
          <cell r="AX68">
            <v>5.2079662244341307</v>
          </cell>
          <cell r="AY68">
            <v>5.2025440476964935</v>
          </cell>
          <cell r="AZ68">
            <v>5.1971790590434743</v>
          </cell>
          <cell r="BA68">
            <v>5.1918670499965192</v>
          </cell>
          <cell r="BB68">
            <v>5.1866039772331085</v>
          </cell>
          <cell r="BC68">
            <v>5.1813860451156168</v>
          </cell>
          <cell r="BD68">
            <v>5.1762097307982842</v>
          </cell>
          <cell r="BE68">
            <v>5.1710717613182835</v>
          </cell>
          <cell r="BF68">
            <v>5.1659690916761649</v>
          </cell>
          <cell r="BG68">
            <v>5.1608988851838395</v>
          </cell>
          <cell r="BH68">
            <v>5.1558584958730274</v>
          </cell>
          <cell r="BI68">
            <v>5.1508454637875314</v>
          </cell>
        </row>
        <row r="69">
          <cell r="B69">
            <v>5.3724328576726448</v>
          </cell>
          <cell r="C69">
            <v>5.4038582867131106</v>
          </cell>
          <cell r="D69">
            <v>5.4292152614895093</v>
          </cell>
          <cell r="E69">
            <v>5.4509904897603292</v>
          </cell>
          <cell r="F69">
            <v>5.4675622612194621</v>
          </cell>
          <cell r="G69">
            <v>5.4784998719725904</v>
          </cell>
          <cell r="H69">
            <v>5.4844036676760943</v>
          </cell>
          <cell r="I69">
            <v>5.4861416692884575</v>
          </cell>
          <cell r="J69">
            <v>5.4845787152988619</v>
          </cell>
          <cell r="K69">
            <v>5.4804696560789701</v>
          </cell>
          <cell r="L69">
            <v>5.4744152256079195</v>
          </cell>
          <cell r="M69">
            <v>5.4669044824259796</v>
          </cell>
          <cell r="N69">
            <v>5.4583621561794766</v>
          </cell>
          <cell r="O69">
            <v>5.4491392540235459</v>
          </cell>
          <cell r="P69">
            <v>5.4394937118467928</v>
          </cell>
          <cell r="Q69">
            <v>5.4296144962441479</v>
          </cell>
          <cell r="R69">
            <v>5.4196418892985072</v>
          </cell>
          <cell r="S69">
            <v>5.4096810120563044</v>
          </cell>
          <cell r="T69">
            <v>5.3998109583077092</v>
          </cell>
          <cell r="U69">
            <v>5.3900896279765007</v>
          </cell>
          <cell r="V69">
            <v>5.3805567981319413</v>
          </cell>
          <cell r="W69">
            <v>5.3712380153330432</v>
          </cell>
          <cell r="X69">
            <v>5.3621476895160614</v>
          </cell>
          <cell r="Y69">
            <v>5.353291761209916</v>
          </cell>
          <cell r="Z69">
            <v>5.3446714685200307</v>
          </cell>
          <cell r="AA69">
            <v>5.3362855215213383</v>
          </cell>
          <cell r="AB69">
            <v>5.3281306283756393</v>
          </cell>
          <cell r="AC69">
            <v>5.3202018528160933</v>
          </cell>
          <cell r="AD69">
            <v>5.3124928976693928</v>
          </cell>
          <cell r="AE69">
            <v>5.3049963390867738</v>
          </cell>
          <cell r="AF69">
            <v>5.2977040352622717</v>
          </cell>
          <cell r="AG69">
            <v>5.2906076769875634</v>
          </cell>
          <cell r="AH69">
            <v>5.2836989069252338</v>
          </cell>
          <cell r="AI69">
            <v>5.2769693721399742</v>
          </cell>
          <cell r="AJ69">
            <v>5.2704107717545581</v>
          </cell>
          <cell r="AK69">
            <v>5.2640148545617134</v>
          </cell>
          <cell r="AL69">
            <v>5.2577734123119857</v>
          </cell>
          <cell r="AM69">
            <v>5.251678274061387</v>
          </cell>
          <cell r="AN69">
            <v>5.2457213111552177</v>
          </cell>
          <cell r="AO69">
            <v>5.2398945511890158</v>
          </cell>
          <cell r="AP69">
            <v>5.2341902870018062</v>
          </cell>
          <cell r="AQ69">
            <v>5.2286010579929947</v>
          </cell>
          <cell r="AR69">
            <v>5.2231196214526125</v>
          </cell>
          <cell r="AS69">
            <v>5.2177389278013617</v>
          </cell>
          <cell r="AT69">
            <v>5.2124521123645424</v>
          </cell>
          <cell r="AU69">
            <v>5.2072525895131756</v>
          </cell>
          <cell r="AV69">
            <v>5.2021341174275149</v>
          </cell>
          <cell r="AW69">
            <v>5.1970907689581036</v>
          </cell>
          <cell r="AX69">
            <v>5.1921168995165585</v>
          </cell>
          <cell r="AY69">
            <v>5.1872071188194591</v>
          </cell>
          <cell r="AZ69">
            <v>5.1823562659564972</v>
          </cell>
          <cell r="BA69">
            <v>5.1775593877684987</v>
          </cell>
          <cell r="BB69">
            <v>5.1728117542284471</v>
          </cell>
          <cell r="BC69">
            <v>5.1681089450671607</v>
          </cell>
          <cell r="BD69">
            <v>5.1634468575489612</v>
          </cell>
          <cell r="BE69">
            <v>5.1588216786221635</v>
          </cell>
          <cell r="BF69">
            <v>5.1542298595082006</v>
          </cell>
          <cell r="BG69">
            <v>5.1496680929194589</v>
          </cell>
          <cell r="BH69">
            <v>5.1451332928868787</v>
          </cell>
          <cell r="BI69">
            <v>5.1406225946268078</v>
          </cell>
        </row>
        <row r="70">
          <cell r="B70">
            <v>5.3015657018772551</v>
          </cell>
          <cell r="C70">
            <v>5.3556665851650669</v>
          </cell>
          <cell r="D70">
            <v>5.3917634678631297</v>
          </cell>
          <cell r="E70">
            <v>5.4193815870751623</v>
          </cell>
          <cell r="F70">
            <v>5.4398200528084386</v>
          </cell>
          <cell r="G70">
            <v>5.4539231549033111</v>
          </cell>
          <cell r="H70">
            <v>5.4628027470704792</v>
          </cell>
          <cell r="I70">
            <v>5.4674962252106498</v>
          </cell>
          <cell r="J70">
            <v>5.468843553168818</v>
          </cell>
          <cell r="K70">
            <v>5.4675466827592718</v>
          </cell>
          <cell r="L70">
            <v>5.4641801651738398</v>
          </cell>
          <cell r="M70">
            <v>5.4592101132184165</v>
          </cell>
          <cell r="N70">
            <v>5.4530430272027983</v>
          </cell>
          <cell r="O70">
            <v>5.4460163045240098</v>
          </cell>
          <cell r="P70">
            <v>5.4383825047993808</v>
          </cell>
          <cell r="Q70">
            <v>5.4303321948969714</v>
          </cell>
          <cell r="R70">
            <v>5.4220121820935745</v>
          </cell>
          <cell r="S70">
            <v>5.4135376695167388</v>
          </cell>
          <cell r="T70">
            <v>5.4050003539274885</v>
          </cell>
          <cell r="U70">
            <v>5.3964715201333151</v>
          </cell>
          <cell r="V70">
            <v>5.3880038437891917</v>
          </cell>
          <cell r="W70">
            <v>5.3796353007901629</v>
          </cell>
          <cell r="X70">
            <v>5.3713923632215259</v>
          </cell>
          <cell r="Y70">
            <v>5.3632926392872928</v>
          </cell>
          <cell r="Z70">
            <v>5.3553479811192384</v>
          </cell>
          <cell r="AA70">
            <v>5.3475663532117013</v>
          </cell>
          <cell r="AB70">
            <v>5.3399525833137087</v>
          </cell>
          <cell r="AC70">
            <v>5.3325089225620683</v>
          </cell>
          <cell r="AD70">
            <v>5.3252354897248502</v>
          </cell>
          <cell r="AE70">
            <v>5.318130633462375</v>
          </cell>
          <cell r="AF70">
            <v>5.3111914028431038</v>
          </cell>
          <cell r="AG70">
            <v>5.3044140828634569</v>
          </cell>
          <cell r="AH70">
            <v>5.2977943753171939</v>
          </cell>
          <cell r="AI70">
            <v>5.2913275075610056</v>
          </cell>
          <cell r="AJ70">
            <v>5.2850083230316391</v>
          </cell>
          <cell r="AK70">
            <v>5.2788313366430817</v>
          </cell>
          <cell r="AL70">
            <v>5.2727907791815314</v>
          </cell>
          <cell r="AM70">
            <v>5.2668806346906214</v>
          </cell>
          <cell r="AN70">
            <v>5.2610946827982561</v>
          </cell>
          <cell r="AO70">
            <v>5.2554266426908036</v>
          </cell>
          <cell r="AP70">
            <v>5.249870298821973</v>
          </cell>
          <cell r="AQ70">
            <v>5.2444195039847799</v>
          </cell>
          <cell r="AR70">
            <v>5.2390681713651368</v>
          </cell>
          <cell r="AS70">
            <v>5.233810267680572</v>
          </cell>
          <cell r="AT70">
            <v>5.2286398227947437</v>
          </cell>
          <cell r="AU70">
            <v>5.2235510454190832</v>
          </cell>
          <cell r="AV70">
            <v>5.218538398351539</v>
          </cell>
          <cell r="AW70">
            <v>5.2135965780180218</v>
          </cell>
          <cell r="AX70">
            <v>5.2087204906328255</v>
          </cell>
          <cell r="AY70">
            <v>5.2039052312197818</v>
          </cell>
          <cell r="AZ70">
            <v>5.1991460651015231</v>
          </cell>
          <cell r="BA70">
            <v>5.1944384121055727</v>
          </cell>
          <cell r="BB70">
            <v>5.1897778708947699</v>
          </cell>
          <cell r="BC70">
            <v>5.1851603129257473</v>
          </cell>
          <cell r="BD70">
            <v>5.1805818919293367</v>
          </cell>
          <cell r="BE70">
            <v>5.1760390191034169</v>
          </cell>
          <cell r="BF70">
            <v>5.1715283405280879</v>
          </cell>
          <cell r="BG70">
            <v>5.1670467169171976</v>
          </cell>
          <cell r="BH70">
            <v>5.1625912058102683</v>
          </cell>
          <cell r="BI70">
            <v>5.1581590653396052</v>
          </cell>
        </row>
        <row r="71">
          <cell r="B71">
            <v>5.3014217081519579</v>
          </cell>
          <cell r="C71">
            <v>5.3498821896605531</v>
          </cell>
          <cell r="D71">
            <v>5.385115850737181</v>
          </cell>
          <cell r="E71">
            <v>5.4144163197340367</v>
          </cell>
          <cell r="F71">
            <v>5.4373556344265106</v>
          </cell>
          <cell r="G71">
            <v>5.4539418326335181</v>
          </cell>
          <cell r="H71">
            <v>5.4648830466260074</v>
          </cell>
          <cell r="I71">
            <v>5.4710735956208598</v>
          </cell>
          <cell r="J71">
            <v>5.4734104276537563</v>
          </cell>
          <cell r="K71">
            <v>5.4727146572541656</v>
          </cell>
          <cell r="L71">
            <v>5.4696710295951227</v>
          </cell>
          <cell r="M71">
            <v>5.4648348101817597</v>
          </cell>
          <cell r="N71">
            <v>5.4586799697357167</v>
          </cell>
          <cell r="O71">
            <v>5.451591301877774</v>
          </cell>
          <cell r="P71">
            <v>5.4438536470366659</v>
          </cell>
          <cell r="Q71">
            <v>5.4356793195257769</v>
          </cell>
          <cell r="R71">
            <v>5.4272294387498539</v>
          </cell>
          <cell r="S71">
            <v>5.4186281500129603</v>
          </cell>
          <cell r="T71">
            <v>5.4099721452061118</v>
          </cell>
          <cell r="U71">
            <v>5.4013351172920645</v>
          </cell>
          <cell r="V71">
            <v>5.3927707719595182</v>
          </cell>
          <cell r="W71">
            <v>5.3843171351489545</v>
          </cell>
          <cell r="X71">
            <v>5.3759999624416155</v>
          </cell>
          <cell r="Y71">
            <v>5.3678356358090449</v>
          </cell>
          <cell r="Z71">
            <v>5.3598347566447337</v>
          </cell>
          <cell r="AA71">
            <v>5.3520041697423713</v>
          </cell>
          <cell r="AB71">
            <v>5.3443476918459698</v>
          </cell>
          <cell r="AC71">
            <v>5.336866652373021</v>
          </cell>
          <cell r="AD71">
            <v>5.3295603222638963</v>
          </cell>
          <cell r="AE71">
            <v>5.3224262661219672</v>
          </cell>
          <cell r="AF71">
            <v>5.315460833499321</v>
          </cell>
          <cell r="AG71">
            <v>5.3086597101268396</v>
          </cell>
          <cell r="AH71">
            <v>5.3020180844285365</v>
          </cell>
          <cell r="AI71">
            <v>5.2955307496760753</v>
          </cell>
          <cell r="AJ71">
            <v>5.2891921872199648</v>
          </cell>
          <cell r="AK71">
            <v>5.282996612031357</v>
          </cell>
          <cell r="AL71">
            <v>5.2769380086992594</v>
          </cell>
          <cell r="AM71">
            <v>5.271010161743984</v>
          </cell>
          <cell r="AN71">
            <v>5.2652066932501951</v>
          </cell>
          <cell r="AO71">
            <v>5.2595212037807899</v>
          </cell>
          <cell r="AP71">
            <v>5.253947387160351</v>
          </cell>
          <cell r="AQ71">
            <v>5.2484790287056322</v>
          </cell>
          <cell r="AR71">
            <v>5.2431099945869404</v>
          </cell>
          <cell r="AS71">
            <v>5.2378342226445538</v>
          </cell>
          <cell r="AT71">
            <v>5.2326457313784127</v>
          </cell>
          <cell r="AU71">
            <v>5.2275387331659759</v>
          </cell>
          <cell r="AV71">
            <v>5.2225077009100023</v>
          </cell>
          <cell r="AW71">
            <v>5.2175473459032826</v>
          </cell>
          <cell r="AX71">
            <v>5.2126525935031118</v>
          </cell>
          <cell r="AY71">
            <v>5.2078185617248494</v>
          </cell>
          <cell r="AZ71">
            <v>5.203040542353869</v>
          </cell>
          <cell r="BA71">
            <v>5.1983139849626019</v>
          </cell>
          <cell r="BB71">
            <v>5.1936345228575194</v>
          </cell>
          <cell r="BC71">
            <v>5.188998063575232</v>
          </cell>
          <cell r="BD71">
            <v>5.1844007948058781</v>
          </cell>
          <cell r="BE71">
            <v>5.1798391596694922</v>
          </cell>
          <cell r="BF71">
            <v>5.1753098343098793</v>
          </cell>
          <cell r="BG71">
            <v>5.1708097078063524</v>
          </cell>
          <cell r="BH71">
            <v>5.1663358645894348</v>
          </cell>
          <cell r="BI71">
            <v>5.1618855890314368</v>
          </cell>
        </row>
        <row r="72">
          <cell r="B72">
            <v>5.3015606996087161</v>
          </cell>
          <cell r="C72">
            <v>5.3630525975846144</v>
          </cell>
          <cell r="D72">
            <v>5.403565006382288</v>
          </cell>
          <cell r="E72">
            <v>5.4341349105943797</v>
          </cell>
          <cell r="F72">
            <v>5.4565282451892241</v>
          </cell>
          <cell r="G72">
            <v>5.4718954034638809</v>
          </cell>
          <cell r="H72">
            <v>5.481596649351002</v>
          </cell>
          <cell r="I72">
            <v>5.4868519420745461</v>
          </cell>
          <cell r="J72">
            <v>5.4886133809397473</v>
          </cell>
          <cell r="K72">
            <v>5.4876557691657695</v>
          </cell>
          <cell r="L72">
            <v>5.484603471944796</v>
          </cell>
          <cell r="M72">
            <v>5.4799494557583968</v>
          </cell>
          <cell r="N72">
            <v>5.4741075183924037</v>
          </cell>
          <cell r="O72">
            <v>5.467415099246792</v>
          </cell>
          <cell r="P72">
            <v>5.4601241079480918</v>
          </cell>
          <cell r="Q72">
            <v>5.4524237320352382</v>
          </cell>
          <cell r="R72">
            <v>5.4444588843926178</v>
          </cell>
          <cell r="S72">
            <v>5.4363425017652327</v>
          </cell>
          <cell r="T72">
            <v>5.4281637116651229</v>
          </cell>
          <cell r="U72">
            <v>5.4199911944631012</v>
          </cell>
          <cell r="V72">
            <v>5.4118755848789641</v>
          </cell>
          <cell r="W72">
            <v>5.4038533591975479</v>
          </cell>
          <cell r="X72">
            <v>5.3959499141033946</v>
          </cell>
          <cell r="Y72">
            <v>5.3881821660595692</v>
          </cell>
          <cell r="Z72">
            <v>5.3805616008245254</v>
          </cell>
          <cell r="AA72">
            <v>5.3730959865496919</v>
          </cell>
          <cell r="AB72">
            <v>5.3657900834779984</v>
          </cell>
          <cell r="AC72">
            <v>5.3586461810703998</v>
          </cell>
          <cell r="AD72">
            <v>5.3516645240027572</v>
          </cell>
          <cell r="AE72">
            <v>5.3448436615299366</v>
          </cell>
          <cell r="AF72">
            <v>5.3381809026487783</v>
          </cell>
          <cell r="AG72">
            <v>5.3316727928187033</v>
          </cell>
          <cell r="AH72">
            <v>5.3253152781442941</v>
          </cell>
          <cell r="AI72">
            <v>5.3191038220849869</v>
          </cell>
          <cell r="AJ72">
            <v>5.31303349898376</v>
          </cell>
          <cell r="AK72">
            <v>5.3070990499573449</v>
          </cell>
          <cell r="AL72">
            <v>5.3012949279267962</v>
          </cell>
          <cell r="AM72">
            <v>5.2956153355380815</v>
          </cell>
          <cell r="AN72">
            <v>5.2900542703965883</v>
          </cell>
          <cell r="AO72">
            <v>5.2846056711696443</v>
          </cell>
          <cell r="AP72">
            <v>5.2792635290317547</v>
          </cell>
          <cell r="AQ72">
            <v>5.2740218892770114</v>
          </cell>
          <cell r="AR72">
            <v>5.268874845026124</v>
          </cell>
          <cell r="AS72">
            <v>5.2638165318017291</v>
          </cell>
          <cell r="AT72">
            <v>5.2588411422604739</v>
          </cell>
          <cell r="AU72">
            <v>5.253943047988888</v>
          </cell>
          <cell r="AV72">
            <v>5.2491168656540212</v>
          </cell>
          <cell r="AW72">
            <v>5.2443574358502705</v>
          </cell>
          <cell r="AX72">
            <v>5.2396598002496519</v>
          </cell>
          <cell r="AY72">
            <v>5.2350191814940361</v>
          </cell>
          <cell r="AZ72">
            <v>5.2304309654530075</v>
          </cell>
          <cell r="BA72">
            <v>5.2258906864509687</v>
          </cell>
          <cell r="BB72">
            <v>5.2213940573573066</v>
          </cell>
          <cell r="BC72">
            <v>5.2169370607397791</v>
          </cell>
          <cell r="BD72">
            <v>5.2125159529128107</v>
          </cell>
          <cell r="BE72">
            <v>5.2081272397104268</v>
          </cell>
          <cell r="BF72">
            <v>5.2037676545985727</v>
          </cell>
          <cell r="BG72">
            <v>5.1994341390516627</v>
          </cell>
          <cell r="BH72">
            <v>5.195123825500068</v>
          </cell>
          <cell r="BI72">
            <v>5.1908340438967571</v>
          </cell>
        </row>
        <row r="73">
          <cell r="B73">
            <v>5.3052607123153868</v>
          </cell>
          <cell r="C73">
            <v>5.3645138393418197</v>
          </cell>
          <cell r="D73">
            <v>5.4025869569597722</v>
          </cell>
          <cell r="E73">
            <v>5.4323344774544831</v>
          </cell>
          <cell r="F73">
            <v>5.4549774438512966</v>
          </cell>
          <cell r="G73">
            <v>5.4712658451604117</v>
          </cell>
          <cell r="H73">
            <v>5.4822381293126883</v>
          </cell>
          <cell r="I73">
            <v>5.4889073927805629</v>
          </cell>
          <cell r="J73">
            <v>5.4921249367500202</v>
          </cell>
          <cell r="K73">
            <v>5.4926016969599418</v>
          </cell>
          <cell r="L73">
            <v>5.4909208762091257</v>
          </cell>
          <cell r="M73">
            <v>5.4875605064254049</v>
          </cell>
          <cell r="N73">
            <v>5.4829331256152773</v>
          </cell>
          <cell r="O73">
            <v>5.477378346371804</v>
          </cell>
          <cell r="P73">
            <v>5.4711517375664283</v>
          </cell>
          <cell r="Q73">
            <v>5.4644474395830231</v>
          </cell>
          <cell r="R73">
            <v>5.4574162314703596</v>
          </cell>
          <cell r="S73">
            <v>5.4501775757259585</v>
          </cell>
          <cell r="T73">
            <v>5.4428273963736507</v>
          </cell>
          <cell r="U73">
            <v>5.4354403011206376</v>
          </cell>
          <cell r="V73">
            <v>5.4280718421630247</v>
          </cell>
          <cell r="W73">
            <v>5.4207626652991054</v>
          </cell>
          <cell r="X73">
            <v>5.4135417531443002</v>
          </cell>
          <cell r="Y73">
            <v>5.4064292234851079</v>
          </cell>
          <cell r="Z73">
            <v>5.3994394504224825</v>
          </cell>
          <cell r="AA73">
            <v>5.3925827044537478</v>
          </cell>
          <cell r="AB73">
            <v>5.3858659236028537</v>
          </cell>
          <cell r="AC73">
            <v>5.3792933085049013</v>
          </cell>
          <cell r="AD73">
            <v>5.3728667943697408</v>
          </cell>
          <cell r="AE73">
            <v>5.3665864403354488</v>
          </cell>
          <cell r="AF73">
            <v>5.3604509123195792</v>
          </cell>
          <cell r="AG73">
            <v>5.3544579273745274</v>
          </cell>
          <cell r="AH73">
            <v>5.3486044328654243</v>
          </cell>
          <cell r="AI73">
            <v>5.3428867712118837</v>
          </cell>
          <cell r="AJ73">
            <v>5.3373008021079018</v>
          </cell>
          <cell r="AK73">
            <v>5.3318419715378615</v>
          </cell>
          <cell r="AL73">
            <v>5.326505367683235</v>
          </cell>
          <cell r="AM73">
            <v>5.3212857680075878</v>
          </cell>
          <cell r="AN73">
            <v>5.3161776965564584</v>
          </cell>
          <cell r="AO73">
            <v>5.3111755774817411</v>
          </cell>
          <cell r="AP73">
            <v>5.3062738322074967</v>
          </cell>
          <cell r="AQ73">
            <v>5.3014668844521218</v>
          </cell>
          <cell r="AR73">
            <v>5.2967491599615792</v>
          </cell>
          <cell r="AS73">
            <v>5.292115086338061</v>
          </cell>
          <cell r="AT73">
            <v>5.2875591188612709</v>
          </cell>
          <cell r="AU73">
            <v>5.2830758698325297</v>
          </cell>
          <cell r="AV73">
            <v>5.2786601626923089</v>
          </cell>
          <cell r="AW73">
            <v>5.2743070125783493</v>
          </cell>
          <cell r="AX73">
            <v>5.2700116067647009</v>
          </cell>
          <cell r="AY73">
            <v>5.2657692874481086</v>
          </cell>
          <cell r="AZ73">
            <v>5.2615755365594961</v>
          </cell>
          <cell r="BA73">
            <v>5.2574259640586929</v>
          </cell>
          <cell r="BB73">
            <v>5.2533163495191806</v>
          </cell>
          <cell r="BC73">
            <v>5.2492427313490815</v>
          </cell>
          <cell r="BD73">
            <v>5.2452014051024092</v>
          </cell>
          <cell r="BE73">
            <v>5.2411889005913714</v>
          </cell>
          <cell r="BF73">
            <v>5.237201961337405</v>
          </cell>
          <cell r="BG73">
            <v>5.2332375261479687</v>
          </cell>
          <cell r="BH73">
            <v>5.2292927135972445</v>
          </cell>
          <cell r="BI73">
            <v>5.2253648341147638</v>
          </cell>
        </row>
        <row r="74">
          <cell r="B74">
            <v>5.3108663721363927</v>
          </cell>
          <cell r="C74">
            <v>5.3855276703387558</v>
          </cell>
          <cell r="D74">
            <v>5.4263472845745184</v>
          </cell>
          <cell r="E74">
            <v>5.4545955531384376</v>
          </cell>
          <cell r="F74">
            <v>5.4746763515412864</v>
          </cell>
          <cell r="G74">
            <v>5.488608386119159</v>
          </cell>
          <cell r="H74">
            <v>5.4977404416146562</v>
          </cell>
          <cell r="I74">
            <v>5.5030665232809879</v>
          </cell>
          <cell r="J74">
            <v>5.5053239218019092</v>
          </cell>
          <cell r="K74">
            <v>5.5050958684169338</v>
          </cell>
          <cell r="L74">
            <v>5.5028629649973624</v>
          </cell>
          <cell r="M74">
            <v>5.4990379017147966</v>
          </cell>
          <cell r="N74">
            <v>5.4939969979478134</v>
          </cell>
          <cell r="O74">
            <v>5.4880586509629543</v>
          </cell>
          <cell r="P74">
            <v>5.481464304993751</v>
          </cell>
          <cell r="Q74">
            <v>5.4743988996779125</v>
          </cell>
          <cell r="R74">
            <v>5.4670074890526301</v>
          </cell>
          <cell r="S74">
            <v>5.4594063207741623</v>
          </cell>
          <cell r="T74">
            <v>5.4516898202169228</v>
          </cell>
          <cell r="U74">
            <v>5.4439317340803886</v>
          </cell>
          <cell r="V74">
            <v>5.4361869689688316</v>
          </cell>
          <cell r="W74">
            <v>5.4284956937315023</v>
          </cell>
          <cell r="X74">
            <v>5.4208865470867549</v>
          </cell>
          <cell r="Y74">
            <v>5.4133794495177936</v>
          </cell>
          <cell r="Z74">
            <v>5.4059887339020287</v>
          </cell>
          <cell r="AA74">
            <v>5.3987247318129006</v>
          </cell>
          <cell r="AB74">
            <v>5.3915945236607632</v>
          </cell>
          <cell r="AC74">
            <v>5.3846025192577303</v>
          </cell>
          <cell r="AD74">
            <v>5.3777509182656438</v>
          </cell>
          <cell r="AE74">
            <v>5.3710400904409239</v>
          </cell>
          <cell r="AF74">
            <v>5.3644690349560333</v>
          </cell>
          <cell r="AG74">
            <v>5.3580357868242414</v>
          </cell>
          <cell r="AH74">
            <v>5.3517375938135441</v>
          </cell>
          <cell r="AI74">
            <v>5.3455710902860769</v>
          </cell>
          <cell r="AJ74">
            <v>5.3395324223515068</v>
          </cell>
          <cell r="AK74">
            <v>5.3336173175300727</v>
          </cell>
          <cell r="AL74">
            <v>5.3278211413187124</v>
          </cell>
          <cell r="AM74">
            <v>5.3221389448377376</v>
          </cell>
          <cell r="AN74">
            <v>5.316565524160823</v>
          </cell>
          <cell r="AO74">
            <v>5.3110955737576173</v>
          </cell>
          <cell r="AP74">
            <v>5.3057237777777067</v>
          </cell>
          <cell r="AQ74">
            <v>5.3004448151850845</v>
          </cell>
          <cell r="AR74">
            <v>5.2952533603611336</v>
          </cell>
          <cell r="AS74">
            <v>5.2901440837193707</v>
          </cell>
          <cell r="AT74">
            <v>5.2851116811685692</v>
          </cell>
          <cell r="AU74">
            <v>5.2801510071111508</v>
          </cell>
          <cell r="AV74">
            <v>5.2752571251052887</v>
          </cell>
          <cell r="AW74">
            <v>5.2704252882166704</v>
          </cell>
          <cell r="AX74">
            <v>5.2656509196810077</v>
          </cell>
          <cell r="AY74">
            <v>5.2609295958870286</v>
          </cell>
          <cell r="AZ74">
            <v>5.2562570313614758</v>
          </cell>
          <cell r="BA74">
            <v>5.251629067566232</v>
          </cell>
          <cell r="BB74">
            <v>5.2470417175528983</v>
          </cell>
          <cell r="BC74">
            <v>5.2424912529810523</v>
          </cell>
          <cell r="BD74">
            <v>5.2379742003194538</v>
          </cell>
          <cell r="BE74">
            <v>5.2334873181409529</v>
          </cell>
          <cell r="BF74">
            <v>5.229027576762487</v>
          </cell>
          <cell r="BG74">
            <v>5.2245921399912794</v>
          </cell>
          <cell r="BH74">
            <v>5.2201783499334526</v>
          </cell>
          <cell r="BI74">
            <v>5.2157837402282166</v>
          </cell>
        </row>
        <row r="75">
          <cell r="B75">
            <v>5.3325987797960304</v>
          </cell>
          <cell r="C75">
            <v>5.4264954654889817</v>
          </cell>
          <cell r="D75">
            <v>5.4798527419462397</v>
          </cell>
          <cell r="E75">
            <v>5.5165827656886588</v>
          </cell>
          <cell r="F75">
            <v>5.5419218068070624</v>
          </cell>
          <cell r="G75">
            <v>5.5585804027609331</v>
          </cell>
          <cell r="H75">
            <v>5.5685588104636894</v>
          </cell>
          <cell r="I75">
            <v>5.5734156541989268</v>
          </cell>
          <cell r="J75">
            <v>5.5743366600959092</v>
          </cell>
          <cell r="K75">
            <v>5.5722406315965971</v>
          </cell>
          <cell r="L75">
            <v>5.5678405132093127</v>
          </cell>
          <cell r="M75">
            <v>5.5617012255912091</v>
          </cell>
          <cell r="N75">
            <v>5.5543041363171755</v>
          </cell>
          <cell r="O75">
            <v>5.5460396588274419</v>
          </cell>
          <cell r="P75">
            <v>5.5371952144678289</v>
          </cell>
          <cell r="Q75">
            <v>5.5279834405747259</v>
          </cell>
          <cell r="R75">
            <v>5.5185641857681329</v>
          </cell>
          <cell r="S75">
            <v>5.5090591733076151</v>
          </cell>
          <cell r="T75">
            <v>5.4995616102817086</v>
          </cell>
          <cell r="U75">
            <v>5.4901405125724914</v>
          </cell>
          <cell r="V75">
            <v>5.4808445970959685</v>
          </cell>
          <cell r="W75">
            <v>5.471706797570322</v>
          </cell>
          <cell r="X75">
            <v>5.4627477039145917</v>
          </cell>
          <cell r="Y75">
            <v>5.4539788641243945</v>
          </cell>
          <cell r="Z75">
            <v>5.4454068815884744</v>
          </cell>
          <cell r="AA75">
            <v>5.4370351499716483</v>
          </cell>
          <cell r="AB75">
            <v>5.4288644594854691</v>
          </cell>
          <cell r="AC75">
            <v>5.4208934617905875</v>
          </cell>
          <cell r="AD75">
            <v>5.4131190387124315</v>
          </cell>
          <cell r="AE75">
            <v>5.4055366189591307</v>
          </cell>
          <cell r="AF75">
            <v>5.3981406843814304</v>
          </cell>
          <cell r="AG75">
            <v>5.3909252144805508</v>
          </cell>
          <cell r="AH75">
            <v>5.3838838074645476</v>
          </cell>
          <cell r="AI75">
            <v>5.3770098202912937</v>
          </cell>
          <cell r="AJ75">
            <v>5.3702964536189892</v>
          </cell>
          <cell r="AK75">
            <v>5.3637367757350578</v>
          </cell>
          <cell r="AL75">
            <v>5.357323740444099</v>
          </cell>
          <cell r="AM75">
            <v>5.3510502021577491</v>
          </cell>
          <cell r="AN75">
            <v>5.344908952859023</v>
          </cell>
          <cell r="AO75">
            <v>5.3388928718360047</v>
          </cell>
          <cell r="AP75">
            <v>5.3329950007360019</v>
          </cell>
          <cell r="AQ75">
            <v>5.3272085280220232</v>
          </cell>
          <cell r="AR75">
            <v>5.3215267719011878</v>
          </cell>
          <cell r="AS75">
            <v>5.3159431657288465</v>
          </cell>
          <cell r="AT75">
            <v>5.3104512785875722</v>
          </cell>
          <cell r="AU75">
            <v>5.305044944342475</v>
          </cell>
          <cell r="AV75">
            <v>5.2997182999217154</v>
          </cell>
          <cell r="AW75">
            <v>5.2944657555858372</v>
          </cell>
          <cell r="AX75">
            <v>5.2892819670367128</v>
          </cell>
          <cell r="AY75">
            <v>5.2841618108734094</v>
          </cell>
          <cell r="AZ75">
            <v>5.2791003629355959</v>
          </cell>
          <cell r="BA75">
            <v>5.2740928816559096</v>
          </cell>
          <cell r="BB75">
            <v>5.2691348512157408</v>
          </cell>
          <cell r="BC75">
            <v>5.2642220626484244</v>
          </cell>
          <cell r="BD75">
            <v>5.2593506038989775</v>
          </cell>
          <cell r="BE75">
            <v>5.254516833342076</v>
          </cell>
          <cell r="BF75">
            <v>5.2497173560601489</v>
          </cell>
          <cell r="BG75">
            <v>5.2449490025754706</v>
          </cell>
          <cell r="BH75">
            <v>5.240208811153094</v>
          </cell>
          <cell r="BI75">
            <v>5.2354940397032141</v>
          </cell>
        </row>
        <row r="76">
          <cell r="B76">
            <v>5.3463974537321119</v>
          </cell>
          <cell r="C76">
            <v>5.4449740677439804</v>
          </cell>
          <cell r="D76">
            <v>5.492408533517434</v>
          </cell>
          <cell r="E76">
            <v>5.5218800426090349</v>
          </cell>
          <cell r="F76">
            <v>5.5406262762498502</v>
          </cell>
          <cell r="G76">
            <v>5.551848478508834</v>
          </cell>
          <cell r="H76">
            <v>5.5575817759076118</v>
          </cell>
          <cell r="I76">
            <v>5.5592177733033408</v>
          </cell>
          <cell r="J76">
            <v>5.5576739759196112</v>
          </cell>
          <cell r="K76">
            <v>5.5536216070067805</v>
          </cell>
          <cell r="L76">
            <v>5.5475962703561104</v>
          </cell>
          <cell r="M76">
            <v>5.5400545522909139</v>
          </cell>
          <cell r="N76">
            <v>5.531413507876155</v>
          </cell>
          <cell r="O76">
            <v>5.5220235759310441</v>
          </cell>
          <cell r="P76">
            <v>5.5121450298348851</v>
          </cell>
          <cell r="Q76">
            <v>5.5019718609268065</v>
          </cell>
          <cell r="R76">
            <v>5.4916512732193077</v>
          </cell>
          <cell r="S76">
            <v>5.4812966794008169</v>
          </cell>
          <cell r="T76">
            <v>5.4709959765886067</v>
          </cell>
          <cell r="U76">
            <v>5.4608141850142449</v>
          </cell>
          <cell r="V76">
            <v>5.4507965761030199</v>
          </cell>
          <cell r="W76">
            <v>5.4409730523241233</v>
          </cell>
          <cell r="X76">
            <v>5.4313614993966581</v>
          </cell>
          <cell r="Y76">
            <v>5.421971100316366</v>
          </cell>
          <cell r="Z76">
            <v>5.4128064307288524</v>
          </cell>
          <cell r="AA76">
            <v>5.4038690931496953</v>
          </cell>
          <cell r="AB76">
            <v>5.3951582770241284</v>
          </cell>
          <cell r="AC76">
            <v>5.3866711896324668</v>
          </cell>
          <cell r="AD76">
            <v>5.3784033978426722</v>
          </cell>
          <cell r="AE76">
            <v>5.3703491263593186</v>
          </cell>
          <cell r="AF76">
            <v>5.3625017560879735</v>
          </cell>
          <cell r="AG76">
            <v>5.3548542423530128</v>
          </cell>
          <cell r="AH76">
            <v>5.3473992248386404</v>
          </cell>
          <cell r="AI76">
            <v>5.3401291735305279</v>
          </cell>
          <cell r="AJ76">
            <v>5.3330364686212111</v>
          </cell>
          <cell r="AK76">
            <v>5.326113415155401</v>
          </cell>
          <cell r="AL76">
            <v>5.3193522531851016</v>
          </cell>
          <cell r="AM76">
            <v>5.3127451663688099</v>
          </cell>
          <cell r="AN76">
            <v>5.3062843169249065</v>
          </cell>
          <cell r="AO76">
            <v>5.2999619974934919</v>
          </cell>
          <cell r="AP76">
            <v>5.2937706990261493</v>
          </cell>
          <cell r="AQ76">
            <v>5.2877030904636673</v>
          </cell>
          <cell r="AR76">
            <v>5.2817519980396304</v>
          </cell>
          <cell r="AS76">
            <v>5.2759103876250784</v>
          </cell>
          <cell r="AT76">
            <v>5.2701713866158864</v>
          </cell>
          <cell r="AU76">
            <v>5.2645284150092424</v>
          </cell>
          <cell r="AV76">
            <v>5.2589752180554905</v>
          </cell>
          <cell r="AW76">
            <v>5.2535058339074299</v>
          </cell>
          <cell r="AX76">
            <v>5.2481145637323099</v>
          </cell>
          <cell r="AY76">
            <v>5.2427959454103812</v>
          </cell>
          <cell r="AZ76">
            <v>5.2375447303277465</v>
          </cell>
          <cell r="BA76">
            <v>5.2323558658577873</v>
          </cell>
          <cell r="BB76">
            <v>5.2272245411829026</v>
          </cell>
          <cell r="BC76">
            <v>5.222146265931265</v>
          </cell>
          <cell r="BD76">
            <v>5.2171168573654567</v>
          </cell>
          <cell r="BE76">
            <v>5.2121324129310329</v>
          </cell>
          <cell r="BF76">
            <v>5.2071892856790543</v>
          </cell>
          <cell r="BG76">
            <v>5.2022840622311426</v>
          </cell>
          <cell r="BH76">
            <v>5.1974135446339496</v>
          </cell>
          <cell r="BI76">
            <v>5.1925747630093451</v>
          </cell>
        </row>
        <row r="77">
          <cell r="B77">
            <v>5.3427698163085466</v>
          </cell>
          <cell r="C77">
            <v>5.4417492189328467</v>
          </cell>
          <cell r="D77">
            <v>5.4899113408675468</v>
          </cell>
          <cell r="E77">
            <v>5.5201604999127785</v>
          </cell>
          <cell r="F77">
            <v>5.539642785202342</v>
          </cell>
          <cell r="G77">
            <v>5.5515154157301838</v>
          </cell>
          <cell r="H77">
            <v>5.5577898140532929</v>
          </cell>
          <cell r="I77">
            <v>5.5598874847884048</v>
          </cell>
          <cell r="J77">
            <v>5.558809150677912</v>
          </cell>
          <cell r="K77">
            <v>5.5552920468419478</v>
          </cell>
          <cell r="L77">
            <v>5.5499006923248304</v>
          </cell>
          <cell r="M77">
            <v>5.5430857515915966</v>
          </cell>
          <cell r="N77">
            <v>5.5352322701721963</v>
          </cell>
          <cell r="O77">
            <v>5.5266562178544492</v>
          </cell>
          <cell r="P77">
            <v>5.5175934456005482</v>
          </cell>
          <cell r="Q77">
            <v>5.5082208794753802</v>
          </cell>
          <cell r="R77">
            <v>5.4986738512636393</v>
          </cell>
          <cell r="S77">
            <v>5.4890576516397074</v>
          </cell>
          <cell r="T77">
            <v>5.4794548177424058</v>
          </cell>
          <cell r="U77">
            <v>5.4699273813556939</v>
          </cell>
          <cell r="V77">
            <v>5.4605197660893934</v>
          </cell>
          <cell r="W77">
            <v>5.4512627064238064</v>
          </cell>
          <cell r="X77">
            <v>5.4421762340507991</v>
          </cell>
          <cell r="Y77">
            <v>5.4332725437807436</v>
          </cell>
          <cell r="Z77">
            <v>5.4245592753657732</v>
          </cell>
          <cell r="AA77">
            <v>5.4160408943697806</v>
          </cell>
          <cell r="AB77">
            <v>5.4077192852570013</v>
          </cell>
          <cell r="AC77">
            <v>5.399594212302663</v>
          </cell>
          <cell r="AD77">
            <v>5.3916636851428246</v>
          </cell>
          <cell r="AE77">
            <v>5.3839242724343093</v>
          </cell>
          <cell r="AF77">
            <v>5.3763715531534819</v>
          </cell>
          <cell r="AG77">
            <v>5.369000478351011</v>
          </cell>
          <cell r="AH77">
            <v>5.3618055010564749</v>
          </cell>
          <cell r="AI77">
            <v>5.3547807336477113</v>
          </cell>
          <cell r="AJ77">
            <v>5.3479200402751399</v>
          </cell>
          <cell r="AK77">
            <v>5.341217072847642</v>
          </cell>
          <cell r="AL77">
            <v>5.3346652997138557</v>
          </cell>
          <cell r="AM77">
            <v>5.3282580298818774</v>
          </cell>
          <cell r="AN77">
            <v>5.3219884599083596</v>
          </cell>
          <cell r="AO77">
            <v>5.3158498188866643</v>
          </cell>
          <cell r="AP77">
            <v>5.3098354328746886</v>
          </cell>
          <cell r="AQ77">
            <v>5.3039387157210287</v>
          </cell>
          <cell r="AR77">
            <v>5.2981531588567465</v>
          </cell>
          <cell r="AS77">
            <v>5.2924723227778765</v>
          </cell>
          <cell r="AT77">
            <v>5.2868898690909658</v>
          </cell>
          <cell r="AU77">
            <v>5.2813996952467592</v>
          </cell>
          <cell r="AV77">
            <v>5.2759959674909593</v>
          </cell>
          <cell r="AW77">
            <v>5.2706730940615687</v>
          </cell>
          <cell r="AX77">
            <v>5.2654257004958112</v>
          </cell>
          <cell r="AY77">
            <v>5.2602486079002011</v>
          </cell>
          <cell r="AZ77">
            <v>5.255136813777086</v>
          </cell>
          <cell r="BA77">
            <v>5.2500854786354507</v>
          </cell>
          <cell r="BB77">
            <v>5.2450899786700642</v>
          </cell>
          <cell r="BC77">
            <v>5.2401459852227497</v>
          </cell>
          <cell r="BD77">
            <v>5.2352494526716384</v>
          </cell>
          <cell r="BE77">
            <v>5.2303965931682823</v>
          </cell>
          <cell r="BF77">
            <v>5.2255838540259365</v>
          </cell>
          <cell r="BG77">
            <v>5.2208078974470116</v>
          </cell>
          <cell r="BH77">
            <v>5.2160655842724655</v>
          </cell>
          <cell r="BI77">
            <v>5.211353990106887</v>
          </cell>
        </row>
        <row r="78">
          <cell r="B78">
            <v>5.347228325561467</v>
          </cell>
          <cell r="C78">
            <v>5.4452806304531904</v>
          </cell>
          <cell r="D78">
            <v>5.4929282883664472</v>
          </cell>
          <cell r="E78">
            <v>5.5230748204336839</v>
          </cell>
          <cell r="F78">
            <v>5.5428292133413741</v>
          </cell>
          <cell r="G78">
            <v>5.5552509303194801</v>
          </cell>
          <cell r="H78">
            <v>5.5622358806584442</v>
          </cell>
          <cell r="I78">
            <v>5.5650944240563449</v>
          </cell>
          <cell r="J78">
            <v>5.5647213977427228</v>
          </cell>
          <cell r="K78">
            <v>5.5617958031997468</v>
          </cell>
          <cell r="L78">
            <v>5.5568640955283159</v>
          </cell>
          <cell r="M78">
            <v>5.5503812188062991</v>
          </cell>
          <cell r="N78">
            <v>5.5427522872057038</v>
          </cell>
          <cell r="O78">
            <v>5.5343158449686785</v>
          </cell>
          <cell r="P78">
            <v>5.5253258503415195</v>
          </cell>
          <cell r="Q78">
            <v>5.5159739719743159</v>
          </cell>
          <cell r="R78">
            <v>5.5064079093340075</v>
          </cell>
          <cell r="S78">
            <v>5.4967436022286078</v>
          </cell>
          <cell r="T78">
            <v>5.4870725535670601</v>
          </cell>
          <cell r="U78">
            <v>5.4774634475862403</v>
          </cell>
          <cell r="V78">
            <v>5.467965496657456</v>
          </cell>
          <cell r="W78">
            <v>5.4586128069195103</v>
          </cell>
          <cell r="X78">
            <v>5.4494276849361691</v>
          </cell>
          <cell r="Y78">
            <v>5.4404239601257824</v>
          </cell>
          <cell r="Z78">
            <v>5.4316105466582796</v>
          </cell>
          <cell r="AA78">
            <v>5.4229928239752043</v>
          </cell>
          <cell r="AB78">
            <v>5.4145732936519249</v>
          </cell>
          <cell r="AC78">
            <v>5.4063520933023135</v>
          </cell>
          <cell r="AD78">
            <v>5.3983274041614706</v>
          </cell>
          <cell r="AE78">
            <v>5.3904958102677538</v>
          </cell>
          <cell r="AF78">
            <v>5.3828528153853981</v>
          </cell>
          <cell r="AG78">
            <v>5.3753932101922626</v>
          </cell>
          <cell r="AH78">
            <v>5.3681112268147659</v>
          </cell>
          <cell r="AI78">
            <v>5.3610007518057339</v>
          </cell>
          <cell r="AJ78">
            <v>5.354055430133049</v>
          </cell>
          <cell r="AK78">
            <v>5.3472686999831751</v>
          </cell>
          <cell r="AL78">
            <v>5.3406338207046007</v>
          </cell>
          <cell r="AM78">
            <v>5.3341438965725434</v>
          </cell>
          <cell r="AN78">
            <v>5.3277919337302091</v>
          </cell>
          <cell r="AO78">
            <v>5.3215709960985409</v>
          </cell>
          <cell r="AP78">
            <v>5.3154742585551027</v>
          </cell>
          <cell r="AQ78">
            <v>5.3094949951089161</v>
          </cell>
          <cell r="AR78">
            <v>5.3036265673735397</v>
          </cell>
          <cell r="AS78">
            <v>5.2978624153541318</v>
          </cell>
          <cell r="AT78">
            <v>5.2921961013713359</v>
          </cell>
          <cell r="AU78">
            <v>5.2866214496331523</v>
          </cell>
          <cell r="AV78">
            <v>5.2811325668716078</v>
          </cell>
          <cell r="AW78">
            <v>5.2757238135089892</v>
          </cell>
          <cell r="AX78">
            <v>5.2703897777710731</v>
          </cell>
          <cell r="AY78">
            <v>5.2651252529067847</v>
          </cell>
          <cell r="AZ78">
            <v>5.2599252170878819</v>
          </cell>
          <cell r="BA78">
            <v>5.2547848213392561</v>
          </cell>
          <cell r="BB78">
            <v>5.2496994522065332</v>
          </cell>
          <cell r="BC78">
            <v>5.2446648028201519</v>
          </cell>
          <cell r="BD78">
            <v>5.2396768555171089</v>
          </cell>
          <cell r="BE78">
            <v>5.2347318560192875</v>
          </cell>
          <cell r="BF78">
            <v>5.2298262903295285</v>
          </cell>
          <cell r="BG78">
            <v>5.2249568640177531</v>
          </cell>
          <cell r="BH78">
            <v>5.2201204866082573</v>
          </cell>
          <cell r="BI78">
            <v>5.2153142914076529</v>
          </cell>
        </row>
        <row r="79">
          <cell r="B79">
            <v>5.3496401588044007</v>
          </cell>
          <cell r="C79">
            <v>5.4498841646411647</v>
          </cell>
          <cell r="D79">
            <v>5.4965698925393287</v>
          </cell>
          <cell r="E79">
            <v>5.5257073756084587</v>
          </cell>
          <cell r="F79">
            <v>5.5443886459947898</v>
          </cell>
          <cell r="G79">
            <v>5.5556410495215847</v>
          </cell>
          <cell r="H79">
            <v>5.561365982654304</v>
          </cell>
          <cell r="I79">
            <v>5.5629094640502981</v>
          </cell>
          <cell r="J79">
            <v>5.5612404685983101</v>
          </cell>
          <cell r="K79">
            <v>5.5571057818881089</v>
          </cell>
          <cell r="L79">
            <v>5.5510904813784263</v>
          </cell>
          <cell r="M79">
            <v>5.5436584731909928</v>
          </cell>
          <cell r="N79">
            <v>5.5352097247114012</v>
          </cell>
          <cell r="O79">
            <v>5.5260708429850522</v>
          </cell>
          <cell r="P79">
            <v>5.5164833301290566</v>
          </cell>
          <cell r="Q79">
            <v>5.5066267850959427</v>
          </cell>
          <cell r="R79">
            <v>5.4966371104834879</v>
          </cell>
          <cell r="S79">
            <v>5.4866186458599024</v>
          </cell>
          <cell r="T79">
            <v>5.4766516218809693</v>
          </cell>
          <cell r="U79">
            <v>5.4667947772939485</v>
          </cell>
          <cell r="V79">
            <v>5.4570890034059332</v>
          </cell>
          <cell r="W79">
            <v>5.447561363546038</v>
          </cell>
          <cell r="X79">
            <v>5.4382281297791044</v>
          </cell>
          <cell r="Y79">
            <v>5.4290980461143441</v>
          </cell>
          <cell r="Z79">
            <v>5.4201758726294456</v>
          </cell>
          <cell r="AA79">
            <v>5.4114635905224135</v>
          </cell>
          <cell r="AB79">
            <v>5.4029609184593959</v>
          </cell>
          <cell r="AC79">
            <v>5.3946657165982286</v>
          </cell>
          <cell r="AD79">
            <v>5.3865743070310463</v>
          </cell>
          <cell r="AE79">
            <v>5.3786817717780711</v>
          </cell>
          <cell r="AF79">
            <v>5.3709824511484667</v>
          </cell>
          <cell r="AG79">
            <v>5.3634702721369676</v>
          </cell>
          <cell r="AH79">
            <v>5.3561388413051922</v>
          </cell>
          <cell r="AI79">
            <v>5.3489815564646959</v>
          </cell>
          <cell r="AJ79">
            <v>5.3419916615214147</v>
          </cell>
          <cell r="AK79">
            <v>5.3351622683429998</v>
          </cell>
          <cell r="AL79">
            <v>5.3284863746018347</v>
          </cell>
          <cell r="AM79">
            <v>5.3219568791010703</v>
          </cell>
          <cell r="AN79">
            <v>5.3155666318518016</v>
          </cell>
          <cell r="AO79">
            <v>5.3093085741079022</v>
          </cell>
          <cell r="AP79">
            <v>5.3031757793746355</v>
          </cell>
          <cell r="AQ79">
            <v>5.2971614386927186</v>
          </cell>
          <cell r="AR79">
            <v>5.2912588469714184</v>
          </cell>
          <cell r="AS79">
            <v>5.2854613921212783</v>
          </cell>
          <cell r="AT79">
            <v>5.2797626002651761</v>
          </cell>
          <cell r="AU79">
            <v>5.2741562702030311</v>
          </cell>
          <cell r="AV79">
            <v>5.268636488295888</v>
          </cell>
          <cell r="AW79">
            <v>5.2631975989531119</v>
          </cell>
          <cell r="AX79">
            <v>5.2578341783009144</v>
          </cell>
          <cell r="AY79">
            <v>5.2525410110106803</v>
          </cell>
          <cell r="AZ79">
            <v>5.2473130698533508</v>
          </cell>
          <cell r="BA79">
            <v>5.2421455041253902</v>
          </cell>
          <cell r="BB79">
            <v>5.2370337044071746</v>
          </cell>
          <cell r="BC79">
            <v>5.2319733692818913</v>
          </cell>
          <cell r="BD79">
            <v>5.2269604865034189</v>
          </cell>
          <cell r="BE79">
            <v>5.2219913071775652</v>
          </cell>
          <cell r="BF79">
            <v>5.217062322661012</v>
          </cell>
          <cell r="BG79">
            <v>5.2121702438500401</v>
          </cell>
          <cell r="BH79">
            <v>5.2073119859448207</v>
          </cell>
          <cell r="BI79">
            <v>5.2024846890441898</v>
          </cell>
        </row>
        <row r="80">
          <cell r="B80">
            <v>5.3510290253902513</v>
          </cell>
          <cell r="C80">
            <v>5.4527160487891306</v>
          </cell>
          <cell r="D80">
            <v>5.4989314945671932</v>
          </cell>
          <cell r="E80">
            <v>5.5272635516925659</v>
          </cell>
          <cell r="F80">
            <v>5.5452048582021725</v>
          </cell>
          <cell r="G80">
            <v>5.5559142155834618</v>
          </cell>
          <cell r="H80">
            <v>5.5613394011956769</v>
          </cell>
          <cell r="I80">
            <v>5.5628126104917248</v>
          </cell>
          <cell r="J80">
            <v>5.5612446416441754</v>
          </cell>
          <cell r="K80">
            <v>5.5573226619411429</v>
          </cell>
          <cell r="L80">
            <v>5.5515845179079264</v>
          </cell>
          <cell r="M80">
            <v>5.544462217113586</v>
          </cell>
          <cell r="N80">
            <v>5.536335275920294</v>
          </cell>
          <cell r="O80">
            <v>5.5275170192595509</v>
          </cell>
          <cell r="P80">
            <v>5.518240256906525</v>
          </cell>
          <cell r="Q80">
            <v>5.5086790336349223</v>
          </cell>
          <cell r="R80">
            <v>5.4989659130376429</v>
          </cell>
          <cell r="S80">
            <v>5.4892034933404608</v>
          </cell>
          <cell r="T80">
            <v>5.4794713208052697</v>
          </cell>
          <cell r="U80">
            <v>5.4698280584316459</v>
          </cell>
          <cell r="V80">
            <v>5.460315015959341</v>
          </cell>
          <cell r="W80">
            <v>5.4509600626555637</v>
          </cell>
          <cell r="X80">
            <v>5.4417805830345776</v>
          </cell>
          <cell r="Y80">
            <v>5.4327866449201352</v>
          </cell>
          <cell r="Z80">
            <v>5.4239843006640047</v>
          </cell>
          <cell r="AA80">
            <v>5.4153767242679978</v>
          </cell>
          <cell r="AB80">
            <v>5.4069647454690415</v>
          </cell>
          <cell r="AC80">
            <v>5.3987472683579023</v>
          </cell>
          <cell r="AD80">
            <v>5.3907216034082133</v>
          </cell>
          <cell r="AE80">
            <v>5.3828837752368486</v>
          </cell>
          <cell r="AF80">
            <v>5.3752290066751964</v>
          </cell>
          <cell r="AG80">
            <v>5.3677520276370165</v>
          </cell>
          <cell r="AH80">
            <v>5.3604471782835903</v>
          </cell>
          <cell r="AI80">
            <v>5.3533085291777693</v>
          </cell>
          <cell r="AJ80">
            <v>5.346329942396121</v>
          </cell>
          <cell r="AK80">
            <v>5.339505100862616</v>
          </cell>
          <cell r="AL80">
            <v>5.3328275325584293</v>
          </cell>
          <cell r="AM80">
            <v>5.3262906313144693</v>
          </cell>
          <cell r="AN80">
            <v>5.3198877144629826</v>
          </cell>
          <cell r="AO80">
            <v>5.3136121663741989</v>
          </cell>
          <cell r="AP80">
            <v>5.3074574786693685</v>
          </cell>
          <cell r="AQ80">
            <v>5.3014172382638076</v>
          </cell>
          <cell r="AR80">
            <v>5.2954851162862013</v>
          </cell>
          <cell r="AS80">
            <v>5.289654859647543</v>
          </cell>
          <cell r="AT80">
            <v>5.2839203398432808</v>
          </cell>
          <cell r="AU80">
            <v>5.2782756822224197</v>
          </cell>
          <cell r="AV80">
            <v>5.2727152777542701</v>
          </cell>
          <cell r="AW80">
            <v>5.2672337556733257</v>
          </cell>
          <cell r="AX80">
            <v>5.2618259591664929</v>
          </cell>
          <cell r="AY80">
            <v>5.2564869239778487</v>
          </cell>
          <cell r="AZ80">
            <v>5.25121185953049</v>
          </cell>
          <cell r="BA80">
            <v>5.2459961394989838</v>
          </cell>
          <cell r="BB80">
            <v>5.2408353686981881</v>
          </cell>
          <cell r="BC80">
            <v>5.2357254455178772</v>
          </cell>
          <cell r="BD80">
            <v>5.2306625430849332</v>
          </cell>
          <cell r="BE80">
            <v>5.2256430847332451</v>
          </cell>
          <cell r="BF80">
            <v>5.2206637220557237</v>
          </cell>
          <cell r="BG80">
            <v>5.2157213152268032</v>
          </cell>
          <cell r="BH80">
            <v>5.2108129190324606</v>
          </cell>
          <cell r="BI80">
            <v>5.2059358043023529</v>
          </cell>
        </row>
        <row r="81">
          <cell r="B81">
            <v>5.3716027234372046</v>
          </cell>
          <cell r="C81">
            <v>5.4676355629220392</v>
          </cell>
          <cell r="D81">
            <v>5.5129752027936245</v>
          </cell>
          <cell r="E81">
            <v>5.5417734799630809</v>
          </cell>
          <cell r="F81">
            <v>5.5605309772279687</v>
          </cell>
          <cell r="G81">
            <v>5.5720318453079898</v>
          </cell>
          <cell r="H81">
            <v>5.5780506966272387</v>
          </cell>
          <cell r="I81">
            <v>5.5798716005578344</v>
          </cell>
          <cell r="J81">
            <v>5.5784459019972346</v>
          </cell>
          <cell r="K81">
            <v>5.5745195053690377</v>
          </cell>
          <cell r="L81">
            <v>5.5686789179469498</v>
          </cell>
          <cell r="M81">
            <v>5.5613878446844964</v>
          </cell>
          <cell r="N81">
            <v>5.5530479186903063</v>
          </cell>
          <cell r="O81">
            <v>5.5439880489413014</v>
          </cell>
          <cell r="P81">
            <v>5.5344517884850664</v>
          </cell>
          <cell r="Q81">
            <v>5.5246205521787042</v>
          </cell>
          <cell r="R81">
            <v>5.5146318926238607</v>
          </cell>
          <cell r="S81">
            <v>5.5045916753500306</v>
          </cell>
          <cell r="T81">
            <v>5.4945814167053166</v>
          </cell>
          <cell r="U81">
            <v>5.4846609502931187</v>
          </cell>
          <cell r="V81">
            <v>5.4748723148390486</v>
          </cell>
          <cell r="W81">
            <v>5.465243774900598</v>
          </cell>
          <cell r="X81">
            <v>5.4557928579295796</v>
          </cell>
          <cell r="Y81">
            <v>5.4465296838845072</v>
          </cell>
          <cell r="Z81">
            <v>5.437460346480858</v>
          </cell>
          <cell r="AA81">
            <v>5.4285880348897884</v>
          </cell>
          <cell r="AB81">
            <v>5.4199135723214722</v>
          </cell>
          <cell r="AC81">
            <v>5.411435838518126</v>
          </cell>
          <cell r="AD81">
            <v>5.4031521048807782</v>
          </cell>
          <cell r="AE81">
            <v>5.3950583541875794</v>
          </cell>
          <cell r="AF81">
            <v>5.3871497994926232</v>
          </cell>
          <cell r="AG81">
            <v>5.3794211965601981</v>
          </cell>
          <cell r="AH81">
            <v>5.3718669355607647</v>
          </cell>
          <cell r="AI81">
            <v>5.3644811362981715</v>
          </cell>
          <cell r="AJ81">
            <v>5.3572577006594555</v>
          </cell>
          <cell r="AK81">
            <v>5.3501903430749831</v>
          </cell>
          <cell r="AL81">
            <v>5.3432726158504389</v>
          </cell>
          <cell r="AM81">
            <v>5.3364979310593927</v>
          </cell>
          <cell r="AN81">
            <v>5.3298596241778418</v>
          </cell>
          <cell r="AO81">
            <v>5.3233511036311905</v>
          </cell>
          <cell r="AP81">
            <v>5.3169658887728399</v>
          </cell>
          <cell r="AQ81">
            <v>5.3106975973385495</v>
          </cell>
          <cell r="AR81">
            <v>5.3045399340066375</v>
          </cell>
          <cell r="AS81">
            <v>5.2984866819197931</v>
          </cell>
          <cell r="AT81">
            <v>5.2925317542397483</v>
          </cell>
          <cell r="AU81">
            <v>5.2866693195960135</v>
          </cell>
          <cell r="AV81">
            <v>5.2808938099136702</v>
          </cell>
          <cell r="AW81">
            <v>5.2751998932097663</v>
          </cell>
          <cell r="AX81">
            <v>5.2695824495023</v>
          </cell>
          <cell r="AY81">
            <v>5.2640365496101253</v>
          </cell>
          <cell r="AZ81">
            <v>5.2585574364469823</v>
          </cell>
          <cell r="BA81">
            <v>5.2531405167119356</v>
          </cell>
          <cell r="BB81">
            <v>5.2477814301808889</v>
          </cell>
          <cell r="BC81">
            <v>5.242476108345512</v>
          </cell>
          <cell r="BD81">
            <v>5.2372207547150911</v>
          </cell>
          <cell r="BE81">
            <v>5.2320118205292303</v>
          </cell>
          <cell r="BF81">
            <v>5.2268459830271263</v>
          </cell>
          <cell r="BG81">
            <v>5.2217201259648762</v>
          </cell>
          <cell r="BH81">
            <v>5.2166313263364543</v>
          </cell>
          <cell r="BI81">
            <v>5.2115768773562605</v>
          </cell>
        </row>
        <row r="82">
          <cell r="B82">
            <v>5.3802265413032</v>
          </cell>
          <cell r="C82">
            <v>5.4750766024729414</v>
          </cell>
          <cell r="D82">
            <v>5.5194508200708388</v>
          </cell>
          <cell r="E82">
            <v>5.5476491783269699</v>
          </cell>
          <cell r="F82">
            <v>5.5661231088565151</v>
          </cell>
          <cell r="G82">
            <v>5.5776065342249144</v>
          </cell>
          <cell r="H82">
            <v>5.583827583060665</v>
          </cell>
          <cell r="I82">
            <v>5.5860279693259871</v>
          </cell>
          <cell r="J82">
            <v>5.5851177313823426</v>
          </cell>
          <cell r="K82">
            <v>5.581798214615187</v>
          </cell>
          <cell r="L82">
            <v>5.5766171499243002</v>
          </cell>
          <cell r="M82">
            <v>5.5700071069317874</v>
          </cell>
          <cell r="N82">
            <v>5.5623444077297197</v>
          </cell>
          <cell r="O82">
            <v>5.5539418473865103</v>
          </cell>
          <cell r="P82">
            <v>5.5450338646277482</v>
          </cell>
          <cell r="Q82">
            <v>5.5357969694466371</v>
          </cell>
          <cell r="R82">
            <v>5.5263667807182326</v>
          </cell>
          <cell r="S82">
            <v>5.516849371207134</v>
          </cell>
          <cell r="T82">
            <v>5.5073277887618799</v>
          </cell>
          <cell r="U82">
            <v>5.4978638454441491</v>
          </cell>
          <cell r="V82">
            <v>5.4885018017552438</v>
          </cell>
          <cell r="W82">
            <v>5.4792723341006102</v>
          </cell>
          <cell r="X82">
            <v>5.4701955327116245</v>
          </cell>
          <cell r="Y82">
            <v>5.4612841253192315</v>
          </cell>
          <cell r="Z82">
            <v>5.4525465974550684</v>
          </cell>
          <cell r="AA82">
            <v>5.4439882854617032</v>
          </cell>
          <cell r="AB82">
            <v>5.4356119600486208</v>
          </cell>
          <cell r="AC82">
            <v>5.4274182844409946</v>
          </cell>
          <cell r="AD82">
            <v>5.4194061778172884</v>
          </cell>
          <cell r="AE82">
            <v>5.4115731601453136</v>
          </cell>
          <cell r="AF82">
            <v>5.403915877451416</v>
          </cell>
          <cell r="AG82">
            <v>5.3964304105158547</v>
          </cell>
          <cell r="AH82">
            <v>5.3891123659025517</v>
          </cell>
          <cell r="AI82">
            <v>5.3819569409970667</v>
          </cell>
          <cell r="AJ82">
            <v>5.3749589810087288</v>
          </cell>
          <cell r="AK82">
            <v>5.3681130278671132</v>
          </cell>
          <cell r="AL82">
            <v>5.3614133612057913</v>
          </cell>
          <cell r="AM82">
            <v>5.3548540335639903</v>
          </cell>
          <cell r="AN82">
            <v>5.3484289460426169</v>
          </cell>
          <cell r="AO82">
            <v>5.3421319994320662</v>
          </cell>
          <cell r="AP82">
            <v>5.3359571352672299</v>
          </cell>
          <cell r="AQ82">
            <v>5.3298983314558166</v>
          </cell>
          <cell r="AR82">
            <v>5.3239495980489489</v>
          </cell>
          <cell r="AS82">
            <v>5.318104975318608</v>
          </cell>
          <cell r="AT82">
            <v>5.3123585946376908</v>
          </cell>
          <cell r="AU82">
            <v>5.3067048066952216</v>
          </cell>
          <cell r="AV82">
            <v>5.3011381901265331</v>
          </cell>
          <cell r="AW82">
            <v>5.2956535279252162</v>
          </cell>
          <cell r="AX82">
            <v>5.2902457865902388</v>
          </cell>
          <cell r="AY82">
            <v>5.2849100977754082</v>
          </cell>
          <cell r="AZ82">
            <v>5.2796417420977697</v>
          </cell>
          <cell r="BA82">
            <v>5.2744361442993499</v>
          </cell>
          <cell r="BB82">
            <v>5.2692889484085761</v>
          </cell>
          <cell r="BC82">
            <v>5.2641960755953177</v>
          </cell>
          <cell r="BD82">
            <v>5.2591537049990507</v>
          </cell>
          <cell r="BE82">
            <v>5.254158250695852</v>
          </cell>
          <cell r="BF82">
            <v>5.2492063410899297</v>
          </cell>
          <cell r="BG82">
            <v>5.2442948004372614</v>
          </cell>
          <cell r="BH82">
            <v>5.239420637066754</v>
          </cell>
          <cell r="BI82">
            <v>5.2345810687523473</v>
          </cell>
        </row>
        <row r="83">
          <cell r="B83">
            <v>5.4027826400173184</v>
          </cell>
          <cell r="C83">
            <v>5.4856007225787762</v>
          </cell>
          <cell r="D83">
            <v>5.5257825142403352</v>
          </cell>
          <cell r="E83">
            <v>5.5523846785551081</v>
          </cell>
          <cell r="F83">
            <v>5.5704985920380343</v>
          </cell>
          <cell r="G83">
            <v>5.5822326094435288</v>
          </cell>
          <cell r="H83">
            <v>5.5889183362457455</v>
          </cell>
          <cell r="I83">
            <v>5.5915756227669355</v>
          </cell>
          <cell r="J83">
            <v>5.5910402903160277</v>
          </cell>
          <cell r="K83">
            <v>5.5880086829391518</v>
          </cell>
          <cell r="L83">
            <v>5.5830479457075626</v>
          </cell>
          <cell r="M83">
            <v>5.5766123139152413</v>
          </cell>
          <cell r="N83">
            <v>5.5690954905714269</v>
          </cell>
          <cell r="O83">
            <v>5.5608215807153929</v>
          </cell>
          <cell r="P83">
            <v>5.5520327601020449</v>
          </cell>
          <cell r="Q83">
            <v>5.5429112239812657</v>
          </cell>
          <cell r="R83">
            <v>5.5335968283730788</v>
          </cell>
          <cell r="S83">
            <v>5.5241988201695795</v>
          </cell>
          <cell r="T83">
            <v>5.5148022598316135</v>
          </cell>
          <cell r="U83">
            <v>5.505469954155167</v>
          </cell>
          <cell r="V83">
            <v>5.4962466226954314</v>
          </cell>
          <cell r="W83">
            <v>5.4871629984831056</v>
          </cell>
          <cell r="X83">
            <v>5.4782389449377407</v>
          </cell>
          <cell r="Y83">
            <v>5.4694869609738097</v>
          </cell>
          <cell r="Z83">
            <v>5.4609152748680669</v>
          </cell>
          <cell r="AA83">
            <v>5.4525288761017459</v>
          </cell>
          <cell r="AB83">
            <v>5.4443301151852017</v>
          </cell>
          <cell r="AC83">
            <v>5.4363191749027218</v>
          </cell>
          <cell r="AD83">
            <v>5.4284944444567449</v>
          </cell>
          <cell r="AE83">
            <v>5.4208529119111768</v>
          </cell>
          <cell r="AF83">
            <v>5.4133907943264701</v>
          </cell>
          <cell r="AG83">
            <v>5.4061038448838996</v>
          </cell>
          <cell r="AH83">
            <v>5.3989874080781117</v>
          </cell>
          <cell r="AI83">
            <v>5.3920364338783546</v>
          </cell>
          <cell r="AJ83">
            <v>5.3852455228631806</v>
          </cell>
          <cell r="AK83">
            <v>5.3786089746799544</v>
          </cell>
          <cell r="AL83">
            <v>5.3721208287112381</v>
          </cell>
          <cell r="AM83">
            <v>5.3657748997899981</v>
          </cell>
          <cell r="AN83">
            <v>5.3595648678271086</v>
          </cell>
          <cell r="AO83">
            <v>5.3534844327071882</v>
          </cell>
          <cell r="AP83">
            <v>5.3475273457278467</v>
          </cell>
          <cell r="AQ83">
            <v>5.3416874036820206</v>
          </cell>
          <cell r="AR83">
            <v>5.3359584435678054</v>
          </cell>
          <cell r="AS83">
            <v>5.3303343410591415</v>
          </cell>
          <cell r="AT83">
            <v>5.3248090821017202</v>
          </cell>
          <cell r="AU83">
            <v>5.3193768818578731</v>
          </cell>
          <cell r="AV83">
            <v>5.3140321839557956</v>
          </cell>
          <cell r="AW83">
            <v>5.3087696367331869</v>
          </cell>
          <cell r="AX83">
            <v>5.3035840723485252</v>
          </cell>
          <cell r="AY83">
            <v>5.2984704883989897</v>
          </cell>
          <cell r="AZ83">
            <v>5.2934240317049293</v>
          </cell>
          <cell r="BA83">
            <v>5.288439997608462</v>
          </cell>
          <cell r="BB83">
            <v>5.28351391298916</v>
          </cell>
          <cell r="BC83">
            <v>5.2786415836035987</v>
          </cell>
          <cell r="BD83">
            <v>5.2738190726156047</v>
          </cell>
          <cell r="BE83">
            <v>5.2690426776134656</v>
          </cell>
          <cell r="BF83">
            <v>5.2643089100463794</v>
          </cell>
          <cell r="BG83">
            <v>5.259614476792426</v>
          </cell>
          <cell r="BH83">
            <v>5.2549562706373472</v>
          </cell>
          <cell r="BI83">
            <v>5.250331400396739</v>
          </cell>
        </row>
        <row r="84">
          <cell r="B84">
            <v>5.4236757170423191</v>
          </cell>
          <cell r="C84">
            <v>5.4985569980764506</v>
          </cell>
          <cell r="D84">
            <v>5.5331849205797692</v>
          </cell>
          <cell r="E84">
            <v>5.5547944859268892</v>
          </cell>
          <cell r="F84">
            <v>5.5686341490975799</v>
          </cell>
          <cell r="G84">
            <v>5.5768681427105431</v>
          </cell>
          <cell r="H84">
            <v>5.5808103528596149</v>
          </cell>
          <cell r="I84">
            <v>5.581328330550579</v>
          </cell>
          <cell r="J84">
            <v>5.5790091171327969</v>
          </cell>
          <cell r="K84">
            <v>5.5743575922425297</v>
          </cell>
          <cell r="L84">
            <v>5.5678234291991631</v>
          </cell>
          <cell r="M84">
            <v>5.559814061137919</v>
          </cell>
          <cell r="N84">
            <v>5.5507228734018002</v>
          </cell>
          <cell r="O84">
            <v>5.5408887179314412</v>
          </cell>
          <cell r="P84">
            <v>5.5305661004446121</v>
          </cell>
          <cell r="Q84">
            <v>5.5199470419523813</v>
          </cell>
          <cell r="R84">
            <v>5.5091794566096786</v>
          </cell>
          <cell r="S84">
            <v>5.4983793513329458</v>
          </cell>
          <cell r="T84">
            <v>5.4876368592209994</v>
          </cell>
          <cell r="U84">
            <v>5.4770171787573645</v>
          </cell>
          <cell r="V84">
            <v>5.4665651031447586</v>
          </cell>
          <cell r="W84">
            <v>5.4563096479195048</v>
          </cell>
          <cell r="X84">
            <v>5.4462676033791366</v>
          </cell>
          <cell r="Y84">
            <v>5.4364478746296729</v>
          </cell>
          <cell r="Z84">
            <v>5.4268552406198332</v>
          </cell>
          <cell r="AA84">
            <v>5.4174914069544648</v>
          </cell>
          <cell r="AB84">
            <v>5.408355575055368</v>
          </cell>
          <cell r="AC84">
            <v>5.3994448893368503</v>
          </cell>
          <cell r="AD84">
            <v>5.3907547926088535</v>
          </cell>
          <cell r="AE84">
            <v>5.3822794422034352</v>
          </cell>
          <cell r="AF84">
            <v>5.3740124460966099</v>
          </cell>
          <cell r="AG84">
            <v>5.365947176261268</v>
          </cell>
          <cell r="AH84">
            <v>5.3580768036337405</v>
          </cell>
          <cell r="AI84">
            <v>5.3503943143596766</v>
          </cell>
          <cell r="AJ84">
            <v>5.3428925331890893</v>
          </cell>
          <cell r="AK84">
            <v>5.3355641458787213</v>
          </cell>
          <cell r="AL84">
            <v>5.3284017179749288</v>
          </cell>
          <cell r="AM84">
            <v>5.3213977127363288</v>
          </cell>
          <cell r="AN84">
            <v>5.3145445797001427</v>
          </cell>
          <cell r="AO84">
            <v>5.3078349154154418</v>
          </cell>
          <cell r="AP84">
            <v>5.3012614815318821</v>
          </cell>
          <cell r="AQ84">
            <v>5.2948171853097223</v>
          </cell>
          <cell r="AR84">
            <v>5.2884950626883533</v>
          </cell>
          <cell r="AS84">
            <v>5.2822882674971634</v>
          </cell>
          <cell r="AT84">
            <v>5.276190143211255</v>
          </cell>
          <cell r="AU84">
            <v>5.2701943384543615</v>
          </cell>
          <cell r="AV84">
            <v>5.2642947970952463</v>
          </cell>
          <cell r="AW84">
            <v>5.2584857275188606</v>
          </cell>
          <cell r="AX84">
            <v>5.2527615756348904</v>
          </cell>
          <cell r="AY84">
            <v>5.2471170011252903</v>
          </cell>
          <cell r="AZ84">
            <v>5.2415468564950514</v>
          </cell>
          <cell r="BA84">
            <v>5.2360461838250014</v>
          </cell>
          <cell r="BB84">
            <v>5.2306102963968755</v>
          </cell>
          <cell r="BC84">
            <v>5.2252348191935107</v>
          </cell>
          <cell r="BD84">
            <v>5.2199156638796342</v>
          </cell>
          <cell r="BE84">
            <v>5.214649003205249</v>
          </cell>
          <cell r="BF84">
            <v>5.2094312481034271</v>
          </cell>
          <cell r="BG84">
            <v>5.2042590271652465</v>
          </cell>
          <cell r="BH84">
            <v>5.1991291758437397</v>
          </cell>
          <cell r="BI84">
            <v>5.1940387647045299</v>
          </cell>
        </row>
        <row r="85">
          <cell r="B85">
            <v>5.4347800808466467</v>
          </cell>
          <cell r="C85">
            <v>5.4987388122096226</v>
          </cell>
          <cell r="D85">
            <v>5.5341951892296359</v>
          </cell>
          <cell r="E85">
            <v>5.5588472586253213</v>
          </cell>
          <cell r="F85">
            <v>5.5760208086415872</v>
          </cell>
          <cell r="G85">
            <v>5.587318248246266</v>
          </cell>
          <cell r="H85">
            <v>5.5938931946166859</v>
          </cell>
          <cell r="I85">
            <v>5.5966612375192879</v>
          </cell>
          <cell r="J85">
            <v>5.5963533135212291</v>
          </cell>
          <cell r="K85">
            <v>5.5935836333557649</v>
          </cell>
          <cell r="L85">
            <v>5.5888654257874171</v>
          </cell>
          <cell r="M85">
            <v>5.5826256452033105</v>
          </cell>
          <cell r="N85">
            <v>5.5752442026346465</v>
          </cell>
          <cell r="O85">
            <v>5.5670374073331104</v>
          </cell>
          <cell r="P85">
            <v>5.5582442034412205</v>
          </cell>
          <cell r="Q85">
            <v>5.5490470705236463</v>
          </cell>
          <cell r="R85">
            <v>5.5395886307928199</v>
          </cell>
          <cell r="S85">
            <v>5.5299826624810944</v>
          </cell>
          <cell r="T85">
            <v>5.5203194292776381</v>
          </cell>
          <cell r="U85">
            <v>5.5106666446918364</v>
          </cell>
          <cell r="V85">
            <v>5.5010736851814128</v>
          </cell>
          <cell r="W85">
            <v>5.4915757512827614</v>
          </cell>
          <cell r="X85">
            <v>5.4821970386371044</v>
          </cell>
          <cell r="Y85">
            <v>5.4729542119478314</v>
          </cell>
          <cell r="Z85">
            <v>5.4638592499370384</v>
          </cell>
          <cell r="AA85">
            <v>5.4549204918541063</v>
          </cell>
          <cell r="AB85">
            <v>5.4461433114556375</v>
          </cell>
          <cell r="AC85">
            <v>5.4375306465577244</v>
          </cell>
          <cell r="AD85">
            <v>5.4290834196949103</v>
          </cell>
          <cell r="AE85">
            <v>5.4208009663506482</v>
          </cell>
          <cell r="AF85">
            <v>5.4126816315042179</v>
          </cell>
          <cell r="AG85">
            <v>5.404723059970566</v>
          </cell>
          <cell r="AH85">
            <v>5.3969222828400651</v>
          </cell>
          <cell r="AI85">
            <v>5.3892757638289437</v>
          </cell>
          <cell r="AJ85">
            <v>5.3817794712053368</v>
          </cell>
          <cell r="AK85">
            <v>5.3744289465707311</v>
          </cell>
          <cell r="AL85">
            <v>5.3672193625176234</v>
          </cell>
          <cell r="AM85">
            <v>5.3601455732728311</v>
          </cell>
          <cell r="AN85">
            <v>5.3532022208369296</v>
          </cell>
          <cell r="AO85">
            <v>5.3463838894566829</v>
          </cell>
          <cell r="AP85">
            <v>5.3396851393820555</v>
          </cell>
          <cell r="AQ85">
            <v>5.3331005098134785</v>
          </cell>
          <cell r="AR85">
            <v>5.3266245213494585</v>
          </cell>
          <cell r="AS85">
            <v>5.3202516824657629</v>
          </cell>
          <cell r="AT85">
            <v>5.3139765769290328</v>
          </cell>
          <cell r="AU85">
            <v>5.3077939840092299</v>
          </cell>
          <cell r="AV85">
            <v>5.3016988771924618</v>
          </cell>
          <cell r="AW85">
            <v>5.2956864039633453</v>
          </cell>
          <cell r="AX85">
            <v>5.2897518680500628</v>
          </cell>
          <cell r="AY85">
            <v>5.2838907138</v>
          </cell>
          <cell r="AZ85">
            <v>5.2780985124106774</v>
          </cell>
          <cell r="BA85">
            <v>5.2723709666565775</v>
          </cell>
          <cell r="BB85">
            <v>5.2667039993962854</v>
          </cell>
          <cell r="BC85">
            <v>5.2610937950809573</v>
          </cell>
          <cell r="BD85">
            <v>5.255536778764192</v>
          </cell>
          <cell r="BE85">
            <v>5.2500295946196678</v>
          </cell>
          <cell r="BF85">
            <v>5.2445690867200838</v>
          </cell>
          <cell r="BG85">
            <v>5.2391522818185603</v>
          </cell>
          <cell r="BH85">
            <v>5.2337763824455781</v>
          </cell>
          <cell r="BI85">
            <v>5.2284387991453825</v>
          </cell>
        </row>
        <row r="86">
          <cell r="B86">
            <v>5.4557061669607263</v>
          </cell>
          <cell r="C86">
            <v>5.5160902597920654</v>
          </cell>
          <cell r="D86">
            <v>5.5505427758090145</v>
          </cell>
          <cell r="E86">
            <v>5.5748898481266149</v>
          </cell>
          <cell r="F86">
            <v>5.5921971471608973</v>
          </cell>
          <cell r="G86">
            <v>5.6039116947369871</v>
          </cell>
          <cell r="H86">
            <v>5.6110485397855454</v>
          </cell>
          <cell r="I86">
            <v>5.6144015160089866</v>
          </cell>
          <cell r="J86">
            <v>5.6146125357635377</v>
          </cell>
          <cell r="K86">
            <v>5.6122475116868449</v>
          </cell>
          <cell r="L86">
            <v>5.6078069187082855</v>
          </cell>
          <cell r="M86">
            <v>5.6017317202616299</v>
          </cell>
          <cell r="N86">
            <v>5.5944302075318859</v>
          </cell>
          <cell r="O86">
            <v>5.5862480477589092</v>
          </cell>
          <cell r="P86">
            <v>5.5774461902378851</v>
          </cell>
          <cell r="Q86">
            <v>5.5682233145937508</v>
          </cell>
          <cell r="R86">
            <v>5.5587341453861976</v>
          </cell>
          <cell r="S86">
            <v>5.5491015832866886</v>
          </cell>
          <cell r="T86">
            <v>5.5394224265097689</v>
          </cell>
          <cell r="U86">
            <v>5.5297685368813623</v>
          </cell>
          <cell r="V86">
            <v>5.5201916133537106</v>
          </cell>
          <cell r="W86">
            <v>5.5107277695933874</v>
          </cell>
          <cell r="X86">
            <v>5.5014010498787709</v>
          </cell>
          <cell r="Y86">
            <v>5.4922274749990452</v>
          </cell>
          <cell r="Z86">
            <v>5.4832182634220672</v>
          </cell>
          <cell r="AA86">
            <v>5.4743809149240636</v>
          </cell>
          <cell r="AB86">
            <v>5.4657198992366904</v>
          </cell>
          <cell r="AC86">
            <v>5.4572371971264229</v>
          </cell>
          <cell r="AD86">
            <v>5.4489327305481581</v>
          </cell>
          <cell r="AE86">
            <v>5.4408048179685133</v>
          </cell>
          <cell r="AF86">
            <v>5.4328508157734259</v>
          </cell>
          <cell r="AG86">
            <v>5.4250674106159016</v>
          </cell>
          <cell r="AH86">
            <v>5.4174507159886929</v>
          </cell>
          <cell r="AI86">
            <v>5.4099963429782321</v>
          </cell>
          <cell r="AJ86">
            <v>5.4026994694462784</v>
          </cell>
          <cell r="AK86">
            <v>5.3955549001937841</v>
          </cell>
          <cell r="AL86">
            <v>5.3885571173745204</v>
          </cell>
          <cell r="AM86">
            <v>5.3817003256635987</v>
          </cell>
          <cell r="AN86">
            <v>5.374978562370984</v>
          </cell>
          <cell r="AO86">
            <v>5.3683858540949085</v>
          </cell>
          <cell r="AP86">
            <v>5.3619162441213808</v>
          </cell>
          <cell r="AQ86">
            <v>5.3555637905004341</v>
          </cell>
          <cell r="AR86">
            <v>5.3493225643293751</v>
          </cell>
          <cell r="AS86">
            <v>5.3431866534784467</v>
          </cell>
          <cell r="AT86">
            <v>5.3371502525759862</v>
          </cell>
          <cell r="AU86">
            <v>5.3312077788521668</v>
          </cell>
          <cell r="AV86">
            <v>5.3253538661904365</v>
          </cell>
          <cell r="AW86">
            <v>5.3195833425657995</v>
          </cell>
          <cell r="AX86">
            <v>5.3138912102395546</v>
          </cell>
          <cell r="AY86">
            <v>5.3082726283306627</v>
          </cell>
          <cell r="AZ86">
            <v>5.3027228974683656</v>
          </cell>
          <cell r="BA86">
            <v>5.29723746526596</v>
          </cell>
          <cell r="BB86">
            <v>5.2918120168745286</v>
          </cell>
          <cell r="BC86">
            <v>5.2864425125317549</v>
          </cell>
          <cell r="BD86">
            <v>5.2811251649384978</v>
          </cell>
          <cell r="BE86">
            <v>5.2758564167174384</v>
          </cell>
          <cell r="BF86">
            <v>5.2706329202444993</v>
          </cell>
          <cell r="BG86">
            <v>5.2654515195901102</v>
          </cell>
          <cell r="BH86">
            <v>5.2603092439375452</v>
          </cell>
          <cell r="BI86">
            <v>5.2552033407624128</v>
          </cell>
        </row>
        <row r="87">
          <cell r="B87">
            <v>5.4607717873839547</v>
          </cell>
          <cell r="C87">
            <v>5.5196756178623474</v>
          </cell>
          <cell r="D87">
            <v>5.5543351284804841</v>
          </cell>
          <cell r="E87">
            <v>5.5797436294895473</v>
          </cell>
          <cell r="F87">
            <v>5.5982808773168937</v>
          </cell>
          <cell r="G87">
            <v>5.6111332639649083</v>
          </cell>
          <cell r="H87">
            <v>5.6192215678230868</v>
          </cell>
          <cell r="I87">
            <v>5.6233761518581957</v>
          </cell>
          <cell r="J87">
            <v>5.6243431228473924</v>
          </cell>
          <cell r="K87">
            <v>5.6227516474918344</v>
          </cell>
          <cell r="L87">
            <v>5.6191255806628151</v>
          </cell>
          <cell r="M87">
            <v>5.6138996024762324</v>
          </cell>
          <cell r="N87">
            <v>5.6074579078056734</v>
          </cell>
          <cell r="O87">
            <v>5.60012415017541</v>
          </cell>
          <cell r="P87">
            <v>5.5921454337022762</v>
          </cell>
          <cell r="Q87">
            <v>5.5837117715818447</v>
          </cell>
          <cell r="R87">
            <v>5.5749728767687028</v>
          </cell>
          <cell r="S87">
            <v>5.5660492582053909</v>
          </cell>
          <cell r="T87">
            <v>5.5570370038267436</v>
          </cell>
          <cell r="U87">
            <v>5.5480084348236351</v>
          </cell>
          <cell r="V87">
            <v>5.5390166731267909</v>
          </cell>
          <cell r="W87">
            <v>5.5301000015071775</v>
          </cell>
          <cell r="X87">
            <v>5.5212852053402015</v>
          </cell>
          <cell r="Y87">
            <v>5.5125912286235899</v>
          </cell>
          <cell r="Z87">
            <v>5.5040319815989029</v>
          </cell>
          <cell r="AA87">
            <v>5.4956174205854724</v>
          </cell>
          <cell r="AB87">
            <v>5.4873542801882129</v>
          </cell>
          <cell r="AC87">
            <v>5.4792466486037803</v>
          </cell>
          <cell r="AD87">
            <v>5.4712964250397862</v>
          </cell>
          <cell r="AE87">
            <v>5.4635037862743534</v>
          </cell>
          <cell r="AF87">
            <v>5.4558677858999367</v>
          </cell>
          <cell r="AG87">
            <v>5.4483866401284509</v>
          </cell>
          <cell r="AH87">
            <v>5.4410578415291226</v>
          </cell>
          <cell r="AI87">
            <v>5.4338782404454928</v>
          </cell>
          <cell r="AJ87">
            <v>5.426844132341385</v>
          </cell>
          <cell r="AK87">
            <v>5.4199513348603769</v>
          </cell>
          <cell r="AL87">
            <v>5.4131952523961093</v>
          </cell>
          <cell r="AM87">
            <v>5.4065709333819623</v>
          </cell>
          <cell r="AN87">
            <v>5.4000731866190357</v>
          </cell>
          <cell r="AO87">
            <v>5.3936967309462895</v>
          </cell>
          <cell r="AP87">
            <v>5.3874362273740859</v>
          </cell>
          <cell r="AQ87">
            <v>5.3812862860030659</v>
          </cell>
          <cell r="AR87">
            <v>5.3752414719438839</v>
          </cell>
          <cell r="AS87">
            <v>5.3692963165198995</v>
          </cell>
          <cell r="AT87">
            <v>5.3634454174423603</v>
          </cell>
          <cell r="AU87">
            <v>5.3576835560485536</v>
          </cell>
          <cell r="AV87">
            <v>5.3520056935990228</v>
          </cell>
          <cell r="AW87">
            <v>5.3464069525380555</v>
          </cell>
          <cell r="AX87">
            <v>5.3408826000463776</v>
          </cell>
          <cell r="AY87">
            <v>5.3354280335675002</v>
          </cell>
          <cell r="AZ87">
            <v>5.330038768087987</v>
          </cell>
          <cell r="BA87">
            <v>5.3247104460577166</v>
          </cell>
          <cell r="BB87">
            <v>5.3194389320962463</v>
          </cell>
          <cell r="BC87">
            <v>5.3142203490014523</v>
          </cell>
          <cell r="BD87">
            <v>5.3090510562803033</v>
          </cell>
          <cell r="BE87">
            <v>5.3039276290141215</v>
          </cell>
          <cell r="BF87">
            <v>5.2988468389485561</v>
          </cell>
          <cell r="BG87">
            <v>5.2938056375758986</v>
          </cell>
          <cell r="BH87">
            <v>5.2888011514981459</v>
          </cell>
          <cell r="BI87">
            <v>5.2838307169415701</v>
          </cell>
        </row>
        <row r="88">
          <cell r="B88">
            <v>5.4910550215279024</v>
          </cell>
          <cell r="C88">
            <v>5.540003609340336</v>
          </cell>
          <cell r="D88">
            <v>5.5688913992482476</v>
          </cell>
          <cell r="E88">
            <v>5.590288332253559</v>
          </cell>
          <cell r="F88">
            <v>5.6058931025614722</v>
          </cell>
          <cell r="G88">
            <v>5.6165504172401004</v>
          </cell>
          <cell r="H88">
            <v>5.6229596273218343</v>
          </cell>
          <cell r="I88">
            <v>5.6257908072664584</v>
          </cell>
          <cell r="J88">
            <v>5.625658851141969</v>
          </cell>
          <cell r="K88">
            <v>5.6230819700935202</v>
          </cell>
          <cell r="L88">
            <v>5.6185171327896386</v>
          </cell>
          <cell r="M88">
            <v>5.6123799320467294</v>
          </cell>
          <cell r="N88">
            <v>5.6050547624873586</v>
          </cell>
          <cell r="O88">
            <v>5.5968703944349896</v>
          </cell>
          <cell r="P88">
            <v>5.5880775739068955</v>
          </cell>
          <cell r="Q88">
            <v>5.5788687909350783</v>
          </cell>
          <cell r="R88">
            <v>5.5693954133973698</v>
          </cell>
          <cell r="S88">
            <v>5.5597788948865299</v>
          </cell>
          <cell r="T88">
            <v>5.5501147188768689</v>
          </cell>
          <cell r="U88">
            <v>5.5404733606139214</v>
          </cell>
          <cell r="V88">
            <v>5.5309054513920382</v>
          </cell>
          <cell r="W88">
            <v>5.5214462881641397</v>
          </cell>
          <cell r="X88">
            <v>5.5121194084434819</v>
          </cell>
          <cell r="Y88">
            <v>5.5029408565469575</v>
          </cell>
          <cell r="Z88">
            <v>5.493922025632707</v>
          </cell>
          <cell r="AA88">
            <v>5.4850706338641402</v>
          </cell>
          <cell r="AB88">
            <v>5.4763914049645095</v>
          </cell>
          <cell r="AC88">
            <v>5.4678866029383677</v>
          </cell>
          <cell r="AD88">
            <v>5.459556459171921</v>
          </cell>
          <cell r="AE88">
            <v>5.4513996451729652</v>
          </cell>
          <cell r="AF88">
            <v>5.4434138379998789</v>
          </cell>
          <cell r="AG88">
            <v>5.4355959566962815</v>
          </cell>
          <cell r="AH88">
            <v>5.4279422972291425</v>
          </cell>
          <cell r="AI88">
            <v>5.4204486488117904</v>
          </cell>
          <cell r="AJ88">
            <v>5.4131103693630021</v>
          </cell>
          <cell r="AK88">
            <v>5.4059224454094315</v>
          </cell>
          <cell r="AL88">
            <v>5.3988795422737272</v>
          </cell>
          <cell r="AM88">
            <v>5.3919760519353774</v>
          </cell>
          <cell r="AN88">
            <v>5.3852062146509416</v>
          </cell>
          <cell r="AO88">
            <v>5.378564247799468</v>
          </cell>
          <cell r="AP88">
            <v>5.3720443623723648</v>
          </cell>
          <cell r="AQ88">
            <v>5.3656407637356507</v>
          </cell>
          <cell r="AR88">
            <v>5.3593476522840566</v>
          </cell>
          <cell r="AS88">
            <v>5.353159234982539</v>
          </cell>
          <cell r="AT88">
            <v>5.3470698408168369</v>
          </cell>
          <cell r="AU88">
            <v>5.3410740198238607</v>
          </cell>
          <cell r="AV88">
            <v>5.3351665294073953</v>
          </cell>
          <cell r="AW88">
            <v>5.3293423127373991</v>
          </cell>
          <cell r="AX88">
            <v>5.3235964797942623</v>
          </cell>
          <cell r="AY88">
            <v>5.3179242906877606</v>
          </cell>
          <cell r="AZ88">
            <v>5.312321141178054</v>
          </cell>
          <cell r="BA88">
            <v>5.3067825803504638</v>
          </cell>
          <cell r="BB88">
            <v>5.3013044076981215</v>
          </cell>
          <cell r="BC88">
            <v>5.2958826939371235</v>
          </cell>
          <cell r="BD88">
            <v>5.2905137572362522</v>
          </cell>
          <cell r="BE88">
            <v>5.2851941411229868</v>
          </cell>
          <cell r="BF88">
            <v>5.2799205947152004</v>
          </cell>
          <cell r="BG88">
            <v>5.2746900551405043</v>
          </cell>
          <cell r="BH88">
            <v>5.2694996464306492</v>
          </cell>
          <cell r="BI88">
            <v>5.2643467140475533</v>
          </cell>
        </row>
        <row r="89">
          <cell r="B89">
            <v>5.5297442645128809</v>
          </cell>
          <cell r="C89">
            <v>5.5657526610622234</v>
          </cell>
          <cell r="D89">
            <v>5.588792350192791</v>
          </cell>
          <cell r="E89">
            <v>5.6058226956510913</v>
          </cell>
          <cell r="F89">
            <v>5.6178654057500648</v>
          </cell>
          <cell r="G89">
            <v>5.6256020530436066</v>
          </cell>
          <cell r="H89">
            <v>5.6296646480320929</v>
          </cell>
          <cell r="I89">
            <v>5.6306316938996384</v>
          </cell>
          <cell r="J89">
            <v>5.628999451754801</v>
          </cell>
          <cell r="K89">
            <v>5.625196443504997</v>
          </cell>
          <cell r="L89">
            <v>5.6196108659332982</v>
          </cell>
          <cell r="M89">
            <v>5.6126101562082651</v>
          </cell>
          <cell r="N89">
            <v>5.6045487663830871</v>
          </cell>
          <cell r="O89">
            <v>5.5957322330196817</v>
          </cell>
          <cell r="P89">
            <v>5.5863925875993656</v>
          </cell>
          <cell r="Q89">
            <v>5.5767074950999316</v>
          </cell>
          <cell r="R89">
            <v>5.5668162441400417</v>
          </cell>
          <cell r="S89">
            <v>5.5568301657449233</v>
          </cell>
          <cell r="T89">
            <v>5.5468360353131132</v>
          </cell>
          <cell r="U89">
            <v>5.5368970273026745</v>
          </cell>
          <cell r="V89">
            <v>5.5270576561442661</v>
          </cell>
          <cell r="W89">
            <v>5.5173480170719538</v>
          </cell>
          <cell r="X89">
            <v>5.5077872116403315</v>
          </cell>
          <cell r="Y89">
            <v>5.4983876420324194</v>
          </cell>
          <cell r="Z89">
            <v>5.4891577312808799</v>
          </cell>
          <cell r="AA89">
            <v>5.480102764056066</v>
          </cell>
          <cell r="AB89">
            <v>5.4712254678442331</v>
          </cell>
          <cell r="AC89">
            <v>5.4625264695875488</v>
          </cell>
          <cell r="AD89">
            <v>5.4540046614175868</v>
          </cell>
          <cell r="AE89">
            <v>5.4456576269459775</v>
          </cell>
          <cell r="AF89">
            <v>5.4374821509339357</v>
          </cell>
          <cell r="AG89">
            <v>5.4294744160313684</v>
          </cell>
          <cell r="AH89">
            <v>5.4216301187447726</v>
          </cell>
          <cell r="AI89">
            <v>5.4139445695804458</v>
          </cell>
          <cell r="AJ89">
            <v>5.4064127514354929</v>
          </cell>
          <cell r="AK89">
            <v>5.3990293650992394</v>
          </cell>
          <cell r="AL89">
            <v>5.3917888673759062</v>
          </cell>
          <cell r="AM89">
            <v>5.3846855092716339</v>
          </cell>
          <cell r="AN89">
            <v>5.377713447231641</v>
          </cell>
          <cell r="AO89">
            <v>5.3708668551810996</v>
          </cell>
          <cell r="AP89">
            <v>5.3641399338040125</v>
          </cell>
          <cell r="AQ89">
            <v>5.3575269073581175</v>
          </cell>
          <cell r="AR89">
            <v>5.3510220209337716</v>
          </cell>
          <cell r="AS89">
            <v>5.3446195503348672</v>
          </cell>
          <cell r="AT89">
            <v>5.3383139165294491</v>
          </cell>
          <cell r="AU89">
            <v>5.3320997758429103</v>
          </cell>
          <cell r="AV89">
            <v>5.3259720033340612</v>
          </cell>
          <cell r="AW89">
            <v>5.3199256700103978</v>
          </cell>
          <cell r="AX89">
            <v>5.3139560228333389</v>
          </cell>
          <cell r="AY89">
            <v>5.3080584671228319</v>
          </cell>
          <cell r="AZ89">
            <v>5.3022285513476914</v>
          </cell>
          <cell r="BA89">
            <v>5.2964619857034752</v>
          </cell>
          <cell r="BB89">
            <v>5.2907547354158515</v>
          </cell>
          <cell r="BC89">
            <v>5.2851030368462766</v>
          </cell>
          <cell r="BD89">
            <v>5.2795033735232879</v>
          </cell>
          <cell r="BE89">
            <v>5.2739524540740224</v>
          </cell>
          <cell r="BF89">
            <v>5.2684471924787166</v>
          </cell>
          <cell r="BG89">
            <v>5.2629846905497137</v>
          </cell>
          <cell r="BH89">
            <v>5.2575622374380977</v>
          </cell>
          <cell r="BI89">
            <v>5.2521773423027982</v>
          </cell>
        </row>
        <row r="90">
          <cell r="B90">
            <v>5.5387055136743042</v>
          </cell>
          <cell r="C90">
            <v>5.5726525655753472</v>
          </cell>
          <cell r="D90">
            <v>5.5938790853916984</v>
          </cell>
          <cell r="E90">
            <v>5.6086335173996087</v>
          </cell>
          <cell r="F90">
            <v>5.6183306570164273</v>
          </cell>
          <cell r="G90">
            <v>5.6238877006918049</v>
          </cell>
          <cell r="H90">
            <v>5.6260868512413271</v>
          </cell>
          <cell r="I90">
            <v>5.6255499042504846</v>
          </cell>
          <cell r="J90">
            <v>5.6227337576859604</v>
          </cell>
          <cell r="K90">
            <v>5.6180159553139468</v>
          </cell>
          <cell r="L90">
            <v>5.6117288724023586</v>
          </cell>
          <cell r="M90">
            <v>5.6041920073609415</v>
          </cell>
          <cell r="N90">
            <v>5.5957262486406529</v>
          </cell>
          <cell r="O90">
            <v>5.5866126964842877</v>
          </cell>
          <cell r="P90">
            <v>5.5770643938433002</v>
          </cell>
          <cell r="Q90">
            <v>5.5672437028288302</v>
          </cell>
          <cell r="R90">
            <v>5.5572772108374595</v>
          </cell>
          <cell r="S90">
            <v>5.5472654072190677</v>
          </cell>
          <cell r="T90">
            <v>5.5372857051441438</v>
          </cell>
          <cell r="U90">
            <v>5.5273935176629063</v>
          </cell>
          <cell r="V90">
            <v>5.5176269341331468</v>
          </cell>
          <cell r="W90">
            <v>5.5080106575763068</v>
          </cell>
          <cell r="X90">
            <v>5.4985592588942573</v>
          </cell>
          <cell r="Y90">
            <v>5.489281460685981</v>
          </cell>
          <cell r="Z90">
            <v>5.4801827007605839</v>
          </cell>
          <cell r="AA90">
            <v>5.4712658322697179</v>
          </cell>
          <cell r="AB90">
            <v>5.4625316023478581</v>
          </cell>
          <cell r="AC90">
            <v>5.4539790281867919</v>
          </cell>
          <cell r="AD90">
            <v>5.4456056993850801</v>
          </cell>
          <cell r="AE90">
            <v>5.4374081523692777</v>
          </cell>
          <cell r="AF90">
            <v>5.4293823165863451</v>
          </cell>
          <cell r="AG90">
            <v>5.4215236710080434</v>
          </cell>
          <cell r="AH90">
            <v>5.4138273342371717</v>
          </cell>
          <cell r="AI90">
            <v>5.4062881411517214</v>
          </cell>
          <cell r="AJ90">
            <v>5.3989006858815554</v>
          </cell>
          <cell r="AK90">
            <v>5.391659355245654</v>
          </cell>
          <cell r="AL90">
            <v>5.3845583567671191</v>
          </cell>
          <cell r="AM90">
            <v>5.3775917487631535</v>
          </cell>
          <cell r="AN90">
            <v>5.3707535414278356</v>
          </cell>
          <cell r="AO90">
            <v>5.3640377929284799</v>
          </cell>
          <cell r="AP90">
            <v>5.3574386129068703</v>
          </cell>
          <cell r="AQ90">
            <v>5.3509501563514119</v>
          </cell>
          <cell r="AR90">
            <v>5.344566618324551</v>
          </cell>
          <cell r="AS90">
            <v>5.3382822430103118</v>
          </cell>
          <cell r="AT90">
            <v>5.332091437446282</v>
          </cell>
          <cell r="AU90">
            <v>5.3259888535117721</v>
          </cell>
          <cell r="AV90">
            <v>5.3199693690425951</v>
          </cell>
          <cell r="AW90">
            <v>5.3140280642939324</v>
          </cell>
          <cell r="AX90">
            <v>5.3081602012852978</v>
          </cell>
          <cell r="AY90">
            <v>5.3023612056241012</v>
          </cell>
          <cell r="AZ90">
            <v>5.2966266508855693</v>
          </cell>
          <cell r="BA90">
            <v>5.2909522792471853</v>
          </cell>
          <cell r="BB90">
            <v>5.285334093852585</v>
          </cell>
          <cell r="BC90">
            <v>5.2797683713648631</v>
          </cell>
          <cell r="BD90">
            <v>5.2742516376293533</v>
          </cell>
          <cell r="BE90">
            <v>5.2687806454252177</v>
          </cell>
          <cell r="BF90">
            <v>5.2633523545589691</v>
          </cell>
          <cell r="BG90">
            <v>5.2579639142573367</v>
          </cell>
          <cell r="BH90">
            <v>5.2526126639871311</v>
          </cell>
          <cell r="BI90">
            <v>5.2472961665665601</v>
          </cell>
        </row>
        <row r="91">
          <cell r="B91">
            <v>5.5395473816448213</v>
          </cell>
          <cell r="C91">
            <v>5.5621790616182594</v>
          </cell>
          <cell r="D91">
            <v>5.5807164819430994</v>
          </cell>
          <cell r="E91">
            <v>5.5948474697542867</v>
          </cell>
          <cell r="F91">
            <v>5.6049419425562004</v>
          </cell>
          <cell r="G91">
            <v>5.6114879199915899</v>
          </cell>
          <cell r="H91">
            <v>5.6149895267152248</v>
          </cell>
          <cell r="I91">
            <v>5.6158753300396604</v>
          </cell>
          <cell r="J91">
            <v>5.614487825268669</v>
          </cell>
          <cell r="K91">
            <v>5.6111509995072248</v>
          </cell>
          <cell r="L91">
            <v>5.60617751361539</v>
          </cell>
          <cell r="M91">
            <v>5.5998791709762941</v>
          </cell>
          <cell r="N91">
            <v>5.5925714047000188</v>
          </cell>
          <cell r="O91">
            <v>5.5845355452845888</v>
          </cell>
          <cell r="P91">
            <v>5.5759876022419421</v>
          </cell>
          <cell r="Q91">
            <v>5.5670938772923924</v>
          </cell>
          <cell r="R91">
            <v>5.5579855840098151</v>
          </cell>
          <cell r="S91">
            <v>5.5487682766774542</v>
          </cell>
          <cell r="T91">
            <v>5.5395243706799775</v>
          </cell>
          <cell r="U91">
            <v>5.530314119618045</v>
          </cell>
          <cell r="V91">
            <v>5.5211803663518344</v>
          </cell>
          <cell r="W91">
            <v>5.5121525003198473</v>
          </cell>
          <cell r="X91">
            <v>5.5032497087142547</v>
          </cell>
          <cell r="Y91">
            <v>5.4944849942654779</v>
          </cell>
          <cell r="Z91">
            <v>5.4858675423807224</v>
          </cell>
          <cell r="AA91">
            <v>5.4774035048280547</v>
          </cell>
          <cell r="AB91">
            <v>5.4690965615214271</v>
          </cell>
          <cell r="AC91">
            <v>5.4609483619231929</v>
          </cell>
          <cell r="AD91">
            <v>5.4529588787693362</v>
          </cell>
          <cell r="AE91">
            <v>5.4451267943567423</v>
          </cell>
          <cell r="AF91">
            <v>5.4374499098798728</v>
          </cell>
          <cell r="AG91">
            <v>5.4299253261773339</v>
          </cell>
          <cell r="AH91">
            <v>5.4225495821075844</v>
          </cell>
          <cell r="AI91">
            <v>5.4153187699240846</v>
          </cell>
          <cell r="AJ91">
            <v>5.4082286021561385</v>
          </cell>
          <cell r="AK91">
            <v>5.4012744643483552</v>
          </cell>
          <cell r="AL91">
            <v>5.3944514592477697</v>
          </cell>
          <cell r="AM91">
            <v>5.3877544509542519</v>
          </cell>
          <cell r="AN91">
            <v>5.3811781748468475</v>
          </cell>
          <cell r="AO91">
            <v>5.3747173348205797</v>
          </cell>
          <cell r="AP91">
            <v>5.3683666147951667</v>
          </cell>
          <cell r="AQ91">
            <v>5.3621206810930309</v>
          </cell>
          <cell r="AR91">
            <v>5.3559741844867483</v>
          </cell>
          <cell r="AS91">
            <v>5.3499217770300573</v>
          </cell>
          <cell r="AT91">
            <v>5.3439582323123833</v>
          </cell>
          <cell r="AU91">
            <v>5.3380785259239856</v>
          </cell>
          <cell r="AV91">
            <v>5.3322778200397236</v>
          </cell>
          <cell r="AW91">
            <v>5.3265514439831643</v>
          </cell>
          <cell r="AX91">
            <v>5.3208948771705895</v>
          </cell>
          <cell r="AY91">
            <v>5.3153037341017253</v>
          </cell>
          <cell r="AZ91">
            <v>5.3097737516614592</v>
          </cell>
          <cell r="BA91">
            <v>5.3043008149673909</v>
          </cell>
          <cell r="BB91">
            <v>5.2988810515659646</v>
          </cell>
          <cell r="BC91">
            <v>5.2935108429631761</v>
          </cell>
          <cell r="BD91">
            <v>5.2881868019426204</v>
          </cell>
          <cell r="BE91">
            <v>5.2829057519157132</v>
          </cell>
          <cell r="BF91">
            <v>5.2776647084455588</v>
          </cell>
          <cell r="BG91">
            <v>5.2724608629914584</v>
          </cell>
          <cell r="BH91">
            <v>5.267291586262882</v>
          </cell>
          <cell r="BI91">
            <v>5.2621544624513614</v>
          </cell>
        </row>
        <row r="92">
          <cell r="B92">
            <v>5.5192857433273277</v>
          </cell>
          <cell r="C92">
            <v>5.5516602742085546</v>
          </cell>
          <cell r="D92">
            <v>5.5709187455001521</v>
          </cell>
          <cell r="E92">
            <v>5.5841045728691627</v>
          </cell>
          <cell r="F92">
            <v>5.5927868804749528</v>
          </cell>
          <cell r="G92">
            <v>5.5978654793165941</v>
          </cell>
          <cell r="H92">
            <v>5.6000536422872473</v>
          </cell>
          <cell r="I92">
            <v>5.5998801643139444</v>
          </cell>
          <cell r="J92">
            <v>5.5977242463398538</v>
          </cell>
          <cell r="K92">
            <v>5.5939140276019437</v>
          </cell>
          <cell r="L92">
            <v>5.5887260195511077</v>
          </cell>
          <cell r="M92">
            <v>5.5824161180469689</v>
          </cell>
          <cell r="N92">
            <v>5.5752449829208874</v>
          </cell>
          <cell r="O92">
            <v>5.5674453425156969</v>
          </cell>
          <cell r="P92">
            <v>5.5591970513421485</v>
          </cell>
          <cell r="Q92">
            <v>5.5506400905462838</v>
          </cell>
          <cell r="R92">
            <v>5.5418862953215653</v>
          </cell>
          <cell r="S92">
            <v>5.533026725247824</v>
          </cell>
          <cell r="T92">
            <v>5.5241326795229568</v>
          </cell>
          <cell r="U92">
            <v>5.5152565562199536</v>
          </cell>
          <cell r="V92">
            <v>5.5064360157689336</v>
          </cell>
          <cell r="W92">
            <v>5.4976973316513398</v>
          </cell>
          <cell r="X92">
            <v>5.4890582164906823</v>
          </cell>
          <cell r="Y92">
            <v>5.4805311894289659</v>
          </cell>
          <cell r="Z92">
            <v>5.4721253775637981</v>
          </cell>
          <cell r="AA92">
            <v>5.4638471914437989</v>
          </cell>
          <cell r="AB92">
            <v>5.4557008281332307</v>
          </cell>
          <cell r="AC92">
            <v>5.4476886664770587</v>
          </cell>
          <cell r="AD92">
            <v>5.4398115863097933</v>
          </cell>
          <cell r="AE92">
            <v>5.4320693350171609</v>
          </cell>
          <cell r="AF92">
            <v>5.4244608874803495</v>
          </cell>
          <cell r="AG92">
            <v>5.4169845900990499</v>
          </cell>
          <cell r="AH92">
            <v>5.4096382193196586</v>
          </cell>
          <cell r="AI92">
            <v>5.4024190353180446</v>
          </cell>
          <cell r="AJ92">
            <v>5.3953238536370733</v>
          </cell>
          <cell r="AK92">
            <v>5.3883491069411944</v>
          </cell>
          <cell r="AL92">
            <v>5.3814908967569899</v>
          </cell>
          <cell r="AM92">
            <v>5.3747450455858026</v>
          </cell>
          <cell r="AN92">
            <v>5.3681072062108379</v>
          </cell>
          <cell r="AO92">
            <v>5.3615729435327371</v>
          </cell>
          <cell r="AP92">
            <v>5.3551377495608881</v>
          </cell>
          <cell r="AQ92">
            <v>5.3487970520909585</v>
          </cell>
          <cell r="AR92">
            <v>5.3425462221887212</v>
          </cell>
          <cell r="AS92">
            <v>5.3363806007143539</v>
          </cell>
          <cell r="AT92">
            <v>5.3302956244966966</v>
          </cell>
          <cell r="AU92">
            <v>5.324286892807784</v>
          </cell>
          <cell r="AV92">
            <v>5.3183501536750235</v>
          </cell>
          <cell r="AW92">
            <v>5.3124812883858619</v>
          </cell>
          <cell r="AX92">
            <v>5.3066762978898119</v>
          </cell>
          <cell r="AY92">
            <v>5.3009312908322475</v>
          </cell>
          <cell r="AZ92">
            <v>5.2952424740857467</v>
          </cell>
          <cell r="BA92">
            <v>5.2896061891461432</v>
          </cell>
          <cell r="BB92">
            <v>5.2840190045898972</v>
          </cell>
          <cell r="BC92">
            <v>5.2784777211445961</v>
          </cell>
          <cell r="BD92">
            <v>5.2729793507441265</v>
          </cell>
          <cell r="BE92">
            <v>5.2675210976709783</v>
          </cell>
          <cell r="BF92">
            <v>5.2621003416835572</v>
          </cell>
          <cell r="BG92">
            <v>5.2567146234807725</v>
          </cell>
          <cell r="BH92">
            <v>5.2513616531158762</v>
          </cell>
          <cell r="BI92">
            <v>5.2460393435005086</v>
          </cell>
        </row>
        <row r="93">
          <cell r="B93">
            <v>5.5284613252745336</v>
          </cell>
          <cell r="C93">
            <v>5.5560523464834244</v>
          </cell>
          <cell r="D93">
            <v>5.57655585528423</v>
          </cell>
          <cell r="E93">
            <v>5.5921329838501279</v>
          </cell>
          <cell r="F93">
            <v>5.6033779474848533</v>
          </cell>
          <cell r="G93">
            <v>5.610914658833476</v>
          </cell>
          <cell r="H93">
            <v>5.6153768267366706</v>
          </cell>
          <cell r="I93">
            <v>5.6172746740611732</v>
          </cell>
          <cell r="J93">
            <v>5.6169902396229539</v>
          </cell>
          <cell r="K93">
            <v>5.6148622863590347</v>
          </cell>
          <cell r="L93">
            <v>5.611183410349768</v>
          </cell>
          <cell r="M93">
            <v>5.6062305236683923</v>
          </cell>
          <cell r="N93">
            <v>5.6002866892980805</v>
          </cell>
          <cell r="O93">
            <v>5.5936036981035668</v>
          </cell>
          <cell r="P93">
            <v>5.5863764942845284</v>
          </cell>
          <cell r="Q93">
            <v>5.578757566959327</v>
          </cell>
          <cell r="R93">
            <v>5.5708694369475831</v>
          </cell>
          <cell r="S93">
            <v>5.562812432864618</v>
          </cell>
          <cell r="T93">
            <v>5.5546655681505266</v>
          </cell>
          <cell r="U93">
            <v>5.54648763466178</v>
          </cell>
          <cell r="V93">
            <v>5.5383217002446239</v>
          </cell>
          <cell r="W93">
            <v>5.5301986841095898</v>
          </cell>
          <cell r="X93">
            <v>5.5221403638993376</v>
          </cell>
          <cell r="Y93">
            <v>5.5141628054921386</v>
          </cell>
          <cell r="Z93">
            <v>5.5062781885779</v>
          </cell>
          <cell r="AA93">
            <v>5.4984955721558837</v>
          </cell>
          <cell r="AB93">
            <v>5.4908214724403788</v>
          </cell>
          <cell r="AC93">
            <v>5.4832603169294512</v>
          </cell>
          <cell r="AD93">
            <v>5.4758148112353693</v>
          </cell>
          <cell r="AE93">
            <v>5.4684863484542365</v>
          </cell>
          <cell r="AF93">
            <v>5.4612753939593812</v>
          </cell>
          <cell r="AG93">
            <v>5.4541816472239715</v>
          </cell>
          <cell r="AH93">
            <v>5.4472040964060149</v>
          </cell>
          <cell r="AI93">
            <v>5.440341076006324</v>
          </cell>
          <cell r="AJ93">
            <v>5.4335903572734656</v>
          </cell>
          <cell r="AK93">
            <v>5.4269492264332468</v>
          </cell>
          <cell r="AL93">
            <v>5.4204145502332661</v>
          </cell>
          <cell r="AM93">
            <v>5.4139828406482726</v>
          </cell>
          <cell r="AN93">
            <v>5.4076503750941276</v>
          </cell>
          <cell r="AO93">
            <v>5.4014132830800152</v>
          </cell>
          <cell r="AP93">
            <v>5.3952675678940887</v>
          </cell>
          <cell r="AQ93">
            <v>5.3892091216297935</v>
          </cell>
          <cell r="AR93">
            <v>5.3832337381453943</v>
          </cell>
          <cell r="AS93">
            <v>5.3773371456147796</v>
          </cell>
          <cell r="AT93">
            <v>5.3715151338398046</v>
          </cell>
          <cell r="AU93">
            <v>5.3657636174368148</v>
          </cell>
          <cell r="AV93">
            <v>5.3600786254625987</v>
          </cell>
          <cell r="AW93">
            <v>5.3544562894935082</v>
          </cell>
          <cell r="AX93">
            <v>5.3488928331642818</v>
          </cell>
          <cell r="AY93">
            <v>5.3433845629622025</v>
          </cell>
          <cell r="AZ93">
            <v>5.337927861439506</v>
          </cell>
          <cell r="BA93">
            <v>5.3325192284631013</v>
          </cell>
          <cell r="BB93">
            <v>5.3271553735871375</v>
          </cell>
          <cell r="BC93">
            <v>5.3218332203197782</v>
          </cell>
          <cell r="BD93">
            <v>5.3165498867836876</v>
          </cell>
          <cell r="BE93">
            <v>5.3113026683397431</v>
          </cell>
          <cell r="BF93">
            <v>5.3060890220398171</v>
          </cell>
          <cell r="BG93">
            <v>5.3009065534058246</v>
          </cell>
          <cell r="BH93">
            <v>5.2957530271821529</v>
          </cell>
          <cell r="BI93">
            <v>5.2906264009251496</v>
          </cell>
        </row>
        <row r="94">
          <cell r="B94">
            <v>5.5260802704788698</v>
          </cell>
          <cell r="C94">
            <v>5.5518692483009193</v>
          </cell>
          <cell r="D94">
            <v>5.5701348022364883</v>
          </cell>
          <cell r="E94">
            <v>5.5832864786723482</v>
          </cell>
          <cell r="F94">
            <v>5.5921857011162821</v>
          </cell>
          <cell r="G94">
            <v>5.5976208364104174</v>
          </cell>
          <cell r="H94">
            <v>5.6003423794845792</v>
          </cell>
          <cell r="I94">
            <v>5.6008872944590058</v>
          </cell>
          <cell r="J94">
            <v>5.5995992103656169</v>
          </cell>
          <cell r="K94">
            <v>5.596765727101209</v>
          </cell>
          <cell r="L94">
            <v>5.5926184321768764</v>
          </cell>
          <cell r="M94">
            <v>5.58738574021171</v>
          </cell>
          <cell r="N94">
            <v>5.5813204091901376</v>
          </cell>
          <cell r="O94">
            <v>5.5746527070332466</v>
          </cell>
          <cell r="P94">
            <v>5.567558759600189</v>
          </cell>
          <cell r="Q94">
            <v>5.5601738019250631</v>
          </cell>
          <cell r="R94">
            <v>5.5526042049088558</v>
          </cell>
          <cell r="S94">
            <v>5.5449349840316913</v>
          </cell>
          <cell r="T94">
            <v>5.5372312174163048</v>
          </cell>
          <cell r="U94">
            <v>5.5295396920309754</v>
          </cell>
          <cell r="V94">
            <v>5.5218930325179043</v>
          </cell>
          <cell r="W94">
            <v>5.5143129232910439</v>
          </cell>
          <cell r="X94">
            <v>5.506813032342297</v>
          </cell>
          <cell r="Y94">
            <v>5.4994027806247958</v>
          </cell>
          <cell r="Z94">
            <v>5.4920890657031505</v>
          </cell>
          <cell r="AA94">
            <v>5.484876767182941</v>
          </cell>
          <cell r="AB94">
            <v>5.4777691204068457</v>
          </cell>
          <cell r="AC94">
            <v>5.4707680100730096</v>
          </cell>
          <cell r="AD94">
            <v>5.4638742099409239</v>
          </cell>
          <cell r="AE94">
            <v>5.457087680012231</v>
          </cell>
          <cell r="AF94">
            <v>5.4504078453290656</v>
          </cell>
          <cell r="AG94">
            <v>5.4438336836497276</v>
          </cell>
          <cell r="AH94">
            <v>5.4373636844168161</v>
          </cell>
          <cell r="AI94">
            <v>5.4309958432378718</v>
          </cell>
          <cell r="AJ94">
            <v>5.424727728024151</v>
          </cell>
          <cell r="AK94">
            <v>5.4185565383928829</v>
          </cell>
          <cell r="AL94">
            <v>5.4124791554386356</v>
          </cell>
          <cell r="AM94">
            <v>5.4064921912070885</v>
          </cell>
          <cell r="AN94">
            <v>5.4005920775057872</v>
          </cell>
          <cell r="AO94">
            <v>5.3947751272135802</v>
          </cell>
          <cell r="AP94">
            <v>5.3890375510046944</v>
          </cell>
          <cell r="AQ94">
            <v>5.3833754695159595</v>
          </cell>
          <cell r="AR94">
            <v>5.3777849238621842</v>
          </cell>
          <cell r="AS94">
            <v>5.3722619062310608</v>
          </cell>
          <cell r="AT94">
            <v>5.3668024764393936</v>
          </cell>
          <cell r="AU94">
            <v>5.3614028147419539</v>
          </cell>
          <cell r="AV94">
            <v>5.3560592112312939</v>
          </cell>
          <cell r="AW94">
            <v>5.350768054396303</v>
          </cell>
          <cell r="AX94">
            <v>5.3455258210817753</v>
          </cell>
          <cell r="AY94">
            <v>5.3403290676528128</v>
          </cell>
          <cell r="AZ94">
            <v>5.3351744237696614</v>
          </cell>
          <cell r="BA94">
            <v>5.330058635128279</v>
          </cell>
          <cell r="BB94">
            <v>5.3249786510272621</v>
          </cell>
          <cell r="BC94">
            <v>5.3199316262993221</v>
          </cell>
          <cell r="BD94">
            <v>5.3149149026984004</v>
          </cell>
          <cell r="BE94">
            <v>5.309925992210264</v>
          </cell>
          <cell r="BF94">
            <v>5.3049625621198953</v>
          </cell>
          <cell r="BG94">
            <v>5.3000224224839423</v>
          </cell>
          <cell r="BH94">
            <v>5.2951035385888945</v>
          </cell>
          <cell r="BI94">
            <v>5.2902040638949801</v>
          </cell>
        </row>
        <row r="95">
          <cell r="B95">
            <v>5.5219699003908058</v>
          </cell>
          <cell r="C95">
            <v>5.5476857661929797</v>
          </cell>
          <cell r="D95">
            <v>5.5650494564708577</v>
          </cell>
          <cell r="E95">
            <v>5.5770210391182857</v>
          </cell>
          <cell r="F95">
            <v>5.5848049639408854</v>
          </cell>
          <cell r="G95">
            <v>5.589344751035517</v>
          </cell>
          <cell r="H95">
            <v>5.5914775724715691</v>
          </cell>
          <cell r="I95">
            <v>5.5917825265131382</v>
          </cell>
          <cell r="J95">
            <v>5.590600888862391</v>
          </cell>
          <cell r="K95">
            <v>5.5881871791795552</v>
          </cell>
          <cell r="L95">
            <v>5.5847241740028322</v>
          </cell>
          <cell r="M95">
            <v>5.5803895346954784</v>
          </cell>
          <cell r="N95">
            <v>5.5753881945584984</v>
          </cell>
          <cell r="O95">
            <v>5.5699081232178731</v>
          </cell>
          <cell r="P95">
            <v>5.5640904538184737</v>
          </cell>
          <cell r="Q95">
            <v>5.5580407905779206</v>
          </cell>
          <cell r="R95">
            <v>5.5518396584241412</v>
          </cell>
          <cell r="S95">
            <v>5.5455491020889607</v>
          </cell>
          <cell r="T95">
            <v>5.5392147798925482</v>
          </cell>
          <cell r="U95">
            <v>5.5328680120035036</v>
          </cell>
          <cell r="V95">
            <v>5.526529068984952</v>
          </cell>
          <cell r="W95">
            <v>5.5202096884211489</v>
          </cell>
          <cell r="X95">
            <v>5.5139156056138159</v>
          </cell>
          <cell r="Y95">
            <v>5.5076502082968863</v>
          </cell>
          <cell r="Z95">
            <v>5.5014159365430109</v>
          </cell>
          <cell r="AA95">
            <v>5.495214483475988</v>
          </cell>
          <cell r="AB95">
            <v>5.4890469335946177</v>
          </cell>
          <cell r="AC95">
            <v>5.4829138714557395</v>
          </cell>
          <cell r="AD95">
            <v>5.4768154748987081</v>
          </cell>
          <cell r="AE95">
            <v>5.4707516865942081</v>
          </cell>
          <cell r="AF95">
            <v>5.4647223792496593</v>
          </cell>
          <cell r="AG95">
            <v>5.4587273647733152</v>
          </cell>
          <cell r="AH95">
            <v>5.4527662922060802</v>
          </cell>
          <cell r="AI95">
            <v>5.4468385980764848</v>
          </cell>
          <cell r="AJ95">
            <v>5.4409435329964868</v>
          </cell>
          <cell r="AK95">
            <v>5.4350801874832184</v>
          </cell>
          <cell r="AL95">
            <v>5.4292475135984031</v>
          </cell>
          <cell r="AM95">
            <v>5.4234443528407352</v>
          </cell>
          <cell r="AN95">
            <v>5.4176695139235393</v>
          </cell>
          <cell r="AO95">
            <v>5.4119218191279659</v>
          </cell>
          <cell r="AP95">
            <v>5.4062001048182671</v>
          </cell>
          <cell r="AQ95">
            <v>5.4005032197652376</v>
          </cell>
          <cell r="AR95">
            <v>5.3948300253185808</v>
          </cell>
          <cell r="AS95">
            <v>5.3891794113386533</v>
          </cell>
          <cell r="AT95">
            <v>5.3835503100040949</v>
          </cell>
          <cell r="AU95">
            <v>5.377941692721679</v>
          </cell>
          <cell r="AV95">
            <v>5.3723525659531122</v>
          </cell>
          <cell r="AW95">
            <v>5.3667819675634814</v>
          </cell>
          <cell r="AX95">
            <v>5.3612289636168198</v>
          </cell>
          <cell r="AY95">
            <v>5.3556926455562195</v>
          </cell>
          <cell r="AZ95">
            <v>5.350172128283341</v>
          </cell>
          <cell r="BA95">
            <v>5.3446665636871424</v>
          </cell>
          <cell r="BB95">
            <v>5.3391751661786175</v>
          </cell>
          <cell r="BC95">
            <v>5.3336972125372846</v>
          </cell>
          <cell r="BD95">
            <v>5.3282320362552396</v>
          </cell>
          <cell r="BE95">
            <v>5.322779022473533</v>
          </cell>
          <cell r="BF95">
            <v>5.3173376034515529</v>
          </cell>
          <cell r="BG95">
            <v>5.3119072552820068</v>
          </cell>
          <cell r="BH95">
            <v>5.3064875137658065</v>
          </cell>
          <cell r="BI95">
            <v>5.3010780034976825</v>
          </cell>
        </row>
        <row r="96">
          <cell r="B96">
            <v>5.5283478641708372</v>
          </cell>
          <cell r="C96">
            <v>5.5558320955805156</v>
          </cell>
          <cell r="D96">
            <v>5.5747756495441205</v>
          </cell>
          <cell r="E96">
            <v>5.5886536514982446</v>
          </cell>
          <cell r="F96">
            <v>5.5986534424529442</v>
          </cell>
          <cell r="G96">
            <v>5.6055844404049786</v>
          </cell>
          <cell r="H96">
            <v>5.6101188345063528</v>
          </cell>
          <cell r="I96">
            <v>5.6126832292157145</v>
          </cell>
          <cell r="J96">
            <v>5.6135231156871956</v>
          </cell>
          <cell r="K96">
            <v>5.6128529671089034</v>
          </cell>
          <cell r="L96">
            <v>5.6108541674237822</v>
          </cell>
          <cell r="M96">
            <v>5.6077262523633369</v>
          </cell>
          <cell r="N96">
            <v>5.6037047749275519</v>
          </cell>
          <cell r="O96">
            <v>5.59901238119342</v>
          </cell>
          <cell r="P96">
            <v>5.5938206343344676</v>
          </cell>
          <cell r="Q96">
            <v>5.5882611905439967</v>
          </cell>
          <cell r="R96">
            <v>5.5824375359128275</v>
          </cell>
          <cell r="S96">
            <v>5.5764322019226675</v>
          </cell>
          <cell r="T96">
            <v>5.5703080768679953</v>
          </cell>
          <cell r="U96">
            <v>5.5641104226563654</v>
          </cell>
          <cell r="V96">
            <v>5.5578709122475685</v>
          </cell>
          <cell r="W96">
            <v>5.5516107247850623</v>
          </cell>
          <cell r="X96">
            <v>5.5453435079249855</v>
          </cell>
          <cell r="Y96">
            <v>5.5390791896733127</v>
          </cell>
          <cell r="Z96">
            <v>5.5328255283412489</v>
          </cell>
          <cell r="AA96">
            <v>5.5265885434365183</v>
          </cell>
          <cell r="AB96">
            <v>5.5203728376640004</v>
          </cell>
          <cell r="AC96">
            <v>5.5141818499262518</v>
          </cell>
          <cell r="AD96">
            <v>5.5080180634247702</v>
          </cell>
          <cell r="AE96">
            <v>5.5018832642882911</v>
          </cell>
          <cell r="AF96">
            <v>5.4957787674914975</v>
          </cell>
          <cell r="AG96">
            <v>5.4897054912804668</v>
          </cell>
          <cell r="AH96">
            <v>5.4836639476648026</v>
          </cell>
          <cell r="AI96">
            <v>5.4776542593185145</v>
          </cell>
          <cell r="AJ96">
            <v>5.4716762132426267</v>
          </cell>
          <cell r="AK96">
            <v>5.4657293073864182</v>
          </cell>
          <cell r="AL96">
            <v>5.4598127897215507</v>
          </cell>
          <cell r="AM96">
            <v>5.453925705371871</v>
          </cell>
          <cell r="AN96">
            <v>5.4480670084217717</v>
          </cell>
          <cell r="AO96">
            <v>5.4422356263346119</v>
          </cell>
          <cell r="AP96">
            <v>5.4364304656321956</v>
          </cell>
          <cell r="AQ96">
            <v>5.4306504143878289</v>
          </cell>
          <cell r="AR96">
            <v>5.424894347005317</v>
          </cell>
          <cell r="AS96">
            <v>5.4191611515461036</v>
          </cell>
          <cell r="AT96">
            <v>5.413449751682303</v>
          </cell>
          <cell r="AU96">
            <v>5.4077591047225599</v>
          </cell>
          <cell r="AV96">
            <v>5.4020881980336837</v>
          </cell>
          <cell r="AW96">
            <v>5.396436045909601</v>
          </cell>
          <cell r="AX96">
            <v>5.3908016868236848</v>
          </cell>
          <cell r="AY96">
            <v>5.3851841810108079</v>
          </cell>
          <cell r="AZ96">
            <v>5.3795826091089038</v>
          </cell>
          <cell r="BA96">
            <v>5.373996089216174</v>
          </cell>
          <cell r="BB96">
            <v>5.3684238058677618</v>
          </cell>
          <cell r="BC96">
            <v>5.3628650096865105</v>
          </cell>
          <cell r="BD96">
            <v>5.3573190113846847</v>
          </cell>
          <cell r="BE96">
            <v>5.3517851763988409</v>
          </cell>
          <cell r="BF96">
            <v>5.3462629200894565</v>
          </cell>
          <cell r="BG96">
            <v>5.3407517043814172</v>
          </cell>
          <cell r="BH96">
            <v>5.3352510549630683</v>
          </cell>
          <cell r="BI96">
            <v>5.3297605901982754</v>
          </cell>
        </row>
        <row r="97">
          <cell r="B97">
            <v>5.5257414512179812</v>
          </cell>
          <cell r="C97">
            <v>5.5533378346659168</v>
          </cell>
          <cell r="D97">
            <v>5.5713247962428403</v>
          </cell>
          <cell r="E97">
            <v>5.5843981708150245</v>
          </cell>
          <cell r="F97">
            <v>5.5939656235043582</v>
          </cell>
          <cell r="G97">
            <v>5.6007925749517771</v>
          </cell>
          <cell r="H97">
            <v>5.6054237577515478</v>
          </cell>
          <cell r="I97">
            <v>5.6081762008341727</v>
          </cell>
          <cell r="J97">
            <v>5.6092393055940359</v>
          </cell>
          <cell r="K97">
            <v>5.6087849188399899</v>
          </cell>
          <cell r="L97">
            <v>5.6069841812293717</v>
          </cell>
          <cell r="M97">
            <v>5.6040445474778542</v>
          </cell>
          <cell r="N97">
            <v>5.6002058159332844</v>
          </cell>
          <cell r="O97">
            <v>5.5956912207168426</v>
          </cell>
          <cell r="P97">
            <v>5.5906725344613273</v>
          </cell>
          <cell r="Q97">
            <v>5.5852819933193221</v>
          </cell>
          <cell r="R97">
            <v>5.5796239238689926</v>
          </cell>
          <cell r="S97">
            <v>5.5737816223476546</v>
          </cell>
          <cell r="T97">
            <v>5.5678182411927279</v>
          </cell>
          <cell r="U97">
            <v>5.5617792443831435</v>
          </cell>
          <cell r="V97">
            <v>5.5556965177337636</v>
          </cell>
          <cell r="W97">
            <v>5.549591469684386</v>
          </cell>
          <cell r="X97">
            <v>5.5434781615968216</v>
          </cell>
          <cell r="Y97">
            <v>5.5373670758150437</v>
          </cell>
          <cell r="Z97">
            <v>5.5312664727619349</v>
          </cell>
          <cell r="AA97">
            <v>5.5251828244847303</v>
          </cell>
          <cell r="AB97">
            <v>5.5191211458357001</v>
          </cell>
          <cell r="AC97">
            <v>5.5130852546855253</v>
          </cell>
          <cell r="AD97">
            <v>5.5070779863040142</v>
          </cell>
          <cell r="AE97">
            <v>5.5011014370574856</v>
          </cell>
          <cell r="AF97">
            <v>5.4951571573067257</v>
          </cell>
          <cell r="AG97">
            <v>5.4892462274667055</v>
          </cell>
          <cell r="AH97">
            <v>5.4833692577285875</v>
          </cell>
          <cell r="AI97">
            <v>5.4775264218224287</v>
          </cell>
          <cell r="AJ97">
            <v>5.4717175182491582</v>
          </cell>
          <cell r="AK97">
            <v>5.4659420223957333</v>
          </cell>
          <cell r="AL97">
            <v>5.4601991302623887</v>
          </cell>
          <cell r="AM97">
            <v>5.4544878149932261</v>
          </cell>
          <cell r="AN97">
            <v>5.4488069479532051</v>
          </cell>
          <cell r="AO97">
            <v>5.443155357454593</v>
          </cell>
          <cell r="AP97">
            <v>5.4375318354690538</v>
          </cell>
          <cell r="AQ97">
            <v>5.4319351419547077</v>
          </cell>
          <cell r="AR97">
            <v>5.4263640129541146</v>
          </cell>
          <cell r="AS97">
            <v>5.4208171959110691</v>
          </cell>
          <cell r="AT97">
            <v>5.4152934723854749</v>
          </cell>
          <cell r="AU97">
            <v>5.4097916557784282</v>
          </cell>
          <cell r="AV97">
            <v>5.4043105879448587</v>
          </cell>
          <cell r="AW97">
            <v>5.3988491362295861</v>
          </cell>
          <cell r="AX97">
            <v>5.3934061908663109</v>
          </cell>
          <cell r="AY97">
            <v>5.3879806626887303</v>
          </cell>
          <cell r="AZ97">
            <v>5.3825714824701638</v>
          </cell>
          <cell r="BA97">
            <v>5.3771776226163723</v>
          </cell>
          <cell r="BB97">
            <v>5.3717981257009662</v>
          </cell>
          <cell r="BC97">
            <v>5.3664321024311885</v>
          </cell>
          <cell r="BD97">
            <v>5.3610787254553713</v>
          </cell>
          <cell r="BE97">
            <v>5.3557372238324721</v>
          </cell>
          <cell r="BF97">
            <v>5.350406878083783</v>
          </cell>
          <cell r="BG97">
            <v>5.3450870173159757</v>
          </cell>
          <cell r="BH97">
            <v>5.3397770401949014</v>
          </cell>
          <cell r="BI97">
            <v>5.334476441943103</v>
          </cell>
        </row>
        <row r="98">
          <cell r="B98">
            <v>5.5274943594166244</v>
          </cell>
          <cell r="C98">
            <v>5.5570808184284353</v>
          </cell>
          <cell r="D98">
            <v>5.5778656902394177</v>
          </cell>
          <cell r="E98">
            <v>5.5934561377321144</v>
          </cell>
          <cell r="F98">
            <v>5.6049887409654371</v>
          </cell>
          <cell r="G98">
            <v>5.613252363745822</v>
          </cell>
          <cell r="H98">
            <v>5.6189118849977193</v>
          </cell>
          <cell r="I98">
            <v>5.6224301341045795</v>
          </cell>
          <cell r="J98">
            <v>5.6240955881616861</v>
          </cell>
          <cell r="K98">
            <v>5.6241269265089944</v>
          </cell>
          <cell r="L98">
            <v>5.6227213063450927</v>
          </cell>
          <cell r="M98">
            <v>5.620107590197656</v>
          </cell>
          <cell r="N98">
            <v>5.6165432643175119</v>
          </cell>
          <cell r="O98">
            <v>5.6122635751269261</v>
          </cell>
          <cell r="P98">
            <v>5.6074480670607558</v>
          </cell>
          <cell r="Q98">
            <v>5.6022341594869554</v>
          </cell>
          <cell r="R98">
            <v>5.5967295342322716</v>
          </cell>
          <cell r="S98">
            <v>5.5910194871430825</v>
          </cell>
          <cell r="T98">
            <v>5.5851683710675797</v>
          </cell>
          <cell r="U98">
            <v>5.5792225337140016</v>
          </cell>
          <cell r="V98">
            <v>5.5732145248046745</v>
          </cell>
          <cell r="W98">
            <v>5.5671662521668619</v>
          </cell>
          <cell r="X98">
            <v>5.5610922803166787</v>
          </cell>
          <cell r="Y98">
            <v>5.5550037606526725</v>
          </cell>
          <cell r="Z98">
            <v>5.5489097510123093</v>
          </cell>
          <cell r="AA98">
            <v>5.5428176232875908</v>
          </cell>
          <cell r="AB98">
            <v>5.5367333756371684</v>
          </cell>
          <cell r="AC98">
            <v>5.5306618777958958</v>
          </cell>
          <cell r="AD98">
            <v>5.5246070687460334</v>
          </cell>
          <cell r="AE98">
            <v>5.5185721401922585</v>
          </cell>
          <cell r="AF98">
            <v>5.5125596813612878</v>
          </cell>
          <cell r="AG98">
            <v>5.5065717529574503</v>
          </cell>
          <cell r="AH98">
            <v>5.5006098727979769</v>
          </cell>
          <cell r="AI98">
            <v>5.4946750521912664</v>
          </cell>
          <cell r="AJ98">
            <v>5.488767867093034</v>
          </cell>
          <cell r="AK98">
            <v>5.4828885185719534</v>
          </cell>
          <cell r="AL98">
            <v>5.4770368835455248</v>
          </cell>
          <cell r="AM98">
            <v>5.4712125746852376</v>
          </cell>
          <cell r="AN98">
            <v>5.4654150486893345</v>
          </cell>
          <cell r="AO98">
            <v>5.4596436601677762</v>
          </cell>
          <cell r="AP98">
            <v>5.453897675047469</v>
          </cell>
          <cell r="AQ98">
            <v>5.4481762811315519</v>
          </cell>
          <cell r="AR98">
            <v>5.4424786016712092</v>
          </cell>
          <cell r="AS98">
            <v>5.4368037333191905</v>
          </cell>
          <cell r="AT98">
            <v>5.4311507700620378</v>
          </cell>
          <cell r="AU98">
            <v>5.4255188046370995</v>
          </cell>
          <cell r="AV98">
            <v>5.4199069286654247</v>
          </cell>
          <cell r="AW98">
            <v>5.4143142327680387</v>
          </cell>
          <cell r="AX98">
            <v>5.4087398066679908</v>
          </cell>
          <cell r="AY98">
            <v>5.4031827392801475</v>
          </cell>
          <cell r="AZ98">
            <v>5.3976421203610059</v>
          </cell>
          <cell r="BA98">
            <v>5.392117064933279</v>
          </cell>
          <cell r="BB98">
            <v>5.3866067422452275</v>
          </cell>
          <cell r="BC98">
            <v>5.3811103746883511</v>
          </cell>
          <cell r="BD98">
            <v>5.3756272329667167</v>
          </cell>
          <cell r="BE98">
            <v>5.3701566317833347</v>
          </cell>
          <cell r="BF98">
            <v>5.36469792598061</v>
          </cell>
          <cell r="BG98">
            <v>5.3592505088664435</v>
          </cell>
          <cell r="BH98">
            <v>5.3538138348793458</v>
          </cell>
          <cell r="BI98">
            <v>5.3483874460511798</v>
          </cell>
        </row>
        <row r="99">
          <cell r="B99">
            <v>5.5337049965401892</v>
          </cell>
          <cell r="C99">
            <v>5.5631106046720848</v>
          </cell>
          <cell r="D99">
            <v>5.5850481828462701</v>
          </cell>
          <cell r="E99">
            <v>5.6017856711317497</v>
          </cell>
          <cell r="F99">
            <v>5.6142481222385028</v>
          </cell>
          <cell r="G99">
            <v>5.6231993292539064</v>
          </cell>
          <cell r="H99">
            <v>5.6293340868291004</v>
          </cell>
          <cell r="I99">
            <v>5.6331772723269307</v>
          </cell>
          <cell r="J99">
            <v>5.6350668794349179</v>
          </cell>
          <cell r="K99">
            <v>5.6352500825346894</v>
          </cell>
          <cell r="L99">
            <v>5.6339562798453438</v>
          </cell>
          <cell r="M99">
            <v>5.6314389741352002</v>
          </cell>
          <cell r="N99">
            <v>5.6279667444081936</v>
          </cell>
          <cell r="O99">
            <v>5.6237788616062465</v>
          </cell>
          <cell r="P99">
            <v>5.6190559493648493</v>
          </cell>
          <cell r="Q99">
            <v>5.6139346468950233</v>
          </cell>
          <cell r="R99">
            <v>5.6085205427935652</v>
          </cell>
          <cell r="S99">
            <v>5.6028959876421283</v>
          </cell>
          <cell r="T99">
            <v>5.5971225471102972</v>
          </cell>
          <cell r="U99">
            <v>5.5912444384469309</v>
          </cell>
          <cell r="V99">
            <v>5.5852926072891282</v>
          </cell>
          <cell r="W99">
            <v>5.5792877694524776</v>
          </cell>
          <cell r="X99">
            <v>5.5732437034277185</v>
          </cell>
          <cell r="Y99">
            <v>5.5671711147475831</v>
          </cell>
          <cell r="Z99">
            <v>5.5610788442725143</v>
          </cell>
          <cell r="AA99">
            <v>5.5549742304687708</v>
          </cell>
          <cell r="AB99">
            <v>5.5488633876295799</v>
          </cell>
          <cell r="AC99">
            <v>5.5427514244774292</v>
          </cell>
          <cell r="AD99">
            <v>5.536642616969913</v>
          </cell>
          <cell r="AE99">
            <v>5.5305405423726883</v>
          </cell>
          <cell r="AF99">
            <v>5.5244481880339862</v>
          </cell>
          <cell r="AG99">
            <v>5.5183680194906666</v>
          </cell>
          <cell r="AH99">
            <v>5.5123019652620062</v>
          </cell>
          <cell r="AI99">
            <v>5.5062514555219737</v>
          </cell>
          <cell r="AJ99">
            <v>5.500217492323622</v>
          </cell>
          <cell r="AK99">
            <v>5.4942007090603218</v>
          </cell>
          <cell r="AL99">
            <v>5.4882014203817047</v>
          </cell>
          <cell r="AM99">
            <v>5.4822196809271313</v>
          </cell>
          <cell r="AN99">
            <v>5.4762553854632428</v>
          </cell>
          <cell r="AO99">
            <v>5.4703083175568903</v>
          </cell>
          <cell r="AP99">
            <v>5.4643781638279929</v>
          </cell>
          <cell r="AQ99">
            <v>5.4584645254940867</v>
          </cell>
          <cell r="AR99">
            <v>5.4525669326987796</v>
          </cell>
          <cell r="AS99">
            <v>5.446684880104538</v>
          </cell>
          <cell r="AT99">
            <v>5.4408178483900613</v>
          </cell>
          <cell r="AU99">
            <v>5.4349653066153083</v>
          </cell>
          <cell r="AV99">
            <v>5.4291267134575376</v>
          </cell>
          <cell r="AW99">
            <v>5.4233015182928357</v>
          </cell>
          <cell r="AX99">
            <v>5.417489162145217</v>
          </cell>
          <cell r="AY99">
            <v>5.411689078521829</v>
          </cell>
          <cell r="AZ99">
            <v>5.4059006958152764</v>
          </cell>
          <cell r="BA99">
            <v>5.400123461211269</v>
          </cell>
          <cell r="BB99">
            <v>5.3943568667759356</v>
          </cell>
          <cell r="BC99">
            <v>5.3886004484956489</v>
          </cell>
          <cell r="BD99">
            <v>5.3828537822844149</v>
          </cell>
          <cell r="BE99">
            <v>5.3771164804188993</v>
          </cell>
          <cell r="BF99">
            <v>5.3713881883487291</v>
          </cell>
          <cell r="BG99">
            <v>5.3656685838546956</v>
          </cell>
          <cell r="BH99">
            <v>5.3599574007959276</v>
          </cell>
          <cell r="BI99">
            <v>5.3542544544647495</v>
          </cell>
        </row>
        <row r="100">
          <cell r="B100">
            <v>5.5411942441710158</v>
          </cell>
          <cell r="C100">
            <v>5.5810919583974083</v>
          </cell>
          <cell r="D100">
            <v>5.6079013407228686</v>
          </cell>
          <cell r="E100">
            <v>5.627257522175463</v>
          </cell>
          <cell r="F100">
            <v>5.6413789885372436</v>
          </cell>
          <cell r="G100">
            <v>5.651608114461439</v>
          </cell>
          <cell r="H100">
            <v>5.6589733838375684</v>
          </cell>
          <cell r="I100">
            <v>5.6641820021463554</v>
          </cell>
          <cell r="J100">
            <v>5.6676040164325272</v>
          </cell>
          <cell r="K100">
            <v>5.6694306798690155</v>
          </cell>
          <cell r="L100">
            <v>5.6698271554251995</v>
          </cell>
          <cell r="M100">
            <v>5.6690049988364377</v>
          </cell>
          <cell r="N100">
            <v>5.667201535195149</v>
          </cell>
          <cell r="O100">
            <v>5.6646334403850487</v>
          </cell>
          <cell r="P100">
            <v>5.6614663942098762</v>
          </cell>
          <cell r="Q100">
            <v>5.6578275282937165</v>
          </cell>
          <cell r="R100">
            <v>5.6538167596866344</v>
          </cell>
          <cell r="S100">
            <v>5.6495134715843882</v>
          </cell>
          <cell r="T100">
            <v>5.6449782648794855</v>
          </cell>
          <cell r="U100">
            <v>5.6402560220193028</v>
          </cell>
          <cell r="V100">
            <v>5.6353796059002406</v>
          </cell>
          <cell r="W100">
            <v>5.6303726188905703</v>
          </cell>
          <cell r="X100">
            <v>5.6252524060295688</v>
          </cell>
          <cell r="Y100">
            <v>5.6200334419964086</v>
          </cell>
          <cell r="Z100">
            <v>5.6147283775814545</v>
          </cell>
          <cell r="AA100">
            <v>5.6093483926954786</v>
          </cell>
          <cell r="AB100">
            <v>5.603903468754778</v>
          </cell>
          <cell r="AC100">
            <v>5.5984026026943114</v>
          </cell>
          <cell r="AD100">
            <v>5.5928539490132456</v>
          </cell>
          <cell r="AE100">
            <v>5.5872647499577157</v>
          </cell>
          <cell r="AF100">
            <v>5.5816413257027193</v>
          </cell>
          <cell r="AG100">
            <v>5.5759891795495307</v>
          </cell>
          <cell r="AH100">
            <v>5.5703130146689412</v>
          </cell>
          <cell r="AI100">
            <v>5.5646168092797534</v>
          </cell>
          <cell r="AJ100">
            <v>5.5589039193349583</v>
          </cell>
          <cell r="AK100">
            <v>5.5531771649475434</v>
          </cell>
          <cell r="AL100">
            <v>5.5474389028778237</v>
          </cell>
          <cell r="AM100">
            <v>5.5416910978015252</v>
          </cell>
          <cell r="AN100">
            <v>5.5359354104205067</v>
          </cell>
          <cell r="AO100">
            <v>5.5301732505511287</v>
          </cell>
          <cell r="AP100">
            <v>5.5244058080333991</v>
          </cell>
          <cell r="AQ100">
            <v>5.518634078922978</v>
          </cell>
          <cell r="AR100">
            <v>5.5128588915477161</v>
          </cell>
          <cell r="AS100">
            <v>5.5070809458107854</v>
          </cell>
          <cell r="AT100">
            <v>5.501300839485098</v>
          </cell>
          <cell r="AU100">
            <v>5.4955190798308271</v>
          </cell>
          <cell r="AV100">
            <v>5.4897360932244217</v>
          </cell>
          <cell r="AW100">
            <v>5.4839522335839934</v>
          </cell>
          <cell r="AX100">
            <v>5.4781677897630257</v>
          </cell>
          <cell r="AY100">
            <v>5.4723829920568345</v>
          </cell>
          <cell r="AZ100">
            <v>5.4665980196037376</v>
          </cell>
          <cell r="BA100">
            <v>5.460813026398343</v>
          </cell>
          <cell r="BB100">
            <v>5.4550281670110001</v>
          </cell>
          <cell r="BC100">
            <v>5.4492435989749728</v>
          </cell>
          <cell r="BD100">
            <v>5.4434594825171079</v>
          </cell>
          <cell r="BE100">
            <v>5.4376759803173282</v>
          </cell>
          <cell r="BF100">
            <v>5.4318932572934537</v>
          </cell>
          <cell r="BG100">
            <v>5.4261114826768067</v>
          </cell>
          <cell r="BH100">
            <v>5.4203308566446005</v>
          </cell>
          <cell r="BI100">
            <v>5.4145516362467641</v>
          </cell>
        </row>
        <row r="101">
          <cell r="B101">
            <v>5.5448697794175121</v>
          </cell>
          <cell r="C101">
            <v>5.5874787695168049</v>
          </cell>
          <cell r="D101">
            <v>5.6160111994112141</v>
          </cell>
          <cell r="E101">
            <v>5.6360922312330102</v>
          </cell>
          <cell r="F101">
            <v>5.6501150931822943</v>
          </cell>
          <cell r="G101">
            <v>5.6596480066004178</v>
          </cell>
          <cell r="H101">
            <v>5.6659624403987436</v>
          </cell>
          <cell r="I101">
            <v>5.6700012535663955</v>
          </cell>
          <cell r="J101">
            <v>5.6722806485716868</v>
          </cell>
          <cell r="K101">
            <v>5.6730671322500088</v>
          </cell>
          <cell r="L101">
            <v>5.6725523284065957</v>
          </cell>
          <cell r="M101">
            <v>5.6709452364557666</v>
          </cell>
          <cell r="N101">
            <v>5.6684681306639986</v>
          </cell>
          <cell r="O101">
            <v>5.6653232874573902</v>
          </cell>
          <cell r="P101">
            <v>5.6616642030171294</v>
          </cell>
          <cell r="Q101">
            <v>5.6576064651877607</v>
          </cell>
          <cell r="R101">
            <v>5.653238897829187</v>
          </cell>
          <cell r="S101">
            <v>5.6486302755105253</v>
          </cell>
          <cell r="T101">
            <v>5.6438318388958884</v>
          </cell>
          <cell r="U101">
            <v>5.6388805318314619</v>
          </cell>
          <cell r="V101">
            <v>5.6338023787650124</v>
          </cell>
          <cell r="W101">
            <v>5.628615004376023</v>
          </cell>
          <cell r="X101">
            <v>5.6233306598029786</v>
          </cell>
          <cell r="Y101">
            <v>5.6179596909324756</v>
          </cell>
          <cell r="Z101">
            <v>5.6125114109704608</v>
          </cell>
          <cell r="AA101">
            <v>5.6069943007948932</v>
          </cell>
          <cell r="AB101">
            <v>5.6014161630905548</v>
          </cell>
          <cell r="AC101">
            <v>5.5957842434454914</v>
          </cell>
          <cell r="AD101">
            <v>5.5901052963382174</v>
          </cell>
          <cell r="AE101">
            <v>5.5843854580895602</v>
          </cell>
          <cell r="AF101">
            <v>5.5786302011415625</v>
          </cell>
          <cell r="AG101">
            <v>5.5728443902176954</v>
          </cell>
          <cell r="AH101">
            <v>5.5670322406377615</v>
          </cell>
          <cell r="AI101">
            <v>5.5611973645364827</v>
          </cell>
          <cell r="AJ101">
            <v>5.5553428561639544</v>
          </cell>
          <cell r="AK101">
            <v>5.5494713638140603</v>
          </cell>
          <cell r="AL101">
            <v>5.5435851501529392</v>
          </cell>
          <cell r="AM101">
            <v>5.5376861498287688</v>
          </cell>
          <cell r="AN101">
            <v>5.5317760348579483</v>
          </cell>
          <cell r="AO101">
            <v>5.5258562560894484</v>
          </cell>
          <cell r="AP101">
            <v>5.5199280703293612</v>
          </cell>
          <cell r="AQ101">
            <v>5.5139925634463918</v>
          </cell>
          <cell r="AR101">
            <v>5.5080506729711809</v>
          </cell>
          <cell r="AS101">
            <v>5.5021032193369015</v>
          </cell>
          <cell r="AT101">
            <v>5.4961509268442228</v>
          </cell>
          <cell r="AU101">
            <v>5.490194434413846</v>
          </cell>
          <cell r="AV101">
            <v>5.4842343046694761</v>
          </cell>
          <cell r="AW101">
            <v>5.4782710318854235</v>
          </cell>
          <cell r="AX101">
            <v>5.472305048961033</v>
          </cell>
          <cell r="AY101">
            <v>5.4663367335581814</v>
          </cell>
          <cell r="AZ101">
            <v>5.4603664151797631</v>
          </cell>
          <cell r="BA101">
            <v>5.4543943989419068</v>
          </cell>
          <cell r="BB101">
            <v>5.4484209875827609</v>
          </cell>
          <cell r="BC101">
            <v>5.4424464835571627</v>
          </cell>
          <cell r="BD101">
            <v>5.4364711890624005</v>
          </cell>
          <cell r="BE101">
            <v>5.4304954060612021</v>
          </cell>
          <cell r="BF101">
            <v>5.4245194363023188</v>
          </cell>
          <cell r="BG101">
            <v>5.4185435838536886</v>
          </cell>
          <cell r="BH101">
            <v>5.412568182099367</v>
          </cell>
          <cell r="BI101">
            <v>5.4065936180368386</v>
          </cell>
        </row>
        <row r="102">
          <cell r="B102">
            <v>5.5452913361860867</v>
          </cell>
          <cell r="C102">
            <v>5.5848451522940685</v>
          </cell>
          <cell r="D102">
            <v>5.6163227219612191</v>
          </cell>
          <cell r="E102">
            <v>5.6408607571808371</v>
          </cell>
          <cell r="F102">
            <v>5.6594009242242693</v>
          </cell>
          <cell r="G102">
            <v>5.6729719661774869</v>
          </cell>
          <cell r="H102">
            <v>5.6826137969807187</v>
          </cell>
          <cell r="I102">
            <v>5.6892330332118961</v>
          </cell>
          <cell r="J102">
            <v>5.6934184975912281</v>
          </cell>
          <cell r="K102">
            <v>5.6955514619436229</v>
          </cell>
          <cell r="L102">
            <v>5.6959394315124801</v>
          </cell>
          <cell r="M102">
            <v>5.6948860392890284</v>
          </cell>
          <cell r="N102">
            <v>5.6926934283925457</v>
          </cell>
          <cell r="O102">
            <v>5.6896283483494878</v>
          </cell>
          <cell r="P102">
            <v>5.6858941001401719</v>
          </cell>
          <cell r="Q102">
            <v>5.681645872287076</v>
          </cell>
          <cell r="R102">
            <v>5.6770048686768062</v>
          </cell>
          <cell r="S102">
            <v>5.6720661979245435</v>
          </cell>
          <cell r="T102">
            <v>5.6669013778027377</v>
          </cell>
          <cell r="U102">
            <v>5.6615628892112833</v>
          </cell>
          <cell r="V102">
            <v>5.6560886927010774</v>
          </cell>
          <cell r="W102">
            <v>5.6505056035995871</v>
          </cell>
          <cell r="X102">
            <v>5.6448331737024366</v>
          </cell>
          <cell r="Y102">
            <v>5.6390873471369813</v>
          </cell>
          <cell r="Z102">
            <v>5.6332815031871117</v>
          </cell>
          <cell r="AA102">
            <v>5.6274269497546898</v>
          </cell>
          <cell r="AB102">
            <v>5.6215333069488116</v>
          </cell>
          <cell r="AC102">
            <v>5.6156088084407543</v>
          </cell>
          <cell r="AD102">
            <v>5.609660525686798</v>
          </cell>
          <cell r="AE102">
            <v>5.6036944883624882</v>
          </cell>
          <cell r="AF102">
            <v>5.5977158134879978</v>
          </cell>
          <cell r="AG102">
            <v>5.5917288124282321</v>
          </cell>
          <cell r="AH102">
            <v>5.5857370275676139</v>
          </cell>
          <cell r="AI102">
            <v>5.5797433222309349</v>
          </cell>
          <cell r="AJ102">
            <v>5.573749977501909</v>
          </cell>
          <cell r="AK102">
            <v>5.5677587730899862</v>
          </cell>
          <cell r="AL102">
            <v>5.561771055564801</v>
          </cell>
          <cell r="AM102">
            <v>5.5557878198007273</v>
          </cell>
          <cell r="AN102">
            <v>5.5498098152856006</v>
          </cell>
          <cell r="AO102">
            <v>5.5438375934762973</v>
          </cell>
          <cell r="AP102">
            <v>5.537871532086255</v>
          </cell>
          <cell r="AQ102">
            <v>5.5319118558280183</v>
          </cell>
          <cell r="AR102">
            <v>5.5259586630961435</v>
          </cell>
          <cell r="AS102">
            <v>5.5200119743140563</v>
          </cell>
          <cell r="AT102">
            <v>5.5140717546682136</v>
          </cell>
          <cell r="AU102">
            <v>5.5081379204264813</v>
          </cell>
          <cell r="AV102">
            <v>5.5022103441422363</v>
          </cell>
          <cell r="AW102">
            <v>5.4962888592079588</v>
          </cell>
          <cell r="AX102">
            <v>5.4903732638512519</v>
          </cell>
          <cell r="AY102">
            <v>5.4844633246516992</v>
          </cell>
          <cell r="AZ102">
            <v>5.4785587834782721</v>
          </cell>
          <cell r="BA102">
            <v>5.4726593901434217</v>
          </cell>
          <cell r="BB102">
            <v>5.4667649249978796</v>
          </cell>
          <cell r="BC102">
            <v>5.4608751975946026</v>
          </cell>
          <cell r="BD102">
            <v>5.4549900440340338</v>
          </cell>
          <cell r="BE102">
            <v>5.4491093245937803</v>
          </cell>
          <cell r="BF102">
            <v>5.4432329216086233</v>
          </cell>
          <cell r="BG102">
            <v>5.4373607420360806</v>
          </cell>
          <cell r="BH102">
            <v>5.4314927488479876</v>
          </cell>
          <cell r="BI102">
            <v>5.4256289811309593</v>
          </cell>
        </row>
        <row r="103">
          <cell r="B103">
            <v>5.5463378248796156</v>
          </cell>
          <cell r="C103">
            <v>5.5877090819106572</v>
          </cell>
          <cell r="D103">
            <v>5.6226625459042037</v>
          </cell>
          <cell r="E103">
            <v>5.6499866654836675</v>
          </cell>
          <cell r="F103">
            <v>5.6701960062904968</v>
          </cell>
          <cell r="G103">
            <v>5.6844429040689626</v>
          </cell>
          <cell r="H103">
            <v>5.6940676337613194</v>
          </cell>
          <cell r="I103">
            <v>5.7002974294815836</v>
          </cell>
          <cell r="J103">
            <v>5.7039430365196662</v>
          </cell>
          <cell r="K103">
            <v>5.7055343238137484</v>
          </cell>
          <cell r="L103">
            <v>5.7054521467709769</v>
          </cell>
          <cell r="M103">
            <v>5.7040243428731818</v>
          </cell>
          <cell r="N103">
            <v>5.7015519113596813</v>
          </cell>
          <cell r="O103">
            <v>5.6982869942359242</v>
          </cell>
          <cell r="P103">
            <v>5.6944174594507873</v>
          </cell>
          <cell r="Q103">
            <v>5.6900840160689805</v>
          </cell>
          <cell r="R103">
            <v>5.6853940663961842</v>
          </cell>
          <cell r="S103">
            <v>5.6804299160751821</v>
          </cell>
          <cell r="T103">
            <v>5.6752526604422906</v>
          </cell>
          <cell r="U103">
            <v>5.6699067116412802</v>
          </cell>
          <cell r="V103">
            <v>5.6644237632043195</v>
          </cell>
          <cell r="W103">
            <v>5.6588257727944429</v>
          </cell>
          <cell r="X103">
            <v>5.6531286833476635</v>
          </cell>
          <cell r="Y103">
            <v>5.6473458708496134</v>
          </cell>
          <cell r="Z103">
            <v>5.6414889595182958</v>
          </cell>
          <cell r="AA103">
            <v>5.6355681587947588</v>
          </cell>
          <cell r="AB103">
            <v>5.6295925253388397</v>
          </cell>
          <cell r="AC103">
            <v>5.6235701688488273</v>
          </cell>
          <cell r="AD103">
            <v>5.6175084055168565</v>
          </cell>
          <cell r="AE103">
            <v>5.6114138455680767</v>
          </cell>
          <cell r="AF103">
            <v>5.6052924811467513</v>
          </cell>
          <cell r="AG103">
            <v>5.5991496874910274</v>
          </cell>
          <cell r="AH103">
            <v>5.5929901647768379</v>
          </cell>
          <cell r="AI103">
            <v>5.5868180122770887</v>
          </cell>
          <cell r="AJ103">
            <v>5.5806368141751364</v>
          </cell>
          <cell r="AK103">
            <v>5.5744497111050064</v>
          </cell>
          <cell r="AL103">
            <v>5.5682594594338628</v>
          </cell>
          <cell r="AM103">
            <v>5.5620684687827326</v>
          </cell>
          <cell r="AN103">
            <v>5.5558788269617088</v>
          </cell>
          <cell r="AO103">
            <v>5.5496923372152214</v>
          </cell>
          <cell r="AP103">
            <v>5.543510552923042</v>
          </cell>
          <cell r="AQ103">
            <v>5.537334807332579</v>
          </cell>
          <cell r="AR103">
            <v>5.5311662375445794</v>
          </cell>
          <cell r="AS103">
            <v>5.5250058011062553</v>
          </cell>
          <cell r="AT103">
            <v>5.5188542937710432</v>
          </cell>
          <cell r="AU103">
            <v>5.5127123670428819</v>
          </cell>
          <cell r="AV103">
            <v>5.5065805435219035</v>
          </cell>
          <cell r="AW103">
            <v>5.5004592303319164</v>
          </cell>
          <cell r="AX103">
            <v>5.4943487309037007</v>
          </cell>
          <cell r="AY103">
            <v>5.4882492553452291</v>
          </cell>
          <cell r="AZ103">
            <v>5.4821609331950532</v>
          </cell>
          <cell r="BA103">
            <v>5.4760838471689333</v>
          </cell>
          <cell r="BB103">
            <v>5.4700180562240606</v>
          </cell>
          <cell r="BC103">
            <v>5.4639635988303397</v>
          </cell>
          <cell r="BD103">
            <v>5.4579204948328721</v>
          </cell>
          <cell r="BE103">
            <v>5.4518887471148849</v>
          </cell>
          <cell r="BF103">
            <v>5.4458683430875992</v>
          </cell>
          <cell r="BG103">
            <v>5.4398592610882961</v>
          </cell>
          <cell r="BH103">
            <v>5.4338615059057833</v>
          </cell>
          <cell r="BI103">
            <v>5.427875130523498</v>
          </cell>
        </row>
        <row r="104">
          <cell r="B104">
            <v>5.5491311117099338</v>
          </cell>
          <cell r="C104">
            <v>5.5906862149441539</v>
          </cell>
          <cell r="D104">
            <v>5.6269108677968234</v>
          </cell>
          <cell r="E104">
            <v>5.6551071617269111</v>
          </cell>
          <cell r="F104">
            <v>5.6756098691222796</v>
          </cell>
          <cell r="G104">
            <v>5.6896777220577324</v>
          </cell>
          <cell r="H104">
            <v>5.6988403002891976</v>
          </cell>
          <cell r="I104">
            <v>5.7044858739574238</v>
          </cell>
          <cell r="J104">
            <v>5.7075162642037744</v>
          </cell>
          <cell r="K104">
            <v>5.7085130372274788</v>
          </cell>
          <cell r="L104">
            <v>5.7078775413217118</v>
          </cell>
          <cell r="M104">
            <v>5.7059442405527472</v>
          </cell>
          <cell r="N104">
            <v>5.7030157350290045</v>
          </cell>
          <cell r="O104">
            <v>5.6993432214946127</v>
          </cell>
          <cell r="P104">
            <v>5.6951126032008803</v>
          </cell>
          <cell r="Q104">
            <v>5.6904619871783098</v>
          </cell>
          <cell r="R104">
            <v>5.6854957214942994</v>
          </cell>
          <cell r="S104">
            <v>5.6802927760789386</v>
          </cell>
          <cell r="T104">
            <v>5.6749110078906959</v>
          </cell>
          <cell r="U104">
            <v>5.6693918019590335</v>
          </cell>
          <cell r="V104">
            <v>5.6637639882305253</v>
          </cell>
          <cell r="W104">
            <v>5.658046810108166</v>
          </cell>
          <cell r="X104">
            <v>5.6522538106569629</v>
          </cell>
          <cell r="Y104">
            <v>5.6463963157000885</v>
          </cell>
          <cell r="Z104">
            <v>5.6404841663300918</v>
          </cell>
          <cell r="AA104">
            <v>5.634526004483325</v>
          </cell>
          <cell r="AB104">
            <v>5.6285294950059068</v>
          </cell>
          <cell r="AC104">
            <v>5.6225015001255887</v>
          </cell>
          <cell r="AD104">
            <v>5.6164482160139571</v>
          </cell>
          <cell r="AE104">
            <v>5.6103752761451453</v>
          </cell>
          <cell r="AF104">
            <v>5.6042878329547348</v>
          </cell>
          <cell r="AG104">
            <v>5.598190521379891</v>
          </cell>
          <cell r="AH104">
            <v>5.5920873711291028</v>
          </cell>
          <cell r="AI104">
            <v>5.5859818704276769</v>
          </cell>
          <cell r="AJ104">
            <v>5.5798770433545011</v>
          </cell>
          <cell r="AK104">
            <v>5.5737755143068224</v>
          </cell>
          <cell r="AL104">
            <v>5.5676795611704737</v>
          </cell>
          <cell r="AM104">
            <v>5.5615911459652603</v>
          </cell>
          <cell r="AN104">
            <v>5.5555119345131949</v>
          </cell>
          <cell r="AO104">
            <v>5.5494433305475637</v>
          </cell>
          <cell r="AP104">
            <v>5.5433865076738531</v>
          </cell>
          <cell r="AQ104">
            <v>5.5373424367455124</v>
          </cell>
          <cell r="AR104">
            <v>5.5313119074761561</v>
          </cell>
          <cell r="AS104">
            <v>5.5252955425961536</v>
          </cell>
          <cell r="AT104">
            <v>5.5192938141111894</v>
          </cell>
          <cell r="AU104">
            <v>5.5133070596480156</v>
          </cell>
          <cell r="AV104">
            <v>5.5073354967500725</v>
          </cell>
          <cell r="AW104">
            <v>5.5013792353861755</v>
          </cell>
          <cell r="AX104">
            <v>5.4954382889275104</v>
          </cell>
          <cell r="AY104">
            <v>5.489512583809538</v>
          </cell>
          <cell r="AZ104">
            <v>5.483601972149561</v>
          </cell>
          <cell r="BA104">
            <v>5.4777062659178535</v>
          </cell>
          <cell r="BB104">
            <v>5.4718252587541318</v>
          </cell>
          <cell r="BC104">
            <v>5.4659587285931792</v>
          </cell>
          <cell r="BD104">
            <v>5.4601064390925709</v>
          </cell>
          <cell r="BE104">
            <v>5.4542681409074181</v>
          </cell>
          <cell r="BF104">
            <v>5.4484435728350684</v>
          </cell>
          <cell r="BG104">
            <v>5.442632468476412</v>
          </cell>
          <cell r="BH104">
            <v>5.4368345921664041</v>
          </cell>
          <cell r="BI104">
            <v>5.4310497591838658</v>
          </cell>
        </row>
        <row r="105">
          <cell r="B105">
            <v>5.5451661978094995</v>
          </cell>
          <cell r="C105">
            <v>5.5883233250433024</v>
          </cell>
          <cell r="D105">
            <v>5.6257663073624959</v>
          </cell>
          <cell r="E105">
            <v>5.6552402749677713</v>
          </cell>
          <cell r="F105">
            <v>5.6770125832602831</v>
          </cell>
          <cell r="G105">
            <v>5.6923304388300497</v>
          </cell>
          <cell r="H105">
            <v>5.702736933976257</v>
          </cell>
          <cell r="I105">
            <v>5.70961767363388</v>
          </cell>
          <cell r="J105">
            <v>5.7138870546675431</v>
          </cell>
          <cell r="K105">
            <v>5.7161497318217442</v>
          </cell>
          <cell r="L105">
            <v>5.7167961141227872</v>
          </cell>
          <cell r="M105">
            <v>5.716135549458194</v>
          </cell>
          <cell r="N105">
            <v>5.7144425265166126</v>
          </cell>
          <cell r="O105">
            <v>5.711945974318879</v>
          </cell>
          <cell r="P105">
            <v>5.708817646811335</v>
          </cell>
          <cell r="Q105">
            <v>5.7051869693812183</v>
          </cell>
          <cell r="R105">
            <v>5.7011534667253736</v>
          </cell>
          <cell r="S105">
            <v>5.6967941698343978</v>
          </cell>
          <cell r="T105">
            <v>5.69216751440484</v>
          </cell>
          <cell r="U105">
            <v>5.6873174963038897</v>
          </cell>
          <cell r="V105">
            <v>5.6822771065395798</v>
          </cell>
          <cell r="W105">
            <v>5.6770709294541239</v>
          </cell>
          <cell r="X105">
            <v>5.6717183412146976</v>
          </cell>
          <cell r="Y105">
            <v>5.6662362212076536</v>
          </cell>
          <cell r="Z105">
            <v>5.6606396386748576</v>
          </cell>
          <cell r="AA105">
            <v>5.6549422008297574</v>
          </cell>
          <cell r="AB105">
            <v>5.6491563236033855</v>
          </cell>
          <cell r="AC105">
            <v>5.6432934441140246</v>
          </cell>
          <cell r="AD105">
            <v>5.6373641472720335</v>
          </cell>
          <cell r="AE105">
            <v>5.6313781441698127</v>
          </cell>
          <cell r="AF105">
            <v>5.6253443350991903</v>
          </cell>
          <cell r="AG105">
            <v>5.6192707715150032</v>
          </cell>
          <cell r="AH105">
            <v>5.6131645584484744</v>
          </cell>
          <cell r="AI105">
            <v>5.6070319621646005</v>
          </cell>
          <cell r="AJ105">
            <v>5.6008785299738264</v>
          </cell>
          <cell r="AK105">
            <v>5.5947091900868386</v>
          </cell>
          <cell r="AL105">
            <v>5.5885283330020918</v>
          </cell>
          <cell r="AM105">
            <v>5.5823398459239213</v>
          </cell>
          <cell r="AN105">
            <v>5.5761471301603791</v>
          </cell>
          <cell r="AO105">
            <v>5.569953155821378</v>
          </cell>
          <cell r="AP105">
            <v>5.5637605144027669</v>
          </cell>
          <cell r="AQ105">
            <v>5.5575714638102722</v>
          </cell>
          <cell r="AR105">
            <v>5.5513879632643013</v>
          </cell>
          <cell r="AS105">
            <v>5.5452116954587041</v>
          </cell>
          <cell r="AT105">
            <v>5.5390440933821603</v>
          </cell>
          <cell r="AU105">
            <v>5.5328863674066282</v>
          </cell>
          <cell r="AV105">
            <v>5.5267395289699834</v>
          </cell>
          <cell r="AW105">
            <v>5.5206044112983044</v>
          </cell>
          <cell r="AX105">
            <v>5.5144816875907647</v>
          </cell>
          <cell r="AY105">
            <v>5.508371887026013</v>
          </cell>
          <cell r="AZ105">
            <v>5.5022754128651314</v>
          </cell>
          <cell r="BA105">
            <v>5.4961925786487305</v>
          </cell>
          <cell r="BB105">
            <v>5.4901236316079123</v>
          </cell>
          <cell r="BC105">
            <v>5.4840687594910662</v>
          </cell>
          <cell r="BD105">
            <v>5.478028095971391</v>
          </cell>
          <cell r="BE105">
            <v>5.4720017254750379</v>
          </cell>
          <cell r="BF105">
            <v>5.4659896875082596</v>
          </cell>
          <cell r="BG105">
            <v>5.4599919864628532</v>
          </cell>
          <cell r="BH105">
            <v>5.4540086288801923</v>
          </cell>
          <cell r="BI105">
            <v>5.4480396437558642</v>
          </cell>
        </row>
        <row r="106">
          <cell r="B106">
            <v>5.5470430982365118</v>
          </cell>
          <cell r="C106">
            <v>5.5966141127981315</v>
          </cell>
          <cell r="D106">
            <v>5.6376222422113855</v>
          </cell>
          <cell r="E106">
            <v>5.6704439020977153</v>
          </cell>
          <cell r="F106">
            <v>5.6953426839072199</v>
          </cell>
          <cell r="G106">
            <v>5.7135190435598808</v>
          </cell>
          <cell r="H106">
            <v>5.7265116415393278</v>
          </cell>
          <cell r="I106">
            <v>5.7357185174111747</v>
          </cell>
          <cell r="J106">
            <v>5.742069558798673</v>
          </cell>
          <cell r="K106">
            <v>5.7461889127397949</v>
          </cell>
          <cell r="L106">
            <v>5.7484909426630226</v>
          </cell>
          <cell r="M106">
            <v>5.7493058561353729</v>
          </cell>
          <cell r="N106">
            <v>5.7489243896226441</v>
          </cell>
          <cell r="O106">
            <v>5.7475885677943284</v>
          </cell>
          <cell r="P106">
            <v>5.7454827973890579</v>
          </cell>
          <cell r="Q106">
            <v>5.742749287039099</v>
          </cell>
          <cell r="R106">
            <v>5.7395004010778079</v>
          </cell>
          <cell r="S106">
            <v>5.7358253666222847</v>
          </cell>
          <cell r="T106">
            <v>5.7317935029284799</v>
          </cell>
          <cell r="U106">
            <v>5.7274586503181286</v>
          </cell>
          <cell r="V106">
            <v>5.7228628542133517</v>
          </cell>
          <cell r="W106">
            <v>5.7180391524058267</v>
          </cell>
          <cell r="X106">
            <v>5.7130146549645699</v>
          </cell>
          <cell r="Y106">
            <v>5.7078128541687052</v>
          </cell>
          <cell r="Z106">
            <v>5.7024544418830372</v>
          </cell>
          <cell r="AA106">
            <v>5.6969578480992658</v>
          </cell>
          <cell r="AB106">
            <v>5.691339659801371</v>
          </cell>
          <cell r="AC106">
            <v>5.6856149494397572</v>
          </cell>
          <cell r="AD106">
            <v>5.6797974832143225</v>
          </cell>
          <cell r="AE106">
            <v>5.6738997761811083</v>
          </cell>
          <cell r="AF106">
            <v>5.6679332234607589</v>
          </cell>
          <cell r="AG106">
            <v>5.6619080683270111</v>
          </cell>
          <cell r="AH106">
            <v>5.6558333461218533</v>
          </cell>
          <cell r="AI106">
            <v>5.6497170373518895</v>
          </cell>
          <cell r="AJ106">
            <v>5.6435662183787656</v>
          </cell>
          <cell r="AK106">
            <v>5.6373871869948564</v>
          </cell>
          <cell r="AL106">
            <v>5.6311855642779758</v>
          </cell>
          <cell r="AM106">
            <v>5.6249663440361601</v>
          </cell>
          <cell r="AN106">
            <v>5.6187339317845977</v>
          </cell>
          <cell r="AO106">
            <v>5.6124922142448765</v>
          </cell>
          <cell r="AP106">
            <v>5.6062446226124818</v>
          </cell>
          <cell r="AQ106">
            <v>5.5999941866037171</v>
          </cell>
          <cell r="AR106">
            <v>5.5937435725106059</v>
          </cell>
          <cell r="AS106">
            <v>5.5874951035798386</v>
          </cell>
          <cell r="AT106">
            <v>5.5812507926197794</v>
          </cell>
          <cell r="AU106">
            <v>5.5750123757029311</v>
          </cell>
          <cell r="AV106">
            <v>5.5687813416059209</v>
          </cell>
          <cell r="AW106">
            <v>5.5625589575694852</v>
          </cell>
          <cell r="AX106">
            <v>5.5563462919041724</v>
          </cell>
          <cell r="AY106">
            <v>5.55014423389866</v>
          </cell>
          <cell r="AZ106">
            <v>5.5439535161073277</v>
          </cell>
          <cell r="BA106">
            <v>5.5377747516352214</v>
          </cell>
          <cell r="BB106">
            <v>5.5316084564820214</v>
          </cell>
          <cell r="BC106">
            <v>5.5254550588849281</v>
          </cell>
          <cell r="BD106">
            <v>5.5193149072970753</v>
          </cell>
          <cell r="BE106">
            <v>5.5131882775110981</v>
          </cell>
          <cell r="BF106">
            <v>5.5070753790629148</v>
          </cell>
          <cell r="BG106">
            <v>5.5009763688705595</v>
          </cell>
          <cell r="BH106">
            <v>5.494891391442545</v>
          </cell>
          <cell r="BI106">
            <v>5.4888205971263773</v>
          </cell>
        </row>
        <row r="107">
          <cell r="B107">
            <v>5.5556937822023391</v>
          </cell>
          <cell r="C107">
            <v>5.6112077178010171</v>
          </cell>
          <cell r="D107">
            <v>5.6519859925548515</v>
          </cell>
          <cell r="E107">
            <v>5.6835867402662696</v>
          </cell>
          <cell r="F107">
            <v>5.707516267741835</v>
          </cell>
          <cell r="G107">
            <v>5.7252685759916577</v>
          </cell>
          <cell r="H107">
            <v>5.7383423135356511</v>
          </cell>
          <cell r="I107">
            <v>5.7479327982427391</v>
          </cell>
          <cell r="J107">
            <v>5.7548118554637915</v>
          </cell>
          <cell r="K107">
            <v>5.7594950433771839</v>
          </cell>
          <cell r="L107">
            <v>5.7623176873117119</v>
          </cell>
          <cell r="M107">
            <v>5.7635761449368363</v>
          </cell>
          <cell r="N107">
            <v>5.7635572958982433</v>
          </cell>
          <cell r="O107">
            <v>5.762510217163709</v>
          </cell>
          <cell r="P107">
            <v>5.7606269873836684</v>
          </cell>
          <cell r="Q107">
            <v>5.7580575195907668</v>
          </cell>
          <cell r="R107">
            <v>5.7549218711657621</v>
          </cell>
          <cell r="S107">
            <v>5.7513163041355471</v>
          </cell>
          <cell r="T107">
            <v>5.7473157948915805</v>
          </cell>
          <cell r="U107">
            <v>5.7429786937508673</v>
          </cell>
          <cell r="V107">
            <v>5.7383506823590533</v>
          </cell>
          <cell r="W107">
            <v>5.7334677836064429</v>
          </cell>
          <cell r="X107">
            <v>5.7283597129234032</v>
          </cell>
          <cell r="Y107">
            <v>5.7230523093885868</v>
          </cell>
          <cell r="Z107">
            <v>5.7175683995796796</v>
          </cell>
          <cell r="AA107">
            <v>5.7119283769005049</v>
          </cell>
          <cell r="AB107">
            <v>5.7061506521687759</v>
          </cell>
          <cell r="AC107">
            <v>5.7002520066844973</v>
          </cell>
          <cell r="AD107">
            <v>5.6942478065733537</v>
          </cell>
          <cell r="AE107">
            <v>5.6881520486265114</v>
          </cell>
          <cell r="AF107">
            <v>5.6819775019740781</v>
          </cell>
          <cell r="AG107">
            <v>5.675735665273681</v>
          </cell>
          <cell r="AH107">
            <v>5.6694367155499847</v>
          </cell>
          <cell r="AI107">
            <v>5.6630896789225913</v>
          </cell>
          <cell r="AJ107">
            <v>5.6567025950210157</v>
          </cell>
          <cell r="AK107">
            <v>5.6502826539972038</v>
          </cell>
          <cell r="AL107">
            <v>5.6438363064424095</v>
          </cell>
          <cell r="AM107">
            <v>5.6373693084582586</v>
          </cell>
          <cell r="AN107">
            <v>5.6308867597936283</v>
          </cell>
          <cell r="AO107">
            <v>5.6243931813770995</v>
          </cell>
          <cell r="AP107">
            <v>5.617892585904813</v>
          </cell>
          <cell r="AQ107">
            <v>5.6113885380653823</v>
          </cell>
          <cell r="AR107">
            <v>5.6048841952743365</v>
          </cell>
          <cell r="AS107">
            <v>5.5983823283640977</v>
          </cell>
          <cell r="AT107">
            <v>5.5918853583065431</v>
          </cell>
          <cell r="AU107">
            <v>5.5853953942051255</v>
          </cell>
          <cell r="AV107">
            <v>5.5789142664723563</v>
          </cell>
          <cell r="AW107">
            <v>5.5724435558601151</v>
          </cell>
          <cell r="AX107">
            <v>5.565984618935226</v>
          </cell>
          <cell r="AY107">
            <v>5.5595386105171816</v>
          </cell>
          <cell r="AZ107">
            <v>5.5531065078091872</v>
          </cell>
          <cell r="BA107">
            <v>5.5466891462775187</v>
          </cell>
          <cell r="BB107">
            <v>5.5402872417315132</v>
          </cell>
          <cell r="BC107">
            <v>5.5339014016444334</v>
          </cell>
          <cell r="BD107">
            <v>5.5275321350021986</v>
          </cell>
          <cell r="BE107">
            <v>5.5211798610969014</v>
          </cell>
          <cell r="BF107">
            <v>5.5148449174354885</v>
          </cell>
          <cell r="BG107">
            <v>5.5085275748460134</v>
          </cell>
          <cell r="BH107">
            <v>5.5022280766569081</v>
          </cell>
          <cell r="BI107">
            <v>5.4959466560035644</v>
          </cell>
        </row>
        <row r="108">
          <cell r="B108">
            <v>5.5611896527335309</v>
          </cell>
          <cell r="C108">
            <v>5.6139704561103745</v>
          </cell>
          <cell r="D108">
            <v>5.6506161236034886</v>
          </cell>
          <cell r="E108">
            <v>5.6785819752888775</v>
          </cell>
          <cell r="F108">
            <v>5.7000395784090987</v>
          </cell>
          <cell r="G108">
            <v>5.7164083930488649</v>
          </cell>
          <cell r="H108">
            <v>5.7288427374842685</v>
          </cell>
          <cell r="I108">
            <v>5.7381444862657576</v>
          </cell>
          <cell r="J108">
            <v>5.744856858730973</v>
          </cell>
          <cell r="K108">
            <v>5.7493842126414201</v>
          </cell>
          <cell r="L108">
            <v>5.7520268693673247</v>
          </cell>
          <cell r="M108">
            <v>5.7530854844047905</v>
          </cell>
          <cell r="N108">
            <v>5.7528715062505773</v>
          </cell>
          <cell r="O108">
            <v>5.7516610890211384</v>
          </cell>
          <cell r="P108">
            <v>5.7496645088128737</v>
          </cell>
          <cell r="Q108">
            <v>5.7470427826157255</v>
          </cell>
          <cell r="R108">
            <v>5.7439220431945257</v>
          </cell>
          <cell r="S108">
            <v>5.7404007853806442</v>
          </cell>
          <cell r="T108">
            <v>5.7365533179684371</v>
          </cell>
          <cell r="U108">
            <v>5.7324351907202979</v>
          </cell>
          <cell r="V108">
            <v>5.7280876600854604</v>
          </cell>
          <cell r="W108">
            <v>5.7235411659954112</v>
          </cell>
          <cell r="X108">
            <v>5.7188196771144426</v>
          </cell>
          <cell r="Y108">
            <v>5.7139436963852885</v>
          </cell>
          <cell r="Z108">
            <v>5.7089310733361165</v>
          </cell>
          <cell r="AA108">
            <v>5.7037975143525701</v>
          </cell>
          <cell r="AB108">
            <v>5.6985569795560078</v>
          </cell>
          <cell r="AC108">
            <v>5.6932219946403313</v>
          </cell>
          <cell r="AD108">
            <v>5.6878038984150479</v>
          </cell>
          <cell r="AE108">
            <v>5.6823130412227449</v>
          </cell>
          <cell r="AF108">
            <v>5.6767589246403833</v>
          </cell>
          <cell r="AG108">
            <v>5.6711501220064777</v>
          </cell>
          <cell r="AH108">
            <v>5.6654942133957302</v>
          </cell>
          <cell r="AI108">
            <v>5.6597979135400145</v>
          </cell>
          <cell r="AJ108">
            <v>5.65406719544879</v>
          </cell>
          <cell r="AK108">
            <v>5.6483073934260934</v>
          </cell>
          <cell r="AL108">
            <v>5.6425232857861749</v>
          </cell>
          <cell r="AM108">
            <v>5.6367191329685911</v>
          </cell>
          <cell r="AN108">
            <v>5.6308987121463607</v>
          </cell>
          <cell r="AO108">
            <v>5.6250653750756632</v>
          </cell>
          <cell r="AP108">
            <v>5.6192220999759375</v>
          </cell>
          <cell r="AQ108">
            <v>5.6133715356681524</v>
          </cell>
          <cell r="AR108">
            <v>5.607516028198523</v>
          </cell>
          <cell r="AS108">
            <v>5.601657630784004</v>
          </cell>
          <cell r="AT108">
            <v>5.5957981308481095</v>
          </cell>
          <cell r="AU108">
            <v>5.5899390788870935</v>
          </cell>
          <cell r="AV108">
            <v>5.5840818136749801</v>
          </cell>
          <cell r="AW108">
            <v>5.5782274843179627</v>
          </cell>
          <cell r="AX108">
            <v>5.5723770696082662</v>
          </cell>
          <cell r="AY108">
            <v>5.5665313950807054</v>
          </cell>
          <cell r="AZ108">
            <v>5.5606911523492188</v>
          </cell>
          <cell r="BA108">
            <v>5.5548569291604126</v>
          </cell>
          <cell r="BB108">
            <v>5.5490292265810917</v>
          </cell>
          <cell r="BC108">
            <v>5.5432084672018149</v>
          </cell>
          <cell r="BD108">
            <v>5.5373950022710936</v>
          </cell>
          <cell r="BE108">
            <v>5.5315891180652184</v>
          </cell>
          <cell r="BF108">
            <v>5.5257910416450358</v>
          </cell>
          <cell r="BG108">
            <v>5.5200009547034439</v>
          </cell>
          <cell r="BH108">
            <v>5.5142190310292252</v>
          </cell>
          <cell r="BI108">
            <v>5.5084454511609122</v>
          </cell>
        </row>
        <row r="109">
          <cell r="B109">
            <v>5.5669671644728673</v>
          </cell>
          <cell r="C109">
            <v>5.6150773135858794</v>
          </cell>
          <cell r="D109">
            <v>5.6473299014815375</v>
          </cell>
          <cell r="E109">
            <v>5.671503586072431</v>
          </cell>
          <cell r="F109">
            <v>5.689556439360925</v>
          </cell>
          <cell r="G109">
            <v>5.7027421875201902</v>
          </cell>
          <cell r="H109">
            <v>5.7120761624720418</v>
          </cell>
          <cell r="I109">
            <v>5.7182610833170058</v>
          </cell>
          <cell r="J109">
            <v>5.7218202873283781</v>
          </cell>
          <cell r="K109">
            <v>5.7231807673124244</v>
          </cell>
          <cell r="L109">
            <v>5.7226780648581315</v>
          </cell>
          <cell r="M109">
            <v>5.7206634382409547</v>
          </cell>
          <cell r="N109">
            <v>5.7175088212400391</v>
          </cell>
          <cell r="O109">
            <v>5.713541783662067</v>
          </cell>
          <cell r="P109">
            <v>5.7090025060193899</v>
          </cell>
          <cell r="Q109">
            <v>5.7040656716870437</v>
          </cell>
          <cell r="R109">
            <v>5.6988596350708915</v>
          </cell>
          <cell r="S109">
            <v>5.6934774473736427</v>
          </cell>
          <cell r="T109">
            <v>5.6879834641544056</v>
          </cell>
          <cell r="U109">
            <v>5.6824201200226598</v>
          </cell>
          <cell r="V109">
            <v>5.6768131476651176</v>
          </cell>
          <cell r="W109">
            <v>5.6711758547065738</v>
          </cell>
          <cell r="X109">
            <v>5.6655156602024181</v>
          </cell>
          <cell r="Y109">
            <v>5.6598382907067668</v>
          </cell>
          <cell r="Z109">
            <v>5.6541483118658231</v>
          </cell>
          <cell r="AA109">
            <v>5.6484493516694059</v>
          </cell>
          <cell r="AB109">
            <v>5.6427442740910152</v>
          </cell>
          <cell r="AC109">
            <v>5.6370353182260748</v>
          </cell>
          <cell r="AD109">
            <v>5.6313243393759818</v>
          </cell>
          <cell r="AE109">
            <v>5.6256132007474884</v>
          </cell>
          <cell r="AF109">
            <v>5.6199038414271705</v>
          </cell>
          <cell r="AG109">
            <v>5.6141980866646106</v>
          </cell>
          <cell r="AH109">
            <v>5.6084975039284561</v>
          </cell>
          <cell r="AI109">
            <v>5.6028034278989809</v>
          </cell>
          <cell r="AJ109">
            <v>5.5971169937235707</v>
          </cell>
          <cell r="AK109">
            <v>5.5914391647296098</v>
          </cell>
          <cell r="AL109">
            <v>5.5857707550965277</v>
          </cell>
          <cell r="AM109">
            <v>5.5801124446236399</v>
          </cell>
          <cell r="AN109">
            <v>5.5744647918569052</v>
          </cell>
          <cell r="AO109">
            <v>5.5688282489463896</v>
          </cell>
          <cell r="AP109">
            <v>5.5632031746213819</v>
          </cell>
          <cell r="AQ109">
            <v>5.5575898449867784</v>
          </cell>
          <cell r="AR109">
            <v>5.5519884530830215</v>
          </cell>
          <cell r="AS109">
            <v>5.5463990987506335</v>
          </cell>
          <cell r="AT109">
            <v>5.5408217949247867</v>
          </cell>
          <cell r="AU109">
            <v>5.53525647706822</v>
          </cell>
          <cell r="AV109">
            <v>5.5297030114129857</v>
          </cell>
          <cell r="AW109">
            <v>5.524161202171979</v>
          </cell>
          <cell r="AX109">
            <v>5.5186307978674263</v>
          </cell>
          <cell r="AY109">
            <v>5.5131114969425985</v>
          </cell>
          <cell r="AZ109">
            <v>5.5076029583573787</v>
          </cell>
          <cell r="BA109">
            <v>5.5021048262987691</v>
          </cell>
          <cell r="BB109">
            <v>5.4966167399249493</v>
          </cell>
          <cell r="BC109">
            <v>5.4911383340035016</v>
          </cell>
          <cell r="BD109">
            <v>5.4856692393105542</v>
          </cell>
          <cell r="BE109">
            <v>5.4802090829871597</v>
          </cell>
          <cell r="BF109">
            <v>5.474757488941207</v>
          </cell>
          <cell r="BG109">
            <v>5.4693140881068647</v>
          </cell>
          <cell r="BH109">
            <v>5.4638785533461345</v>
          </cell>
          <cell r="BI109">
            <v>5.4584506096836556</v>
          </cell>
        </row>
        <row r="110">
          <cell r="B110">
            <v>5.5836767131168568</v>
          </cell>
          <cell r="C110">
            <v>5.6309537357387747</v>
          </cell>
          <cell r="D110">
            <v>5.6632163767134278</v>
          </cell>
          <cell r="E110">
            <v>5.686971357433495</v>
          </cell>
          <cell r="F110">
            <v>5.7045089332784382</v>
          </cell>
          <cell r="G110">
            <v>5.7173026021913618</v>
          </cell>
          <cell r="H110">
            <v>5.7265020936835507</v>
          </cell>
          <cell r="I110">
            <v>5.7328530370713899</v>
          </cell>
          <cell r="J110">
            <v>5.7368696593467527</v>
          </cell>
          <cell r="K110">
            <v>5.73894584306663</v>
          </cell>
          <cell r="L110">
            <v>5.7393752230889348</v>
          </cell>
          <cell r="M110">
            <v>5.7384617159172233</v>
          </cell>
          <cell r="N110">
            <v>5.7365271996809302</v>
          </cell>
          <cell r="O110">
            <v>5.7338588507187733</v>
          </cell>
          <cell r="P110">
            <v>5.7306671838835133</v>
          </cell>
          <cell r="Q110">
            <v>5.7271039765399756</v>
          </cell>
          <cell r="R110">
            <v>5.7232794723316456</v>
          </cell>
          <cell r="S110">
            <v>5.7192726836730596</v>
          </cell>
          <cell r="T110">
            <v>5.7151379379073655</v>
          </cell>
          <cell r="U110">
            <v>5.7109108204304562</v>
          </cell>
          <cell r="V110">
            <v>5.7066126370653745</v>
          </cell>
          <cell r="W110">
            <v>5.7022541527399513</v>
          </cell>
          <cell r="X110">
            <v>5.6978414803700312</v>
          </cell>
          <cell r="Y110">
            <v>5.6933796438272797</v>
          </cell>
          <cell r="Z110">
            <v>5.6888729478819551</v>
          </cell>
          <cell r="AA110">
            <v>5.6843251164916468</v>
          </cell>
          <cell r="AB110">
            <v>5.6797394003591739</v>
          </cell>
          <cell r="AC110">
            <v>5.6751186637777993</v>
          </cell>
          <cell r="AD110">
            <v>5.6704655499863739</v>
          </cell>
          <cell r="AE110">
            <v>5.665782743461282</v>
          </cell>
          <cell r="AF110">
            <v>5.6610729989021324</v>
          </cell>
          <cell r="AG110">
            <v>5.6563389526653332</v>
          </cell>
          <cell r="AH110">
            <v>5.6515829911427025</v>
          </cell>
          <cell r="AI110">
            <v>5.6468072766615176</v>
          </cell>
          <cell r="AJ110">
            <v>5.6420137794937357</v>
          </cell>
          <cell r="AK110">
            <v>5.6372043045301785</v>
          </cell>
          <cell r="AL110">
            <v>5.6323805110315623</v>
          </cell>
          <cell r="AM110">
            <v>5.6275439107344729</v>
          </cell>
          <cell r="AN110">
            <v>5.6226958702103715</v>
          </cell>
          <cell r="AO110">
            <v>5.6178376279197</v>
          </cell>
          <cell r="AP110">
            <v>5.6129703098351786</v>
          </cell>
          <cell r="AQ110">
            <v>5.6080949420891759</v>
          </cell>
          <cell r="AR110">
            <v>5.6032124423483909</v>
          </cell>
          <cell r="AS110">
            <v>5.5983235954592603</v>
          </cell>
          <cell r="AT110">
            <v>5.5934290611939215</v>
          </cell>
          <cell r="AU110">
            <v>5.5885293878289</v>
          </cell>
          <cell r="AV110">
            <v>5.5836250240063325</v>
          </cell>
          <cell r="AW110">
            <v>5.578716329112555</v>
          </cell>
          <cell r="AX110">
            <v>5.5738035823858363</v>
          </cell>
          <cell r="AY110">
            <v>5.5688869909644314</v>
          </cell>
          <cell r="AZ110">
            <v>5.5639667004847295</v>
          </cell>
          <cell r="BA110">
            <v>5.559042812993261</v>
          </cell>
          <cell r="BB110">
            <v>5.5541153955028584</v>
          </cell>
          <cell r="BC110">
            <v>5.5491844833147246</v>
          </cell>
          <cell r="BD110">
            <v>5.5442500829013035</v>
          </cell>
          <cell r="BE110">
            <v>5.5393121744802754</v>
          </cell>
          <cell r="BF110">
            <v>5.5343707144217218</v>
          </cell>
          <cell r="BG110">
            <v>5.5294256473951595</v>
          </cell>
          <cell r="BH110">
            <v>5.5244769405875545</v>
          </cell>
          <cell r="BI110">
            <v>5.5195245937586082</v>
          </cell>
        </row>
        <row r="111">
          <cell r="B111">
            <v>5.5524724249863304</v>
          </cell>
          <cell r="C111">
            <v>5.5965102731569827</v>
          </cell>
          <cell r="D111">
            <v>5.6324478285856507</v>
          </cell>
          <cell r="E111">
            <v>5.661987533975811</v>
          </cell>
          <cell r="F111">
            <v>5.6856192471739657</v>
          </cell>
          <cell r="G111">
            <v>5.7041784715226642</v>
          </cell>
          <cell r="H111">
            <v>5.7185690573378212</v>
          </cell>
          <cell r="I111">
            <v>5.7294450525955387</v>
          </cell>
          <cell r="J111">
            <v>5.7373470409711187</v>
          </cell>
          <cell r="K111">
            <v>5.7427498780387118</v>
          </cell>
          <cell r="L111">
            <v>5.7460237333064841</v>
          </cell>
          <cell r="M111">
            <v>5.7475448018010091</v>
          </cell>
          <cell r="N111">
            <v>5.7477057451411566</v>
          </cell>
          <cell r="O111">
            <v>5.7468544781264086</v>
          </cell>
          <cell r="P111">
            <v>5.7452494745700893</v>
          </cell>
          <cell r="Q111">
            <v>5.7430815872634078</v>
          </cell>
          <cell r="R111">
            <v>5.7404937367049529</v>
          </cell>
          <cell r="S111">
            <v>5.7375917043198132</v>
          </cell>
          <cell r="T111">
            <v>5.7344511499526298</v>
          </cell>
          <cell r="U111">
            <v>5.7311248552033618</v>
          </cell>
          <cell r="V111">
            <v>5.7276481714567264</v>
          </cell>
          <cell r="W111">
            <v>5.7240436433521218</v>
          </cell>
          <cell r="X111">
            <v>5.7203275157570008</v>
          </cell>
          <cell r="Y111">
            <v>5.71651321373096</v>
          </cell>
          <cell r="Z111">
            <v>5.7126119978352472</v>
          </cell>
          <cell r="AA111">
            <v>5.7086333803824605</v>
          </cell>
          <cell r="AB111">
            <v>5.7045854491862853</v>
          </cell>
          <cell r="AC111">
            <v>5.7004751263085662</v>
          </cell>
          <cell r="AD111">
            <v>5.6963084916290354</v>
          </cell>
          <cell r="AE111">
            <v>5.6920911483235459</v>
          </cell>
          <cell r="AF111">
            <v>5.6878283167104167</v>
          </cell>
          <cell r="AG111">
            <v>5.6835247132380218</v>
          </cell>
          <cell r="AH111">
            <v>5.679184504122671</v>
          </cell>
          <cell r="AI111">
            <v>5.6748113797424224</v>
          </cell>
          <cell r="AJ111">
            <v>5.6704086226139649</v>
          </cell>
          <cell r="AK111">
            <v>5.6659791640382666</v>
          </cell>
          <cell r="AL111">
            <v>5.6615256291933083</v>
          </cell>
          <cell r="AM111">
            <v>5.6570503626884712</v>
          </cell>
          <cell r="AN111">
            <v>5.6525554551953059</v>
          </cell>
          <cell r="AO111">
            <v>5.6480427747432973</v>
          </cell>
          <cell r="AP111">
            <v>5.6435139938713412</v>
          </cell>
          <cell r="AQ111">
            <v>5.6389706117905609</v>
          </cell>
          <cell r="AR111">
            <v>5.6344139533107764</v>
          </cell>
          <cell r="AS111">
            <v>5.6298451576108581</v>
          </cell>
          <cell r="AT111">
            <v>5.6252651942567296</v>
          </cell>
          <cell r="AU111">
            <v>5.6206748816348862</v>
          </cell>
          <cell r="AV111">
            <v>5.616074903035317</v>
          </cell>
          <cell r="AW111">
            <v>5.6114658207240513</v>
          </cell>
          <cell r="AX111">
            <v>5.6068480882925487</v>
          </cell>
          <cell r="AY111">
            <v>5.6022220616099894</v>
          </cell>
          <cell r="AZ111">
            <v>5.5975880134513556</v>
          </cell>
          <cell r="BA111">
            <v>5.592946155106473</v>
          </cell>
          <cell r="BB111">
            <v>5.5882966461891961</v>
          </cell>
          <cell r="BC111">
            <v>5.5836395994626322</v>
          </cell>
          <cell r="BD111">
            <v>5.5789750850982918</v>
          </cell>
          <cell r="BE111">
            <v>5.5743031344789236</v>
          </cell>
          <cell r="BF111">
            <v>5.5696237438283873</v>
          </cell>
          <cell r="BG111">
            <v>5.5649368899375311</v>
          </cell>
          <cell r="BH111">
            <v>5.5602425651473171</v>
          </cell>
          <cell r="BI111">
            <v>5.5555407855927754</v>
          </cell>
        </row>
        <row r="112">
          <cell r="B112">
            <v>5.5566517135394005</v>
          </cell>
          <cell r="C112">
            <v>5.6020822703034243</v>
          </cell>
          <cell r="D112">
            <v>5.637018962739794</v>
          </cell>
          <cell r="E112">
            <v>5.6647097538041447</v>
          </cell>
          <cell r="F112">
            <v>5.6863746716172976</v>
          </cell>
          <cell r="G112">
            <v>5.703153914140823</v>
          </cell>
          <cell r="H112">
            <v>5.716057691696748</v>
          </cell>
          <cell r="I112">
            <v>5.7257170309825858</v>
          </cell>
          <cell r="J112">
            <v>5.7326497344129193</v>
          </cell>
          <cell r="K112">
            <v>5.737301077455669</v>
          </cell>
          <cell r="L112">
            <v>5.7399952920772472</v>
          </cell>
          <cell r="M112">
            <v>5.7410780578239944</v>
          </cell>
          <cell r="N112">
            <v>5.7409221397549723</v>
          </cell>
          <cell r="O112">
            <v>5.7398578410136141</v>
          </cell>
          <cell r="P112">
            <v>5.7381271187459868</v>
          </cell>
          <cell r="Q112">
            <v>5.7359055667734777</v>
          </cell>
          <cell r="R112">
            <v>5.7333217962405909</v>
          </cell>
          <cell r="S112">
            <v>5.7304689079991231</v>
          </cell>
          <cell r="T112">
            <v>5.7274122312532736</v>
          </cell>
          <cell r="U112">
            <v>5.7241961140090245</v>
          </cell>
          <cell r="V112">
            <v>5.7208489200829886</v>
          </cell>
          <cell r="W112">
            <v>5.7173874286948667</v>
          </cell>
          <cell r="X112">
            <v>5.7138233176945148</v>
          </cell>
          <cell r="Y112">
            <v>5.7101663752296323</v>
          </cell>
          <cell r="Z112">
            <v>5.7064249581093973</v>
          </cell>
          <cell r="AA112">
            <v>5.7026062670618725</v>
          </cell>
          <cell r="AB112">
            <v>5.6987165608231027</v>
          </cell>
          <cell r="AC112">
            <v>5.6947613284213991</v>
          </cell>
          <cell r="AD112">
            <v>5.6907455227210724</v>
          </cell>
          <cell r="AE112">
            <v>5.6866738221164965</v>
          </cell>
          <cell r="AF112">
            <v>5.6825506785979618</v>
          </cell>
          <cell r="AG112">
            <v>5.678380185827848</v>
          </cell>
          <cell r="AH112">
            <v>5.6741660277921149</v>
          </cell>
          <cell r="AI112">
            <v>5.6699115340199704</v>
          </cell>
          <cell r="AJ112">
            <v>5.6656197302205475</v>
          </cell>
          <cell r="AK112">
            <v>5.6612933804756738</v>
          </cell>
          <cell r="AL112">
            <v>5.656935019042673</v>
          </cell>
          <cell r="AM112">
            <v>5.6525469603265881</v>
          </cell>
          <cell r="AN112">
            <v>5.6481313151016348</v>
          </cell>
          <cell r="AO112">
            <v>5.6436900154552028</v>
          </cell>
          <cell r="AP112">
            <v>5.6392248365789381</v>
          </cell>
          <cell r="AQ112">
            <v>5.6347374138700141</v>
          </cell>
          <cell r="AR112">
            <v>5.6302292321352407</v>
          </cell>
          <cell r="AS112">
            <v>5.6257016058590317</v>
          </cell>
          <cell r="AT112">
            <v>5.6211556931162097</v>
          </cell>
          <cell r="AU112">
            <v>5.6165925125715583</v>
          </cell>
          <cell r="AV112">
            <v>5.6120129583106726</v>
          </cell>
          <cell r="AW112">
            <v>5.6074178128169629</v>
          </cell>
          <cell r="AX112">
            <v>5.6028077583596243</v>
          </cell>
          <cell r="AY112">
            <v>5.5981833870878823</v>
          </cell>
          <cell r="AZ112">
            <v>5.5935452135353581</v>
          </cell>
          <cell r="BA112">
            <v>5.5888936912635661</v>
          </cell>
          <cell r="BB112">
            <v>5.5842292211125839</v>
          </cell>
          <cell r="BC112">
            <v>5.5795521561029302</v>
          </cell>
          <cell r="BD112">
            <v>5.5748628057827929</v>
          </cell>
          <cell r="BE112">
            <v>5.5701614401094943</v>
          </cell>
          <cell r="BF112">
            <v>5.5654482931904665</v>
          </cell>
          <cell r="BG112">
            <v>5.5607235791350771</v>
          </cell>
          <cell r="BH112">
            <v>5.5559875248707122</v>
          </cell>
          <cell r="BI112">
            <v>5.5512403773170593</v>
          </cell>
        </row>
        <row r="113">
          <cell r="B113">
            <v>5.5692513752915751</v>
          </cell>
          <cell r="C113">
            <v>5.6189771380632898</v>
          </cell>
          <cell r="D113">
            <v>5.6532754905631242</v>
          </cell>
          <cell r="E113">
            <v>5.6798862238095031</v>
          </cell>
          <cell r="F113">
            <v>5.7011853738220966</v>
          </cell>
          <cell r="G113">
            <v>5.7184897691801027</v>
          </cell>
          <cell r="H113">
            <v>5.7326671071745059</v>
          </cell>
          <cell r="I113">
            <v>5.7441435985803802</v>
          </cell>
          <cell r="J113">
            <v>5.7532759988313718</v>
          </cell>
          <cell r="K113">
            <v>5.760374987941244</v>
          </cell>
          <cell r="L113">
            <v>5.7656580377561069</v>
          </cell>
          <cell r="M113">
            <v>5.7693901991007568</v>
          </cell>
          <cell r="N113">
            <v>5.7718800292321886</v>
          </cell>
          <cell r="O113">
            <v>5.7734093108882627</v>
          </cell>
          <cell r="P113">
            <v>5.7741870842213245</v>
          </cell>
          <cell r="Q113">
            <v>5.7743672354952391</v>
          </cell>
          <cell r="R113">
            <v>5.7740645968584072</v>
          </cell>
          <cell r="S113">
            <v>5.7733645277411529</v>
          </cell>
          <cell r="T113">
            <v>5.7723294705469987</v>
          </cell>
          <cell r="U113">
            <v>5.7710045762480053</v>
          </cell>
          <cell r="V113">
            <v>5.7694218231789911</v>
          </cell>
          <cell r="W113">
            <v>5.7676036458562114</v>
          </cell>
          <cell r="X113">
            <v>5.7655680326825278</v>
          </cell>
          <cell r="Y113">
            <v>5.7633309770313916</v>
          </cell>
          <cell r="Z113">
            <v>5.7609069266658892</v>
          </cell>
          <cell r="AA113">
            <v>5.7583090809714941</v>
          </cell>
          <cell r="AB113">
            <v>5.7555496221371136</v>
          </cell>
          <cell r="AC113">
            <v>5.7526398947475492</v>
          </cell>
          <cell r="AD113">
            <v>5.7495905051157488</v>
          </cell>
          <cell r="AE113">
            <v>5.7464113725459338</v>
          </cell>
          <cell r="AF113">
            <v>5.7431117895272772</v>
          </cell>
          <cell r="AG113">
            <v>5.7397002993702619</v>
          </cell>
          <cell r="AH113">
            <v>5.7361846802970957</v>
          </cell>
          <cell r="AI113">
            <v>5.7325720524646497</v>
          </cell>
          <cell r="AJ113">
            <v>5.7288689719737889</v>
          </cell>
          <cell r="AK113">
            <v>5.7250815091857188</v>
          </cell>
          <cell r="AL113">
            <v>5.7212153015617488</v>
          </cell>
          <cell r="AM113">
            <v>5.7172755434951332</v>
          </cell>
          <cell r="AN113">
            <v>5.7132670062391542</v>
          </cell>
          <cell r="AO113">
            <v>5.7091940894054058</v>
          </cell>
          <cell r="AP113">
            <v>5.7050608662859554</v>
          </cell>
          <cell r="AQ113">
            <v>5.7008711201543312</v>
          </cell>
          <cell r="AR113">
            <v>5.6966283386663026</v>
          </cell>
          <cell r="AS113">
            <v>5.692335697573033</v>
          </cell>
          <cell r="AT113">
            <v>5.6879960891666119</v>
          </cell>
          <cell r="AU113">
            <v>5.6836121530900261</v>
          </cell>
          <cell r="AV113">
            <v>5.6791863032147276</v>
          </cell>
          <cell r="AW113">
            <v>5.6747207511584987</v>
          </cell>
          <cell r="AX113">
            <v>5.6702175269235848</v>
          </cell>
          <cell r="AY113">
            <v>5.6656784970602834</v>
          </cell>
          <cell r="AZ113">
            <v>5.6611053807803318</v>
          </cell>
          <cell r="BA113">
            <v>5.6564997643298813</v>
          </cell>
          <cell r="BB113">
            <v>5.6518631135851409</v>
          </cell>
          <cell r="BC113">
            <v>5.6471967851980951</v>
          </cell>
          <cell r="BD113">
            <v>5.6425020365259684</v>
          </cell>
          <cell r="BE113">
            <v>5.6377800344968341</v>
          </cell>
          <cell r="BF113">
            <v>5.633031863837008</v>
          </cell>
          <cell r="BG113">
            <v>5.6282585462445605</v>
          </cell>
          <cell r="BH113">
            <v>5.6234610731223311</v>
          </cell>
          <cell r="BI113">
            <v>5.6186404148099438</v>
          </cell>
        </row>
        <row r="114">
          <cell r="B114">
            <v>5.5703638225858434</v>
          </cell>
          <cell r="C114">
            <v>5.6241696876792124</v>
          </cell>
          <cell r="D114">
            <v>5.6612499507489371</v>
          </cell>
          <cell r="E114">
            <v>5.6895982394241846</v>
          </cell>
          <cell r="F114">
            <v>5.7117034608089527</v>
          </cell>
          <cell r="G114">
            <v>5.7290828715051205</v>
          </cell>
          <cell r="H114">
            <v>5.7428532566996378</v>
          </cell>
          <cell r="I114">
            <v>5.7536886286707336</v>
          </cell>
          <cell r="J114">
            <v>5.7620844642634133</v>
          </cell>
          <cell r="K114">
            <v>5.7684153089870946</v>
          </cell>
          <cell r="L114">
            <v>5.7729344314808086</v>
          </cell>
          <cell r="M114">
            <v>5.7759432735995793</v>
          </cell>
          <cell r="N114">
            <v>5.7777874407404015</v>
          </cell>
          <cell r="O114">
            <v>5.7787780831704048</v>
          </cell>
          <cell r="P114">
            <v>5.7791403629276843</v>
          </cell>
          <cell r="Q114">
            <v>5.7790344204626463</v>
          </cell>
          <cell r="R114">
            <v>5.7785744275892545</v>
          </cell>
          <cell r="S114">
            <v>5.7778406850768027</v>
          </cell>
          <cell r="T114">
            <v>5.7768879438629481</v>
          </cell>
          <cell r="U114">
            <v>5.775751746063456</v>
          </cell>
          <cell r="V114">
            <v>5.7744530024549912</v>
          </cell>
          <cell r="W114">
            <v>5.7730023311141974</v>
          </cell>
          <cell r="X114">
            <v>5.7714067415315347</v>
          </cell>
          <cell r="Y114">
            <v>5.7696724731189279</v>
          </cell>
          <cell r="Z114">
            <v>5.7678052098124404</v>
          </cell>
          <cell r="AA114">
            <v>5.7658101868945622</v>
          </cell>
          <cell r="AB114">
            <v>5.7636922740782017</v>
          </cell>
          <cell r="AC114">
            <v>5.7614560449505321</v>
          </cell>
          <cell r="AD114">
            <v>5.7591059097256396</v>
          </cell>
          <cell r="AE114">
            <v>5.7566462634484328</v>
          </cell>
          <cell r="AF114">
            <v>5.7540814761207484</v>
          </cell>
          <cell r="AG114">
            <v>5.7514157368848258</v>
          </cell>
          <cell r="AH114">
            <v>5.7486529940959077</v>
          </cell>
          <cell r="AI114">
            <v>5.7457969874451331</v>
          </cell>
          <cell r="AJ114">
            <v>5.7428512777686942</v>
          </cell>
          <cell r="AK114">
            <v>5.7398192718700436</v>
          </cell>
          <cell r="AL114">
            <v>5.7367042366568182</v>
          </cell>
          <cell r="AM114">
            <v>5.7335092853172478</v>
          </cell>
          <cell r="AN114">
            <v>5.7302373805567131</v>
          </cell>
          <cell r="AO114">
            <v>5.7268913528584768</v>
          </cell>
          <cell r="AP114">
            <v>5.7234739166083335</v>
          </cell>
          <cell r="AQ114">
            <v>5.7199876810364145</v>
          </cell>
          <cell r="AR114">
            <v>5.7164351223055618</v>
          </cell>
          <cell r="AS114">
            <v>5.7128185512123411</v>
          </cell>
          <cell r="AT114">
            <v>5.7091401261643941</v>
          </cell>
          <cell r="AU114">
            <v>5.7054018697442439</v>
          </cell>
          <cell r="AV114">
            <v>5.7016056831587649</v>
          </cell>
          <cell r="AW114">
            <v>5.6977533588824869</v>
          </cell>
          <cell r="AX114">
            <v>5.6938465917527292</v>
          </cell>
          <cell r="AY114">
            <v>5.6898869886982677</v>
          </cell>
          <cell r="AZ114">
            <v>5.6858760760528213</v>
          </cell>
          <cell r="BA114">
            <v>5.6818153044915087</v>
          </cell>
          <cell r="BB114">
            <v>5.6777060555158734</v>
          </cell>
          <cell r="BC114">
            <v>5.6735496478556486</v>
          </cell>
          <cell r="BD114">
            <v>5.6693473431752839</v>
          </cell>
          <cell r="BE114">
            <v>5.6651003511690545</v>
          </cell>
          <cell r="BF114">
            <v>5.6608098344489886</v>
          </cell>
          <cell r="BG114">
            <v>5.65647692430875</v>
          </cell>
          <cell r="BH114">
            <v>5.6521027480393036</v>
          </cell>
          <cell r="BI114">
            <v>5.6476884348399174</v>
          </cell>
        </row>
        <row r="115">
          <cell r="B115">
            <v>5.5622315105819746</v>
          </cell>
          <cell r="C115">
            <v>5.6146816024637447</v>
          </cell>
          <cell r="D115">
            <v>5.6463037788080337</v>
          </cell>
          <cell r="E115">
            <v>5.6685312698703578</v>
          </cell>
          <cell r="F115">
            <v>5.6851415654068456</v>
          </cell>
          <cell r="G115">
            <v>5.6978786640690542</v>
          </cell>
          <cell r="H115">
            <v>5.7077315316143489</v>
          </cell>
          <cell r="I115">
            <v>5.7152064330968742</v>
          </cell>
          <cell r="J115">
            <v>5.7206664798105598</v>
          </cell>
          <cell r="K115">
            <v>5.7243884232933979</v>
          </cell>
          <cell r="L115">
            <v>5.7265848129124413</v>
          </cell>
          <cell r="M115">
            <v>5.7275332683618077</v>
          </cell>
          <cell r="N115">
            <v>5.7275623418910087</v>
          </cell>
          <cell r="O115">
            <v>5.7269743389349177</v>
          </cell>
          <cell r="P115">
            <v>5.7259857944047621</v>
          </cell>
          <cell r="Q115">
            <v>5.7247465813569089</v>
          </cell>
          <cell r="R115">
            <v>5.7233594129367393</v>
          </cell>
          <cell r="S115">
            <v>5.7218920463904732</v>
          </cell>
          <cell r="T115">
            <v>5.7203857463143324</v>
          </cell>
          <cell r="U115">
            <v>5.7188618555307471</v>
          </cell>
          <cell r="V115">
            <v>5.7173265456604145</v>
          </cell>
          <cell r="W115">
            <v>5.7157756633799126</v>
          </cell>
          <cell r="X115">
            <v>5.7142026374949957</v>
          </cell>
          <cell r="Y115">
            <v>5.7126014540102092</v>
          </cell>
          <cell r="Z115">
            <v>5.7109666072811702</v>
          </cell>
          <cell r="AA115">
            <v>5.7092930022547579</v>
          </cell>
          <cell r="AB115">
            <v>5.7075758784336825</v>
          </cell>
          <cell r="AC115">
            <v>5.7058107670823066</v>
          </cell>
          <cell r="AD115">
            <v>5.7039937388241233</v>
          </cell>
          <cell r="AE115">
            <v>5.7021217246762035</v>
          </cell>
          <cell r="AF115">
            <v>5.7001924127724548</v>
          </cell>
          <cell r="AG115">
            <v>5.6982040269725065</v>
          </cell>
          <cell r="AH115">
            <v>5.6961551932493126</v>
          </cell>
          <cell r="AI115">
            <v>5.6940448788127895</v>
          </cell>
          <cell r="AJ115">
            <v>5.6918723433616716</v>
          </cell>
          <cell r="AK115">
            <v>5.6896370984761671</v>
          </cell>
          <cell r="AL115">
            <v>5.6873388777183438</v>
          </cell>
          <cell r="AM115">
            <v>5.6849776258279867</v>
          </cell>
          <cell r="AN115">
            <v>5.6825534803950752</v>
          </cell>
          <cell r="AO115">
            <v>5.6800667480095512</v>
          </cell>
          <cell r="AP115">
            <v>5.6775178836515758</v>
          </cell>
          <cell r="AQ115">
            <v>5.6749074697993827</v>
          </cell>
          <cell r="AR115">
            <v>5.672236160885392</v>
          </cell>
          <cell r="AS115">
            <v>5.6695046303172045</v>
          </cell>
          <cell r="AT115">
            <v>5.6667135637156596</v>
          </cell>
          <cell r="AU115">
            <v>5.6638636575872843</v>
          </cell>
          <cell r="AV115">
            <v>5.6609556181662377</v>
          </cell>
          <cell r="AW115">
            <v>5.6579901604010123</v>
          </cell>
          <cell r="AX115">
            <v>5.6549680070652233</v>
          </cell>
          <cell r="AY115">
            <v>5.651889887924499</v>
          </cell>
          <cell r="AZ115">
            <v>5.6487565374116615</v>
          </cell>
          <cell r="BA115">
            <v>5.6455686908955265</v>
          </cell>
          <cell r="BB115">
            <v>5.6423270838907946</v>
          </cell>
          <cell r="BC115">
            <v>5.639032452041981</v>
          </cell>
          <cell r="BD115">
            <v>5.6356855311116121</v>
          </cell>
          <cell r="BE115">
            <v>5.6322870569696892</v>
          </cell>
          <cell r="BF115">
            <v>5.6288377659643345</v>
          </cell>
          <cell r="BG115">
            <v>5.6253384066991439</v>
          </cell>
          <cell r="BH115">
            <v>5.6217897621555313</v>
          </cell>
          <cell r="BI115">
            <v>5.6181926516602045</v>
          </cell>
        </row>
        <row r="116">
          <cell r="B116">
            <v>5.5649708312604647</v>
          </cell>
          <cell r="C116">
            <v>5.6156543706502822</v>
          </cell>
          <cell r="D116">
            <v>5.6480103325997835</v>
          </cell>
          <cell r="E116">
            <v>5.6714511672681676</v>
          </cell>
          <cell r="F116">
            <v>5.6890122124724574</v>
          </cell>
          <cell r="G116">
            <v>5.7022678555127664</v>
          </cell>
          <cell r="H116">
            <v>5.7122844820770924</v>
          </cell>
          <cell r="I116">
            <v>5.7197807132888192</v>
          </cell>
          <cell r="J116">
            <v>5.7252046272208297</v>
          </cell>
          <cell r="K116">
            <v>5.7288447047987248</v>
          </cell>
          <cell r="L116">
            <v>5.7309371228558126</v>
          </cell>
          <cell r="M116">
            <v>5.7317815023358181</v>
          </cell>
          <cell r="N116">
            <v>5.7317235371868662</v>
          </cell>
          <cell r="O116">
            <v>5.7310747448475441</v>
          </cell>
          <cell r="P116">
            <v>5.7300551324735762</v>
          </cell>
          <cell r="Q116">
            <v>5.7288147260121196</v>
          </cell>
          <cell r="R116">
            <v>5.727454089315299</v>
          </cell>
          <cell r="S116">
            <v>5.7260376459298072</v>
          </cell>
          <cell r="T116">
            <v>5.7246029129839737</v>
          </cell>
          <cell r="U116">
            <v>5.7231672133948468</v>
          </cell>
          <cell r="V116">
            <v>5.7217325050364956</v>
          </cell>
          <cell r="W116">
            <v>5.7202908517280484</v>
          </cell>
          <cell r="X116">
            <v>5.7188329141190382</v>
          </cell>
          <cell r="Y116">
            <v>5.7173504608559007</v>
          </cell>
          <cell r="Z116">
            <v>5.7158361824523025</v>
          </cell>
          <cell r="AA116">
            <v>5.714283514006997</v>
          </cell>
          <cell r="AB116">
            <v>5.7126864973176827</v>
          </cell>
          <cell r="AC116">
            <v>5.7110397032430011</v>
          </cell>
          <cell r="AD116">
            <v>5.7093385362760856</v>
          </cell>
          <cell r="AE116">
            <v>5.7075795363739026</v>
          </cell>
          <cell r="AF116">
            <v>5.7057601945040188</v>
          </cell>
          <cell r="AG116">
            <v>5.7038786228291487</v>
          </cell>
          <cell r="AH116">
            <v>5.7019333865500297</v>
          </cell>
          <cell r="AI116">
            <v>5.699923435656963</v>
          </cell>
          <cell r="AJ116">
            <v>5.6978480499598589</v>
          </cell>
          <cell r="AK116">
            <v>5.6957067933020387</v>
          </cell>
          <cell r="AL116">
            <v>5.6934994777606525</v>
          </cell>
          <cell r="AM116">
            <v>5.6912261400345265</v>
          </cell>
          <cell r="AN116">
            <v>5.6888870160966842</v>
          </cell>
          <cell r="AO116">
            <v>5.6864825163502566</v>
          </cell>
          <cell r="AP116">
            <v>5.6840132043564946</v>
          </cell>
          <cell r="AQ116">
            <v>5.681479773531465</v>
          </cell>
          <cell r="AR116">
            <v>5.6788829839698654</v>
          </cell>
          <cell r="AS116">
            <v>5.6762236121354555</v>
          </cell>
          <cell r="AT116">
            <v>5.6735024457009375</v>
          </cell>
          <cell r="AU116">
            <v>5.6707202823295884</v>
          </cell>
          <cell r="AV116">
            <v>5.6678779286124312</v>
          </cell>
          <cell r="AW116">
            <v>5.664976199138267</v>
          </cell>
          <cell r="AX116">
            <v>5.6620159156775722</v>
          </cell>
          <cell r="AY116">
            <v>5.6589979063052889</v>
          </cell>
          <cell r="AZ116">
            <v>5.6559230012530177</v>
          </cell>
          <cell r="BA116">
            <v>5.6527920270250389</v>
          </cell>
          <cell r="BB116">
            <v>5.6496058058068179</v>
          </cell>
          <cell r="BC116">
            <v>5.6463651558638208</v>
          </cell>
          <cell r="BD116">
            <v>5.64307089189787</v>
          </cell>
          <cell r="BE116">
            <v>5.639723825365337</v>
          </cell>
          <cell r="BF116">
            <v>5.6363247653734883</v>
          </cell>
          <cell r="BG116">
            <v>5.6328745320589659</v>
          </cell>
          <cell r="BH116">
            <v>5.6293739764716815</v>
          </cell>
          <cell r="BI116">
            <v>5.6258239813839319</v>
          </cell>
        </row>
        <row r="117">
          <cell r="B117">
            <v>5.5689346063656853</v>
          </cell>
          <cell r="C117">
            <v>5.6216036405631842</v>
          </cell>
          <cell r="D117">
            <v>5.6539613803740734</v>
          </cell>
          <cell r="E117">
            <v>5.6768658263255203</v>
          </cell>
          <cell r="F117">
            <v>5.6935261043932757</v>
          </cell>
          <cell r="G117">
            <v>5.7056813580034458</v>
          </cell>
          <cell r="H117">
            <v>5.7146001616894004</v>
          </cell>
          <cell r="I117">
            <v>5.7211756173192763</v>
          </cell>
          <cell r="J117">
            <v>5.7259276157265262</v>
          </cell>
          <cell r="K117">
            <v>5.7291509831292089</v>
          </cell>
          <cell r="L117">
            <v>5.7310602363492142</v>
          </cell>
          <cell r="M117">
            <v>5.7319246935352783</v>
          </cell>
          <cell r="N117">
            <v>5.7320531427261816</v>
          </cell>
          <cell r="O117">
            <v>5.7317185619395801</v>
          </cell>
          <cell r="P117">
            <v>5.7311087047139617</v>
          </cell>
          <cell r="Q117">
            <v>5.7303469844102342</v>
          </cell>
          <cell r="R117">
            <v>5.7295115727806909</v>
          </cell>
          <cell r="S117">
            <v>5.7286490221841557</v>
          </cell>
          <cell r="T117">
            <v>5.727783237162309</v>
          </cell>
          <cell r="U117">
            <v>5.7269211666995803</v>
          </cell>
          <cell r="V117">
            <v>5.7260568688356592</v>
          </cell>
          <cell r="W117">
            <v>5.7251765700610395</v>
          </cell>
          <cell r="X117">
            <v>5.7242666900026071</v>
          </cell>
          <cell r="Y117">
            <v>5.7233158541566569</v>
          </cell>
          <cell r="Z117">
            <v>5.7223144802790538</v>
          </cell>
          <cell r="AA117">
            <v>5.721254433719932</v>
          </cell>
          <cell r="AB117">
            <v>5.7201287593506818</v>
          </cell>
          <cell r="AC117">
            <v>5.7189315026204151</v>
          </cell>
          <cell r="AD117">
            <v>5.7176579074052576</v>
          </cell>
          <cell r="AE117">
            <v>5.7163046001453575</v>
          </cell>
          <cell r="AF117">
            <v>5.7148693409041931</v>
          </cell>
          <cell r="AG117">
            <v>5.7133506263049858</v>
          </cell>
          <cell r="AH117">
            <v>5.7117474944877209</v>
          </cell>
          <cell r="AI117">
            <v>5.7100594439047647</v>
          </cell>
          <cell r="AJ117">
            <v>5.7082863675619402</v>
          </cell>
          <cell r="AK117">
            <v>5.7064284981629925</v>
          </cell>
          <cell r="AL117">
            <v>5.7044863568732778</v>
          </cell>
          <cell r="AM117">
            <v>5.7024606980795962</v>
          </cell>
          <cell r="AN117">
            <v>5.7003524733745818</v>
          </cell>
          <cell r="AO117">
            <v>5.6981628068079724</v>
          </cell>
          <cell r="AP117">
            <v>5.6958929738550665</v>
          </cell>
          <cell r="AQ117">
            <v>5.6935443758999158</v>
          </cell>
          <cell r="AR117">
            <v>5.6911184608064298</v>
          </cell>
          <cell r="AS117">
            <v>5.6886166640039262</v>
          </cell>
          <cell r="AT117">
            <v>5.6860404060693552</v>
          </cell>
          <cell r="AU117">
            <v>5.683391094341693</v>
          </cell>
          <cell r="AV117">
            <v>5.6806701243302289</v>
          </cell>
          <cell r="AW117">
            <v>5.6778788809468361</v>
          </cell>
          <cell r="AX117">
            <v>5.6750187395873288</v>
          </cell>
          <cell r="AY117">
            <v>5.6720910665855735</v>
          </cell>
          <cell r="AZ117">
            <v>5.6690972102670774</v>
          </cell>
          <cell r="BA117">
            <v>5.6660384879710479</v>
          </cell>
          <cell r="BB117">
            <v>5.6629161867328834</v>
          </cell>
          <cell r="BC117">
            <v>5.6597315660885643</v>
          </cell>
          <cell r="BD117">
            <v>5.6564858605745911</v>
          </cell>
          <cell r="BE117">
            <v>5.6531802819600845</v>
          </cell>
          <cell r="BF117">
            <v>5.6498160218983617</v>
          </cell>
          <cell r="BG117">
            <v>5.6463942662554132</v>
          </cell>
          <cell r="BH117">
            <v>5.6429162141297491</v>
          </cell>
          <cell r="BI117">
            <v>5.639383079515162</v>
          </cell>
        </row>
        <row r="118">
          <cell r="B118">
            <v>5.5682805654526382</v>
          </cell>
          <cell r="C118">
            <v>5.6222430991295083</v>
          </cell>
          <cell r="D118">
            <v>5.6540828000066892</v>
          </cell>
          <cell r="E118">
            <v>5.6757821316677832</v>
          </cell>
          <cell r="F118">
            <v>5.6910194178745002</v>
          </cell>
          <cell r="G118">
            <v>5.7016951843002612</v>
          </cell>
          <cell r="H118">
            <v>5.7091370824038226</v>
          </cell>
          <cell r="I118">
            <v>5.7142576823095652</v>
          </cell>
          <cell r="J118">
            <v>5.7175708901778091</v>
          </cell>
          <cell r="K118">
            <v>5.7193574063856083</v>
          </cell>
          <cell r="L118">
            <v>5.7198338494283387</v>
          </cell>
          <cell r="M118">
            <v>5.7192880155348647</v>
          </cell>
          <cell r="N118">
            <v>5.7180564906274558</v>
          </cell>
          <cell r="O118">
            <v>5.7164380282858591</v>
          </cell>
          <cell r="P118">
            <v>5.714636773819735</v>
          </cell>
          <cell r="Q118">
            <v>5.7127853281161372</v>
          </cell>
          <cell r="R118">
            <v>5.7109659178030636</v>
          </cell>
          <cell r="S118">
            <v>5.7092250947871843</v>
          </cell>
          <cell r="T118">
            <v>5.7075835299612718</v>
          </cell>
          <cell r="U118">
            <v>5.7060425002990751</v>
          </cell>
          <cell r="V118">
            <v>5.7045885490066484</v>
          </cell>
          <cell r="W118">
            <v>5.7031995704353928</v>
          </cell>
          <cell r="X118">
            <v>5.7018542236459213</v>
          </cell>
          <cell r="Y118">
            <v>5.7005340411328831</v>
          </cell>
          <cell r="Z118">
            <v>5.6992228793756423</v>
          </cell>
          <cell r="AA118">
            <v>5.6979064719181496</v>
          </cell>
          <cell r="AB118">
            <v>5.696572081764387</v>
          </cell>
          <cell r="AC118">
            <v>5.6952082822285828</v>
          </cell>
          <cell r="AD118">
            <v>5.6938053041998353</v>
          </cell>
          <cell r="AE118">
            <v>5.692355313350677</v>
          </cell>
          <cell r="AF118">
            <v>5.6908520900408739</v>
          </cell>
          <cell r="AG118">
            <v>5.6892905938641061</v>
          </cell>
          <cell r="AH118">
            <v>5.6876667204841143</v>
          </cell>
          <cell r="AI118">
            <v>5.6859771629483866</v>
          </cell>
          <cell r="AJ118">
            <v>5.6842192977761963</v>
          </cell>
          <cell r="AK118">
            <v>5.6823910900732901</v>
          </cell>
          <cell r="AL118">
            <v>5.680491017195787</v>
          </cell>
          <cell r="AM118">
            <v>5.6785180109670206</v>
          </cell>
          <cell r="AN118">
            <v>5.6764714025684881</v>
          </cell>
          <cell r="AO118">
            <v>5.6743508726624814</v>
          </cell>
          <cell r="AP118">
            <v>5.6721564087717207</v>
          </cell>
          <cell r="AQ118">
            <v>5.6698882608035595</v>
          </cell>
          <cell r="AR118">
            <v>5.6675468477562845</v>
          </cell>
          <cell r="AS118">
            <v>5.6651326900988366</v>
          </cell>
          <cell r="AT118">
            <v>5.6626463953976076</v>
          </cell>
          <cell r="AU118">
            <v>5.6600886488493174</v>
          </cell>
          <cell r="AV118">
            <v>5.6574602050224696</v>
          </cell>
          <cell r="AW118">
            <v>5.6547618806311251</v>
          </cell>
          <cell r="AX118">
            <v>5.6519945481935192</v>
          </cell>
          <cell r="AY118">
            <v>5.6491591298648682</v>
          </cell>
          <cell r="AZ118">
            <v>5.6462565821953463</v>
          </cell>
          <cell r="BA118">
            <v>5.64328787838891</v>
          </cell>
          <cell r="BB118">
            <v>5.6402540047189786</v>
          </cell>
          <cell r="BC118">
            <v>5.6371559593175684</v>
          </cell>
          <cell r="BD118">
            <v>5.6339947510972381</v>
          </cell>
          <cell r="BE118">
            <v>5.6307713987885455</v>
          </cell>
          <cell r="BF118">
            <v>5.6274869308551754</v>
          </cell>
          <cell r="BG118">
            <v>5.6241423980557821</v>
          </cell>
          <cell r="BH118">
            <v>5.6207388899151276</v>
          </cell>
          <cell r="BI118">
            <v>5.6172775340053134</v>
          </cell>
        </row>
        <row r="119">
          <cell r="B119">
            <v>5.600756198138189</v>
          </cell>
          <cell r="C119">
            <v>5.6672865496054019</v>
          </cell>
          <cell r="D119">
            <v>5.7023169691736157</v>
          </cell>
          <cell r="E119">
            <v>5.724755608530951</v>
          </cell>
          <cell r="F119">
            <v>5.7394218895402993</v>
          </cell>
          <cell r="G119">
            <v>5.7487652052334122</v>
          </cell>
          <cell r="H119">
            <v>5.7545618896061601</v>
          </cell>
          <cell r="I119">
            <v>5.7580847967529802</v>
          </cell>
          <cell r="J119">
            <v>5.760030506707623</v>
          </cell>
          <cell r="K119">
            <v>5.760752039858839</v>
          </cell>
          <cell r="L119">
            <v>5.7604712435521632</v>
          </cell>
          <cell r="M119">
            <v>5.7594450979669727</v>
          </cell>
          <cell r="N119">
            <v>5.7579586053094296</v>
          </cell>
          <cell r="O119">
            <v>5.7562564950059834</v>
          </cell>
          <cell r="P119">
            <v>5.7544982013486008</v>
          </cell>
          <cell r="Q119">
            <v>5.7527790432899613</v>
          </cell>
          <cell r="R119">
            <v>5.7511497832654035</v>
          </cell>
          <cell r="S119">
            <v>5.7496325716443</v>
          </cell>
          <cell r="T119">
            <v>5.7482303817214717</v>
          </cell>
          <cell r="U119">
            <v>5.7469318741839723</v>
          </cell>
          <cell r="V119">
            <v>5.7457148559486697</v>
          </cell>
          <cell r="W119">
            <v>5.7445515165898442</v>
          </cell>
          <cell r="X119">
            <v>5.7434167262188298</v>
          </cell>
          <cell r="Y119">
            <v>5.7422894506834634</v>
          </cell>
          <cell r="Z119">
            <v>5.7411519503407886</v>
          </cell>
          <cell r="AA119">
            <v>5.7399891464975967</v>
          </cell>
          <cell r="AB119">
            <v>5.7387881286420068</v>
          </cell>
          <cell r="AC119">
            <v>5.7375378139371946</v>
          </cell>
          <cell r="AD119">
            <v>5.7362290832986949</v>
          </cell>
          <cell r="AE119">
            <v>5.7348548594037032</v>
          </cell>
          <cell r="AF119">
            <v>5.7334097402810666</v>
          </cell>
          <cell r="AG119">
            <v>5.7318895296777415</v>
          </cell>
          <cell r="AH119">
            <v>5.7302909864966027</v>
          </cell>
          <cell r="AI119">
            <v>5.7286116834245462</v>
          </cell>
          <cell r="AJ119">
            <v>5.7268498906776166</v>
          </cell>
          <cell r="AK119">
            <v>5.7250044789690753</v>
          </cell>
          <cell r="AL119">
            <v>5.7230748284922486</v>
          </cell>
          <cell r="AM119">
            <v>5.7210607344068602</v>
          </cell>
          <cell r="AN119">
            <v>5.7189623452833107</v>
          </cell>
          <cell r="AO119">
            <v>5.7167801188335305</v>
          </cell>
          <cell r="AP119">
            <v>5.7145147842082418</v>
          </cell>
          <cell r="AQ119">
            <v>5.712167299103081</v>
          </cell>
          <cell r="AR119">
            <v>5.7097387466921123</v>
          </cell>
          <cell r="AS119">
            <v>5.7072302664451087</v>
          </cell>
          <cell r="AT119">
            <v>5.7046430447044854</v>
          </cell>
          <cell r="AU119">
            <v>5.7019783095904533</v>
          </cell>
          <cell r="AV119">
            <v>5.6992373265565615</v>
          </cell>
          <cell r="AW119">
            <v>5.6964213945008151</v>
          </cell>
          <cell r="AX119">
            <v>5.6935318423529759</v>
          </cell>
          <cell r="AY119">
            <v>5.6905700251367417</v>
          </cell>
          <cell r="AZ119">
            <v>5.6875373065741845</v>
          </cell>
          <cell r="BA119">
            <v>5.6844350390492622</v>
          </cell>
          <cell r="BB119">
            <v>5.6812645622289608</v>
          </cell>
          <cell r="BC119">
            <v>5.6780272042404141</v>
          </cell>
          <cell r="BD119">
            <v>5.6747242827199642</v>
          </cell>
          <cell r="BE119">
            <v>5.6713571057498564</v>
          </cell>
          <cell r="BF119">
            <v>5.6679269735501405</v>
          </cell>
          <cell r="BG119">
            <v>5.6644351924217746</v>
          </cell>
          <cell r="BH119">
            <v>5.6608830911577162</v>
          </cell>
          <cell r="BI119">
            <v>5.6572720212880796</v>
          </cell>
        </row>
        <row r="120">
          <cell r="B120">
            <v>5.6362935534719467</v>
          </cell>
          <cell r="C120">
            <v>5.7114012639728209</v>
          </cell>
          <cell r="D120">
            <v>5.7440020971105312</v>
          </cell>
          <cell r="E120">
            <v>5.7634145403195474</v>
          </cell>
          <cell r="F120">
            <v>5.7760472105338918</v>
          </cell>
          <cell r="G120">
            <v>5.7843486861356714</v>
          </cell>
          <cell r="H120">
            <v>5.7897003725550391</v>
          </cell>
          <cell r="I120">
            <v>5.7930198449195149</v>
          </cell>
          <cell r="J120">
            <v>5.7947478053363266</v>
          </cell>
          <cell r="K120">
            <v>5.7950831487418979</v>
          </cell>
          <cell r="L120">
            <v>5.7942133111464473</v>
          </cell>
          <cell r="M120">
            <v>5.7924136933115609</v>
          </cell>
          <cell r="N120">
            <v>5.7900188840726283</v>
          </cell>
          <cell r="O120">
            <v>5.7873333664634155</v>
          </cell>
          <cell r="P120">
            <v>5.7845626693034724</v>
          </cell>
          <cell r="Q120">
            <v>5.7818354012199737</v>
          </cell>
          <cell r="R120">
            <v>5.7792263411084859</v>
          </cell>
          <cell r="S120">
            <v>5.7767735789462105</v>
          </cell>
          <cell r="T120">
            <v>5.7744892579879341</v>
          </cell>
          <cell r="U120">
            <v>5.772366096796266</v>
          </cell>
          <cell r="V120">
            <v>5.7703820898038387</v>
          </cell>
          <cell r="W120">
            <v>5.7685073507009443</v>
          </cell>
          <cell r="X120">
            <v>5.7667141236500274</v>
          </cell>
          <cell r="Y120">
            <v>5.7649784812708269</v>
          </cell>
          <cell r="Z120">
            <v>5.7632795745290206</v>
          </cell>
          <cell r="AA120">
            <v>5.7615990407466189</v>
          </cell>
          <cell r="AB120">
            <v>5.7599205431666807</v>
          </cell>
          <cell r="AC120">
            <v>5.7582294827647216</v>
          </cell>
          <cell r="AD120">
            <v>5.7565133472696646</v>
          </cell>
          <cell r="AE120">
            <v>5.7547619064290751</v>
          </cell>
          <cell r="AF120">
            <v>5.7529668318637501</v>
          </cell>
          <cell r="AG120">
            <v>5.7511212572517305</v>
          </cell>
          <cell r="AH120">
            <v>5.7492195136368691</v>
          </cell>
          <cell r="AI120">
            <v>5.747256952868244</v>
          </cell>
          <cell r="AJ120">
            <v>5.7452298017708392</v>
          </cell>
          <cell r="AK120">
            <v>5.7431350406912705</v>
          </cell>
          <cell r="AL120">
            <v>5.740970305490249</v>
          </cell>
          <cell r="AM120">
            <v>5.7387338111571946</v>
          </cell>
          <cell r="AN120">
            <v>5.736424280340727</v>
          </cell>
          <cell r="AO120">
            <v>5.7340408799163791</v>
          </cell>
          <cell r="AP120">
            <v>5.7315831668075932</v>
          </cell>
          <cell r="AQ120">
            <v>5.7290510314481242</v>
          </cell>
          <cell r="AR120">
            <v>5.7264445920779909</v>
          </cell>
          <cell r="AS120">
            <v>5.7237641241049335</v>
          </cell>
          <cell r="AT120">
            <v>5.721010040323331</v>
          </cell>
          <cell r="AU120">
            <v>5.7181828759808768</v>
          </cell>
          <cell r="AV120">
            <v>5.715283275751629</v>
          </cell>
          <cell r="AW120">
            <v>5.7123119823374289</v>
          </cell>
          <cell r="AX120">
            <v>5.7092698264650688</v>
          </cell>
          <cell r="AY120">
            <v>5.7061577171078453</v>
          </cell>
          <cell r="AZ120">
            <v>5.7029766198602179</v>
          </cell>
          <cell r="BA120">
            <v>5.6997275346957581</v>
          </cell>
          <cell r="BB120">
            <v>5.6964114907681802</v>
          </cell>
          <cell r="BC120">
            <v>5.6930295437093728</v>
          </cell>
          <cell r="BD120">
            <v>5.6895827732222948</v>
          </cell>
          <cell r="BE120">
            <v>5.6860722809317705</v>
          </cell>
          <cell r="BF120">
            <v>5.6824991894301977</v>
          </cell>
          <cell r="BG120">
            <v>5.6788646540572394</v>
          </cell>
          <cell r="BH120">
            <v>5.6751698762714469</v>
          </cell>
          <cell r="BI120">
            <v>5.671416101655077</v>
          </cell>
        </row>
        <row r="121">
          <cell r="B121">
            <v>5.6453979422556957</v>
          </cell>
          <cell r="C121">
            <v>5.7180311308251017</v>
          </cell>
          <cell r="D121">
            <v>5.7484002339575424</v>
          </cell>
          <cell r="E121">
            <v>5.7664468809719205</v>
          </cell>
          <cell r="F121">
            <v>5.7785111607405018</v>
          </cell>
          <cell r="G121">
            <v>5.7868089220303487</v>
          </cell>
          <cell r="H121">
            <v>5.7924648608480043</v>
          </cell>
          <cell r="I121">
            <v>5.7962191399570333</v>
          </cell>
          <cell r="J121">
            <v>5.7984234396818568</v>
          </cell>
          <cell r="K121">
            <v>5.7992363225919989</v>
          </cell>
          <cell r="L121">
            <v>5.7988297251549294</v>
          </cell>
          <cell r="M121">
            <v>5.7974737434720662</v>
          </cell>
          <cell r="N121">
            <v>5.7955021935440234</v>
          </cell>
          <cell r="O121">
            <v>5.7932178542867883</v>
          </cell>
          <cell r="P121">
            <v>5.7908252475979713</v>
          </cell>
          <cell r="Q121">
            <v>5.7884533701649366</v>
          </cell>
          <cell r="R121">
            <v>5.7861783994123837</v>
          </cell>
          <cell r="S121">
            <v>5.7840401765935283</v>
          </cell>
          <cell r="T121">
            <v>5.7820524918060707</v>
          </cell>
          <cell r="U121">
            <v>5.7802096123125679</v>
          </cell>
          <cell r="V121">
            <v>5.7784910677762209</v>
          </cell>
          <cell r="W121">
            <v>5.7768691357179867</v>
          </cell>
          <cell r="X121">
            <v>5.7753183046638332</v>
          </cell>
          <cell r="Y121">
            <v>5.7738164171391348</v>
          </cell>
          <cell r="Z121">
            <v>5.7723440040335605</v>
          </cell>
          <cell r="AA121">
            <v>5.7708837676079368</v>
          </cell>
          <cell r="AB121">
            <v>5.7694201794305799</v>
          </cell>
          <cell r="AC121">
            <v>5.767939269339549</v>
          </cell>
          <cell r="AD121">
            <v>5.7664290639371361</v>
          </cell>
          <cell r="AE121">
            <v>5.7648797317072633</v>
          </cell>
          <cell r="AF121">
            <v>5.7632832205615978</v>
          </cell>
          <cell r="AG121">
            <v>5.7616328857200205</v>
          </cell>
          <cell r="AH121">
            <v>5.7599232539487559</v>
          </cell>
          <cell r="AI121">
            <v>5.758149851147655</v>
          </cell>
          <cell r="AJ121">
            <v>5.7563090596168287</v>
          </cell>
          <cell r="AK121">
            <v>5.7543979992684386</v>
          </cell>
          <cell r="AL121">
            <v>5.7524144333688856</v>
          </cell>
          <cell r="AM121">
            <v>5.7503566951072695</v>
          </cell>
          <cell r="AN121">
            <v>5.7482236170208898</v>
          </cell>
          <cell r="AO121">
            <v>5.7460144685873793</v>
          </cell>
          <cell r="AP121">
            <v>5.743728902907808</v>
          </cell>
          <cell r="AQ121">
            <v>5.7413668964369888</v>
          </cell>
          <cell r="AR121">
            <v>5.7389286364034175</v>
          </cell>
          <cell r="AS121">
            <v>5.7364144563954662</v>
          </cell>
          <cell r="AT121">
            <v>5.7338248186183307</v>
          </cell>
          <cell r="AU121">
            <v>5.7311602999139559</v>
          </cell>
          <cell r="AV121">
            <v>5.7284215795656257</v>
          </cell>
          <cell r="AW121">
            <v>5.7256094286269983</v>
          </cell>
          <cell r="AX121">
            <v>5.7227247005577748</v>
          </cell>
          <cell r="AY121">
            <v>5.7197683215284911</v>
          </cell>
          <cell r="AZ121">
            <v>5.7167412678546627</v>
          </cell>
          <cell r="BA121">
            <v>5.7136445462160346</v>
          </cell>
          <cell r="BB121">
            <v>5.7104791894790656</v>
          </cell>
          <cell r="BC121">
            <v>5.7072462542722375</v>
          </cell>
          <cell r="BD121">
            <v>5.703946818825866</v>
          </cell>
          <cell r="BE121">
            <v>5.7005819810433698</v>
          </cell>
          <cell r="BF121">
            <v>5.6971528582030073</v>
          </cell>
          <cell r="BG121">
            <v>5.6936606002399879</v>
          </cell>
          <cell r="BH121">
            <v>5.6901064013334981</v>
          </cell>
          <cell r="BI121">
            <v>5.68649149746284</v>
          </cell>
        </row>
        <row r="122">
          <cell r="B122">
            <v>5.6500416513046456</v>
          </cell>
          <cell r="C122">
            <v>5.7179345228442342</v>
          </cell>
          <cell r="D122">
            <v>5.7466798035336515</v>
          </cell>
          <cell r="E122">
            <v>5.7639011666379494</v>
          </cell>
          <cell r="F122">
            <v>5.7752566398986032</v>
          </cell>
          <cell r="G122">
            <v>5.7827440017548168</v>
          </cell>
          <cell r="H122">
            <v>5.7874126082483235</v>
          </cell>
          <cell r="I122">
            <v>5.7899848460662025</v>
          </cell>
          <cell r="J122">
            <v>5.7908562330534785</v>
          </cell>
          <cell r="K122">
            <v>5.7902496619950377</v>
          </cell>
          <cell r="L122">
            <v>5.7883936119212303</v>
          </cell>
          <cell r="M122">
            <v>5.785604315521895</v>
          </cell>
          <cell r="N122">
            <v>5.7822519868636366</v>
          </cell>
          <cell r="O122">
            <v>5.7786617190607172</v>
          </cell>
          <cell r="P122">
            <v>5.7750484826537676</v>
          </cell>
          <cell r="Q122">
            <v>5.7715440475285984</v>
          </cell>
          <cell r="R122">
            <v>5.7682224044023611</v>
          </cell>
          <cell r="S122">
            <v>5.7651190452015939</v>
          </cell>
          <cell r="T122">
            <v>5.7622422917867979</v>
          </cell>
          <cell r="U122">
            <v>5.7595801105155511</v>
          </cell>
          <cell r="V122">
            <v>5.7571051407914178</v>
          </cell>
          <cell r="W122">
            <v>5.7547830157105935</v>
          </cell>
          <cell r="X122">
            <v>5.7525824676501669</v>
          </cell>
          <cell r="Y122">
            <v>5.7504762905901821</v>
          </cell>
          <cell r="Z122">
            <v>5.74844053147498</v>
          </cell>
          <cell r="AA122">
            <v>5.746453864643148</v>
          </cell>
          <cell r="AB122">
            <v>5.744497105371007</v>
          </cell>
          <cell r="AC122">
            <v>5.7425529588671189</v>
          </cell>
          <cell r="AD122">
            <v>5.7406065060593061</v>
          </cell>
          <cell r="AE122">
            <v>5.7386453185710078</v>
          </cell>
          <cell r="AF122">
            <v>5.7366590468306118</v>
          </cell>
          <cell r="AG122">
            <v>5.7346390241040597</v>
          </cell>
          <cell r="AH122">
            <v>5.7325779957887848</v>
          </cell>
          <cell r="AI122">
            <v>5.7304699116802151</v>
          </cell>
          <cell r="AJ122">
            <v>5.7283097539149042</v>
          </cell>
          <cell r="AK122">
            <v>5.7260933939419099</v>
          </cell>
          <cell r="AL122">
            <v>5.7238174830238933</v>
          </cell>
          <cell r="AM122">
            <v>5.7214793701861524</v>
          </cell>
          <cell r="AN122">
            <v>5.7190770169701066</v>
          </cell>
          <cell r="AO122">
            <v>5.7166089208820425</v>
          </cell>
          <cell r="AP122">
            <v>5.7140740499794278</v>
          </cell>
          <cell r="AQ122">
            <v>5.7114717699353363</v>
          </cell>
          <cell r="AR122">
            <v>5.7088017177814603</v>
          </cell>
          <cell r="AS122">
            <v>5.7060637308869122</v>
          </cell>
          <cell r="AT122">
            <v>5.7032578234017164</v>
          </cell>
          <cell r="AU122">
            <v>5.7003841670415021</v>
          </cell>
          <cell r="AV122">
            <v>5.6974430743252018</v>
          </cell>
          <cell r="AW122">
            <v>5.6944349839080388</v>
          </cell>
          <cell r="AX122">
            <v>5.6913604477104762</v>
          </cell>
          <cell r="AY122">
            <v>5.6882201179302125</v>
          </cell>
          <cell r="AZ122">
            <v>5.685014721180158</v>
          </cell>
          <cell r="BA122">
            <v>5.6817450368825995</v>
          </cell>
          <cell r="BB122">
            <v>5.678411891136995</v>
          </cell>
          <cell r="BC122">
            <v>5.6750161523980269</v>
          </cell>
          <cell r="BD122">
            <v>5.6715587276251114</v>
          </cell>
          <cell r="BE122">
            <v>5.6680405588444893</v>
          </cell>
          <cell r="BF122">
            <v>5.6644626216391503</v>
          </cell>
          <cell r="BG122">
            <v>5.6608259371964795</v>
          </cell>
          <cell r="BH122">
            <v>5.6571315818015666</v>
          </cell>
          <cell r="BI122">
            <v>5.653380683296179</v>
          </cell>
        </row>
        <row r="123">
          <cell r="B123">
            <v>5.6588705077886745</v>
          </cell>
          <cell r="C123">
            <v>5.7221678640694149</v>
          </cell>
          <cell r="D123">
            <v>5.7493435410569571</v>
          </cell>
          <cell r="E123">
            <v>5.7651232435893229</v>
          </cell>
          <cell r="F123">
            <v>5.7746536264211414</v>
          </cell>
          <cell r="G123">
            <v>5.7800211192684188</v>
          </cell>
          <cell r="H123">
            <v>5.7825333293081931</v>
          </cell>
          <cell r="I123">
            <v>5.7830988881311969</v>
          </cell>
          <cell r="J123">
            <v>5.782172048070521</v>
          </cell>
          <cell r="K123">
            <v>5.7799679306839078</v>
          </cell>
          <cell r="L123">
            <v>5.7766878690739896</v>
          </cell>
          <cell r="M123">
            <v>5.7726236591251281</v>
          </cell>
          <cell r="N123">
            <v>5.7681240845605677</v>
          </cell>
          <cell r="O123">
            <v>5.7634964715943662</v>
          </cell>
          <cell r="P123">
            <v>5.7589422016210996</v>
          </cell>
          <cell r="Q123">
            <v>5.7545824919695061</v>
          </cell>
          <cell r="R123">
            <v>5.7504829023850581</v>
          </cell>
          <cell r="S123">
            <v>5.7466717164425098</v>
          </cell>
          <cell r="T123">
            <v>5.7431507558865782</v>
          </cell>
          <cell r="U123">
            <v>5.7399020117808659</v>
          </cell>
          <cell r="V123">
            <v>5.7368925903587558</v>
          </cell>
          <cell r="W123">
            <v>5.7340833709772498</v>
          </cell>
          <cell r="X123">
            <v>5.7314390709445719</v>
          </cell>
          <cell r="Y123">
            <v>5.7289289479467147</v>
          </cell>
          <cell r="Z123">
            <v>5.7265258942975779</v>
          </cell>
          <cell r="AA123">
            <v>5.7242057379720679</v>
          </cell>
          <cell r="AB123">
            <v>5.7219466991587522</v>
          </cell>
          <cell r="AC123">
            <v>5.7197291186451293</v>
          </cell>
          <cell r="AD123">
            <v>5.7175359752088344</v>
          </cell>
          <cell r="AE123">
            <v>5.7153529632931592</v>
          </cell>
          <cell r="AF123">
            <v>5.7131680399516895</v>
          </cell>
          <cell r="AG123">
            <v>5.7109710003057703</v>
          </cell>
          <cell r="AH123">
            <v>5.7087531845750679</v>
          </cell>
          <cell r="AI123">
            <v>5.7065072508118186</v>
          </cell>
          <cell r="AJ123">
            <v>5.7042269866390258</v>
          </cell>
          <cell r="AK123">
            <v>5.7019071529985261</v>
          </cell>
          <cell r="AL123">
            <v>5.6995433695118471</v>
          </cell>
          <cell r="AM123">
            <v>5.6971320317392538</v>
          </cell>
          <cell r="AN123">
            <v>5.6946702174046511</v>
          </cell>
          <cell r="AO123">
            <v>5.6921556011378183</v>
          </cell>
          <cell r="AP123">
            <v>5.6895863816085148</v>
          </cell>
          <cell r="AQ123">
            <v>5.686961201956314</v>
          </cell>
          <cell r="AR123">
            <v>5.6842790231492089</v>
          </cell>
          <cell r="AS123">
            <v>5.6815390528498799</v>
          </cell>
          <cell r="AT123">
            <v>5.6787407170149606</v>
          </cell>
          <cell r="AU123">
            <v>5.6758836361674394</v>
          </cell>
          <cell r="AV123">
            <v>5.6729676046981057</v>
          </cell>
          <cell r="AW123">
            <v>5.6699925727543228</v>
          </cell>
          <cell r="AX123">
            <v>5.6669586303464721</v>
          </cell>
          <cell r="AY123">
            <v>5.6638659917321119</v>
          </cell>
          <cell r="AZ123">
            <v>5.6607149689170742</v>
          </cell>
          <cell r="BA123">
            <v>5.6575059502505463</v>
          </cell>
          <cell r="BB123">
            <v>5.6542393923582193</v>
          </cell>
          <cell r="BC123">
            <v>5.6509158138204016</v>
          </cell>
          <cell r="BD123">
            <v>5.6475357895397726</v>
          </cell>
          <cell r="BE123">
            <v>5.6440999457126342</v>
          </cell>
          <cell r="BF123">
            <v>5.6406089569666795</v>
          </cell>
          <cell r="BG123">
            <v>5.6370635564346419</v>
          </cell>
          <cell r="BH123">
            <v>5.6334645426614331</v>
          </cell>
          <cell r="BI123">
            <v>5.6298127749984239</v>
          </cell>
        </row>
        <row r="124">
          <cell r="B124">
            <v>5.6665205907483864</v>
          </cell>
          <cell r="C124">
            <v>5.7253157539850799</v>
          </cell>
          <cell r="D124">
            <v>5.7531243768228997</v>
          </cell>
          <cell r="E124">
            <v>5.7686469643105411</v>
          </cell>
          <cell r="F124">
            <v>5.776381489129597</v>
          </cell>
          <cell r="G124">
            <v>5.7788451127458567</v>
          </cell>
          <cell r="H124">
            <v>5.7780033467551348</v>
          </cell>
          <cell r="I124">
            <v>5.7752091284516043</v>
          </cell>
          <cell r="J124">
            <v>5.771109128614377</v>
          </cell>
          <cell r="K124">
            <v>5.7659744893225904</v>
          </cell>
          <cell r="L124">
            <v>5.7600071775193546</v>
          </cell>
          <cell r="M124">
            <v>5.7534913002604577</v>
          </cell>
          <cell r="N124">
            <v>5.7467649938130316</v>
          </cell>
          <cell r="O124">
            <v>5.740122697935659</v>
          </cell>
          <cell r="P124">
            <v>5.7337510769534008</v>
          </cell>
          <cell r="Q124">
            <v>5.7277553482777499</v>
          </cell>
          <cell r="R124">
            <v>5.722184551708791</v>
          </cell>
          <cell r="S124">
            <v>5.7170509830331602</v>
          </cell>
          <cell r="T124">
            <v>5.7123410849919933</v>
          </cell>
          <cell r="U124">
            <v>5.7080219265322194</v>
          </cell>
          <cell r="V124">
            <v>5.704046116294446</v>
          </cell>
          <cell r="W124">
            <v>5.7003613798498556</v>
          </cell>
          <cell r="X124">
            <v>5.6969212927535082</v>
          </cell>
          <cell r="Y124">
            <v>5.6936855944497706</v>
          </cell>
          <cell r="Z124">
            <v>5.6906189569982208</v>
          </cell>
          <cell r="AA124">
            <v>5.6876900364937999</v>
          </cell>
          <cell r="AB124">
            <v>5.6848707356719173</v>
          </cell>
          <cell r="AC124">
            <v>5.6821358272131439</v>
          </cell>
          <cell r="AD124">
            <v>5.6794635187266431</v>
          </cell>
          <cell r="AE124">
            <v>5.6768354574730839</v>
          </cell>
          <cell r="AF124">
            <v>5.6742361395529946</v>
          </cell>
          <cell r="AG124">
            <v>5.6716523616494374</v>
          </cell>
          <cell r="AH124">
            <v>5.6690728530971528</v>
          </cell>
          <cell r="AI124">
            <v>5.6664879916262105</v>
          </cell>
          <cell r="AJ124">
            <v>5.6638895678769545</v>
          </cell>
          <cell r="AK124">
            <v>5.6612705899404814</v>
          </cell>
          <cell r="AL124">
            <v>5.6586251372143881</v>
          </cell>
          <cell r="AM124">
            <v>5.6559482500553502</v>
          </cell>
          <cell r="AN124">
            <v>5.6532358118898154</v>
          </cell>
          <cell r="AO124">
            <v>5.6504844438382111</v>
          </cell>
          <cell r="AP124">
            <v>5.6476914146370563</v>
          </cell>
          <cell r="AQ124">
            <v>5.6448545428944117</v>
          </cell>
          <cell r="AR124">
            <v>5.6419720500003026</v>
          </cell>
          <cell r="AS124">
            <v>5.6390424782364397</v>
          </cell>
          <cell r="AT124">
            <v>5.6360646542327721</v>
          </cell>
          <cell r="AU124">
            <v>5.6330376580600783</v>
          </cell>
          <cell r="AV124">
            <v>5.6299607962681684</v>
          </cell>
          <cell r="AW124">
            <v>5.6268335782943222</v>
          </cell>
          <cell r="AX124">
            <v>5.6236556957603074</v>
          </cell>
          <cell r="AY124">
            <v>5.620427002118654</v>
          </cell>
          <cell r="AZ124">
            <v>5.61714747967536</v>
          </cell>
          <cell r="BA124">
            <v>5.6138172138522284</v>
          </cell>
          <cell r="BB124">
            <v>5.610436382591466</v>
          </cell>
          <cell r="BC124">
            <v>5.6070052477889716</v>
          </cell>
          <cell r="BD124">
            <v>5.6035241476621831</v>
          </cell>
          <cell r="BE124">
            <v>5.5999934899358328</v>
          </cell>
          <cell r="BF124">
            <v>5.5964137475872668</v>
          </cell>
          <cell r="BG124">
            <v>5.5927854678710762</v>
          </cell>
          <cell r="BH124">
            <v>5.5891092773859476</v>
          </cell>
          <cell r="BI124">
            <v>5.5853858761941249</v>
          </cell>
        </row>
        <row r="125">
          <cell r="B125">
            <v>5.6840087846323302</v>
          </cell>
          <cell r="C125">
            <v>5.7428339172755853</v>
          </cell>
          <cell r="D125">
            <v>5.7699625715901046</v>
          </cell>
          <cell r="E125">
            <v>5.7847642470961373</v>
          </cell>
          <cell r="F125">
            <v>5.7915204736854928</v>
          </cell>
          <cell r="G125">
            <v>5.7928736087966399</v>
          </cell>
          <cell r="H125">
            <v>5.7910453991282473</v>
          </cell>
          <cell r="I125">
            <v>5.7875677670228214</v>
          </cell>
          <cell r="J125">
            <v>5.7831218224282841</v>
          </cell>
          <cell r="K125">
            <v>5.7779423086482851</v>
          </cell>
          <cell r="L125">
            <v>5.7721731143710731</v>
          </cell>
          <cell r="M125">
            <v>5.7660316419839921</v>
          </cell>
          <cell r="N125">
            <v>5.7597866730141627</v>
          </cell>
          <cell r="O125">
            <v>5.7536785847905678</v>
          </cell>
          <cell r="P125">
            <v>5.747857716688153</v>
          </cell>
          <cell r="Q125">
            <v>5.7424045168741555</v>
          </cell>
          <cell r="R125">
            <v>5.7373515568499691</v>
          </cell>
          <cell r="S125">
            <v>5.7327007701074733</v>
          </cell>
          <cell r="T125">
            <v>5.7284326794883498</v>
          </cell>
          <cell r="U125">
            <v>5.7245117624542665</v>
          </cell>
          <cell r="V125">
            <v>5.720890598342895</v>
          </cell>
          <cell r="W125">
            <v>5.7175186834655429</v>
          </cell>
          <cell r="X125">
            <v>5.7143518494166479</v>
          </cell>
          <cell r="Y125">
            <v>5.7113522156607885</v>
          </cell>
          <cell r="Z125">
            <v>5.7084869326835843</v>
          </cell>
          <cell r="AA125">
            <v>5.7057272144876423</v>
          </cell>
          <cell r="AB125">
            <v>5.7030475865960248</v>
          </cell>
          <cell r="AC125">
            <v>5.7004254766050728</v>
          </cell>
          <cell r="AD125">
            <v>5.6978415878469741</v>
          </cell>
          <cell r="AE125">
            <v>5.6952797952798813</v>
          </cell>
          <cell r="AF125">
            <v>5.6927265817647434</v>
          </cell>
          <cell r="AG125">
            <v>5.6901705195404091</v>
          </cell>
          <cell r="AH125">
            <v>5.687601934481334</v>
          </cell>
          <cell r="AI125">
            <v>5.6850126481815515</v>
          </cell>
          <cell r="AJ125">
            <v>5.6823957642804368</v>
          </cell>
          <cell r="AK125">
            <v>5.6797454909141276</v>
          </cell>
          <cell r="AL125">
            <v>5.6770570022418134</v>
          </cell>
          <cell r="AM125">
            <v>5.6743263280548417</v>
          </cell>
          <cell r="AN125">
            <v>5.6715502467439141</v>
          </cell>
          <cell r="AO125">
            <v>5.6687261917266438</v>
          </cell>
          <cell r="AP125">
            <v>5.6658521714040369</v>
          </cell>
          <cell r="AQ125">
            <v>5.6629266781060137</v>
          </cell>
          <cell r="AR125">
            <v>5.6599485476853433</v>
          </cell>
          <cell r="AS125">
            <v>5.6569168865135691</v>
          </cell>
          <cell r="AT125">
            <v>5.6538310407018066</v>
          </cell>
          <cell r="AU125">
            <v>5.6506905700420953</v>
          </cell>
          <cell r="AV125">
            <v>5.6474952252753834</v>
          </cell>
          <cell r="AW125">
            <v>5.6442449282010188</v>
          </cell>
          <cell r="AX125">
            <v>5.6409397542212369</v>
          </cell>
          <cell r="AY125">
            <v>5.637579914409045</v>
          </cell>
          <cell r="AZ125">
            <v>5.6341657233819182</v>
          </cell>
          <cell r="BA125">
            <v>5.6306975756853657</v>
          </cell>
          <cell r="BB125">
            <v>5.6271759374537451</v>
          </cell>
          <cell r="BC125">
            <v>5.623601339781672</v>
          </cell>
          <cell r="BD125">
            <v>5.6199743728185352</v>
          </cell>
          <cell r="BE125">
            <v>5.6162956804962141</v>
          </cell>
          <cell r="BF125">
            <v>5.6125659577186235</v>
          </cell>
          <cell r="BG125">
            <v>5.6087859598422627</v>
          </cell>
          <cell r="BH125">
            <v>5.6049565075746619</v>
          </cell>
          <cell r="BI125">
            <v>5.6010784821097701</v>
          </cell>
        </row>
        <row r="126">
          <cell r="B126">
            <v>5.7819067035904652</v>
          </cell>
          <cell r="C126">
            <v>5.7965631713414965</v>
          </cell>
          <cell r="D126">
            <v>5.8070106481566466</v>
          </cell>
          <cell r="E126">
            <v>5.8132529842396918</v>
          </cell>
          <cell r="F126">
            <v>5.8155375738282364</v>
          </cell>
          <cell r="G126">
            <v>5.8148505602863416</v>
          </cell>
          <cell r="H126">
            <v>5.812410492613596</v>
          </cell>
          <cell r="I126">
            <v>5.8090945874097981</v>
          </cell>
          <cell r="J126">
            <v>5.8051828691076119</v>
          </cell>
          <cell r="K126">
            <v>5.8006786782042576</v>
          </cell>
          <cell r="L126">
            <v>5.79561004275216</v>
          </cell>
          <cell r="M126">
            <v>5.7901406754462634</v>
          </cell>
          <cell r="N126">
            <v>5.7845236975082424</v>
          </cell>
          <cell r="O126">
            <v>5.7789976402238139</v>
          </cell>
          <cell r="P126">
            <v>5.7737136710051811</v>
          </cell>
          <cell r="Q126">
            <v>5.7687549445653943</v>
          </cell>
          <cell r="R126">
            <v>5.7641579314306588</v>
          </cell>
          <cell r="S126">
            <v>5.7599282484565313</v>
          </cell>
          <cell r="T126">
            <v>5.7560494480476452</v>
          </cell>
          <cell r="U126">
            <v>5.7524885379506028</v>
          </cell>
          <cell r="V126">
            <v>5.7492004310030618</v>
          </cell>
          <cell r="W126">
            <v>5.7461376494308656</v>
          </cell>
          <cell r="X126">
            <v>5.7432588872279737</v>
          </cell>
          <cell r="Y126">
            <v>5.7405286214668418</v>
          </cell>
          <cell r="Z126">
            <v>5.7379159557180026</v>
          </cell>
          <cell r="AA126">
            <v>5.7353937303389024</v>
          </cell>
          <cell r="AB126">
            <v>5.7329378321644402</v>
          </cell>
          <cell r="AC126">
            <v>5.7305269025146286</v>
          </cell>
          <cell r="AD126">
            <v>5.7281428141153556</v>
          </cell>
          <cell r="AE126">
            <v>5.7257705159749239</v>
          </cell>
          <cell r="AF126">
            <v>5.7233974441307609</v>
          </cell>
          <cell r="AG126">
            <v>5.7210129971378763</v>
          </cell>
          <cell r="AH126">
            <v>5.7186082206099966</v>
          </cell>
          <cell r="AI126">
            <v>5.7161755650002473</v>
          </cell>
          <cell r="AJ126">
            <v>5.7137086849098093</v>
          </cell>
          <cell r="AK126">
            <v>5.7112022727082712</v>
          </cell>
          <cell r="AL126">
            <v>5.7086519313701523</v>
          </cell>
          <cell r="AM126">
            <v>5.706054071011061</v>
          </cell>
          <cell r="AN126">
            <v>5.7034058074104665</v>
          </cell>
          <cell r="AO126">
            <v>5.7007048738039403</v>
          </cell>
          <cell r="AP126">
            <v>5.6979495452001157</v>
          </cell>
          <cell r="AQ126">
            <v>5.6951385454304129</v>
          </cell>
          <cell r="AR126">
            <v>5.6922709108533622</v>
          </cell>
          <cell r="AS126">
            <v>5.689345927679839</v>
          </cell>
          <cell r="AT126">
            <v>5.686363103862246</v>
          </cell>
          <cell r="AU126">
            <v>5.6833221449921734</v>
          </cell>
          <cell r="AV126">
            <v>5.6802229332749565</v>
          </cell>
          <cell r="AW126">
            <v>5.6770655091324072</v>
          </cell>
          <cell r="AX126">
            <v>5.6738500550530704</v>
          </cell>
          <cell r="AY126">
            <v>5.6705768776494381</v>
          </cell>
          <cell r="AZ126">
            <v>5.6672463744682329</v>
          </cell>
          <cell r="BA126">
            <v>5.6638590129748154</v>
          </cell>
          <cell r="BB126">
            <v>5.660415323445867</v>
          </cell>
          <cell r="BC126">
            <v>5.6569158931535259</v>
          </cell>
          <cell r="BD126">
            <v>5.6533613611839835</v>
          </cell>
          <cell r="BE126">
            <v>5.6497524138149711</v>
          </cell>
          <cell r="BF126">
            <v>5.646089783009522</v>
          </cell>
          <cell r="BG126">
            <v>5.6423742572699007</v>
          </cell>
          <cell r="BH126">
            <v>5.6386066854724177</v>
          </cell>
          <cell r="BI126">
            <v>5.6347879721943936</v>
          </cell>
        </row>
        <row r="127">
          <cell r="B127">
            <v>5.7910031194053646</v>
          </cell>
          <cell r="C127">
            <v>5.7953082893004675</v>
          </cell>
          <cell r="D127">
            <v>5.8025384657483645</v>
          </cell>
          <cell r="E127">
            <v>5.8059694808629301</v>
          </cell>
          <cell r="F127">
            <v>5.805644658818518</v>
          </cell>
          <cell r="G127">
            <v>5.8025661309621679</v>
          </cell>
          <cell r="H127">
            <v>5.7978992789497914</v>
          </cell>
          <cell r="I127">
            <v>5.7924277978495047</v>
          </cell>
          <cell r="J127">
            <v>5.7863682544888784</v>
          </cell>
          <cell r="K127">
            <v>5.7796960792722158</v>
          </cell>
          <cell r="L127">
            <v>5.772448089871844</v>
          </cell>
          <cell r="M127">
            <v>5.764821789055472</v>
          </cell>
          <cell r="N127">
            <v>5.7571167096850679</v>
          </cell>
          <cell r="O127">
            <v>5.749609366020886</v>
          </cell>
          <cell r="P127">
            <v>5.7424720744451774</v>
          </cell>
          <cell r="Q127">
            <v>5.7357972473925933</v>
          </cell>
          <cell r="R127">
            <v>5.7296228193790713</v>
          </cell>
          <cell r="S127">
            <v>5.7239512452154981</v>
          </cell>
          <cell r="T127">
            <v>5.7187596716632321</v>
          </cell>
          <cell r="U127">
            <v>5.7140062679332244</v>
          </cell>
          <cell r="V127">
            <v>5.709635427080995</v>
          </cell>
          <cell r="W127">
            <v>5.7055893192903939</v>
          </cell>
          <cell r="X127">
            <v>5.7018174453742256</v>
          </cell>
          <cell r="Y127">
            <v>5.6982760329431761</v>
          </cell>
          <cell r="Z127">
            <v>5.6949266910524949</v>
          </cell>
          <cell r="AA127">
            <v>5.691735375308812</v>
          </cell>
          <cell r="AB127">
            <v>5.6886715858803587</v>
          </cell>
          <cell r="AC127">
            <v>5.6857080797467923</v>
          </cell>
          <cell r="AD127">
            <v>5.6828215150253838</v>
          </cell>
          <cell r="AE127">
            <v>5.6799922521503854</v>
          </cell>
          <cell r="AF127">
            <v>5.6772036584844034</v>
          </cell>
          <cell r="AG127">
            <v>5.6744415054254169</v>
          </cell>
          <cell r="AH127">
            <v>5.671693587943607</v>
          </cell>
          <cell r="AI127">
            <v>5.6689494269954253</v>
          </cell>
          <cell r="AJ127">
            <v>5.6662000229541318</v>
          </cell>
          <cell r="AK127">
            <v>5.6634376524277501</v>
          </cell>
          <cell r="AL127">
            <v>5.6606557271433076</v>
          </cell>
          <cell r="AM127">
            <v>5.6578486810888524</v>
          </cell>
          <cell r="AN127">
            <v>5.6550118435366059</v>
          </cell>
          <cell r="AO127">
            <v>5.6521413271325693</v>
          </cell>
          <cell r="AP127">
            <v>5.6492339319073279</v>
          </cell>
          <cell r="AQ127">
            <v>5.646287035162163</v>
          </cell>
          <cell r="AR127">
            <v>5.6432984467939944</v>
          </cell>
          <cell r="AS127">
            <v>5.6402663369247108</v>
          </cell>
          <cell r="AT127">
            <v>5.637189195629893</v>
          </cell>
          <cell r="AU127">
            <v>5.634065798161239</v>
          </cell>
          <cell r="AV127">
            <v>5.6308951746086748</v>
          </cell>
          <cell r="AW127">
            <v>5.627676583354714</v>
          </cell>
          <cell r="AX127">
            <v>5.6244094877710769</v>
          </cell>
          <cell r="AY127">
            <v>5.621093531853516</v>
          </cell>
          <cell r="AZ127">
            <v>5.6177285025320689</v>
          </cell>
          <cell r="BA127">
            <v>5.6143143050817432</v>
          </cell>
          <cell r="BB127">
            <v>5.6108509515580662</v>
          </cell>
          <cell r="BC127">
            <v>5.6073385509100024</v>
          </cell>
          <cell r="BD127">
            <v>5.6037773001714539</v>
          </cell>
          <cell r="BE127">
            <v>5.6001674766027856</v>
          </cell>
          <cell r="BF127">
            <v>5.5965094335720691</v>
          </cell>
          <cell r="BG127">
            <v>5.5928036090754567</v>
          </cell>
          <cell r="BH127">
            <v>5.5890505267517758</v>
          </cell>
          <cell r="BI127">
            <v>5.5852507890469818</v>
          </cell>
        </row>
        <row r="128">
          <cell r="B128">
            <v>5.7791829728449802</v>
          </cell>
          <cell r="C128">
            <v>5.7922312799897959</v>
          </cell>
          <cell r="D128">
            <v>5.8045149178793931</v>
          </cell>
          <cell r="E128">
            <v>5.8113323481643224</v>
          </cell>
          <cell r="F128">
            <v>5.8125869009734252</v>
          </cell>
          <cell r="G128">
            <v>5.8097094686438302</v>
          </cell>
          <cell r="H128">
            <v>5.8045286651288652</v>
          </cell>
          <cell r="I128">
            <v>5.7983678479458263</v>
          </cell>
          <cell r="J128">
            <v>5.7917139622934162</v>
          </cell>
          <cell r="K128">
            <v>5.7846688584397015</v>
          </cell>
          <cell r="L128">
            <v>5.7773187581905363</v>
          </cell>
          <cell r="M128">
            <v>5.7698604353612257</v>
          </cell>
          <cell r="N128">
            <v>5.762562296948067</v>
          </cell>
          <cell r="O128">
            <v>5.7556607654740946</v>
          </cell>
          <cell r="P128">
            <v>5.7492926923088126</v>
          </cell>
          <cell r="Q128">
            <v>5.7435192444819068</v>
          </cell>
          <cell r="R128">
            <v>5.7383511727690077</v>
          </cell>
          <cell r="S128">
            <v>5.733768432737838</v>
          </cell>
          <cell r="T128">
            <v>5.729729407237901</v>
          </cell>
          <cell r="U128">
            <v>5.7261763030154231</v>
          </cell>
          <cell r="V128">
            <v>5.7230398086188874</v>
          </cell>
          <cell r="W128">
            <v>5.7202507365437567</v>
          </cell>
          <cell r="X128">
            <v>5.7177490475901616</v>
          </cell>
          <cell r="Y128">
            <v>5.7154827846783416</v>
          </cell>
          <cell r="Z128">
            <v>5.7134064564247886</v>
          </cell>
          <cell r="AA128">
            <v>5.7114797937391186</v>
          </cell>
          <cell r="AB128">
            <v>5.7096667871691285</v>
          </cell>
          <cell r="AC128">
            <v>5.7079353481212634</v>
          </cell>
          <cell r="AD128">
            <v>5.7062579971279259</v>
          </cell>
          <cell r="AE128">
            <v>5.7046115712989742</v>
          </cell>
          <cell r="AF128">
            <v>5.7029764545916128</v>
          </cell>
          <cell r="AG128">
            <v>5.7013359294717834</v>
          </cell>
          <cell r="AH128">
            <v>5.6996757272671701</v>
          </cell>
          <cell r="AI128">
            <v>5.6979836680401297</v>
          </cell>
          <cell r="AJ128">
            <v>5.6962493621970296</v>
          </cell>
          <cell r="AK128">
            <v>5.6944639665745829</v>
          </cell>
          <cell r="AL128">
            <v>5.6926200341933049</v>
          </cell>
          <cell r="AM128">
            <v>5.6907113942110428</v>
          </cell>
          <cell r="AN128">
            <v>5.6887329948094152</v>
          </cell>
          <cell r="AO128">
            <v>5.6866807633158638</v>
          </cell>
          <cell r="AP128">
            <v>5.6845514866149554</v>
          </cell>
          <cell r="AQ128">
            <v>5.682342699329773</v>
          </cell>
          <cell r="AR128">
            <v>5.6800525727189699</v>
          </cell>
          <cell r="AS128">
            <v>5.6776798356358782</v>
          </cell>
          <cell r="AT128">
            <v>5.6752237125159137</v>
          </cell>
          <cell r="AU128">
            <v>5.6726838695089556</v>
          </cell>
          <cell r="AV128">
            <v>5.6700603674884436</v>
          </cell>
          <cell r="AW128">
            <v>5.6673536209339304</v>
          </cell>
          <cell r="AX128">
            <v>5.6645643553646066</v>
          </cell>
          <cell r="AY128">
            <v>5.6616935232589789</v>
          </cell>
          <cell r="AZ128">
            <v>5.6587422398465961</v>
          </cell>
          <cell r="BA128">
            <v>5.6557117646713797</v>
          </cell>
          <cell r="BB128">
            <v>5.6526034879770553</v>
          </cell>
          <cell r="BC128">
            <v>5.6494189186053223</v>
          </cell>
          <cell r="BD128">
            <v>5.6461596732142132</v>
          </cell>
          <cell r="BE128">
            <v>5.6428274666265059</v>
          </cell>
          <cell r="BF128">
            <v>5.6394240950119716</v>
          </cell>
          <cell r="BG128">
            <v>5.635951389816209</v>
          </cell>
          <cell r="BH128">
            <v>5.6324111950410716</v>
          </cell>
          <cell r="BI128">
            <v>5.6288053655580166</v>
          </cell>
        </row>
        <row r="129">
          <cell r="B129">
            <v>5.7590742308752381</v>
          </cell>
          <cell r="C129">
            <v>5.7878957878652706</v>
          </cell>
          <cell r="D129">
            <v>5.8090613279266901</v>
          </cell>
          <cell r="E129">
            <v>5.8224196000163015</v>
          </cell>
          <cell r="F129">
            <v>5.828817046001106</v>
          </cell>
          <cell r="G129">
            <v>5.8300281928709961</v>
          </cell>
          <cell r="H129">
            <v>5.8280570754970107</v>
          </cell>
          <cell r="I129">
            <v>5.824360612037399</v>
          </cell>
          <cell r="J129">
            <v>5.8195578127303076</v>
          </cell>
          <cell r="K129">
            <v>5.8138871851895457</v>
          </cell>
          <cell r="L129">
            <v>5.8075544553327312</v>
          </cell>
          <cell r="M129">
            <v>5.800845764801676</v>
          </cell>
          <cell r="N129">
            <v>5.7940982053973666</v>
          </cell>
          <cell r="O129">
            <v>5.7876001346956709</v>
          </cell>
          <cell r="P129">
            <v>5.7815257096374104</v>
          </cell>
          <cell r="Q129">
            <v>5.7759630424655297</v>
          </cell>
          <cell r="R129">
            <v>5.7709427200251859</v>
          </cell>
          <cell r="S129">
            <v>5.7664593616293489</v>
          </cell>
          <cell r="T129">
            <v>5.7624821072394035</v>
          </cell>
          <cell r="U129">
            <v>5.758960989521074</v>
          </cell>
          <cell r="V129">
            <v>5.7558324278138198</v>
          </cell>
          <cell r="W129">
            <v>5.7530319327698276</v>
          </cell>
          <cell r="X129">
            <v>5.7505032813090962</v>
          </cell>
          <cell r="Y129">
            <v>5.74819755218273</v>
          </cell>
          <cell r="Z129">
            <v>5.7460716656067206</v>
          </cell>
          <cell r="AA129">
            <v>5.7440872599033073</v>
          </cell>
          <cell r="AB129">
            <v>5.7422098241352799</v>
          </cell>
          <cell r="AC129">
            <v>5.7404085064901214</v>
          </cell>
          <cell r="AD129">
            <v>5.7386569697520464</v>
          </cell>
          <cell r="AE129">
            <v>5.7369331152215945</v>
          </cell>
          <cell r="AF129">
            <v>5.7352182763907544</v>
          </cell>
          <cell r="AG129">
            <v>5.7334965432350504</v>
          </cell>
          <cell r="AH129">
            <v>5.7317543304103689</v>
          </cell>
          <cell r="AI129">
            <v>5.7299800353881469</v>
          </cell>
          <cell r="AJ129">
            <v>5.7281637551959959</v>
          </cell>
          <cell r="AK129">
            <v>5.7262970559889483</v>
          </cell>
          <cell r="AL129">
            <v>5.724372837629315</v>
          </cell>
          <cell r="AM129">
            <v>5.7223852218864213</v>
          </cell>
          <cell r="AN129">
            <v>5.72032940169745</v>
          </cell>
          <cell r="AO129">
            <v>5.71820150727146</v>
          </cell>
          <cell r="AP129">
            <v>5.7159984915890085</v>
          </cell>
          <cell r="AQ129">
            <v>5.7137180235135645</v>
          </cell>
          <cell r="AR129">
            <v>5.7113583834129367</v>
          </cell>
          <cell r="AS129">
            <v>5.7089183882496517</v>
          </cell>
          <cell r="AT129">
            <v>5.7063973319221821</v>
          </cell>
          <cell r="AU129">
            <v>5.7037949334240876</v>
          </cell>
          <cell r="AV129">
            <v>5.7011112916211246</v>
          </cell>
          <cell r="AW129">
            <v>5.6983468456799136</v>
          </cell>
          <cell r="AX129">
            <v>5.6955023330783527</v>
          </cell>
          <cell r="AY129">
            <v>5.6925787054963317</v>
          </cell>
          <cell r="AZ129">
            <v>5.6895770677786777</v>
          </cell>
          <cell r="BA129">
            <v>5.6864986608086916</v>
          </cell>
          <cell r="BB129">
            <v>5.683344848674329</v>
          </cell>
          <cell r="BC129">
            <v>5.6801171072603633</v>
          </cell>
          <cell r="BD129">
            <v>5.6768170140850405</v>
          </cell>
          <cell r="BE129">
            <v>5.6734462391874088</v>
          </cell>
          <cell r="BF129">
            <v>5.6700065278870717</v>
          </cell>
          <cell r="BG129">
            <v>5.6664996542485815</v>
          </cell>
          <cell r="BH129">
            <v>5.6629273998274403</v>
          </cell>
          <cell r="BI129">
            <v>5.6592915525106999</v>
          </cell>
        </row>
        <row r="130">
          <cell r="B130">
            <v>5.7589312166845055</v>
          </cell>
          <cell r="C130">
            <v>5.795916973090927</v>
          </cell>
          <cell r="D130">
            <v>5.8192008461813352</v>
          </cell>
          <cell r="E130">
            <v>5.8336236230149572</v>
          </cell>
          <cell r="F130">
            <v>5.8409121049067423</v>
          </cell>
          <cell r="G130">
            <v>5.8430447972876962</v>
          </cell>
          <cell r="H130">
            <v>5.8419973428913963</v>
          </cell>
          <cell r="I130">
            <v>5.839158245005823</v>
          </cell>
          <cell r="J130">
            <v>5.8350868843610719</v>
          </cell>
          <cell r="K130">
            <v>5.8300038314524114</v>
          </cell>
          <cell r="L130">
            <v>5.8241278965635805</v>
          </cell>
          <cell r="M130">
            <v>5.8177584283369335</v>
          </cell>
          <cell r="N130">
            <v>5.8112469805865894</v>
          </cell>
          <cell r="O130">
            <v>5.8049029927986595</v>
          </cell>
          <cell r="P130">
            <v>5.7989202432930504</v>
          </cell>
          <cell r="Q130">
            <v>5.7934032386767429</v>
          </cell>
          <cell r="R130">
            <v>5.7883961321798241</v>
          </cell>
          <cell r="S130">
            <v>5.7839037909844544</v>
          </cell>
          <cell r="T130">
            <v>5.7799028603346105</v>
          </cell>
          <cell r="U130">
            <v>5.7763488200781836</v>
          </cell>
          <cell r="V130">
            <v>5.7731821069799869</v>
          </cell>
          <cell r="W130">
            <v>5.770341568803631</v>
          </cell>
          <cell r="X130">
            <v>5.7677735400007393</v>
          </cell>
          <cell r="Y130">
            <v>5.7654309510437391</v>
          </cell>
          <cell r="Z130">
            <v>5.7632720092217111</v>
          </cell>
          <cell r="AA130">
            <v>5.7612591838679474</v>
          </cell>
          <cell r="AB130">
            <v>5.7593584259774557</v>
          </cell>
          <cell r="AC130">
            <v>5.7575391236706928</v>
          </cell>
          <cell r="AD130">
            <v>5.7557751135875668</v>
          </cell>
          <cell r="AE130">
            <v>5.7540444137319273</v>
          </cell>
          <cell r="AF130">
            <v>5.7523284110769817</v>
          </cell>
          <cell r="AG130">
            <v>5.750611191141024</v>
          </cell>
          <cell r="AH130">
            <v>5.7488791158035157</v>
          </cell>
          <cell r="AI130">
            <v>5.7471204885460869</v>
          </cell>
          <cell r="AJ130">
            <v>5.7453252770807941</v>
          </cell>
          <cell r="AK130">
            <v>5.7434848901147237</v>
          </cell>
          <cell r="AL130">
            <v>5.7415920633321837</v>
          </cell>
          <cell r="AM130">
            <v>5.7396407606186504</v>
          </cell>
          <cell r="AN130">
            <v>5.7376260230013587</v>
          </cell>
          <cell r="AO130">
            <v>5.7355438340065925</v>
          </cell>
          <cell r="AP130">
            <v>5.7333910044689489</v>
          </cell>
          <cell r="AQ130">
            <v>5.7311650642741787</v>
          </cell>
          <cell r="AR130">
            <v>5.7288641572834891</v>
          </cell>
          <cell r="AS130">
            <v>5.7264869664757931</v>
          </cell>
          <cell r="AT130">
            <v>5.7240326540186528</v>
          </cell>
          <cell r="AU130">
            <v>5.7215008091825528</v>
          </cell>
          <cell r="AV130">
            <v>5.7188914029044176</v>
          </cell>
          <cell r="AW130">
            <v>5.7162047480272147</v>
          </cell>
          <cell r="AX130">
            <v>5.7134414555987263</v>
          </cell>
          <cell r="AY130">
            <v>5.7106023447554568</v>
          </cell>
          <cell r="AZ130">
            <v>5.7076883809020291</v>
          </cell>
          <cell r="BA130">
            <v>5.7047006594155096</v>
          </cell>
          <cell r="BB130">
            <v>5.7016403933838475</v>
          </cell>
          <cell r="BC130">
            <v>5.6985089027067213</v>
          </cell>
          <cell r="BD130">
            <v>5.6953076043853921</v>
          </cell>
          <cell r="BE130">
            <v>5.6920380037953366</v>
          </cell>
          <cell r="BF130">
            <v>5.6887016765512746</v>
          </cell>
          <cell r="BG130">
            <v>5.6853002203807188</v>
          </cell>
          <cell r="BH130">
            <v>5.68183523486673</v>
          </cell>
          <cell r="BI130">
            <v>5.6783083208383633</v>
          </cell>
        </row>
        <row r="131">
          <cell r="B131">
            <v>5.7849566836596962</v>
          </cell>
          <cell r="C131">
            <v>5.8100555767208002</v>
          </cell>
          <cell r="D131">
            <v>5.8312920957619117</v>
          </cell>
          <cell r="E131">
            <v>5.8456505058293153</v>
          </cell>
          <cell r="F131">
            <v>5.8532526359223329</v>
          </cell>
          <cell r="G131">
            <v>5.8558196035598975</v>
          </cell>
          <cell r="H131">
            <v>5.8553537442203032</v>
          </cell>
          <cell r="I131">
            <v>5.8532229212562665</v>
          </cell>
          <cell r="J131">
            <v>5.8499222144335681</v>
          </cell>
          <cell r="K131">
            <v>5.8456299832086529</v>
          </cell>
          <cell r="L131">
            <v>5.8405430382911163</v>
          </cell>
          <cell r="M131">
            <v>5.8349459155332024</v>
          </cell>
          <cell r="N131">
            <v>5.8291780998464775</v>
          </cell>
          <cell r="O131">
            <v>5.8235371364913924</v>
          </cell>
          <cell r="P131">
            <v>5.8182093749146047</v>
          </cell>
          <cell r="Q131">
            <v>5.8132963223178509</v>
          </cell>
          <cell r="R131">
            <v>5.8088422833233819</v>
          </cell>
          <cell r="S131">
            <v>5.8048537497772328</v>
          </cell>
          <cell r="T131">
            <v>5.8013098070722187</v>
          </cell>
          <cell r="U131">
            <v>5.7981689862444181</v>
          </cell>
          <cell r="V131">
            <v>5.7953756345184297</v>
          </cell>
          <cell r="W131">
            <v>5.7928735723861129</v>
          </cell>
          <cell r="X131">
            <v>5.790613540682835</v>
          </cell>
          <cell r="Y131">
            <v>5.788552173373902</v>
          </cell>
          <cell r="Z131">
            <v>5.7866508189285755</v>
          </cell>
          <cell r="AA131">
            <v>5.7848746336846908</v>
          </cell>
          <cell r="AB131">
            <v>5.7831918940716154</v>
          </cell>
          <cell r="AC131">
            <v>5.7815741383414858</v>
          </cell>
          <cell r="AD131">
            <v>5.779997159734946</v>
          </cell>
          <cell r="AE131">
            <v>5.7784406542450961</v>
          </cell>
          <cell r="AF131">
            <v>5.7768874455518446</v>
          </cell>
          <cell r="AG131">
            <v>5.7753228766295841</v>
          </cell>
          <cell r="AH131">
            <v>5.7737344197775604</v>
          </cell>
          <cell r="AI131">
            <v>5.7721113634838597</v>
          </cell>
          <cell r="AJ131">
            <v>5.770444552971008</v>
          </cell>
          <cell r="AK131">
            <v>5.7687261839154695</v>
          </cell>
          <cell r="AL131">
            <v>5.7669496968535441</v>
          </cell>
          <cell r="AM131">
            <v>5.7651096716792907</v>
          </cell>
          <cell r="AN131">
            <v>5.7632016852212882</v>
          </cell>
          <cell r="AO131">
            <v>5.7612221866258251</v>
          </cell>
          <cell r="AP131">
            <v>5.7591683906928024</v>
          </cell>
          <cell r="AQ131">
            <v>5.7570381793224721</v>
          </cell>
          <cell r="AR131">
            <v>5.7548300108487522</v>
          </cell>
          <cell r="AS131">
            <v>5.7525428521010866</v>
          </cell>
          <cell r="AT131">
            <v>5.7501761218999299</v>
          </cell>
          <cell r="AU131">
            <v>5.7477296419272843</v>
          </cell>
          <cell r="AV131">
            <v>5.7452035938690917</v>
          </cell>
          <cell r="AW131">
            <v>5.7425984818906812</v>
          </cell>
          <cell r="AX131">
            <v>5.7399150869440447</v>
          </cell>
          <cell r="AY131">
            <v>5.7371543713530979</v>
          </cell>
          <cell r="AZ131">
            <v>5.734317423474999</v>
          </cell>
          <cell r="BA131">
            <v>5.7314054441455733</v>
          </cell>
          <cell r="BB131">
            <v>5.7284197360681164</v>
          </cell>
          <cell r="BC131">
            <v>5.725361694381224</v>
          </cell>
          <cell r="BD131">
            <v>5.7222327982555798</v>
          </cell>
          <cell r="BE131">
            <v>5.7190346032432542</v>
          </cell>
          <cell r="BF131">
            <v>5.7157687211938235</v>
          </cell>
          <cell r="BG131">
            <v>5.7124367724557281</v>
          </cell>
          <cell r="BH131">
            <v>5.7090403701173686</v>
          </cell>
          <cell r="BI131">
            <v>5.7055811203794633</v>
          </cell>
        </row>
        <row r="132">
          <cell r="B132">
            <v>5.7903015802691362</v>
          </cell>
          <cell r="C132">
            <v>5.8132083166572714</v>
          </cell>
          <cell r="D132">
            <v>5.8295626443798483</v>
          </cell>
          <cell r="E132">
            <v>5.8404240869137007</v>
          </cell>
          <cell r="F132">
            <v>5.8465967108266623</v>
          </cell>
          <cell r="G132">
            <v>5.8491177762705835</v>
          </cell>
          <cell r="H132">
            <v>5.8491584015694258</v>
          </cell>
          <cell r="I132">
            <v>5.8475636816299987</v>
          </cell>
          <cell r="J132">
            <v>5.8446196473588135</v>
          </cell>
          <cell r="K132">
            <v>5.8404721118722644</v>
          </cell>
          <cell r="L132">
            <v>5.8353524514964299</v>
          </cell>
          <cell r="M132">
            <v>5.8295920009052509</v>
          </cell>
          <cell r="N132">
            <v>5.823579804392697</v>
          </cell>
          <cell r="O132">
            <v>5.817652851338984</v>
          </cell>
          <cell r="P132">
            <v>5.8120240296501757</v>
          </cell>
          <cell r="Q132">
            <v>5.8068127262199463</v>
          </cell>
          <cell r="R132">
            <v>5.8020751874393017</v>
          </cell>
          <cell r="S132">
            <v>5.7978255278909892</v>
          </cell>
          <cell r="T132">
            <v>5.7940472307605013</v>
          </cell>
          <cell r="U132">
            <v>5.7907008066042938</v>
          </cell>
          <cell r="V132">
            <v>5.7877309884489447</v>
          </cell>
          <cell r="W132">
            <v>5.7850814869400153</v>
          </cell>
          <cell r="X132">
            <v>5.7827025228576856</v>
          </cell>
          <cell r="Y132">
            <v>5.7805498419581802</v>
          </cell>
          <cell r="Z132">
            <v>5.7785836099785675</v>
          </cell>
          <cell r="AA132">
            <v>5.7767675626404342</v>
          </cell>
          <cell r="AB132">
            <v>5.7750683677623513</v>
          </cell>
          <cell r="AC132">
            <v>5.7734559119709585</v>
          </cell>
          <cell r="AD132">
            <v>5.7719044225060649</v>
          </cell>
          <cell r="AE132">
            <v>5.7703921002289009</v>
          </cell>
          <cell r="AF132">
            <v>5.7689003544786237</v>
          </cell>
          <cell r="AG132">
            <v>5.7674132068106569</v>
          </cell>
          <cell r="AH132">
            <v>5.7659168892933836</v>
          </cell>
          <cell r="AI132">
            <v>5.7643995194327013</v>
          </cell>
          <cell r="AJ132">
            <v>5.7628508308276274</v>
          </cell>
          <cell r="AK132">
            <v>5.761261962255392</v>
          </cell>
          <cell r="AL132">
            <v>5.7596253636863812</v>
          </cell>
          <cell r="AM132">
            <v>5.7579346914410605</v>
          </cell>
          <cell r="AN132">
            <v>5.7561846573417341</v>
          </cell>
          <cell r="AO132">
            <v>5.7543708967748142</v>
          </cell>
          <cell r="AP132">
            <v>5.7524898560094737</v>
          </cell>
          <cell r="AQ132">
            <v>5.750538694471425</v>
          </cell>
          <cell r="AR132">
            <v>5.7485151998541264</v>
          </cell>
          <cell r="AS132">
            <v>5.746417716388982</v>
          </cell>
          <cell r="AT132">
            <v>5.7442450830073373</v>
          </cell>
          <cell r="AU132">
            <v>5.7419965795687444</v>
          </cell>
          <cell r="AV132">
            <v>5.7396718799537068</v>
          </cell>
          <cell r="AW132">
            <v>5.7372710109828731</v>
          </cell>
          <cell r="AX132">
            <v>5.7347943029221371</v>
          </cell>
          <cell r="AY132">
            <v>5.732242293391276</v>
          </cell>
          <cell r="AZ132">
            <v>5.7296156731083938</v>
          </cell>
          <cell r="BA132">
            <v>5.7269152700229666</v>
          </cell>
          <cell r="BB132">
            <v>5.7241420363694875</v>
          </cell>
          <cell r="BC132">
            <v>5.7212970371595997</v>
          </cell>
          <cell r="BD132">
            <v>5.7183814399296207</v>
          </cell>
          <cell r="BE132">
            <v>5.7153965054032234</v>
          </cell>
          <cell r="BF132">
            <v>5.7123435656275925</v>
          </cell>
          <cell r="BG132">
            <v>5.7092239771101765</v>
          </cell>
          <cell r="BH132">
            <v>5.706039105520194</v>
          </cell>
          <cell r="BI132">
            <v>5.7027903247540292</v>
          </cell>
        </row>
        <row r="133">
          <cell r="B133">
            <v>5.7890951620125213</v>
          </cell>
          <cell r="C133">
            <v>5.8059832843878576</v>
          </cell>
          <cell r="D133">
            <v>5.8170273433974611</v>
          </cell>
          <cell r="E133">
            <v>5.8230900681164961</v>
          </cell>
          <cell r="F133">
            <v>5.8251107539070963</v>
          </cell>
          <cell r="G133">
            <v>5.8240233276283693</v>
          </cell>
          <cell r="H133">
            <v>5.8208386991893182</v>
          </cell>
          <cell r="I133">
            <v>5.8162507749197498</v>
          </cell>
          <cell r="J133">
            <v>5.8104181514591602</v>
          </cell>
          <cell r="K133">
            <v>5.8034119699465041</v>
          </cell>
          <cell r="L133">
            <v>5.7954401009361085</v>
          </cell>
          <cell r="M133">
            <v>5.7868464052247486</v>
          </cell>
          <cell r="N133">
            <v>5.7780540246688918</v>
          </cell>
          <cell r="O133">
            <v>5.7694347183015298</v>
          </cell>
          <cell r="P133">
            <v>5.7612233603286231</v>
          </cell>
          <cell r="Q133">
            <v>5.7535513286955533</v>
          </cell>
          <cell r="R133">
            <v>5.7464799644372127</v>
          </cell>
          <cell r="S133">
            <v>5.7400234362206675</v>
          </cell>
          <cell r="T133">
            <v>5.7341615249311237</v>
          </cell>
          <cell r="U133">
            <v>5.728848222576727</v>
          </cell>
          <cell r="V133">
            <v>5.7240200240587562</v>
          </cell>
          <cell r="W133">
            <v>5.7196126817917259</v>
          </cell>
          <cell r="X133">
            <v>5.7155691546790619</v>
          </cell>
          <cell r="Y133">
            <v>5.7118384604590133</v>
          </cell>
          <cell r="Z133">
            <v>5.7083744639376865</v>
          </cell>
          <cell r="AA133">
            <v>5.7051349448606103</v>
          </cell>
          <cell r="AB133">
            <v>5.7020809056816093</v>
          </cell>
          <cell r="AC133">
            <v>5.6991769955440787</v>
          </cell>
          <cell r="AD133">
            <v>5.6963928052559814</v>
          </cell>
          <cell r="AE133">
            <v>5.6937024222744785</v>
          </cell>
          <cell r="AF133">
            <v>5.6910835942651481</v>
          </cell>
          <cell r="AG133">
            <v>5.6885170782332377</v>
          </cell>
          <cell r="AH133">
            <v>5.6859861801370792</v>
          </cell>
          <cell r="AI133">
            <v>5.68347638004205</v>
          </cell>
          <cell r="AJ133">
            <v>5.6809750215434001</v>
          </cell>
          <cell r="AK133">
            <v>5.6784710699293832</v>
          </cell>
          <cell r="AL133">
            <v>5.6759550032224473</v>
          </cell>
          <cell r="AM133">
            <v>5.6734186855253252</v>
          </cell>
          <cell r="AN133">
            <v>5.6708551929751145</v>
          </cell>
          <cell r="AO133">
            <v>5.6682586622389941</v>
          </cell>
          <cell r="AP133">
            <v>5.665624161239081</v>
          </cell>
          <cell r="AQ133">
            <v>5.6629475794797415</v>
          </cell>
          <cell r="AR133">
            <v>5.6602255343404559</v>
          </cell>
          <cell r="AS133">
            <v>5.6574552886495093</v>
          </cell>
          <cell r="AT133">
            <v>5.6546346789677067</v>
          </cell>
          <cell r="AU133">
            <v>5.6517620532261432</v>
          </cell>
          <cell r="AV133">
            <v>5.6488362163251065</v>
          </cell>
          <cell r="AW133">
            <v>5.6458563824767571</v>
          </cell>
          <cell r="AX133">
            <v>5.642822118613668</v>
          </cell>
          <cell r="AY133">
            <v>5.6397332424671696</v>
          </cell>
          <cell r="AZ133">
            <v>5.6365897659813919</v>
          </cell>
          <cell r="BA133">
            <v>5.6333918756898163</v>
          </cell>
          <cell r="BB133">
            <v>5.6301399162445733</v>
          </cell>
          <cell r="BC133">
            <v>5.6268343757758368</v>
          </cell>
          <cell r="BD133">
            <v>5.623475872848358</v>
          </cell>
          <cell r="BE133">
            <v>5.6200651445772616</v>
          </cell>
          <cell r="BF133">
            <v>5.6166030213498148</v>
          </cell>
          <cell r="BG133">
            <v>5.6130903777349026</v>
          </cell>
          <cell r="BH133">
            <v>5.6095281163793302</v>
          </cell>
          <cell r="BI133">
            <v>5.6059171655361117</v>
          </cell>
        </row>
        <row r="134">
          <cell r="B134">
            <v>5.7874900315845155</v>
          </cell>
          <cell r="C134">
            <v>5.8047584498770943</v>
          </cell>
          <cell r="D134">
            <v>5.8166788023021843</v>
          </cell>
          <cell r="E134">
            <v>5.8228569162467441</v>
          </cell>
          <cell r="F134">
            <v>5.8242388759564889</v>
          </cell>
          <cell r="G134">
            <v>5.8222489906811488</v>
          </cell>
          <cell r="H134">
            <v>5.8183449875434006</v>
          </cell>
          <cell r="I134">
            <v>5.8134378016527775</v>
          </cell>
          <cell r="J134">
            <v>5.8077187172003057</v>
          </cell>
          <cell r="K134">
            <v>5.8012099324513766</v>
          </cell>
          <cell r="L134">
            <v>5.7940383900223997</v>
          </cell>
          <cell r="M134">
            <v>5.7864596307604179</v>
          </cell>
          <cell r="N134">
            <v>5.7788062983591661</v>
          </cell>
          <cell r="O134">
            <v>5.7713722511916705</v>
          </cell>
          <cell r="P134">
            <v>5.7643368972655509</v>
          </cell>
          <cell r="Q134">
            <v>5.7577930061422</v>
          </cell>
          <cell r="R134">
            <v>5.7517763478433768</v>
          </cell>
          <cell r="S134">
            <v>5.7462858968019823</v>
          </cell>
          <cell r="T134">
            <v>5.741293948394671</v>
          </cell>
          <cell r="U134">
            <v>5.7367527918035828</v>
          </cell>
          <cell r="V134">
            <v>5.7326015843387612</v>
          </cell>
          <cell r="W134">
            <v>5.7287808532088951</v>
          </cell>
          <cell r="X134">
            <v>5.7252387328406007</v>
          </cell>
          <cell r="Y134">
            <v>5.7219296444541197</v>
          </cell>
          <cell r="Z134">
            <v>5.7188130387046003</v>
          </cell>
          <cell r="AA134">
            <v>5.7158524284830703</v>
          </cell>
          <cell r="AB134">
            <v>5.7130146682400769</v>
          </cell>
          <cell r="AC134">
            <v>5.7102702054407191</v>
          </cell>
          <cell r="AD134">
            <v>5.7075939800691877</v>
          </cell>
          <cell r="AE134">
            <v>5.7049649400482165</v>
          </cell>
          <cell r="AF134">
            <v>5.7023652477030771</v>
          </cell>
          <cell r="AG134">
            <v>5.6997796809323935</v>
          </cell>
          <cell r="AH134">
            <v>5.6971952320539119</v>
          </cell>
          <cell r="AI134">
            <v>5.6946007821546223</v>
          </cell>
          <cell r="AJ134">
            <v>5.6919868312762159</v>
          </cell>
          <cell r="AK134">
            <v>5.68934528334061</v>
          </cell>
          <cell r="AL134">
            <v>5.6866693146297846</v>
          </cell>
          <cell r="AM134">
            <v>5.6839532419550816</v>
          </cell>
          <cell r="AN134">
            <v>5.6811923780413478</v>
          </cell>
          <cell r="AO134">
            <v>5.6783829070377401</v>
          </cell>
          <cell r="AP134">
            <v>5.6755217778948879</v>
          </cell>
          <cell r="AQ134">
            <v>5.6726066068384418</v>
          </cell>
          <cell r="AR134">
            <v>5.6696355905306497</v>
          </cell>
          <cell r="AS134">
            <v>5.6666074387789243</v>
          </cell>
          <cell r="AT134">
            <v>5.6635213175190797</v>
          </cell>
          <cell r="AU134">
            <v>5.66037679923617</v>
          </cell>
          <cell r="AV134">
            <v>5.6571738197145551</v>
          </cell>
          <cell r="AW134">
            <v>5.6539126400991817</v>
          </cell>
          <cell r="AX134">
            <v>5.6505937949917779</v>
          </cell>
          <cell r="AY134">
            <v>5.6472179875012678</v>
          </cell>
          <cell r="AZ134">
            <v>5.6437860380743912</v>
          </cell>
          <cell r="BA134">
            <v>5.6402988723166647</v>
          </cell>
          <cell r="BB134">
            <v>5.6367575110717416</v>
          </cell>
          <cell r="BC134">
            <v>5.6331630616030655</v>
          </cell>
          <cell r="BD134">
            <v>5.6295167097375307</v>
          </cell>
          <cell r="BE134">
            <v>5.6258197125200757</v>
          </cell>
          <cell r="BF134">
            <v>5.6220733744779912</v>
          </cell>
          <cell r="BG134">
            <v>5.618278998738627</v>
          </cell>
          <cell r="BH134">
            <v>5.6144378746596395</v>
          </cell>
          <cell r="BI134">
            <v>5.6105512788683471</v>
          </cell>
        </row>
        <row r="135">
          <cell r="B135">
            <v>5.7909951745615302</v>
          </cell>
          <cell r="C135">
            <v>5.8095705448822699</v>
          </cell>
          <cell r="D135">
            <v>5.8220833466272524</v>
          </cell>
          <cell r="E135">
            <v>5.828615912362757</v>
          </cell>
          <cell r="F135">
            <v>5.8302051601743141</v>
          </cell>
          <cell r="G135">
            <v>5.8284138601131623</v>
          </cell>
          <cell r="H135">
            <v>5.8247752205143568</v>
          </cell>
          <cell r="I135">
            <v>5.8202183410321666</v>
          </cell>
          <cell r="J135">
            <v>5.8148861855347436</v>
          </cell>
          <cell r="K135">
            <v>5.808763465592425</v>
          </cell>
          <cell r="L135">
            <v>5.8019579134444896</v>
          </cell>
          <cell r="M135">
            <v>5.7947128428637349</v>
          </cell>
          <cell r="N135">
            <v>5.7873556125388417</v>
          </cell>
          <cell r="O135">
            <v>5.7801860709389832</v>
          </cell>
          <cell r="P135">
            <v>5.7733913543914976</v>
          </cell>
          <cell r="Q135">
            <v>5.7670708091827194</v>
          </cell>
          <cell r="R135">
            <v>5.7612654574329527</v>
          </cell>
          <cell r="S135">
            <v>5.7559777670204202</v>
          </cell>
          <cell r="T135">
            <v>5.7511821197333104</v>
          </cell>
          <cell r="U135">
            <v>5.7468318380960479</v>
          </cell>
          <cell r="V135">
            <v>5.7428665973739621</v>
          </cell>
          <cell r="W135">
            <v>5.7392275619333697</v>
          </cell>
          <cell r="X135">
            <v>5.7358634179582761</v>
          </cell>
          <cell r="Y135">
            <v>5.7327290344114621</v>
          </cell>
          <cell r="Z135">
            <v>5.7297842264787322</v>
          </cell>
          <cell r="AA135">
            <v>5.7269928043721778</v>
          </cell>
          <cell r="AB135">
            <v>5.7243218715546895</v>
          </cell>
          <cell r="AC135">
            <v>5.7217421406650928</v>
          </cell>
          <cell r="AD135">
            <v>5.7192288181287267</v>
          </cell>
          <cell r="AE135">
            <v>5.7167610906389061</v>
          </cell>
          <cell r="AF135">
            <v>5.7143213259390775</v>
          </cell>
          <cell r="AG135">
            <v>5.7118944798709119</v>
          </cell>
          <cell r="AH135">
            <v>5.7094676999306335</v>
          </cell>
          <cell r="AI135">
            <v>5.7070300029668806</v>
          </cell>
          <cell r="AJ135">
            <v>5.704572008146517</v>
          </cell>
          <cell r="AK135">
            <v>5.7020857246881578</v>
          </cell>
          <cell r="AL135">
            <v>5.6995644201864222</v>
          </cell>
          <cell r="AM135">
            <v>5.6970024870008302</v>
          </cell>
          <cell r="AN135">
            <v>5.6943952993381757</v>
          </cell>
          <cell r="AO135">
            <v>5.6917390905216223</v>
          </cell>
          <cell r="AP135">
            <v>5.6890308478195273</v>
          </cell>
          <cell r="AQ135">
            <v>5.6862682160557734</v>
          </cell>
          <cell r="AR135">
            <v>5.683449412330364</v>
          </cell>
          <cell r="AS135">
            <v>5.680573159823628</v>
          </cell>
          <cell r="AT135">
            <v>5.6776386315648031</v>
          </cell>
          <cell r="AU135">
            <v>5.6746454015354146</v>
          </cell>
          <cell r="AV135">
            <v>5.6715934020147731</v>
          </cell>
          <cell r="AW135">
            <v>5.6684828861200023</v>
          </cell>
          <cell r="AX135">
            <v>5.6653143742445682</v>
          </cell>
          <cell r="AY135">
            <v>5.6620885475071168</v>
          </cell>
          <cell r="AZ135">
            <v>5.6588061988640481</v>
          </cell>
          <cell r="BA135">
            <v>5.6554682216137921</v>
          </cell>
          <cell r="BB135">
            <v>5.6520755999305816</v>
          </cell>
          <cell r="BC135">
            <v>5.6486294004500248</v>
          </cell>
          <cell r="BD135">
            <v>5.6451307647726159</v>
          </cell>
          <cell r="BE135">
            <v>5.6415809023357628</v>
          </cell>
          <cell r="BF135">
            <v>5.6379810648063904</v>
          </cell>
          <cell r="BG135">
            <v>5.6343324956782173</v>
          </cell>
          <cell r="BH135">
            <v>5.6306364189011404</v>
          </cell>
          <cell r="BI135">
            <v>5.6268940404267935</v>
          </cell>
        </row>
        <row r="136">
          <cell r="B136">
            <v>5.7873281145692346</v>
          </cell>
          <cell r="C136">
            <v>5.8079887915511117</v>
          </cell>
          <cell r="D136">
            <v>5.8221586352443797</v>
          </cell>
          <cell r="E136">
            <v>5.8306599846642229</v>
          </cell>
          <cell r="F136">
            <v>5.8345039306014232</v>
          </cell>
          <cell r="G136">
            <v>5.8350452568730873</v>
          </cell>
          <cell r="H136">
            <v>5.8335584962311389</v>
          </cell>
          <cell r="I136">
            <v>5.8307771961050427</v>
          </cell>
          <cell r="J136">
            <v>5.8268047633074849</v>
          </cell>
          <cell r="K136">
            <v>5.8216885646079017</v>
          </cell>
          <cell r="L136">
            <v>5.8156146824845489</v>
          </cell>
          <cell r="M136">
            <v>5.8088937191362291</v>
          </cell>
          <cell r="N136">
            <v>5.8019098673620118</v>
          </cell>
          <cell r="O136">
            <v>5.7950053114125613</v>
          </cell>
          <cell r="P136">
            <v>5.7883980095578043</v>
          </cell>
          <cell r="Q136">
            <v>5.782211001339892</v>
          </cell>
          <cell r="R136">
            <v>5.7765034572835452</v>
          </cell>
          <cell r="S136">
            <v>5.7712908944293853</v>
          </cell>
          <cell r="T136">
            <v>5.7665568308702104</v>
          </cell>
          <cell r="U136">
            <v>5.7622608040953205</v>
          </cell>
          <cell r="V136">
            <v>5.7583473345009057</v>
          </cell>
          <cell r="W136">
            <v>5.7547621443656025</v>
          </cell>
          <cell r="X136">
            <v>5.7514573411883454</v>
          </cell>
          <cell r="Y136">
            <v>5.7483902187465574</v>
          </cell>
          <cell r="Z136">
            <v>5.7455222198404616</v>
          </cell>
          <cell r="AA136">
            <v>5.742818138404072</v>
          </cell>
          <cell r="AB136">
            <v>5.7402455637779521</v>
          </cell>
          <cell r="AC136">
            <v>5.7377754799348697</v>
          </cell>
          <cell r="AD136">
            <v>5.7353831581965977</v>
          </cell>
          <cell r="AE136">
            <v>5.7330476188218222</v>
          </cell>
          <cell r="AF136">
            <v>5.730750922220949</v>
          </cell>
          <cell r="AG136">
            <v>5.7284776428854993</v>
          </cell>
          <cell r="AH136">
            <v>5.7262144868787033</v>
          </cell>
          <cell r="AI136">
            <v>5.7239499783690642</v>
          </cell>
          <cell r="AJ136">
            <v>5.7216742000025311</v>
          </cell>
          <cell r="AK136">
            <v>5.7193785988924866</v>
          </cell>
          <cell r="AL136">
            <v>5.7170558980214308</v>
          </cell>
          <cell r="AM136">
            <v>5.7146999722281109</v>
          </cell>
          <cell r="AN136">
            <v>5.7123057017325802</v>
          </cell>
          <cell r="AO136">
            <v>5.7098688464635261</v>
          </cell>
          <cell r="AP136">
            <v>5.7073859380990299</v>
          </cell>
          <cell r="AQ136">
            <v>5.7048541799186383</v>
          </cell>
          <cell r="AR136">
            <v>5.7022713598255708</v>
          </cell>
          <cell r="AS136">
            <v>5.6996357830178086</v>
          </cell>
          <cell r="AT136">
            <v>5.6969462145109064</v>
          </cell>
          <cell r="AU136">
            <v>5.6942018291578007</v>
          </cell>
          <cell r="AV136">
            <v>5.6914021680491125</v>
          </cell>
          <cell r="AW136">
            <v>5.6885471000583321</v>
          </cell>
          <cell r="AX136">
            <v>5.685636764219546</v>
          </cell>
          <cell r="AY136">
            <v>5.6826714691818827</v>
          </cell>
          <cell r="AZ136">
            <v>5.6796516521540221</v>
          </cell>
          <cell r="BA136">
            <v>5.6765778662076478</v>
          </cell>
          <cell r="BB136">
            <v>5.6734507693469842</v>
          </cell>
          <cell r="BC136">
            <v>5.6702711147928131</v>
          </cell>
          <cell r="BD136">
            <v>5.6670397423264331</v>
          </cell>
          <cell r="BE136">
            <v>5.6637575698204872</v>
          </cell>
          <cell r="BF136">
            <v>5.6604255643432255</v>
          </cell>
          <cell r="BG136">
            <v>5.6570446957540925</v>
          </cell>
          <cell r="BH136">
            <v>5.6536159279081897</v>
          </cell>
          <cell r="BI136">
            <v>5.6501402191313188</v>
          </cell>
        </row>
        <row r="137">
          <cell r="B137">
            <v>5.7943681632783681</v>
          </cell>
          <cell r="C137">
            <v>5.8111658238660224</v>
          </cell>
          <cell r="D137">
            <v>5.8232011480091339</v>
          </cell>
          <cell r="E137">
            <v>5.8296691978498103</v>
          </cell>
          <cell r="F137">
            <v>5.8315889451423333</v>
          </cell>
          <cell r="G137">
            <v>5.8303541933999616</v>
          </cell>
          <cell r="H137">
            <v>5.8272575609997732</v>
          </cell>
          <cell r="I137">
            <v>5.8230078700634174</v>
          </cell>
          <cell r="J137">
            <v>5.817664635848149</v>
          </cell>
          <cell r="K137">
            <v>5.8112431274005543</v>
          </cell>
          <cell r="L137">
            <v>5.8039142114832467</v>
          </cell>
          <cell r="M137">
            <v>5.7959927974444438</v>
          </cell>
          <cell r="N137">
            <v>5.7878782164732305</v>
          </cell>
          <cell r="O137">
            <v>5.779923164259797</v>
          </cell>
          <cell r="P137">
            <v>5.7723480631063886</v>
          </cell>
          <cell r="Q137">
            <v>5.7652734813862097</v>
          </cell>
          <cell r="R137">
            <v>5.7587537313823018</v>
          </cell>
          <cell r="S137">
            <v>5.7527983833827037</v>
          </cell>
          <cell r="T137">
            <v>5.7473842291078858</v>
          </cell>
          <cell r="U137">
            <v>5.7424635043790504</v>
          </cell>
          <cell r="V137">
            <v>5.7379735462610242</v>
          </cell>
          <cell r="W137">
            <v>5.733854039945026</v>
          </cell>
          <cell r="X137">
            <v>5.7300519853867087</v>
          </cell>
          <cell r="Y137">
            <v>5.7265202874312404</v>
          </cell>
          <cell r="Z137">
            <v>5.7232165748354022</v>
          </cell>
          <cell r="AA137">
            <v>5.7201022918230526</v>
          </cell>
          <cell r="AB137">
            <v>5.7171420708805805</v>
          </cell>
          <cell r="AC137">
            <v>5.7143043732507737</v>
          </cell>
          <cell r="AD137">
            <v>5.7115623448635322</v>
          </cell>
          <cell r="AE137">
            <v>5.7088931941272021</v>
          </cell>
          <cell r="AF137">
            <v>5.7062774175958779</v>
          </cell>
          <cell r="AG137">
            <v>5.7036982319256273</v>
          </cell>
          <cell r="AH137">
            <v>5.7011411602615496</v>
          </cell>
          <cell r="AI137">
            <v>5.6985936930482168</v>
          </cell>
          <cell r="AJ137">
            <v>5.6960450071378803</v>
          </cell>
          <cell r="AK137">
            <v>5.6934857569506843</v>
          </cell>
          <cell r="AL137">
            <v>5.6909079747989173</v>
          </cell>
          <cell r="AM137">
            <v>5.6883049321434704</v>
          </cell>
          <cell r="AN137">
            <v>5.6856709817383484</v>
          </cell>
          <cell r="AO137">
            <v>5.6830014224690206</v>
          </cell>
          <cell r="AP137">
            <v>5.6802923829759155</v>
          </cell>
          <cell r="AQ137">
            <v>5.6775407118491836</v>
          </cell>
          <cell r="AR137">
            <v>5.6747438828867356</v>
          </cell>
          <cell r="AS137">
            <v>5.6718999230368574</v>
          </cell>
          <cell r="AT137">
            <v>5.669007350937048</v>
          </cell>
          <cell r="AU137">
            <v>5.6660651234695525</v>
          </cell>
          <cell r="AV137">
            <v>5.6630725891395715</v>
          </cell>
          <cell r="AW137">
            <v>5.6600294468820396</v>
          </cell>
          <cell r="AX137">
            <v>5.6569356839609837</v>
          </cell>
          <cell r="AY137">
            <v>5.6537914728328458</v>
          </cell>
          <cell r="AZ137">
            <v>5.6505971301051039</v>
          </cell>
          <cell r="BA137">
            <v>5.6473531024154306</v>
          </cell>
          <cell r="BB137">
            <v>5.6440599541646925</v>
          </cell>
          <cell r="BC137">
            <v>5.6407183566129486</v>
          </cell>
          <cell r="BD137">
            <v>5.6373290781649832</v>
          </cell>
          <cell r="BE137">
            <v>5.633892974754688</v>
          </cell>
          <cell r="BF137">
            <v>5.6304109574422494</v>
          </cell>
          <cell r="BG137">
            <v>5.6268839436570008</v>
          </cell>
          <cell r="BH137">
            <v>5.6233128484301096</v>
          </cell>
          <cell r="BI137">
            <v>5.6196985845773835</v>
          </cell>
        </row>
        <row r="138">
          <cell r="B138">
            <v>5.8047599356766293</v>
          </cell>
          <cell r="C138">
            <v>5.8353989626428406</v>
          </cell>
          <cell r="D138">
            <v>5.8569756462256821</v>
          </cell>
          <cell r="E138">
            <v>5.8723680131829763</v>
          </cell>
          <cell r="F138">
            <v>5.882432138730957</v>
          </cell>
          <cell r="G138">
            <v>5.8880450852238466</v>
          </cell>
          <cell r="H138">
            <v>5.8901497624399273</v>
          </cell>
          <cell r="I138">
            <v>5.8894471412944478</v>
          </cell>
          <cell r="J138">
            <v>5.886300357155676</v>
          </cell>
          <cell r="K138">
            <v>5.8810872107863705</v>
          </cell>
          <cell r="L138">
            <v>5.8742714286808013</v>
          </cell>
          <cell r="M138">
            <v>5.8663670122574745</v>
          </cell>
          <cell r="N138">
            <v>5.8579099373185359</v>
          </cell>
          <cell r="O138">
            <v>5.8493509745624364</v>
          </cell>
          <cell r="P138">
            <v>5.8409844877763284</v>
          </cell>
          <cell r="Q138">
            <v>5.8329883169386889</v>
          </cell>
          <cell r="R138">
            <v>5.8254603694978062</v>
          </cell>
          <cell r="S138">
            <v>5.8184424116889764</v>
          </cell>
          <cell r="T138">
            <v>5.8119349294910538</v>
          </cell>
          <cell r="U138">
            <v>5.8059074877115915</v>
          </cell>
          <cell r="V138">
            <v>5.8003103136036547</v>
          </cell>
          <cell r="W138">
            <v>5.7950928986837065</v>
          </cell>
          <cell r="X138">
            <v>5.790209373325812</v>
          </cell>
          <cell r="Y138">
            <v>5.7856176332074671</v>
          </cell>
          <cell r="Z138">
            <v>5.781278586248912</v>
          </cell>
          <cell r="AA138">
            <v>5.7771555733356887</v>
          </cell>
          <cell r="AB138">
            <v>5.7732140259117219</v>
          </cell>
          <cell r="AC138">
            <v>5.7694225809859487</v>
          </cell>
          <cell r="AD138">
            <v>5.7657542654566258</v>
          </cell>
          <cell r="AE138">
            <v>5.7621859362030694</v>
          </cell>
          <cell r="AF138">
            <v>5.7586975694539273</v>
          </cell>
          <cell r="AG138">
            <v>5.7552717340508366</v>
          </cell>
          <cell r="AH138">
            <v>5.7518931976994212</v>
          </cell>
          <cell r="AI138">
            <v>5.7485486036069329</v>
          </cell>
          <cell r="AJ138">
            <v>5.7452262028956245</v>
          </cell>
          <cell r="AK138">
            <v>5.7419156762040684</v>
          </cell>
          <cell r="AL138">
            <v>5.7386081040422789</v>
          </cell>
          <cell r="AM138">
            <v>5.7352958472508409</v>
          </cell>
          <cell r="AN138">
            <v>5.7319723841764088</v>
          </cell>
          <cell r="AO138">
            <v>5.7286321709834533</v>
          </cell>
          <cell r="AP138">
            <v>5.725270522621285</v>
          </cell>
          <cell r="AQ138">
            <v>5.7218835127366665</v>
          </cell>
          <cell r="AR138">
            <v>5.7184678874549224</v>
          </cell>
          <cell r="AS138">
            <v>5.7150209891287753</v>
          </cell>
          <cell r="AT138">
            <v>5.7115406900908647</v>
          </cell>
          <cell r="AU138">
            <v>5.7080253350472345</v>
          </cell>
          <cell r="AV138">
            <v>5.7044736908248357</v>
          </cell>
          <cell r="AW138">
            <v>5.7008849019569716</v>
          </cell>
          <cell r="AX138">
            <v>5.6972584274527431</v>
          </cell>
          <cell r="AY138">
            <v>5.6935939447182333</v>
          </cell>
          <cell r="AZ138">
            <v>5.6898913097049046</v>
          </cell>
          <cell r="BA138">
            <v>5.6861505395707219</v>
          </cell>
          <cell r="BB138">
            <v>5.6823717974719923</v>
          </cell>
          <cell r="BC138">
            <v>5.6785553790450027</v>
          </cell>
          <cell r="BD138">
            <v>5.6747017003623812</v>
          </cell>
          <cell r="BE138">
            <v>5.67081128611553</v>
          </cell>
          <cell r="BF138">
            <v>5.6668847353193827</v>
          </cell>
          <cell r="BG138">
            <v>5.6629226738736129</v>
          </cell>
          <cell r="BH138">
            <v>5.6589257452272452</v>
          </cell>
          <cell r="BI138">
            <v>5.6548946089065142</v>
          </cell>
        </row>
        <row r="139">
          <cell r="B139">
            <v>5.8017358335206355</v>
          </cell>
          <cell r="C139">
            <v>5.8255921663773425</v>
          </cell>
          <cell r="D139">
            <v>5.8441732359849663</v>
          </cell>
          <cell r="E139">
            <v>5.8580654782823327</v>
          </cell>
          <cell r="F139">
            <v>5.8677762960311943</v>
          </cell>
          <cell r="G139">
            <v>5.8736165060559955</v>
          </cell>
          <cell r="H139">
            <v>5.8759933591546822</v>
          </cell>
          <cell r="I139">
            <v>5.8752707200590892</v>
          </cell>
          <cell r="J139">
            <v>5.8717026134203651</v>
          </cell>
          <cell r="K139">
            <v>5.8656738041787646</v>
          </cell>
          <cell r="L139">
            <v>5.8577027619391551</v>
          </cell>
          <cell r="M139">
            <v>5.8483793950268241</v>
          </cell>
          <cell r="N139">
            <v>5.8383266301973284</v>
          </cell>
          <cell r="O139">
            <v>5.82807373170081</v>
          </cell>
          <cell r="P139">
            <v>5.8179723188339221</v>
          </cell>
          <cell r="Q139">
            <v>5.8082412355839192</v>
          </cell>
          <cell r="R139">
            <v>5.7990065429727382</v>
          </cell>
          <cell r="S139">
            <v>5.7903278916080572</v>
          </cell>
          <cell r="T139">
            <v>5.7822160275523187</v>
          </cell>
          <cell r="U139">
            <v>5.7746450756607119</v>
          </cell>
          <cell r="V139">
            <v>5.7675662792940088</v>
          </cell>
          <cell r="W139">
            <v>5.7609288473461264</v>
          </cell>
          <cell r="X139">
            <v>5.7546857278060797</v>
          </cell>
          <cell r="Y139">
            <v>5.7487929091590111</v>
          </cell>
          <cell r="Z139">
            <v>5.7432088122869587</v>
          </cell>
          <cell r="AA139">
            <v>5.737893822700225</v>
          </cell>
          <cell r="AB139">
            <v>5.7328100711581058</v>
          </cell>
          <cell r="AC139">
            <v>5.7279229215315892</v>
          </cell>
          <cell r="AD139">
            <v>5.723202369449349</v>
          </cell>
          <cell r="AE139">
            <v>5.7186224584444778</v>
          </cell>
          <cell r="AF139">
            <v>5.7141605808285387</v>
          </cell>
          <cell r="AG139">
            <v>5.7097969362567715</v>
          </cell>
          <cell r="AH139">
            <v>5.7055141060032994</v>
          </cell>
          <cell r="AI139">
            <v>5.7012967027230692</v>
          </cell>
          <cell r="AJ139">
            <v>5.6971310808569058</v>
          </cell>
          <cell r="AK139">
            <v>5.693005157869389</v>
          </cell>
          <cell r="AL139">
            <v>5.6889084156865186</v>
          </cell>
          <cell r="AM139">
            <v>5.6848317728978772</v>
          </cell>
          <cell r="AN139">
            <v>5.6807674019282439</v>
          </cell>
          <cell r="AO139">
            <v>5.6767085723082085</v>
          </cell>
          <cell r="AP139">
            <v>5.6726495176404939</v>
          </cell>
          <cell r="AQ139">
            <v>5.6685853278111873</v>
          </cell>
          <cell r="AR139">
            <v>5.6645118554787279</v>
          </cell>
          <cell r="AS139">
            <v>5.6604256298534015</v>
          </cell>
          <cell r="AT139">
            <v>5.656323781524911</v>
          </cell>
          <cell r="AU139">
            <v>5.652203977095053</v>
          </cell>
          <cell r="AV139">
            <v>5.6480643621551527</v>
          </cell>
          <cell r="AW139">
            <v>5.6439035108316533</v>
          </cell>
          <cell r="AX139">
            <v>5.6397203555023063</v>
          </cell>
          <cell r="AY139">
            <v>5.6355140864101996</v>
          </cell>
          <cell r="AZ139">
            <v>5.6312841093351738</v>
          </cell>
          <cell r="BA139">
            <v>5.6270300247424361</v>
          </cell>
          <cell r="BB139">
            <v>5.6227516094160084</v>
          </cell>
          <cell r="BC139">
            <v>5.6184488001329225</v>
          </cell>
          <cell r="BD139">
            <v>5.6141216791183917</v>
          </cell>
          <cell r="BE139">
            <v>5.609770459748689</v>
          </cell>
          <cell r="BF139">
            <v>5.6053954478759547</v>
          </cell>
          <cell r="BG139">
            <v>5.6009969919471834</v>
          </cell>
          <cell r="BH139">
            <v>5.5965754727727166</v>
          </cell>
          <cell r="BI139">
            <v>5.592131300823695</v>
          </cell>
        </row>
        <row r="140">
          <cell r="B140">
            <v>5.7917741882707245</v>
          </cell>
          <cell r="C140">
            <v>5.8148823229384661</v>
          </cell>
          <cell r="D140">
            <v>5.8310874564258928</v>
          </cell>
          <cell r="E140">
            <v>5.8418342750813554</v>
          </cell>
          <cell r="F140">
            <v>5.8483324295967174</v>
          </cell>
          <cell r="G140">
            <v>5.8513683774305312</v>
          </cell>
          <cell r="H140">
            <v>5.8515604403934178</v>
          </cell>
          <cell r="I140">
            <v>5.8492870444939333</v>
          </cell>
          <cell r="J140">
            <v>5.8446986805774337</v>
          </cell>
          <cell r="K140">
            <v>5.8380700755033184</v>
          </cell>
          <cell r="L140">
            <v>5.8298246185632401</v>
          </cell>
          <cell r="M140">
            <v>5.8204689475003786</v>
          </cell>
          <cell r="N140">
            <v>5.8105531931505254</v>
          </cell>
          <cell r="O140">
            <v>5.8005564512276342</v>
          </cell>
          <cell r="P140">
            <v>5.790795886596908</v>
          </cell>
          <cell r="Q140">
            <v>5.7814646596696999</v>
          </cell>
          <cell r="R140">
            <v>5.7726697559503881</v>
          </cell>
          <cell r="S140">
            <v>5.764456729244416</v>
          </cell>
          <cell r="T140">
            <v>5.7568259032482301</v>
          </cell>
          <cell r="U140">
            <v>5.7497437531595441</v>
          </cell>
          <cell r="V140">
            <v>5.7431563270673793</v>
          </cell>
          <cell r="W140">
            <v>5.7370093786604048</v>
          </cell>
          <cell r="X140">
            <v>5.7312533271880479</v>
          </cell>
          <cell r="Y140">
            <v>5.7258423472052851</v>
          </cell>
          <cell r="Z140">
            <v>5.7207336175115424</v>
          </cell>
          <cell r="AA140">
            <v>5.7158867434113727</v>
          </cell>
          <cell r="AB140">
            <v>5.7112634679576368</v>
          </cell>
          <cell r="AC140">
            <v>5.7068291056529556</v>
          </cell>
          <cell r="AD140">
            <v>5.7025537643784636</v>
          </cell>
          <cell r="AE140">
            <v>5.6984116883862068</v>
          </cell>
          <cell r="AF140">
            <v>5.6943804903015849</v>
          </cell>
          <cell r="AG140">
            <v>5.6904405879905573</v>
          </cell>
          <cell r="AH140">
            <v>5.6865747788849674</v>
          </cell>
          <cell r="AI140">
            <v>5.6827678900463923</v>
          </cell>
          <cell r="AJ140">
            <v>5.6790064889643954</v>
          </cell>
          <cell r="AK140">
            <v>5.6752787054303653</v>
          </cell>
          <cell r="AL140">
            <v>5.671574218707593</v>
          </cell>
          <cell r="AM140">
            <v>5.6678841211754278</v>
          </cell>
          <cell r="AN140">
            <v>5.6642007381522737</v>
          </cell>
          <cell r="AO140">
            <v>5.6605174737782518</v>
          </cell>
          <cell r="AP140">
            <v>5.65682868030843</v>
          </cell>
          <cell r="AQ140">
            <v>5.6531295524284859</v>
          </cell>
          <cell r="AR140">
            <v>5.6494160351042932</v>
          </cell>
          <cell r="AS140">
            <v>5.6456847387203899</v>
          </cell>
          <cell r="AT140">
            <v>5.6419328651445779</v>
          </cell>
          <cell r="AU140">
            <v>5.6381581434362582</v>
          </cell>
          <cell r="AV140">
            <v>5.6343587737622212</v>
          </cell>
          <cell r="AW140">
            <v>5.6305333776121982</v>
          </cell>
          <cell r="AX140">
            <v>5.6266809257775723</v>
          </cell>
          <cell r="AY140">
            <v>5.6228006378405722</v>
          </cell>
          <cell r="AZ140">
            <v>5.6188919417722252</v>
          </cell>
          <cell r="BA140">
            <v>5.6149544538016958</v>
          </cell>
          <cell r="BB140">
            <v>5.6109879606560877</v>
          </cell>
          <cell r="BC140">
            <v>5.6069924037735959</v>
          </cell>
          <cell r="BD140">
            <v>5.6029678652388544</v>
          </cell>
          <cell r="BE140">
            <v>5.5989145536732101</v>
          </cell>
          <cell r="BF140">
            <v>5.5948327643511018</v>
          </cell>
          <cell r="BG140">
            <v>5.5907228303881507</v>
          </cell>
          <cell r="BH140">
            <v>5.5865851135414291</v>
          </cell>
          <cell r="BI140">
            <v>5.5824200018198304</v>
          </cell>
        </row>
        <row r="141">
          <cell r="B141">
            <v>5.7891983320392599</v>
          </cell>
          <cell r="C141">
            <v>5.8121296524352379</v>
          </cell>
          <cell r="D141">
            <v>5.8286913778286902</v>
          </cell>
          <cell r="E141">
            <v>5.8397145602797229</v>
          </cell>
          <cell r="F141">
            <v>5.8458613840137073</v>
          </cell>
          <cell r="G141">
            <v>5.8477248502444574</v>
          </cell>
          <cell r="H141">
            <v>5.8459764824357991</v>
          </cell>
          <cell r="I141">
            <v>5.8410756959321635</v>
          </cell>
          <cell r="J141">
            <v>5.8332366470019927</v>
          </cell>
          <cell r="K141">
            <v>5.8228788119656665</v>
          </cell>
          <cell r="L141">
            <v>5.8105939165208467</v>
          </cell>
          <cell r="M141">
            <v>5.7970392172591794</v>
          </cell>
          <cell r="N141">
            <v>5.7828989634850227</v>
          </cell>
          <cell r="O141">
            <v>5.7687551078423498</v>
          </cell>
          <cell r="P141">
            <v>5.7549925084422116</v>
          </cell>
          <cell r="Q141">
            <v>5.7418472972122885</v>
          </cell>
          <cell r="R141">
            <v>5.7294507669937857</v>
          </cell>
          <cell r="S141">
            <v>5.7178585624348282</v>
          </cell>
          <cell r="T141">
            <v>5.7070705895045633</v>
          </cell>
          <cell r="U141">
            <v>5.6970451301212606</v>
          </cell>
          <cell r="V141">
            <v>5.6877166415598026</v>
          </cell>
          <cell r="W141">
            <v>5.6790193995265357</v>
          </cell>
          <cell r="X141">
            <v>5.6708921130918402</v>
          </cell>
          <cell r="Y141">
            <v>5.6632770317877767</v>
          </cell>
          <cell r="Z141">
            <v>5.6561192375157407</v>
          </cell>
          <cell r="AA141">
            <v>5.6493660998683417</v>
          </cell>
          <cell r="AB141">
            <v>5.642967171788702</v>
          </cell>
          <cell r="AC141">
            <v>5.6368765264487335</v>
          </cell>
          <cell r="AD141">
            <v>5.6310542076570043</v>
          </cell>
          <cell r="AE141">
            <v>5.6254653708450135</v>
          </cell>
          <cell r="AF141">
            <v>5.6200794050598297</v>
          </cell>
          <cell r="AG141">
            <v>5.6148692558815156</v>
          </cell>
          <cell r="AH141">
            <v>5.6098108863988534</v>
          </cell>
          <cell r="AI141">
            <v>5.6048828334580652</v>
          </cell>
          <cell r="AJ141">
            <v>5.6000658424724961</v>
          </cell>
          <cell r="AK141">
            <v>5.5953426855581361</v>
          </cell>
          <cell r="AL141">
            <v>5.5906981982107915</v>
          </cell>
          <cell r="AM141">
            <v>5.5861190918516579</v>
          </cell>
          <cell r="AN141">
            <v>5.5815937140044047</v>
          </cell>
          <cell r="AO141">
            <v>5.5771118437856266</v>
          </cell>
          <cell r="AP141">
            <v>5.5726645226772762</v>
          </cell>
          <cell r="AQ141">
            <v>5.5682439386997142</v>
          </cell>
          <cell r="AR141">
            <v>5.563843315579863</v>
          </cell>
          <cell r="AS141">
            <v>5.5594567961795072</v>
          </cell>
          <cell r="AT141">
            <v>5.5550793403691987</v>
          </cell>
          <cell r="AU141">
            <v>5.550706636222948</v>
          </cell>
          <cell r="AV141">
            <v>5.5463350225497825</v>
          </cell>
          <cell r="AW141">
            <v>5.5419614200070049</v>
          </cell>
          <cell r="AX141">
            <v>5.5375832416747883</v>
          </cell>
          <cell r="AY141">
            <v>5.5331982891832006</v>
          </cell>
          <cell r="AZ141">
            <v>5.5288047041478823</v>
          </cell>
          <cell r="BA141">
            <v>5.5244009354546444</v>
          </cell>
          <cell r="BB141">
            <v>5.5199857102717065</v>
          </cell>
          <cell r="BC141">
            <v>5.5155580082828104</v>
          </cell>
          <cell r="BD141">
            <v>5.5111170387312631</v>
          </cell>
          <cell r="BE141">
            <v>5.5066622175089703</v>
          </cell>
          <cell r="BF141">
            <v>5.5021931162863922</v>
          </cell>
          <cell r="BG141">
            <v>5.4977094110949496</v>
          </cell>
          <cell r="BH141">
            <v>5.4932108692659511</v>
          </cell>
          <cell r="BI141">
            <v>5.4886973418221618</v>
          </cell>
        </row>
        <row r="142">
          <cell r="B142">
            <v>5.7865005099666824</v>
          </cell>
          <cell r="C142">
            <v>5.814573871282855</v>
          </cell>
          <cell r="D142">
            <v>5.8330541143201513</v>
          </cell>
          <cell r="E142">
            <v>5.8447243895089036</v>
          </cell>
          <cell r="F142">
            <v>5.8506076396885183</v>
          </cell>
          <cell r="G142">
            <v>5.8516741228092179</v>
          </cell>
          <cell r="H142">
            <v>5.8489860362140558</v>
          </cell>
          <cell r="I142">
            <v>5.8432730301158751</v>
          </cell>
          <cell r="J142">
            <v>5.8348755010166204</v>
          </cell>
          <cell r="K142">
            <v>5.8242540498070943</v>
          </cell>
          <cell r="L142">
            <v>5.8119867426441392</v>
          </cell>
          <cell r="M142">
            <v>5.7986876091932595</v>
          </cell>
          <cell r="N142">
            <v>5.7849797394811588</v>
          </cell>
          <cell r="O142">
            <v>5.7713801659786661</v>
          </cell>
          <cell r="P142">
            <v>5.7582230301165165</v>
          </cell>
          <cell r="Q142">
            <v>5.7457067699303845</v>
          </cell>
          <cell r="R142">
            <v>5.7339362870269577</v>
          </cell>
          <cell r="S142">
            <v>5.7229499301940585</v>
          </cell>
          <cell r="T142">
            <v>5.7127370359093268</v>
          </cell>
          <cell r="U142">
            <v>5.7032503895257847</v>
          </cell>
          <cell r="V142">
            <v>5.6944228034644242</v>
          </cell>
          <cell r="W142">
            <v>5.6861885694806169</v>
          </cell>
          <cell r="X142">
            <v>5.6784870607707258</v>
          </cell>
          <cell r="Y142">
            <v>5.6712616938179572</v>
          </cell>
          <cell r="Z142">
            <v>5.6644591197349978</v>
          </cell>
          <cell r="AA142">
            <v>5.6580286022522968</v>
          </cell>
          <cell r="AB142">
            <v>5.6519218717012194</v>
          </cell>
          <cell r="AC142">
            <v>5.6460953199775288</v>
          </cell>
          <cell r="AD142">
            <v>5.6405112033112381</v>
          </cell>
          <cell r="AE142">
            <v>5.6351367449648855</v>
          </cell>
          <cell r="AF142">
            <v>5.6299432179484112</v>
          </cell>
          <cell r="AG142">
            <v>5.6249052809725812</v>
          </cell>
          <cell r="AH142">
            <v>5.6200004652120539</v>
          </cell>
          <cell r="AI142">
            <v>5.6152087518842189</v>
          </cell>
          <cell r="AJ142">
            <v>5.610512225097942</v>
          </cell>
          <cell r="AK142">
            <v>5.6058949025067957</v>
          </cell>
          <cell r="AL142">
            <v>5.601342757432926</v>
          </cell>
          <cell r="AM142">
            <v>5.5968435324536374</v>
          </cell>
          <cell r="AN142">
            <v>5.5923865130273764</v>
          </cell>
          <cell r="AO142">
            <v>5.5879623346397702</v>
          </cell>
          <cell r="AP142">
            <v>5.5835628240716382</v>
          </cell>
          <cell r="AQ142">
            <v>5.5791808924406583</v>
          </cell>
          <cell r="AR142">
            <v>5.5748104303016799</v>
          </cell>
          <cell r="AS142">
            <v>5.5704461972916732</v>
          </cell>
          <cell r="AT142">
            <v>5.5660837255650453</v>
          </cell>
          <cell r="AU142">
            <v>5.561719235824361</v>
          </cell>
          <cell r="AV142">
            <v>5.5573495640705293</v>
          </cell>
          <cell r="AW142">
            <v>5.5529720961490039</v>
          </cell>
          <cell r="AX142">
            <v>5.548584678808739</v>
          </cell>
          <cell r="AY142">
            <v>5.5441855180581037</v>
          </cell>
          <cell r="AZ142">
            <v>5.5397731341441538</v>
          </cell>
          <cell r="BA142">
            <v>5.5353463313218807</v>
          </cell>
          <cell r="BB142">
            <v>5.5309041710610032</v>
          </cell>
          <cell r="BC142">
            <v>5.526445948229795</v>
          </cell>
          <cell r="BD142">
            <v>5.5219711698770331</v>
          </cell>
          <cell r="BE142">
            <v>5.5174795329874309</v>
          </cell>
          <cell r="BF142">
            <v>5.5129708672789519</v>
          </cell>
          <cell r="BG142">
            <v>5.5084450799534226</v>
          </cell>
          <cell r="BH142">
            <v>5.5039021448287029</v>
          </cell>
          <cell r="BI142">
            <v>5.4993421018515036</v>
          </cell>
        </row>
        <row r="143">
          <cell r="B143">
            <v>5.7883142930179368</v>
          </cell>
          <cell r="C143">
            <v>5.8163046209004587</v>
          </cell>
          <cell r="D143">
            <v>5.8369212952304386</v>
          </cell>
          <cell r="E143">
            <v>5.851400935767459</v>
          </cell>
          <cell r="F143">
            <v>5.8603240628658648</v>
          </cell>
          <cell r="G143">
            <v>5.864050773228902</v>
          </cell>
          <cell r="H143">
            <v>5.8632221102335587</v>
          </cell>
          <cell r="I143">
            <v>5.8584244229451867</v>
          </cell>
          <cell r="J143">
            <v>5.8501116282554895</v>
          </cell>
          <cell r="K143">
            <v>5.8389492376430052</v>
          </cell>
          <cell r="L143">
            <v>5.8257115135763264</v>
          </cell>
          <cell r="M143">
            <v>5.8111614838191832</v>
          </cell>
          <cell r="N143">
            <v>5.796037667090145</v>
          </cell>
          <cell r="O143">
            <v>5.7809445736573748</v>
          </cell>
          <cell r="P143">
            <v>5.7662787988831088</v>
          </cell>
          <cell r="Q143">
            <v>5.7522829882414834</v>
          </cell>
          <cell r="R143">
            <v>5.739091505405792</v>
          </cell>
          <cell r="S143">
            <v>5.726760670996816</v>
          </cell>
          <cell r="T143">
            <v>5.7152893039299437</v>
          </cell>
          <cell r="U143">
            <v>5.7046333740277424</v>
          </cell>
          <cell r="V143">
            <v>5.6947253321728715</v>
          </cell>
          <cell r="W143">
            <v>5.6854976833750426</v>
          </cell>
          <cell r="X143">
            <v>5.6768868791564646</v>
          </cell>
          <cell r="Y143">
            <v>5.6688325107689419</v>
          </cell>
          <cell r="Z143">
            <v>5.661276681247954</v>
          </cell>
          <cell r="AA143">
            <v>5.6541635224864315</v>
          </cell>
          <cell r="AB143">
            <v>5.6474392660868897</v>
          </cell>
          <cell r="AC143">
            <v>5.6410550558907291</v>
          </cell>
          <cell r="AD143">
            <v>5.6349683614203441</v>
          </cell>
          <cell r="AE143">
            <v>5.6291420174144324</v>
          </cell>
          <cell r="AF143">
            <v>5.6235432777855605</v>
          </cell>
          <cell r="AG143">
            <v>5.6181431050387998</v>
          </cell>
          <cell r="AH143">
            <v>5.6129156082359302</v>
          </cell>
          <cell r="AI143">
            <v>5.607837580266505</v>
          </cell>
          <cell r="AJ143">
            <v>5.6028881188177122</v>
          </cell>
          <cell r="AK143">
            <v>5.5980484688126566</v>
          </cell>
          <cell r="AL143">
            <v>5.593302081046633</v>
          </cell>
          <cell r="AM143">
            <v>5.588634402543974</v>
          </cell>
          <cell r="AN143">
            <v>5.5840326210287277</v>
          </cell>
          <cell r="AO143">
            <v>5.5794854473514777</v>
          </cell>
          <cell r="AP143">
            <v>5.574982938384359</v>
          </cell>
          <cell r="AQ143">
            <v>5.5705163836706024</v>
          </cell>
          <cell r="AR143">
            <v>5.5660781886189943</v>
          </cell>
          <cell r="AS143">
            <v>5.5616617487530711</v>
          </cell>
          <cell r="AT143">
            <v>5.5572613396983579</v>
          </cell>
          <cell r="AU143">
            <v>5.5528720215191152</v>
          </cell>
          <cell r="AV143">
            <v>5.5484895552674107</v>
          </cell>
          <cell r="AW143">
            <v>5.5441103284588547</v>
          </cell>
          <cell r="AX143">
            <v>5.539731258840547</v>
          </cell>
          <cell r="AY143">
            <v>5.5353496904793396</v>
          </cell>
          <cell r="AZ143">
            <v>5.5309633437157792</v>
          </cell>
          <cell r="BA143">
            <v>5.5265702789756839</v>
          </cell>
          <cell r="BB143">
            <v>5.5221688646866243</v>
          </cell>
          <cell r="BC143">
            <v>5.5177577487592409</v>
          </cell>
          <cell r="BD143">
            <v>5.5133358331796973</v>
          </cell>
          <cell r="BE143">
            <v>5.5089022475135625</v>
          </cell>
          <cell r="BF143">
            <v>5.504456286432637</v>
          </cell>
          <cell r="BG143">
            <v>5.4999973527013122</v>
          </cell>
          <cell r="BH143">
            <v>5.495524944243888</v>
          </cell>
          <cell r="BI143">
            <v>5.4910386518874512</v>
          </cell>
        </row>
        <row r="144">
          <cell r="B144">
            <v>5.7858711177243514</v>
          </cell>
          <cell r="C144">
            <v>5.8156674285594248</v>
          </cell>
          <cell r="D144">
            <v>5.8341523194946472</v>
          </cell>
          <cell r="E144">
            <v>5.8458249373717193</v>
          </cell>
          <cell r="F144">
            <v>5.8521001982913923</v>
          </cell>
          <cell r="G144">
            <v>5.8534953844943667</v>
          </cell>
          <cell r="H144">
            <v>5.8506056891991021</v>
          </cell>
          <cell r="I144">
            <v>5.8438895305733949</v>
          </cell>
          <cell r="J144">
            <v>5.8336813822434577</v>
          </cell>
          <cell r="K144">
            <v>5.8206027960036133</v>
          </cell>
          <cell r="L144">
            <v>5.805430386508041</v>
          </cell>
          <cell r="M144">
            <v>5.7889521918996696</v>
          </cell>
          <cell r="N144">
            <v>5.7719443627933424</v>
          </cell>
          <cell r="O144">
            <v>5.7550468614063801</v>
          </cell>
          <cell r="P144">
            <v>5.7386799581676584</v>
          </cell>
          <cell r="Q144">
            <v>5.7231006841403875</v>
          </cell>
          <cell r="R144">
            <v>5.7084504069554214</v>
          </cell>
          <cell r="S144">
            <v>5.6947867924872364</v>
          </cell>
          <cell r="T144">
            <v>5.6821058283145947</v>
          </cell>
          <cell r="U144">
            <v>5.6703576022579485</v>
          </cell>
          <cell r="V144">
            <v>5.6594675896909994</v>
          </cell>
          <cell r="W144">
            <v>5.6493614902452709</v>
          </cell>
          <cell r="X144">
            <v>5.6399689798633705</v>
          </cell>
          <cell r="Y144">
            <v>5.6312228933602553</v>
          </cell>
          <cell r="Z144">
            <v>5.6230585926487704</v>
          </cell>
          <cell r="AA144">
            <v>5.615413481035751</v>
          </cell>
          <cell r="AB144">
            <v>5.6082271765453102</v>
          </cell>
          <cell r="AC144">
            <v>5.601444722017173</v>
          </cell>
          <cell r="AD144">
            <v>5.5950180316339369</v>
          </cell>
          <cell r="AE144">
            <v>5.588904860921577</v>
          </cell>
          <cell r="AF144">
            <v>5.5830678501794102</v>
          </cell>
          <cell r="AG144">
            <v>5.577473757919388</v>
          </cell>
          <cell r="AH144">
            <v>5.5720928368782134</v>
          </cell>
          <cell r="AI144">
            <v>5.5668983201607611</v>
          </cell>
          <cell r="AJ144">
            <v>5.5618660017210875</v>
          </cell>
          <cell r="AK144">
            <v>5.5569740830008731</v>
          </cell>
          <cell r="AL144">
            <v>5.5522032511640527</v>
          </cell>
          <cell r="AM144">
            <v>5.5475364380640837</v>
          </cell>
          <cell r="AN144">
            <v>5.5429585327807285</v>
          </cell>
          <cell r="AO144">
            <v>5.5384561369982572</v>
          </cell>
          <cell r="AP144">
            <v>5.5340173690328305</v>
          </cell>
          <cell r="AQ144">
            <v>5.529631747601516</v>
          </cell>
          <cell r="AR144">
            <v>5.5252900628547135</v>
          </cell>
          <cell r="AS144">
            <v>5.5209842330838992</v>
          </cell>
          <cell r="AT144">
            <v>5.5167071793726112</v>
          </cell>
          <cell r="AU144">
            <v>5.5124527165973127</v>
          </cell>
          <cell r="AV144">
            <v>5.5082154583430416</v>
          </cell>
          <cell r="AW144">
            <v>5.5039907321213084</v>
          </cell>
          <cell r="AX144">
            <v>5.4997744761485174</v>
          </cell>
          <cell r="AY144">
            <v>5.4955631337296982</v>
          </cell>
          <cell r="AZ144">
            <v>5.4913535971115186</v>
          </cell>
          <cell r="BA144">
            <v>5.4871431643109574</v>
          </cell>
          <cell r="BB144">
            <v>5.4829295008350938</v>
          </cell>
          <cell r="BC144">
            <v>5.4787106056542374</v>
          </cell>
          <cell r="BD144">
            <v>5.4744847808870878</v>
          </cell>
          <cell r="BE144">
            <v>5.4702506005589422</v>
          </cell>
          <cell r="BF144">
            <v>5.4660068443808116</v>
          </cell>
          <cell r="BG144">
            <v>5.4617524403069266</v>
          </cell>
          <cell r="BH144">
            <v>5.4574864488729764</v>
          </cell>
          <cell r="BI144">
            <v>5.4532080587826455</v>
          </cell>
        </row>
        <row r="145">
          <cell r="B145">
            <v>5.7871787675457096</v>
          </cell>
          <cell r="C145">
            <v>5.8105270075628361</v>
          </cell>
          <cell r="D145">
            <v>5.8231345691489302</v>
          </cell>
          <cell r="E145">
            <v>5.8303929969164532</v>
          </cell>
          <cell r="F145">
            <v>5.8333613352712606</v>
          </cell>
          <cell r="G145">
            <v>5.8316469751397024</v>
          </cell>
          <cell r="H145">
            <v>5.8252465538296443</v>
          </cell>
          <cell r="I145">
            <v>5.814342471496059</v>
          </cell>
          <cell r="J145">
            <v>5.7992587929526014</v>
          </cell>
          <cell r="K145">
            <v>5.7807893765051395</v>
          </cell>
          <cell r="L145">
            <v>5.7599396736778541</v>
          </cell>
          <cell r="M145">
            <v>5.7376938719509978</v>
          </cell>
          <cell r="N145">
            <v>5.7149967005675357</v>
          </cell>
          <cell r="O145">
            <v>5.6926311594722714</v>
          </cell>
          <cell r="P145">
            <v>5.6711145996545547</v>
          </cell>
          <cell r="Q145">
            <v>5.6507632058798798</v>
          </cell>
          <cell r="R145">
            <v>5.6317487343094195</v>
          </cell>
          <cell r="S145">
            <v>5.6141377672226538</v>
          </cell>
          <cell r="T145">
            <v>5.5979193757195294</v>
          </cell>
          <cell r="U145">
            <v>5.5830250323619346</v>
          </cell>
          <cell r="V145">
            <v>5.5693559340903169</v>
          </cell>
          <cell r="W145">
            <v>5.5568134086391856</v>
          </cell>
          <cell r="X145">
            <v>5.545303165949548</v>
          </cell>
          <cell r="Y145">
            <v>5.5347343938492708</v>
          </cell>
          <cell r="Z145">
            <v>5.5250190624756979</v>
          </cell>
          <cell r="AA145">
            <v>5.5160713899422449</v>
          </cell>
          <cell r="AB145">
            <v>5.5078082370600567</v>
          </cell>
          <cell r="AC145">
            <v>5.5001535011441831</v>
          </cell>
          <cell r="AD145">
            <v>5.4930398990274796</v>
          </cell>
          <cell r="AE145">
            <v>5.4864077276377978</v>
          </cell>
          <cell r="AF145">
            <v>5.480203826642331</v>
          </cell>
          <cell r="AG145">
            <v>5.4743805954352425</v>
          </cell>
          <cell r="AH145">
            <v>5.4688951508990842</v>
          </cell>
          <cell r="AI145">
            <v>5.4637086336565028</v>
          </cell>
          <cell r="AJ145">
            <v>5.4587856441477687</v>
          </cell>
          <cell r="AK145">
            <v>5.4540940716661828</v>
          </cell>
          <cell r="AL145">
            <v>5.4496052242029398</v>
          </cell>
          <cell r="AM145">
            <v>5.4452934914318156</v>
          </cell>
          <cell r="AN145">
            <v>5.4411359499219598</v>
          </cell>
          <cell r="AO145">
            <v>5.4371120273656857</v>
          </cell>
          <cell r="AP145">
            <v>5.4332032419433274</v>
          </cell>
          <cell r="AQ145">
            <v>5.4293930734798872</v>
          </cell>
          <cell r="AR145">
            <v>5.4256667941551067</v>
          </cell>
          <cell r="AS145">
            <v>5.422011266643187</v>
          </cell>
          <cell r="AT145">
            <v>5.4184147673911705</v>
          </cell>
          <cell r="AU145">
            <v>5.4148668329479861</v>
          </cell>
          <cell r="AV145">
            <v>5.4113581259110575</v>
          </cell>
          <cell r="AW145">
            <v>5.4078803172275176</v>
          </cell>
          <cell r="AX145">
            <v>5.4044259763836191</v>
          </cell>
          <cell r="AY145">
            <v>5.4009884721022479</v>
          </cell>
          <cell r="AZ145">
            <v>5.3975618926976736</v>
          </cell>
          <cell r="BA145">
            <v>5.3941409768836923</v>
          </cell>
          <cell r="BB145">
            <v>5.3907210524151763</v>
          </cell>
          <cell r="BC145">
            <v>5.3872979815472375</v>
          </cell>
          <cell r="BD145">
            <v>5.3838681124442731</v>
          </cell>
          <cell r="BE145">
            <v>5.3804282325161203</v>
          </cell>
          <cell r="BF145">
            <v>5.3769754995605767</v>
          </cell>
          <cell r="BG145">
            <v>5.3735073833615026</v>
          </cell>
          <cell r="BH145">
            <v>5.3700216385120223</v>
          </cell>
          <cell r="BI145">
            <v>5.3665163130615952</v>
          </cell>
        </row>
        <row r="146">
          <cell r="B146">
            <v>5.7825422776957884</v>
          </cell>
          <cell r="C146">
            <v>5.8004690474382352</v>
          </cell>
          <cell r="D146">
            <v>5.8109055432505663</v>
          </cell>
          <cell r="E146">
            <v>5.8163397072724701</v>
          </cell>
          <cell r="F146">
            <v>5.8169150229628377</v>
          </cell>
          <cell r="G146">
            <v>5.8122770934429395</v>
          </cell>
          <cell r="H146">
            <v>5.8026636868880095</v>
          </cell>
          <cell r="I146">
            <v>5.7884181644814463</v>
          </cell>
          <cell r="J146">
            <v>5.7699694157475037</v>
          </cell>
          <cell r="K146">
            <v>5.7482079373038513</v>
          </cell>
          <cell r="L146">
            <v>5.7242061829900592</v>
          </cell>
          <cell r="M146">
            <v>5.6989952627143587</v>
          </cell>
          <cell r="N146">
            <v>5.6735536267374309</v>
          </cell>
          <cell r="O146">
            <v>5.6486777246716509</v>
          </cell>
          <cell r="P146">
            <v>5.6248830764403079</v>
          </cell>
          <cell r="Q146">
            <v>5.6024757807974028</v>
          </cell>
          <cell r="R146">
            <v>5.5816144498243201</v>
          </cell>
          <cell r="S146">
            <v>5.5623512739592993</v>
          </cell>
          <cell r="T146">
            <v>5.5446600286348291</v>
          </cell>
          <cell r="U146">
            <v>5.5284566073851096</v>
          </cell>
          <cell r="V146">
            <v>5.5136295114904357</v>
          </cell>
          <cell r="W146">
            <v>5.5000693842217041</v>
          </cell>
          <cell r="X146">
            <v>5.4876718328009559</v>
          </cell>
          <cell r="Y146">
            <v>5.4763363957662747</v>
          </cell>
          <cell r="Z146">
            <v>5.4659657567085702</v>
          </cell>
          <cell r="AA146">
            <v>5.4564651431721378</v>
          </cell>
          <cell r="AB146">
            <v>5.4477430456376483</v>
          </cell>
          <cell r="AC146">
            <v>5.4397161923250081</v>
          </cell>
          <cell r="AD146">
            <v>5.4323108921006487</v>
          </cell>
          <cell r="AE146">
            <v>5.425461657892348</v>
          </cell>
          <cell r="AF146">
            <v>5.419110094656614</v>
          </cell>
          <cell r="AG146">
            <v>5.413203826165514</v>
          </cell>
          <cell r="AH146">
            <v>5.4076955831062721</v>
          </cell>
          <cell r="AI146">
            <v>5.4025424520643508</v>
          </cell>
          <cell r="AJ146">
            <v>5.3977052727323107</v>
          </cell>
          <cell r="AK146">
            <v>5.3931485029488542</v>
          </cell>
          <cell r="AL146">
            <v>5.3888403071581514</v>
          </cell>
          <cell r="AM146">
            <v>5.3847521567625511</v>
          </cell>
          <cell r="AN146">
            <v>5.3808584062164728</v>
          </cell>
          <cell r="AO146">
            <v>5.3771359329497566</v>
          </cell>
          <cell r="AP146">
            <v>5.373563868939601</v>
          </cell>
          <cell r="AQ146">
            <v>5.3701234745784641</v>
          </cell>
          <cell r="AR146">
            <v>5.3667979471985392</v>
          </cell>
          <cell r="AS146">
            <v>5.3635722020951428</v>
          </cell>
          <cell r="AT146">
            <v>5.3604326816419308</v>
          </cell>
          <cell r="AU146">
            <v>5.3573671893041173</v>
          </cell>
          <cell r="AV146">
            <v>5.3543647448415017</v>
          </cell>
          <cell r="AW146">
            <v>5.351415457070468</v>
          </cell>
          <cell r="AX146">
            <v>5.3485104058935926</v>
          </cell>
          <cell r="AY146">
            <v>5.3456415376414412</v>
          </cell>
          <cell r="AZ146">
            <v>5.3428015793424182</v>
          </cell>
          <cell r="BA146">
            <v>5.3399839636556594</v>
          </cell>
          <cell r="BB146">
            <v>5.3371827623020947</v>
          </cell>
          <cell r="BC146">
            <v>5.3343926268920603</v>
          </cell>
          <cell r="BD146">
            <v>5.3316087362068609</v>
          </cell>
          <cell r="BE146">
            <v>5.3288267452201676</v>
          </cell>
          <cell r="BF146">
            <v>5.3260427157161461</v>
          </cell>
          <cell r="BG146">
            <v>5.3232530617500009</v>
          </cell>
          <cell r="BH146">
            <v>5.3204545203820626</v>
          </cell>
          <cell r="BI146">
            <v>5.3176441548700062</v>
          </cell>
        </row>
        <row r="147">
          <cell r="B147">
            <v>5.7837517320981204</v>
          </cell>
          <cell r="C147">
            <v>5.802775187500858</v>
          </cell>
          <cell r="D147">
            <v>5.8126045905269601</v>
          </cell>
          <cell r="E147">
            <v>5.8172913330766765</v>
          </cell>
          <cell r="F147">
            <v>5.8173823694680831</v>
          </cell>
          <cell r="G147">
            <v>5.8123752194359497</v>
          </cell>
          <cell r="H147">
            <v>5.802325338029882</v>
          </cell>
          <cell r="I147">
            <v>5.787501562457475</v>
          </cell>
          <cell r="J147">
            <v>5.7683918565745342</v>
          </cell>
          <cell r="K147">
            <v>5.7459374601690296</v>
          </cell>
          <cell r="L147">
            <v>5.7212321759662572</v>
          </cell>
          <cell r="M147">
            <v>5.6953139717540564</v>
          </cell>
          <cell r="N147">
            <v>5.669159504027462</v>
          </cell>
          <cell r="O147">
            <v>5.6435567094813104</v>
          </cell>
          <cell r="P147">
            <v>5.6190179803883105</v>
          </cell>
          <cell r="Q147">
            <v>5.5958514297035054</v>
          </cell>
          <cell r="R147">
            <v>5.5742190137092518</v>
          </cell>
          <cell r="S147">
            <v>5.5541766167361848</v>
          </cell>
          <cell r="T147">
            <v>5.5357019607864038</v>
          </cell>
          <cell r="U147">
            <v>5.5187152018659553</v>
          </cell>
          <cell r="V147">
            <v>5.5031096811554301</v>
          </cell>
          <cell r="W147">
            <v>5.4887801636263198</v>
          </cell>
          <cell r="X147">
            <v>5.4756253900913689</v>
          </cell>
          <cell r="Y147">
            <v>5.463547249549455</v>
          </cell>
          <cell r="Z147">
            <v>5.4524501495483708</v>
          </cell>
          <cell r="AA147">
            <v>5.4422405373878835</v>
          </cell>
          <cell r="AB147">
            <v>5.4328278177749922</v>
          </cell>
          <cell r="AC147">
            <v>5.424129403130963</v>
          </cell>
          <cell r="AD147">
            <v>5.4160719170100347</v>
          </cell>
          <cell r="AE147">
            <v>5.4085899175126473</v>
          </cell>
          <cell r="AF147">
            <v>5.4016248949630636</v>
          </cell>
          <cell r="AG147">
            <v>5.3951242308501826</v>
          </cell>
          <cell r="AH147">
            <v>5.3890403052567466</v>
          </cell>
          <cell r="AI147">
            <v>5.3833297617720133</v>
          </cell>
          <cell r="AJ147">
            <v>5.3779529224779559</v>
          </cell>
          <cell r="AK147">
            <v>5.3728737041326795</v>
          </cell>
          <cell r="AL147">
            <v>5.3680597266148649</v>
          </cell>
          <cell r="AM147">
            <v>5.363481908743359</v>
          </cell>
          <cell r="AN147">
            <v>5.3591140453680408</v>
          </cell>
          <cell r="AO147">
            <v>5.3549324483488006</v>
          </cell>
          <cell r="AP147">
            <v>5.3509156894120906</v>
          </cell>
          <cell r="AQ147">
            <v>5.3470444981990992</v>
          </cell>
          <cell r="AR147">
            <v>5.343301572439219</v>
          </cell>
          <cell r="AS147">
            <v>5.3396713553546293</v>
          </cell>
          <cell r="AT147">
            <v>5.3361398417166468</v>
          </cell>
          <cell r="AU147">
            <v>5.3326944091990809</v>
          </cell>
          <cell r="AV147">
            <v>5.3293236712609531</v>
          </cell>
          <cell r="AW147">
            <v>5.3260173481446049</v>
          </cell>
          <cell r="AX147">
            <v>5.3227661507890627</v>
          </cell>
          <cell r="AY147">
            <v>5.3195616785238551</v>
          </cell>
          <cell r="AZ147">
            <v>5.3163963316647393</v>
          </cell>
          <cell r="BA147">
            <v>5.3132632344957926</v>
          </cell>
          <cell r="BB147">
            <v>5.3101561669705095</v>
          </cell>
          <cell r="BC147">
            <v>5.3070695040016806</v>
          </cell>
          <cell r="BD147">
            <v>5.3039981613716298</v>
          </cell>
          <cell r="BE147">
            <v>5.3009375432063379</v>
          </cell>
          <cell r="BF147">
            <v>5.2978834717312369</v>
          </cell>
          <cell r="BG147">
            <v>5.2948321332312842</v>
          </cell>
          <cell r="BH147">
            <v>5.2917800481573041</v>
          </cell>
          <cell r="BI147">
            <v>5.2887240733210001</v>
          </cell>
        </row>
        <row r="148">
          <cell r="B148">
            <v>5.7817953896313217</v>
          </cell>
          <cell r="C148">
            <v>5.813587658982744</v>
          </cell>
          <cell r="D148">
            <v>5.8325374791981099</v>
          </cell>
          <cell r="E148">
            <v>5.8445238148713656</v>
          </cell>
          <cell r="F148">
            <v>5.8501809261300508</v>
          </cell>
          <cell r="G148">
            <v>5.8494944031081886</v>
          </cell>
          <cell r="H148">
            <v>5.8429388893400631</v>
          </cell>
          <cell r="I148">
            <v>5.8311682135194021</v>
          </cell>
          <cell r="J148">
            <v>5.8149877363427613</v>
          </cell>
          <cell r="K148">
            <v>5.7954812391341699</v>
          </cell>
          <cell r="L148">
            <v>5.7737605950035507</v>
          </cell>
          <cell r="M148">
            <v>5.7508123934959219</v>
          </cell>
          <cell r="N148">
            <v>5.7275234823921251</v>
          </cell>
          <cell r="O148">
            <v>5.7045988171796003</v>
          </cell>
          <cell r="P148">
            <v>5.6825039442823879</v>
          </cell>
          <cell r="Q148">
            <v>5.6615265826293664</v>
          </cell>
          <cell r="R148">
            <v>5.6418240816441774</v>
          </cell>
          <cell r="S148">
            <v>5.6234584593545867</v>
          </cell>
          <cell r="T148">
            <v>5.6064214822906875</v>
          </cell>
          <cell r="U148">
            <v>5.5906532670764957</v>
          </cell>
          <cell r="V148">
            <v>5.576069688034103</v>
          </cell>
          <cell r="W148">
            <v>5.5625861692275977</v>
          </cell>
          <cell r="X148">
            <v>5.550119943803062</v>
          </cell>
          <cell r="Y148">
            <v>5.5385896772879502</v>
          </cell>
          <cell r="Z148">
            <v>5.5279151811148113</v>
          </cell>
          <cell r="AA148">
            <v>5.5180171992773248</v>
          </cell>
          <cell r="AB148">
            <v>5.508818477277349</v>
          </cell>
          <cell r="AC148">
            <v>5.5002483412591978</v>
          </cell>
          <cell r="AD148">
            <v>5.4922436931357943</v>
          </cell>
          <cell r="AE148">
            <v>5.48474799632843</v>
          </cell>
          <cell r="AF148">
            <v>5.4777104898372384</v>
          </cell>
          <cell r="AG148">
            <v>5.4710853236931944</v>
          </cell>
          <cell r="AH148">
            <v>5.4648308148770113</v>
          </cell>
          <cell r="AI148">
            <v>5.4589088345324113</v>
          </cell>
          <cell r="AJ148">
            <v>5.4532843273055889</v>
          </cell>
          <cell r="AK148">
            <v>5.4479253163324257</v>
          </cell>
          <cell r="AL148">
            <v>5.4428030465858459</v>
          </cell>
          <cell r="AM148">
            <v>5.437891632529694</v>
          </cell>
          <cell r="AN148">
            <v>5.4331676902479051</v>
          </cell>
          <cell r="AO148">
            <v>5.4286100254371865</v>
          </cell>
          <cell r="AP148">
            <v>5.4241994248962939</v>
          </cell>
          <cell r="AQ148">
            <v>5.4199186025089015</v>
          </cell>
          <cell r="AR148">
            <v>5.4157520368686489</v>
          </cell>
          <cell r="AS148">
            <v>5.4116857716390516</v>
          </cell>
          <cell r="AT148">
            <v>5.4077072416568459</v>
          </cell>
          <cell r="AU148">
            <v>5.4038051217175118</v>
          </cell>
          <cell r="AV148">
            <v>5.3999691946647621</v>
          </cell>
          <cell r="AW148">
            <v>5.396190236446337</v>
          </cell>
          <cell r="AX148">
            <v>5.3924599197619392</v>
          </cell>
          <cell r="AY148">
            <v>5.3887707291590976</v>
          </cell>
          <cell r="AZ148">
            <v>5.3851158818521689</v>
          </cell>
          <cell r="BA148">
            <v>5.3814892572735991</v>
          </cell>
          <cell r="BB148">
            <v>5.3778853346005215</v>
          </cell>
          <cell r="BC148">
            <v>5.3742991372228426</v>
          </cell>
          <cell r="BD148">
            <v>5.370726183265397</v>
          </cell>
          <cell r="BE148">
            <v>5.3671624376409737</v>
          </cell>
          <cell r="BF148">
            <v>5.3636042504347543</v>
          </cell>
          <cell r="BG148">
            <v>5.3600483099887013</v>
          </cell>
          <cell r="BH148">
            <v>5.3564916159136269</v>
          </cell>
          <cell r="BI148">
            <v>5.3529314864792319</v>
          </cell>
        </row>
        <row r="149">
          <cell r="B149">
            <v>5.7772264522272065</v>
          </cell>
          <cell r="C149">
            <v>5.8041384945141692</v>
          </cell>
          <cell r="D149">
            <v>5.8218876454528514</v>
          </cell>
          <cell r="E149">
            <v>5.8335178773715048</v>
          </cell>
          <cell r="F149">
            <v>5.8392350925609451</v>
          </cell>
          <cell r="G149">
            <v>5.8388566252001919</v>
          </cell>
          <cell r="H149">
            <v>5.8327156364306161</v>
          </cell>
          <cell r="I149">
            <v>5.8213869026610894</v>
          </cell>
          <cell r="J149">
            <v>5.8056680335693756</v>
          </cell>
          <cell r="K149">
            <v>5.7866361742798382</v>
          </cell>
          <cell r="L149">
            <v>5.7653895811489324</v>
          </cell>
          <cell r="M149">
            <v>5.7428965574640998</v>
          </cell>
          <cell r="N149">
            <v>5.7200233016101789</v>
          </cell>
          <cell r="O149">
            <v>5.6974589163947771</v>
          </cell>
          <cell r="P149">
            <v>5.6756625895400887</v>
          </cell>
          <cell r="Q149">
            <v>5.654921769162133</v>
          </cell>
          <cell r="R149">
            <v>5.635396030883256</v>
          </cell>
          <cell r="S149">
            <v>5.617151108631723</v>
          </cell>
          <cell r="T149">
            <v>5.6001835826835817</v>
          </cell>
          <cell r="U149">
            <v>5.5844393212637655</v>
          </cell>
          <cell r="V149">
            <v>5.5698407138948909</v>
          </cell>
          <cell r="W149">
            <v>5.5563090900447722</v>
          </cell>
          <cell r="X149">
            <v>5.5437667946554789</v>
          </cell>
          <cell r="Y149">
            <v>5.5321369766303938</v>
          </cell>
          <cell r="Z149">
            <v>5.5213434280419573</v>
          </cell>
          <cell r="AA149">
            <v>5.511310470068894</v>
          </cell>
          <cell r="AB149">
            <v>5.5019641779860349</v>
          </cell>
          <cell r="AC149">
            <v>5.4932369293908874</v>
          </cell>
          <cell r="AD149">
            <v>5.4850682678503579</v>
          </cell>
          <cell r="AE149">
            <v>5.4774039265975727</v>
          </cell>
          <cell r="AF149">
            <v>5.4701950586098427</v>
          </cell>
          <cell r="AG149">
            <v>5.4633974188547043</v>
          </cell>
          <cell r="AH149">
            <v>5.4569706670237919</v>
          </cell>
          <cell r="AI149">
            <v>5.450877793308698</v>
          </cell>
          <cell r="AJ149">
            <v>5.4450846741364565</v>
          </cell>
          <cell r="AK149">
            <v>5.4395601244633935</v>
          </cell>
          <cell r="AL149">
            <v>5.4342760471078551</v>
          </cell>
          <cell r="AM149">
            <v>5.4292070903671998</v>
          </cell>
          <cell r="AN149">
            <v>5.4243302960373212</v>
          </cell>
          <cell r="AO149">
            <v>5.4196248011784043</v>
          </cell>
          <cell r="AP149">
            <v>5.4150716490796498</v>
          </cell>
          <cell r="AQ149">
            <v>5.4106537538672841</v>
          </cell>
          <cell r="AR149">
            <v>5.4063557432458138</v>
          </cell>
          <cell r="AS149">
            <v>5.4021637645013483</v>
          </cell>
          <cell r="AT149">
            <v>5.3980653156591991</v>
          </cell>
          <cell r="AU149">
            <v>5.3940490986643974</v>
          </cell>
          <cell r="AV149">
            <v>5.390104891305139</v>
          </cell>
          <cell r="AW149">
            <v>5.3862234361153982</v>
          </cell>
          <cell r="AX149">
            <v>5.3823963511525577</v>
          </cell>
          <cell r="AY149">
            <v>5.3786160506639282</v>
          </cell>
          <cell r="AZ149">
            <v>5.3748756676732885</v>
          </cell>
          <cell r="BA149">
            <v>5.3711689848677668</v>
          </cell>
          <cell r="BB149">
            <v>5.3674903733088453</v>
          </cell>
          <cell r="BC149">
            <v>5.3638347379532512</v>
          </cell>
          <cell r="BD149">
            <v>5.3601974691110295</v>
          </cell>
          <cell r="BE149">
            <v>5.3565743954613998</v>
          </cell>
          <cell r="BF149">
            <v>5.3529617256735271</v>
          </cell>
          <cell r="BG149">
            <v>5.3493560043061876</v>
          </cell>
          <cell r="BH149">
            <v>5.3457540852637537</v>
          </cell>
          <cell r="BI149">
            <v>5.3421531372034892</v>
          </cell>
        </row>
        <row r="150">
          <cell r="B150">
            <v>5.7761241862828969</v>
          </cell>
          <cell r="C150">
            <v>5.808457764341088</v>
          </cell>
          <cell r="D150">
            <v>5.8327172507981553</v>
          </cell>
          <cell r="E150">
            <v>5.8500295820106869</v>
          </cell>
          <cell r="F150">
            <v>5.8602763783088445</v>
          </cell>
          <cell r="G150">
            <v>5.8634421160792716</v>
          </cell>
          <cell r="H150">
            <v>5.8600367681537557</v>
          </cell>
          <cell r="I150">
            <v>5.8508249479279364</v>
          </cell>
          <cell r="J150">
            <v>5.8367990020050877</v>
          </cell>
          <cell r="K150">
            <v>5.8191839549732753</v>
          </cell>
          <cell r="L150">
            <v>5.7991718601347229</v>
          </cell>
          <cell r="M150">
            <v>5.7777731524777227</v>
          </cell>
          <cell r="N150">
            <v>5.7558657858407525</v>
          </cell>
          <cell r="O150">
            <v>5.734149644385159</v>
          </cell>
          <cell r="P150">
            <v>5.7130982322354029</v>
          </cell>
          <cell r="Q150">
            <v>5.6930128348659448</v>
          </cell>
          <cell r="R150">
            <v>5.6740645572262549</v>
          </cell>
          <cell r="S150">
            <v>5.656328703823216</v>
          </cell>
          <cell r="T150">
            <v>5.6398099829731114</v>
          </cell>
          <cell r="U150">
            <v>5.6244614594282858</v>
          </cell>
          <cell r="V150">
            <v>5.6102123753650464</v>
          </cell>
          <cell r="W150">
            <v>5.5969898583499162</v>
          </cell>
          <cell r="X150">
            <v>5.5847209864618312</v>
          </cell>
          <cell r="Y150">
            <v>5.5733327986066925</v>
          </cell>
          <cell r="Z150">
            <v>5.5627523023519787</v>
          </cell>
          <cell r="AA150">
            <v>5.5529064930315624</v>
          </cell>
          <cell r="AB150">
            <v>5.5437237865813636</v>
          </cell>
          <cell r="AC150">
            <v>5.5351386294678608</v>
          </cell>
          <cell r="AD150">
            <v>5.5270922752430032</v>
          </cell>
          <cell r="AE150">
            <v>5.5195318871566545</v>
          </cell>
          <cell r="AF150">
            <v>5.5124098305491582</v>
          </cell>
          <cell r="AG150">
            <v>5.5056828886027631</v>
          </cell>
          <cell r="AH150">
            <v>5.4993115929734193</v>
          </cell>
          <cell r="AI150">
            <v>5.4932596725446423</v>
          </cell>
          <cell r="AJ150">
            <v>5.4874936345041938</v>
          </cell>
          <cell r="AK150">
            <v>5.4819828699980908</v>
          </cell>
          <cell r="AL150">
            <v>5.4766998162010871</v>
          </cell>
          <cell r="AM150">
            <v>5.4716196144313409</v>
          </cell>
          <cell r="AN150">
            <v>5.4667197634661857</v>
          </cell>
          <cell r="AO150">
            <v>5.4619798261793582</v>
          </cell>
          <cell r="AP150">
            <v>5.4573812551375909</v>
          </cell>
          <cell r="AQ150">
            <v>5.4529073743106862</v>
          </cell>
          <cell r="AR150">
            <v>5.448543221736962</v>
          </cell>
          <cell r="AS150">
            <v>5.444275355340026</v>
          </cell>
          <cell r="AT150">
            <v>5.4400916840526277</v>
          </cell>
          <cell r="AU150">
            <v>5.4359813209678443</v>
          </cell>
          <cell r="AV150">
            <v>5.4319344552369326</v>
          </cell>
          <cell r="AW150">
            <v>5.4279422408101912</v>
          </cell>
          <cell r="AX150">
            <v>5.4239967051906524</v>
          </cell>
          <cell r="AY150">
            <v>5.4200906680578607</v>
          </cell>
          <cell r="AZ150">
            <v>5.4162176640282107</v>
          </cell>
          <cell r="BA150">
            <v>5.4123718739110025</v>
          </cell>
          <cell r="BB150">
            <v>5.4085480637468626</v>
          </cell>
          <cell r="BC150">
            <v>5.4047415306196491</v>
          </cell>
          <cell r="BD150">
            <v>5.4009480543674417</v>
          </cell>
          <cell r="BE150">
            <v>5.3971638493882326</v>
          </cell>
          <cell r="BF150">
            <v>5.3933855009357918</v>
          </cell>
          <cell r="BG150">
            <v>5.3896099195939842</v>
          </cell>
          <cell r="BH150">
            <v>5.3858343163262345</v>
          </cell>
          <cell r="BI150">
            <v>5.3820562143245523</v>
          </cell>
        </row>
        <row r="151">
          <cell r="B151">
            <v>5.7747613687323582</v>
          </cell>
          <cell r="C151">
            <v>5.8088448393784979</v>
          </cell>
          <cell r="D151">
            <v>5.8320390482778315</v>
          </cell>
          <cell r="E151">
            <v>5.8481253705541176</v>
          </cell>
          <cell r="F151">
            <v>5.8573946417484404</v>
          </cell>
          <cell r="G151">
            <v>5.8599922751600548</v>
          </cell>
          <cell r="H151">
            <v>5.8562814435986752</v>
          </cell>
          <cell r="I151">
            <v>5.8468841407286609</v>
          </cell>
          <cell r="J151">
            <v>5.832751330416734</v>
          </cell>
          <cell r="K151">
            <v>5.8150517221315745</v>
          </cell>
          <cell r="L151">
            <v>5.7949451616026524</v>
          </cell>
          <cell r="M151">
            <v>5.773434468796256</v>
          </cell>
          <cell r="N151">
            <v>5.7514004205423355</v>
          </cell>
          <cell r="O151">
            <v>5.7295438237123841</v>
          </cell>
          <cell r="P151">
            <v>5.7083359165790775</v>
          </cell>
          <cell r="Q151">
            <v>5.6880739213741158</v>
          </cell>
          <cell r="R151">
            <v>5.6689245496095442</v>
          </cell>
          <cell r="S151">
            <v>5.6509590179378026</v>
          </cell>
          <cell r="T151">
            <v>5.6341781769609218</v>
          </cell>
          <cell r="U151">
            <v>5.6185320756304327</v>
          </cell>
          <cell r="V151">
            <v>5.6039497445058064</v>
          </cell>
          <cell r="W151">
            <v>5.590358968651957</v>
          </cell>
          <cell r="X151">
            <v>5.5776876686277239</v>
          </cell>
          <cell r="Y151">
            <v>5.5658638722579585</v>
          </cell>
          <cell r="Z151">
            <v>5.5548156931803367</v>
          </cell>
          <cell r="AA151">
            <v>5.5444713437507946</v>
          </cell>
          <cell r="AB151">
            <v>5.5347609168064444</v>
          </cell>
          <cell r="AC151">
            <v>5.5256209226352215</v>
          </cell>
          <cell r="AD151">
            <v>5.5169946424967193</v>
          </cell>
          <cell r="AE151">
            <v>5.5088312175918803</v>
          </cell>
          <cell r="AF151">
            <v>5.5010848997341864</v>
          </cell>
          <cell r="AG151">
            <v>5.4937142700622408</v>
          </cell>
          <cell r="AH151">
            <v>5.4866815830814355</v>
          </cell>
          <cell r="AI151">
            <v>5.4799522264629879</v>
          </cell>
          <cell r="AJ151">
            <v>5.4734943288976448</v>
          </cell>
          <cell r="AK151">
            <v>5.4672789189240367</v>
          </cell>
          <cell r="AL151">
            <v>5.4612800217640061</v>
          </cell>
          <cell r="AM151">
            <v>5.455474304307435</v>
          </cell>
          <cell r="AN151">
            <v>5.4498407364368537</v>
          </cell>
          <cell r="AO151">
            <v>5.4443603052159171</v>
          </cell>
          <cell r="AP151">
            <v>5.4390158451650787</v>
          </cell>
          <cell r="AQ151">
            <v>5.4337919818205185</v>
          </cell>
          <cell r="AR151">
            <v>5.4286749611953171</v>
          </cell>
          <cell r="AS151">
            <v>5.4236524658178649</v>
          </cell>
          <cell r="AT151">
            <v>5.4187134551190574</v>
          </cell>
          <cell r="AU151">
            <v>5.41384802663854</v>
          </cell>
          <cell r="AV151">
            <v>5.4090472949491089</v>
          </cell>
          <cell r="AW151">
            <v>5.4043032853087798</v>
          </cell>
          <cell r="AX151">
            <v>5.3996088380300389</v>
          </cell>
          <cell r="AY151">
            <v>5.3949575251614261</v>
          </cell>
          <cell r="AZ151">
            <v>5.3903435786545462</v>
          </cell>
          <cell r="BA151">
            <v>5.385761826911855</v>
          </cell>
          <cell r="BB151">
            <v>5.3812076385177026</v>
          </cell>
          <cell r="BC151">
            <v>5.3766768722214984</v>
          </cell>
          <cell r="BD151">
            <v>5.3721658323373092</v>
          </cell>
          <cell r="BE151">
            <v>5.3676712223586485</v>
          </cell>
          <cell r="BF151">
            <v>5.363190083893242</v>
          </cell>
          <cell r="BG151">
            <v>5.358719756409883</v>
          </cell>
          <cell r="BH151">
            <v>5.3542578553128752</v>
          </cell>
          <cell r="BI151">
            <v>5.3498022809762622</v>
          </cell>
        </row>
        <row r="152">
          <cell r="B152">
            <v>5.780225620679496</v>
          </cell>
          <cell r="C152">
            <v>5.8154133101971537</v>
          </cell>
          <cell r="D152">
            <v>5.8368471561480613</v>
          </cell>
          <cell r="E152">
            <v>5.8499816768810327</v>
          </cell>
          <cell r="F152">
            <v>5.8556650656271545</v>
          </cell>
          <cell r="G152">
            <v>5.8546380970585226</v>
          </cell>
          <cell r="H152">
            <v>5.847697437492771</v>
          </cell>
          <cell r="I152">
            <v>5.8356895045053365</v>
          </cell>
          <cell r="J152">
            <v>5.8195859595809551</v>
          </cell>
          <cell r="K152">
            <v>5.8004812779858703</v>
          </cell>
          <cell r="L152">
            <v>5.7794183624222768</v>
          </cell>
          <cell r="M152">
            <v>5.7572947279122628</v>
          </cell>
          <cell r="N152">
            <v>5.7349000240432035</v>
          </cell>
          <cell r="O152">
            <v>5.7128590792708032</v>
          </cell>
          <cell r="P152">
            <v>5.6915907654162288</v>
          </cell>
          <cell r="Q152">
            <v>5.671356977552775</v>
          </cell>
          <cell r="R152">
            <v>5.6522995346664686</v>
          </cell>
          <cell r="S152">
            <v>5.6344721628912211</v>
          </cell>
          <cell r="T152">
            <v>5.617863676978371</v>
          </cell>
          <cell r="U152">
            <v>5.6024163437217762</v>
          </cell>
          <cell r="V152">
            <v>5.588054439401593</v>
          </cell>
          <cell r="W152">
            <v>5.5747021368096457</v>
          </cell>
          <cell r="X152">
            <v>5.5622844525017845</v>
          </cell>
          <cell r="Y152">
            <v>5.5507270710136982</v>
          </cell>
          <cell r="Z152">
            <v>5.5399562112649541</v>
          </cell>
          <cell r="AA152">
            <v>5.5298985609050719</v>
          </cell>
          <cell r="AB152">
            <v>5.5204831124959766</v>
          </cell>
          <cell r="AC152">
            <v>5.511645584207379</v>
          </cell>
          <cell r="AD152">
            <v>5.5033286027687609</v>
          </cell>
          <cell r="AE152">
            <v>5.495480749057589</v>
          </cell>
          <cell r="AF152">
            <v>5.488055765105079</v>
          </cell>
          <cell r="AG152">
            <v>5.4810117610505058</v>
          </cell>
          <cell r="AH152">
            <v>5.4743105533066521</v>
          </cell>
          <cell r="AI152">
            <v>5.4679171195204948</v>
          </cell>
          <cell r="AJ152">
            <v>5.4617992090522121</v>
          </cell>
          <cell r="AK152">
            <v>5.455927508530694</v>
          </cell>
          <cell r="AL152">
            <v>5.4502757091690217</v>
          </cell>
          <cell r="AM152">
            <v>5.4448201452422342</v>
          </cell>
          <cell r="AN152">
            <v>5.4395394552332261</v>
          </cell>
          <cell r="AO152">
            <v>5.434414296370357</v>
          </cell>
          <cell r="AP152">
            <v>5.4294271811348347</v>
          </cell>
          <cell r="AQ152">
            <v>5.4245624212508945</v>
          </cell>
          <cell r="AR152">
            <v>5.4198059535712879</v>
          </cell>
          <cell r="AS152">
            <v>5.4151451555313415</v>
          </cell>
          <cell r="AT152">
            <v>5.4105686850842272</v>
          </cell>
          <cell r="AU152">
            <v>5.4060663415142418</v>
          </cell>
          <cell r="AV152">
            <v>5.4016289440189791</v>
          </cell>
          <cell r="AW152">
            <v>5.3972482259059911</v>
          </cell>
          <cell r="AX152">
            <v>5.3929167439834371</v>
          </cell>
          <cell r="AY152">
            <v>5.3886277978754507</v>
          </cell>
          <cell r="AZ152">
            <v>5.3843753572744131</v>
          </cell>
          <cell r="BA152">
            <v>5.3801539975113277</v>
          </cell>
          <cell r="BB152">
            <v>5.3759588424200944</v>
          </cell>
          <cell r="BC152">
            <v>5.3717855135502006</v>
          </cell>
          <cell r="BD152">
            <v>5.3676300848825296</v>
          </cell>
          <cell r="BE152">
            <v>5.3634890375926423</v>
          </cell>
          <cell r="BF152">
            <v>5.3593592066732541</v>
          </cell>
          <cell r="BG152">
            <v>5.3552377434373897</v>
          </cell>
          <cell r="BH152">
            <v>5.3511220911976514</v>
          </cell>
          <cell r="BI152">
            <v>5.3470099823946775</v>
          </cell>
        </row>
        <row r="153">
          <cell r="B153">
            <v>5.7899023063761943</v>
          </cell>
          <cell r="C153">
            <v>5.8214295467241701</v>
          </cell>
          <cell r="D153">
            <v>5.8410164125259749</v>
          </cell>
          <cell r="E153">
            <v>5.8535563044792873</v>
          </cell>
          <cell r="F153">
            <v>5.8596274031046631</v>
          </cell>
          <cell r="G153">
            <v>5.8594103121749139</v>
          </cell>
          <cell r="H153">
            <v>5.853316166776704</v>
          </cell>
          <cell r="I153">
            <v>5.8419816913112772</v>
          </cell>
          <cell r="J153">
            <v>5.8263335743870046</v>
          </cell>
          <cell r="K153">
            <v>5.8075047101077564</v>
          </cell>
          <cell r="L153">
            <v>5.7865962574255878</v>
          </cell>
          <cell r="M153">
            <v>5.7645523414186597</v>
          </cell>
          <cell r="N153">
            <v>5.7421996230198955</v>
          </cell>
          <cell r="O153">
            <v>5.7201888614824457</v>
          </cell>
          <cell r="P153">
            <v>5.6989525752912833</v>
          </cell>
          <cell r="Q153">
            <v>5.6787585217266399</v>
          </cell>
          <cell r="R153">
            <v>5.6597510383147593</v>
          </cell>
          <cell r="S153">
            <v>5.6419843609018265</v>
          </cell>
          <cell r="T153">
            <v>5.6254463346009231</v>
          </cell>
          <cell r="U153">
            <v>5.6100774860631688</v>
          </cell>
          <cell r="V153">
            <v>5.5958007974910187</v>
          </cell>
          <cell r="W153">
            <v>5.5825393047267378</v>
          </cell>
          <cell r="X153">
            <v>5.5702169091254099</v>
          </cell>
          <cell r="Y153">
            <v>5.5587581972397553</v>
          </cell>
          <cell r="Z153">
            <v>5.5480883037806121</v>
          </cell>
          <cell r="AA153">
            <v>5.5381328533749423</v>
          </cell>
          <cell r="AB153">
            <v>5.5288199607664259</v>
          </cell>
          <cell r="AC153">
            <v>5.5200846668128349</v>
          </cell>
          <cell r="AD153">
            <v>5.5118690038923877</v>
          </cell>
          <cell r="AE153">
            <v>5.5041210414495874</v>
          </cell>
          <cell r="AF153">
            <v>5.4967940820602577</v>
          </cell>
          <cell r="AG153">
            <v>5.4898458560601036</v>
          </cell>
          <cell r="AH153">
            <v>5.4832378506720056</v>
          </cell>
          <cell r="AI153">
            <v>5.476934757527288</v>
          </cell>
          <cell r="AJ153">
            <v>5.4709040855618403</v>
          </cell>
          <cell r="AK153">
            <v>5.4651163416624486</v>
          </cell>
          <cell r="AL153">
            <v>5.4595450745623317</v>
          </cell>
          <cell r="AM153">
            <v>5.4541665041652259</v>
          </cell>
          <cell r="AN153">
            <v>5.4489591790876188</v>
          </cell>
          <cell r="AO153">
            <v>5.4439036886978904</v>
          </cell>
          <cell r="AP153">
            <v>5.4389825028619452</v>
          </cell>
          <cell r="AQ153">
            <v>5.434179912432703</v>
          </cell>
          <cell r="AR153">
            <v>5.4294818497653434</v>
          </cell>
          <cell r="AS153">
            <v>5.4248757022676291</v>
          </cell>
          <cell r="AT153">
            <v>5.4203501507273977</v>
          </cell>
          <cell r="AU153">
            <v>5.4158950287277632</v>
          </cell>
          <cell r="AV153">
            <v>5.41150120000973</v>
          </cell>
          <cell r="AW153">
            <v>5.407160451449518</v>
          </cell>
          <cell r="AX153">
            <v>5.4028654004594037</v>
          </cell>
          <cell r="AY153">
            <v>5.3986094128632081</v>
          </cell>
          <cell r="AZ153">
            <v>5.3943865295610953</v>
          </cell>
          <cell r="BA153">
            <v>5.3901914016183889</v>
          </cell>
          <cell r="BB153">
            <v>5.3860192327028118</v>
          </cell>
          <cell r="BC153">
            <v>5.3818657279176083</v>
          </cell>
          <cell r="BD153">
            <v>5.377727048165557</v>
          </cell>
          <cell r="BE153">
            <v>5.373599764161626</v>
          </cell>
          <cell r="BF153">
            <v>5.3694808026226069</v>
          </cell>
          <cell r="BG153">
            <v>5.3653674090063301</v>
          </cell>
          <cell r="BH153">
            <v>5.3612571231325328</v>
          </cell>
          <cell r="BI153">
            <v>5.3571477751310681</v>
          </cell>
        </row>
        <row r="154">
          <cell r="B154">
            <v>5.7873897545996762</v>
          </cell>
          <cell r="C154">
            <v>5.8272639185774082</v>
          </cell>
          <cell r="D154">
            <v>5.8564686728482656</v>
          </cell>
          <cell r="E154">
            <v>5.8762974245409296</v>
          </cell>
          <cell r="F154">
            <v>5.8872429943006273</v>
          </cell>
          <cell r="G154">
            <v>5.8904046903108664</v>
          </cell>
          <cell r="H154">
            <v>5.8870369436455245</v>
          </cell>
          <cell r="I154">
            <v>5.8783129748413732</v>
          </cell>
          <cell r="J154">
            <v>5.8653622712141162</v>
          </cell>
          <cell r="K154">
            <v>5.8493666440123633</v>
          </cell>
          <cell r="L154">
            <v>5.831404050867369</v>
          </cell>
          <cell r="M154">
            <v>5.8123628197643757</v>
          </cell>
          <cell r="N154">
            <v>5.7929961390359788</v>
          </cell>
          <cell r="O154">
            <v>5.7738875875633706</v>
          </cell>
          <cell r="P154">
            <v>5.755424414981027</v>
          </cell>
          <cell r="Q154">
            <v>5.7378465739501463</v>
          </cell>
          <cell r="R154">
            <v>5.7212843454156896</v>
          </cell>
          <cell r="S154">
            <v>5.7057880957892282</v>
          </cell>
          <cell r="T154">
            <v>5.6913493077454946</v>
          </cell>
          <cell r="U154">
            <v>5.6779177244347627</v>
          </cell>
          <cell r="V154">
            <v>5.66542787677961</v>
          </cell>
          <cell r="W154">
            <v>5.6538139027616392</v>
          </cell>
          <cell r="X154">
            <v>5.643010251606392</v>
          </cell>
          <cell r="Y154">
            <v>5.6329516189408722</v>
          </cell>
          <cell r="Z154">
            <v>5.6235728975132462</v>
          </cell>
          <cell r="AA154">
            <v>5.6148091904117994</v>
          </cell>
          <cell r="AB154">
            <v>5.6065977284341617</v>
          </cell>
          <cell r="AC154">
            <v>5.5988817342708863</v>
          </cell>
          <cell r="AD154">
            <v>5.5916104107904001</v>
          </cell>
          <cell r="AE154">
            <v>5.5847381708535542</v>
          </cell>
          <cell r="AF154">
            <v>5.5782239697817957</v>
          </cell>
          <cell r="AG154">
            <v>5.5720306069177754</v>
          </cell>
          <cell r="AH154">
            <v>5.5661241431979009</v>
          </cell>
          <cell r="AI154">
            <v>5.5604734215199976</v>
          </cell>
          <cell r="AJ154">
            <v>5.5550497435169168</v>
          </cell>
          <cell r="AK154">
            <v>5.5498270769383682</v>
          </cell>
          <cell r="AL154">
            <v>5.5447820965366557</v>
          </cell>
          <cell r="AM154">
            <v>5.5398938516928906</v>
          </cell>
          <cell r="AN154">
            <v>5.5351434619773983</v>
          </cell>
          <cell r="AO154">
            <v>5.5305138619065968</v>
          </cell>
          <cell r="AP154">
            <v>5.5259896679613689</v>
          </cell>
          <cell r="AQ154">
            <v>5.5215571308597804</v>
          </cell>
          <cell r="AR154">
            <v>5.5172039730867759</v>
          </cell>
          <cell r="AS154">
            <v>5.5129192216977563</v>
          </cell>
          <cell r="AT154">
            <v>5.5086930633662963</v>
          </cell>
          <cell r="AU154">
            <v>5.5045167183386985</v>
          </cell>
          <cell r="AV154">
            <v>5.5003823304787458</v>
          </cell>
          <cell r="AW154">
            <v>5.496282870730389</v>
          </cell>
          <cell r="AX154">
            <v>5.4922120510367636</v>
          </cell>
          <cell r="AY154">
            <v>5.4881642493284497</v>
          </cell>
          <cell r="AZ154">
            <v>5.4841344441971192</v>
          </cell>
          <cell r="BA154">
            <v>5.480118157139664</v>
          </cell>
          <cell r="BB154">
            <v>5.4761114013407148</v>
          </cell>
          <cell r="BC154">
            <v>5.4721106361460068</v>
          </cell>
          <cell r="BD154">
            <v>5.4681127264229135</v>
          </cell>
          <cell r="BE154">
            <v>5.4641148996272735</v>
          </cell>
          <cell r="BF154">
            <v>5.460114692963475</v>
          </cell>
          <cell r="BG154">
            <v>5.4561099195016665</v>
          </cell>
          <cell r="BH154">
            <v>5.4520986487647338</v>
          </cell>
          <cell r="BI154">
            <v>5.4480792131045312</v>
          </cell>
        </row>
        <row r="155">
          <cell r="B155">
            <v>5.8792741045318602</v>
          </cell>
          <cell r="C155">
            <v>5.8809424242508266</v>
          </cell>
          <cell r="D155">
            <v>5.889965962277337</v>
          </cell>
          <cell r="E155">
            <v>5.8981665576799207</v>
          </cell>
          <cell r="F155">
            <v>5.9026526334158955</v>
          </cell>
          <cell r="G155">
            <v>5.9019566058449788</v>
          </cell>
          <cell r="H155">
            <v>5.8957271958005117</v>
          </cell>
          <cell r="I155">
            <v>5.8841854511613709</v>
          </cell>
          <cell r="J155">
            <v>5.8680880326605473</v>
          </cell>
          <cell r="K155">
            <v>5.8485742512892838</v>
          </cell>
          <cell r="L155">
            <v>5.8268088422202693</v>
          </cell>
          <cell r="M155">
            <v>5.8037943640227168</v>
          </cell>
          <cell r="N155">
            <v>5.780411292500534</v>
          </cell>
          <cell r="O155">
            <v>5.7573644706248759</v>
          </cell>
          <cell r="P155">
            <v>5.7351286479729762</v>
          </cell>
          <cell r="Q155">
            <v>5.7139998861670254</v>
          </cell>
          <cell r="R155">
            <v>5.6941389847190624</v>
          </cell>
          <cell r="S155">
            <v>5.6756080181506183</v>
          </cell>
          <cell r="T155">
            <v>5.6583963182714436</v>
          </cell>
          <cell r="U155">
            <v>5.6424419915749704</v>
          </cell>
          <cell r="V155">
            <v>5.6276650218798085</v>
          </cell>
          <cell r="W155">
            <v>5.6139847232420585</v>
          </cell>
          <cell r="X155">
            <v>5.6013205368824419</v>
          </cell>
          <cell r="Y155">
            <v>5.5895920046936709</v>
          </cell>
          <cell r="Z155">
            <v>5.5787187491060521</v>
          </cell>
          <cell r="AA155">
            <v>5.568620535400111</v>
          </cell>
          <cell r="AB155">
            <v>5.5592198357658713</v>
          </cell>
          <cell r="AC155">
            <v>5.5504465717678881</v>
          </cell>
          <cell r="AD155">
            <v>5.5422380016898209</v>
          </cell>
          <cell r="AE155">
            <v>5.5345378103697636</v>
          </cell>
          <cell r="AF155">
            <v>5.5272952966567725</v>
          </cell>
          <cell r="AG155">
            <v>5.5204645094492024</v>
          </cell>
          <cell r="AH155">
            <v>5.5140035279902708</v>
          </cell>
          <cell r="AI155">
            <v>5.507873869210659</v>
          </cell>
          <cell r="AJ155">
            <v>5.5020400961155191</v>
          </cell>
          <cell r="AK155">
            <v>5.4964700683623375</v>
          </cell>
          <cell r="AL155">
            <v>5.4911349551285591</v>
          </cell>
          <cell r="AM155">
            <v>5.4860088240912264</v>
          </cell>
          <cell r="AN155">
            <v>5.4810682698244682</v>
          </cell>
          <cell r="AO155">
            <v>5.4762921027592686</v>
          </cell>
          <cell r="AP155">
            <v>5.471661186117009</v>
          </cell>
          <cell r="AQ155">
            <v>5.467158363718843</v>
          </cell>
          <cell r="AR155">
            <v>5.4627682582921215</v>
          </cell>
          <cell r="AS155">
            <v>5.4584770693555251</v>
          </cell>
          <cell r="AT155">
            <v>5.4542723980200192</v>
          </cell>
          <cell r="AU155">
            <v>5.4501430946418665</v>
          </cell>
          <cell r="AV155">
            <v>5.4460791259296411</v>
          </cell>
          <cell r="AW155">
            <v>5.4420714604275586</v>
          </cell>
          <cell r="AX155">
            <v>5.4381119746843263</v>
          </cell>
          <cell r="AY155">
            <v>5.4341933666812112</v>
          </cell>
          <cell r="AZ155">
            <v>5.4303090754362424</v>
          </cell>
          <cell r="BA155">
            <v>5.4264532097506795</v>
          </cell>
          <cell r="BB155">
            <v>5.4226204850219144</v>
          </cell>
          <cell r="BC155">
            <v>5.418806167077161</v>
          </cell>
          <cell r="BD155">
            <v>5.4150060220243867</v>
          </cell>
          <cell r="BE155">
            <v>5.4112162638608829</v>
          </cell>
          <cell r="BF155">
            <v>5.4074334927907008</v>
          </cell>
          <cell r="BG155">
            <v>5.4036546548439333</v>
          </cell>
          <cell r="BH155">
            <v>5.3998770180281657</v>
          </cell>
          <cell r="BI155">
            <v>5.3960981801027517</v>
          </cell>
        </row>
        <row r="156">
          <cell r="B156">
            <v>5.9280257443296431</v>
          </cell>
          <cell r="C156">
            <v>5.8868219063245739</v>
          </cell>
          <cell r="D156">
            <v>5.8744259129227476</v>
          </cell>
          <cell r="E156">
            <v>5.8689045086406857</v>
          </cell>
          <cell r="F156">
            <v>5.864667712389859</v>
          </cell>
          <cell r="G156">
            <v>5.8582766004206261</v>
          </cell>
          <cell r="H156">
            <v>5.8481367319432698</v>
          </cell>
          <cell r="I156">
            <v>5.8336548368185035</v>
          </cell>
          <cell r="J156">
            <v>5.8151571069842101</v>
          </cell>
          <cell r="K156">
            <v>5.7935789183521083</v>
          </cell>
          <cell r="L156">
            <v>5.7700070841913575</v>
          </cell>
          <cell r="M156">
            <v>5.7454162339195767</v>
          </cell>
          <cell r="N156">
            <v>5.7206821444653428</v>
          </cell>
          <cell r="O156">
            <v>5.6965047994471716</v>
          </cell>
          <cell r="P156">
            <v>5.673345414823415</v>
          </cell>
          <cell r="Q156">
            <v>5.6514818972704193</v>
          </cell>
          <cell r="R156">
            <v>5.6310564329377453</v>
          </cell>
          <cell r="S156">
            <v>5.6121126444891161</v>
          </cell>
          <cell r="T156">
            <v>5.5946215409021551</v>
          </cell>
          <cell r="U156">
            <v>5.5785044665700632</v>
          </cell>
          <cell r="V156">
            <v>5.5636682878986079</v>
          </cell>
          <cell r="W156">
            <v>5.5500207059308897</v>
          </cell>
          <cell r="X156">
            <v>5.5374704879058099</v>
          </cell>
          <cell r="Y156">
            <v>5.5259272451339516</v>
          </cell>
          <cell r="Z156">
            <v>5.5153012641832371</v>
          </cell>
          <cell r="AA156">
            <v>5.505503523529474</v>
          </cell>
          <cell r="AB156">
            <v>5.4964489070743916</v>
          </cell>
          <cell r="AC156">
            <v>5.4880609388109542</v>
          </cell>
          <cell r="AD156">
            <v>5.4802712746656486</v>
          </cell>
          <cell r="AE156">
            <v>5.4730187105592885</v>
          </cell>
          <cell r="AF156">
            <v>5.4662482431279491</v>
          </cell>
          <cell r="AG156">
            <v>5.4599101098512426</v>
          </cell>
          <cell r="AH156">
            <v>5.4539589949851317</v>
          </cell>
          <cell r="AI156">
            <v>5.4483533759030029</v>
          </cell>
          <cell r="AJ156">
            <v>5.4430551251358512</v>
          </cell>
          <cell r="AK156">
            <v>5.4380297923939898</v>
          </cell>
          <cell r="AL156">
            <v>5.433246521017062</v>
          </cell>
          <cell r="AM156">
            <v>5.428677590736064</v>
          </cell>
          <cell r="AN156">
            <v>5.4242980155718898</v>
          </cell>
          <cell r="AO156">
            <v>5.4200852099279233</v>
          </cell>
          <cell r="AP156">
            <v>5.4160188216726652</v>
          </cell>
          <cell r="AQ156">
            <v>5.4120806294910837</v>
          </cell>
          <cell r="AR156">
            <v>5.408254316029752</v>
          </cell>
          <cell r="AS156">
            <v>5.4045252515411963</v>
          </cell>
          <cell r="AT156">
            <v>5.4008803063721285</v>
          </cell>
          <cell r="AU156">
            <v>5.397307687909727</v>
          </cell>
          <cell r="AV156">
            <v>5.3937967983660071</v>
          </cell>
          <cell r="AW156">
            <v>5.3903381134919428</v>
          </cell>
          <cell r="AX156">
            <v>5.38692308488507</v>
          </cell>
          <cell r="AY156">
            <v>5.3835440472032809</v>
          </cell>
          <cell r="AZ156">
            <v>5.3801941316924902</v>
          </cell>
          <cell r="BA156">
            <v>5.3768671895916196</v>
          </cell>
          <cell r="BB156">
            <v>5.3735577242087418</v>
          </cell>
          <cell r="BC156">
            <v>5.3702608305443018</v>
          </cell>
          <cell r="BD156">
            <v>5.3669721411369675</v>
          </cell>
          <cell r="BE156">
            <v>5.3636877624226038</v>
          </cell>
          <cell r="BF156">
            <v>5.3604041968522482</v>
          </cell>
          <cell r="BG156">
            <v>5.3571182996668316</v>
          </cell>
          <cell r="BH156">
            <v>5.3538272622856651</v>
          </cell>
          <cell r="BI156">
            <v>5.3505286486430874</v>
          </cell>
        </row>
        <row r="157">
          <cell r="B157">
            <v>5.9985885339626996</v>
          </cell>
          <cell r="C157">
            <v>5.918541554722422</v>
          </cell>
          <cell r="D157">
            <v>5.8995112834147481</v>
          </cell>
          <cell r="E157">
            <v>5.8925273116216612</v>
          </cell>
          <cell r="F157">
            <v>5.8870973131068283</v>
          </cell>
          <cell r="G157">
            <v>5.8791641199911124</v>
          </cell>
          <cell r="H157">
            <v>5.8673622443224991</v>
          </cell>
          <cell r="I157">
            <v>5.8514425776318957</v>
          </cell>
          <cell r="J157">
            <v>5.8319016154702412</v>
          </cell>
          <cell r="K157">
            <v>5.8097046347544046</v>
          </cell>
          <cell r="L157">
            <v>5.7858843469165686</v>
          </cell>
          <cell r="M157">
            <v>5.761333652398517</v>
          </cell>
          <cell r="N157">
            <v>5.7368352128256896</v>
          </cell>
          <cell r="O157">
            <v>5.7130017618373126</v>
          </cell>
          <cell r="P157">
            <v>5.6902326986442811</v>
          </cell>
          <cell r="Q157">
            <v>5.6687647152827285</v>
          </cell>
          <cell r="R157">
            <v>5.6487137525363336</v>
          </cell>
          <cell r="S157">
            <v>5.6301080819849707</v>
          </cell>
          <cell r="T157">
            <v>5.6129113938348203</v>
          </cell>
          <cell r="U157">
            <v>5.597043752520281</v>
          </cell>
          <cell r="V157">
            <v>5.5824135754178048</v>
          </cell>
          <cell r="W157">
            <v>5.5689306186916232</v>
          </cell>
          <cell r="X157">
            <v>5.5565059988023533</v>
          </cell>
          <cell r="Y157">
            <v>5.5450519091119119</v>
          </cell>
          <cell r="Z157">
            <v>5.5344814045032571</v>
          </cell>
          <cell r="AA157">
            <v>5.5247084011060839</v>
          </cell>
          <cell r="AB157">
            <v>5.515650877595232</v>
          </cell>
          <cell r="AC157">
            <v>5.5072352362008425</v>
          </cell>
          <cell r="AD157">
            <v>5.4993957070805273</v>
          </cell>
          <cell r="AE157">
            <v>5.4920733951634899</v>
          </cell>
          <cell r="AF157">
            <v>5.4852153627328075</v>
          </cell>
          <cell r="AG157">
            <v>5.4787737057798092</v>
          </cell>
          <cell r="AH157">
            <v>5.4727047913209974</v>
          </cell>
          <cell r="AI157">
            <v>5.4669686297370461</v>
          </cell>
          <cell r="AJ157">
            <v>5.4615285075170359</v>
          </cell>
          <cell r="AK157">
            <v>5.4563512706275219</v>
          </cell>
          <cell r="AL157">
            <v>5.4514072203032518</v>
          </cell>
          <cell r="AM157">
            <v>5.4466696709633142</v>
          </cell>
          <cell r="AN157">
            <v>5.4421145639054567</v>
          </cell>
          <cell r="AO157">
            <v>5.4377201481467194</v>
          </cell>
          <cell r="AP157">
            <v>5.4334668315037131</v>
          </cell>
          <cell r="AQ157">
            <v>5.4293370837172921</v>
          </cell>
          <cell r="AR157">
            <v>5.4253152154544315</v>
          </cell>
          <cell r="AS157">
            <v>5.42138716911324</v>
          </cell>
          <cell r="AT157">
            <v>5.4175403375194984</v>
          </cell>
          <cell r="AU157">
            <v>5.4137634062714808</v>
          </cell>
          <cell r="AV157">
            <v>5.4100462162435452</v>
          </cell>
          <cell r="AW157">
            <v>5.4063796468683343</v>
          </cell>
          <cell r="AX157">
            <v>5.4027555226759345</v>
          </cell>
          <cell r="AY157">
            <v>5.3991665234903694</v>
          </cell>
          <cell r="AZ157">
            <v>5.3956061006629881</v>
          </cell>
          <cell r="BA157">
            <v>5.3920684028871451</v>
          </cell>
          <cell r="BB157">
            <v>5.3885482104112219</v>
          </cell>
          <cell r="BC157">
            <v>5.3850408765613063</v>
          </cell>
          <cell r="BD157">
            <v>5.3815422752143816</v>
          </cell>
          <cell r="BE157">
            <v>5.3780487383537787</v>
          </cell>
          <cell r="BF157">
            <v>5.3745569814397296</v>
          </cell>
          <cell r="BG157">
            <v>5.3710640624144732</v>
          </cell>
          <cell r="BH157">
            <v>5.367567367942244</v>
          </cell>
          <cell r="BI157">
            <v>5.3640646537980219</v>
          </cell>
        </row>
        <row r="158">
          <cell r="B158">
            <v>5.9458169307285162</v>
          </cell>
          <cell r="C158">
            <v>5.8977831238449197</v>
          </cell>
          <cell r="D158">
            <v>5.875788877663453</v>
          </cell>
          <cell r="E158">
            <v>5.8612528931868164</v>
          </cell>
          <cell r="F158">
            <v>5.8487985882302294</v>
          </cell>
          <cell r="G158">
            <v>5.8352127484743379</v>
          </cell>
          <cell r="H158">
            <v>5.8189299845142868</v>
          </cell>
          <cell r="I158">
            <v>5.7992756793444586</v>
          </cell>
          <cell r="J158">
            <v>5.7764709143884394</v>
          </cell>
          <cell r="K158">
            <v>5.7513397562398847</v>
          </cell>
          <cell r="L158">
            <v>5.7248473964005182</v>
          </cell>
          <cell r="M158">
            <v>5.6978618089291917</v>
          </cell>
          <cell r="N158">
            <v>5.6711657882994322</v>
          </cell>
          <cell r="O158">
            <v>5.6453757274197871</v>
          </cell>
          <cell r="P158">
            <v>5.6208845766966764</v>
          </cell>
          <cell r="Q158">
            <v>5.5979164003538866</v>
          </cell>
          <cell r="R158">
            <v>5.5765721496080864</v>
          </cell>
          <cell r="S158">
            <v>5.5568635852183235</v>
          </cell>
          <cell r="T158">
            <v>5.5387367758264565</v>
          </cell>
          <cell r="U158">
            <v>5.5220942111076292</v>
          </cell>
          <cell r="V158">
            <v>5.5068287402111178</v>
          </cell>
          <cell r="W158">
            <v>5.492836257028066</v>
          </cell>
          <cell r="X158">
            <v>5.4800153156768214</v>
          </cell>
          <cell r="Y158">
            <v>5.4682665762889275</v>
          </cell>
          <cell r="Z158">
            <v>5.4574923838064899</v>
          </cell>
          <cell r="AA158">
            <v>5.4475966532700637</v>
          </cell>
          <cell r="AB158">
            <v>5.438488383546809</v>
          </cell>
          <cell r="AC158">
            <v>5.4300861113122645</v>
          </cell>
          <cell r="AD158">
            <v>5.42231710778172</v>
          </cell>
          <cell r="AE158">
            <v>5.4151162962573469</v>
          </cell>
          <cell r="AF158">
            <v>5.4084252072142176</v>
          </cell>
          <cell r="AG158">
            <v>5.4021909522057081</v>
          </cell>
          <cell r="AH158">
            <v>5.3963653782455578</v>
          </cell>
          <cell r="AI158">
            <v>5.3909043721140595</v>
          </cell>
          <cell r="AJ158">
            <v>5.3857674621322174</v>
          </cell>
          <cell r="AK158">
            <v>5.3809181067147378</v>
          </cell>
          <cell r="AL158">
            <v>5.3763235402429297</v>
          </cell>
          <cell r="AM158">
            <v>5.3719542872475259</v>
          </cell>
          <cell r="AN158">
            <v>5.367783740594656</v>
          </cell>
          <cell r="AO158">
            <v>5.3637878148145761</v>
          </cell>
          <cell r="AP158">
            <v>5.3599447932151776</v>
          </cell>
          <cell r="AQ158">
            <v>5.3562352199160914</v>
          </cell>
          <cell r="AR158">
            <v>5.3526416555824365</v>
          </cell>
          <cell r="AS158">
            <v>5.3491484482721692</v>
          </cell>
          <cell r="AT158">
            <v>5.3457415348368906</v>
          </cell>
          <cell r="AU158">
            <v>5.3424082682268734</v>
          </cell>
          <cell r="AV158">
            <v>5.3391372669223864</v>
          </cell>
          <cell r="AW158">
            <v>5.3359182903360427</v>
          </cell>
          <cell r="AX158">
            <v>5.3327421455105997</v>
          </cell>
          <cell r="AY158">
            <v>5.3296005904268142</v>
          </cell>
          <cell r="AZ158">
            <v>5.3264862408987019</v>
          </cell>
          <cell r="BA158">
            <v>5.3233924880895813</v>
          </cell>
          <cell r="BB158">
            <v>5.3203134253658995</v>
          </cell>
          <cell r="BC158">
            <v>5.3172437832784336</v>
          </cell>
          <cell r="BD158">
            <v>5.3141788711593394</v>
          </cell>
          <cell r="BE158">
            <v>5.311114509954864</v>
          </cell>
          <cell r="BF158">
            <v>5.3080469562681829</v>
          </cell>
          <cell r="BG158">
            <v>5.3049728582333673</v>
          </cell>
          <cell r="BH158">
            <v>5.3018892394962185</v>
          </cell>
          <cell r="BI158">
            <v>5.2987935379622595</v>
          </cell>
        </row>
        <row r="159">
          <cell r="B159">
            <v>5.9316666848235888</v>
          </cell>
          <cell r="C159">
            <v>5.8928373247481396</v>
          </cell>
          <cell r="D159">
            <v>5.8679315028027066</v>
          </cell>
          <cell r="E159">
            <v>5.8481413295937674</v>
          </cell>
          <cell r="F159">
            <v>5.8298901665093972</v>
          </cell>
          <cell r="G159">
            <v>5.8106039769863367</v>
          </cell>
          <cell r="H159">
            <v>5.7890388311055743</v>
          </cell>
          <cell r="I159">
            <v>5.7646925981637205</v>
          </cell>
          <cell r="J159">
            <v>5.7378364392603913</v>
          </cell>
          <cell r="K159">
            <v>5.7092578861840781</v>
          </cell>
          <cell r="L159">
            <v>5.6798531166026942</v>
          </cell>
          <cell r="M159">
            <v>5.6504170435479137</v>
          </cell>
          <cell r="N159">
            <v>5.6216587935079794</v>
          </cell>
          <cell r="O159">
            <v>5.5941274872864799</v>
          </cell>
          <cell r="P159">
            <v>5.5681601114574928</v>
          </cell>
          <cell r="Q159">
            <v>5.5439354662125497</v>
          </cell>
          <cell r="R159">
            <v>5.5215187980469365</v>
          </cell>
          <cell r="S159">
            <v>5.5008932215660797</v>
          </cell>
          <cell r="T159">
            <v>5.4819813725026263</v>
          </cell>
          <cell r="U159">
            <v>5.4646668229932152</v>
          </cell>
          <cell r="V159">
            <v>5.4488274598825415</v>
          </cell>
          <cell r="W159">
            <v>5.434346746810391</v>
          </cell>
          <cell r="X159">
            <v>5.4211127406006527</v>
          </cell>
          <cell r="Y159">
            <v>5.409017134347974</v>
          </cell>
          <cell r="Z159">
            <v>5.3979545301635961</v>
          </cell>
          <cell r="AA159">
            <v>5.3878221288415302</v>
          </cell>
          <cell r="AB159">
            <v>5.3785233148800318</v>
          </cell>
          <cell r="AC159">
            <v>5.3699718892339092</v>
          </cell>
          <cell r="AD159">
            <v>5.3620910491708003</v>
          </cell>
          <cell r="AE159">
            <v>5.3548121742019443</v>
          </cell>
          <cell r="AF159">
            <v>5.3480736724353068</v>
          </cell>
          <cell r="AG159">
            <v>5.3418198871877483</v>
          </cell>
          <cell r="AH159">
            <v>5.3360001977109475</v>
          </cell>
          <cell r="AI159">
            <v>5.330568279638995</v>
          </cell>
          <cell r="AJ159">
            <v>5.3254816882053051</v>
          </cell>
          <cell r="AK159">
            <v>5.3207021263653429</v>
          </cell>
          <cell r="AL159">
            <v>5.316195240300166</v>
          </cell>
          <cell r="AM159">
            <v>5.3119301096392055</v>
          </cell>
          <cell r="AN159">
            <v>5.3078788072745793</v>
          </cell>
          <cell r="AO159">
            <v>5.3040160391217936</v>
          </cell>
          <cell r="AP159">
            <v>5.3003189874114476</v>
          </cell>
          <cell r="AQ159">
            <v>5.2967671882011613</v>
          </cell>
          <cell r="AR159">
            <v>5.2933422744830487</v>
          </cell>
          <cell r="AS159">
            <v>5.2900277378957146</v>
          </cell>
          <cell r="AT159">
            <v>5.2868087222079811</v>
          </cell>
          <cell r="AU159">
            <v>5.2836718437395174</v>
          </cell>
          <cell r="AV159">
            <v>5.2806050348110407</v>
          </cell>
          <cell r="AW159">
            <v>5.2775974144405797</v>
          </cell>
          <cell r="AX159">
            <v>5.2746391903154093</v>
          </cell>
          <cell r="AY159">
            <v>5.2717215573937306</v>
          </cell>
          <cell r="AZ159">
            <v>5.2688366012097481</v>
          </cell>
          <cell r="BA159">
            <v>5.2659772122413537</v>
          </cell>
          <cell r="BB159">
            <v>5.2631370099720503</v>
          </cell>
          <cell r="BC159">
            <v>5.2603102753904265</v>
          </cell>
          <cell r="BD159">
            <v>5.2574918903215524</v>
          </cell>
          <cell r="BE159">
            <v>5.2546772686161454</v>
          </cell>
          <cell r="BF159">
            <v>5.2518622811751516</v>
          </cell>
          <cell r="BG159">
            <v>5.2490432110789831</v>
          </cell>
          <cell r="BH159">
            <v>5.2462167365995507</v>
          </cell>
          <cell r="BI159">
            <v>5.2433799657220623</v>
          </cell>
        </row>
        <row r="160">
          <cell r="B160">
            <v>5.897916113161557</v>
          </cell>
          <cell r="C160">
            <v>5.8578537669026742</v>
          </cell>
          <cell r="D160">
            <v>5.8263800490272661</v>
          </cell>
          <cell r="E160">
            <v>5.7997312715177642</v>
          </cell>
          <cell r="F160">
            <v>5.776059444717629</v>
          </cell>
          <cell r="G160">
            <v>5.7531438064152756</v>
          </cell>
          <cell r="H160">
            <v>5.7294117719504083</v>
          </cell>
          <cell r="I160">
            <v>5.7037560526521487</v>
          </cell>
          <cell r="J160">
            <v>5.6760032118565462</v>
          </cell>
          <cell r="K160">
            <v>5.6467161775293171</v>
          </cell>
          <cell r="L160">
            <v>5.6166795674216621</v>
          </cell>
          <cell r="M160">
            <v>5.5866334823774952</v>
          </cell>
          <cell r="N160">
            <v>5.5572683147464828</v>
          </cell>
          <cell r="O160">
            <v>5.5291411690239487</v>
          </cell>
          <cell r="P160">
            <v>5.5026022382525648</v>
          </cell>
          <cell r="Q160">
            <v>5.4778407291539493</v>
          </cell>
          <cell r="R160">
            <v>5.454928309782904</v>
          </cell>
          <cell r="S160">
            <v>5.4338515346058953</v>
          </cell>
          <cell r="T160">
            <v>5.4145342984111897</v>
          </cell>
          <cell r="U160">
            <v>5.3968604718225901</v>
          </cell>
          <cell r="V160">
            <v>5.3807080791606126</v>
          </cell>
          <cell r="W160">
            <v>5.3659601113528543</v>
          </cell>
          <cell r="X160">
            <v>5.3525036335318665</v>
          </cell>
          <cell r="Y160">
            <v>5.3402289362424655</v>
          </cell>
          <cell r="Z160">
            <v>5.3290288903592771</v>
          </cell>
          <cell r="AA160">
            <v>5.3187987459475883</v>
          </cell>
          <cell r="AB160">
            <v>5.309440031810996</v>
          </cell>
          <cell r="AC160">
            <v>5.3008647398051592</v>
          </cell>
          <cell r="AD160">
            <v>5.2929942600743711</v>
          </cell>
          <cell r="AE160">
            <v>5.2857582469985447</v>
          </cell>
          <cell r="AF160">
            <v>5.2790934759328909</v>
          </cell>
          <cell r="AG160">
            <v>5.2729427353626166</v>
          </cell>
          <cell r="AH160">
            <v>5.2672539158226348</v>
          </cell>
          <cell r="AI160">
            <v>5.2619792611077845</v>
          </cell>
          <cell r="AJ160">
            <v>5.2570749700849309</v>
          </cell>
          <cell r="AK160">
            <v>5.2525014937655152</v>
          </cell>
          <cell r="AL160">
            <v>5.2482233076467155</v>
          </cell>
          <cell r="AM160">
            <v>5.2442083898144176</v>
          </cell>
          <cell r="AN160">
            <v>5.2404277718933709</v>
          </cell>
          <cell r="AO160">
            <v>5.2368551739980731</v>
          </cell>
          <cell r="AP160">
            <v>5.2334668554792314</v>
          </cell>
          <cell r="AQ160">
            <v>5.2302414869927851</v>
          </cell>
          <cell r="AR160">
            <v>5.227159885597831</v>
          </cell>
          <cell r="AS160">
            <v>5.2242047708471819</v>
          </cell>
          <cell r="AT160">
            <v>5.2213605533991689</v>
          </cell>
          <cell r="AU160">
            <v>5.218613151201831</v>
          </cell>
          <cell r="AV160">
            <v>5.2159498292758979</v>
          </cell>
          <cell r="AW160">
            <v>5.2133590676690602</v>
          </cell>
          <cell r="AX160">
            <v>5.2108304602281592</v>
          </cell>
          <cell r="AY160">
            <v>5.2083546100490761</v>
          </cell>
          <cell r="AZ160">
            <v>5.2059230306034019</v>
          </cell>
          <cell r="BA160">
            <v>5.2035280582023091</v>
          </cell>
          <cell r="BB160">
            <v>5.2011627743701752</v>
          </cell>
          <cell r="BC160">
            <v>5.1988209368433616</v>
          </cell>
          <cell r="BD160">
            <v>5.1964969174573596</v>
          </cell>
          <cell r="BE160">
            <v>5.1941856312183328</v>
          </cell>
          <cell r="BF160">
            <v>5.191882460690838</v>
          </cell>
          <cell r="BG160">
            <v>5.1895832107714508</v>
          </cell>
          <cell r="BH160">
            <v>5.1872840923827743</v>
          </cell>
          <cell r="BI160">
            <v>5.1849817560872378</v>
          </cell>
        </row>
        <row r="161">
          <cell r="B161">
            <v>5.9338161969179604</v>
          </cell>
          <cell r="C161">
            <v>5.8647405114670219</v>
          </cell>
          <cell r="D161">
            <v>5.8241984259035773</v>
          </cell>
          <cell r="E161">
            <v>5.7939092781594992</v>
          </cell>
          <cell r="F161">
            <v>5.7684704349986573</v>
          </cell>
          <cell r="G161">
            <v>5.7443636980437836</v>
          </cell>
          <cell r="H161">
            <v>5.7194697938347199</v>
          </cell>
          <cell r="I161">
            <v>5.6925415379870223</v>
          </cell>
          <cell r="J161">
            <v>5.6634410103256725</v>
          </cell>
          <cell r="K161">
            <v>5.6327710401225515</v>
          </cell>
          <cell r="L161">
            <v>5.6013654957652159</v>
          </cell>
          <cell r="M161">
            <v>5.5700039300256661</v>
          </cell>
          <cell r="N161">
            <v>5.5394044056125056</v>
          </cell>
          <cell r="O161">
            <v>5.5101402426223531</v>
          </cell>
          <cell r="P161">
            <v>5.4825730546201727</v>
          </cell>
          <cell r="Q161">
            <v>5.4568969821621192</v>
          </cell>
          <cell r="R161">
            <v>5.4331820940374733</v>
          </cell>
          <cell r="S161">
            <v>5.411408609956422</v>
          </cell>
          <cell r="T161">
            <v>5.3914906859144685</v>
          </cell>
          <cell r="U161">
            <v>5.3733024988981999</v>
          </cell>
          <cell r="V161">
            <v>5.3567146605546068</v>
          </cell>
          <cell r="W161">
            <v>5.3416032993146647</v>
          </cell>
          <cell r="X161">
            <v>5.3278489588854807</v>
          </cell>
          <cell r="Y161">
            <v>5.3153356784010848</v>
          </cell>
          <cell r="Z161">
            <v>5.3039502933370519</v>
          </cell>
          <cell r="AA161">
            <v>5.2935823675051061</v>
          </cell>
          <cell r="AB161">
            <v>5.2841288241040383</v>
          </cell>
          <cell r="AC161">
            <v>5.2754977048744083</v>
          </cell>
          <cell r="AD161">
            <v>5.2676068623644063</v>
          </cell>
          <cell r="AE161">
            <v>5.2603828070735146</v>
          </cell>
          <cell r="AF161">
            <v>5.2537594804817029</v>
          </cell>
          <cell r="AG161">
            <v>5.2476770966574948</v>
          </cell>
          <cell r="AH161">
            <v>5.2420811918657515</v>
          </cell>
          <cell r="AI161">
            <v>5.23692184571048</v>
          </cell>
          <cell r="AJ161">
            <v>5.2321533275984882</v>
          </cell>
          <cell r="AK161">
            <v>5.2277344009803848</v>
          </cell>
          <cell r="AL161">
            <v>5.2236280064041489</v>
          </cell>
          <cell r="AM161">
            <v>5.2198007157927275</v>
          </cell>
          <cell r="AN161">
            <v>5.2162222668847473</v>
          </cell>
          <cell r="AO161">
            <v>5.2128651920756157</v>
          </cell>
          <cell r="AP161">
            <v>5.2097046774287126</v>
          </cell>
          <cell r="AQ161">
            <v>5.2067184043443273</v>
          </cell>
          <cell r="AR161">
            <v>5.203886269830531</v>
          </cell>
          <cell r="AS161">
            <v>5.2011901347295701</v>
          </cell>
          <cell r="AT161">
            <v>5.1986136055140619</v>
          </cell>
          <cell r="AU161">
            <v>5.1961418445445666</v>
          </cell>
          <cell r="AV161">
            <v>5.1937614048209513</v>
          </cell>
          <cell r="AW161">
            <v>5.1914600956822827</v>
          </cell>
          <cell r="AX161">
            <v>5.1892268778778918</v>
          </cell>
          <cell r="AY161">
            <v>5.1870517539570962</v>
          </cell>
          <cell r="AZ161">
            <v>5.184925666161484</v>
          </cell>
          <cell r="BA161">
            <v>5.1828404060698903</v>
          </cell>
          <cell r="BB161">
            <v>5.1807885344722395</v>
          </cell>
          <cell r="BC161">
            <v>5.178763310146298</v>
          </cell>
          <cell r="BD161">
            <v>5.1767586255743545</v>
          </cell>
          <cell r="BE161">
            <v>5.1747689355235211</v>
          </cell>
          <cell r="BF161">
            <v>5.1727891869162415</v>
          </cell>
          <cell r="BG161">
            <v>5.1708147738266881</v>
          </cell>
          <cell r="BH161">
            <v>5.168841522567976</v>
          </cell>
          <cell r="BI161">
            <v>5.1668657180976654</v>
          </cell>
        </row>
        <row r="162">
          <cell r="B162">
            <v>5.903120147228333</v>
          </cell>
          <cell r="C162">
            <v>5.8558972212261802</v>
          </cell>
          <cell r="D162">
            <v>5.8211041232158047</v>
          </cell>
          <cell r="E162">
            <v>5.7935922517840996</v>
          </cell>
          <cell r="F162">
            <v>5.7701448913748585</v>
          </cell>
          <cell r="G162">
            <v>5.7477362073846852</v>
          </cell>
          <cell r="H162">
            <v>5.7242620436904792</v>
          </cell>
          <cell r="I162">
            <v>5.6985724687536532</v>
          </cell>
          <cell r="J162">
            <v>5.6706498284867353</v>
          </cell>
          <cell r="K162">
            <v>5.6411304714731498</v>
          </cell>
          <cell r="L162">
            <v>5.6108325481545087</v>
          </cell>
          <cell r="M162">
            <v>5.5805164143327879</v>
          </cell>
          <cell r="N162">
            <v>5.5508833974404039</v>
          </cell>
          <cell r="O162">
            <v>5.5224913303172327</v>
          </cell>
          <cell r="P162">
            <v>5.4956942616034672</v>
          </cell>
          <cell r="Q162">
            <v>5.4706846651260994</v>
          </cell>
          <cell r="R162">
            <v>5.4475348296274353</v>
          </cell>
          <cell r="S162">
            <v>5.4262300189209265</v>
          </cell>
          <cell r="T162">
            <v>5.4066915440452972</v>
          </cell>
          <cell r="U162">
            <v>5.3888024990979586</v>
          </cell>
          <cell r="V162">
            <v>5.3724422814664878</v>
          </cell>
          <cell r="W162">
            <v>5.357494676791978</v>
          </cell>
          <cell r="X162">
            <v>5.3438469752726867</v>
          </cell>
          <cell r="Y162">
            <v>5.3313892415479547</v>
          </cell>
          <cell r="Z162">
            <v>5.3200137598101005</v>
          </cell>
          <cell r="AA162">
            <v>5.3096151228982906</v>
          </cell>
          <cell r="AB162">
            <v>5.3000949369364738</v>
          </cell>
          <cell r="AC162">
            <v>5.2913652908040678</v>
          </cell>
          <cell r="AD162">
            <v>5.2833475069502063</v>
          </cell>
          <cell r="AE162">
            <v>5.2759711077616478</v>
          </cell>
          <cell r="AF162">
            <v>5.2691726576662834</v>
          </cell>
          <cell r="AG162">
            <v>5.2628946650124373</v>
          </cell>
          <cell r="AH162">
            <v>5.257084681474864</v>
          </cell>
          <cell r="AI162">
            <v>5.2516945653885827</v>
          </cell>
          <cell r="AJ162">
            <v>5.2466801887022632</v>
          </cell>
          <cell r="AK162">
            <v>5.2420017752241295</v>
          </cell>
          <cell r="AL162">
            <v>5.2376235844988956</v>
          </cell>
          <cell r="AM162">
            <v>5.2335133838071117</v>
          </cell>
          <cell r="AN162">
            <v>5.2296419984605054</v>
          </cell>
          <cell r="AO162">
            <v>5.2259829572988563</v>
          </cell>
          <cell r="AP162">
            <v>5.2225123693941891</v>
          </cell>
          <cell r="AQ162">
            <v>5.2192087684747808</v>
          </cell>
          <cell r="AR162">
            <v>5.2160528400349566</v>
          </cell>
          <cell r="AS162">
            <v>5.2130271768162233</v>
          </cell>
          <cell r="AT162">
            <v>5.2101160668909197</v>
          </cell>
          <cell r="AU162">
            <v>5.207305309387114</v>
          </cell>
          <cell r="AV162">
            <v>5.2045820540309613</v>
          </cell>
          <cell r="AW162">
            <v>5.2019346703786029</v>
          </cell>
          <cell r="AX162">
            <v>5.1993526436712587</v>
          </cell>
          <cell r="AY162">
            <v>5.1968264677274645</v>
          </cell>
          <cell r="AZ162">
            <v>5.1943475460809641</v>
          </cell>
          <cell r="BA162">
            <v>5.1919081045080944</v>
          </cell>
          <cell r="BB162">
            <v>5.189501113457724</v>
          </cell>
          <cell r="BC162">
            <v>5.1871202191000965</v>
          </cell>
          <cell r="BD162">
            <v>5.1847596809001049</v>
          </cell>
          <cell r="BE162">
            <v>5.1824143008229067</v>
          </cell>
          <cell r="BF162">
            <v>5.1800793548063373</v>
          </cell>
          <cell r="BG162">
            <v>5.1777505496705905</v>
          </cell>
          <cell r="BH162">
            <v>5.1754240123865429</v>
          </cell>
          <cell r="BI162">
            <v>5.1730963194027781</v>
          </cell>
        </row>
        <row r="163">
          <cell r="B163">
            <v>5.8807248423305749</v>
          </cell>
          <cell r="C163">
            <v>5.8274615822246147</v>
          </cell>
          <cell r="D163">
            <v>5.7809274594756204</v>
          </cell>
          <cell r="E163">
            <v>5.7473050317827621</v>
          </cell>
          <cell r="F163">
            <v>5.7222863825548771</v>
          </cell>
          <cell r="G163">
            <v>5.7003159467315676</v>
          </cell>
          <cell r="H163">
            <v>5.6772912082893061</v>
          </cell>
          <cell r="I163">
            <v>5.6511610916087118</v>
          </cell>
          <cell r="J163">
            <v>5.6218197830221488</v>
          </cell>
          <cell r="K163">
            <v>5.590080992937482</v>
          </cell>
          <cell r="L163">
            <v>5.5570152824997292</v>
          </cell>
          <cell r="M163">
            <v>5.5236163475639124</v>
          </cell>
          <cell r="N163">
            <v>5.4907985764904801</v>
          </cell>
          <cell r="O163">
            <v>5.4592844789919148</v>
          </cell>
          <cell r="P163">
            <v>5.4295261629092568</v>
          </cell>
          <cell r="Q163">
            <v>5.4017709975548396</v>
          </cell>
          <cell r="R163">
            <v>5.3761190667034278</v>
          </cell>
          <cell r="S163">
            <v>5.352563991892012</v>
          </cell>
          <cell r="T163">
            <v>5.3310212068738005</v>
          </cell>
          <cell r="U163">
            <v>5.3113600140805168</v>
          </cell>
          <cell r="V163">
            <v>5.2934448592884857</v>
          </cell>
          <cell r="W163">
            <v>5.2771444274989712</v>
          </cell>
          <cell r="X163">
            <v>5.2623307838751519</v>
          </cell>
          <cell r="Y163">
            <v>5.2488786695417309</v>
          </cell>
          <cell r="Z163">
            <v>5.2366649663975844</v>
          </cell>
          <cell r="AA163">
            <v>5.2255689615635426</v>
          </cell>
          <cell r="AB163">
            <v>5.2154780311168265</v>
          </cell>
          <cell r="AC163">
            <v>5.2062914489337411</v>
          </cell>
          <cell r="AD163">
            <v>5.1979189733626034</v>
          </cell>
          <cell r="AE163">
            <v>5.1902797790061932</v>
          </cell>
          <cell r="AF163">
            <v>5.1833011430912883</v>
          </cell>
          <cell r="AG163">
            <v>5.1769171816978306</v>
          </cell>
          <cell r="AH163">
            <v>5.1710678135690618</v>
          </cell>
          <cell r="AI163">
            <v>5.1656979140598507</v>
          </cell>
          <cell r="AJ163">
            <v>5.1607570027995351</v>
          </cell>
          <cell r="AK163">
            <v>5.1561996193616153</v>
          </cell>
          <cell r="AL163">
            <v>5.1519849318500341</v>
          </cell>
          <cell r="AM163">
            <v>5.1480761304728775</v>
          </cell>
          <cell r="AN163">
            <v>5.144439911901074</v>
          </cell>
          <cell r="AO163">
            <v>5.1410460738981465</v>
          </cell>
          <cell r="AP163">
            <v>5.137867361480092</v>
          </cell>
          <cell r="AQ163">
            <v>5.1348792695020213</v>
          </cell>
          <cell r="AR163">
            <v>5.1320597311423946</v>
          </cell>
          <cell r="AS163">
            <v>5.1293888408208188</v>
          </cell>
          <cell r="AT163">
            <v>5.1268486140601439</v>
          </cell>
          <cell r="AU163">
            <v>5.1244227786708967</v>
          </cell>
          <cell r="AV163">
            <v>5.1220965930721229</v>
          </cell>
          <cell r="AW163">
            <v>5.1198567010679019</v>
          </cell>
          <cell r="AX163">
            <v>5.117691017580694</v>
          </cell>
          <cell r="AY163">
            <v>5.1155886070234313</v>
          </cell>
          <cell r="AZ163">
            <v>5.1135395706205502</v>
          </cell>
          <cell r="BA163">
            <v>5.1115349467145776</v>
          </cell>
          <cell r="BB163">
            <v>5.1095666223587619</v>
          </cell>
          <cell r="BC163">
            <v>5.1076272547327539</v>
          </cell>
          <cell r="BD163">
            <v>5.1057102001405728</v>
          </cell>
          <cell r="BE163">
            <v>5.1038094372273086</v>
          </cell>
          <cell r="BF163">
            <v>5.1019194949218711</v>
          </cell>
          <cell r="BG163">
            <v>5.1000354035405175</v>
          </cell>
          <cell r="BH163">
            <v>5.0981526804716983</v>
          </cell>
          <cell r="BI163">
            <v>5.0962673543626291</v>
          </cell>
        </row>
        <row r="164">
          <cell r="B164">
            <v>5.8552177017331219</v>
          </cell>
          <cell r="C164">
            <v>5.813214181576658</v>
          </cell>
          <cell r="D164">
            <v>5.7784127710043478</v>
          </cell>
          <cell r="E164">
            <v>5.7518431194780941</v>
          </cell>
          <cell r="F164">
            <v>5.7304786846320566</v>
          </cell>
          <cell r="G164">
            <v>5.7108042845105631</v>
          </cell>
          <cell r="H164">
            <v>5.6901548311714265</v>
          </cell>
          <cell r="I164">
            <v>5.6672409296271526</v>
          </cell>
          <cell r="J164">
            <v>5.6420903114083378</v>
          </cell>
          <cell r="K164">
            <v>5.6153485245713224</v>
          </cell>
          <cell r="L164">
            <v>5.5878230837585621</v>
          </cell>
          <cell r="M164">
            <v>5.5602536498931556</v>
          </cell>
          <cell r="N164">
            <v>5.5333150980780044</v>
          </cell>
          <cell r="O164">
            <v>5.5075385125778809</v>
          </cell>
          <cell r="P164">
            <v>5.4832550102221527</v>
          </cell>
          <cell r="Q164">
            <v>5.4606413929066493</v>
          </cell>
          <cell r="R164">
            <v>5.4397622101556493</v>
          </cell>
          <cell r="S164">
            <v>5.4206008460733983</v>
          </cell>
          <cell r="T164">
            <v>5.4030811308158047</v>
          </cell>
          <cell r="U164">
            <v>5.3870927177348653</v>
          </cell>
          <cell r="V164">
            <v>5.3725228168972547</v>
          </cell>
          <cell r="W164">
            <v>5.3592625084552505</v>
          </cell>
          <cell r="X164">
            <v>5.3472059368991287</v>
          </cell>
          <cell r="Y164">
            <v>5.3362496726533992</v>
          </cell>
          <cell r="Z164">
            <v>5.3262922269159363</v>
          </cell>
          <cell r="AA164">
            <v>5.3172342877148493</v>
          </cell>
          <cell r="AB164">
            <v>5.3089833577060279</v>
          </cell>
          <cell r="AC164">
            <v>5.3014565629297339</v>
          </cell>
          <cell r="AD164">
            <v>5.2945795159954292</v>
          </cell>
          <cell r="AE164">
            <v>5.2882855437035552</v>
          </cell>
          <cell r="AF164">
            <v>5.2825146223536112</v>
          </cell>
          <cell r="AG164">
            <v>5.2772123403726638</v>
          </cell>
          <cell r="AH164">
            <v>5.2723290479929927</v>
          </cell>
          <cell r="AI164">
            <v>5.2678191649645614</v>
          </cell>
          <cell r="AJ164">
            <v>5.2636409689348582</v>
          </cell>
          <cell r="AK164">
            <v>5.259756944950313</v>
          </cell>
          <cell r="AL164">
            <v>5.256133447121405</v>
          </cell>
          <cell r="AM164">
            <v>5.2527401911954223</v>
          </cell>
          <cell r="AN164">
            <v>5.2495498236014226</v>
          </cell>
          <cell r="AO164">
            <v>5.2465375876720657</v>
          </cell>
          <cell r="AP164">
            <v>5.24368121029765</v>
          </cell>
          <cell r="AQ164">
            <v>5.2409607357886427</v>
          </cell>
          <cell r="AR164">
            <v>5.2383582626334997</v>
          </cell>
          <cell r="AS164">
            <v>5.2358577100693395</v>
          </cell>
          <cell r="AT164">
            <v>5.2334446157765449</v>
          </cell>
          <cell r="AU164">
            <v>5.2311059599610106</v>
          </cell>
          <cell r="AV164">
            <v>5.2288300121913913</v>
          </cell>
          <cell r="AW164">
            <v>5.2266062048701762</v>
          </cell>
          <cell r="AX164">
            <v>5.2244250283788434</v>
          </cell>
          <cell r="AY164">
            <v>5.2222779278524083</v>
          </cell>
          <cell r="AZ164">
            <v>5.2201572095814646</v>
          </cell>
          <cell r="BA164">
            <v>5.2180559582087493</v>
          </cell>
          <cell r="BB164">
            <v>5.2159679632996978</v>
          </cell>
          <cell r="BC164">
            <v>5.2138876540718293</v>
          </cell>
          <cell r="BD164">
            <v>5.2118100399555889</v>
          </cell>
          <cell r="BE164">
            <v>5.2097306418865976</v>
          </cell>
          <cell r="BF164">
            <v>5.2076454282911788</v>
          </cell>
          <cell r="BG164">
            <v>5.20555077521347</v>
          </cell>
          <cell r="BH164">
            <v>5.2034434626501493</v>
          </cell>
          <cell r="BI164">
            <v>5.2013207059035746</v>
          </cell>
        </row>
        <row r="165">
          <cell r="B165">
            <v>5.8375674701614022</v>
          </cell>
          <cell r="C165">
            <v>5.8061052465445613</v>
          </cell>
          <cell r="D165">
            <v>5.7787011354638027</v>
          </cell>
          <cell r="E165">
            <v>5.7599689451684073</v>
          </cell>
          <cell r="F165">
            <v>5.7467563894184188</v>
          </cell>
          <cell r="G165">
            <v>5.734642030524661</v>
          </cell>
          <cell r="H165">
            <v>5.7198501694643165</v>
          </cell>
          <cell r="I165">
            <v>5.7006570968711792</v>
          </cell>
          <cell r="J165">
            <v>5.677264695857084</v>
          </cell>
          <cell r="K165">
            <v>5.6506617831952468</v>
          </cell>
          <cell r="L165">
            <v>5.6220257958927737</v>
          </cell>
          <cell r="M165">
            <v>5.5924224920761114</v>
          </cell>
          <cell r="N165">
            <v>5.5628223667579766</v>
          </cell>
          <cell r="O165">
            <v>5.5340205169157164</v>
          </cell>
          <cell r="P165">
            <v>5.50654867668894</v>
          </cell>
          <cell r="Q165">
            <v>5.4807221821242731</v>
          </cell>
          <cell r="R165">
            <v>5.4566960042265027</v>
          </cell>
          <cell r="S165">
            <v>5.4345091067713645</v>
          </cell>
          <cell r="T165">
            <v>5.4141153503597845</v>
          </cell>
          <cell r="U165">
            <v>5.3954183017294639</v>
          </cell>
          <cell r="V165">
            <v>5.3783115103867294</v>
          </cell>
          <cell r="W165">
            <v>5.362687166210411</v>
          </cell>
          <cell r="X165">
            <v>5.3484364254093153</v>
          </cell>
          <cell r="Y165">
            <v>5.3354496258701527</v>
          </cell>
          <cell r="Z165">
            <v>5.3236164509354928</v>
          </cell>
          <cell r="AA165">
            <v>5.312826894076589</v>
          </cell>
          <cell r="AB165">
            <v>5.3029775446405747</v>
          </cell>
          <cell r="AC165">
            <v>5.2939751306893514</v>
          </cell>
          <cell r="AD165">
            <v>5.2857354387447923</v>
          </cell>
          <cell r="AE165">
            <v>5.278182708702027</v>
          </cell>
          <cell r="AF165">
            <v>5.2712485043781827</v>
          </cell>
          <cell r="AG165">
            <v>5.2648705708282835</v>
          </cell>
          <cell r="AH165">
            <v>5.2589918977940533</v>
          </cell>
          <cell r="AI165">
            <v>5.2535599606372996</v>
          </cell>
          <cell r="AJ165">
            <v>5.2485265666958663</v>
          </cell>
          <cell r="AK165">
            <v>5.2438483371869058</v>
          </cell>
          <cell r="AL165">
            <v>5.2394863170765458</v>
          </cell>
          <cell r="AM165">
            <v>5.235405394473978</v>
          </cell>
          <cell r="AN165">
            <v>5.2315738079726382</v>
          </cell>
          <cell r="AO165">
            <v>5.2279627699588955</v>
          </cell>
          <cell r="AP165">
            <v>5.2245463455271013</v>
          </cell>
          <cell r="AQ165">
            <v>5.2213012561387062</v>
          </cell>
          <cell r="AR165">
            <v>5.2182065768855681</v>
          </cell>
          <cell r="AS165">
            <v>5.2152434690319573</v>
          </cell>
          <cell r="AT165">
            <v>5.2123949482176144</v>
          </cell>
          <cell r="AU165">
            <v>5.2096456828952027</v>
          </cell>
          <cell r="AV165">
            <v>5.2069818193162165</v>
          </cell>
          <cell r="AW165">
            <v>5.2043908465435553</v>
          </cell>
          <cell r="AX165">
            <v>5.2018614907228597</v>
          </cell>
          <cell r="AY165">
            <v>5.1993835967395938</v>
          </cell>
          <cell r="AZ165">
            <v>5.1969480185460206</v>
          </cell>
          <cell r="BA165">
            <v>5.1945465221355471</v>
          </cell>
          <cell r="BB165">
            <v>5.1921716995011051</v>
          </cell>
          <cell r="BC165">
            <v>5.1898168921537176</v>
          </cell>
          <cell r="BD165">
            <v>5.1874761216481593</v>
          </cell>
          <cell r="BE165">
            <v>5.1851440129755035</v>
          </cell>
          <cell r="BF165">
            <v>5.1828157248685542</v>
          </cell>
          <cell r="BG165">
            <v>5.1804869031664715</v>
          </cell>
          <cell r="BH165">
            <v>5.1781536753500328</v>
          </cell>
          <cell r="BI165">
            <v>5.175812679375162</v>
          </cell>
        </row>
        <row r="166">
          <cell r="B166">
            <v>5.8363448617042888</v>
          </cell>
          <cell r="C166">
            <v>5.8008952723652047</v>
          </cell>
          <cell r="D166">
            <v>5.7698982663461997</v>
          </cell>
          <cell r="E166">
            <v>5.7468388067643339</v>
          </cell>
          <cell r="F166">
            <v>5.7291631855790808</v>
          </cell>
          <cell r="G166">
            <v>5.7132796595609658</v>
          </cell>
          <cell r="H166">
            <v>5.6959513801070178</v>
          </cell>
          <cell r="I166">
            <v>5.6754755643510117</v>
          </cell>
          <cell r="J166">
            <v>5.6517906264876938</v>
          </cell>
          <cell r="K166">
            <v>5.6256381553797237</v>
          </cell>
          <cell r="L166">
            <v>5.5980085864163982</v>
          </cell>
          <cell r="M166">
            <v>5.5698190223727408</v>
          </cell>
          <cell r="N166">
            <v>5.5419085516392963</v>
          </cell>
          <cell r="O166">
            <v>5.5149549543662655</v>
          </cell>
          <cell r="P166">
            <v>5.4893959822975882</v>
          </cell>
          <cell r="Q166">
            <v>5.4654785888010231</v>
          </cell>
          <cell r="R166">
            <v>5.4433114678625616</v>
          </cell>
          <cell r="S166">
            <v>5.4229034129156002</v>
          </cell>
          <cell r="T166">
            <v>5.404190343113588</v>
          </cell>
          <cell r="U166">
            <v>5.3870694631794818</v>
          </cell>
          <cell r="V166">
            <v>5.3714334714403842</v>
          </cell>
          <cell r="W166">
            <v>5.3571756417030816</v>
          </cell>
          <cell r="X166">
            <v>5.3441897028071272</v>
          </cell>
          <cell r="Y166">
            <v>5.3323697438263444</v>
          </cell>
          <cell r="Z166">
            <v>5.3216101440206494</v>
          </cell>
          <cell r="AA166">
            <v>5.3118067085668619</v>
          </cell>
          <cell r="AB166">
            <v>5.3028627818665903</v>
          </cell>
          <cell r="AC166">
            <v>5.2946914796162794</v>
          </cell>
          <cell r="AD166">
            <v>5.287214577083561</v>
          </cell>
          <cell r="AE166">
            <v>5.2803618363037046</v>
          </cell>
          <cell r="AF166">
            <v>5.2740698622220341</v>
          </cell>
          <cell r="AG166">
            <v>5.268281033808317</v>
          </cell>
          <cell r="AH166">
            <v>5.2629426292045709</v>
          </cell>
          <cell r="AI166">
            <v>5.2580061294297664</v>
          </cell>
          <cell r="AJ166">
            <v>5.253427187974407</v>
          </cell>
          <cell r="AK166">
            <v>5.2491659994723676</v>
          </cell>
          <cell r="AL166">
            <v>5.2451868502793264</v>
          </cell>
          <cell r="AM166">
            <v>5.2414575803328605</v>
          </cell>
          <cell r="AN166">
            <v>5.2379491278537591</v>
          </cell>
          <cell r="AO166">
            <v>5.2346351986082551</v>
          </cell>
          <cell r="AP166">
            <v>5.2314921619736969</v>
          </cell>
          <cell r="AQ166">
            <v>5.2284988376812844</v>
          </cell>
          <cell r="AR166">
            <v>5.2256362135670367</v>
          </cell>
          <cell r="AS166">
            <v>5.2228871991962444</v>
          </cell>
          <cell r="AT166">
            <v>5.2202364123379947</v>
          </cell>
          <cell r="AU166">
            <v>5.2176699932908486</v>
          </cell>
          <cell r="AV166">
            <v>5.2151754439522788</v>
          </cell>
          <cell r="AW166">
            <v>5.2127415015496483</v>
          </cell>
          <cell r="AX166">
            <v>5.2103580319122669</v>
          </cell>
          <cell r="AY166">
            <v>5.2080159189521487</v>
          </cell>
          <cell r="AZ166">
            <v>5.2057069648521885</v>
          </cell>
          <cell r="BA166">
            <v>5.2034238017708878</v>
          </cell>
          <cell r="BB166">
            <v>5.2011598135427644</v>
          </cell>
          <cell r="BC166">
            <v>5.1989090660786585</v>
          </cell>
          <cell r="BD166">
            <v>5.1966662441294069</v>
          </cell>
          <cell r="BE166">
            <v>5.1944265859653811</v>
          </cell>
          <cell r="BF166">
            <v>5.1921858268328149</v>
          </cell>
          <cell r="BG166">
            <v>5.1899401564459451</v>
          </cell>
          <cell r="BH166">
            <v>5.1876861988747507</v>
          </cell>
          <cell r="BI166">
            <v>5.1854209999413872</v>
          </cell>
        </row>
        <row r="167">
          <cell r="B167">
            <v>5.8308986642502862</v>
          </cell>
          <cell r="C167">
            <v>5.7926594668158824</v>
          </cell>
          <cell r="D167">
            <v>5.7633372031653334</v>
          </cell>
          <cell r="E167">
            <v>5.74328263989202</v>
          </cell>
          <cell r="F167">
            <v>5.7285359272058916</v>
          </cell>
          <cell r="G167">
            <v>5.7149529223813307</v>
          </cell>
          <cell r="H167">
            <v>5.6989766717154557</v>
          </cell>
          <cell r="I167">
            <v>5.6788101068334536</v>
          </cell>
          <cell r="J167">
            <v>5.6545041377295018</v>
          </cell>
          <cell r="K167">
            <v>5.6270259594898517</v>
          </cell>
          <cell r="L167">
            <v>5.5975854173979744</v>
          </cell>
          <cell r="M167">
            <v>5.5672941433064214</v>
          </cell>
          <cell r="N167">
            <v>5.5371692827414725</v>
          </cell>
          <cell r="O167">
            <v>5.50801598324641</v>
          </cell>
          <cell r="P167">
            <v>5.4803446267645421</v>
          </cell>
          <cell r="Q167">
            <v>5.4544439328361509</v>
          </cell>
          <cell r="R167">
            <v>5.430444742852881</v>
          </cell>
          <cell r="S167">
            <v>5.4083638599196835</v>
          </cell>
          <cell r="T167">
            <v>5.3881350314178649</v>
          </cell>
          <cell r="U167">
            <v>5.3696484881338673</v>
          </cell>
          <cell r="V167">
            <v>5.3527887100140568</v>
          </cell>
          <cell r="W167">
            <v>5.337439819205489</v>
          </cell>
          <cell r="X167">
            <v>5.3234856606507881</v>
          </cell>
          <cell r="Y167">
            <v>5.3108098598390727</v>
          </cell>
          <cell r="Z167">
            <v>5.2992958704229602</v>
          </cell>
          <cell r="AA167">
            <v>5.2888285094892273</v>
          </cell>
          <cell r="AB167">
            <v>5.2793011043318776</v>
          </cell>
          <cell r="AC167">
            <v>5.2706178415638849</v>
          </cell>
          <cell r="AD167">
            <v>5.2626925484954326</v>
          </cell>
          <cell r="AE167">
            <v>5.2554479468844901</v>
          </cell>
          <cell r="AF167">
            <v>5.248814366610743</v>
          </cell>
          <cell r="AG167">
            <v>5.2427285571262026</v>
          </cell>
          <cell r="AH167">
            <v>5.2371327147927245</v>
          </cell>
          <cell r="AI167">
            <v>5.2319737132311115</v>
          </cell>
          <cell r="AJ167">
            <v>5.227203093014575</v>
          </cell>
          <cell r="AK167">
            <v>5.2227774319183746</v>
          </cell>
          <cell r="AL167">
            <v>5.2186578262558179</v>
          </cell>
          <cell r="AM167">
            <v>5.2148092964847743</v>
          </cell>
          <cell r="AN167">
            <v>5.2112002845231711</v>
          </cell>
          <cell r="AO167">
            <v>5.207802288098744</v>
          </cell>
          <cell r="AP167">
            <v>5.2045897248213135</v>
          </cell>
          <cell r="AQ167">
            <v>5.2015396824101385</v>
          </cell>
          <cell r="AR167">
            <v>5.1986316103984782</v>
          </cell>
          <cell r="AS167">
            <v>5.1958470517456252</v>
          </cell>
          <cell r="AT167">
            <v>5.1931694102340131</v>
          </cell>
          <cell r="AU167">
            <v>5.1905837482058397</v>
          </cell>
          <cell r="AV167">
            <v>5.1880766112548526</v>
          </cell>
          <cell r="AW167">
            <v>5.1856358890517447</v>
          </cell>
          <cell r="AX167">
            <v>5.1832506959227764</v>
          </cell>
          <cell r="AY167">
            <v>5.1809112503461829</v>
          </cell>
          <cell r="AZ167">
            <v>5.1786087667020313</v>
          </cell>
          <cell r="BA167">
            <v>5.1763353595124233</v>
          </cell>
          <cell r="BB167">
            <v>5.1740839585224441</v>
          </cell>
          <cell r="BC167">
            <v>5.171848233216104</v>
          </cell>
          <cell r="BD167">
            <v>5.1696225230478143</v>
          </cell>
          <cell r="BE167">
            <v>5.1674017587575971</v>
          </cell>
          <cell r="BF167">
            <v>5.1651813965592019</v>
          </cell>
          <cell r="BG167">
            <v>5.1629573735387551</v>
          </cell>
          <cell r="BH167">
            <v>5.1607260960163108</v>
          </cell>
          <cell r="BI167">
            <v>5.1584844349839072</v>
          </cell>
        </row>
        <row r="168">
          <cell r="B168">
            <v>5.8363828970385958</v>
          </cell>
          <cell r="C168">
            <v>5.7932469696702045</v>
          </cell>
          <cell r="D168">
            <v>5.756104384762355</v>
          </cell>
          <cell r="E168">
            <v>5.7290145308512335</v>
          </cell>
          <cell r="F168">
            <v>5.7090477404410578</v>
          </cell>
          <cell r="G168">
            <v>5.6920707670803568</v>
          </cell>
          <cell r="H168">
            <v>5.6740465372830169</v>
          </cell>
          <cell r="I168">
            <v>5.6526226926034022</v>
          </cell>
          <cell r="J168">
            <v>5.6274882177145784</v>
          </cell>
          <cell r="K168">
            <v>5.5993854811782295</v>
          </cell>
          <cell r="L168">
            <v>5.569399425676294</v>
          </cell>
          <cell r="M168">
            <v>5.5385985606917476</v>
          </cell>
          <cell r="N168">
            <v>5.5080074314149563</v>
          </cell>
          <cell r="O168">
            <v>5.4784505683598494</v>
          </cell>
          <cell r="P168">
            <v>5.4504462800309934</v>
          </cell>
          <cell r="Q168">
            <v>5.4242845469578826</v>
          </cell>
          <cell r="R168">
            <v>5.4000937242731153</v>
          </cell>
          <cell r="S168">
            <v>5.3778854336914774</v>
          </cell>
          <cell r="T168">
            <v>5.3575856880714499</v>
          </cell>
          <cell r="U168">
            <v>5.3390711363511842</v>
          </cell>
          <cell r="V168">
            <v>5.3222121310414954</v>
          </cell>
          <cell r="W168">
            <v>5.306881287609003</v>
          </cell>
          <cell r="X168">
            <v>5.292953027611544</v>
          </cell>
          <cell r="Y168">
            <v>5.2803032024291747</v>
          </cell>
          <cell r="Z168">
            <v>5.2688088133137754</v>
          </cell>
          <cell r="AA168">
            <v>5.2583495139649044</v>
          </cell>
          <cell r="AB168">
            <v>5.248814942438206</v>
          </cell>
          <cell r="AC168">
            <v>5.2401067451699914</v>
          </cell>
          <cell r="AD168">
            <v>5.2321370964765279</v>
          </cell>
          <cell r="AE168">
            <v>5.2248276741710571</v>
          </cell>
          <cell r="AF168">
            <v>5.2181082423059131</v>
          </cell>
          <cell r="AG168">
            <v>5.2119153878048072</v>
          </cell>
          <cell r="AH168">
            <v>5.2061914866944417</v>
          </cell>
          <cell r="AI168">
            <v>5.2008838872251433</v>
          </cell>
          <cell r="AJ168">
            <v>5.1959448452550747</v>
          </cell>
          <cell r="AK168">
            <v>5.1913317730536344</v>
          </cell>
          <cell r="AL168">
            <v>5.1870066782747903</v>
          </cell>
          <cell r="AM168">
            <v>5.1829355593734423</v>
          </cell>
          <cell r="AN168">
            <v>5.1790878944363596</v>
          </cell>
          <cell r="AO168">
            <v>5.175436262520968</v>
          </cell>
          <cell r="AP168">
            <v>5.1719561641804308</v>
          </cell>
          <cell r="AQ168">
            <v>5.1686257499543409</v>
          </cell>
          <cell r="AR168">
            <v>5.1654255136911571</v>
          </cell>
          <cell r="AS168">
            <v>5.1623380262631038</v>
          </cell>
          <cell r="AT168">
            <v>5.1593477047857572</v>
          </cell>
          <cell r="AU168">
            <v>5.1564406119394173</v>
          </cell>
          <cell r="AV168">
            <v>5.1536042802791719</v>
          </cell>
          <cell r="AW168">
            <v>5.150827551410905</v>
          </cell>
          <cell r="AX168">
            <v>5.1481004341082359</v>
          </cell>
          <cell r="AY168">
            <v>5.1454139867572355</v>
          </cell>
          <cell r="AZ168">
            <v>5.1427602144532427</v>
          </cell>
          <cell r="BA168">
            <v>5.140131977971131</v>
          </cell>
          <cell r="BB168">
            <v>5.1375229130408178</v>
          </cell>
          <cell r="BC168">
            <v>5.1349273585921731</v>
          </cell>
          <cell r="BD168">
            <v>5.1323402925145425</v>
          </cell>
          <cell r="BE168">
            <v>5.1297572585509874</v>
          </cell>
          <cell r="BF168">
            <v>5.1271742761303845</v>
          </cell>
          <cell r="BG168">
            <v>5.1245877910132016</v>
          </cell>
          <cell r="BH168">
            <v>5.1219946864364578</v>
          </cell>
          <cell r="BI168">
            <v>5.1193923011541198</v>
          </cell>
        </row>
        <row r="169">
          <cell r="B169">
            <v>5.8874787561592532</v>
          </cell>
          <cell r="C169">
            <v>5.8538359534605249</v>
          </cell>
          <cell r="D169">
            <v>5.8143877626762563</v>
          </cell>
          <cell r="E169">
            <v>5.7791263078077657</v>
          </cell>
          <cell r="F169">
            <v>5.7508764819117983</v>
          </cell>
          <cell r="G169">
            <v>5.7277361771638269</v>
          </cell>
          <cell r="H169">
            <v>5.7061768794163052</v>
          </cell>
          <cell r="I169">
            <v>5.6830575150500229</v>
          </cell>
          <cell r="J169">
            <v>5.6571676777577489</v>
          </cell>
          <cell r="K169">
            <v>5.6285644372547647</v>
          </cell>
          <cell r="L169">
            <v>5.5978921727329309</v>
          </cell>
          <cell r="M169">
            <v>5.5660403244056331</v>
          </cell>
          <cell r="N169">
            <v>5.5340262828738265</v>
          </cell>
          <cell r="O169">
            <v>5.5027507854837738</v>
          </cell>
          <cell r="P169">
            <v>5.4728065904850123</v>
          </cell>
          <cell r="Q169">
            <v>5.4445487748207544</v>
          </cell>
          <cell r="R169">
            <v>5.4181646388076841</v>
          </cell>
          <cell r="S169">
            <v>5.3937203107544311</v>
          </cell>
          <cell r="T169">
            <v>5.3711930063395634</v>
          </cell>
          <cell r="U169">
            <v>5.3505051145730222</v>
          </cell>
          <cell r="V169">
            <v>5.3315604977828208</v>
          </cell>
          <cell r="W169">
            <v>5.314253582267348</v>
          </cell>
          <cell r="X169">
            <v>5.2984714275844675</v>
          </cell>
          <cell r="Y169">
            <v>5.2840952612891225</v>
          </cell>
          <cell r="Z169">
            <v>5.2710016565361135</v>
          </cell>
          <cell r="AA169">
            <v>5.2590658019226444</v>
          </cell>
          <cell r="AB169">
            <v>5.2481717009390429</v>
          </cell>
          <cell r="AC169">
            <v>5.2382151022458334</v>
          </cell>
          <cell r="AD169">
            <v>5.2291021666819875</v>
          </cell>
          <cell r="AE169">
            <v>5.2207485523787884</v>
          </cell>
          <cell r="AF169">
            <v>5.2130780020357603</v>
          </cell>
          <cell r="AG169">
            <v>5.2060210797699185</v>
          </cell>
          <cell r="AH169">
            <v>5.1995141375676575</v>
          </cell>
          <cell r="AI169">
            <v>5.1934985153547286</v>
          </cell>
          <cell r="AJ169">
            <v>5.1879206893362531</v>
          </cell>
          <cell r="AK169">
            <v>5.1827327134098971</v>
          </cell>
          <cell r="AL169">
            <v>5.1778916197954059</v>
          </cell>
          <cell r="AM169">
            <v>5.173358764033364</v>
          </cell>
          <cell r="AN169">
            <v>5.1690992715928994</v>
          </cell>
          <cell r="AO169">
            <v>5.1650816512063678</v>
          </cell>
          <cell r="AP169">
            <v>5.1612776586433462</v>
          </cell>
          <cell r="AQ169">
            <v>5.1576620086824239</v>
          </cell>
          <cell r="AR169">
            <v>5.1542120326428451</v>
          </cell>
          <cell r="AS169">
            <v>5.1509073810503345</v>
          </cell>
          <cell r="AT169">
            <v>5.1477297659474912</v>
          </cell>
          <cell r="AU169">
            <v>5.1446627368158726</v>
          </cell>
          <cell r="AV169">
            <v>5.1416914865407906</v>
          </cell>
          <cell r="AW169">
            <v>5.1388026962000044</v>
          </cell>
          <cell r="AX169">
            <v>5.1359843992337098</v>
          </cell>
          <cell r="AY169">
            <v>5.13322584768179</v>
          </cell>
          <cell r="AZ169">
            <v>5.1305173927132621</v>
          </cell>
          <cell r="BA169">
            <v>5.1278503789407788</v>
          </cell>
          <cell r="BB169">
            <v>5.1252170506995327</v>
          </cell>
          <cell r="BC169">
            <v>5.1226104687396132</v>
          </cell>
          <cell r="BD169">
            <v>5.1200244355955808</v>
          </cell>
          <cell r="BE169">
            <v>5.117453411340029</v>
          </cell>
          <cell r="BF169">
            <v>5.1148924136882519</v>
          </cell>
          <cell r="BG169">
            <v>5.11233696314188</v>
          </cell>
          <cell r="BH169">
            <v>5.1097831004887206</v>
          </cell>
          <cell r="BI169">
            <v>5.1072274065594749</v>
          </cell>
        </row>
        <row r="170">
          <cell r="B170">
            <v>5.9064256555597749</v>
          </cell>
          <cell r="C170">
            <v>5.8345907478577139</v>
          </cell>
          <cell r="D170">
            <v>5.7850106103913639</v>
          </cell>
          <cell r="E170">
            <v>5.7510304341634351</v>
          </cell>
          <cell r="F170">
            <v>5.7271796587364046</v>
          </cell>
          <cell r="G170">
            <v>5.7083324175422616</v>
          </cell>
          <cell r="H170">
            <v>5.6896374711808324</v>
          </cell>
          <cell r="I170">
            <v>5.6678808037595365</v>
          </cell>
          <cell r="J170">
            <v>5.6423076975459052</v>
          </cell>
          <cell r="K170">
            <v>5.613567211821076</v>
          </cell>
          <cell r="L170">
            <v>5.582801096018958</v>
          </cell>
          <cell r="M170">
            <v>5.5511443896427677</v>
          </cell>
          <cell r="N170">
            <v>5.5196828790368997</v>
          </cell>
          <cell r="O170">
            <v>5.4892889383980625</v>
          </cell>
          <cell r="P170">
            <v>5.4605014850571596</v>
          </cell>
          <cell r="Q170">
            <v>5.4336189118399583</v>
          </cell>
          <cell r="R170">
            <v>5.4087715863705981</v>
          </cell>
          <cell r="S170">
            <v>5.3859685301039404</v>
          </cell>
          <cell r="T170">
            <v>5.3651302415572433</v>
          </cell>
          <cell r="U170">
            <v>5.3461302607899635</v>
          </cell>
          <cell r="V170">
            <v>5.3288369832666875</v>
          </cell>
          <cell r="W170">
            <v>5.313119835483664</v>
          </cell>
          <cell r="X170">
            <v>5.2988490567870379</v>
          </cell>
          <cell r="Y170">
            <v>5.2858955300291228</v>
          </cell>
          <cell r="Z170">
            <v>5.2741306792109741</v>
          </cell>
          <cell r="AA170">
            <v>5.2634290436735718</v>
          </cell>
          <cell r="AB170">
            <v>5.2536765634210028</v>
          </cell>
          <cell r="AC170">
            <v>5.2447717816850297</v>
          </cell>
          <cell r="AD170">
            <v>5.236624258300588</v>
          </cell>
          <cell r="AE170">
            <v>5.2291533485303106</v>
          </cell>
          <cell r="AF170">
            <v>5.222286691465257</v>
          </cell>
          <cell r="AG170">
            <v>5.2159589156788906</v>
          </cell>
          <cell r="AH170">
            <v>5.2101105802146073</v>
          </cell>
          <cell r="AI170">
            <v>5.2046873676713696</v>
          </cell>
          <cell r="AJ170">
            <v>5.1996401581178153</v>
          </cell>
          <cell r="AK170">
            <v>5.1949251794251525</v>
          </cell>
          <cell r="AL170">
            <v>5.1905033734328825</v>
          </cell>
          <cell r="AM170">
            <v>5.1863397756902323</v>
          </cell>
          <cell r="AN170">
            <v>5.182402992171272</v>
          </cell>
          <cell r="AO170">
            <v>5.1786648388111658</v>
          </cell>
          <cell r="AP170">
            <v>5.1751001737514146</v>
          </cell>
          <cell r="AQ170">
            <v>5.1716865987244454</v>
          </cell>
          <cell r="AR170">
            <v>5.1684041406185184</v>
          </cell>
          <cell r="AS170">
            <v>5.1652349758918303</v>
          </cell>
          <cell r="AT170">
            <v>5.1621631917314135</v>
          </cell>
          <cell r="AU170">
            <v>5.1591745783651906</v>
          </cell>
          <cell r="AV170">
            <v>5.1562564471492607</v>
          </cell>
          <cell r="AW170">
            <v>5.1533974659070907</v>
          </cell>
          <cell r="AX170">
            <v>5.150587515482357</v>
          </cell>
          <cell r="AY170">
            <v>5.1478175680913889</v>
          </cell>
          <cell r="AZ170">
            <v>5.1450795803258371</v>
          </cell>
          <cell r="BA170">
            <v>5.142366398501216</v>
          </cell>
          <cell r="BB170">
            <v>5.1396716747206757</v>
          </cell>
          <cell r="BC170">
            <v>5.1369897922650445</v>
          </cell>
          <cell r="BD170">
            <v>5.1343157979827865</v>
          </cell>
          <cell r="BE170">
            <v>5.1316453101416482</v>
          </cell>
          <cell r="BF170">
            <v>5.1289744064516007</v>
          </cell>
          <cell r="BG170">
            <v>5.1262995803542051</v>
          </cell>
          <cell r="BH170">
            <v>5.1236177988024725</v>
          </cell>
          <cell r="BI170">
            <v>5.1209265351598168</v>
          </cell>
        </row>
        <row r="171">
          <cell r="B171">
            <v>5.9441652696771561</v>
          </cell>
          <cell r="C171">
            <v>5.8776586570692135</v>
          </cell>
          <cell r="D171">
            <v>5.8283351060343298</v>
          </cell>
          <cell r="E171">
            <v>5.7926057417890675</v>
          </cell>
          <cell r="F171">
            <v>5.7665564404403966</v>
          </cell>
          <cell r="G171">
            <v>5.7457691711567422</v>
          </cell>
          <cell r="H171">
            <v>5.7256722717129032</v>
          </cell>
          <cell r="I171">
            <v>5.7030576158438588</v>
          </cell>
          <cell r="J171">
            <v>5.6771017859206472</v>
          </cell>
          <cell r="K171">
            <v>5.6483614796394894</v>
          </cell>
          <cell r="L171">
            <v>5.6178675468794932</v>
          </cell>
          <cell r="M171">
            <v>5.5866673711012078</v>
          </cell>
          <cell r="N171">
            <v>5.555779405336601</v>
          </cell>
          <cell r="O171">
            <v>5.5260152936669353</v>
          </cell>
          <cell r="P171">
            <v>5.4978673175020356</v>
          </cell>
          <cell r="Q171">
            <v>5.471603469548783</v>
          </cell>
          <cell r="R171">
            <v>5.4473357866075425</v>
          </cell>
          <cell r="S171">
            <v>5.4250636757559576</v>
          </cell>
          <cell r="T171">
            <v>5.4047045447701514</v>
          </cell>
          <cell r="U171">
            <v>5.3861335769155723</v>
          </cell>
          <cell r="V171">
            <v>5.3692220511566591</v>
          </cell>
          <cell r="W171">
            <v>5.3538424680042533</v>
          </cell>
          <cell r="X171">
            <v>5.3398682869883682</v>
          </cell>
          <cell r="Y171">
            <v>5.327173726862517</v>
          </cell>
          <cell r="Z171">
            <v>5.3156336473347645</v>
          </cell>
          <cell r="AA171">
            <v>5.3051262111112685</v>
          </cell>
          <cell r="AB171">
            <v>5.2955408099087267</v>
          </cell>
          <cell r="AC171">
            <v>5.2867789662877023</v>
          </cell>
          <cell r="AD171">
            <v>5.2787528561105628</v>
          </cell>
          <cell r="AE171">
            <v>5.2713841496142537</v>
          </cell>
          <cell r="AF171">
            <v>5.2646025425304286</v>
          </cell>
          <cell r="AG171">
            <v>5.2583445021021857</v>
          </cell>
          <cell r="AH171">
            <v>5.2525522410974945</v>
          </cell>
          <cell r="AI171">
            <v>5.2471729458023484</v>
          </cell>
          <cell r="AJ171">
            <v>5.2421588830148877</v>
          </cell>
          <cell r="AK171">
            <v>5.2374675181512371</v>
          </cell>
          <cell r="AL171">
            <v>5.2330608891324326</v>
          </cell>
          <cell r="AM171">
            <v>5.2289050047390351</v>
          </cell>
          <cell r="AN171">
            <v>5.2249693374869146</v>
          </cell>
          <cell r="AO171">
            <v>5.2212264832383326</v>
          </cell>
          <cell r="AP171">
            <v>5.2176520043683556</v>
          </cell>
          <cell r="AQ171">
            <v>5.2142241355199674</v>
          </cell>
          <cell r="AR171">
            <v>5.2109234733112499</v>
          </cell>
          <cell r="AS171">
            <v>5.2077327079291207</v>
          </cell>
          <cell r="AT171">
            <v>5.2046363905105695</v>
          </cell>
          <cell r="AU171">
            <v>5.2016207308653328</v>
          </cell>
          <cell r="AV171">
            <v>5.1986734198809321</v>
          </cell>
          <cell r="AW171">
            <v>5.1957834664745981</v>
          </cell>
          <cell r="AX171">
            <v>5.1929410564823124</v>
          </cell>
          <cell r="AY171">
            <v>5.1901374345566671</v>
          </cell>
          <cell r="AZ171">
            <v>5.1873648003613129</v>
          </cell>
          <cell r="BA171">
            <v>5.1846162167429775</v>
          </cell>
          <cell r="BB171">
            <v>5.1818855282990919</v>
          </cell>
          <cell r="BC171">
            <v>5.1791672889934706</v>
          </cell>
          <cell r="BD171">
            <v>5.1764566963381444</v>
          </cell>
          <cell r="BE171">
            <v>5.173749500061863</v>
          </cell>
          <cell r="BF171">
            <v>5.1710418944557039</v>
          </cell>
          <cell r="BG171">
            <v>5.1683304783050117</v>
          </cell>
          <cell r="BH171">
            <v>5.1656123143035577</v>
          </cell>
          <cell r="BI171">
            <v>5.1628849554401697</v>
          </cell>
        </row>
        <row r="172">
          <cell r="B172">
            <v>5.9557857828170828</v>
          </cell>
          <cell r="C172">
            <v>5.8870714703515752</v>
          </cell>
          <cell r="D172">
            <v>5.8385003497828079</v>
          </cell>
          <cell r="E172">
            <v>5.80295925239865</v>
          </cell>
          <cell r="F172">
            <v>5.7764016950415691</v>
          </cell>
          <cell r="G172">
            <v>5.7547072208593679</v>
          </cell>
          <cell r="H172">
            <v>5.7336452885539178</v>
          </cell>
          <cell r="I172">
            <v>5.7102005846392814</v>
          </cell>
          <cell r="J172">
            <v>5.6836306026130199</v>
          </cell>
          <cell r="K172">
            <v>5.6545192070633412</v>
          </cell>
          <cell r="L172">
            <v>5.6238870371166767</v>
          </cell>
          <cell r="M172">
            <v>5.5927419476838871</v>
          </cell>
          <cell r="N172">
            <v>5.5620456010712784</v>
          </cell>
          <cell r="O172">
            <v>5.532557757189287</v>
          </cell>
          <cell r="P172">
            <v>5.5047365743226155</v>
          </cell>
          <cell r="Q172">
            <v>5.4788261863212897</v>
          </cell>
          <cell r="R172">
            <v>5.4549212479764382</v>
          </cell>
          <cell r="S172">
            <v>5.4330084592873904</v>
          </cell>
          <cell r="T172">
            <v>5.4129961374815547</v>
          </cell>
          <cell r="U172">
            <v>5.3947540443025108</v>
          </cell>
          <cell r="V172">
            <v>5.378150172955908</v>
          </cell>
          <cell r="W172">
            <v>5.3630549428499235</v>
          </cell>
          <cell r="X172">
            <v>5.3493406736176459</v>
          </cell>
          <cell r="Y172">
            <v>5.3368811892368813</v>
          </cell>
          <cell r="Z172">
            <v>5.3255515598241168</v>
          </cell>
          <cell r="AA172">
            <v>5.3152307951288496</v>
          </cell>
          <cell r="AB172">
            <v>5.3058094507125304</v>
          </cell>
          <cell r="AC172">
            <v>5.2971902090635892</v>
          </cell>
          <cell r="AD172">
            <v>5.2892864096673984</v>
          </cell>
          <cell r="AE172">
            <v>5.2820208639555855</v>
          </cell>
          <cell r="AF172">
            <v>5.2753243821051035</v>
          </cell>
          <cell r="AG172">
            <v>5.2691345232342828</v>
          </cell>
          <cell r="AH172">
            <v>5.2633945728359564</v>
          </cell>
          <cell r="AI172">
            <v>5.2580527811440714</v>
          </cell>
          <cell r="AJ172">
            <v>5.2530624740138236</v>
          </cell>
          <cell r="AK172">
            <v>5.2483821173093332</v>
          </cell>
          <cell r="AL172">
            <v>5.2439746871728783</v>
          </cell>
          <cell r="AM172">
            <v>5.2398070765672395</v>
          </cell>
          <cell r="AN172">
            <v>5.2358495954487569</v>
          </cell>
          <cell r="AO172">
            <v>5.2320756383392579</v>
          </cell>
          <cell r="AP172">
            <v>5.2284615211320222</v>
          </cell>
          <cell r="AQ172">
            <v>5.2249861850814741</v>
          </cell>
          <cell r="AR172">
            <v>5.2216308918289895</v>
          </cell>
          <cell r="AS172">
            <v>5.2183789597225658</v>
          </cell>
          <cell r="AT172">
            <v>5.2152155352938632</v>
          </cell>
          <cell r="AU172">
            <v>5.2121273945418523</v>
          </cell>
          <cell r="AV172">
            <v>5.2091027672374395</v>
          </cell>
          <cell r="AW172">
            <v>5.2061311689642293</v>
          </cell>
          <cell r="AX172">
            <v>5.2032032582984602</v>
          </cell>
          <cell r="AY172">
            <v>5.2003107218616904</v>
          </cell>
          <cell r="AZ172">
            <v>5.1974461735320423</v>
          </cell>
          <cell r="BA172">
            <v>5.1946030652849178</v>
          </cell>
          <cell r="BB172">
            <v>5.1917756081272168</v>
          </cell>
          <cell r="BC172">
            <v>5.1889587018166416</v>
          </cell>
          <cell r="BD172">
            <v>5.1861478706677087</v>
          </cell>
          <cell r="BE172">
            <v>5.1833391721135635</v>
          </cell>
          <cell r="BF172">
            <v>5.1805290919325904</v>
          </cell>
          <cell r="BG172">
            <v>5.1777145079182532</v>
          </cell>
          <cell r="BH172">
            <v>5.1748927537069003</v>
          </cell>
          <cell r="BI172">
            <v>5.1720616394822549</v>
          </cell>
        </row>
        <row r="173">
          <cell r="B173">
            <v>5.9195249928177196</v>
          </cell>
          <cell r="C173">
            <v>5.8573502901498111</v>
          </cell>
          <cell r="D173">
            <v>5.8082644346324503</v>
          </cell>
          <cell r="E173">
            <v>5.7722607109437742</v>
          </cell>
          <cell r="F173">
            <v>5.7455666113174395</v>
          </cell>
          <cell r="G173">
            <v>5.7237864356569625</v>
          </cell>
          <cell r="H173">
            <v>5.7023072125040466</v>
          </cell>
          <cell r="I173">
            <v>5.6778623581324297</v>
          </cell>
          <cell r="J173">
            <v>5.649723414612061</v>
          </cell>
          <cell r="K173">
            <v>5.6186326275414826</v>
          </cell>
          <cell r="L173">
            <v>5.5857905897901272</v>
          </cell>
          <cell r="M173">
            <v>5.5523443591928574</v>
          </cell>
          <cell r="N173">
            <v>5.5193641374251152</v>
          </cell>
          <cell r="O173">
            <v>5.4876873201963088</v>
          </cell>
          <cell r="P173">
            <v>5.4578188759214763</v>
          </cell>
          <cell r="Q173">
            <v>5.430028455415286</v>
          </cell>
          <cell r="R173">
            <v>5.4044212174177879</v>
          </cell>
          <cell r="S173">
            <v>5.3809835222966349</v>
          </cell>
          <cell r="T173">
            <v>5.359615689045178</v>
          </cell>
          <cell r="U173">
            <v>5.3401768475492588</v>
          </cell>
          <cell r="V173">
            <v>5.3225243852454094</v>
          </cell>
          <cell r="W173">
            <v>5.3065180687850972</v>
          </cell>
          <cell r="X173">
            <v>5.2920195274712665</v>
          </cell>
          <cell r="Y173">
            <v>5.2788918652059431</v>
          </cell>
          <cell r="Z173">
            <v>5.2669994242106339</v>
          </cell>
          <cell r="AA173">
            <v>5.2562109330331435</v>
          </cell>
          <cell r="AB173">
            <v>5.2464076231487606</v>
          </cell>
          <cell r="AC173">
            <v>5.2374836418787964</v>
          </cell>
          <cell r="AD173">
            <v>5.2293446097618101</v>
          </cell>
          <cell r="AE173">
            <v>5.2219064163414579</v>
          </cell>
          <cell r="AF173">
            <v>5.2150936232473049</v>
          </cell>
          <cell r="AG173">
            <v>5.2088381091814062</v>
          </cell>
          <cell r="AH173">
            <v>5.2030779612714486</v>
          </cell>
          <cell r="AI173">
            <v>5.1977566612528037</v>
          </cell>
          <cell r="AJ173">
            <v>5.1928232351861068</v>
          </cell>
          <cell r="AK173">
            <v>5.1882322871888924</v>
          </cell>
          <cell r="AL173">
            <v>5.1839433071241201</v>
          </cell>
          <cell r="AM173">
            <v>5.1799200277389366</v>
          </cell>
          <cell r="AN173">
            <v>5.1761298838660572</v>
          </cell>
          <cell r="AO173">
            <v>5.1725436611906463</v>
          </cell>
          <cell r="AP173">
            <v>5.1691353208091479</v>
          </cell>
          <cell r="AQ173">
            <v>5.165881673561195</v>
          </cell>
          <cell r="AR173">
            <v>5.1627620488960932</v>
          </cell>
          <cell r="AS173">
            <v>5.1597580086671684</v>
          </cell>
          <cell r="AT173">
            <v>5.1568530990868862</v>
          </cell>
          <cell r="AU173">
            <v>5.15403263503479</v>
          </cell>
          <cell r="AV173">
            <v>5.151283510504066</v>
          </cell>
          <cell r="AW173">
            <v>5.1485940250955631</v>
          </cell>
          <cell r="AX173">
            <v>5.1459537346877742</v>
          </cell>
          <cell r="AY173">
            <v>5.1433533255137514</v>
          </cell>
          <cell r="AZ173">
            <v>5.140784503342033</v>
          </cell>
          <cell r="BA173">
            <v>5.1382398954443875</v>
          </cell>
          <cell r="BB173">
            <v>5.1357129636615451</v>
          </cell>
          <cell r="BC173">
            <v>5.1331979271282897</v>
          </cell>
          <cell r="BD173">
            <v>5.1306896917010949</v>
          </cell>
          <cell r="BE173">
            <v>5.1281837539065149</v>
          </cell>
          <cell r="BF173">
            <v>5.125676096577938</v>
          </cell>
          <cell r="BG173">
            <v>5.1231631507100754</v>
          </cell>
          <cell r="BH173">
            <v>5.1206418590262857</v>
          </cell>
          <cell r="BI173">
            <v>5.1181096858919153</v>
          </cell>
        </row>
        <row r="174">
          <cell r="B174">
            <v>5.8540525244766384</v>
          </cell>
          <cell r="C174">
            <v>5.8101414870728743</v>
          </cell>
          <cell r="D174">
            <v>5.7637868167861841</v>
          </cell>
          <cell r="E174">
            <v>5.72586138141539</v>
          </cell>
          <cell r="F174">
            <v>5.695756143845057</v>
          </cell>
          <cell r="G174">
            <v>5.6704301413446121</v>
          </cell>
          <cell r="H174">
            <v>5.6459486841332351</v>
          </cell>
          <cell r="I174">
            <v>5.6193243259580576</v>
          </cell>
          <cell r="J174">
            <v>5.5898635808334927</v>
          </cell>
          <cell r="K174">
            <v>5.5582178833812099</v>
          </cell>
          <cell r="L174">
            <v>5.525440680170024</v>
          </cell>
          <cell r="M174">
            <v>5.4925104753485341</v>
          </cell>
          <cell r="N174">
            <v>5.4603235225453375</v>
          </cell>
          <cell r="O174">
            <v>5.429591980717456</v>
          </cell>
          <cell r="P174">
            <v>5.4007508511998754</v>
          </cell>
          <cell r="Q174">
            <v>5.374023694785186</v>
          </cell>
          <cell r="R174">
            <v>5.3494842828938021</v>
          </cell>
          <cell r="S174">
            <v>5.3270982054562435</v>
          </cell>
          <cell r="T174">
            <v>5.3067530175946489</v>
          </cell>
          <cell r="U174">
            <v>5.2883013583850271</v>
          </cell>
          <cell r="V174">
            <v>5.2715971640827908</v>
          </cell>
          <cell r="W174">
            <v>5.2564985773161501</v>
          </cell>
          <cell r="X174">
            <v>5.2428670328583902</v>
          </cell>
          <cell r="Y174">
            <v>5.2305665717643128</v>
          </cell>
          <cell r="Z174">
            <v>5.2194633898425273</v>
          </cell>
          <cell r="AA174">
            <v>5.209428844239361</v>
          </cell>
          <cell r="AB174">
            <v>5.2003468733226859</v>
          </cell>
          <cell r="AC174">
            <v>5.1921140693694658</v>
          </cell>
          <cell r="AD174">
            <v>5.1846383160466836</v>
          </cell>
          <cell r="AE174">
            <v>5.1778376025301354</v>
          </cell>
          <cell r="AF174">
            <v>5.1716384465349989</v>
          </cell>
          <cell r="AG174">
            <v>5.165974561731554</v>
          </cell>
          <cell r="AH174">
            <v>5.1607857674525981</v>
          </cell>
          <cell r="AI174">
            <v>5.1560171981517948</v>
          </cell>
          <cell r="AJ174">
            <v>5.1516194525963579</v>
          </cell>
          <cell r="AK174">
            <v>5.1475485735796012</v>
          </cell>
          <cell r="AL174">
            <v>5.1437653633782725</v>
          </cell>
          <cell r="AM174">
            <v>5.1402347575047322</v>
          </cell>
          <cell r="AN174">
            <v>5.1369252982564957</v>
          </cell>
          <cell r="AO174">
            <v>5.1338087903478833</v>
          </cell>
          <cell r="AP174">
            <v>5.1308601101437432</v>
          </cell>
          <cell r="AQ174">
            <v>5.1280568828799913</v>
          </cell>
          <cell r="AR174">
            <v>5.1253791631679961</v>
          </cell>
          <cell r="AS174">
            <v>5.1228091589291926</v>
          </cell>
          <cell r="AT174">
            <v>5.1203309921384061</v>
          </cell>
          <cell r="AU174">
            <v>5.1179304907721654</v>
          </cell>
          <cell r="AV174">
            <v>5.1155950050228345</v>
          </cell>
          <cell r="AW174">
            <v>5.1133132351368467</v>
          </cell>
          <cell r="AX174">
            <v>5.1110750853667142</v>
          </cell>
          <cell r="AY174">
            <v>5.1088715431998777</v>
          </cell>
          <cell r="AZ174">
            <v>5.1066945731591975</v>
          </cell>
          <cell r="BA174">
            <v>5.1045370228572482</v>
          </cell>
          <cell r="BB174">
            <v>5.10239253968596</v>
          </cell>
          <cell r="BC174">
            <v>5.1002554967629843</v>
          </cell>
          <cell r="BD174">
            <v>5.0981209251915631</v>
          </cell>
          <cell r="BE174">
            <v>5.095984423565131</v>
          </cell>
          <cell r="BF174">
            <v>5.0938420635004471</v>
          </cell>
          <cell r="BG174">
            <v>5.0916903548913908</v>
          </cell>
          <cell r="BH174">
            <v>5.089526305055486</v>
          </cell>
          <cell r="BI174">
            <v>5.0873474210086629</v>
          </cell>
        </row>
        <row r="175">
          <cell r="B175">
            <v>5.8512546110786934</v>
          </cell>
          <cell r="C175">
            <v>5.8127738799821609</v>
          </cell>
          <cell r="D175">
            <v>5.7564992078662458</v>
          </cell>
          <cell r="E175">
            <v>5.7040581360951501</v>
          </cell>
          <cell r="F175">
            <v>5.6604025441176358</v>
          </cell>
          <cell r="G175">
            <v>5.6240673440531568</v>
          </cell>
          <cell r="H175">
            <v>5.591233639752768</v>
          </cell>
          <cell r="I175">
            <v>5.5581075654965053</v>
          </cell>
          <cell r="J175">
            <v>5.5233778382672734</v>
          </cell>
          <cell r="K175">
            <v>5.4872926969566107</v>
          </cell>
          <cell r="L175">
            <v>5.4506716226151868</v>
          </cell>
          <cell r="M175">
            <v>5.4143663468070962</v>
          </cell>
          <cell r="N175">
            <v>5.379205869574025</v>
          </cell>
          <cell r="O175">
            <v>5.3458623264851717</v>
          </cell>
          <cell r="P175">
            <v>5.314740588570678</v>
          </cell>
          <cell r="Q175">
            <v>5.2860345763977064</v>
          </cell>
          <cell r="R175">
            <v>5.2597880581441494</v>
          </cell>
          <cell r="S175">
            <v>5.2359363585568568</v>
          </cell>
          <cell r="T175">
            <v>5.2143376428579451</v>
          </cell>
          <cell r="U175">
            <v>5.1948209040714364</v>
          </cell>
          <cell r="V175">
            <v>5.1772202397281157</v>
          </cell>
          <cell r="W175">
            <v>5.1613760634487447</v>
          </cell>
          <cell r="X175">
            <v>5.1471337318810368</v>
          </cell>
          <cell r="Y175">
            <v>5.1343425149023663</v>
          </cell>
          <cell r="Z175">
            <v>5.1228549521992699</v>
          </cell>
          <cell r="AA175">
            <v>5.112530650793615</v>
          </cell>
          <cell r="AB175">
            <v>5.1032436806058179</v>
          </cell>
          <cell r="AC175">
            <v>5.0948819497887019</v>
          </cell>
          <cell r="AD175">
            <v>5.0873457274626057</v>
          </cell>
          <cell r="AE175">
            <v>5.0805462155755503</v>
          </cell>
          <cell r="AF175">
            <v>5.0744038208990654</v>
          </cell>
          <cell r="AG175">
            <v>5.0688467167745292</v>
          </cell>
          <cell r="AH175">
            <v>5.0638096664515277</v>
          </cell>
          <cell r="AI175">
            <v>5.0592332163468052</v>
          </cell>
          <cell r="AJ175">
            <v>5.0550639214156581</v>
          </cell>
          <cell r="AK175">
            <v>5.0512542004176382</v>
          </cell>
          <cell r="AL175">
            <v>5.0477615783045113</v>
          </cell>
          <cell r="AM175">
            <v>5.0445480143528618</v>
          </cell>
          <cell r="AN175">
            <v>5.0415793398203705</v>
          </cell>
          <cell r="AO175">
            <v>5.038824905577683</v>
          </cell>
          <cell r="AP175">
            <v>5.0362573592939608</v>
          </cell>
          <cell r="AQ175">
            <v>5.0338522862798314</v>
          </cell>
          <cell r="AR175">
            <v>5.0315878679344364</v>
          </cell>
          <cell r="AS175">
            <v>5.0294445867353685</v>
          </cell>
          <cell r="AT175">
            <v>5.0274049705632944</v>
          </cell>
          <cell r="AU175">
            <v>5.0254533703749029</v>
          </cell>
          <cell r="AV175">
            <v>5.0235757660780314</v>
          </cell>
          <cell r="AW175">
            <v>5.0217595960156611</v>
          </cell>
          <cell r="AX175">
            <v>5.0199936077363843</v>
          </cell>
          <cell r="AY175">
            <v>5.0182677270611524</v>
          </cell>
          <cell r="AZ175">
            <v>5.0165729425663805</v>
          </cell>
          <cell r="BA175">
            <v>5.0149012033959197</v>
          </cell>
          <cell r="BB175">
            <v>5.0132453286414922</v>
          </cell>
          <cell r="BC175">
            <v>5.0115989267919581</v>
          </cell>
          <cell r="BD175">
            <v>5.0099563219255447</v>
          </cell>
          <cell r="BE175">
            <v>5.0083124629507356</v>
          </cell>
          <cell r="BF175">
            <v>5.0066628383326703</v>
          </cell>
          <cell r="BG175">
            <v>5.0050034424136678</v>
          </cell>
          <cell r="BH175">
            <v>5.0033308287458569</v>
          </cell>
          <cell r="BI175">
            <v>5.0016420855895527</v>
          </cell>
        </row>
        <row r="176">
          <cell r="B176">
            <v>5.8535727493412137</v>
          </cell>
          <cell r="C176">
            <v>5.7996754846108365</v>
          </cell>
          <cell r="D176">
            <v>5.7306230650557612</v>
          </cell>
          <cell r="E176">
            <v>5.6675241298555354</v>
          </cell>
          <cell r="F176">
            <v>5.6153509196365743</v>
          </cell>
          <cell r="G176">
            <v>5.5723172749106311</v>
          </cell>
          <cell r="H176">
            <v>5.5341500267615489</v>
          </cell>
          <cell r="I176">
            <v>5.4967040706275023</v>
          </cell>
          <cell r="J176">
            <v>5.458467504702722</v>
          </cell>
          <cell r="K176">
            <v>5.4195518729720478</v>
          </cell>
          <cell r="L176">
            <v>5.3806535333693253</v>
          </cell>
          <cell r="M176">
            <v>5.3425293540216119</v>
          </cell>
          <cell r="N176">
            <v>5.3059356736786309</v>
          </cell>
          <cell r="O176">
            <v>5.2714746590483372</v>
          </cell>
          <cell r="P176">
            <v>5.2394883939110626</v>
          </cell>
          <cell r="Q176">
            <v>5.2101222530705122</v>
          </cell>
          <cell r="R176">
            <v>5.1833824155207457</v>
          </cell>
          <cell r="S176">
            <v>5.1591745299507332</v>
          </cell>
          <cell r="T176">
            <v>5.1373333099583816</v>
          </cell>
          <cell r="U176">
            <v>5.1176701055205491</v>
          </cell>
          <cell r="V176">
            <v>5.1000049105570193</v>
          </cell>
          <cell r="W176">
            <v>5.0841664812897465</v>
          </cell>
          <cell r="X176">
            <v>5.0699904313945598</v>
          </cell>
          <cell r="Y176">
            <v>5.0573178033649402</v>
          </cell>
          <cell r="Z176">
            <v>5.0459941497827581</v>
          </cell>
          <cell r="AA176">
            <v>5.0358733295628326</v>
          </cell>
          <cell r="AB176">
            <v>5.0268245020741222</v>
          </cell>
          <cell r="AC176">
            <v>5.0187312042728882</v>
          </cell>
          <cell r="AD176">
            <v>5.0114898811143203</v>
          </cell>
          <cell r="AE176">
            <v>5.0050083897210236</v>
          </cell>
          <cell r="AF176">
            <v>4.9992041915977428</v>
          </cell>
          <cell r="AG176">
            <v>4.9940028519466546</v>
          </cell>
          <cell r="AH176">
            <v>4.9893368120164752</v>
          </cell>
          <cell r="AI176">
            <v>4.985144562551131</v>
          </cell>
          <cell r="AJ176">
            <v>4.9813708763988949</v>
          </cell>
          <cell r="AK176">
            <v>4.9779666056943057</v>
          </cell>
          <cell r="AL176">
            <v>4.9748878905116518</v>
          </cell>
          <cell r="AM176">
            <v>4.9720954630834315</v>
          </cell>
          <cell r="AN176">
            <v>4.9695540662563458</v>
          </cell>
          <cell r="AO176">
            <v>4.9672320895221276</v>
          </cell>
          <cell r="AP176">
            <v>4.9651013248613491</v>
          </cell>
          <cell r="AQ176">
            <v>4.963136591400465</v>
          </cell>
          <cell r="AR176">
            <v>4.9613153834353279</v>
          </cell>
          <cell r="AS176">
            <v>4.9596175664346678</v>
          </cell>
          <cell r="AT176">
            <v>4.9580251135764408</v>
          </cell>
          <cell r="AU176">
            <v>4.9565218766450636</v>
          </cell>
          <cell r="AV176">
            <v>4.955093385330712</v>
          </cell>
          <cell r="AW176">
            <v>4.9537266688331023</v>
          </cell>
          <cell r="AX176">
            <v>4.9524101011983301</v>
          </cell>
          <cell r="AY176">
            <v>4.951133266789487</v>
          </cell>
          <cell r="AZ176">
            <v>4.9498868416281363</v>
          </cell>
          <cell r="BA176">
            <v>4.9486624884271455</v>
          </cell>
          <cell r="BB176">
            <v>4.9474527635066066</v>
          </cell>
          <cell r="BC176">
            <v>4.9462510340524197</v>
          </cell>
          <cell r="BD176">
            <v>4.9450514020984073</v>
          </cell>
          <cell r="BE176">
            <v>4.9438486115071152</v>
          </cell>
          <cell r="BF176">
            <v>4.9426379627603767</v>
          </cell>
          <cell r="BG176">
            <v>4.9414152796387389</v>
          </cell>
          <cell r="BH176">
            <v>4.9401769606619741</v>
          </cell>
          <cell r="BI176">
            <v>4.9389199470045746</v>
          </cell>
        </row>
        <row r="177">
          <cell r="B177">
            <v>5.8528576152177409</v>
          </cell>
          <cell r="C177">
            <v>5.7970858812120456</v>
          </cell>
          <cell r="D177">
            <v>5.7221063777000678</v>
          </cell>
          <cell r="E177">
            <v>5.653449698930312</v>
          </cell>
          <cell r="F177">
            <v>5.5968972716753296</v>
          </cell>
          <cell r="G177">
            <v>5.5504446149104831</v>
          </cell>
          <cell r="H177">
            <v>5.5092265019941316</v>
          </cell>
          <cell r="I177">
            <v>5.4685689984559165</v>
          </cell>
          <cell r="J177">
            <v>5.4268274030730437</v>
          </cell>
          <cell r="K177">
            <v>5.3842060041010136</v>
          </cell>
          <cell r="L177">
            <v>5.3415538047607418</v>
          </cell>
          <cell r="M177">
            <v>5.2997563511098296</v>
          </cell>
          <cell r="N177">
            <v>5.2596774705391178</v>
          </cell>
          <cell r="O177">
            <v>5.2219976889690809</v>
          </cell>
          <cell r="P177">
            <v>5.1871026714308091</v>
          </cell>
          <cell r="Q177">
            <v>5.1551564228659048</v>
          </cell>
          <cell r="R177">
            <v>5.1261662076692565</v>
          </cell>
          <cell r="S177">
            <v>5.1000260887916902</v>
          </cell>
          <cell r="T177">
            <v>5.0765507246797617</v>
          </cell>
          <cell r="U177">
            <v>5.0555299050520359</v>
          </cell>
          <cell r="V177">
            <v>5.0367630796411325</v>
          </cell>
          <cell r="W177">
            <v>5.0200592034523597</v>
          </cell>
          <cell r="X177">
            <v>5.0052346704000916</v>
          </cell>
          <cell r="Y177">
            <v>4.9921117635350427</v>
          </cell>
          <cell r="Z177">
            <v>4.9805176998480993</v>
          </cell>
          <cell r="AA177">
            <v>4.9702891725168827</v>
          </cell>
          <cell r="AB177">
            <v>4.9612799459638373</v>
          </cell>
          <cell r="AC177">
            <v>4.953359668407284</v>
          </cell>
          <cell r="AD177">
            <v>4.946412276319716</v>
          </cell>
          <cell r="AE177">
            <v>4.9403343051734749</v>
          </cell>
          <cell r="AF177">
            <v>4.9350328883655274</v>
          </cell>
          <cell r="AG177">
            <v>4.9304241012917487</v>
          </cell>
          <cell r="AH177">
            <v>4.9264316068634644</v>
          </cell>
          <cell r="AI177">
            <v>4.9229857713073839</v>
          </cell>
          <cell r="AJ177">
            <v>4.920023970323105</v>
          </cell>
          <cell r="AK177">
            <v>4.9174903336543974</v>
          </cell>
          <cell r="AL177">
            <v>4.9153348611628589</v>
          </cell>
          <cell r="AM177">
            <v>4.9135126504439723</v>
          </cell>
          <cell r="AN177">
            <v>4.9119832535277101</v>
          </cell>
          <cell r="AO177">
            <v>4.9107102957122635</v>
          </cell>
          <cell r="AP177">
            <v>4.9096612176429071</v>
          </cell>
          <cell r="AQ177">
            <v>4.9088068535373282</v>
          </cell>
          <cell r="AR177">
            <v>4.9081210365938386</v>
          </cell>
          <cell r="AS177">
            <v>4.9075802581981218</v>
          </cell>
          <cell r="AT177">
            <v>4.9071633725690793</v>
          </cell>
          <cell r="AU177">
            <v>4.906851339960582</v>
          </cell>
          <cell r="AV177">
            <v>4.9066270077971597</v>
          </cell>
          <cell r="AW177">
            <v>4.9064749344696663</v>
          </cell>
          <cell r="AX177">
            <v>4.9063812234055355</v>
          </cell>
          <cell r="AY177">
            <v>4.9063333687686512</v>
          </cell>
          <cell r="AZ177">
            <v>4.9063201191126407</v>
          </cell>
          <cell r="BA177">
            <v>4.9063313567664739</v>
          </cell>
          <cell r="BB177">
            <v>4.9063579908745227</v>
          </cell>
          <cell r="BC177">
            <v>4.9063918623210672</v>
          </cell>
          <cell r="BD177">
            <v>4.9064256570389215</v>
          </cell>
          <cell r="BE177">
            <v>4.9064528090858346</v>
          </cell>
          <cell r="BF177">
            <v>4.9064674139656193</v>
          </cell>
          <cell r="BG177">
            <v>4.9064641882969164</v>
          </cell>
          <cell r="BH177">
            <v>4.9064385104882131</v>
          </cell>
          <cell r="BI177">
            <v>4.906386376245095</v>
          </cell>
        </row>
        <row r="178">
          <cell r="B178">
            <v>5.8478609547202058</v>
          </cell>
          <cell r="C178">
            <v>5.7881403813814787</v>
          </cell>
          <cell r="D178">
            <v>5.7089772748708967</v>
          </cell>
          <cell r="E178">
            <v>5.6365169173384206</v>
          </cell>
          <cell r="F178">
            <v>5.5766904507933095</v>
          </cell>
          <cell r="G178">
            <v>5.5275748586746625</v>
          </cell>
          <cell r="H178">
            <v>5.484379498426355</v>
          </cell>
          <cell r="I178">
            <v>5.442527627122284</v>
          </cell>
          <cell r="J178">
            <v>5.4003355348970219</v>
          </cell>
          <cell r="K178">
            <v>5.3578705532137478</v>
          </cell>
          <cell r="L178">
            <v>5.3158250902685182</v>
          </cell>
          <cell r="M178">
            <v>5.2749481742725122</v>
          </cell>
          <cell r="N178">
            <v>5.235983985705011</v>
          </cell>
          <cell r="O178">
            <v>5.1995237982980731</v>
          </cell>
          <cell r="P178">
            <v>5.1658974412392444</v>
          </cell>
          <cell r="Q178">
            <v>5.1352316481891229</v>
          </cell>
          <cell r="R178">
            <v>5.1075090263683451</v>
          </cell>
          <cell r="S178">
            <v>5.0826080919809984</v>
          </cell>
          <cell r="T178">
            <v>5.0603350105021505</v>
          </cell>
          <cell r="U178">
            <v>5.0404760173700902</v>
          </cell>
          <cell r="V178">
            <v>5.0228285161921162</v>
          </cell>
          <cell r="W178">
            <v>5.007200238816262</v>
          </cell>
          <cell r="X178">
            <v>4.9934070000615698</v>
          </cell>
          <cell r="Y178">
            <v>4.9812710137657961</v>
          </cell>
          <cell r="Z178">
            <v>4.9706198721461679</v>
          </cell>
          <cell r="AA178">
            <v>4.9612911879719945</v>
          </cell>
          <cell r="AB178">
            <v>4.9531397368579624</v>
          </cell>
          <cell r="AC178">
            <v>4.9460360925658442</v>
          </cell>
          <cell r="AD178">
            <v>4.9398651210100013</v>
          </cell>
          <cell r="AE178">
            <v>4.9345242853104452</v>
          </cell>
          <cell r="AF178">
            <v>4.9299216413759774</v>
          </cell>
          <cell r="AG178">
            <v>4.9259741827809318</v>
          </cell>
          <cell r="AH178">
            <v>4.9226064871787969</v>
          </cell>
          <cell r="AI178">
            <v>4.9197498584560986</v>
          </cell>
          <cell r="AJ178">
            <v>4.9173426578717923</v>
          </cell>
          <cell r="AK178">
            <v>4.9153300069495414</v>
          </cell>
          <cell r="AL178">
            <v>4.9136628981583028</v>
          </cell>
          <cell r="AM178">
            <v>4.9122974224195373</v>
          </cell>
          <cell r="AN178">
            <v>4.9111941269823101</v>
          </cell>
          <cell r="AO178">
            <v>4.910317635990169</v>
          </cell>
          <cell r="AP178">
            <v>4.9096363782090302</v>
          </cell>
          <cell r="AQ178">
            <v>4.909122162053988</v>
          </cell>
          <cell r="AR178">
            <v>4.9087497826104132</v>
          </cell>
          <cell r="AS178">
            <v>4.9084966822395986</v>
          </cell>
          <cell r="AT178">
            <v>4.9083426564369894</v>
          </cell>
          <cell r="AU178">
            <v>4.9082695980909721</v>
          </cell>
          <cell r="AV178">
            <v>4.9082612787787658</v>
          </cell>
          <cell r="AW178">
            <v>4.9083031691487982</v>
          </cell>
          <cell r="AX178">
            <v>4.9083822718953405</v>
          </cell>
          <cell r="AY178">
            <v>4.9084869686824115</v>
          </cell>
          <cell r="AZ178">
            <v>4.9086068849506566</v>
          </cell>
          <cell r="BA178">
            <v>4.9087327703234465</v>
          </cell>
          <cell r="BB178">
            <v>4.9088563925519004</v>
          </cell>
          <cell r="BC178">
            <v>4.9089704432437982</v>
          </cell>
          <cell r="BD178">
            <v>4.909068450983904</v>
          </cell>
          <cell r="BE178">
            <v>4.90914467818454</v>
          </cell>
          <cell r="BF178">
            <v>4.909194030806928</v>
          </cell>
          <cell r="BG178">
            <v>4.909212023694268</v>
          </cell>
          <cell r="BH178">
            <v>4.9091948346039311</v>
          </cell>
          <cell r="BI178">
            <v>4.9091392495852366</v>
          </cell>
        </row>
        <row r="179">
          <cell r="B179">
            <v>5.8407060852875663</v>
          </cell>
          <cell r="C179">
            <v>5.7865598125434943</v>
          </cell>
          <cell r="D179">
            <v>5.7164926786036041</v>
          </cell>
          <cell r="E179">
            <v>5.6522448112615988</v>
          </cell>
          <cell r="F179">
            <v>5.5986121429823736</v>
          </cell>
          <cell r="G179">
            <v>5.5539969517798768</v>
          </cell>
          <cell r="H179">
            <v>5.5144774428319625</v>
          </cell>
          <cell r="I179">
            <v>5.4763671148940869</v>
          </cell>
          <cell r="J179">
            <v>5.4383308211092309</v>
          </cell>
          <cell r="K179">
            <v>5.4004405598397147</v>
          </cell>
          <cell r="L179">
            <v>5.3632476105860825</v>
          </cell>
          <cell r="M179">
            <v>5.3273138206121438</v>
          </cell>
          <cell r="N179">
            <v>5.2931786015727784</v>
          </cell>
          <cell r="O179">
            <v>5.2612835180524282</v>
          </cell>
          <cell r="P179">
            <v>5.2318815678442245</v>
          </cell>
          <cell r="Q179">
            <v>5.2050597587778542</v>
          </cell>
          <cell r="R179">
            <v>5.1807860109614019</v>
          </cell>
          <cell r="S179">
            <v>5.1589422375303409</v>
          </cell>
          <cell r="T179">
            <v>5.1393512233114684</v>
          </cell>
          <cell r="U179">
            <v>5.1218220333743343</v>
          </cell>
          <cell r="V179">
            <v>5.1061751563593987</v>
          </cell>
          <cell r="W179">
            <v>5.0922411781906227</v>
          </cell>
          <cell r="X179">
            <v>5.0798585870138293</v>
          </cell>
          <cell r="Y179">
            <v>5.0688721269004846</v>
          </cell>
          <cell r="Z179">
            <v>5.0591318111270711</v>
          </cell>
          <cell r="AA179">
            <v>5.0504970767320998</v>
          </cell>
          <cell r="AB179">
            <v>5.0428426667905359</v>
          </cell>
          <cell r="AC179">
            <v>5.0360572475800618</v>
          </cell>
          <cell r="AD179">
            <v>5.0300420144093865</v>
          </cell>
          <cell r="AE179">
            <v>5.0247091320492263</v>
          </cell>
          <cell r="AF179">
            <v>5.0199799841136752</v>
          </cell>
          <cell r="AG179">
            <v>5.0157837326159314</v>
          </cell>
          <cell r="AH179">
            <v>5.0120561402423656</v>
          </cell>
          <cell r="AI179">
            <v>5.0087388456541273</v>
          </cell>
          <cell r="AJ179">
            <v>5.0057796608626752</v>
          </cell>
          <cell r="AK179">
            <v>5.003132272852012</v>
          </cell>
          <cell r="AL179">
            <v>5.0007554671136365</v>
          </cell>
          <cell r="AM179">
            <v>4.9986124567902959</v>
          </cell>
          <cell r="AN179">
            <v>4.9966703270776538</v>
          </cell>
          <cell r="AO179">
            <v>4.994899718889684</v>
          </cell>
          <cell r="AP179">
            <v>4.9932745929852267</v>
          </cell>
          <cell r="AQ179">
            <v>4.9917718572168805</v>
          </cell>
          <cell r="AR179">
            <v>4.9903710238465777</v>
          </cell>
          <cell r="AS179">
            <v>4.9890539135899781</v>
          </cell>
          <cell r="AT179">
            <v>4.9878043991216128</v>
          </cell>
          <cell r="AU179">
            <v>4.9866081819971591</v>
          </cell>
          <cell r="AV179">
            <v>4.9854525940859933</v>
          </cell>
          <cell r="AW179">
            <v>4.984326414269292</v>
          </cell>
          <cell r="AX179">
            <v>4.9832197158432487</v>
          </cell>
          <cell r="AY179">
            <v>4.9821237369923104</v>
          </cell>
          <cell r="AZ179">
            <v>4.981030766584448</v>
          </cell>
          <cell r="BA179">
            <v>4.9799340431438983</v>
          </cell>
          <cell r="BB179">
            <v>4.9788276652609413</v>
          </cell>
          <cell r="BC179">
            <v>4.9777065119560904</v>
          </cell>
          <cell r="BD179">
            <v>4.9765661673023835</v>
          </cell>
          <cell r="BE179">
            <v>4.9754028178369571</v>
          </cell>
          <cell r="BF179">
            <v>4.9742131660896964</v>
          </cell>
          <cell r="BG179">
            <v>4.9729944064187102</v>
          </cell>
          <cell r="BH179">
            <v>4.9717442796863498</v>
          </cell>
          <cell r="BI179">
            <v>4.9704610156369879</v>
          </cell>
        </row>
        <row r="180">
          <cell r="B180">
            <v>5.8440223525992439</v>
          </cell>
          <cell r="C180">
            <v>5.7927290955075383</v>
          </cell>
          <cell r="D180">
            <v>5.7195195049558585</v>
          </cell>
          <cell r="E180">
            <v>5.6516957681905691</v>
          </cell>
          <cell r="F180">
            <v>5.5953188380879446</v>
          </cell>
          <cell r="G180">
            <v>5.5485209428696507</v>
          </cell>
          <cell r="H180">
            <v>5.506563927815928</v>
          </cell>
          <cell r="I180">
            <v>5.4651781425702852</v>
          </cell>
          <cell r="J180">
            <v>5.4229499199246662</v>
          </cell>
          <cell r="K180">
            <v>5.3801423814462508</v>
          </cell>
          <cell r="L180">
            <v>5.3376052069520634</v>
          </cell>
          <cell r="M180">
            <v>5.2961768582934177</v>
          </cell>
          <cell r="N180">
            <v>5.2566420280585726</v>
          </cell>
          <cell r="O180">
            <v>5.2196203149664191</v>
          </cell>
          <cell r="P180">
            <v>5.1854620351943224</v>
          </cell>
          <cell r="Q180">
            <v>5.1543032484576461</v>
          </cell>
          <cell r="R180">
            <v>5.126127957045381</v>
          </cell>
          <cell r="S180">
            <v>5.1008103533078719</v>
          </cell>
          <cell r="T180">
            <v>5.0781508119617014</v>
          </cell>
          <cell r="U180">
            <v>5.0579337121240213</v>
          </cell>
          <cell r="V180">
            <v>5.0399538987528096</v>
          </cell>
          <cell r="W180">
            <v>5.0240152448422277</v>
          </cell>
          <cell r="X180">
            <v>5.0099286888060615</v>
          </cell>
          <cell r="Y180">
            <v>4.9975107625153017</v>
          </cell>
          <cell r="Z180">
            <v>4.9865826098871189</v>
          </cell>
          <cell r="AA180">
            <v>4.9769741891849648</v>
          </cell>
          <cell r="AB180">
            <v>4.9685334984830538</v>
          </cell>
          <cell r="AC180">
            <v>4.9611261051900311</v>
          </cell>
          <cell r="AD180">
            <v>4.9546331236877963</v>
          </cell>
          <cell r="AE180">
            <v>4.9489490443486499</v>
          </cell>
          <cell r="AF180">
            <v>4.9439795860186218</v>
          </cell>
          <cell r="AG180">
            <v>4.9396399415684478</v>
          </cell>
          <cell r="AH180">
            <v>4.9358533453836158</v>
          </cell>
          <cell r="AI180">
            <v>4.9325502772088177</v>
          </cell>
          <cell r="AJ180">
            <v>4.929668831552104</v>
          </cell>
          <cell r="AK180">
            <v>4.9271542144964515</v>
          </cell>
          <cell r="AL180">
            <v>4.9249577939831575</v>
          </cell>
          <cell r="AM180">
            <v>4.9230362890410175</v>
          </cell>
          <cell r="AN180">
            <v>4.9213511003230117</v>
          </cell>
          <cell r="AO180">
            <v>4.9198678971398451</v>
          </cell>
          <cell r="AP180">
            <v>4.9185562609900462</v>
          </cell>
          <cell r="AQ180">
            <v>4.9173892339314644</v>
          </cell>
          <cell r="AR180">
            <v>4.9163429161906418</v>
          </cell>
          <cell r="AS180">
            <v>4.915396118643657</v>
          </cell>
          <cell r="AT180">
            <v>4.9145300616328296</v>
          </cell>
          <cell r="AU180">
            <v>4.9137281128651642</v>
          </cell>
          <cell r="AV180">
            <v>4.912975547033426</v>
          </cell>
          <cell r="AW180">
            <v>4.9122593151686429</v>
          </cell>
          <cell r="AX180">
            <v>4.9115678642251801</v>
          </cell>
          <cell r="AY180">
            <v>4.9108909873953701</v>
          </cell>
          <cell r="AZ180">
            <v>4.9102196921254064</v>
          </cell>
          <cell r="BA180">
            <v>4.9095460833601567</v>
          </cell>
          <cell r="BB180">
            <v>4.9088632600055613</v>
          </cell>
          <cell r="BC180">
            <v>4.9081652228922703</v>
          </cell>
          <cell r="BD180">
            <v>4.907446785660686</v>
          </cell>
          <cell r="BE180">
            <v>4.9067034535900786</v>
          </cell>
          <cell r="BF180">
            <v>4.9059313298213114</v>
          </cell>
          <cell r="BG180">
            <v>4.9051270850518067</v>
          </cell>
          <cell r="BH180">
            <v>4.9042879849491872</v>
          </cell>
          <cell r="BI180">
            <v>4.9034118111347587</v>
          </cell>
        </row>
        <row r="181">
          <cell r="B181">
            <v>5.8732573828184016</v>
          </cell>
          <cell r="C181">
            <v>5.7902378770011644</v>
          </cell>
          <cell r="D181">
            <v>5.7083780892595657</v>
          </cell>
          <cell r="E181">
            <v>5.6376945305832837</v>
          </cell>
          <cell r="F181">
            <v>5.5814690230102775</v>
          </cell>
          <cell r="G181">
            <v>5.5365090482239117</v>
          </cell>
          <cell r="H181">
            <v>5.497110847819882</v>
          </cell>
          <cell r="I181">
            <v>5.4583964058989958</v>
          </cell>
          <cell r="J181">
            <v>5.4186053902867801</v>
          </cell>
          <cell r="K181">
            <v>5.3777808680443595</v>
          </cell>
          <cell r="L181">
            <v>5.3366497530937025</v>
          </cell>
          <cell r="M181">
            <v>5.2960580567338837</v>
          </cell>
          <cell r="N181">
            <v>5.2568845253310643</v>
          </cell>
          <cell r="O181">
            <v>5.2198432271660593</v>
          </cell>
          <cell r="P181">
            <v>5.1853522142940802</v>
          </cell>
          <cell r="Q181">
            <v>5.1536085781400294</v>
          </cell>
          <cell r="R181">
            <v>5.1246534379023165</v>
          </cell>
          <cell r="S181">
            <v>5.0984152792769217</v>
          </cell>
          <cell r="T181">
            <v>5.0747460780140479</v>
          </cell>
          <cell r="U181">
            <v>5.0534734771565102</v>
          </cell>
          <cell r="V181">
            <v>5.0344242698638917</v>
          </cell>
          <cell r="W181">
            <v>5.017425243846743</v>
          </cell>
          <cell r="X181">
            <v>5.0023031825511506</v>
          </cell>
          <cell r="Y181">
            <v>4.9888848660471687</v>
          </cell>
          <cell r="Z181">
            <v>4.9769972572743608</v>
          </cell>
          <cell r="AA181">
            <v>4.9664734538111599</v>
          </cell>
          <cell r="AB181">
            <v>4.9571634212177882</v>
          </cell>
          <cell r="AC181">
            <v>4.9489337830555611</v>
          </cell>
          <cell r="AD181">
            <v>4.9416659893491754</v>
          </cell>
          <cell r="AE181">
            <v>4.9352542502450207</v>
          </cell>
          <cell r="AF181">
            <v>4.9296034861369984</v>
          </cell>
          <cell r="AG181">
            <v>4.9246276541903553</v>
          </cell>
          <cell r="AH181">
            <v>4.9202483836513924</v>
          </cell>
          <cell r="AI181">
            <v>4.9163943204572753</v>
          </cell>
          <cell r="AJ181">
            <v>4.9130017146009584</v>
          </cell>
          <cell r="AK181">
            <v>4.9100139466278421</v>
          </cell>
          <cell r="AL181">
            <v>4.9073805741792684</v>
          </cell>
          <cell r="AM181">
            <v>4.9050565192167968</v>
          </cell>
          <cell r="AN181">
            <v>4.9030014035849323</v>
          </cell>
          <cell r="AO181">
            <v>4.9011791820297566</v>
          </cell>
          <cell r="AP181">
            <v>4.8995578094550059</v>
          </cell>
          <cell r="AQ181">
            <v>4.8981087799869494</v>
          </cell>
          <cell r="AR181">
            <v>4.8968067154368882</v>
          </cell>
          <cell r="AS181">
            <v>4.8956290098823985</v>
          </cell>
          <cell r="AT181">
            <v>4.8945555216377485</v>
          </cell>
          <cell r="AU181">
            <v>4.8935683053426553</v>
          </cell>
          <cell r="AV181">
            <v>4.8926513753427905</v>
          </cell>
          <cell r="AW181">
            <v>4.8917904941651447</v>
          </cell>
          <cell r="AX181">
            <v>4.8909729921316094</v>
          </cell>
          <cell r="AY181">
            <v>4.890187610563439</v>
          </cell>
          <cell r="AZ181">
            <v>4.8894243634479881</v>
          </cell>
          <cell r="BA181">
            <v>4.8886744150669683</v>
          </cell>
          <cell r="BB181">
            <v>4.887929971478111</v>
          </cell>
          <cell r="BC181">
            <v>4.8871841840481736</v>
          </cell>
          <cell r="BD181">
            <v>4.8864310553323733</v>
          </cell>
          <cell r="BE181">
            <v>4.8856653119112288</v>
          </cell>
          <cell r="BF181">
            <v>4.8848823085687014</v>
          </cell>
          <cell r="BG181">
            <v>4.8840780014006393</v>
          </cell>
          <cell r="BH181">
            <v>4.8832489843368521</v>
          </cell>
          <cell r="BI181">
            <v>4.8823924052362022</v>
          </cell>
        </row>
        <row r="182">
          <cell r="B182">
            <v>5.8812745759590968</v>
          </cell>
          <cell r="C182">
            <v>5.802334068430846</v>
          </cell>
          <cell r="D182">
            <v>5.7273786501930397</v>
          </cell>
          <cell r="E182">
            <v>5.6625783383704507</v>
          </cell>
          <cell r="F182">
            <v>5.6100186942717416</v>
          </cell>
          <cell r="G182">
            <v>5.5671082434377137</v>
          </cell>
          <cell r="H182">
            <v>5.5294708663283378</v>
          </cell>
          <cell r="I182">
            <v>5.4934572795764307</v>
          </cell>
          <cell r="J182">
            <v>5.4577107456097185</v>
          </cell>
          <cell r="K182">
            <v>5.4221860071581967</v>
          </cell>
          <cell r="L182">
            <v>5.3873207046055702</v>
          </cell>
          <cell r="M182">
            <v>5.3536172288588997</v>
          </cell>
          <cell r="N182">
            <v>5.3215888116103551</v>
          </cell>
          <cell r="O182">
            <v>5.2916386161070283</v>
          </cell>
          <cell r="P182">
            <v>5.2639768499165394</v>
          </cell>
          <cell r="Q182">
            <v>5.2386685270192119</v>
          </cell>
          <cell r="R182">
            <v>5.2156761027191303</v>
          </cell>
          <cell r="S182">
            <v>5.1948879802414547</v>
          </cell>
          <cell r="T182">
            <v>5.1761441599168574</v>
          </cell>
          <cell r="U182">
            <v>5.1592772366188253</v>
          </cell>
          <cell r="V182">
            <v>5.1441285453997923</v>
          </cell>
          <cell r="W182">
            <v>5.1305466419892483</v>
          </cell>
          <cell r="X182">
            <v>5.1183857330813298</v>
          </cell>
          <cell r="Y182">
            <v>5.1075044990505312</v>
          </cell>
          <cell r="Z182">
            <v>5.0977653567554224</v>
          </cell>
          <cell r="AA182">
            <v>5.0890381951114252</v>
          </cell>
          <cell r="AB182">
            <v>5.0812072005853697</v>
          </cell>
          <cell r="AC182">
            <v>5.0741701050900021</v>
          </cell>
          <cell r="AD182">
            <v>5.0678365158823873</v>
          </cell>
          <cell r="AE182">
            <v>5.0621261772070749</v>
          </cell>
          <cell r="AF182">
            <v>5.0569673394642525</v>
          </cell>
          <cell r="AG182">
            <v>5.0522954301229301</v>
          </cell>
          <cell r="AH182">
            <v>5.0480519704753073</v>
          </cell>
          <cell r="AI182">
            <v>5.0441840363219494</v>
          </cell>
          <cell r="AJ182">
            <v>5.0406445752470317</v>
          </cell>
          <cell r="AK182">
            <v>5.0373919687645117</v>
          </cell>
          <cell r="AL182">
            <v>5.0343893035424561</v>
          </cell>
          <cell r="AM182">
            <v>5.0316037523043171</v>
          </cell>
          <cell r="AN182">
            <v>5.0290060693373189</v>
          </cell>
          <cell r="AO182">
            <v>5.0265703099761998</v>
          </cell>
          <cell r="AP182">
            <v>5.0242735661943341</v>
          </cell>
          <cell r="AQ182">
            <v>5.0220956148704285</v>
          </cell>
          <cell r="AR182">
            <v>5.0200186055902352</v>
          </cell>
          <cell r="AS182">
            <v>5.0180267910207395</v>
          </cell>
          <cell r="AT182">
            <v>5.0161062932344818</v>
          </cell>
          <cell r="AU182">
            <v>5.0142449000820335</v>
          </cell>
          <cell r="AV182">
            <v>5.0124318694999515</v>
          </cell>
          <cell r="AW182">
            <v>5.0106577336295217</v>
          </cell>
          <cell r="AX182">
            <v>5.008914158090696</v>
          </cell>
          <cell r="AY182">
            <v>5.0071938285664599</v>
          </cell>
          <cell r="AZ182">
            <v>5.0054903507966459</v>
          </cell>
          <cell r="BA182">
            <v>5.0037981621109342</v>
          </cell>
          <cell r="BB182">
            <v>5.0021124529769789</v>
          </cell>
          <cell r="BC182">
            <v>5.0004290972478111</v>
          </cell>
          <cell r="BD182">
            <v>4.9987445761509006</v>
          </cell>
          <cell r="BE182">
            <v>4.9970558444079591</v>
          </cell>
          <cell r="BF182">
            <v>4.99536024220928</v>
          </cell>
          <cell r="BG182">
            <v>4.9936555162256502</v>
          </cell>
          <cell r="BH182">
            <v>4.9919399424394753</v>
          </cell>
          <cell r="BI182">
            <v>4.9902122182940252</v>
          </cell>
        </row>
        <row r="183">
          <cell r="B183">
            <v>5.8437303503113673</v>
          </cell>
          <cell r="C183">
            <v>5.7676971084099691</v>
          </cell>
          <cell r="D183">
            <v>5.6935586875589257</v>
          </cell>
          <cell r="E183">
            <v>5.6307980474918988</v>
          </cell>
          <cell r="F183">
            <v>5.5807699714957861</v>
          </cell>
          <cell r="G183">
            <v>5.5402465207230689</v>
          </cell>
          <cell r="H183">
            <v>5.5044685884217532</v>
          </cell>
          <cell r="I183">
            <v>5.4697976502557726</v>
          </cell>
          <cell r="J183">
            <v>5.4349709395984052</v>
          </cell>
          <cell r="K183">
            <v>5.4000531941828669</v>
          </cell>
          <cell r="L183">
            <v>5.365585139808319</v>
          </cell>
          <cell r="M183">
            <v>5.332153616795706</v>
          </cell>
          <cell r="N183">
            <v>5.3003422617782538</v>
          </cell>
          <cell r="O183">
            <v>5.2706023909465793</v>
          </cell>
          <cell r="P183">
            <v>5.2431715509214509</v>
          </cell>
          <cell r="Q183">
            <v>5.2181314004411989</v>
          </cell>
          <cell r="R183">
            <v>5.1954536926915216</v>
          </cell>
          <cell r="S183">
            <v>5.1750308330183321</v>
          </cell>
          <cell r="T183">
            <v>5.1567037438798815</v>
          </cell>
          <cell r="U183">
            <v>5.140304903623603</v>
          </cell>
          <cell r="V183">
            <v>5.1256743150722945</v>
          </cell>
          <cell r="W183">
            <v>5.1126581925124936</v>
          </cell>
          <cell r="X183">
            <v>5.1011076113762677</v>
          </cell>
          <cell r="Y183">
            <v>5.0908774955025642</v>
          </cell>
          <cell r="Z183">
            <v>5.0818260481829896</v>
          </cell>
          <cell r="AA183">
            <v>5.0738191254865104</v>
          </cell>
          <cell r="AB183">
            <v>5.0667373959193425</v>
          </cell>
          <cell r="AC183">
            <v>5.0604754569595922</v>
          </cell>
          <cell r="AD183">
            <v>5.0549401195472266</v>
          </cell>
          <cell r="AE183">
            <v>5.0500486034681877</v>
          </cell>
          <cell r="AF183">
            <v>5.0457268618774709</v>
          </cell>
          <cell r="AG183">
            <v>5.0419082167101985</v>
          </cell>
          <cell r="AH183">
            <v>5.0385322478395533</v>
          </cell>
          <cell r="AI183">
            <v>5.0355442700449302</v>
          </cell>
          <cell r="AJ183">
            <v>5.0328956596770809</v>
          </cell>
          <cell r="AK183">
            <v>5.0305433739823719</v>
          </cell>
          <cell r="AL183">
            <v>5.0284492013395505</v>
          </cell>
          <cell r="AM183">
            <v>5.0265791255864514</v>
          </cell>
          <cell r="AN183">
            <v>5.0249028094770871</v>
          </cell>
          <cell r="AO183">
            <v>5.0233933031278495</v>
          </cell>
          <cell r="AP183">
            <v>5.0220267604685667</v>
          </cell>
          <cell r="AQ183">
            <v>5.020782078020301</v>
          </cell>
          <cell r="AR183">
            <v>5.0196405759893867</v>
          </cell>
          <cell r="AS183">
            <v>5.0185857228486555</v>
          </cell>
          <cell r="AT183">
            <v>5.0176028966411534</v>
          </cell>
          <cell r="AU183">
            <v>5.0166791769176742</v>
          </cell>
          <cell r="AV183">
            <v>5.0158031451579399</v>
          </cell>
          <cell r="AW183">
            <v>5.0149646883986438</v>
          </cell>
          <cell r="AX183">
            <v>5.0141548567765568</v>
          </cell>
          <cell r="AY183">
            <v>5.0133657471734434</v>
          </cell>
          <cell r="AZ183">
            <v>5.0125904005940125</v>
          </cell>
          <cell r="BA183">
            <v>5.0118227113848555</v>
          </cell>
          <cell r="BB183">
            <v>5.0110573467305013</v>
          </cell>
          <cell r="BC183">
            <v>5.0102896750638033</v>
          </cell>
          <cell r="BD183">
            <v>5.0095156866564539</v>
          </cell>
          <cell r="BE183">
            <v>5.0087318555668752</v>
          </cell>
          <cell r="BF183">
            <v>5.0079350526412325</v>
          </cell>
          <cell r="BG183">
            <v>5.0071225697686153</v>
          </cell>
          <cell r="BH183">
            <v>5.0062922397186709</v>
          </cell>
          <cell r="BI183">
            <v>5.0054423276164464</v>
          </cell>
        </row>
        <row r="184">
          <cell r="B184">
            <v>5.7965730425217341</v>
          </cell>
          <cell r="C184">
            <v>5.7448967773844632</v>
          </cell>
          <cell r="D184">
            <v>5.6786968444931736</v>
          </cell>
          <cell r="E184">
            <v>5.6202926245081741</v>
          </cell>
          <cell r="F184">
            <v>5.5734971603684356</v>
          </cell>
          <cell r="G184">
            <v>5.535877484221075</v>
          </cell>
          <cell r="H184">
            <v>5.5030495902904528</v>
          </cell>
          <cell r="I184">
            <v>5.4715959739759352</v>
          </cell>
          <cell r="J184">
            <v>5.4402743719205171</v>
          </cell>
          <cell r="K184">
            <v>5.4090556236437726</v>
          </cell>
          <cell r="L184">
            <v>5.3783508915917899</v>
          </cell>
          <cell r="M184">
            <v>5.3486215992377115</v>
          </cell>
          <cell r="N184">
            <v>5.320335487613665</v>
          </cell>
          <cell r="O184">
            <v>5.2938692619373038</v>
          </cell>
          <cell r="P184">
            <v>5.2694256038062814</v>
          </cell>
          <cell r="Q184">
            <v>5.2470730717889413</v>
          </cell>
          <cell r="R184">
            <v>5.2267854733550765</v>
          </cell>
          <cell r="S184">
            <v>5.2084682205258641</v>
          </cell>
          <cell r="T184">
            <v>5.19198293895123</v>
          </cell>
          <cell r="U184">
            <v>5.1771847469757137</v>
          </cell>
          <cell r="V184">
            <v>5.16393512605379</v>
          </cell>
          <cell r="W184">
            <v>5.1521007548799069</v>
          </cell>
          <cell r="X184">
            <v>5.1415523795537119</v>
          </cell>
          <cell r="Y184">
            <v>5.1321639662039624</v>
          </cell>
          <cell r="Z184">
            <v>5.1238122661892929</v>
          </cell>
          <cell r="AA184">
            <v>5.1163809039786168</v>
          </cell>
          <cell r="AB184">
            <v>5.1097664759498835</v>
          </cell>
          <cell r="AC184">
            <v>5.1038776340725116</v>
          </cell>
          <cell r="AD184">
            <v>5.098633534909224</v>
          </cell>
          <cell r="AE184">
            <v>5.0939622537311902</v>
          </cell>
          <cell r="AF184">
            <v>5.0897993480197137</v>
          </cell>
          <cell r="AG184">
            <v>5.0860866883708979</v>
          </cell>
          <cell r="AH184">
            <v>5.0827715083252816</v>
          </cell>
          <cell r="AI184">
            <v>5.0798059913610665</v>
          </cell>
          <cell r="AJ184">
            <v>5.0771475687617134</v>
          </cell>
          <cell r="AK184">
            <v>5.0747584841920093</v>
          </cell>
          <cell r="AL184">
            <v>5.0726051463173327</v>
          </cell>
          <cell r="AM184">
            <v>5.0706575807830347</v>
          </cell>
          <cell r="AN184">
            <v>5.0688889904269159</v>
          </cell>
          <cell r="AO184">
            <v>5.0672755308189688</v>
          </cell>
          <cell r="AP184">
            <v>5.0657960739584995</v>
          </cell>
          <cell r="AQ184">
            <v>5.0644318920179803</v>
          </cell>
          <cell r="AR184">
            <v>5.0631663782531486</v>
          </cell>
          <cell r="AS184">
            <v>5.0619848059708197</v>
          </cell>
          <cell r="AT184">
            <v>5.0608741196343159</v>
          </cell>
          <cell r="AU184">
            <v>5.0598227526269408</v>
          </cell>
          <cell r="AV184">
            <v>5.0588204497925009</v>
          </cell>
          <cell r="AW184">
            <v>5.0578580927055983</v>
          </cell>
          <cell r="AX184">
            <v>5.0569275755388707</v>
          </cell>
          <cell r="AY184">
            <v>5.056021703773478</v>
          </cell>
          <cell r="AZ184">
            <v>5.0551341048551217</v>
          </cell>
          <cell r="BA184">
            <v>5.0542591491590017</v>
          </cell>
          <cell r="BB184">
            <v>5.0533918799021214</v>
          </cell>
          <cell r="BC184">
            <v>5.0525279507935528</v>
          </cell>
          <cell r="BD184">
            <v>5.051663553038785</v>
          </cell>
          <cell r="BE184">
            <v>5.0507952825205651</v>
          </cell>
          <cell r="BF184">
            <v>5.049920061960238</v>
          </cell>
          <cell r="BG184">
            <v>5.049035172831938</v>
          </cell>
          <cell r="BH184">
            <v>5.0481383722710254</v>
          </cell>
          <cell r="BI184">
            <v>5.0472277962440621</v>
          </cell>
        </row>
        <row r="185">
          <cell r="B185">
            <v>5.7803378397101435</v>
          </cell>
          <cell r="C185">
            <v>5.7312059828559665</v>
          </cell>
          <cell r="D185">
            <v>5.6715342990699718</v>
          </cell>
          <cell r="E185">
            <v>5.6193242744142307</v>
          </cell>
          <cell r="F185">
            <v>5.5779203365939498</v>
          </cell>
          <cell r="G185">
            <v>5.5447083096968655</v>
          </cell>
          <cell r="H185">
            <v>5.5154439670629305</v>
          </cell>
          <cell r="I185">
            <v>5.4870283029576266</v>
          </cell>
          <cell r="J185">
            <v>5.4583776451992181</v>
          </cell>
          <cell r="K185">
            <v>5.429554671173916</v>
          </cell>
          <cell r="L185">
            <v>5.4010386651402111</v>
          </cell>
          <cell r="M185">
            <v>5.3733271321610214</v>
          </cell>
          <cell r="N185">
            <v>5.3468994245718173</v>
          </cell>
          <cell r="O185">
            <v>5.3221412441236184</v>
          </cell>
          <cell r="P185">
            <v>5.2992682937935358</v>
          </cell>
          <cell r="Q185">
            <v>5.2783600763080809</v>
          </cell>
          <cell r="R185">
            <v>5.2593997000863828</v>
          </cell>
          <cell r="S185">
            <v>5.2423007486669269</v>
          </cell>
          <cell r="T185">
            <v>5.22693401662361</v>
          </cell>
          <cell r="U185">
            <v>5.2131647472193352</v>
          </cell>
          <cell r="V185">
            <v>5.2008630796189452</v>
          </cell>
          <cell r="W185">
            <v>5.1899030775026063</v>
          </cell>
          <cell r="X185">
            <v>5.180161875910315</v>
          </cell>
          <cell r="Y185">
            <v>5.1715190413752614</v>
          </cell>
          <cell r="Z185">
            <v>5.1638564216213156</v>
          </cell>
          <cell r="AA185">
            <v>5.1570630192101214</v>
          </cell>
          <cell r="AB185">
            <v>5.1510404923376889</v>
          </cell>
          <cell r="AC185">
            <v>5.1457019814204026</v>
          </cell>
          <cell r="AD185">
            <v>5.1409706347328337</v>
          </cell>
          <cell r="AE185">
            <v>5.1367780659178743</v>
          </cell>
          <cell r="AF185">
            <v>5.1330629894019086</v>
          </cell>
          <cell r="AG185">
            <v>5.1297701108974039</v>
          </cell>
          <cell r="AH185">
            <v>5.1268492314425762</v>
          </cell>
          <cell r="AI185">
            <v>5.1242549362691978</v>
          </cell>
          <cell r="AJ185">
            <v>5.1219468501160819</v>
          </cell>
          <cell r="AK185">
            <v>5.1198891539073417</v>
          </cell>
          <cell r="AL185">
            <v>5.1180499701183075</v>
          </cell>
          <cell r="AM185">
            <v>5.1164008441987345</v>
          </cell>
          <cell r="AN185">
            <v>5.1149163394783086</v>
          </cell>
          <cell r="AO185">
            <v>5.1135738480081061</v>
          </cell>
          <cell r="AP185">
            <v>5.1123533544426909</v>
          </cell>
          <cell r="AQ185">
            <v>5.1112371318829615</v>
          </cell>
          <cell r="AR185">
            <v>5.1102094757777348</v>
          </cell>
          <cell r="AS185">
            <v>5.1092564741114872</v>
          </cell>
          <cell r="AT185">
            <v>5.1083658082337235</v>
          </cell>
          <cell r="AU185">
            <v>5.1075265784863211</v>
          </cell>
          <cell r="AV185">
            <v>5.1067291269213397</v>
          </cell>
          <cell r="AW185">
            <v>5.105964865526234</v>
          </cell>
          <cell r="AX185">
            <v>5.1052261599765911</v>
          </cell>
          <cell r="AY185">
            <v>5.1045062342590111</v>
          </cell>
          <cell r="AZ185">
            <v>5.1037990865229563</v>
          </cell>
          <cell r="BA185">
            <v>5.1030994146420268</v>
          </cell>
          <cell r="BB185">
            <v>5.1024025502022399</v>
          </cell>
          <cell r="BC185">
            <v>5.1017043996698925</v>
          </cell>
          <cell r="BD185">
            <v>5.101001369315548</v>
          </cell>
          <cell r="BE185">
            <v>5.1002902338431806</v>
          </cell>
          <cell r="BF185">
            <v>5.0995680705713831</v>
          </cell>
          <cell r="BG185">
            <v>5.098832305603568</v>
          </cell>
          <cell r="BH185">
            <v>5.0980808210353947</v>
          </cell>
          <cell r="BI185">
            <v>5.0973118424789572</v>
          </cell>
        </row>
        <row r="186">
          <cell r="B186">
            <v>5.7797434344112624</v>
          </cell>
          <cell r="C186">
            <v>5.7349999190243874</v>
          </cell>
          <cell r="D186">
            <v>5.6754020037769406</v>
          </cell>
          <cell r="E186">
            <v>5.6224878067624466</v>
          </cell>
          <cell r="F186">
            <v>5.5803082968933486</v>
          </cell>
          <cell r="G186">
            <v>5.5462674278458737</v>
          </cell>
          <cell r="H186">
            <v>5.5159095634813768</v>
          </cell>
          <cell r="I186">
            <v>5.4860601945903431</v>
          </cell>
          <cell r="J186">
            <v>5.4557155389951806</v>
          </cell>
          <cell r="K186">
            <v>5.4250636408820192</v>
          </cell>
          <cell r="L186">
            <v>5.3946875680948647</v>
          </cell>
          <cell r="M186">
            <v>5.3651627799596264</v>
          </cell>
          <cell r="N186">
            <v>5.3370309798962934</v>
          </cell>
          <cell r="O186">
            <v>5.3107116011550017</v>
          </cell>
          <cell r="P186">
            <v>5.2864317820164093</v>
          </cell>
          <cell r="Q186">
            <v>5.2642720781461376</v>
          </cell>
          <cell r="R186">
            <v>5.2442094704471689</v>
          </cell>
          <cell r="S186">
            <v>5.2261462716703884</v>
          </cell>
          <cell r="T186">
            <v>5.2099398689892933</v>
          </cell>
          <cell r="U186">
            <v>5.1954433449085142</v>
          </cell>
          <cell r="V186">
            <v>5.1825158694044156</v>
          </cell>
          <cell r="W186">
            <v>5.1710214377682684</v>
          </cell>
          <cell r="X186">
            <v>5.1608278216247552</v>
          </cell>
          <cell r="Y186">
            <v>5.1518057821958436</v>
          </cell>
          <cell r="Z186">
            <v>5.1438288846736944</v>
          </cell>
          <cell r="AA186">
            <v>5.1367788310204414</v>
          </cell>
          <cell r="AB186">
            <v>5.1305509757433523</v>
          </cell>
          <cell r="AC186">
            <v>5.1250529429946834</v>
          </cell>
          <cell r="AD186">
            <v>5.1202030245920929</v>
          </cell>
          <cell r="AE186">
            <v>5.1159285198639708</v>
          </cell>
          <cell r="AF186">
            <v>5.1121642834020307</v>
          </cell>
          <cell r="AG186">
            <v>5.1088515445514204</v>
          </cell>
          <cell r="AH186">
            <v>5.1059369565468886</v>
          </cell>
          <cell r="AI186">
            <v>5.1033722840345872</v>
          </cell>
          <cell r="AJ186">
            <v>5.1011146391138507</v>
          </cell>
          <cell r="AK186">
            <v>5.0991259443164143</v>
          </cell>
          <cell r="AL186">
            <v>5.0973722833059121</v>
          </cell>
          <cell r="AM186">
            <v>5.0958233534471917</v>
          </cell>
          <cell r="AN186">
            <v>5.0944520425968047</v>
          </cell>
          <cell r="AO186">
            <v>5.0932342357868432</v>
          </cell>
          <cell r="AP186">
            <v>5.0921485604193899</v>
          </cell>
          <cell r="AQ186">
            <v>5.091176063838847</v>
          </cell>
          <cell r="AR186">
            <v>5.0902999319433064</v>
          </cell>
          <cell r="AS186">
            <v>5.0895052461670689</v>
          </cell>
          <cell r="AT186">
            <v>5.0887787728655214</v>
          </cell>
          <cell r="AU186">
            <v>5.0881087789014341</v>
          </cell>
          <cell r="AV186">
            <v>5.0874848467541112</v>
          </cell>
          <cell r="AW186">
            <v>5.0868976995652879</v>
          </cell>
          <cell r="AX186">
            <v>5.0863390789442002</v>
          </cell>
          <cell r="AY186">
            <v>5.0858016431167385</v>
          </cell>
          <cell r="AZ186">
            <v>5.0852788770610724</v>
          </cell>
          <cell r="BA186">
            <v>5.0847650130122366</v>
          </cell>
          <cell r="BB186">
            <v>5.0842549599662066</v>
          </cell>
          <cell r="BC186">
            <v>5.0837442408117255</v>
          </cell>
          <cell r="BD186">
            <v>5.0832289126727188</v>
          </cell>
          <cell r="BE186">
            <v>5.0827054353992986</v>
          </cell>
          <cell r="BF186">
            <v>5.0821706069312143</v>
          </cell>
          <cell r="BG186">
            <v>5.081621612093473</v>
          </cell>
          <cell r="BH186">
            <v>5.0810561247383239</v>
          </cell>
          <cell r="BI186">
            <v>5.0804721824136951</v>
          </cell>
        </row>
        <row r="187">
          <cell r="B187">
            <v>5.7603420694201866</v>
          </cell>
          <cell r="C187">
            <v>5.7105985399200963</v>
          </cell>
          <cell r="D187">
            <v>5.6504560989225636</v>
          </cell>
          <cell r="E187">
            <v>5.597168806036124</v>
          </cell>
          <cell r="F187">
            <v>5.5543703340452035</v>
          </cell>
          <cell r="G187">
            <v>5.5190702676108376</v>
          </cell>
          <cell r="H187">
            <v>5.4864349516297732</v>
          </cell>
          <cell r="I187">
            <v>5.4532685425077636</v>
          </cell>
          <cell r="J187">
            <v>5.4187858971853249</v>
          </cell>
          <cell r="K187">
            <v>5.3834981879741362</v>
          </cell>
          <cell r="L187">
            <v>5.3482912655561083</v>
          </cell>
          <cell r="M187">
            <v>5.3139593268169829</v>
          </cell>
          <cell r="N187">
            <v>5.2812045950285231</v>
          </cell>
          <cell r="O187">
            <v>5.2505620447206516</v>
          </cell>
          <cell r="P187">
            <v>5.22232697579605</v>
          </cell>
          <cell r="Q187">
            <v>5.1966104616907263</v>
          </cell>
          <cell r="R187">
            <v>5.1733933633040765</v>
          </cell>
          <cell r="S187">
            <v>5.1525627180546874</v>
          </cell>
          <cell r="T187">
            <v>5.1339499772464157</v>
          </cell>
          <cell r="U187">
            <v>5.1173814595799101</v>
          </cell>
          <cell r="V187">
            <v>5.1026903654321671</v>
          </cell>
          <cell r="W187">
            <v>5.0897153281905254</v>
          </cell>
          <cell r="X187">
            <v>5.0782992331634604</v>
          </cell>
          <cell r="Y187">
            <v>5.0682883317636822</v>
          </cell>
          <cell r="Z187">
            <v>5.0595321361676264</v>
          </cell>
          <cell r="AA187">
            <v>5.0518900989466129</v>
          </cell>
          <cell r="AB187">
            <v>5.0452379058078751</v>
          </cell>
          <cell r="AC187">
            <v>5.0394657261434128</v>
          </cell>
          <cell r="AD187">
            <v>5.0344762888735675</v>
          </cell>
          <cell r="AE187">
            <v>5.0301829104717699</v>
          </cell>
          <cell r="AF187">
            <v>5.0265077877391935</v>
          </cell>
          <cell r="AG187">
            <v>5.0233806102535423</v>
          </cell>
          <cell r="AH187">
            <v>5.0207374467996919</v>
          </cell>
          <cell r="AI187">
            <v>5.0185204226397859</v>
          </cell>
          <cell r="AJ187">
            <v>5.0166779941160247</v>
          </cell>
          <cell r="AK187">
            <v>5.015164292904605</v>
          </cell>
          <cell r="AL187">
            <v>5.0139383596729772</v>
          </cell>
          <cell r="AM187">
            <v>5.0129634983294418</v>
          </cell>
          <cell r="AN187">
            <v>5.0122067843385993</v>
          </cell>
          <cell r="AO187">
            <v>5.0116388524264082</v>
          </cell>
          <cell r="AP187">
            <v>5.0112335924399973</v>
          </cell>
          <cell r="AQ187">
            <v>5.0109677660187799</v>
          </cell>
          <cell r="AR187">
            <v>5.0108206726651314</v>
          </cell>
          <cell r="AS187">
            <v>5.0107738613508541</v>
          </cell>
          <cell r="AT187">
            <v>5.0108108805761402</v>
          </cell>
          <cell r="AU187">
            <v>5.0109170603127486</v>
          </cell>
          <cell r="AV187">
            <v>5.0110793097144928</v>
          </cell>
          <cell r="AW187">
            <v>5.0112859347717755</v>
          </cell>
          <cell r="AX187">
            <v>5.0115264932729948</v>
          </cell>
          <cell r="AY187">
            <v>5.0117916696237952</v>
          </cell>
          <cell r="AZ187">
            <v>5.0120731643943888</v>
          </cell>
          <cell r="BA187">
            <v>5.0123635966114346</v>
          </cell>
          <cell r="BB187">
            <v>5.0126564171111978</v>
          </cell>
          <cell r="BC187">
            <v>5.012945831260823</v>
          </cell>
          <cell r="BD187">
            <v>5.013226706033393</v>
          </cell>
          <cell r="BE187">
            <v>5.0134944318341317</v>
          </cell>
          <cell r="BF187">
            <v>5.0137448519534082</v>
          </cell>
          <cell r="BG187">
            <v>5.0139743098703295</v>
          </cell>
          <cell r="BH187">
            <v>5.014179743239807</v>
          </cell>
          <cell r="BI187">
            <v>5.0143585355725069</v>
          </cell>
        </row>
        <row r="188">
          <cell r="B188">
            <v>5.7434606514048996</v>
          </cell>
          <cell r="C188">
            <v>5.7288222710956038</v>
          </cell>
          <cell r="D188">
            <v>5.7118841364556809</v>
          </cell>
          <cell r="E188">
            <v>5.6869704272921391</v>
          </cell>
          <cell r="F188">
            <v>5.6525137754538735</v>
          </cell>
          <cell r="G188">
            <v>5.6101961084597312</v>
          </cell>
          <cell r="H188">
            <v>5.5627773124613693</v>
          </cell>
          <cell r="I188">
            <v>5.5128719338458918</v>
          </cell>
          <cell r="J188">
            <v>5.4625586227733809</v>
          </cell>
          <cell r="K188">
            <v>5.4135828568811331</v>
          </cell>
          <cell r="L188">
            <v>5.3672167479629351</v>
          </cell>
          <cell r="M188">
            <v>5.3241841078635188</v>
          </cell>
          <cell r="N188">
            <v>5.28484753189176</v>
          </cell>
          <cell r="O188">
            <v>5.2493314896070995</v>
          </cell>
          <cell r="P188">
            <v>5.2175927748822533</v>
          </cell>
          <cell r="Q188">
            <v>5.1894710136183679</v>
          </cell>
          <cell r="R188">
            <v>5.1647231039628396</v>
          </cell>
          <cell r="S188">
            <v>5.143046557702367</v>
          </cell>
          <cell r="T188">
            <v>5.1241139965210456</v>
          </cell>
          <cell r="U188">
            <v>5.1076265964044749</v>
          </cell>
          <cell r="V188">
            <v>5.0933201900193295</v>
          </cell>
          <cell r="W188">
            <v>5.0809575021067621</v>
          </cell>
          <cell r="X188">
            <v>5.0703223033792542</v>
          </cell>
          <cell r="Y188">
            <v>5.0612150259432562</v>
          </cell>
          <cell r="Z188">
            <v>5.0534500347320037</v>
          </cell>
          <cell r="AA188">
            <v>5.0468599831866312</v>
          </cell>
          <cell r="AB188">
            <v>5.0412997095239849</v>
          </cell>
          <cell r="AC188">
            <v>5.0366430697989024</v>
          </cell>
          <cell r="AD188">
            <v>5.0327798299177608</v>
          </cell>
          <cell r="AE188">
            <v>5.0296130473362757</v>
          </cell>
          <cell r="AF188">
            <v>5.027056927349367</v>
          </cell>
          <cell r="AG188">
            <v>5.0250350812412927</v>
          </cell>
          <cell r="AH188">
            <v>5.0234791209005927</v>
          </cell>
          <cell r="AI188">
            <v>5.0223279769570697</v>
          </cell>
          <cell r="AJ188">
            <v>5.0215277056454539</v>
          </cell>
          <cell r="AK188">
            <v>5.0210306530085598</v>
          </cell>
          <cell r="AL188">
            <v>5.020794605204963</v>
          </cell>
          <cell r="AM188">
            <v>5.0207820728709445</v>
          </cell>
          <cell r="AN188">
            <v>5.0209597248521183</v>
          </cell>
          <cell r="AO188">
            <v>5.0212980401311702</v>
          </cell>
          <cell r="AP188">
            <v>5.0217709232515926</v>
          </cell>
          <cell r="AQ188">
            <v>5.0223552987735163</v>
          </cell>
          <cell r="AR188">
            <v>5.023030760108977</v>
          </cell>
          <cell r="AS188">
            <v>5.023779266243297</v>
          </cell>
          <cell r="AT188">
            <v>5.0245848788936049</v>
          </cell>
          <cell r="AU188">
            <v>5.0254335314689307</v>
          </cell>
          <cell r="AV188">
            <v>5.0263127901924092</v>
          </cell>
          <cell r="AW188">
            <v>5.0272116322688332</v>
          </cell>
          <cell r="AX188">
            <v>5.0281202952576347</v>
          </cell>
          <cell r="AY188">
            <v>5.0290301510362641</v>
          </cell>
          <cell r="AZ188">
            <v>5.0299335945925439</v>
          </cell>
          <cell r="BA188">
            <v>5.0308239456486694</v>
          </cell>
          <cell r="BB188">
            <v>5.0316953614221154</v>
          </cell>
          <cell r="BC188">
            <v>5.0325427586845226</v>
          </cell>
          <cell r="BD188">
            <v>5.0333617142739913</v>
          </cell>
          <cell r="BE188">
            <v>5.0341483145326569</v>
          </cell>
          <cell r="BF188">
            <v>5.0348990849840076</v>
          </cell>
          <cell r="BG188">
            <v>5.0356110532005296</v>
          </cell>
          <cell r="BH188">
            <v>5.0362818505114735</v>
          </cell>
          <cell r="BI188">
            <v>5.036909536026549</v>
          </cell>
        </row>
        <row r="189">
          <cell r="B189">
            <v>5.7606917311817565</v>
          </cell>
          <cell r="C189">
            <v>5.7096945215163508</v>
          </cell>
          <cell r="D189">
            <v>5.6492234942178428</v>
          </cell>
          <cell r="E189">
            <v>5.5966048506028621</v>
          </cell>
          <cell r="F189">
            <v>5.5548280897228075</v>
          </cell>
          <cell r="G189">
            <v>5.5204688239106021</v>
          </cell>
          <cell r="H189">
            <v>5.4884996000851531</v>
          </cell>
          <cell r="I189">
            <v>5.4557140989425994</v>
          </cell>
          <cell r="J189">
            <v>5.4214146409816752</v>
          </cell>
          <cell r="K189">
            <v>5.3862438497814864</v>
          </cell>
          <cell r="L189">
            <v>5.3511790318162777</v>
          </cell>
          <cell r="M189">
            <v>5.3170227912956509</v>
          </cell>
          <cell r="N189">
            <v>5.2844399199437007</v>
          </cell>
          <cell r="O189">
            <v>5.253975905654845</v>
          </cell>
          <cell r="P189">
            <v>5.2259573859142456</v>
          </cell>
          <cell r="Q189">
            <v>5.2005107614345052</v>
          </cell>
          <cell r="R189">
            <v>5.1776204497314051</v>
          </cell>
          <cell r="S189">
            <v>5.1571687121445589</v>
          </cell>
          <cell r="T189">
            <v>5.1389797749642474</v>
          </cell>
          <cell r="U189">
            <v>5.1228743759170481</v>
          </cell>
          <cell r="V189">
            <v>5.1086807076268208</v>
          </cell>
          <cell r="W189">
            <v>5.0962327931545595</v>
          </cell>
          <cell r="X189">
            <v>5.0853692185120529</v>
          </cell>
          <cell r="Y189">
            <v>5.0759321820471435</v>
          </cell>
          <cell r="Z189">
            <v>5.0677675195649519</v>
          </cell>
          <cell r="AA189">
            <v>5.0607319120244787</v>
          </cell>
          <cell r="AB189">
            <v>5.0546985077231401</v>
          </cell>
          <cell r="AC189">
            <v>5.0495550515950232</v>
          </cell>
          <cell r="AD189">
            <v>5.0452020576937002</v>
          </cell>
          <cell r="AE189">
            <v>5.0415508046954827</v>
          </cell>
          <cell r="AF189">
            <v>5.0385215998952066</v>
          </cell>
          <cell r="AG189">
            <v>5.0360423684845861</v>
          </cell>
          <cell r="AH189">
            <v>5.0340475317670688</v>
          </cell>
          <cell r="AI189">
            <v>5.0324777723061658</v>
          </cell>
          <cell r="AJ189">
            <v>5.0312802946301209</v>
          </cell>
          <cell r="AK189">
            <v>5.0304081110620329</v>
          </cell>
          <cell r="AL189">
            <v>5.0298192571105176</v>
          </cell>
          <cell r="AM189">
            <v>5.0294761309094538</v>
          </cell>
          <cell r="AN189">
            <v>5.0293450028245639</v>
          </cell>
          <cell r="AO189">
            <v>5.0293958084725698</v>
          </cell>
          <cell r="AP189">
            <v>5.0296018218802967</v>
          </cell>
          <cell r="AQ189">
            <v>5.0299392610064482</v>
          </cell>
          <cell r="AR189">
            <v>5.03038694542394</v>
          </cell>
          <cell r="AS189">
            <v>5.0309260006819256</v>
          </cell>
          <cell r="AT189">
            <v>5.0315396020862106</v>
          </cell>
          <cell r="AU189">
            <v>5.0322127513552521</v>
          </cell>
          <cell r="AV189">
            <v>5.0329320744553607</v>
          </cell>
          <cell r="AW189">
            <v>5.0336856428745635</v>
          </cell>
          <cell r="AX189">
            <v>5.0344628250001264</v>
          </cell>
          <cell r="AY189">
            <v>5.0352541564285671</v>
          </cell>
          <cell r="AZ189">
            <v>5.0360512255333711</v>
          </cell>
          <cell r="BA189">
            <v>5.0368465722364402</v>
          </cell>
          <cell r="BB189">
            <v>5.0376335982393678</v>
          </cell>
          <cell r="BC189">
            <v>5.0384064868290803</v>
          </cell>
          <cell r="BD189">
            <v>5.0391601061693265</v>
          </cell>
          <cell r="BE189">
            <v>5.0398898765769813</v>
          </cell>
          <cell r="BF189">
            <v>5.0405917052297804</v>
          </cell>
          <cell r="BG189">
            <v>5.0412620429620452</v>
          </cell>
          <cell r="BH189">
            <v>5.0418979669502271</v>
          </cell>
          <cell r="BI189">
            <v>5.0424970047650524</v>
          </cell>
        </row>
        <row r="190">
          <cell r="B190">
            <v>5.7493814644653174</v>
          </cell>
          <cell r="C190">
            <v>5.692449640611307</v>
          </cell>
          <cell r="D190">
            <v>5.6238875563961104</v>
          </cell>
          <cell r="E190">
            <v>5.5645546314146781</v>
          </cell>
          <cell r="F190">
            <v>5.5180138742167353</v>
          </cell>
          <cell r="G190">
            <v>5.4801504103815191</v>
          </cell>
          <cell r="H190">
            <v>5.4451136934861122</v>
          </cell>
          <cell r="I190">
            <v>5.4092508003029227</v>
          </cell>
          <cell r="J190">
            <v>5.3717410930629503</v>
          </cell>
          <cell r="K190">
            <v>5.3332821825554255</v>
          </cell>
          <cell r="L190">
            <v>5.2949826108759943</v>
          </cell>
          <cell r="M190">
            <v>5.2577412209388541</v>
          </cell>
          <cell r="N190">
            <v>5.2222868950421253</v>
          </cell>
          <cell r="O190">
            <v>5.1892217554030085</v>
          </cell>
          <cell r="P190">
            <v>5.1589014966024402</v>
          </cell>
          <cell r="Q190">
            <v>5.131457290458548</v>
          </cell>
          <cell r="R190">
            <v>5.1068614077754848</v>
          </cell>
          <cell r="S190">
            <v>5.0849721829634422</v>
          </cell>
          <cell r="T190">
            <v>5.0655880082849487</v>
          </cell>
          <cell r="U190">
            <v>5.0485070404869736</v>
          </cell>
          <cell r="V190">
            <v>5.0335361256717368</v>
          </cell>
          <cell r="W190">
            <v>5.020488850795374</v>
          </cell>
          <cell r="X190">
            <v>5.0091840782649211</v>
          </cell>
          <cell r="Y190">
            <v>4.999444846969098</v>
          </cell>
          <cell r="Z190">
            <v>4.9910987519499619</v>
          </cell>
          <cell r="AA190">
            <v>4.9839867786623833</v>
          </cell>
          <cell r="AB190">
            <v>4.9779683921702311</v>
          </cell>
          <cell r="AC190">
            <v>4.9729193026381946</v>
          </cell>
          <cell r="AD190">
            <v>4.9687294580517669</v>
          </cell>
          <cell r="AE190">
            <v>4.9653007813946379</v>
          </cell>
          <cell r="AF190">
            <v>4.9625452392394047</v>
          </cell>
          <cell r="AG190">
            <v>4.9603832724368049</v>
          </cell>
          <cell r="AH190">
            <v>4.9587425712660975</v>
          </cell>
          <cell r="AI190">
            <v>4.9575579508767502</v>
          </cell>
          <cell r="AJ190">
            <v>4.9567715510129515</v>
          </cell>
          <cell r="AK190">
            <v>4.9563319742832688</v>
          </cell>
          <cell r="AL190">
            <v>4.9561934128279921</v>
          </cell>
          <cell r="AM190">
            <v>4.9563149137774527</v>
          </cell>
          <cell r="AN190">
            <v>4.9566598396980632</v>
          </cell>
          <cell r="AO190">
            <v>4.9571955930072447</v>
          </cell>
          <cell r="AP190">
            <v>4.9578932150023896</v>
          </cell>
          <cell r="AQ190">
            <v>4.9587269540690793</v>
          </cell>
          <cell r="AR190">
            <v>4.9596738927638535</v>
          </cell>
          <cell r="AS190">
            <v>4.9607136257493369</v>
          </cell>
          <cell r="AT190">
            <v>4.9618279806713286</v>
          </cell>
          <cell r="AU190">
            <v>4.9630007741555904</v>
          </cell>
          <cell r="AV190">
            <v>4.9642175863509621</v>
          </cell>
          <cell r="AW190">
            <v>4.965465563654675</v>
          </cell>
          <cell r="AX190">
            <v>4.9667332576822032</v>
          </cell>
          <cell r="AY190">
            <v>4.9680104847454434</v>
          </cell>
          <cell r="AZ190">
            <v>4.9692882018628657</v>
          </cell>
          <cell r="BA190">
            <v>4.9705583970761893</v>
          </cell>
          <cell r="BB190">
            <v>4.9718139921840425</v>
          </cell>
          <cell r="BC190">
            <v>4.973048755560928</v>
          </cell>
          <cell r="BD190">
            <v>4.9742571965162083</v>
          </cell>
          <cell r="BE190">
            <v>4.9754344351898654</v>
          </cell>
          <cell r="BF190">
            <v>4.9765761412095699</v>
          </cell>
          <cell r="BG190">
            <v>4.9776785970412982</v>
          </cell>
          <cell r="BH190">
            <v>4.9787387514470254</v>
          </cell>
          <cell r="BI190">
            <v>4.979754017802315</v>
          </cell>
        </row>
        <row r="191">
          <cell r="B191">
            <v>5.7036532399434945</v>
          </cell>
          <cell r="C191">
            <v>5.6417628557697093</v>
          </cell>
          <cell r="D191">
            <v>5.572327998690497</v>
          </cell>
          <cell r="E191">
            <v>5.5124454329465511</v>
          </cell>
          <cell r="F191">
            <v>5.465641529057061</v>
          </cell>
          <cell r="G191">
            <v>5.4277855523111089</v>
          </cell>
          <cell r="H191">
            <v>5.3930568136587782</v>
          </cell>
          <cell r="I191">
            <v>5.3578452528388629</v>
          </cell>
          <cell r="J191">
            <v>5.3213157310825183</v>
          </cell>
          <cell r="K191">
            <v>5.2841197876784483</v>
          </cell>
          <cell r="L191">
            <v>5.2472816068881585</v>
          </cell>
          <cell r="M191">
            <v>5.2116337316713421</v>
          </cell>
          <cell r="N191">
            <v>5.1778572236149243</v>
          </cell>
          <cell r="O191">
            <v>5.1464900550865762</v>
          </cell>
          <cell r="P191">
            <v>5.1178304470881697</v>
          </cell>
          <cell r="Q191">
            <v>5.0919735218718793</v>
          </cell>
          <cell r="R191">
            <v>5.0688708342705091</v>
          </cell>
          <cell r="S191">
            <v>5.048371194309186</v>
          </cell>
          <cell r="T191">
            <v>5.0302718384806173</v>
          </cell>
          <cell r="U191">
            <v>5.0143731169731147</v>
          </cell>
          <cell r="V191">
            <v>5.000485380284112</v>
          </cell>
          <cell r="W191">
            <v>4.9884267223025054</v>
          </cell>
          <cell r="X191">
            <v>4.9780212969626874</v>
          </cell>
          <cell r="Y191">
            <v>4.9690980559884856</v>
          </cell>
          <cell r="Z191">
            <v>4.9614911086440427</v>
          </cell>
          <cell r="AA191">
            <v>4.955048363385985</v>
          </cell>
          <cell r="AB191">
            <v>4.9496359572474526</v>
          </cell>
          <cell r="AC191">
            <v>4.9451358367721037</v>
          </cell>
          <cell r="AD191">
            <v>4.941443582354375</v>
          </cell>
          <cell r="AE191">
            <v>4.9384662058207791</v>
          </cell>
          <cell r="AF191">
            <v>4.9361203066627715</v>
          </cell>
          <cell r="AG191">
            <v>4.9343305739640986</v>
          </cell>
          <cell r="AH191">
            <v>4.9330286245996966</v>
          </cell>
          <cell r="AI191">
            <v>4.9321529014724694</v>
          </cell>
          <cell r="AJ191">
            <v>4.9316488023875618</v>
          </cell>
          <cell r="AK191">
            <v>4.9314678430342589</v>
          </cell>
          <cell r="AL191">
            <v>4.9315668302529678</v>
          </cell>
          <cell r="AM191">
            <v>4.9319071669305723</v>
          </cell>
          <cell r="AN191">
            <v>4.9324543441798969</v>
          </cell>
          <cell r="AO191">
            <v>4.9331776705436541</v>
          </cell>
          <cell r="AP191">
            <v>4.9340498838994176</v>
          </cell>
          <cell r="AQ191">
            <v>4.9350467442002408</v>
          </cell>
          <cell r="AR191">
            <v>4.9361466820705289</v>
          </cell>
          <cell r="AS191">
            <v>4.9373304953206585</v>
          </cell>
          <cell r="AT191">
            <v>4.9385810859263106</v>
          </cell>
          <cell r="AU191">
            <v>4.9398832299109525</v>
          </cell>
          <cell r="AV191">
            <v>4.9412233642205496</v>
          </cell>
          <cell r="AW191">
            <v>4.9425894011639908</v>
          </cell>
          <cell r="AX191">
            <v>4.9439705768506137</v>
          </cell>
          <cell r="AY191">
            <v>4.9453573188101618</v>
          </cell>
          <cell r="AZ191">
            <v>4.9467411291868588</v>
          </cell>
          <cell r="BA191">
            <v>4.9481144814110918</v>
          </cell>
          <cell r="BB191">
            <v>4.9494707285686443</v>
          </cell>
          <cell r="BC191">
            <v>4.9508040210955135</v>
          </cell>
          <cell r="BD191">
            <v>4.9521092047916557</v>
          </cell>
          <cell r="BE191">
            <v>4.9533816976218192</v>
          </cell>
          <cell r="BF191">
            <v>4.9546174342597391</v>
          </cell>
          <cell r="BG191">
            <v>4.9558129304706169</v>
          </cell>
          <cell r="BH191">
            <v>4.9569653273632843</v>
          </cell>
          <cell r="BI191">
            <v>4.9580722007257707</v>
          </cell>
        </row>
        <row r="192">
          <cell r="B192">
            <v>5.7094753299659349</v>
          </cell>
          <cell r="C192">
            <v>5.6450312759098056</v>
          </cell>
          <cell r="D192">
            <v>5.5770073697852753</v>
          </cell>
          <cell r="E192">
            <v>5.5193648972999547</v>
          </cell>
          <cell r="F192">
            <v>5.4744368531643106</v>
          </cell>
          <cell r="G192">
            <v>5.4377640378843131</v>
          </cell>
          <cell r="H192">
            <v>5.4036375712602585</v>
          </cell>
          <cell r="I192">
            <v>5.3686609080839247</v>
          </cell>
          <cell r="J192">
            <v>5.3321376401011973</v>
          </cell>
          <cell r="K192">
            <v>5.2948099425809261</v>
          </cell>
          <cell r="L192">
            <v>5.2577588974680944</v>
          </cell>
          <cell r="M192">
            <v>5.2218472607425701</v>
          </cell>
          <cell r="N192">
            <v>5.1877711016459331</v>
          </cell>
          <cell r="O192">
            <v>5.1560812044526267</v>
          </cell>
          <cell r="P192">
            <v>5.1270835765207021</v>
          </cell>
          <cell r="Q192">
            <v>5.1008763711330207</v>
          </cell>
          <cell r="R192">
            <v>5.0774108524454933</v>
          </cell>
          <cell r="S192">
            <v>5.056533360132728</v>
          </cell>
          <cell r="T192">
            <v>5.0380392473948197</v>
          </cell>
          <cell r="U192">
            <v>5.021728031833967</v>
          </cell>
          <cell r="V192">
            <v>5.0074095175299584</v>
          </cell>
          <cell r="W192">
            <v>4.994901467030858</v>
          </cell>
          <cell r="X192">
            <v>4.9840278712511914</v>
          </cell>
          <cell r="Y192">
            <v>4.9746176525297301</v>
          </cell>
          <cell r="Z192">
            <v>4.966505193445542</v>
          </cell>
          <cell r="AA192">
            <v>4.9595394087904792</v>
          </cell>
          <cell r="AB192">
            <v>4.9535878776616178</v>
          </cell>
          <cell r="AC192">
            <v>4.9485341577608581</v>
          </cell>
          <cell r="AD192">
            <v>4.9442753762853098</v>
          </cell>
          <cell r="AE192">
            <v>4.9407200085031091</v>
          </cell>
          <cell r="AF192">
            <v>4.9377860474218851</v>
          </cell>
          <cell r="AG192">
            <v>4.9353995166419704</v>
          </cell>
          <cell r="AH192">
            <v>4.933493325056479</v>
          </cell>
          <cell r="AI192">
            <v>4.9320071813504596</v>
          </cell>
          <cell r="AJ192">
            <v>4.9308876616541957</v>
          </cell>
          <cell r="AK192">
            <v>4.9300873664908229</v>
          </cell>
          <cell r="AL192">
            <v>4.9295641066707354</v>
          </cell>
          <cell r="AM192">
            <v>4.9292802191171008</v>
          </cell>
          <cell r="AN192">
            <v>4.9292020726605292</v>
          </cell>
          <cell r="AO192">
            <v>4.9292997996213916</v>
          </cell>
          <cell r="AP192">
            <v>4.9295469072375626</v>
          </cell>
          <cell r="AQ192">
            <v>4.929919876634183</v>
          </cell>
          <cell r="AR192">
            <v>4.9303978170228095</v>
          </cell>
          <cell r="AS192">
            <v>4.930962167055231</v>
          </cell>
          <cell r="AT192">
            <v>4.9315964359967497</v>
          </cell>
          <cell r="AU192">
            <v>4.9322859764370257</v>
          </cell>
          <cell r="AV192">
            <v>4.9330177683328102</v>
          </cell>
          <cell r="AW192">
            <v>4.9337802326240139</v>
          </cell>
          <cell r="AX192">
            <v>4.9345630829571761</v>
          </cell>
          <cell r="AY192">
            <v>4.9353571964147918</v>
          </cell>
          <cell r="AZ192">
            <v>4.9361544994529707</v>
          </cell>
          <cell r="BA192">
            <v>4.936947867000125</v>
          </cell>
          <cell r="BB192">
            <v>4.9377310329784487</v>
          </cell>
          <cell r="BC192">
            <v>4.9384985097252381</v>
          </cell>
          <cell r="BD192">
            <v>4.9392454858088817</v>
          </cell>
          <cell r="BE192">
            <v>4.9399677051521866</v>
          </cell>
          <cell r="BF192">
            <v>4.9406614151476651</v>
          </cell>
          <cell r="BG192">
            <v>4.9413234327045741</v>
          </cell>
          <cell r="BH192">
            <v>4.9419511778406537</v>
          </cell>
          <cell r="BI192">
            <v>4.9425424777794742</v>
          </cell>
        </row>
        <row r="193">
          <cell r="B193">
            <v>5.7165978199845719</v>
          </cell>
          <cell r="C193">
            <v>5.6458145392132373</v>
          </cell>
          <cell r="D193">
            <v>5.5765601377031979</v>
          </cell>
          <cell r="E193">
            <v>5.5192720170199605</v>
          </cell>
          <cell r="F193">
            <v>5.4748975887512339</v>
          </cell>
          <cell r="G193">
            <v>5.4385529265157837</v>
          </cell>
          <cell r="H193">
            <v>5.4045269700082095</v>
          </cell>
          <cell r="I193">
            <v>5.3695175644482704</v>
          </cell>
          <cell r="J193">
            <v>5.33286725992774</v>
          </cell>
          <cell r="K193">
            <v>5.2953229353479205</v>
          </cell>
          <cell r="L193">
            <v>5.2579647883012202</v>
          </cell>
          <cell r="M193">
            <v>5.2216636530284921</v>
          </cell>
          <cell r="N193">
            <v>5.1871321138080244</v>
          </cell>
          <cell r="O193">
            <v>5.1549467728370972</v>
          </cell>
          <cell r="P193">
            <v>5.1254347624324508</v>
          </cell>
          <cell r="Q193">
            <v>5.0987096086458186</v>
          </cell>
          <cell r="R193">
            <v>5.0747339179723649</v>
          </cell>
          <cell r="S193">
            <v>5.0533626618413532</v>
          </cell>
          <cell r="T193">
            <v>5.0343989515128591</v>
          </cell>
          <cell r="U193">
            <v>5.0176481350446132</v>
          </cell>
          <cell r="V193">
            <v>5.0029235984759071</v>
          </cell>
          <cell r="W193">
            <v>4.9900449444192043</v>
          </cell>
          <cell r="X193">
            <v>4.9788366406311804</v>
          </cell>
          <cell r="Y193">
            <v>4.9691270077975025</v>
          </cell>
          <cell r="Z193">
            <v>4.9607491935178007</v>
          </cell>
          <cell r="AA193">
            <v>4.9535509227166372</v>
          </cell>
          <cell r="AB193">
            <v>4.947398500885944</v>
          </cell>
          <cell r="AC193">
            <v>4.942174127650155</v>
          </cell>
          <cell r="AD193">
            <v>4.9377735095183848</v>
          </cell>
          <cell r="AE193">
            <v>4.9341036461632513</v>
          </cell>
          <cell r="AF193">
            <v>4.9310810089434094</v>
          </cell>
          <cell r="AG193">
            <v>4.9286300609526084</v>
          </cell>
          <cell r="AH193">
            <v>4.9266821325282599</v>
          </cell>
          <cell r="AI193">
            <v>4.9251754268538717</v>
          </cell>
          <cell r="AJ193">
            <v>4.924055097753298</v>
          </cell>
          <cell r="AK193">
            <v>4.9232723872603561</v>
          </cell>
          <cell r="AL193">
            <v>4.9227838028878512</v>
          </cell>
          <cell r="AM193">
            <v>4.9225504267975388</v>
          </cell>
          <cell r="AN193">
            <v>4.9225374339618861</v>
          </cell>
          <cell r="AO193">
            <v>4.9227138464743474</v>
          </cell>
          <cell r="AP193">
            <v>4.9230521379704024</v>
          </cell>
          <cell r="AQ193">
            <v>4.9235278233620496</v>
          </cell>
          <cell r="AR193">
            <v>4.9241191052010036</v>
          </cell>
          <cell r="AS193">
            <v>4.9248065682650921</v>
          </cell>
          <cell r="AT193">
            <v>4.9255729148663718</v>
          </cell>
          <cell r="AU193">
            <v>4.9264027332747142</v>
          </cell>
          <cell r="AV193">
            <v>4.9272822855822538</v>
          </cell>
          <cell r="AW193">
            <v>4.9281993242488014</v>
          </cell>
          <cell r="AX193">
            <v>4.9291429394198065</v>
          </cell>
          <cell r="AY193">
            <v>4.9301034251577853</v>
          </cell>
          <cell r="AZ193">
            <v>4.931072161411242</v>
          </cell>
          <cell r="BA193">
            <v>4.9320415096025547</v>
          </cell>
          <cell r="BB193">
            <v>4.9330047200360942</v>
          </cell>
          <cell r="BC193">
            <v>4.9339558486610873</v>
          </cell>
          <cell r="BD193">
            <v>4.9348896590734803</v>
          </cell>
          <cell r="BE193">
            <v>4.9358015150068466</v>
          </cell>
          <cell r="BF193">
            <v>4.9366873277148606</v>
          </cell>
          <cell r="BG193">
            <v>4.9375435991036154</v>
          </cell>
          <cell r="BH193">
            <v>4.9383674280659529</v>
          </cell>
          <cell r="BI193">
            <v>4.9391563293948098</v>
          </cell>
        </row>
        <row r="194">
          <cell r="B194">
            <v>5.7241733706761897</v>
          </cell>
          <cell r="C194">
            <v>5.670010427117802</v>
          </cell>
          <cell r="D194">
            <v>5.6207094099145607</v>
          </cell>
          <cell r="E194">
            <v>5.5782870276037411</v>
          </cell>
          <cell r="F194">
            <v>5.5418558209100688</v>
          </cell>
          <cell r="G194">
            <v>5.5079954495979502</v>
          </cell>
          <cell r="H194">
            <v>5.4732858051541573</v>
          </cell>
          <cell r="I194">
            <v>5.4361253063945592</v>
          </cell>
          <cell r="J194">
            <v>5.3967236965057825</v>
          </cell>
          <cell r="K194">
            <v>5.3562334168631844</v>
          </cell>
          <cell r="L194">
            <v>5.3158912684943189</v>
          </cell>
          <cell r="M194">
            <v>5.2765821129292343</v>
          </cell>
          <cell r="N194">
            <v>5.2389685784888176</v>
          </cell>
          <cell r="O194">
            <v>5.203681428590099</v>
          </cell>
          <cell r="P194">
            <v>5.1711254011029082</v>
          </cell>
          <cell r="Q194">
            <v>5.1414587986986158</v>
          </cell>
          <cell r="R194">
            <v>5.1146656345544139</v>
          </cell>
          <cell r="S194">
            <v>5.0906058519703059</v>
          </cell>
          <cell r="T194">
            <v>5.0690804777831682</v>
          </cell>
          <cell r="U194">
            <v>5.0498916681237391</v>
          </cell>
          <cell r="V194">
            <v>5.0328488360728825</v>
          </cell>
          <cell r="W194">
            <v>5.0177670054151537</v>
          </cell>
          <cell r="X194">
            <v>5.0044655909206011</v>
          </cell>
          <cell r="Y194">
            <v>4.9927674860693481</v>
          </cell>
          <cell r="Z194">
            <v>4.9825003073469967</v>
          </cell>
          <cell r="AA194">
            <v>4.9735063813737188</v>
          </cell>
          <cell r="AB194">
            <v>4.9656464108500247</v>
          </cell>
          <cell r="AC194">
            <v>4.9587970540258146</v>
          </cell>
          <cell r="AD194">
            <v>4.9528487907822925</v>
          </cell>
          <cell r="AE194">
            <v>4.9477036786256274</v>
          </cell>
          <cell r="AF194">
            <v>4.943273485328155</v>
          </cell>
          <cell r="AG194">
            <v>4.9394781716992799</v>
          </cell>
          <cell r="AH194">
            <v>4.9362447587004219</v>
          </cell>
          <cell r="AI194">
            <v>4.9335074474199718</v>
          </cell>
          <cell r="AJ194">
            <v>4.9312077184842433</v>
          </cell>
          <cell r="AK194">
            <v>4.9292934204554042</v>
          </cell>
          <cell r="AL194">
            <v>4.9277179092996022</v>
          </cell>
          <cell r="AM194">
            <v>4.9264393267470901</v>
          </cell>
          <cell r="AN194">
            <v>4.9254201221117926</v>
          </cell>
          <cell r="AO194">
            <v>4.9246268333580963</v>
          </cell>
          <cell r="AP194">
            <v>4.9240296702861404</v>
          </cell>
          <cell r="AQ194">
            <v>4.9236020779678853</v>
          </cell>
          <cell r="AR194">
            <v>4.9233203605527098</v>
          </cell>
          <cell r="AS194">
            <v>4.923163356372247</v>
          </cell>
          <cell r="AT194">
            <v>4.9231121563646179</v>
          </cell>
          <cell r="AU194">
            <v>4.9231498593993468</v>
          </cell>
          <cell r="AV194">
            <v>4.923261359961753</v>
          </cell>
          <cell r="AW194">
            <v>4.9234331620630618</v>
          </cell>
          <cell r="AX194">
            <v>4.9236532150601251</v>
          </cell>
          <cell r="AY194">
            <v>4.9239107691208428</v>
          </cell>
          <cell r="AZ194">
            <v>4.9241962476936898</v>
          </cell>
          <cell r="BA194">
            <v>4.9245011346922531</v>
          </cell>
          <cell r="BB194">
            <v>4.9248178744513718</v>
          </cell>
          <cell r="BC194">
            <v>4.9251397819448419</v>
          </cell>
          <cell r="BD194">
            <v>4.9254609435751844</v>
          </cell>
          <cell r="BE194">
            <v>4.925776114890172</v>
          </cell>
          <cell r="BF194">
            <v>4.9260806643241768</v>
          </cell>
          <cell r="BG194">
            <v>4.9263706009837964</v>
          </cell>
          <cell r="BH194">
            <v>4.9266425591006655</v>
          </cell>
          <cell r="BI194">
            <v>4.9268936127901242</v>
          </cell>
        </row>
        <row r="195">
          <cell r="B195">
            <v>5.7453655265896213</v>
          </cell>
          <cell r="C195">
            <v>5.7195198476139142</v>
          </cell>
          <cell r="D195">
            <v>5.7014309038697313</v>
          </cell>
          <cell r="E195">
            <v>5.6788583865559232</v>
          </cell>
          <cell r="F195">
            <v>5.6479553180180364</v>
          </cell>
          <cell r="G195">
            <v>5.6091351393486697</v>
          </cell>
          <cell r="H195">
            <v>5.5642967058485739</v>
          </cell>
          <cell r="I195">
            <v>5.5156117196411234</v>
          </cell>
          <cell r="J195">
            <v>5.4650709222629414</v>
          </cell>
          <cell r="K195">
            <v>5.4145206993584054</v>
          </cell>
          <cell r="L195">
            <v>5.3654465258804889</v>
          </cell>
          <cell r="M195">
            <v>5.3188193940922961</v>
          </cell>
          <cell r="N195">
            <v>5.2752683649087642</v>
          </cell>
          <cell r="O195">
            <v>5.2351953672837181</v>
          </cell>
          <cell r="P195">
            <v>5.1987623040663085</v>
          </cell>
          <cell r="Q195">
            <v>5.1659436496449693</v>
          </cell>
          <cell r="R195">
            <v>5.1365815555158063</v>
          </cell>
          <cell r="S195">
            <v>5.1104254398743736</v>
          </cell>
          <cell r="T195">
            <v>5.0871935340111802</v>
          </cell>
          <cell r="U195">
            <v>5.066622411698531</v>
          </cell>
          <cell r="V195">
            <v>5.0484671204408729</v>
          </cell>
          <cell r="W195">
            <v>5.0324969830111028</v>
          </cell>
          <cell r="X195">
            <v>5.0184924941313405</v>
          </cell>
          <cell r="Y195">
            <v>5.0062430046453059</v>
          </cell>
          <cell r="Z195">
            <v>4.9955478570790648</v>
          </cell>
          <cell r="AA195">
            <v>4.9862271729171521</v>
          </cell>
          <cell r="AB195">
            <v>4.9781239780297231</v>
          </cell>
          <cell r="AC195">
            <v>4.9711005296384609</v>
          </cell>
          <cell r="AD195">
            <v>4.9650352065651973</v>
          </cell>
          <cell r="AE195">
            <v>4.9598198371963695</v>
          </cell>
          <cell r="AF195">
            <v>4.9553575301984152</v>
          </cell>
          <cell r="AG195">
            <v>4.9515609119841848</v>
          </cell>
          <cell r="AH195">
            <v>4.9483508378907128</v>
          </cell>
          <cell r="AI195">
            <v>4.9456564203318472</v>
          </cell>
          <cell r="AJ195">
            <v>4.9434148198420216</v>
          </cell>
          <cell r="AK195">
            <v>4.9415701910988963</v>
          </cell>
          <cell r="AL195">
            <v>4.9400727377688645</v>
          </cell>
          <cell r="AM195">
            <v>4.9388779217396461</v>
          </cell>
          <cell r="AN195">
            <v>4.9379459410994828</v>
          </cell>
          <cell r="AO195">
            <v>4.9372414267341203</v>
          </cell>
          <cell r="AP195">
            <v>4.9367329598871343</v>
          </cell>
          <cell r="AQ195">
            <v>4.9363926020500131</v>
          </cell>
          <cell r="AR195">
            <v>4.9361954902821692</v>
          </cell>
          <cell r="AS195">
            <v>4.9361194877145813</v>
          </cell>
          <cell r="AT195">
            <v>4.9361448806513701</v>
          </cell>
          <cell r="AU195">
            <v>4.9362541138908487</v>
          </cell>
          <cell r="AV195">
            <v>4.9364315536728993</v>
          </cell>
          <cell r="AW195">
            <v>4.936663283111522</v>
          </cell>
          <cell r="AX195">
            <v>4.9369369268136554</v>
          </cell>
          <cell r="AY195">
            <v>4.9372414967298708</v>
          </cell>
          <cell r="AZ195">
            <v>4.9375672561403006</v>
          </cell>
          <cell r="BA195">
            <v>4.937905599334484</v>
          </cell>
          <cell r="BB195">
            <v>4.938248944912365</v>
          </cell>
          <cell r="BC195">
            <v>4.9385906382200382</v>
          </cell>
          <cell r="BD195">
            <v>4.9389248215863892</v>
          </cell>
          <cell r="BE195">
            <v>4.9392463021214441</v>
          </cell>
          <cell r="BF195">
            <v>4.9395505038627361</v>
          </cell>
          <cell r="BG195">
            <v>4.9398335529531723</v>
          </cell>
          <cell r="BH195">
            <v>4.9400922612751881</v>
          </cell>
          <cell r="BI195">
            <v>4.9403238890300782</v>
          </cell>
        </row>
        <row r="196">
          <cell r="B196">
            <v>5.7525646514268143</v>
          </cell>
          <cell r="C196">
            <v>5.7064819546175993</v>
          </cell>
          <cell r="D196">
            <v>5.6668538176870449</v>
          </cell>
          <cell r="E196">
            <v>5.6331949510239161</v>
          </cell>
          <cell r="F196">
            <v>5.6034427385266872</v>
          </cell>
          <cell r="G196">
            <v>5.573670036751027</v>
          </cell>
          <cell r="H196">
            <v>5.5409245991043852</v>
          </cell>
          <cell r="I196">
            <v>5.5043201888667221</v>
          </cell>
          <cell r="J196">
            <v>5.4643969111114243</v>
          </cell>
          <cell r="K196">
            <v>5.422421906068486</v>
          </cell>
          <cell r="L196">
            <v>5.3798292448529423</v>
          </cell>
          <cell r="M196">
            <v>5.3379360683218247</v>
          </cell>
          <cell r="N196">
            <v>5.2979000876768279</v>
          </cell>
          <cell r="O196">
            <v>5.2603882193859439</v>
          </cell>
          <cell r="P196">
            <v>5.2257070982132001</v>
          </cell>
          <cell r="Q196">
            <v>5.1939670657468273</v>
          </cell>
          <cell r="R196">
            <v>5.1651399422475768</v>
          </cell>
          <cell r="S196">
            <v>5.1390997255501913</v>
          </cell>
          <cell r="T196">
            <v>5.1156746802000956</v>
          </cell>
          <cell r="U196">
            <v>5.0946863189465388</v>
          </cell>
          <cell r="V196">
            <v>5.075953716556211</v>
          </cell>
          <cell r="W196">
            <v>5.0592940639083155</v>
          </cell>
          <cell r="X196">
            <v>5.0445230775353158</v>
          </cell>
          <cell r="Y196">
            <v>5.0314553263827095</v>
          </cell>
          <cell r="Z196">
            <v>5.0199081191560335</v>
          </cell>
          <cell r="AA196">
            <v>5.0097157256406293</v>
          </cell>
          <cell r="AB196">
            <v>5.0007326601054656</v>
          </cell>
          <cell r="AC196">
            <v>4.9928303327887198</v>
          </cell>
          <cell r="AD196">
            <v>4.9858942195555223</v>
          </cell>
          <cell r="AE196">
            <v>4.9798215230367449</v>
          </cell>
          <cell r="AF196">
            <v>4.9745192812151666</v>
          </cell>
          <cell r="AG196">
            <v>4.9699028306891728</v>
          </cell>
          <cell r="AH196">
            <v>4.9658947500000972</v>
          </cell>
          <cell r="AI196">
            <v>4.9624252767822377</v>
          </cell>
          <cell r="AJ196">
            <v>4.9594322951861098</v>
          </cell>
          <cell r="AK196">
            <v>4.9568603379609266</v>
          </cell>
          <cell r="AL196">
            <v>4.9546596879953153</v>
          </cell>
          <cell r="AM196">
            <v>4.952785629494902</v>
          </cell>
          <cell r="AN196">
            <v>4.9511980091824359</v>
          </cell>
          <cell r="AO196">
            <v>4.9498610233569478</v>
          </cell>
          <cell r="AP196">
            <v>4.9487427537696469</v>
          </cell>
          <cell r="AQ196">
            <v>4.9478147052064552</v>
          </cell>
          <cell r="AR196">
            <v>4.9470514074607141</v>
          </cell>
          <cell r="AS196">
            <v>4.9464300715823413</v>
          </cell>
          <cell r="AT196">
            <v>4.9459302919707415</v>
          </cell>
          <cell r="AU196">
            <v>4.9455337927648175</v>
          </cell>
          <cell r="AV196">
            <v>4.9452242301067812</v>
          </cell>
          <cell r="AW196">
            <v>4.9449870068580148</v>
          </cell>
          <cell r="AX196">
            <v>4.9448090949721495</v>
          </cell>
          <cell r="AY196">
            <v>4.9446788785858393</v>
          </cell>
          <cell r="AZ196">
            <v>4.9445860155694517</v>
          </cell>
          <cell r="BA196">
            <v>4.9445213150526639</v>
          </cell>
          <cell r="BB196">
            <v>4.9444766288151003</v>
          </cell>
          <cell r="BC196">
            <v>4.9444447516158787</v>
          </cell>
          <cell r="BD196">
            <v>4.9444192883720115</v>
          </cell>
          <cell r="BE196">
            <v>4.9443945230467321</v>
          </cell>
          <cell r="BF196">
            <v>4.9443653750870897</v>
          </cell>
          <cell r="BG196">
            <v>4.9443275022350122</v>
          </cell>
          <cell r="BH196">
            <v>4.9442772793838703</v>
          </cell>
          <cell r="BI196">
            <v>4.9442115485692959</v>
          </cell>
        </row>
        <row r="197">
          <cell r="B197">
            <v>5.7634211429798583</v>
          </cell>
          <cell r="C197">
            <v>5.7150178295346032</v>
          </cell>
          <cell r="D197">
            <v>5.6789692606659337</v>
          </cell>
          <cell r="E197">
            <v>5.6490608998539642</v>
          </cell>
          <cell r="F197">
            <v>5.6218814072874048</v>
          </cell>
          <cell r="G197">
            <v>5.5932781839073575</v>
          </cell>
          <cell r="H197">
            <v>5.5606114781989859</v>
          </cell>
          <cell r="I197">
            <v>5.5233578447898877</v>
          </cell>
          <cell r="J197">
            <v>5.4822372240660435</v>
          </cell>
          <cell r="K197">
            <v>5.4385965481832148</v>
          </cell>
          <cell r="L197">
            <v>5.3939843032295087</v>
          </cell>
          <cell r="M197">
            <v>5.3499354807581465</v>
          </cell>
          <cell r="N197">
            <v>5.3078447008945346</v>
          </cell>
          <cell r="O197">
            <v>5.2684154740416131</v>
          </cell>
          <cell r="P197">
            <v>5.2319342567886054</v>
          </cell>
          <cell r="Q197">
            <v>5.1984967423908186</v>
          </cell>
          <cell r="R197">
            <v>5.1680640003048994</v>
          </cell>
          <cell r="S197">
            <v>5.1405023167528716</v>
          </cell>
          <cell r="T197">
            <v>5.115634448365344</v>
          </cell>
          <cell r="U197">
            <v>5.0932761062921843</v>
          </cell>
          <cell r="V197">
            <v>5.0732399220725393</v>
          </cell>
          <cell r="W197">
            <v>5.0553361475463907</v>
          </cell>
          <cell r="X197">
            <v>5.0393731721804578</v>
          </cell>
          <cell r="Y197">
            <v>5.0251579407627469</v>
          </cell>
          <cell r="Z197">
            <v>5.012500515859478</v>
          </cell>
          <cell r="AA197">
            <v>5.0012293863283066</v>
          </cell>
          <cell r="AB197">
            <v>4.9911944748856216</v>
          </cell>
          <cell r="AC197">
            <v>4.9822634282476352</v>
          </cell>
          <cell r="AD197">
            <v>4.9743185459801413</v>
          </cell>
          <cell r="AE197">
            <v>4.9672543374560458</v>
          </cell>
          <cell r="AF197">
            <v>4.9609755525316412</v>
          </cell>
          <cell r="AG197">
            <v>4.9553955815645461</v>
          </cell>
          <cell r="AH197">
            <v>4.9504353761210504</v>
          </cell>
          <cell r="AI197">
            <v>4.9460238909633052</v>
          </cell>
          <cell r="AJ197">
            <v>4.9420979963831808</v>
          </cell>
          <cell r="AK197">
            <v>4.9386014350325604</v>
          </cell>
          <cell r="AL197">
            <v>4.9354838932260279</v>
          </cell>
          <cell r="AM197">
            <v>4.9327002276396641</v>
          </cell>
          <cell r="AN197">
            <v>4.930210004605815</v>
          </cell>
          <cell r="AO197">
            <v>4.9279772436793801</v>
          </cell>
          <cell r="AP197">
            <v>4.9259699312769447</v>
          </cell>
          <cell r="AQ197">
            <v>4.9241595485086682</v>
          </cell>
          <cell r="AR197">
            <v>4.9225206648185598</v>
          </cell>
          <cell r="AS197">
            <v>4.9210305870374569</v>
          </cell>
          <cell r="AT197">
            <v>4.9196690552362385</v>
          </cell>
          <cell r="AU197">
            <v>4.9184179809032029</v>
          </cell>
          <cell r="AV197">
            <v>4.9172612288985738</v>
          </cell>
          <cell r="AW197">
            <v>4.9161844206556147</v>
          </cell>
          <cell r="AX197">
            <v>4.9151747551637683</v>
          </cell>
          <cell r="AY197">
            <v>4.914220851213031</v>
          </cell>
          <cell r="AZ197">
            <v>4.9133126081978249</v>
          </cell>
          <cell r="BA197">
            <v>4.9124410829819549</v>
          </cell>
          <cell r="BB197">
            <v>4.9115983807033876</v>
          </cell>
          <cell r="BC197">
            <v>4.9107775530859312</v>
          </cell>
          <cell r="BD197">
            <v>4.9099724495356387</v>
          </cell>
          <cell r="BE197">
            <v>4.909177572935647</v>
          </cell>
          <cell r="BF197">
            <v>4.9083880444236332</v>
          </cell>
          <cell r="BG197">
            <v>4.9075997382794281</v>
          </cell>
          <cell r="BH197">
            <v>4.9068092565504555</v>
          </cell>
          <cell r="BI197">
            <v>4.9060136511020813</v>
          </cell>
        </row>
        <row r="198">
          <cell r="B198">
            <v>5.7738687918717391</v>
          </cell>
          <cell r="C198">
            <v>5.7405385187045654</v>
          </cell>
          <cell r="D198">
            <v>5.7134094204010788</v>
          </cell>
          <cell r="E198">
            <v>5.6902657059223936</v>
          </cell>
          <cell r="F198">
            <v>5.6688446249749775</v>
          </cell>
          <cell r="G198">
            <v>5.64592203620583</v>
          </cell>
          <cell r="H198">
            <v>5.6194662794966481</v>
          </cell>
          <cell r="I198">
            <v>5.5891216572986435</v>
          </cell>
          <cell r="J198">
            <v>5.5555149230982108</v>
          </cell>
          <cell r="K198">
            <v>5.5197675502764856</v>
          </cell>
          <cell r="L198">
            <v>5.4831487196482538</v>
          </cell>
          <cell r="M198">
            <v>5.4468997872605369</v>
          </cell>
          <cell r="N198">
            <v>5.4121402442754762</v>
          </cell>
          <cell r="O198">
            <v>5.3794540719759549</v>
          </cell>
          <cell r="P198">
            <v>5.3490938892189916</v>
          </cell>
          <cell r="Q198">
            <v>5.3211508351435342</v>
          </cell>
          <cell r="R198">
            <v>5.2956020723285793</v>
          </cell>
          <cell r="S198">
            <v>5.2723447623187907</v>
          </cell>
          <cell r="T198">
            <v>5.2512397618565947</v>
          </cell>
          <cell r="U198">
            <v>5.2321412031347529</v>
          </cell>
          <cell r="V198">
            <v>5.2148997594596782</v>
          </cell>
          <cell r="W198">
            <v>5.1993634313619621</v>
          </cell>
          <cell r="X198">
            <v>5.1853781276346007</v>
          </cell>
          <cell r="Y198">
            <v>5.1727881347436799</v>
          </cell>
          <cell r="Z198">
            <v>5.161440265901617</v>
          </cell>
          <cell r="AA198">
            <v>5.1511965333376279</v>
          </cell>
          <cell r="AB198">
            <v>5.1419362581045807</v>
          </cell>
          <cell r="AC198">
            <v>5.1335530244348755</v>
          </cell>
          <cell r="AD198">
            <v>5.1259521895842504</v>
          </cell>
          <cell r="AE198">
            <v>5.1190489200206883</v>
          </cell>
          <cell r="AF198">
            <v>5.1127666092934128</v>
          </cell>
          <cell r="AG198">
            <v>5.107035592712549</v>
          </cell>
          <cell r="AH198">
            <v>5.1017923087459991</v>
          </cell>
          <cell r="AI198">
            <v>5.0969797224185269</v>
          </cell>
          <cell r="AJ198">
            <v>5.0925472282518287</v>
          </cell>
          <cell r="AK198">
            <v>5.088449797093352</v>
          </cell>
          <cell r="AL198">
            <v>5.0846472225587691</v>
          </cell>
          <cell r="AM198">
            <v>5.0811034956706225</v>
          </cell>
          <cell r="AN198">
            <v>5.0777864561512995</v>
          </cell>
          <cell r="AO198">
            <v>5.0746676011989234</v>
          </cell>
          <cell r="AP198">
            <v>5.0717216849063984</v>
          </cell>
          <cell r="AQ198">
            <v>5.0689263305741017</v>
          </cell>
          <cell r="AR198">
            <v>5.0662616970811101</v>
          </cell>
          <cell r="AS198">
            <v>5.0637101907512525</v>
          </cell>
          <cell r="AT198">
            <v>5.061256215630543</v>
          </cell>
          <cell r="AU198">
            <v>5.0588859546373239</v>
          </cell>
          <cell r="AV198">
            <v>5.0565871726601026</v>
          </cell>
          <cell r="AW198">
            <v>5.0543490480959541</v>
          </cell>
          <cell r="AX198">
            <v>5.052162028506106</v>
          </cell>
          <cell r="AY198">
            <v>5.0500177036995328</v>
          </cell>
          <cell r="AZ198">
            <v>5.0479086937478739</v>
          </cell>
          <cell r="BA198">
            <v>5.0458285499217235</v>
          </cell>
          <cell r="BB198">
            <v>5.0437716668416659</v>
          </cell>
          <cell r="BC198">
            <v>5.0417331988296317</v>
          </cell>
          <cell r="BD198">
            <v>5.03970892247278</v>
          </cell>
          <cell r="BE198">
            <v>5.0376951071984628</v>
          </cell>
          <cell r="BF198">
            <v>5.035688499563383</v>
          </cell>
          <cell r="BG198">
            <v>5.0336864818650833</v>
          </cell>
          <cell r="BH198">
            <v>5.0316870441483852</v>
          </cell>
          <cell r="BI198">
            <v>5.0296885031996723</v>
          </cell>
        </row>
        <row r="199">
          <cell r="B199">
            <v>5.7746186228185943</v>
          </cell>
          <cell r="C199">
            <v>5.7394741007042533</v>
          </cell>
          <cell r="D199">
            <v>5.7086072767158775</v>
          </cell>
          <cell r="E199">
            <v>5.6820811552946653</v>
          </cell>
          <cell r="F199">
            <v>5.6582116019504305</v>
          </cell>
          <cell r="G199">
            <v>5.6336090399782597</v>
          </cell>
          <cell r="H199">
            <v>5.6060136827019695</v>
          </cell>
          <cell r="I199">
            <v>5.574904366293655</v>
          </cell>
          <cell r="J199">
            <v>5.5408030525078855</v>
          </cell>
          <cell r="K199">
            <v>5.5047607084350654</v>
          </cell>
          <cell r="L199">
            <v>5.4680032230004469</v>
          </cell>
          <cell r="M199">
            <v>5.431752480454568</v>
          </cell>
          <cell r="N199">
            <v>5.3971218729710015</v>
          </cell>
          <cell r="O199">
            <v>5.3646720710867859</v>
          </cell>
          <cell r="P199">
            <v>5.3346287822505998</v>
          </cell>
          <cell r="Q199">
            <v>5.3070642130093173</v>
          </cell>
          <cell r="R199">
            <v>5.2819422426831668</v>
          </cell>
          <cell r="S199">
            <v>5.2591510729950368</v>
          </cell>
          <cell r="T199">
            <v>5.2385459239689807</v>
          </cell>
          <cell r="U199">
            <v>5.2199764764088705</v>
          </cell>
          <cell r="V199">
            <v>5.2032896033154383</v>
          </cell>
          <cell r="W199">
            <v>5.1883300080233443</v>
          </cell>
          <cell r="X199">
            <v>5.1749406958677291</v>
          </cell>
          <cell r="Y199">
            <v>5.1629633735777327</v>
          </cell>
          <cell r="Z199">
            <v>5.1522428960983628</v>
          </cell>
          <cell r="AA199">
            <v>5.1426399879963327</v>
          </cell>
          <cell r="AB199">
            <v>5.1340329211252298</v>
          </cell>
          <cell r="AC199">
            <v>5.126314351212077</v>
          </cell>
          <cell r="AD199">
            <v>5.1193887734870449</v>
          </cell>
          <cell r="AE199">
            <v>5.1131705463812596</v>
          </cell>
          <cell r="AF199">
            <v>5.1075823006879322</v>
          </cell>
          <cell r="AG199">
            <v>5.1025536473018072</v>
          </cell>
          <cell r="AH199">
            <v>5.0980203546247997</v>
          </cell>
          <cell r="AI199">
            <v>5.0939247795940519</v>
          </cell>
          <cell r="AJ199">
            <v>5.090215713092646</v>
          </cell>
          <cell r="AK199">
            <v>5.0868475197707976</v>
          </cell>
          <cell r="AL199">
            <v>5.0837793848340871</v>
          </cell>
          <cell r="AM199">
            <v>5.080974690878767</v>
          </cell>
          <cell r="AN199">
            <v>5.0784006842774074</v>
          </cell>
          <cell r="AO199">
            <v>5.0760282836251491</v>
          </cell>
          <cell r="AP199">
            <v>5.0738316738314921</v>
          </cell>
          <cell r="AQ199">
            <v>5.0717879172931015</v>
          </cell>
          <cell r="AR199">
            <v>5.0698766193022866</v>
          </cell>
          <cell r="AS199">
            <v>5.0680796390815805</v>
          </cell>
          <cell r="AT199">
            <v>5.0663808393437852</v>
          </cell>
          <cell r="AU199">
            <v>5.064765867880098</v>
          </cell>
          <cell r="AV199">
            <v>5.0632219650012003</v>
          </cell>
          <cell r="AW199">
            <v>5.061737796465021</v>
          </cell>
          <cell r="AX199">
            <v>5.0603033079923154</v>
          </cell>
          <cell r="AY199">
            <v>5.0589095972703699</v>
          </cell>
          <cell r="AZ199">
            <v>5.0575488010151242</v>
          </cell>
          <cell r="BA199">
            <v>5.056213995064553</v>
          </cell>
          <cell r="BB199">
            <v>5.0548991057822601</v>
          </cell>
          <cell r="BC199">
            <v>5.0535988252624815</v>
          </cell>
          <cell r="BD199">
            <v>5.0523084743289299</v>
          </cell>
          <cell r="BE199">
            <v>5.0510238786759967</v>
          </cell>
          <cell r="BF199">
            <v>5.0497413545946861</v>
          </cell>
          <cell r="BG199">
            <v>5.0484578565208746</v>
          </cell>
          <cell r="BH199">
            <v>5.0471709387602246</v>
          </cell>
          <cell r="BI199">
            <v>5.0458784991669825</v>
          </cell>
        </row>
        <row r="200">
          <cell r="B200">
            <v>5.7686830447770649</v>
          </cell>
          <cell r="C200">
            <v>5.7376890646869425</v>
          </cell>
          <cell r="D200">
            <v>5.7112961749766997</v>
          </cell>
          <cell r="E200">
            <v>5.6880290481787101</v>
          </cell>
          <cell r="F200">
            <v>5.6660137585986758</v>
          </cell>
          <cell r="G200">
            <v>5.6424802514699604</v>
          </cell>
          <cell r="H200">
            <v>5.6158679834067824</v>
          </cell>
          <cell r="I200">
            <v>5.5860063971672851</v>
          </cell>
          <cell r="J200">
            <v>5.5535298977387173</v>
          </cell>
          <cell r="K200">
            <v>5.5194820962182627</v>
          </cell>
          <cell r="L200">
            <v>5.4850086190527234</v>
          </cell>
          <cell r="M200">
            <v>5.451184055736082</v>
          </cell>
          <cell r="N200">
            <v>5.4189436539132441</v>
          </cell>
          <cell r="O200">
            <v>5.3887853025047887</v>
          </cell>
          <cell r="P200">
            <v>5.3609272450399823</v>
          </cell>
          <cell r="Q200">
            <v>5.3354348054114364</v>
          </cell>
          <cell r="R200">
            <v>5.3122653672028708</v>
          </cell>
          <cell r="S200">
            <v>5.2913022742887748</v>
          </cell>
          <cell r="T200">
            <v>5.2724008703642333</v>
          </cell>
          <cell r="U200">
            <v>5.2554135341139148</v>
          </cell>
          <cell r="V200">
            <v>5.2401913577388344</v>
          </cell>
          <cell r="W200">
            <v>5.2265844393390255</v>
          </cell>
          <cell r="X200">
            <v>5.2144420990224249</v>
          </cell>
          <cell r="Y200">
            <v>5.2036131339941099</v>
          </cell>
          <cell r="Z200">
            <v>5.193950842864056</v>
          </cell>
          <cell r="AA200">
            <v>5.1853246221462834</v>
          </cell>
          <cell r="AB200">
            <v>5.1776204032476087</v>
          </cell>
          <cell r="AC200">
            <v>5.1707376132071232</v>
          </cell>
          <cell r="AD200">
            <v>5.1645867887321266</v>
          </cell>
          <cell r="AE200">
            <v>5.159087722630475</v>
          </cell>
          <cell r="AF200">
            <v>5.1541679708911277</v>
          </cell>
          <cell r="AG200">
            <v>5.1497616408306532</v>
          </cell>
          <cell r="AH200">
            <v>5.1458086912659695</v>
          </cell>
          <cell r="AI200">
            <v>5.1422553699672102</v>
          </cell>
          <cell r="AJ200">
            <v>5.1390539302426559</v>
          </cell>
          <cell r="AK200">
            <v>5.1361618147887844</v>
          </cell>
          <cell r="AL200">
            <v>5.1335409544215924</v>
          </cell>
          <cell r="AM200">
            <v>5.1311571944728902</v>
          </cell>
          <cell r="AN200">
            <v>5.1289800207284948</v>
          </cell>
          <cell r="AO200">
            <v>5.1269823665771925</v>
          </cell>
          <cell r="AP200">
            <v>5.1251402214573192</v>
          </cell>
          <cell r="AQ200">
            <v>5.1234322670420411</v>
          </cell>
          <cell r="AR200">
            <v>5.1218395641887966</v>
          </cell>
          <cell r="AS200">
            <v>5.12034528257744</v>
          </cell>
          <cell r="AT200">
            <v>5.1189344663832266</v>
          </cell>
          <cell r="AU200">
            <v>5.1175938292313496</v>
          </cell>
          <cell r="AV200">
            <v>5.1163115723476666</v>
          </cell>
          <cell r="AW200">
            <v>5.1150772280812209</v>
          </cell>
          <cell r="AX200">
            <v>5.1138815240505515</v>
          </cell>
          <cell r="AY200">
            <v>5.1127162636167442</v>
          </cell>
          <cell r="AZ200">
            <v>5.1115742204184835</v>
          </cell>
          <cell r="BA200">
            <v>5.1104490450761197</v>
          </cell>
          <cell r="BB200">
            <v>5.1093351824572064</v>
          </cell>
          <cell r="BC200">
            <v>5.1082277902382396</v>
          </cell>
          <cell r="BD200">
            <v>5.1071226076668186</v>
          </cell>
          <cell r="BE200">
            <v>5.1060158500067896</v>
          </cell>
          <cell r="BF200">
            <v>5.1049042089039833</v>
          </cell>
          <cell r="BG200">
            <v>5.1037849973615819</v>
          </cell>
          <cell r="BH200">
            <v>5.1026560763859719</v>
          </cell>
          <cell r="BI200">
            <v>5.1015156148312029</v>
          </cell>
        </row>
        <row r="201">
          <cell r="B201">
            <v>5.7760350066898498</v>
          </cell>
          <cell r="C201">
            <v>5.7479287964627979</v>
          </cell>
          <cell r="D201">
            <v>5.7240371226836606</v>
          </cell>
          <cell r="E201">
            <v>5.7035143499903693</v>
          </cell>
          <cell r="F201">
            <v>5.6844973759591539</v>
          </cell>
          <cell r="G201">
            <v>5.6638796757998575</v>
          </cell>
          <cell r="H201">
            <v>5.6397795765295644</v>
          </cell>
          <cell r="I201">
            <v>5.6118659503029713</v>
          </cell>
          <cell r="J201">
            <v>5.5808089263946252</v>
          </cell>
          <cell r="K201">
            <v>5.5477852122200417</v>
          </cell>
          <cell r="L201">
            <v>5.5140560496401054</v>
          </cell>
          <cell r="M201">
            <v>5.4807530011064411</v>
          </cell>
          <cell r="N201">
            <v>5.4488364307657848</v>
          </cell>
          <cell r="O201">
            <v>5.4188508997488389</v>
          </cell>
          <cell r="P201">
            <v>5.3910583299927461</v>
          </cell>
          <cell r="Q201">
            <v>5.3655533454962878</v>
          </cell>
          <cell r="R201">
            <v>5.3423124806788005</v>
          </cell>
          <cell r="S201">
            <v>5.3212315860303638</v>
          </cell>
          <cell r="T201">
            <v>5.3021756378417368</v>
          </cell>
          <cell r="U201">
            <v>5.2850045163560866</v>
          </cell>
          <cell r="V201">
            <v>5.2695750914069981</v>
          </cell>
          <cell r="W201">
            <v>5.25574190660247</v>
          </cell>
          <cell r="X201">
            <v>5.2433576850261332</v>
          </cell>
          <cell r="Y201">
            <v>5.2322738254584751</v>
          </cell>
          <cell r="Z201">
            <v>5.2223459424034582</v>
          </cell>
          <cell r="AA201">
            <v>5.213445456546939</v>
          </cell>
          <cell r="AB201">
            <v>5.2054598271931045</v>
          </cell>
          <cell r="AC201">
            <v>5.198289676704368</v>
          </cell>
          <cell r="AD201">
            <v>5.1918465051778711</v>
          </cell>
          <cell r="AE201">
            <v>5.1860508770302243</v>
          </cell>
          <cell r="AF201">
            <v>5.1808309590104944</v>
          </cell>
          <cell r="AG201">
            <v>5.1761213340549244</v>
          </cell>
          <cell r="AH201">
            <v>5.1718623585368064</v>
          </cell>
          <cell r="AI201">
            <v>5.1680006603543571</v>
          </cell>
          <cell r="AJ201">
            <v>5.164488836368192</v>
          </cell>
          <cell r="AK201">
            <v>5.1612846384704714</v>
          </cell>
          <cell r="AL201">
            <v>5.1583502769590144</v>
          </cell>
          <cell r="AM201">
            <v>5.1556518535367264</v>
          </cell>
          <cell r="AN201">
            <v>5.1531591016125411</v>
          </cell>
          <cell r="AO201">
            <v>5.1508451887631139</v>
          </cell>
          <cell r="AP201">
            <v>5.148686323701682</v>
          </cell>
          <cell r="AQ201">
            <v>5.1466613942380794</v>
          </cell>
          <cell r="AR201">
            <v>5.1447516557558703</v>
          </cell>
          <cell r="AS201">
            <v>5.142940462169884</v>
          </cell>
          <cell r="AT201">
            <v>5.1412130327465766</v>
          </cell>
          <cell r="AU201">
            <v>5.1395562485977528</v>
          </cell>
          <cell r="AV201">
            <v>5.1379584736082364</v>
          </cell>
          <cell r="AW201">
            <v>5.136409399223778</v>
          </cell>
          <cell r="AX201">
            <v>5.1348999089752896</v>
          </cell>
          <cell r="AY201">
            <v>5.1334219592703283</v>
          </cell>
          <cell r="AZ201">
            <v>5.1319684742091205</v>
          </cell>
          <cell r="BA201">
            <v>5.1305332525371776</v>
          </cell>
          <cell r="BB201">
            <v>5.1291108851304195</v>
          </cell>
          <cell r="BC201">
            <v>5.127696673128221</v>
          </cell>
          <cell r="BD201">
            <v>5.1262864978961789</v>
          </cell>
          <cell r="BE201">
            <v>5.1248767201619181</v>
          </cell>
          <cell r="BF201">
            <v>5.1234641854645195</v>
          </cell>
          <cell r="BG201">
            <v>5.1220463711249904</v>
          </cell>
          <cell r="BH201">
            <v>5.1206212971622094</v>
          </cell>
          <cell r="BI201">
            <v>5.1191872818119686</v>
          </cell>
        </row>
        <row r="202">
          <cell r="B202">
            <v>5.7710070976020269</v>
          </cell>
          <cell r="C202">
            <v>5.7427333005752956</v>
          </cell>
          <cell r="D202">
            <v>5.7126718597869077</v>
          </cell>
          <cell r="E202">
            <v>5.6860924758488167</v>
          </cell>
          <cell r="F202">
            <v>5.6623286825064758</v>
          </cell>
          <cell r="G202">
            <v>5.6379974072578518</v>
          </cell>
          <cell r="H202">
            <v>5.610780719474473</v>
          </cell>
          <cell r="I202">
            <v>5.5800653803427398</v>
          </cell>
          <cell r="J202">
            <v>5.5464296573036114</v>
          </cell>
          <cell r="K202">
            <v>5.5110604168263038</v>
          </cell>
          <cell r="L202">
            <v>5.4752476931078524</v>
          </cell>
          <cell r="M202">
            <v>5.440128150913865</v>
          </cell>
          <cell r="N202">
            <v>5.4066494659057591</v>
          </cell>
          <cell r="O202">
            <v>5.3753439558550991</v>
          </cell>
          <cell r="P202">
            <v>5.3464595850758636</v>
          </cell>
          <cell r="Q202">
            <v>5.3200725305823422</v>
          </cell>
          <cell r="R202">
            <v>5.2961377141551775</v>
          </cell>
          <cell r="S202">
            <v>5.2745281266344763</v>
          </cell>
          <cell r="T202">
            <v>5.2550885133846812</v>
          </cell>
          <cell r="U202">
            <v>5.2376613241714383</v>
          </cell>
          <cell r="V202">
            <v>5.2220880735872219</v>
          </cell>
          <cell r="W202">
            <v>5.2082095535906907</v>
          </cell>
          <cell r="X202">
            <v>5.1958659906010016</v>
          </cell>
          <cell r="Y202">
            <v>5.1848973145773565</v>
          </cell>
          <cell r="Z202">
            <v>5.1751490922241601</v>
          </cell>
          <cell r="AA202">
            <v>5.1664842658699506</v>
          </cell>
          <cell r="AB202">
            <v>5.1587829669579532</v>
          </cell>
          <cell r="AC202">
            <v>5.1519394899819053</v>
          </cell>
          <cell r="AD202">
            <v>5.1458598624043494</v>
          </cell>
          <cell r="AE202">
            <v>5.1404598894608302</v>
          </cell>
          <cell r="AF202">
            <v>5.1356635770997325</v>
          </cell>
          <cell r="AG202">
            <v>5.1314018531090477</v>
          </cell>
          <cell r="AH202">
            <v>5.1276118859071387</v>
          </cell>
          <cell r="AI202">
            <v>5.1242375550993779</v>
          </cell>
          <cell r="AJ202">
            <v>5.1212290609306077</v>
          </cell>
          <cell r="AK202">
            <v>5.1185420589123405</v>
          </cell>
          <cell r="AL202">
            <v>5.1161369226245608</v>
          </cell>
          <cell r="AM202">
            <v>5.1139781434515754</v>
          </cell>
          <cell r="AN202">
            <v>5.1120340298394398</v>
          </cell>
          <cell r="AO202">
            <v>5.1102764569811621</v>
          </cell>
          <cell r="AP202">
            <v>5.1086804526087546</v>
          </cell>
          <cell r="AQ202">
            <v>5.1072238216909751</v>
          </cell>
          <cell r="AR202">
            <v>5.1058868234988193</v>
          </cell>
          <cell r="AS202">
            <v>5.1046518927075368</v>
          </cell>
          <cell r="AT202">
            <v>5.1035033976778994</v>
          </cell>
          <cell r="AU202">
            <v>5.1024274298023116</v>
          </cell>
          <cell r="AV202">
            <v>5.1014116188776217</v>
          </cell>
          <cell r="AW202">
            <v>5.1004449724467564</v>
          </cell>
          <cell r="AX202">
            <v>5.0995177352077619</v>
          </cell>
          <cell r="AY202">
            <v>5.0986212652983021</v>
          </cell>
          <cell r="AZ202">
            <v>5.0977479251348976</v>
          </cell>
          <cell r="BA202">
            <v>5.0968909848476622</v>
          </cell>
          <cell r="BB202">
            <v>5.0960445366441611</v>
          </cell>
          <cell r="BC202">
            <v>5.0952034101525987</v>
          </cell>
          <cell r="BD202">
            <v>5.0943630453947772</v>
          </cell>
          <cell r="BE202">
            <v>5.0935193966059851</v>
          </cell>
          <cell r="BF202">
            <v>5.0926689368077618</v>
          </cell>
          <cell r="BG202">
            <v>5.0918087919131469</v>
          </cell>
          <cell r="BH202">
            <v>5.0909366414809742</v>
          </cell>
          <cell r="BI202">
            <v>5.0900504883260362</v>
          </cell>
        </row>
        <row r="203">
          <cell r="B203">
            <v>5.7616536943286052</v>
          </cell>
          <cell r="C203">
            <v>5.7267556833969948</v>
          </cell>
          <cell r="D203">
            <v>5.6919749095989234</v>
          </cell>
          <cell r="E203">
            <v>5.6617759275859223</v>
          </cell>
          <cell r="F203">
            <v>5.6351561690855858</v>
          </cell>
          <cell r="G203">
            <v>5.6085844585319276</v>
          </cell>
          <cell r="H203">
            <v>5.5796028960837534</v>
          </cell>
          <cell r="I203">
            <v>5.5474473487129634</v>
          </cell>
          <cell r="J203">
            <v>5.512601483508158</v>
          </cell>
          <cell r="K203">
            <v>5.4761910743882023</v>
          </cell>
          <cell r="L203">
            <v>5.439460008442337</v>
          </cell>
          <cell r="M203">
            <v>5.4035043916409693</v>
          </cell>
          <cell r="N203">
            <v>5.3692398435125916</v>
          </cell>
          <cell r="O203">
            <v>5.3371953892088948</v>
          </cell>
          <cell r="P203">
            <v>5.3076206184920238</v>
          </cell>
          <cell r="Q203">
            <v>5.2805906876151987</v>
          </cell>
          <cell r="R203">
            <v>5.2560576346772843</v>
          </cell>
          <cell r="S203">
            <v>5.2338909902314859</v>
          </cell>
          <cell r="T203">
            <v>5.2139330107187964</v>
          </cell>
          <cell r="U203">
            <v>5.1960238312920888</v>
          </cell>
          <cell r="V203">
            <v>5.180002672370331</v>
          </cell>
          <cell r="W203">
            <v>5.16570804753266</v>
          </cell>
          <cell r="X203">
            <v>5.1529779171792134</v>
          </cell>
          <cell r="Y203">
            <v>5.141649991123888</v>
          </cell>
          <cell r="Z203">
            <v>5.1315680942166813</v>
          </cell>
          <cell r="AA203">
            <v>5.1225937994438926</v>
          </cell>
          <cell r="AB203">
            <v>5.1146059399228792</v>
          </cell>
          <cell r="AC203">
            <v>5.1074975808913639</v>
          </cell>
          <cell r="AD203">
            <v>5.1011735832682259</v>
          </cell>
          <cell r="AE203">
            <v>5.0955486380865036</v>
          </cell>
          <cell r="AF203">
            <v>5.0905456809911147</v>
          </cell>
          <cell r="AG203">
            <v>5.0860946075224591</v>
          </cell>
          <cell r="AH203">
            <v>5.0821316276016217</v>
          </cell>
          <cell r="AI203">
            <v>5.0785997652911004</v>
          </cell>
          <cell r="AJ203">
            <v>5.0754484282263403</v>
          </cell>
          <cell r="AK203">
            <v>5.0726325312372254</v>
          </cell>
          <cell r="AL203">
            <v>5.0701117521326218</v>
          </cell>
          <cell r="AM203">
            <v>5.0678499284619587</v>
          </cell>
          <cell r="AN203">
            <v>5.0658147604370978</v>
          </cell>
          <cell r="AO203">
            <v>5.0639775477477293</v>
          </cell>
          <cell r="AP203">
            <v>5.0623127688802194</v>
          </cell>
          <cell r="AQ203">
            <v>5.0607977026894186</v>
          </cell>
          <cell r="AR203">
            <v>5.0594121027744281</v>
          </cell>
          <cell r="AS203">
            <v>5.0581379162576576</v>
          </cell>
          <cell r="AT203">
            <v>5.0569590400770563</v>
          </cell>
          <cell r="AU203">
            <v>5.0558611099963455</v>
          </cell>
          <cell r="AV203">
            <v>5.0548313180986684</v>
          </cell>
          <cell r="AW203">
            <v>5.0538582513752663</v>
          </cell>
          <cell r="AX203">
            <v>5.0529317493944568</v>
          </cell>
          <cell r="AY203">
            <v>5.0520427790439246</v>
          </cell>
          <cell r="AZ203">
            <v>5.0511833240092177</v>
          </cell>
          <cell r="BA203">
            <v>5.0503462870047189</v>
          </cell>
          <cell r="BB203">
            <v>5.0495254030673848</v>
          </cell>
          <cell r="BC203">
            <v>5.0487151538373585</v>
          </cell>
          <cell r="BD203">
            <v>5.0479106440134123</v>
          </cell>
          <cell r="BE203">
            <v>5.0471075099049498</v>
          </cell>
          <cell r="BF203">
            <v>5.0463019239116216</v>
          </cell>
          <cell r="BG203">
            <v>5.0454907158751725</v>
          </cell>
          <cell r="BH203">
            <v>5.0446712668393783</v>
          </cell>
          <cell r="BI203">
            <v>5.0438412948023537</v>
          </cell>
        </row>
        <row r="204">
          <cell r="B204">
            <v>5.7481913282084873</v>
          </cell>
          <cell r="C204">
            <v>5.703284719191136</v>
          </cell>
          <cell r="D204">
            <v>5.6615481723816572</v>
          </cell>
          <cell r="E204">
            <v>5.6265463958450441</v>
          </cell>
          <cell r="F204">
            <v>5.597146118373689</v>
          </cell>
          <cell r="G204">
            <v>5.5689243203393888</v>
          </cell>
          <cell r="H204">
            <v>5.5386967770417792</v>
          </cell>
          <cell r="I204">
            <v>5.5052997293998773</v>
          </cell>
          <cell r="J204">
            <v>5.4690977152859217</v>
          </cell>
          <cell r="K204">
            <v>5.4312454996478481</v>
          </cell>
          <cell r="L204">
            <v>5.3930584285651459</v>
          </cell>
          <cell r="M204">
            <v>5.3556930381196679</v>
          </cell>
          <cell r="N204">
            <v>5.3201061192804451</v>
          </cell>
          <cell r="O204">
            <v>5.2868301625564262</v>
          </cell>
          <cell r="P204">
            <v>5.256109324053158</v>
          </cell>
          <cell r="Q204">
            <v>5.2280137679404888</v>
          </cell>
          <cell r="R204">
            <v>5.2024908615001326</v>
          </cell>
          <cell r="S204">
            <v>5.1794063320546764</v>
          </cell>
          <cell r="T204">
            <v>5.1585996308539706</v>
          </cell>
          <cell r="U204">
            <v>5.1399077354775065</v>
          </cell>
          <cell r="V204">
            <v>5.1231663212800074</v>
          </cell>
          <cell r="W204">
            <v>5.108210057351612</v>
          </cell>
          <cell r="X204">
            <v>5.094872825271044</v>
          </cell>
          <cell r="Y204">
            <v>5.08298811691603</v>
          </cell>
          <cell r="Z204">
            <v>5.0723960023455623</v>
          </cell>
          <cell r="AA204">
            <v>5.0629548534474331</v>
          </cell>
          <cell r="AB204">
            <v>5.0545405722530141</v>
          </cell>
          <cell r="AC204">
            <v>5.0470435138653924</v>
          </cell>
          <cell r="AD204">
            <v>5.0403660117361397</v>
          </cell>
          <cell r="AE204">
            <v>5.0344203815958544</v>
          </cell>
          <cell r="AF204">
            <v>5.0291273114091632</v>
          </cell>
          <cell r="AG204">
            <v>5.0244145580951471</v>
          </cell>
          <cell r="AH204">
            <v>5.0202163360453769</v>
          </cell>
          <cell r="AI204">
            <v>5.0164738527710524</v>
          </cell>
          <cell r="AJ204">
            <v>5.0131348338014359</v>
          </cell>
          <cell r="AK204">
            <v>5.0101526257764997</v>
          </cell>
          <cell r="AL204">
            <v>5.0074854368375705</v>
          </cell>
          <cell r="AM204">
            <v>5.0050957257533035</v>
          </cell>
          <cell r="AN204">
            <v>5.0029499211028403</v>
          </cell>
          <cell r="AO204">
            <v>5.0010181537888485</v>
          </cell>
          <cell r="AP204">
            <v>4.9992738228073668</v>
          </cell>
          <cell r="AQ204">
            <v>4.9976932061890622</v>
          </cell>
          <cell r="AR204">
            <v>4.9962551262277612</v>
          </cell>
          <cell r="AS204">
            <v>4.9949406603596413</v>
          </cell>
          <cell r="AT204">
            <v>4.9937328906987135</v>
          </cell>
          <cell r="AU204">
            <v>4.9926166912001539</v>
          </cell>
          <cell r="AV204">
            <v>4.991578549332039</v>
          </cell>
          <cell r="AW204">
            <v>4.9906064012431015</v>
          </cell>
          <cell r="AX204">
            <v>4.9896894839622412</v>
          </cell>
          <cell r="AY204">
            <v>4.9888182053104968</v>
          </cell>
          <cell r="AZ204">
            <v>4.9879840291175146</v>
          </cell>
          <cell r="BA204">
            <v>4.9871793736822525</v>
          </cell>
          <cell r="BB204">
            <v>4.9863975217191285</v>
          </cell>
          <cell r="BC204">
            <v>4.9856325314394949</v>
          </cell>
          <cell r="BD204">
            <v>4.984879113654042</v>
          </cell>
          <cell r="BE204">
            <v>4.9841325423598333</v>
          </cell>
          <cell r="BF204">
            <v>4.9833886591733894</v>
          </cell>
          <cell r="BG204">
            <v>4.9826439854587505</v>
          </cell>
          <cell r="BH204">
            <v>4.9818956053121566</v>
          </cell>
          <cell r="BI204">
            <v>4.9811409582334916</v>
          </cell>
        </row>
        <row r="205">
          <cell r="B205">
            <v>5.7376056780306639</v>
          </cell>
          <cell r="C205">
            <v>5.6908127510124693</v>
          </cell>
          <cell r="D205">
            <v>5.6443427798447772</v>
          </cell>
          <cell r="E205">
            <v>5.6062462890525948</v>
          </cell>
          <cell r="F205">
            <v>5.5754245557682252</v>
          </cell>
          <cell r="G205">
            <v>5.546077983525338</v>
          </cell>
          <cell r="H205">
            <v>5.5143789197152939</v>
          </cell>
          <cell r="I205">
            <v>5.4789721397247533</v>
          </cell>
          <cell r="J205">
            <v>5.4402750234695052</v>
          </cell>
          <cell r="K205">
            <v>5.399632591413158</v>
          </cell>
          <cell r="L205">
            <v>5.3585613203296312</v>
          </cell>
          <cell r="M205">
            <v>5.3183171405960827</v>
          </cell>
          <cell r="N205">
            <v>5.2798962284138575</v>
          </cell>
          <cell r="O205">
            <v>5.2439059168506796</v>
          </cell>
          <cell r="P205">
            <v>5.2106453503491919</v>
          </cell>
          <cell r="Q205">
            <v>5.1802079572832742</v>
          </cell>
          <cell r="R205">
            <v>5.1525420273573834</v>
          </cell>
          <cell r="S205">
            <v>5.1275021893696833</v>
          </cell>
          <cell r="T205">
            <v>5.1049160940724807</v>
          </cell>
          <cell r="U205">
            <v>5.0846083200375043</v>
          </cell>
          <cell r="V205">
            <v>5.0664014898713807</v>
          </cell>
          <cell r="W205">
            <v>5.05011671475315</v>
          </cell>
          <cell r="X205">
            <v>5.0355739230054839</v>
          </cell>
          <cell r="Y205">
            <v>5.0225925404967136</v>
          </cell>
          <cell r="Z205">
            <v>5.0110004515556277</v>
          </cell>
          <cell r="AA205">
            <v>5.0006458111938112</v>
          </cell>
          <cell r="AB205">
            <v>4.9913954343700668</v>
          </cell>
          <cell r="AC205">
            <v>4.983131605799791</v>
          </cell>
          <cell r="AD205">
            <v>4.9757494549809378</v>
          </cell>
          <cell r="AE205">
            <v>4.9691548158620167</v>
          </cell>
          <cell r="AF205">
            <v>4.9632625003178115</v>
          </cell>
          <cell r="AG205">
            <v>4.9579949069254177</v>
          </cell>
          <cell r="AH205">
            <v>4.9532814995815366</v>
          </cell>
          <cell r="AI205">
            <v>4.9490593857852954</v>
          </cell>
          <cell r="AJ205">
            <v>4.9452726786536401</v>
          </cell>
          <cell r="AK205">
            <v>4.9418715280113927</v>
          </cell>
          <cell r="AL205">
            <v>4.9388113046328659</v>
          </cell>
          <cell r="AM205">
            <v>4.9360519546318553</v>
          </cell>
          <cell r="AN205">
            <v>4.9335577025364179</v>
          </cell>
          <cell r="AO205">
            <v>4.93129671912342</v>
          </cell>
          <cell r="AP205">
            <v>4.9292406514243217</v>
          </cell>
          <cell r="AQ205">
            <v>4.9273642088853471</v>
          </cell>
          <cell r="AR205">
            <v>4.9256448072727439</v>
          </cell>
          <cell r="AS205">
            <v>4.9240622611364167</v>
          </cell>
          <cell r="AT205">
            <v>4.9225985175555538</v>
          </cell>
          <cell r="AU205">
            <v>4.9212374329209894</v>
          </cell>
          <cell r="AV205">
            <v>4.9199645865551975</v>
          </cell>
          <cell r="AW205">
            <v>4.9187671047177082</v>
          </cell>
          <cell r="AX205">
            <v>4.9176335027658258</v>
          </cell>
          <cell r="AY205">
            <v>4.9165535462448533</v>
          </cell>
          <cell r="AZ205">
            <v>4.9155181283206408</v>
          </cell>
          <cell r="BA205">
            <v>4.9145191613545256</v>
          </cell>
          <cell r="BB205">
            <v>4.9135494807126703</v>
          </cell>
          <cell r="BC205">
            <v>4.9126027479351118</v>
          </cell>
          <cell r="BD205">
            <v>4.9116733234782126</v>
          </cell>
          <cell r="BE205">
            <v>4.9107561802721955</v>
          </cell>
          <cell r="BF205">
            <v>4.9098469175391033</v>
          </cell>
          <cell r="BG205">
            <v>4.9089418616913534</v>
          </cell>
          <cell r="BH205">
            <v>4.9080379105551986</v>
          </cell>
          <cell r="BI205">
            <v>4.9071323300723</v>
          </cell>
        </row>
        <row r="206">
          <cell r="B206">
            <v>5.7348280989383023</v>
          </cell>
          <cell r="C206">
            <v>5.676669234236793</v>
          </cell>
          <cell r="D206">
            <v>5.6216491108437801</v>
          </cell>
          <cell r="E206">
            <v>5.5761167623868078</v>
          </cell>
          <cell r="F206">
            <v>5.5391078539852847</v>
          </cell>
          <cell r="G206">
            <v>5.5051216817829145</v>
          </cell>
          <cell r="H206">
            <v>5.4703255999224103</v>
          </cell>
          <cell r="I206">
            <v>5.4331853786743709</v>
          </cell>
          <cell r="J206">
            <v>5.3939025012313424</v>
          </cell>
          <cell r="K206">
            <v>5.353573361403444</v>
          </cell>
          <cell r="L206">
            <v>5.313440383922746</v>
          </cell>
          <cell r="M206">
            <v>5.2745117494523264</v>
          </cell>
          <cell r="N206">
            <v>5.2375854029343953</v>
          </cell>
          <cell r="O206">
            <v>5.2031636899483908</v>
          </cell>
          <cell r="P206">
            <v>5.1714818850593591</v>
          </cell>
          <cell r="Q206">
            <v>5.1425900456769646</v>
          </cell>
          <cell r="R206">
            <v>5.1164075873018913</v>
          </cell>
          <cell r="S206">
            <v>5.0927715969241216</v>
          </cell>
          <cell r="T206">
            <v>5.0715003361167126</v>
          </cell>
          <cell r="U206">
            <v>5.0524138055583112</v>
          </cell>
          <cell r="V206">
            <v>5.0353336361115248</v>
          </cell>
          <cell r="W206">
            <v>5.0200827183265515</v>
          </cell>
          <cell r="X206">
            <v>5.0064849285960626</v>
          </cell>
          <cell r="Y206">
            <v>4.9943653970165371</v>
          </cell>
          <cell r="Z206">
            <v>4.983558888065688</v>
          </cell>
          <cell r="AA206">
            <v>4.9739201288025319</v>
          </cell>
          <cell r="AB206">
            <v>4.9653218927340728</v>
          </cell>
          <cell r="AC206">
            <v>4.9576518862321297</v>
          </cell>
          <cell r="AD206">
            <v>4.9508102040751094</v>
          </cell>
          <cell r="AE206">
            <v>4.9447072649840393</v>
          </cell>
          <cell r="AF206">
            <v>4.9392621464705337</v>
          </cell>
          <cell r="AG206">
            <v>4.9344012453939357</v>
          </cell>
          <cell r="AH206">
            <v>4.9300577931989649</v>
          </cell>
          <cell r="AI206">
            <v>4.9261723430002551</v>
          </cell>
          <cell r="AJ206">
            <v>4.9226921110607851</v>
          </cell>
          <cell r="AK206">
            <v>4.9195700541440823</v>
          </cell>
          <cell r="AL206">
            <v>4.9167640937974664</v>
          </cell>
          <cell r="AM206">
            <v>4.9142365066947749</v>
          </cell>
          <cell r="AN206">
            <v>4.9119536462097226</v>
          </cell>
          <cell r="AO206">
            <v>4.9098856151918735</v>
          </cell>
          <cell r="AP206">
            <v>4.9080058177991042</v>
          </cell>
          <cell r="AQ206">
            <v>4.906290566484711</v>
          </cell>
          <cell r="AR206">
            <v>4.9047187438235218</v>
          </cell>
          <cell r="AS206">
            <v>4.9032715104526332</v>
          </cell>
          <cell r="AT206">
            <v>4.901932052061083</v>
          </cell>
          <cell r="AU206">
            <v>4.900685362209444</v>
          </cell>
          <cell r="AV206">
            <v>4.899518055329386</v>
          </cell>
          <cell r="AW206">
            <v>4.8984181989025624</v>
          </cell>
          <cell r="AX206">
            <v>4.8973751651925941</v>
          </cell>
          <cell r="AY206">
            <v>4.8963795007668729</v>
          </cell>
          <cell r="AZ206">
            <v>4.8954228113687366</v>
          </cell>
          <cell r="BA206">
            <v>4.8944976600736299</v>
          </cell>
          <cell r="BB206">
            <v>4.8935974769186084</v>
          </cell>
          <cell r="BC206">
            <v>4.8927164668735017</v>
          </cell>
          <cell r="BD206">
            <v>4.8918494896808706</v>
          </cell>
          <cell r="BE206">
            <v>4.8909919804368869</v>
          </cell>
          <cell r="BF206">
            <v>4.8901399642992969</v>
          </cell>
          <cell r="BG206">
            <v>4.8892901423981359</v>
          </cell>
          <cell r="BH206">
            <v>4.8884397381048741</v>
          </cell>
          <cell r="BI206">
            <v>4.8875863139708775</v>
          </cell>
        </row>
        <row r="207">
          <cell r="B207">
            <v>5.7331729667152747</v>
          </cell>
          <cell r="C207">
            <v>5.6805617087945048</v>
          </cell>
          <cell r="D207">
            <v>5.6296636962379161</v>
          </cell>
          <cell r="E207">
            <v>5.5867509940363735</v>
          </cell>
          <cell r="F207">
            <v>5.5510478487026242</v>
          </cell>
          <cell r="G207">
            <v>5.5176512942170195</v>
          </cell>
          <cell r="H207">
            <v>5.4832712794936427</v>
          </cell>
          <cell r="I207">
            <v>5.4466734784303341</v>
          </cell>
          <cell r="J207">
            <v>5.408150689835959</v>
          </cell>
          <cell r="K207">
            <v>5.3687793446038308</v>
          </cell>
          <cell r="L207">
            <v>5.3297357517072896</v>
          </cell>
          <cell r="M207">
            <v>5.2919486597225358</v>
          </cell>
          <cell r="N207">
            <v>5.2561415572924339</v>
          </cell>
          <cell r="O207">
            <v>5.2227777778143301</v>
          </cell>
          <cell r="P207">
            <v>5.1920716739919994</v>
          </cell>
          <cell r="Q207">
            <v>5.1640620236048873</v>
          </cell>
          <cell r="R207">
            <v>5.1386638004729441</v>
          </cell>
          <cell r="S207">
            <v>5.1157152659578893</v>
          </cell>
          <cell r="T207">
            <v>5.0950390298667108</v>
          </cell>
          <cell r="U207">
            <v>5.0764603382993476</v>
          </cell>
          <cell r="V207">
            <v>5.0598066810273137</v>
          </cell>
          <cell r="W207">
            <v>5.0449072815683449</v>
          </cell>
          <cell r="X207">
            <v>5.0315927202850448</v>
          </cell>
          <cell r="Y207">
            <v>5.0196951755965973</v>
          </cell>
          <cell r="Z207">
            <v>5.0090566732559045</v>
          </cell>
          <cell r="AA207">
            <v>4.9995384458333687</v>
          </cell>
          <cell r="AB207">
            <v>4.9910188976448477</v>
          </cell>
          <cell r="AC207">
            <v>4.9833906616376362</v>
          </cell>
          <cell r="AD207">
            <v>4.9765581778998644</v>
          </cell>
          <cell r="AE207">
            <v>4.9704357260307876</v>
          </cell>
          <cell r="AF207">
            <v>4.9649458381228646</v>
          </cell>
          <cell r="AG207">
            <v>4.9600180253904007</v>
          </cell>
          <cell r="AH207">
            <v>4.9555883611321176</v>
          </cell>
          <cell r="AI207">
            <v>4.9515999377507232</v>
          </cell>
          <cell r="AJ207">
            <v>4.9480022052124184</v>
          </cell>
          <cell r="AK207">
            <v>4.9447500899703609</v>
          </cell>
          <cell r="AL207">
            <v>4.9418032549496695</v>
          </cell>
          <cell r="AM207">
            <v>4.9391255247323747</v>
          </cell>
          <cell r="AN207">
            <v>4.9366846372309698</v>
          </cell>
          <cell r="AO207">
            <v>4.9344519275404259</v>
          </cell>
          <cell r="AP207">
            <v>4.9324018969587451</v>
          </cell>
          <cell r="AQ207">
            <v>4.9305118360580273</v>
          </cell>
          <cell r="AR207">
            <v>4.9287615003502738</v>
          </cell>
          <cell r="AS207">
            <v>4.9271328301805752</v>
          </cell>
          <cell r="AT207">
            <v>4.9256097080654646</v>
          </cell>
          <cell r="AU207">
            <v>4.9241777499392745</v>
          </cell>
          <cell r="AV207">
            <v>4.9228241247222257</v>
          </cell>
          <cell r="AW207">
            <v>4.9215373932511968</v>
          </cell>
          <cell r="AX207">
            <v>4.9203073662485153</v>
          </cell>
          <cell r="AY207">
            <v>4.9191249793334206</v>
          </cell>
          <cell r="AZ207">
            <v>4.9179821827380428</v>
          </cell>
          <cell r="BA207">
            <v>4.9168718437484813</v>
          </cell>
          <cell r="BB207">
            <v>4.9157876601233577</v>
          </cell>
          <cell r="BC207">
            <v>4.9147240724861438</v>
          </cell>
          <cell r="BD207">
            <v>4.913676154982241</v>
          </cell>
          <cell r="BE207">
            <v>4.9126395428263407</v>
          </cell>
          <cell r="BF207">
            <v>4.9116104442681676</v>
          </cell>
          <cell r="BG207">
            <v>4.9105857081066056</v>
          </cell>
          <cell r="BH207">
            <v>4.9095626707866495</v>
          </cell>
          <cell r="BI207">
            <v>4.9085389905466998</v>
          </cell>
        </row>
        <row r="208">
          <cell r="B208">
            <v>5.7233420439021234</v>
          </cell>
          <cell r="C208">
            <v>5.6712447494040577</v>
          </cell>
          <cell r="D208">
            <v>5.6220767560457627</v>
          </cell>
          <cell r="E208">
            <v>5.5803248315411293</v>
          </cell>
          <cell r="F208">
            <v>5.5445485142249895</v>
          </cell>
          <cell r="G208">
            <v>5.5098615002373608</v>
          </cell>
          <cell r="H208">
            <v>5.4732975396204067</v>
          </cell>
          <cell r="I208">
            <v>5.4339491444485315</v>
          </cell>
          <cell r="J208">
            <v>5.3923674669344273</v>
          </cell>
          <cell r="K208">
            <v>5.3498429306053881</v>
          </cell>
          <cell r="L208">
            <v>5.3076979453737598</v>
          </cell>
          <cell r="M208">
            <v>5.2669271069905674</v>
          </cell>
          <cell r="N208">
            <v>5.2282847787337632</v>
          </cell>
          <cell r="O208">
            <v>5.1922727379999634</v>
          </cell>
          <cell r="P208">
            <v>5.1591259519981705</v>
          </cell>
          <cell r="Q208">
            <v>5.1288867342039923</v>
          </cell>
          <cell r="R208">
            <v>5.101461601001402</v>
          </cell>
          <cell r="S208">
            <v>5.0766742971739784</v>
          </cell>
          <cell r="T208">
            <v>5.0543331673125458</v>
          </cell>
          <cell r="U208">
            <v>5.0342498723557059</v>
          </cell>
          <cell r="V208">
            <v>5.0162388042236126</v>
          </cell>
          <cell r="W208">
            <v>5.0001164651403505</v>
          </cell>
          <cell r="X208">
            <v>4.9857010088722058</v>
          </cell>
          <cell r="Y208">
            <v>4.9728125412575821</v>
          </cell>
          <cell r="Z208">
            <v>4.9612822173394866</v>
          </cell>
          <cell r="AA208">
            <v>4.9509617129927559</v>
          </cell>
          <cell r="AB208">
            <v>4.9417209159561271</v>
          </cell>
          <cell r="AC208">
            <v>4.9334449093036383</v>
          </cell>
          <cell r="AD208">
            <v>4.9260314077098073</v>
          </cell>
          <cell r="AE208">
            <v>4.9193886524967994</v>
          </cell>
          <cell r="AF208">
            <v>4.9134337137880308</v>
          </cell>
          <cell r="AG208">
            <v>4.9080911318824043</v>
          </cell>
          <cell r="AH208">
            <v>4.903292507007639</v>
          </cell>
          <cell r="AI208">
            <v>4.8989769502949239</v>
          </cell>
          <cell r="AJ208">
            <v>4.8950903406107029</v>
          </cell>
          <cell r="AK208">
            <v>4.8915843860030703</v>
          </cell>
          <cell r="AL208">
            <v>4.888415836066053</v>
          </cell>
          <cell r="AM208">
            <v>4.885545873831358</v>
          </cell>
          <cell r="AN208">
            <v>4.8829398466057885</v>
          </cell>
          <cell r="AO208">
            <v>4.8805669144232731</v>
          </cell>
          <cell r="AP208">
            <v>4.8783995917685816</v>
          </cell>
          <cell r="AQ208">
            <v>4.8764133482379544</v>
          </cell>
          <cell r="AR208">
            <v>4.8745862649214766</v>
          </cell>
          <cell r="AS208">
            <v>4.8728987376424184</v>
          </cell>
          <cell r="AT208">
            <v>4.8713332200820965</v>
          </cell>
          <cell r="AU208">
            <v>4.8698740069055599</v>
          </cell>
          <cell r="AV208">
            <v>4.8685070486187145</v>
          </cell>
          <cell r="AW208">
            <v>4.8672197808184388</v>
          </cell>
          <cell r="AX208">
            <v>4.8660009726544207</v>
          </cell>
          <cell r="AY208">
            <v>4.8648405934738719</v>
          </cell>
          <cell r="AZ208">
            <v>4.8637296951551114</v>
          </cell>
          <cell r="BA208">
            <v>4.8626603080180315</v>
          </cell>
          <cell r="BB208">
            <v>4.8616253484470811</v>
          </cell>
          <cell r="BC208">
            <v>4.8606185279234415</v>
          </cell>
          <cell r="BD208">
            <v>4.8596342485598329</v>
          </cell>
          <cell r="BE208">
            <v>4.8586675306788232</v>
          </cell>
          <cell r="BF208">
            <v>4.8577140150998366</v>
          </cell>
          <cell r="BG208">
            <v>4.8567700076630169</v>
          </cell>
          <cell r="BH208">
            <v>4.8558323247855695</v>
          </cell>
          <cell r="BI208">
            <v>4.8548981402851403</v>
          </cell>
        </row>
        <row r="209">
          <cell r="B209">
            <v>5.7161499165183018</v>
          </cell>
          <cell r="C209">
            <v>5.6674113070332393</v>
          </cell>
          <cell r="D209">
            <v>5.6199223326380343</v>
          </cell>
          <cell r="E209">
            <v>5.5790733766290854</v>
          </cell>
          <cell r="F209">
            <v>5.5436587296804429</v>
          </cell>
          <cell r="G209">
            <v>5.5089803551996912</v>
          </cell>
          <cell r="H209">
            <v>5.4723148606333849</v>
          </cell>
          <cell r="I209">
            <v>5.4329156738732411</v>
          </cell>
          <cell r="J209">
            <v>5.3913988776327342</v>
          </cell>
          <cell r="K209">
            <v>5.3490666614017774</v>
          </cell>
          <cell r="L209">
            <v>5.3072223981469779</v>
          </cell>
          <cell r="M209">
            <v>5.2668219946558237</v>
          </cell>
          <cell r="N209">
            <v>5.2285718494237221</v>
          </cell>
          <cell r="O209">
            <v>5.1929387827991382</v>
          </cell>
          <cell r="P209">
            <v>5.160138255387456</v>
          </cell>
          <cell r="Q209">
            <v>5.1302025896419314</v>
          </cell>
          <cell r="R209">
            <v>5.1030350754151419</v>
          </cell>
          <cell r="S209">
            <v>5.0784616579849482</v>
          </cell>
          <cell r="T209">
            <v>5.0562950248593079</v>
          </cell>
          <cell r="U209">
            <v>5.0363511330534294</v>
          </cell>
          <cell r="V209">
            <v>5.018448581125118</v>
          </cell>
          <cell r="W209">
            <v>5.0024080088241778</v>
          </cell>
          <cell r="X209">
            <v>4.9880516533550248</v>
          </cell>
          <cell r="Y209">
            <v>4.97520374117755</v>
          </cell>
          <cell r="Z209">
            <v>4.9636997161771292</v>
          </cell>
          <cell r="AA209">
            <v>4.9533950326108114</v>
          </cell>
          <cell r="AB209">
            <v>4.9441627545773237</v>
          </cell>
          <cell r="AC209">
            <v>4.935890641031075</v>
          </cell>
          <cell r="AD209">
            <v>4.9284786627268575</v>
          </cell>
          <cell r="AE209">
            <v>4.9218369671345616</v>
          </cell>
          <cell r="AF209">
            <v>4.9158842370335147</v>
          </cell>
          <cell r="AG209">
            <v>4.9105463818156174</v>
          </cell>
          <cell r="AH209">
            <v>4.9057561965359344</v>
          </cell>
          <cell r="AI209">
            <v>4.9014537961442457</v>
          </cell>
          <cell r="AJ209">
            <v>4.8975858652282547</v>
          </cell>
          <cell r="AK209">
            <v>4.8941047464925562</v>
          </cell>
          <cell r="AL209">
            <v>4.8909676763002583</v>
          </cell>
          <cell r="AM209">
            <v>4.8881362028271917</v>
          </cell>
          <cell r="AN209">
            <v>4.885575942545195</v>
          </cell>
          <cell r="AO209">
            <v>4.8832562342545378</v>
          </cell>
          <cell r="AP209">
            <v>4.8811496908376801</v>
          </cell>
          <cell r="AQ209">
            <v>4.8792318094875906</v>
          </cell>
          <cell r="AR209">
            <v>4.8774806363227992</v>
          </cell>
          <cell r="AS209">
            <v>4.8758764767367682</v>
          </cell>
          <cell r="AT209">
            <v>4.8744016450746548</v>
          </cell>
          <cell r="AU209">
            <v>4.8730402598186906</v>
          </cell>
          <cell r="AV209">
            <v>4.8717780715058421</v>
          </cell>
          <cell r="AW209">
            <v>4.8706022956717145</v>
          </cell>
          <cell r="AX209">
            <v>4.8695014633625995</v>
          </cell>
          <cell r="AY209">
            <v>4.8684652895844147</v>
          </cell>
          <cell r="AZ209">
            <v>4.867484557228221</v>
          </cell>
          <cell r="BA209">
            <v>4.8665510143889739</v>
          </cell>
          <cell r="BB209">
            <v>4.8656572832156009</v>
          </cell>
          <cell r="BC209">
            <v>4.8647967696383416</v>
          </cell>
          <cell r="BD209">
            <v>4.8639635609608334</v>
          </cell>
          <cell r="BE209">
            <v>4.8631523560013497</v>
          </cell>
          <cell r="BF209">
            <v>4.8623584734002359</v>
          </cell>
          <cell r="BG209">
            <v>4.8615778972631976</v>
          </cell>
          <cell r="BH209">
            <v>4.8608071234244532</v>
          </cell>
          <cell r="BI209">
            <v>4.8600430155961227</v>
          </cell>
        </row>
        <row r="210">
          <cell r="B210">
            <v>5.7157308055421376</v>
          </cell>
          <cell r="C210">
            <v>5.6652511692983243</v>
          </cell>
          <cell r="D210">
            <v>5.6165620755921095</v>
          </cell>
          <cell r="E210">
            <v>5.5739890200122844</v>
          </cell>
          <cell r="F210">
            <v>5.5362789482943437</v>
          </cell>
          <cell r="G210">
            <v>5.4989700896265417</v>
          </cell>
          <cell r="H210">
            <v>5.459840340064984</v>
          </cell>
          <cell r="I210">
            <v>5.4184362396203918</v>
          </cell>
          <cell r="J210">
            <v>5.3754232809358919</v>
          </cell>
          <cell r="K210">
            <v>5.3320354753006898</v>
          </cell>
          <cell r="L210">
            <v>5.289502407360227</v>
          </cell>
          <cell r="M210">
            <v>5.2487122716812031</v>
          </cell>
          <cell r="N210">
            <v>5.2103020987387927</v>
          </cell>
          <cell r="O210">
            <v>5.1746733030833205</v>
          </cell>
          <cell r="P210">
            <v>5.1419903380736969</v>
          </cell>
          <cell r="Q210">
            <v>5.11224653088804</v>
          </cell>
          <cell r="R210">
            <v>5.0853149112092435</v>
          </cell>
          <cell r="S210">
            <v>5.061001590016569</v>
          </cell>
          <cell r="T210">
            <v>5.039107377385327</v>
          </cell>
          <cell r="U210">
            <v>5.0194396244082613</v>
          </cell>
          <cell r="V210">
            <v>5.0018107272724723</v>
          </cell>
          <cell r="W210">
            <v>4.986036980647075</v>
          </cell>
          <cell r="X210">
            <v>4.9719377301873307</v>
          </cell>
          <cell r="Y210">
            <v>4.9593358044347839</v>
          </cell>
          <cell r="Z210">
            <v>4.9480673973567217</v>
          </cell>
          <cell r="AA210">
            <v>4.9379891984611888</v>
          </cell>
          <cell r="AB210">
            <v>4.9289754960798682</v>
          </cell>
          <cell r="AC210">
            <v>4.9209152044234727</v>
          </cell>
          <cell r="AD210">
            <v>4.9137093710494613</v>
          </cell>
          <cell r="AE210">
            <v>4.9072691546806988</v>
          </cell>
          <cell r="AF210">
            <v>4.9015141943723295</v>
          </cell>
          <cell r="AG210">
            <v>4.8963713255887171</v>
          </cell>
          <cell r="AH210">
            <v>4.8917743509612865</v>
          </cell>
          <cell r="AI210">
            <v>4.8876643465476013</v>
          </cell>
          <cell r="AJ210">
            <v>4.8839888341786626</v>
          </cell>
          <cell r="AK210">
            <v>4.8807008864092953</v>
          </cell>
          <cell r="AL210">
            <v>4.87775837689819</v>
          </cell>
          <cell r="AM210">
            <v>4.8751234270172299</v>
          </cell>
          <cell r="AN210">
            <v>4.8727621677746003</v>
          </cell>
          <cell r="AO210">
            <v>4.8706443682461105</v>
          </cell>
          <cell r="AP210">
            <v>4.8687429949419494</v>
          </cell>
          <cell r="AQ210">
            <v>4.8670338311597341</v>
          </cell>
          <cell r="AR210">
            <v>4.8654951494510872</v>
          </cell>
          <cell r="AS210">
            <v>4.8641074287518622</v>
          </cell>
          <cell r="AT210">
            <v>4.8628531102920292</v>
          </cell>
          <cell r="AU210">
            <v>4.861716399153976</v>
          </cell>
          <cell r="AV210">
            <v>4.8606830941998851</v>
          </cell>
          <cell r="AW210">
            <v>4.8597404240555333</v>
          </cell>
          <cell r="AX210">
            <v>4.8588769012161324</v>
          </cell>
          <cell r="AY210">
            <v>4.8580821936593832</v>
          </cell>
          <cell r="AZ210">
            <v>4.8573470115628812</v>
          </cell>
          <cell r="BA210">
            <v>4.8566630070925827</v>
          </cell>
          <cell r="BB210">
            <v>4.8560226851908208</v>
          </cell>
          <cell r="BC210">
            <v>4.8554193048847791</v>
          </cell>
          <cell r="BD210">
            <v>4.8548467584052366</v>
          </cell>
          <cell r="BE210">
            <v>4.8542995043839134</v>
          </cell>
          <cell r="BF210">
            <v>4.8537726101845085</v>
          </cell>
          <cell r="BG210">
            <v>4.853261814522881</v>
          </cell>
          <cell r="BH210">
            <v>4.852763358931881</v>
          </cell>
          <cell r="BI210">
            <v>4.8522738553097202</v>
          </cell>
        </row>
        <row r="211">
          <cell r="B211">
            <v>5.7121564194085801</v>
          </cell>
          <cell r="C211">
            <v>5.6629371282263055</v>
          </cell>
          <cell r="D211">
            <v>5.6174083888886281</v>
          </cell>
          <cell r="E211">
            <v>5.5782081497140155</v>
          </cell>
          <cell r="F211">
            <v>5.5432896051847464</v>
          </cell>
          <cell r="G211">
            <v>5.5080297007432488</v>
          </cell>
          <cell r="H211">
            <v>5.4702275626270467</v>
          </cell>
          <cell r="I211">
            <v>5.4295225441516042</v>
          </cell>
          <cell r="J211">
            <v>5.3867260970143693</v>
          </cell>
          <cell r="K211">
            <v>5.3432301024574871</v>
          </cell>
          <cell r="L211">
            <v>5.3003748785772915</v>
          </cell>
          <cell r="M211">
            <v>5.2591270771768874</v>
          </cell>
          <cell r="N211">
            <v>5.2201864368576798</v>
          </cell>
          <cell r="O211">
            <v>5.183997449239202</v>
          </cell>
          <cell r="P211">
            <v>5.1507505521797681</v>
          </cell>
          <cell r="Q211">
            <v>5.1204536613270468</v>
          </cell>
          <cell r="R211">
            <v>5.0929864919355765</v>
          </cell>
          <cell r="S211">
            <v>5.0681583600300621</v>
          </cell>
          <cell r="T211">
            <v>5.0457721489360976</v>
          </cell>
          <cell r="U211">
            <v>5.0256359393544292</v>
          </cell>
          <cell r="V211">
            <v>5.0075618166420552</v>
          </cell>
          <cell r="W211">
            <v>4.9913649606630788</v>
          </cell>
          <cell r="X211">
            <v>4.9768629730793812</v>
          </cell>
          <cell r="Y211">
            <v>4.9638766245968027</v>
          </cell>
          <cell r="Z211">
            <v>4.9522405145919022</v>
          </cell>
          <cell r="AA211">
            <v>4.9418100486949221</v>
          </cell>
          <cell r="AB211">
            <v>4.9324583961496637</v>
          </cell>
          <cell r="AC211">
            <v>4.9240734616430641</v>
          </cell>
          <cell r="AD211">
            <v>4.9165553674319105</v>
          </cell>
          <cell r="AE211">
            <v>4.9098144171022104</v>
          </cell>
          <cell r="AF211">
            <v>4.9037694534193248</v>
          </cell>
          <cell r="AG211">
            <v>4.8983465731333515</v>
          </cell>
          <cell r="AH211">
            <v>4.8934789453958238</v>
          </cell>
          <cell r="AI211">
            <v>4.8891070915456707</v>
          </cell>
          <cell r="AJ211">
            <v>4.8851780271102712</v>
          </cell>
          <cell r="AK211">
            <v>4.8816443599369643</v>
          </cell>
          <cell r="AL211">
            <v>4.8784635351554329</v>
          </cell>
          <cell r="AM211">
            <v>4.8755972862387367</v>
          </cell>
          <cell r="AN211">
            <v>4.8730114019246544</v>
          </cell>
          <cell r="AO211">
            <v>4.8706753437828567</v>
          </cell>
          <cell r="AP211">
            <v>4.868561800815784</v>
          </cell>
          <cell r="AQ211">
            <v>4.8666463052404687</v>
          </cell>
          <cell r="AR211">
            <v>4.8649069018821791</v>
          </cell>
          <cell r="AS211">
            <v>4.8633238626507618</v>
          </cell>
          <cell r="AT211">
            <v>4.8618794403853096</v>
          </cell>
          <cell r="AU211">
            <v>4.8605576699476156</v>
          </cell>
          <cell r="AV211">
            <v>4.8593441967300297</v>
          </cell>
          <cell r="AW211">
            <v>4.8582261107729714</v>
          </cell>
          <cell r="AX211">
            <v>4.8571917993518703</v>
          </cell>
          <cell r="AY211">
            <v>4.8562308172536639</v>
          </cell>
          <cell r="AZ211">
            <v>4.8553337723148866</v>
          </cell>
          <cell r="BA211">
            <v>4.854492224166898</v>
          </cell>
          <cell r="BB211">
            <v>4.8536985939310018</v>
          </cell>
          <cell r="BC211">
            <v>4.8529460595336742</v>
          </cell>
          <cell r="BD211">
            <v>4.8522284255905737</v>
          </cell>
          <cell r="BE211">
            <v>4.851540057273513</v>
          </cell>
          <cell r="BF211">
            <v>4.8508759366763501</v>
          </cell>
          <cell r="BG211">
            <v>4.8502317303120526</v>
          </cell>
          <cell r="BH211">
            <v>4.8496036081558538</v>
          </cell>
          <cell r="BI211">
            <v>4.8489881103879586</v>
          </cell>
        </row>
        <row r="212">
          <cell r="B212">
            <v>5.7192167564173353</v>
          </cell>
          <cell r="C212">
            <v>5.6688937817956013</v>
          </cell>
          <cell r="D212">
            <v>5.6249643721141043</v>
          </cell>
          <cell r="E212">
            <v>5.5895185728975001</v>
          </cell>
          <cell r="F212">
            <v>5.5593263259261807</v>
          </cell>
          <cell r="G212">
            <v>5.5288284079784615</v>
          </cell>
          <cell r="H212">
            <v>5.4953892685100207</v>
          </cell>
          <cell r="I212">
            <v>5.4584668677153338</v>
          </cell>
          <cell r="J212">
            <v>5.4188474113294598</v>
          </cell>
          <cell r="K212">
            <v>5.3779773680009226</v>
          </cell>
          <cell r="L212">
            <v>5.3372746676098481</v>
          </cell>
          <cell r="M212">
            <v>5.2977778532349555</v>
          </cell>
          <cell r="N212">
            <v>5.2602529089378312</v>
          </cell>
          <cell r="O212">
            <v>5.2252015466710899</v>
          </cell>
          <cell r="P212">
            <v>5.1928599974191538</v>
          </cell>
          <cell r="Q212">
            <v>5.163273606801611</v>
          </cell>
          <cell r="R212">
            <v>5.1363537275697002</v>
          </cell>
          <cell r="S212">
            <v>5.1119376592542087</v>
          </cell>
          <cell r="T212">
            <v>5.0898513735747342</v>
          </cell>
          <cell r="U212">
            <v>5.0699211371377588</v>
          </cell>
          <cell r="V212">
            <v>5.0519734702775319</v>
          </cell>
          <cell r="W212">
            <v>5.0358350893906625</v>
          </cell>
          <cell r="X212">
            <v>5.0213328643768227</v>
          </cell>
          <cell r="Y212">
            <v>5.0082952011898794</v>
          </cell>
          <cell r="Z212">
            <v>4.9965633708388744</v>
          </cell>
          <cell r="AA212">
            <v>4.9859982817607271</v>
          </cell>
          <cell r="AB212">
            <v>4.976477654100135</v>
          </cell>
          <cell r="AC212">
            <v>4.9678932884521148</v>
          </cell>
          <cell r="AD212">
            <v>4.9601486774208841</v>
          </cell>
          <cell r="AE212">
            <v>4.9531570569723744</v>
          </cell>
          <cell r="AF212">
            <v>4.9468398349242806</v>
          </cell>
          <cell r="AG212">
            <v>4.9411253720523503</v>
          </cell>
          <cell r="AH212">
            <v>4.9359489008946484</v>
          </cell>
          <cell r="AI212">
            <v>4.9312528171927346</v>
          </cell>
          <cell r="AJ212">
            <v>4.9269858303512626</v>
          </cell>
          <cell r="AK212">
            <v>4.9231020865865629</v>
          </cell>
          <cell r="AL212">
            <v>4.9195604351364173</v>
          </cell>
          <cell r="AM212">
            <v>4.9163239035426809</v>
          </cell>
          <cell r="AN212">
            <v>4.9133594770334454</v>
          </cell>
          <cell r="AO212">
            <v>4.9106377188109196</v>
          </cell>
          <cell r="AP212">
            <v>4.9081323356880047</v>
          </cell>
          <cell r="AQ212">
            <v>4.9058198038489333</v>
          </cell>
          <cell r="AR212">
            <v>4.9036790468293434</v>
          </cell>
          <cell r="AS212">
            <v>4.901691157408159</v>
          </cell>
          <cell r="AT212">
            <v>4.8998391575956273</v>
          </cell>
          <cell r="AU212">
            <v>4.8981078005751604</v>
          </cell>
          <cell r="AV212">
            <v>4.8964833984826726</v>
          </cell>
          <cell r="AW212">
            <v>4.8949536611481061</v>
          </cell>
          <cell r="AX212">
            <v>4.8935075534736008</v>
          </cell>
          <cell r="AY212">
            <v>4.8921351699262692</v>
          </cell>
          <cell r="AZ212">
            <v>4.8908276237965316</v>
          </cell>
          <cell r="BA212">
            <v>4.8895769492343373</v>
          </cell>
          <cell r="BB212">
            <v>4.888376013723108</v>
          </cell>
          <cell r="BC212">
            <v>4.8872184137123593</v>
          </cell>
          <cell r="BD212">
            <v>4.8860983461899785</v>
          </cell>
          <cell r="BE212">
            <v>4.8850105472456997</v>
          </cell>
          <cell r="BF212">
            <v>4.8839503599846035</v>
          </cell>
          <cell r="BG212">
            <v>4.8829138002989021</v>
          </cell>
          <cell r="BH212">
            <v>4.881897359032056</v>
          </cell>
          <cell r="BI212">
            <v>4.8808978675308587</v>
          </cell>
        </row>
        <row r="213">
          <cell r="B213">
            <v>5.7224341438906778</v>
          </cell>
          <cell r="C213">
            <v>5.6790421983538941</v>
          </cell>
          <cell r="D213">
            <v>5.6418308919690272</v>
          </cell>
          <cell r="E213">
            <v>5.6106086367211869</v>
          </cell>
          <cell r="F213">
            <v>5.5822873291670154</v>
          </cell>
          <cell r="G213">
            <v>5.5526456879902</v>
          </cell>
          <cell r="H213">
            <v>5.5199842780251327</v>
          </cell>
          <cell r="I213">
            <v>5.4842318843197821</v>
          </cell>
          <cell r="J213">
            <v>5.4462764085276723</v>
          </cell>
          <cell r="K213">
            <v>5.4074708643256297</v>
          </cell>
          <cell r="L213">
            <v>5.3690861073956508</v>
          </cell>
          <cell r="M213">
            <v>5.3320316294785757</v>
          </cell>
          <cell r="N213">
            <v>5.2969610567242285</v>
          </cell>
          <cell r="O213">
            <v>5.2642898364556938</v>
          </cell>
          <cell r="P213">
            <v>5.2342007344264081</v>
          </cell>
          <cell r="Q213">
            <v>5.206709623925474</v>
          </cell>
          <cell r="R213">
            <v>5.1817154108725871</v>
          </cell>
          <cell r="S213">
            <v>5.1590548546277724</v>
          </cell>
          <cell r="T213">
            <v>5.1385584316057642</v>
          </cell>
          <cell r="U213">
            <v>5.1200593018627645</v>
          </cell>
          <cell r="V213">
            <v>5.1033926875234075</v>
          </cell>
          <cell r="W213">
            <v>5.0883954041288435</v>
          </cell>
          <cell r="X213">
            <v>5.0749055144449065</v>
          </cell>
          <cell r="Y213">
            <v>5.0627635064176939</v>
          </cell>
          <cell r="Z213">
            <v>5.0518226087202907</v>
          </cell>
          <cell r="AA213">
            <v>5.0419543307967922</v>
          </cell>
          <cell r="AB213">
            <v>5.0330457624085936</v>
          </cell>
          <cell r="AC213">
            <v>5.0249970587474877</v>
          </cell>
          <cell r="AD213">
            <v>5.0177192232357584</v>
          </cell>
          <cell r="AE213">
            <v>5.0111322994971452</v>
          </cell>
          <cell r="AF213">
            <v>5.005163913259846</v>
          </cell>
          <cell r="AG213">
            <v>4.9997481488566891</v>
          </cell>
          <cell r="AH213">
            <v>4.9948254946711792</v>
          </cell>
          <cell r="AI213">
            <v>4.9903430533055602</v>
          </cell>
          <cell r="AJ213">
            <v>4.9862537373240308</v>
          </cell>
          <cell r="AK213">
            <v>4.9825154623289531</v>
          </cell>
          <cell r="AL213">
            <v>4.9790904719855078</v>
          </cell>
          <cell r="AM213">
            <v>4.9759448618597499</v>
          </cell>
          <cell r="AN213">
            <v>4.9730483750207037</v>
          </cell>
          <cell r="AO213">
            <v>4.9703740441490218</v>
          </cell>
          <cell r="AP213">
            <v>4.9678977917847327</v>
          </cell>
          <cell r="AQ213">
            <v>4.965598086296362</v>
          </cell>
          <cell r="AR213">
            <v>4.9634556458543608</v>
          </cell>
          <cell r="AS213">
            <v>4.9614531827718045</v>
          </cell>
          <cell r="AT213">
            <v>4.9595751825375416</v>
          </cell>
          <cell r="AU213">
            <v>4.9578077173835764</v>
          </cell>
          <cell r="AV213">
            <v>4.9561382835077472</v>
          </cell>
          <cell r="AW213">
            <v>4.9545556532635393</v>
          </cell>
          <cell r="AX213">
            <v>4.953049744940123</v>
          </cell>
          <cell r="AY213">
            <v>4.9516115081687877</v>
          </cell>
          <cell r="AZ213">
            <v>4.9502328228109596</v>
          </cell>
          <cell r="BA213">
            <v>4.948906409513012</v>
          </cell>
          <cell r="BB213">
            <v>4.9476257496579139</v>
          </cell>
          <cell r="BC213">
            <v>4.9463849886134703</v>
          </cell>
          <cell r="BD213">
            <v>4.9451788195260891</v>
          </cell>
          <cell r="BE213">
            <v>4.9440024300280818</v>
          </cell>
          <cell r="BF213">
            <v>4.9428515740325096</v>
          </cell>
          <cell r="BG213">
            <v>4.9417226291908634</v>
          </cell>
          <cell r="BH213">
            <v>4.9406124041308441</v>
          </cell>
          <cell r="BI213">
            <v>4.939518016236752</v>
          </cell>
        </row>
        <row r="214">
          <cell r="B214">
            <v>5.7314842961662498</v>
          </cell>
          <cell r="C214">
            <v>5.6927890826107248</v>
          </cell>
          <cell r="D214">
            <v>5.6592180921299171</v>
          </cell>
          <cell r="E214">
            <v>5.6316537477729316</v>
          </cell>
          <cell r="F214">
            <v>5.6066501171595542</v>
          </cell>
          <cell r="G214">
            <v>5.5793993984131749</v>
          </cell>
          <cell r="H214">
            <v>5.5479115241826458</v>
          </cell>
          <cell r="I214">
            <v>5.5120734010934136</v>
          </cell>
          <cell r="J214">
            <v>5.4729486547880946</v>
          </cell>
          <cell r="K214">
            <v>5.4321768319500396</v>
          </cell>
          <cell r="L214">
            <v>5.3913107459952894</v>
          </cell>
          <cell r="M214">
            <v>5.3514785005318313</v>
          </cell>
          <cell r="N214">
            <v>5.3135086281474528</v>
          </cell>
          <cell r="O214">
            <v>5.2779538153918626</v>
          </cell>
          <cell r="P214">
            <v>5.2450864829340693</v>
          </cell>
          <cell r="Q214">
            <v>5.2149755075070088</v>
          </cell>
          <cell r="R214">
            <v>5.1875471821870853</v>
          </cell>
          <cell r="S214">
            <v>5.1626505672378142</v>
          </cell>
          <cell r="T214">
            <v>5.140120176499579</v>
          </cell>
          <cell r="U214">
            <v>5.1197869058521883</v>
          </cell>
          <cell r="V214">
            <v>5.1014789062367125</v>
          </cell>
          <cell r="W214">
            <v>5.0850222075051974</v>
          </cell>
          <cell r="X214">
            <v>5.0702411801497442</v>
          </cell>
          <cell r="Y214">
            <v>5.0569607664294205</v>
          </cell>
          <cell r="Z214">
            <v>5.0450193181561414</v>
          </cell>
          <cell r="AA214">
            <v>5.0342749412518231</v>
          </cell>
          <cell r="AB214">
            <v>5.0246026231075573</v>
          </cell>
          <cell r="AC214">
            <v>5.0158915896887066</v>
          </cell>
          <cell r="AD214">
            <v>5.0080428957044978</v>
          </cell>
          <cell r="AE214">
            <v>5.0009674531556021</v>
          </cell>
          <cell r="AF214">
            <v>4.9945844414484277</v>
          </cell>
          <cell r="AG214">
            <v>4.9888200980939823</v>
          </cell>
          <cell r="AH214">
            <v>4.9836077733817463</v>
          </cell>
          <cell r="AI214">
            <v>4.9788881890169998</v>
          </cell>
          <cell r="AJ214">
            <v>4.9746085305377514</v>
          </cell>
          <cell r="AK214">
            <v>4.970721549564856</v>
          </cell>
          <cell r="AL214">
            <v>4.9671848132841214</v>
          </cell>
          <cell r="AM214">
            <v>4.9639601860731482</v>
          </cell>
          <cell r="AN214">
            <v>4.9610136099980906</v>
          </cell>
          <cell r="AO214">
            <v>4.9583146992185982</v>
          </cell>
          <cell r="AP214">
            <v>4.9558362934270308</v>
          </cell>
          <cell r="AQ214">
            <v>4.9535540738564539</v>
          </cell>
          <cell r="AR214">
            <v>4.9514462328689364</v>
          </cell>
          <cell r="AS214">
            <v>4.9494931885999875</v>
          </cell>
          <cell r="AT214">
            <v>4.9476773398070897</v>
          </cell>
          <cell r="AU214">
            <v>4.9459828710666507</v>
          </cell>
          <cell r="AV214">
            <v>4.9443955810254527</v>
          </cell>
          <cell r="AW214">
            <v>4.9429027156959515</v>
          </cell>
          <cell r="AX214">
            <v>4.9414928207659043</v>
          </cell>
          <cell r="AY214">
            <v>4.9401556116308347</v>
          </cell>
          <cell r="AZ214">
            <v>4.9388818587168064</v>
          </cell>
          <cell r="BA214">
            <v>4.9376632860351775</v>
          </cell>
          <cell r="BB214">
            <v>4.9364924803610268</v>
          </cell>
          <cell r="BC214">
            <v>4.9353627842401764</v>
          </cell>
          <cell r="BD214">
            <v>4.9342681738185341</v>
          </cell>
          <cell r="BE214">
            <v>4.9332032010963207</v>
          </cell>
          <cell r="BF214">
            <v>4.9321630690501754</v>
          </cell>
          <cell r="BG214">
            <v>4.9311436784394074</v>
          </cell>
          <cell r="BH214">
            <v>4.9301414131957602</v>
          </cell>
          <cell r="BI214">
            <v>4.9291530123601559</v>
          </cell>
        </row>
        <row r="215">
          <cell r="B215">
            <v>5.7212703697241327</v>
          </cell>
          <cell r="C215">
            <v>5.6749186768949187</v>
          </cell>
          <cell r="D215">
            <v>5.6349046817392212</v>
          </cell>
          <cell r="E215">
            <v>5.6033749074764563</v>
          </cell>
          <cell r="F215">
            <v>5.5753641887970664</v>
          </cell>
          <cell r="G215">
            <v>5.5448884585659233</v>
          </cell>
          <cell r="H215">
            <v>5.5098543204878947</v>
          </cell>
          <cell r="I215">
            <v>5.4703048082627452</v>
          </cell>
          <cell r="J215">
            <v>5.4274459657136243</v>
          </cell>
          <cell r="K215">
            <v>5.3830503232093321</v>
          </cell>
          <cell r="L215">
            <v>5.3388046331962258</v>
          </cell>
          <cell r="M215">
            <v>5.295920367277632</v>
          </cell>
          <cell r="N215">
            <v>5.2552652697860793</v>
          </cell>
          <cell r="O215">
            <v>5.2173969065003138</v>
          </cell>
          <cell r="P215">
            <v>5.1825699522308959</v>
          </cell>
          <cell r="Q215">
            <v>5.1508209606612265</v>
          </cell>
          <cell r="R215">
            <v>5.1220346394317406</v>
          </cell>
          <cell r="S215">
            <v>5.096021422875487</v>
          </cell>
          <cell r="T215">
            <v>5.0725839203644272</v>
          </cell>
          <cell r="U215">
            <v>5.0515250993231566</v>
          </cell>
          <cell r="V215">
            <v>5.0326482018555181</v>
          </cell>
          <cell r="W215">
            <v>5.0157566823175097</v>
          </cell>
          <cell r="X215">
            <v>5.0006541660993831</v>
          </cell>
          <cell r="Y215">
            <v>4.987147238373411</v>
          </cell>
          <cell r="Z215">
            <v>4.9750598164805506</v>
          </cell>
          <cell r="AA215">
            <v>4.9642381231064512</v>
          </cell>
          <cell r="AB215">
            <v>4.9545471218550095</v>
          </cell>
          <cell r="AC215">
            <v>4.945867416220028</v>
          </cell>
          <cell r="AD215">
            <v>4.9380925756545411</v>
          </cell>
          <cell r="AE215">
            <v>4.9311269745776096</v>
          </cell>
          <cell r="AF215">
            <v>4.9248840496378756</v>
          </cell>
          <cell r="AG215">
            <v>4.9192850137920221</v>
          </cell>
          <cell r="AH215">
            <v>4.914259000994921</v>
          </cell>
          <cell r="AI215">
            <v>4.9097431402459231</v>
          </cell>
          <cell r="AJ215">
            <v>4.9056815177293016</v>
          </cell>
          <cell r="AK215">
            <v>4.9020242105385563</v>
          </cell>
          <cell r="AL215">
            <v>4.8987264802612271</v>
          </cell>
          <cell r="AM215">
            <v>4.8957482258360523</v>
          </cell>
          <cell r="AN215">
            <v>4.8930536998006078</v>
          </cell>
          <cell r="AO215">
            <v>4.8906110415550259</v>
          </cell>
          <cell r="AP215">
            <v>4.8883918038425112</v>
          </cell>
          <cell r="AQ215">
            <v>4.8863705463989691</v>
          </cell>
          <cell r="AR215">
            <v>4.8845244863027011</v>
          </cell>
          <cell r="AS215">
            <v>4.8828331960042917</v>
          </cell>
          <cell r="AT215">
            <v>4.8812783442019612</v>
          </cell>
          <cell r="AU215">
            <v>4.8798434866953917</v>
          </cell>
          <cell r="AV215">
            <v>4.8785138790824112</v>
          </cell>
          <cell r="AW215">
            <v>4.877276300473719</v>
          </cell>
          <cell r="AX215">
            <v>4.8761188980323746</v>
          </cell>
          <cell r="AY215">
            <v>4.8750310501685714</v>
          </cell>
          <cell r="AZ215">
            <v>4.8740032458291269</v>
          </cell>
          <cell r="BA215">
            <v>4.8730269777151172</v>
          </cell>
          <cell r="BB215">
            <v>4.8720946461055146</v>
          </cell>
          <cell r="BC215">
            <v>4.8711994426569643</v>
          </cell>
          <cell r="BD215">
            <v>4.870335227435624</v>
          </cell>
          <cell r="BE215">
            <v>4.8694964767046303</v>
          </cell>
          <cell r="BF215">
            <v>4.8686783768674555</v>
          </cell>
          <cell r="BG215">
            <v>4.8678768444952469</v>
          </cell>
          <cell r="BH215">
            <v>4.867088283464871</v>
          </cell>
          <cell r="BI215">
            <v>4.8663094647965179</v>
          </cell>
        </row>
        <row r="216">
          <cell r="B216">
            <v>5.7091428022613453</v>
          </cell>
          <cell r="C216">
            <v>5.6569041371221775</v>
          </cell>
          <cell r="D216">
            <v>5.6101632997666631</v>
          </cell>
          <cell r="E216">
            <v>5.5712767788477375</v>
          </cell>
          <cell r="F216">
            <v>5.5364110069314778</v>
          </cell>
          <cell r="G216">
            <v>5.5003742047573834</v>
          </cell>
          <cell r="H216">
            <v>5.4613531345308948</v>
          </cell>
          <cell r="I216">
            <v>5.4193644547494912</v>
          </cell>
          <cell r="J216">
            <v>5.3754330988737165</v>
          </cell>
          <cell r="K216">
            <v>5.3310675104240515</v>
          </cell>
          <cell r="L216">
            <v>5.2876572163150746</v>
          </cell>
          <cell r="M216">
            <v>5.2461652663995286</v>
          </cell>
          <cell r="N216">
            <v>5.2072549295637511</v>
          </cell>
          <cell r="O216">
            <v>5.171322022435036</v>
          </cell>
          <cell r="P216">
            <v>5.1385091194751196</v>
          </cell>
          <cell r="Q216">
            <v>5.1087776693595908</v>
          </cell>
          <cell r="R216">
            <v>5.0819636511708586</v>
          </cell>
          <cell r="S216">
            <v>5.0578481690115522</v>
          </cell>
          <cell r="T216">
            <v>5.0362159697592004</v>
          </cell>
          <cell r="U216">
            <v>5.0168598836555338</v>
          </cell>
          <cell r="V216">
            <v>4.9995789003858002</v>
          </cell>
          <cell r="W216">
            <v>4.9841767692052246</v>
          </cell>
          <cell r="X216">
            <v>4.9704609714790147</v>
          </cell>
          <cell r="Y216">
            <v>4.9582447494240096</v>
          </cell>
          <cell r="Z216">
            <v>4.9473596260595292</v>
          </cell>
          <cell r="AA216">
            <v>4.9376589477944384</v>
          </cell>
          <cell r="AB216">
            <v>4.9290142769160754</v>
          </cell>
          <cell r="AC216">
            <v>4.9213123186033076</v>
          </cell>
          <cell r="AD216">
            <v>4.9144523251305179</v>
          </cell>
          <cell r="AE216">
            <v>4.9083440046850235</v>
          </cell>
          <cell r="AF216">
            <v>4.9029058349301584</v>
          </cell>
          <cell r="AG216">
            <v>4.898063823281376</v>
          </cell>
          <cell r="AH216">
            <v>4.8937515748882872</v>
          </cell>
          <cell r="AI216">
            <v>4.8899102292545926</v>
          </cell>
          <cell r="AJ216">
            <v>4.8864874643880665</v>
          </cell>
          <cell r="AK216">
            <v>4.883436588674984</v>
          </cell>
          <cell r="AL216">
            <v>4.8807157835156687</v>
          </cell>
          <cell r="AM216">
            <v>4.8782875912203938</v>
          </cell>
          <cell r="AN216">
            <v>4.876118632090277</v>
          </cell>
          <cell r="AO216">
            <v>4.8741791582686442</v>
          </cell>
          <cell r="AP216">
            <v>4.8724426111423647</v>
          </cell>
          <cell r="AQ216">
            <v>4.870885241669991</v>
          </cell>
          <cell r="AR216">
            <v>4.8694857836873853</v>
          </cell>
          <cell r="AS216">
            <v>4.8682251717636351</v>
          </cell>
          <cell r="AT216">
            <v>4.8670862988340771</v>
          </cell>
          <cell r="AU216">
            <v>4.8660538176573054</v>
          </cell>
          <cell r="AV216">
            <v>4.865113963191785</v>
          </cell>
          <cell r="AW216">
            <v>4.8642543882809059</v>
          </cell>
          <cell r="AX216">
            <v>4.8634640189708414</v>
          </cell>
          <cell r="AY216">
            <v>4.8627329271902715</v>
          </cell>
          <cell r="AZ216">
            <v>4.8620522184089605</v>
          </cell>
          <cell r="BA216">
            <v>4.8614139322588077</v>
          </cell>
          <cell r="BB216">
            <v>4.8608109529687455</v>
          </cell>
          <cell r="BC216">
            <v>4.8602369033549992</v>
          </cell>
          <cell r="BD216">
            <v>4.859686036638128</v>
          </cell>
          <cell r="BE216">
            <v>4.8591531898644966</v>
          </cell>
          <cell r="BF216">
            <v>4.8586338680272254</v>
          </cell>
          <cell r="BG216">
            <v>4.8581242504145248</v>
          </cell>
          <cell r="BH216">
            <v>4.8576209718983669</v>
          </cell>
          <cell r="BI216">
            <v>4.8571210194634533</v>
          </cell>
        </row>
        <row r="217">
          <cell r="B217">
            <v>5.7006901568446997</v>
          </cell>
          <cell r="C217">
            <v>5.6458448227674642</v>
          </cell>
          <cell r="D217">
            <v>5.5973702788761077</v>
          </cell>
          <cell r="E217">
            <v>5.5580591518860514</v>
          </cell>
          <cell r="F217">
            <v>5.5235323084700996</v>
          </cell>
          <cell r="G217">
            <v>5.4879900905484229</v>
          </cell>
          <cell r="H217">
            <v>5.4493607460586784</v>
          </cell>
          <cell r="I217">
            <v>5.4075728307255142</v>
          </cell>
          <cell r="J217">
            <v>5.3636586934670829</v>
          </cell>
          <cell r="K217">
            <v>5.3191800274651815</v>
          </cell>
          <cell r="L217">
            <v>5.2755847279624977</v>
          </cell>
          <cell r="M217">
            <v>5.2338786442535445</v>
          </cell>
          <cell r="N217">
            <v>5.1947564854699344</v>
          </cell>
          <cell r="O217">
            <v>5.1586361393102163</v>
          </cell>
          <cell r="P217">
            <v>5.1256739326959462</v>
          </cell>
          <cell r="Q217">
            <v>5.0958391535282885</v>
          </cell>
          <cell r="R217">
            <v>5.068971830829291</v>
          </cell>
          <cell r="S217">
            <v>5.0448560705591072</v>
          </cell>
          <cell r="T217">
            <v>5.0232777289091022</v>
          </cell>
          <cell r="U217">
            <v>5.0040287371722245</v>
          </cell>
          <cell r="V217">
            <v>4.9869056554836932</v>
          </cell>
          <cell r="W217">
            <v>4.9717086208113948</v>
          </cell>
          <cell r="X217">
            <v>4.9582405808975594</v>
          </cell>
          <cell r="Y217">
            <v>4.9463098885506103</v>
          </cell>
          <cell r="Z217">
            <v>4.9357434846853634</v>
          </cell>
          <cell r="AA217">
            <v>4.9263901992270585</v>
          </cell>
          <cell r="AB217">
            <v>4.918117344033627</v>
          </cell>
          <cell r="AC217">
            <v>4.9108077949954003</v>
          </cell>
          <cell r="AD217">
            <v>4.9043573376098282</v>
          </cell>
          <cell r="AE217">
            <v>4.8986725153802864</v>
          </cell>
          <cell r="AF217">
            <v>4.8936688946591742</v>
          </cell>
          <cell r="AG217">
            <v>4.8892698119090108</v>
          </cell>
          <cell r="AH217">
            <v>4.8854065234125024</v>
          </cell>
          <cell r="AI217">
            <v>4.8820181176855844</v>
          </cell>
          <cell r="AJ217">
            <v>4.8790504710359475</v>
          </cell>
          <cell r="AK217">
            <v>4.8764553048141677</v>
          </cell>
          <cell r="AL217">
            <v>4.8741894001079107</v>
          </cell>
          <cell r="AM217">
            <v>4.8722140789490149</v>
          </cell>
          <cell r="AN217">
            <v>4.8704949145590763</v>
          </cell>
          <cell r="AO217">
            <v>4.8690012620996548</v>
          </cell>
          <cell r="AP217">
            <v>4.8677057976859164</v>
          </cell>
          <cell r="AQ217">
            <v>4.8665841230350022</v>
          </cell>
          <cell r="AR217">
            <v>4.865614425279766</v>
          </cell>
          <cell r="AS217">
            <v>4.8647771831730147</v>
          </cell>
          <cell r="AT217">
            <v>4.8640549141557399</v>
          </cell>
          <cell r="AU217">
            <v>4.8634319630629523</v>
          </cell>
          <cell r="AV217">
            <v>4.8628943141446266</v>
          </cell>
          <cell r="AW217">
            <v>4.862429420591444</v>
          </cell>
          <cell r="AX217">
            <v>4.862026054642878</v>
          </cell>
          <cell r="AY217">
            <v>4.8616741756823227</v>
          </cell>
          <cell r="AZ217">
            <v>4.8613648138504253</v>
          </cell>
          <cell r="BA217">
            <v>4.8610899670876675</v>
          </cell>
          <cell r="BB217">
            <v>4.8608425080712943</v>
          </cell>
          <cell r="BC217">
            <v>4.8606160726914371</v>
          </cell>
          <cell r="BD217">
            <v>4.8604049487415981</v>
          </cell>
          <cell r="BE217">
            <v>4.8602040291762005</v>
          </cell>
          <cell r="BF217">
            <v>4.8600088931008107</v>
          </cell>
          <cell r="BG217">
            <v>4.8598157983132673</v>
          </cell>
          <cell r="BH217">
            <v>4.8596214613851361</v>
          </cell>
          <cell r="BI217">
            <v>4.8594229587758671</v>
          </cell>
        </row>
        <row r="218">
          <cell r="B218">
            <v>5.6900738493413217</v>
          </cell>
          <cell r="C218">
            <v>5.6263637339790629</v>
          </cell>
          <cell r="D218">
            <v>5.5706066900165148</v>
          </cell>
          <cell r="E218">
            <v>5.5271299670175713</v>
          </cell>
          <cell r="F218">
            <v>5.490926422550177</v>
          </cell>
          <cell r="G218">
            <v>5.4549247285582352</v>
          </cell>
          <cell r="H218">
            <v>5.4162142773628945</v>
          </cell>
          <cell r="I218">
            <v>5.3742472976363178</v>
          </cell>
          <cell r="J218">
            <v>5.32989690465946</v>
          </cell>
          <cell r="K218">
            <v>5.2847331291665967</v>
          </cell>
          <cell r="L218">
            <v>5.2402714662753436</v>
          </cell>
          <cell r="M218">
            <v>5.1975899399255763</v>
          </cell>
          <cell r="N218">
            <v>5.1574545479447167</v>
          </cell>
          <cell r="O218">
            <v>5.1203412587181933</v>
          </cell>
          <cell r="P218">
            <v>5.086443001422662</v>
          </cell>
          <cell r="Q218">
            <v>5.0557497123478692</v>
          </cell>
          <cell r="R218">
            <v>5.0281113255023842</v>
          </cell>
          <cell r="S218">
            <v>5.0033168407020181</v>
          </cell>
          <cell r="T218">
            <v>4.9811532701626362</v>
          </cell>
          <cell r="U218">
            <v>4.9614104732319184</v>
          </cell>
          <cell r="V218">
            <v>4.9438804785312334</v>
          </cell>
          <cell r="W218">
            <v>4.9283569909388936</v>
          </cell>
          <cell r="X218">
            <v>4.9146350454126333</v>
          </cell>
          <cell r="Y218">
            <v>4.9025144552814153</v>
          </cell>
          <cell r="Z218">
            <v>4.8918142615388467</v>
          </cell>
          <cell r="AA218">
            <v>4.8823759715548603</v>
          </cell>
          <cell r="AB218">
            <v>4.8740602797317854</v>
          </cell>
          <cell r="AC218">
            <v>4.8667442070819762</v>
          </cell>
          <cell r="AD218">
            <v>4.8603183251676123</v>
          </cell>
          <cell r="AE218">
            <v>4.8546844976757235</v>
          </cell>
          <cell r="AF218">
            <v>4.8497540591297472</v>
          </cell>
          <cell r="AG218">
            <v>4.845446524900141</v>
          </cell>
          <cell r="AH218">
            <v>4.8416898164169497</v>
          </cell>
          <cell r="AI218">
            <v>4.8384201318223665</v>
          </cell>
          <cell r="AJ218">
            <v>4.8355808326441085</v>
          </cell>
          <cell r="AK218">
            <v>4.8331214488807541</v>
          </cell>
          <cell r="AL218">
            <v>4.8309968511259864</v>
          </cell>
          <cell r="AM218">
            <v>4.8291667090512087</v>
          </cell>
          <cell r="AN218">
            <v>4.8275951745396473</v>
          </cell>
          <cell r="AO218">
            <v>4.8262503798711327</v>
          </cell>
          <cell r="AP218">
            <v>4.8251039524610553</v>
          </cell>
          <cell r="AQ218">
            <v>4.8241305987728031</v>
          </cell>
          <cell r="AR218">
            <v>4.8233077462889211</v>
          </cell>
          <cell r="AS218">
            <v>4.8226152343064221</v>
          </cell>
          <cell r="AT218">
            <v>4.8220350473791118</v>
          </cell>
          <cell r="AU218">
            <v>4.8215510900870129</v>
          </cell>
          <cell r="AV218">
            <v>4.8211489873937019</v>
          </cell>
          <cell r="AW218">
            <v>4.820815905630484</v>
          </cell>
          <cell r="AX218">
            <v>4.8205403952139774</v>
          </cell>
          <cell r="AY218">
            <v>4.820312252237577</v>
          </cell>
          <cell r="AZ218">
            <v>4.8201223963462825</v>
          </cell>
          <cell r="BA218">
            <v>4.8199627627028878</v>
          </cell>
          <cell r="BB218">
            <v>4.8198262040424753</v>
          </cell>
          <cell r="BC218">
            <v>4.8197063723383362</v>
          </cell>
          <cell r="BD218">
            <v>4.8195976034962396</v>
          </cell>
          <cell r="BE218">
            <v>4.819494870445193</v>
          </cell>
          <cell r="BF218">
            <v>4.8193938660194613</v>
          </cell>
          <cell r="BG218">
            <v>4.819290980793336</v>
          </cell>
          <cell r="BH218">
            <v>4.8191830681280061</v>
          </cell>
          <cell r="BI218">
            <v>4.8190673451408168</v>
          </cell>
        </row>
        <row r="219">
          <cell r="B219">
            <v>5.6819691446175558</v>
          </cell>
          <cell r="C219">
            <v>5.6119974849623118</v>
          </cell>
          <cell r="D219">
            <v>5.549853809476903</v>
          </cell>
          <cell r="E219">
            <v>5.5031627306254274</v>
          </cell>
          <cell r="F219">
            <v>5.4655701585496557</v>
          </cell>
          <cell r="G219">
            <v>5.4282730884436328</v>
          </cell>
          <cell r="H219">
            <v>5.3875542036077659</v>
          </cell>
          <cell r="I219">
            <v>5.3425970240236618</v>
          </cell>
          <cell r="J219">
            <v>5.294376112439477</v>
          </cell>
          <cell r="K219">
            <v>5.2447498358344786</v>
          </cell>
          <cell r="L219">
            <v>5.1955378444604765</v>
          </cell>
          <cell r="M219">
            <v>5.1480511728303204</v>
          </cell>
          <cell r="N219">
            <v>5.1032387233324341</v>
          </cell>
          <cell r="O219">
            <v>5.061715353214586</v>
          </cell>
          <cell r="P219">
            <v>5.0237560433764843</v>
          </cell>
          <cell r="Q219">
            <v>4.9893889030896981</v>
          </cell>
          <cell r="R219">
            <v>4.9584720253845758</v>
          </cell>
          <cell r="S219">
            <v>4.9307877676223288</v>
          </cell>
          <cell r="T219">
            <v>4.9061094489206161</v>
          </cell>
          <cell r="U219">
            <v>4.8842079136295409</v>
          </cell>
          <cell r="V219">
            <v>4.8648521205629107</v>
          </cell>
          <cell r="W219">
            <v>4.8478095715291989</v>
          </cell>
          <cell r="X219">
            <v>4.8328466590722465</v>
          </cell>
          <cell r="Y219">
            <v>4.8197337389818555</v>
          </cell>
          <cell r="Z219">
            <v>4.8082628140543502</v>
          </cell>
          <cell r="AA219">
            <v>4.798251141582174</v>
          </cell>
          <cell r="AB219">
            <v>4.7895377684142142</v>
          </cell>
          <cell r="AC219">
            <v>4.7819804198056799</v>
          </cell>
          <cell r="AD219">
            <v>4.7754523273651071</v>
          </cell>
          <cell r="AE219">
            <v>4.7698396446621238</v>
          </cell>
          <cell r="AF219">
            <v>4.7650393631127894</v>
          </cell>
          <cell r="AG219">
            <v>4.7609578755908339</v>
          </cell>
          <cell r="AH219">
            <v>4.7575113660097221</v>
          </cell>
          <cell r="AI219">
            <v>4.7546256456204894</v>
          </cell>
          <cell r="AJ219">
            <v>4.7522348493377002</v>
          </cell>
          <cell r="AK219">
            <v>4.750280279675076</v>
          </cell>
          <cell r="AL219">
            <v>4.7487094458347192</v>
          </cell>
          <cell r="AM219">
            <v>4.7474754389465854</v>
          </cell>
          <cell r="AN219">
            <v>4.7465365470693364</v>
          </cell>
          <cell r="AO219">
            <v>4.7458556652114225</v>
          </cell>
          <cell r="AP219">
            <v>4.7453997336155433</v>
          </cell>
          <cell r="AQ219">
            <v>4.7451392561831449</v>
          </cell>
          <cell r="AR219">
            <v>4.7450478860954872</v>
          </cell>
          <cell r="AS219">
            <v>4.7451020679488307</v>
          </cell>
          <cell r="AT219">
            <v>4.7452807312564911</v>
          </cell>
          <cell r="AU219">
            <v>4.7455650391709057</v>
          </cell>
          <cell r="AV219">
            <v>4.7459381610344211</v>
          </cell>
          <cell r="AW219">
            <v>4.7463850637739728</v>
          </cell>
          <cell r="AX219">
            <v>4.7468923284740896</v>
          </cell>
          <cell r="AY219">
            <v>4.7474479889611283</v>
          </cell>
          <cell r="AZ219">
            <v>4.7480413893776117</v>
          </cell>
          <cell r="BA219">
            <v>4.7486630581902816</v>
          </cell>
          <cell r="BB219">
            <v>4.7493045942513659</v>
          </cell>
          <cell r="BC219">
            <v>4.749958536638931</v>
          </cell>
          <cell r="BD219">
            <v>4.7506182422633128</v>
          </cell>
          <cell r="BE219">
            <v>4.7512778291421442</v>
          </cell>
          <cell r="BF219">
            <v>4.7519322431156024</v>
          </cell>
          <cell r="BG219">
            <v>4.752577210617499</v>
          </cell>
          <cell r="BH219">
            <v>4.7532089930803876</v>
          </cell>
          <cell r="BI219">
            <v>4.7538242855149706</v>
          </cell>
        </row>
        <row r="220">
          <cell r="B220">
            <v>5.7142674675259144</v>
          </cell>
          <cell r="C220">
            <v>5.627232055814761</v>
          </cell>
          <cell r="D220">
            <v>5.5506041527985488</v>
          </cell>
          <cell r="E220">
            <v>5.4943679450856955</v>
          </cell>
          <cell r="F220">
            <v>5.4500628139927434</v>
          </cell>
          <cell r="G220">
            <v>5.4071625299483941</v>
          </cell>
          <cell r="H220">
            <v>5.361205694057908</v>
          </cell>
          <cell r="I220">
            <v>5.3110509435551165</v>
          </cell>
          <cell r="J220">
            <v>5.2576220140788505</v>
          </cell>
          <cell r="K220">
            <v>5.202878076741893</v>
          </cell>
          <cell r="L220">
            <v>5.1488059592366717</v>
          </cell>
          <cell r="M220">
            <v>5.0968300339832444</v>
          </cell>
          <cell r="N220">
            <v>5.0479598066980662</v>
          </cell>
          <cell r="O220">
            <v>5.0028289488436926</v>
          </cell>
          <cell r="P220">
            <v>4.9617030077074133</v>
          </cell>
          <cell r="Q220">
            <v>4.9245823545580407</v>
          </cell>
          <cell r="R220">
            <v>4.8912871832137839</v>
          </cell>
          <cell r="S220">
            <v>4.8615660185762311</v>
          </cell>
          <cell r="T220">
            <v>4.8351614039024344</v>
          </cell>
          <cell r="U220">
            <v>4.8118146109674882</v>
          </cell>
          <cell r="V220">
            <v>4.7912659427983177</v>
          </cell>
          <cell r="W220">
            <v>4.7732549538437201</v>
          </cell>
          <cell r="X220">
            <v>4.7575206978391327</v>
          </cell>
          <cell r="Y220">
            <v>4.7438086540293574</v>
          </cell>
          <cell r="Z220">
            <v>4.7318900350830013</v>
          </cell>
          <cell r="AA220">
            <v>4.7215638618334399</v>
          </cell>
          <cell r="AB220">
            <v>4.7126532430187664</v>
          </cell>
          <cell r="AC220">
            <v>4.7050018823294728</v>
          </cell>
          <cell r="AD220">
            <v>4.6984705637071675</v>
          </cell>
          <cell r="AE220">
            <v>4.6929343046360605</v>
          </cell>
          <cell r="AF220">
            <v>4.6882800610284656</v>
          </cell>
          <cell r="AG220">
            <v>4.6844052535089329</v>
          </cell>
          <cell r="AH220">
            <v>4.6812183151343874</v>
          </cell>
          <cell r="AI220">
            <v>4.6786382820678716</v>
          </cell>
          <cell r="AJ220">
            <v>4.6765933272756959</v>
          </cell>
          <cell r="AK220">
            <v>4.675019491526994</v>
          </cell>
          <cell r="AL220">
            <v>4.673859632733274</v>
          </cell>
          <cell r="AM220">
            <v>4.673062751528005</v>
          </cell>
          <cell r="AN220">
            <v>4.6725835132450859</v>
          </cell>
          <cell r="AO220">
            <v>4.6723815830564135</v>
          </cell>
          <cell r="AP220">
            <v>4.6724210162518585</v>
          </cell>
          <cell r="AQ220">
            <v>4.672669735606175</v>
          </cell>
          <cell r="AR220">
            <v>4.6730990816714613</v>
          </cell>
          <cell r="AS220">
            <v>4.6736834244217382</v>
          </cell>
          <cell r="AT220">
            <v>4.6743998317466655</v>
          </cell>
          <cell r="AU220">
            <v>4.6752277967548155</v>
          </cell>
          <cell r="AV220">
            <v>4.6761489887136802</v>
          </cell>
          <cell r="AW220">
            <v>4.6771470265868134</v>
          </cell>
          <cell r="AX220">
            <v>4.6782072800852532</v>
          </cell>
          <cell r="AY220">
            <v>4.6793166945927691</v>
          </cell>
          <cell r="AZ220">
            <v>4.6804636366881516</v>
          </cell>
          <cell r="BA220">
            <v>4.6816377574918331</v>
          </cell>
          <cell r="BB220">
            <v>4.6828298685285112</v>
          </cell>
          <cell r="BC220">
            <v>4.6840318033895647</v>
          </cell>
          <cell r="BD220">
            <v>4.6852362952584494</v>
          </cell>
          <cell r="BE220">
            <v>4.6864369172050679</v>
          </cell>
          <cell r="BF220">
            <v>4.687628124394462</v>
          </cell>
          <cell r="BG220">
            <v>4.688805169560653</v>
          </cell>
          <cell r="BH220">
            <v>4.6899638759905793</v>
          </cell>
          <cell r="BI220">
            <v>4.6911005503876151</v>
          </cell>
        </row>
        <row r="221">
          <cell r="B221">
            <v>5.7171102062888357</v>
          </cell>
          <cell r="C221">
            <v>5.6324773789624043</v>
          </cell>
          <cell r="D221">
            <v>5.5564653709738305</v>
          </cell>
          <cell r="E221">
            <v>5.5000620632836545</v>
          </cell>
          <cell r="F221">
            <v>5.4549529557345249</v>
          </cell>
          <cell r="G221">
            <v>5.4109724519015341</v>
          </cell>
          <cell r="H221">
            <v>5.363802597916683</v>
          </cell>
          <cell r="I221">
            <v>5.3123733020030501</v>
          </cell>
          <cell r="J221">
            <v>5.2577068747646667</v>
          </cell>
          <cell r="K221">
            <v>5.2018634207666388</v>
          </cell>
          <cell r="L221">
            <v>5.1468647135539971</v>
          </cell>
          <cell r="M221">
            <v>5.0941461077859991</v>
          </cell>
          <cell r="N221">
            <v>5.0447231638084329</v>
          </cell>
          <cell r="O221">
            <v>4.9992240648069073</v>
          </cell>
          <cell r="P221">
            <v>4.9579009112274273</v>
          </cell>
          <cell r="Q221">
            <v>4.9207362069042944</v>
          </cell>
          <cell r="R221">
            <v>4.8875303802824153</v>
          </cell>
          <cell r="S221">
            <v>4.8580150272666458</v>
          </cell>
          <cell r="T221">
            <v>4.8319177394198851</v>
          </cell>
          <cell r="U221">
            <v>4.8089659996225311</v>
          </cell>
          <cell r="V221">
            <v>4.7888872079492586</v>
          </cell>
          <cell r="W221">
            <v>4.7714087004885073</v>
          </cell>
          <cell r="X221">
            <v>4.7562578772448294</v>
          </cell>
          <cell r="Y221">
            <v>4.7431697619176232</v>
          </cell>
          <cell r="Z221">
            <v>4.7319066575987616</v>
          </cell>
          <cell r="AA221">
            <v>4.7222596746614727</v>
          </cell>
          <cell r="AB221">
            <v>4.7140450781867758</v>
          </cell>
          <cell r="AC221">
            <v>4.7071007020291464</v>
          </cell>
          <cell r="AD221">
            <v>4.7012822660964053</v>
          </cell>
          <cell r="AE221">
            <v>4.6964603953408259</v>
          </cell>
          <cell r="AF221">
            <v>4.6925182167779491</v>
          </cell>
          <cell r="AG221">
            <v>4.6893498552551751</v>
          </cell>
          <cell r="AH221">
            <v>4.6868610174303056</v>
          </cell>
          <cell r="AI221">
            <v>4.6849684762837374</v>
          </cell>
          <cell r="AJ221">
            <v>4.6835985322783644</v>
          </cell>
          <cell r="AK221">
            <v>4.6826856900981184</v>
          </cell>
          <cell r="AL221">
            <v>4.6821715639833617</v>
          </cell>
          <cell r="AM221">
            <v>4.6820041656006399</v>
          </cell>
          <cell r="AN221">
            <v>4.6821373730945064</v>
          </cell>
          <cell r="AO221">
            <v>4.6825302347686426</v>
          </cell>
          <cell r="AP221">
            <v>4.6831463385850522</v>
          </cell>
          <cell r="AQ221">
            <v>4.6839532717285444</v>
          </cell>
          <cell r="AR221">
            <v>4.684922155580824</v>
          </cell>
          <cell r="AS221">
            <v>4.6860272441355857</v>
          </cell>
          <cell r="AT221">
            <v>4.6872455798899129</v>
          </cell>
          <cell r="AU221">
            <v>4.6885567055064357</v>
          </cell>
          <cell r="AV221">
            <v>4.6899424038062243</v>
          </cell>
          <cell r="AW221">
            <v>4.6913864645459054</v>
          </cell>
          <cell r="AX221">
            <v>4.6928744796283164</v>
          </cell>
          <cell r="AY221">
            <v>4.6943936628878893</v>
          </cell>
          <cell r="AZ221">
            <v>4.6959326910777426</v>
          </cell>
          <cell r="BA221">
            <v>4.6974815632044162</v>
          </cell>
          <cell r="BB221">
            <v>4.6990314704794551</v>
          </cell>
          <cell r="BC221">
            <v>4.7005746354262312</v>
          </cell>
          <cell r="BD221">
            <v>4.7021041731873066</v>
          </cell>
          <cell r="BE221">
            <v>4.7036140429430349</v>
          </cell>
          <cell r="BF221">
            <v>4.705099133148674</v>
          </cell>
          <cell r="BG221">
            <v>4.7065551668554715</v>
          </cell>
          <cell r="BH221">
            <v>4.7079784332143966</v>
          </cell>
          <cell r="BI221">
            <v>4.7093656949998826</v>
          </cell>
        </row>
        <row r="222">
          <cell r="B222">
            <v>5.7145255484230528</v>
          </cell>
          <cell r="C222">
            <v>5.6345059910911939</v>
          </cell>
          <cell r="D222">
            <v>5.5639117219859404</v>
          </cell>
          <cell r="E222">
            <v>5.5122419277317434</v>
          </cell>
          <cell r="F222">
            <v>5.470297816883595</v>
          </cell>
          <cell r="G222">
            <v>5.4279987361365638</v>
          </cell>
          <cell r="H222">
            <v>5.3812762738830591</v>
          </cell>
          <cell r="I222">
            <v>5.3293256971171532</v>
          </cell>
          <cell r="J222">
            <v>5.273434396042882</v>
          </cell>
          <cell r="K222">
            <v>5.2159225755950613</v>
          </cell>
          <cell r="L222">
            <v>5.1590256607547493</v>
          </cell>
          <cell r="M222">
            <v>5.1043247484193612</v>
          </cell>
          <cell r="N222">
            <v>5.0529353687306786</v>
          </cell>
          <cell r="O222">
            <v>5.0055509107838851</v>
          </cell>
          <cell r="P222">
            <v>4.9624601516400064</v>
          </cell>
          <cell r="Q222">
            <v>4.9236621579380948</v>
          </cell>
          <cell r="R222">
            <v>4.8889612011995185</v>
          </cell>
          <cell r="S222">
            <v>4.8580884391138532</v>
          </cell>
          <cell r="T222">
            <v>4.8307680311707788</v>
          </cell>
          <cell r="U222">
            <v>4.8067215018961811</v>
          </cell>
          <cell r="V222">
            <v>4.7856683682244903</v>
          </cell>
          <cell r="W222">
            <v>4.7673265957694619</v>
          </cell>
          <cell r="X222">
            <v>4.7514130907729006</v>
          </cell>
          <cell r="Y222">
            <v>4.7376525555520317</v>
          </cell>
          <cell r="Z222">
            <v>4.7257983214272796</v>
          </cell>
          <cell r="AA222">
            <v>4.715633517335398</v>
          </cell>
          <cell r="AB222">
            <v>4.70696728161181</v>
          </cell>
          <cell r="AC222">
            <v>4.6996309933032814</v>
          </cell>
          <cell r="AD222">
            <v>4.6934744683919485</v>
          </cell>
          <cell r="AE222">
            <v>4.6883628869727421</v>
          </cell>
          <cell r="AF222">
            <v>4.6841743169229417</v>
          </cell>
          <cell r="AG222">
            <v>4.6807982252284575</v>
          </cell>
          <cell r="AH222">
            <v>4.6781361729246189</v>
          </cell>
          <cell r="AI222">
            <v>4.6761012256366978</v>
          </cell>
          <cell r="AJ222">
            <v>4.6746163471251032</v>
          </cell>
          <cell r="AK222">
            <v>4.6736130245443928</v>
          </cell>
          <cell r="AL222">
            <v>4.6730301343274752</v>
          </cell>
          <cell r="AM222">
            <v>4.6728132242486415</v>
          </cell>
          <cell r="AN222">
            <v>4.6729139648875675</v>
          </cell>
          <cell r="AO222">
            <v>4.673289420155502</v>
          </cell>
          <cell r="AP222">
            <v>4.6739013895741115</v>
          </cell>
          <cell r="AQ222">
            <v>4.674715844512332</v>
          </cell>
          <cell r="AR222">
            <v>4.67570244308786</v>
          </cell>
          <cell r="AS222">
            <v>4.6768341112972163</v>
          </cell>
          <cell r="AT222">
            <v>4.6780866886700272</v>
          </cell>
          <cell r="AU222">
            <v>4.6794386417664224</v>
          </cell>
          <cell r="AV222">
            <v>4.6808707960426199</v>
          </cell>
          <cell r="AW222">
            <v>4.6823660903388742</v>
          </cell>
          <cell r="AX222">
            <v>4.6839093612280456</v>
          </cell>
          <cell r="AY222">
            <v>4.685487153242339</v>
          </cell>
          <cell r="AZ222">
            <v>4.6870875514263153</v>
          </cell>
          <cell r="BA222">
            <v>4.6887000332104947</v>
          </cell>
          <cell r="BB222">
            <v>4.6903153297174853</v>
          </cell>
          <cell r="BC222">
            <v>4.6919252460580747</v>
          </cell>
          <cell r="BD222">
            <v>4.6935225110874379</v>
          </cell>
          <cell r="BE222">
            <v>4.6951007374180342</v>
          </cell>
          <cell r="BF222">
            <v>4.6966545394463282</v>
          </cell>
          <cell r="BG222">
            <v>4.6981794238318573</v>
          </cell>
          <cell r="BH222">
            <v>4.6996714905530821</v>
          </cell>
          <cell r="BI222">
            <v>4.7011273363389607</v>
          </cell>
        </row>
        <row r="223">
          <cell r="B223">
            <v>5.7167644980724228</v>
          </cell>
          <cell r="C223">
            <v>5.6341867187101418</v>
          </cell>
          <cell r="D223">
            <v>5.5617416709624941</v>
          </cell>
          <cell r="E223">
            <v>5.5082973523783485</v>
          </cell>
          <cell r="F223">
            <v>5.4640799225283994</v>
          </cell>
          <cell r="G223">
            <v>5.4191517108004179</v>
          </cell>
          <cell r="H223">
            <v>5.3696444727819639</v>
          </cell>
          <cell r="I223">
            <v>5.3149047227292412</v>
          </cell>
          <cell r="J223">
            <v>5.2563185331880504</v>
          </cell>
          <cell r="K223">
            <v>5.196275315658899</v>
          </cell>
          <cell r="L223">
            <v>5.1370555345226778</v>
          </cell>
          <cell r="M223">
            <v>5.0802636790333588</v>
          </cell>
          <cell r="N223">
            <v>5.0270245315207926</v>
          </cell>
          <cell r="O223">
            <v>4.9780297295656677</v>
          </cell>
          <cell r="P223">
            <v>4.9335570440763323</v>
          </cell>
          <cell r="Q223">
            <v>4.8935879967006439</v>
          </cell>
          <cell r="R223">
            <v>4.8579063289096291</v>
          </cell>
          <cell r="S223">
            <v>4.8262251843261064</v>
          </cell>
          <cell r="T223">
            <v>4.7982523222776541</v>
          </cell>
          <cell r="U223">
            <v>4.7736937957963672</v>
          </cell>
          <cell r="V223">
            <v>4.7522543578796803</v>
          </cell>
          <cell r="W223">
            <v>4.7336377569527945</v>
          </cell>
          <cell r="X223">
            <v>4.7175471593155835</v>
          </cell>
          <cell r="Y223">
            <v>4.703694949407069</v>
          </cell>
          <cell r="Z223">
            <v>4.6918241758810142</v>
          </cell>
          <cell r="AA223">
            <v>4.6817091164393663</v>
          </cell>
          <cell r="AB223">
            <v>4.6731512122590715</v>
          </cell>
          <cell r="AC223">
            <v>4.6659750327080145</v>
          </cell>
          <cell r="AD223">
            <v>4.6600243129815109</v>
          </cell>
          <cell r="AE223">
            <v>4.6551587597977315</v>
          </cell>
          <cell r="AF223">
            <v>4.6512514780539611</v>
          </cell>
          <cell r="AG223">
            <v>4.6481874741962894</v>
          </cell>
          <cell r="AH223">
            <v>4.6458643914860396</v>
          </cell>
          <cell r="AI223">
            <v>4.6441918104151583</v>
          </cell>
          <cell r="AJ223">
            <v>4.6430895749643781</v>
          </cell>
          <cell r="AK223">
            <v>4.642486367118658</v>
          </cell>
          <cell r="AL223">
            <v>4.6423185337964687</v>
          </cell>
          <cell r="AM223">
            <v>4.6425293546269586</v>
          </cell>
          <cell r="AN223">
            <v>4.6430684635415806</v>
          </cell>
          <cell r="AO223">
            <v>4.6438910876352955</v>
          </cell>
          <cell r="AP223">
            <v>4.6449573650739158</v>
          </cell>
          <cell r="AQ223">
            <v>4.6462317604428209</v>
          </cell>
          <cell r="AR223">
            <v>4.6476825616749062</v>
          </cell>
          <cell r="AS223">
            <v>4.6492814457198772</v>
          </cell>
          <cell r="AT223">
            <v>4.6510031146572635</v>
          </cell>
          <cell r="AU223">
            <v>4.6528250073481665</v>
          </cell>
          <cell r="AV223">
            <v>4.6547270223977648</v>
          </cell>
          <cell r="AW223">
            <v>4.6566912621493231</v>
          </cell>
          <cell r="AX223">
            <v>4.6587018078129674</v>
          </cell>
          <cell r="AY223">
            <v>4.6607445215789953</v>
          </cell>
          <cell r="AZ223">
            <v>4.6628068720119771</v>
          </cell>
          <cell r="BA223">
            <v>4.6648777795908822</v>
          </cell>
          <cell r="BB223">
            <v>4.6669474715592409</v>
          </cell>
          <cell r="BC223">
            <v>4.6690072962110403</v>
          </cell>
          <cell r="BD223">
            <v>4.6710495712893749</v>
          </cell>
          <cell r="BE223">
            <v>4.6730675469318284</v>
          </cell>
          <cell r="BF223">
            <v>4.6750555289391018</v>
          </cell>
          <cell r="BG223">
            <v>4.6770087520455048</v>
          </cell>
          <cell r="BH223">
            <v>4.6789230739875176</v>
          </cell>
          <cell r="BI223">
            <v>4.6807948794922982</v>
          </cell>
        </row>
        <row r="224">
          <cell r="B224">
            <v>5.7063289674078268</v>
          </cell>
          <cell r="C224">
            <v>5.607878891642712</v>
          </cell>
          <cell r="D224">
            <v>5.5249311020550893</v>
          </cell>
          <cell r="E224">
            <v>5.4657125941834721</v>
          </cell>
          <cell r="F224">
            <v>5.4182017272084604</v>
          </cell>
          <cell r="G224">
            <v>5.3708015233015471</v>
          </cell>
          <cell r="H224">
            <v>5.3188770098671521</v>
          </cell>
          <cell r="I224">
            <v>5.261451040360428</v>
          </cell>
          <cell r="J224">
            <v>5.1998767844402654</v>
          </cell>
          <cell r="K224">
            <v>5.1366579450158794</v>
          </cell>
          <cell r="L224">
            <v>5.0742132093672536</v>
          </cell>
          <cell r="M224">
            <v>5.0142466549359108</v>
          </cell>
          <cell r="N224">
            <v>4.9579566499274321</v>
          </cell>
          <cell r="O224">
            <v>4.9060955787965854</v>
          </cell>
          <cell r="P224">
            <v>4.8589785941597086</v>
          </cell>
          <cell r="Q224">
            <v>4.8166044957348673</v>
          </cell>
          <cell r="R224">
            <v>4.7787617951111372</v>
          </cell>
          <cell r="S224">
            <v>4.7451631867596857</v>
          </cell>
          <cell r="T224">
            <v>4.7155111822141702</v>
          </cell>
          <cell r="U224">
            <v>4.6895026963871747</v>
          </cell>
          <cell r="V224">
            <v>4.6668303800990341</v>
          </cell>
          <cell r="W224">
            <v>4.6471835891897157</v>
          </cell>
          <cell r="X224">
            <v>4.6302493730721297</v>
          </cell>
          <cell r="Y224">
            <v>4.6157240388980529</v>
          </cell>
          <cell r="Z224">
            <v>4.6033360614644296</v>
          </cell>
          <cell r="AA224">
            <v>4.5928463155412844</v>
          </cell>
          <cell r="AB224">
            <v>4.5840439260536661</v>
          </cell>
          <cell r="AC224">
            <v>4.5767420464330399</v>
          </cell>
          <cell r="AD224">
            <v>4.5707737380624058</v>
          </cell>
          <cell r="AE224">
            <v>4.565988652284382</v>
          </cell>
          <cell r="AF224">
            <v>4.5622503588474421</v>
          </cell>
          <cell r="AG224">
            <v>4.5594348824328126</v>
          </cell>
          <cell r="AH224">
            <v>4.5574316081103445</v>
          </cell>
          <cell r="AI224">
            <v>4.5561425013115091</v>
          </cell>
          <cell r="AJ224">
            <v>4.555480338658433</v>
          </cell>
          <cell r="AK224">
            <v>4.555367206409648</v>
          </cell>
          <cell r="AL224">
            <v>4.5557332465225269</v>
          </cell>
          <cell r="AM224">
            <v>4.5565158061371873</v>
          </cell>
          <cell r="AN224">
            <v>4.5576590382032842</v>
          </cell>
          <cell r="AO224">
            <v>4.5591131936435234</v>
          </cell>
          <cell r="AP224">
            <v>4.5608338788752709</v>
          </cell>
          <cell r="AQ224">
            <v>4.5627814182516682</v>
          </cell>
          <cell r="AR224">
            <v>4.5649203054644385</v>
          </cell>
          <cell r="AS224">
            <v>4.5672187302228009</v>
          </cell>
          <cell r="AT224">
            <v>4.5696482023166638</v>
          </cell>
          <cell r="AU224">
            <v>4.5721832935631328</v>
          </cell>
          <cell r="AV224">
            <v>4.5748013453130572</v>
          </cell>
          <cell r="AW224">
            <v>4.5774821803863786</v>
          </cell>
          <cell r="AX224">
            <v>4.5802078498609973</v>
          </cell>
          <cell r="AY224">
            <v>4.5829624102469761</v>
          </cell>
          <cell r="AZ224">
            <v>4.5857317268755446</v>
          </cell>
          <cell r="BA224">
            <v>4.5885032999719408</v>
          </cell>
          <cell r="BB224">
            <v>4.5912661021523933</v>
          </cell>
          <cell r="BC224">
            <v>4.5940103822773368</v>
          </cell>
          <cell r="BD224">
            <v>4.5967275069179996</v>
          </cell>
          <cell r="BE224">
            <v>4.5994099232249317</v>
          </cell>
          <cell r="BF224">
            <v>4.6020512972066685</v>
          </cell>
          <cell r="BG224">
            <v>4.6046463495398502</v>
          </cell>
          <cell r="BH224">
            <v>4.6071905056584956</v>
          </cell>
          <cell r="BI224">
            <v>4.6096797905823363</v>
          </cell>
        </row>
        <row r="225">
          <cell r="B225">
            <v>5.7016452738132832</v>
          </cell>
          <cell r="C225">
            <v>5.5940196624699077</v>
          </cell>
          <cell r="D225">
            <v>5.5104767340609859</v>
          </cell>
          <cell r="E225">
            <v>5.4532509633018185</v>
          </cell>
          <cell r="F225">
            <v>5.4061521090487927</v>
          </cell>
          <cell r="G225">
            <v>5.3566763256944245</v>
          </cell>
          <cell r="H225">
            <v>5.3007783057643794</v>
          </cell>
          <cell r="I225">
            <v>5.2382376454485433</v>
          </cell>
          <cell r="J225">
            <v>5.1709456813104726</v>
          </cell>
          <cell r="K225">
            <v>5.1018250108499643</v>
          </cell>
          <cell r="L225">
            <v>5.0336536232391396</v>
          </cell>
          <cell r="M225">
            <v>4.9683634549204667</v>
          </cell>
          <cell r="N225">
            <v>4.9072764388294825</v>
          </cell>
          <cell r="O225">
            <v>4.8511928402414455</v>
          </cell>
          <cell r="P225">
            <v>4.8004256142546033</v>
          </cell>
          <cell r="Q225">
            <v>4.7549384080569883</v>
          </cell>
          <cell r="R225">
            <v>4.7144686942401641</v>
          </cell>
          <cell r="S225">
            <v>4.6786831050068542</v>
          </cell>
          <cell r="T225">
            <v>4.6472407756921159</v>
          </cell>
          <cell r="U225">
            <v>4.619796602054798</v>
          </cell>
          <cell r="V225">
            <v>4.5960022497004411</v>
          </cell>
          <cell r="W225">
            <v>4.5755068882070287</v>
          </cell>
          <cell r="X225">
            <v>4.557958291175126</v>
          </cell>
          <cell r="Y225">
            <v>4.5430181798343083</v>
          </cell>
          <cell r="Z225">
            <v>4.530386427911397</v>
          </cell>
          <cell r="AA225">
            <v>4.519799429584574</v>
          </cell>
          <cell r="AB225">
            <v>4.5110253199513197</v>
          </cell>
          <cell r="AC225">
            <v>4.503859023577351</v>
          </cell>
          <cell r="AD225">
            <v>4.4981176479883977</v>
          </cell>
          <cell r="AE225">
            <v>4.4936367865102111</v>
          </cell>
          <cell r="AF225">
            <v>4.4902675482527838</v>
          </cell>
          <cell r="AG225">
            <v>4.4878751170341458</v>
          </cell>
          <cell r="AH225">
            <v>4.4863396741508588</v>
          </cell>
          <cell r="AI225">
            <v>4.4855552299441976</v>
          </cell>
          <cell r="AJ225">
            <v>4.4854276634085961</v>
          </cell>
          <cell r="AK225">
            <v>4.4858730737675865</v>
          </cell>
          <cell r="AL225">
            <v>4.4868164072077539</v>
          </cell>
          <cell r="AM225">
            <v>4.4881905491326464</v>
          </cell>
          <cell r="AN225">
            <v>4.4899358204164921</v>
          </cell>
          <cell r="AO225">
            <v>4.491999158208813</v>
          </cell>
          <cell r="AP225">
            <v>4.494333309485838</v>
          </cell>
          <cell r="AQ225">
            <v>4.4968961394044475</v>
          </cell>
          <cell r="AR225">
            <v>4.4996500361648968</v>
          </cell>
          <cell r="AS225">
            <v>4.502561397810136</v>
          </cell>
          <cell r="AT225">
            <v>4.5056002218611955</v>
          </cell>
          <cell r="AU225">
            <v>4.5087397973618994</v>
          </cell>
          <cell r="AV225">
            <v>4.5119563761091781</v>
          </cell>
          <cell r="AW225">
            <v>4.5152288641796803</v>
          </cell>
          <cell r="AX225">
            <v>4.5185385510849114</v>
          </cell>
          <cell r="AY225">
            <v>4.5218688714277384</v>
          </cell>
          <cell r="AZ225">
            <v>4.5252051945993204</v>
          </cell>
          <cell r="BA225">
            <v>4.528534638716418</v>
          </cell>
          <cell r="BB225">
            <v>4.5318458884651269</v>
          </cell>
          <cell r="BC225">
            <v>4.5351289543082327</v>
          </cell>
          <cell r="BD225">
            <v>4.5383749979860806</v>
          </cell>
          <cell r="BE225">
            <v>4.5415763320195852</v>
          </cell>
          <cell r="BF225">
            <v>4.5447266113041271</v>
          </cell>
          <cell r="BG225">
            <v>4.5478205981105253</v>
          </cell>
          <cell r="BH225">
            <v>4.5508537728364757</v>
          </cell>
          <cell r="BI225">
            <v>4.5538222335870122</v>
          </cell>
        </row>
        <row r="226">
          <cell r="B226">
            <v>5.693569869068356</v>
          </cell>
          <cell r="C226">
            <v>5.5868539746718087</v>
          </cell>
          <cell r="D226">
            <v>5.5086763944850654</v>
          </cell>
          <cell r="E226">
            <v>5.4563745257519445</v>
          </cell>
          <cell r="F226">
            <v>5.4120175768398449</v>
          </cell>
          <cell r="G226">
            <v>5.363230265120821</v>
          </cell>
          <cell r="H226">
            <v>5.3064470464630178</v>
          </cell>
          <cell r="I226">
            <v>5.2419414666605215</v>
          </cell>
          <cell r="J226">
            <v>5.1720345935351553</v>
          </cell>
          <cell r="K226">
            <v>5.1000180752082755</v>
          </cell>
          <cell r="L226">
            <v>5.0288956913319103</v>
          </cell>
          <cell r="M226">
            <v>4.9607405722990112</v>
          </cell>
          <cell r="N226">
            <v>4.8969745357104131</v>
          </cell>
          <cell r="O226">
            <v>4.8384538182619039</v>
          </cell>
          <cell r="P226">
            <v>4.7855103205168463</v>
          </cell>
          <cell r="Q226">
            <v>4.7381017720495064</v>
          </cell>
          <cell r="R226">
            <v>4.6959461349471887</v>
          </cell>
          <cell r="S226">
            <v>4.6586899887469206</v>
          </cell>
          <cell r="T226">
            <v>4.6259730299118624</v>
          </cell>
          <cell r="U226">
            <v>4.597431029377117</v>
          </cell>
          <cell r="V226">
            <v>4.5726967671992638</v>
          </cell>
          <cell r="W226">
            <v>4.5514007123014828</v>
          </cell>
          <cell r="X226">
            <v>4.5331722306004769</v>
          </cell>
          <cell r="Y226">
            <v>4.5176566492698669</v>
          </cell>
          <cell r="Z226">
            <v>4.504540142476392</v>
          </cell>
          <cell r="AA226">
            <v>4.4935474130403579</v>
          </cell>
          <cell r="AB226">
            <v>4.4844365598434743</v>
          </cell>
          <cell r="AC226">
            <v>4.476993786845668</v>
          </cell>
          <cell r="AD226">
            <v>4.4710285671710759</v>
          </cell>
          <cell r="AE226">
            <v>4.4663697649140106</v>
          </cell>
          <cell r="AF226">
            <v>4.4628625230920589</v>
          </cell>
          <cell r="AG226">
            <v>4.4603668118190249</v>
          </cell>
          <cell r="AH226">
            <v>4.4587583254940339</v>
          </cell>
          <cell r="AI226">
            <v>4.4579271596677579</v>
          </cell>
          <cell r="AJ226">
            <v>4.4577757657988144</v>
          </cell>
          <cell r="AK226">
            <v>4.4582172351554306</v>
          </cell>
          <cell r="AL226">
            <v>4.4591738705662696</v>
          </cell>
          <cell r="AM226">
            <v>4.4605762481615807</v>
          </cell>
          <cell r="AN226">
            <v>4.4623626671552854</v>
          </cell>
          <cell r="AO226">
            <v>4.4644782852809035</v>
          </cell>
          <cell r="AP226">
            <v>4.4668742826600907</v>
          </cell>
          <cell r="AQ226">
            <v>4.4695071448516659</v>
          </cell>
          <cell r="AR226">
            <v>4.4723380459403232</v>
          </cell>
          <cell r="AS226">
            <v>4.475332316684252</v>
          </cell>
          <cell r="AT226">
            <v>4.4784590189765403</v>
          </cell>
          <cell r="AU226">
            <v>4.4816906202101805</v>
          </cell>
          <cell r="AV226">
            <v>4.4850026499629188</v>
          </cell>
          <cell r="AW226">
            <v>4.4883733811208559</v>
          </cell>
          <cell r="AX226">
            <v>4.4917835499490204</v>
          </cell>
          <cell r="AY226">
            <v>4.4952161097534784</v>
          </cell>
          <cell r="AZ226">
            <v>4.4986560135243643</v>
          </cell>
          <cell r="BA226">
            <v>4.5020900216120836</v>
          </cell>
          <cell r="BB226">
            <v>4.505506510296196</v>
          </cell>
          <cell r="BC226">
            <v>4.5088952149921582</v>
          </cell>
          <cell r="BD226">
            <v>4.5122470509960966</v>
          </cell>
          <cell r="BE226">
            <v>4.5155541269302875</v>
          </cell>
          <cell r="BF226">
            <v>4.5188099516723401</v>
          </cell>
          <cell r="BG226">
            <v>4.5220091696731712</v>
          </cell>
          <cell r="BH226">
            <v>4.5251471588138497</v>
          </cell>
          <cell r="BI226">
            <v>4.5282199308589792</v>
          </cell>
        </row>
        <row r="227">
          <cell r="B227">
            <v>5.6926032054931364</v>
          </cell>
          <cell r="C227">
            <v>5.5755330623997406</v>
          </cell>
          <cell r="D227">
            <v>5.4892383738486332</v>
          </cell>
          <cell r="E227">
            <v>5.4323433531125263</v>
          </cell>
          <cell r="F227">
            <v>5.3855775311080212</v>
          </cell>
          <cell r="G227">
            <v>5.3357697665025032</v>
          </cell>
          <cell r="H227">
            <v>5.2789434343000687</v>
          </cell>
          <cell r="I227">
            <v>5.2151012879685963</v>
          </cell>
          <cell r="J227">
            <v>5.146365874379681</v>
          </cell>
          <cell r="K227">
            <v>5.0758682556611907</v>
          </cell>
          <cell r="L227">
            <v>5.0064828225321811</v>
          </cell>
          <cell r="M227">
            <v>4.9401813188190493</v>
          </cell>
          <cell r="N227">
            <v>4.8783030371608334</v>
          </cell>
          <cell r="O227">
            <v>4.821642666452993</v>
          </cell>
          <cell r="P227">
            <v>4.7704934203262859</v>
          </cell>
          <cell r="Q227">
            <v>4.7247909353691702</v>
          </cell>
          <cell r="R227">
            <v>4.6842444622013355</v>
          </cell>
          <cell r="S227">
            <v>4.648500082760525</v>
          </cell>
          <cell r="T227">
            <v>4.6171992005922808</v>
          </cell>
          <cell r="U227">
            <v>4.5899806936944758</v>
          </cell>
          <cell r="V227">
            <v>4.5664815158381797</v>
          </cell>
          <cell r="W227">
            <v>4.5463371338919378</v>
          </cell>
          <cell r="X227">
            <v>4.5291826670998461</v>
          </cell>
          <cell r="Y227">
            <v>4.5146702453699454</v>
          </cell>
          <cell r="Z227">
            <v>4.5024924294726221</v>
          </cell>
          <cell r="AA227">
            <v>4.492379448364936</v>
          </cell>
          <cell r="AB227">
            <v>4.4840942946586795</v>
          </cell>
          <cell r="AC227">
            <v>4.4774275200847873</v>
          </cell>
          <cell r="AD227">
            <v>4.4721924917523381</v>
          </cell>
          <cell r="AE227">
            <v>4.4682215895855348</v>
          </cell>
          <cell r="AF227">
            <v>4.465363159255757</v>
          </cell>
          <cell r="AG227">
            <v>4.4634801676408333</v>
          </cell>
          <cell r="AH227">
            <v>4.462451058870105</v>
          </cell>
          <cell r="AI227">
            <v>4.4621683735245679</v>
          </cell>
          <cell r="AJ227">
            <v>4.4625367438168633</v>
          </cell>
          <cell r="AK227">
            <v>4.4634712141980044</v>
          </cell>
          <cell r="AL227">
            <v>4.4648958458803447</v>
          </cell>
          <cell r="AM227">
            <v>4.4667428228061423</v>
          </cell>
          <cell r="AN227">
            <v>4.4689519171962395</v>
          </cell>
          <cell r="AO227">
            <v>4.4714696331221857</v>
          </cell>
          <cell r="AP227">
            <v>4.4742483857209319</v>
          </cell>
          <cell r="AQ227">
            <v>4.4772457974965603</v>
          </cell>
          <cell r="AR227">
            <v>4.4804240928124903</v>
          </cell>
          <cell r="AS227">
            <v>4.4837495760976314</v>
          </cell>
          <cell r="AT227">
            <v>4.4871922172081877</v>
          </cell>
          <cell r="AU227">
            <v>4.4907253322174929</v>
          </cell>
          <cell r="AV227">
            <v>4.4943252447940711</v>
          </cell>
          <cell r="AW227">
            <v>4.4979709729804593</v>
          </cell>
          <cell r="AX227">
            <v>4.5016439542570872</v>
          </cell>
          <cell r="AY227">
            <v>4.5053278035984849</v>
          </cell>
          <cell r="AZ227">
            <v>4.5090080999934719</v>
          </cell>
          <cell r="BA227">
            <v>4.5126721975294686</v>
          </cell>
          <cell r="BB227">
            <v>4.5163090364455991</v>
          </cell>
          <cell r="BC227">
            <v>4.5199088949983661</v>
          </cell>
          <cell r="BD227">
            <v>4.5234632195839461</v>
          </cell>
          <cell r="BE227">
            <v>4.5269646442173093</v>
          </cell>
          <cell r="BF227">
            <v>4.5304071832627191</v>
          </cell>
          <cell r="BG227">
            <v>4.5337859462856773</v>
          </cell>
          <cell r="BH227">
            <v>4.5370967462769034</v>
          </cell>
          <cell r="BI227">
            <v>4.5403360067362604</v>
          </cell>
        </row>
        <row r="228">
          <cell r="B228">
            <v>5.6827844632092468</v>
          </cell>
          <cell r="C228">
            <v>5.5724551086631964</v>
          </cell>
          <cell r="D228">
            <v>5.4907643595023474</v>
          </cell>
          <cell r="E228">
            <v>5.4371844264471187</v>
          </cell>
          <cell r="F228">
            <v>5.3912952265385563</v>
          </cell>
          <cell r="G228">
            <v>5.3398278950918412</v>
          </cell>
          <cell r="H228">
            <v>5.279286559295242</v>
          </cell>
          <cell r="I228">
            <v>5.2102469985403044</v>
          </cell>
          <cell r="J228">
            <v>5.1353511088431976</v>
          </cell>
          <cell r="K228">
            <v>5.0582084502491522</v>
          </cell>
          <cell r="L228">
            <v>4.9820817286372368</v>
          </cell>
          <cell r="M228">
            <v>4.9092150281889122</v>
          </cell>
          <cell r="N228">
            <v>4.8411413207922678</v>
          </cell>
          <cell r="O228">
            <v>4.7787776382342297</v>
          </cell>
          <cell r="P228">
            <v>4.7224711540671107</v>
          </cell>
          <cell r="Q228">
            <v>4.6721625905055113</v>
          </cell>
          <cell r="R228">
            <v>4.627537752660678</v>
          </cell>
          <cell r="S228">
            <v>4.5882122575290047</v>
          </cell>
          <cell r="T228">
            <v>4.5537941467823204</v>
          </cell>
          <cell r="U228">
            <v>4.5238866730801108</v>
          </cell>
          <cell r="V228">
            <v>4.4980894403105438</v>
          </cell>
          <cell r="W228">
            <v>4.475999232856684</v>
          </cell>
          <cell r="X228">
            <v>4.4572117117149821</v>
          </cell>
          <cell r="Y228">
            <v>4.4413421166044014</v>
          </cell>
          <cell r="Z228">
            <v>4.4280509025262695</v>
          </cell>
          <cell r="AA228">
            <v>4.4170402058622384</v>
          </cell>
          <cell r="AB228">
            <v>4.408048322170858</v>
          </cell>
          <cell r="AC228">
            <v>4.4008438845608193</v>
          </cell>
          <cell r="AD228">
            <v>4.3952206393982172</v>
          </cell>
          <cell r="AE228">
            <v>4.3909932607636382</v>
          </cell>
          <cell r="AF228">
            <v>4.3879940025696058</v>
          </cell>
          <cell r="AG228">
            <v>4.3860713291260049</v>
          </cell>
          <cell r="AH228">
            <v>4.3850908728600899</v>
          </cell>
          <cell r="AI228">
            <v>4.3849338305123577</v>
          </cell>
          <cell r="AJ228">
            <v>4.3854947470956125</v>
          </cell>
          <cell r="AK228">
            <v>4.3866796619682544</v>
          </cell>
          <cell r="AL228">
            <v>4.3884045710565527</v>
          </cell>
          <cell r="AM228">
            <v>4.3905944639334216</v>
          </cell>
          <cell r="AN228">
            <v>4.3931827306314108</v>
          </cell>
          <cell r="AO228">
            <v>4.3961102050415217</v>
          </cell>
          <cell r="AP228">
            <v>4.3993242572389795</v>
          </cell>
          <cell r="AQ228">
            <v>4.4027780153660645</v>
          </cell>
          <cell r="AR228">
            <v>4.4064296960894334</v>
          </cell>
          <cell r="AS228">
            <v>4.4102420279660812</v>
          </cell>
          <cell r="AT228">
            <v>4.4141817977447069</v>
          </cell>
          <cell r="AU228">
            <v>4.4182194999216069</v>
          </cell>
          <cell r="AV228">
            <v>4.4223289606227132</v>
          </cell>
          <cell r="AW228">
            <v>4.4264869906128395</v>
          </cell>
          <cell r="AX228">
            <v>4.4306730807406813</v>
          </cell>
          <cell r="AY228">
            <v>4.4348691339304365</v>
          </cell>
          <cell r="AZ228">
            <v>4.4390592287038144</v>
          </cell>
          <cell r="BA228">
            <v>4.4432294098924316</v>
          </cell>
          <cell r="BB228">
            <v>4.4473674811212138</v>
          </cell>
          <cell r="BC228">
            <v>4.451462746335265</v>
          </cell>
          <cell r="BD228">
            <v>4.4555058319606333</v>
          </cell>
          <cell r="BE228">
            <v>4.4594887005879658</v>
          </cell>
          <cell r="BF228">
            <v>4.4634048221811167</v>
          </cell>
          <cell r="BG228">
            <v>4.4672488463463509</v>
          </cell>
          <cell r="BH228">
            <v>4.4710161972670859</v>
          </cell>
          <cell r="BI228">
            <v>4.474702977232802</v>
          </cell>
        </row>
        <row r="229">
          <cell r="B229">
            <v>5.6755596403327173</v>
          </cell>
          <cell r="C229">
            <v>5.5592809394687039</v>
          </cell>
          <cell r="D229">
            <v>5.4729647611749552</v>
          </cell>
          <cell r="E229">
            <v>5.4161349573909305</v>
          </cell>
          <cell r="F229">
            <v>5.3674958535252717</v>
          </cell>
          <cell r="G229">
            <v>5.3133240683032961</v>
          </cell>
          <cell r="H229">
            <v>5.2499950828714255</v>
          </cell>
          <cell r="I229">
            <v>5.1780799511593756</v>
          </cell>
          <cell r="J229">
            <v>5.1002841011980609</v>
          </cell>
          <cell r="K229">
            <v>5.0203125484597706</v>
          </cell>
          <cell r="L229">
            <v>4.9415077504433915</v>
          </cell>
          <cell r="M229">
            <v>4.8661534762184182</v>
          </cell>
          <cell r="N229">
            <v>4.7957986429279593</v>
          </cell>
          <cell r="O229">
            <v>4.7313748943937712</v>
          </cell>
          <cell r="P229">
            <v>4.6732346915627376</v>
          </cell>
          <cell r="Q229">
            <v>4.621313752374701</v>
          </cell>
          <cell r="R229">
            <v>4.5752890461640803</v>
          </cell>
          <cell r="S229">
            <v>4.5347672971852777</v>
          </cell>
          <cell r="T229">
            <v>4.4993454111645423</v>
          </cell>
          <cell r="U229">
            <v>4.4686136530582763</v>
          </cell>
          <cell r="V229">
            <v>4.4421572281887238</v>
          </cell>
          <cell r="W229">
            <v>4.4195574321608202</v>
          </cell>
          <cell r="X229">
            <v>4.4003938217918126</v>
          </cell>
          <cell r="Y229">
            <v>4.3842669350425174</v>
          </cell>
          <cell r="Z229">
            <v>4.3708241382978965</v>
          </cell>
          <cell r="AA229">
            <v>4.3597556635315398</v>
          </cell>
          <cell r="AB229">
            <v>4.350789153269857</v>
          </cell>
          <cell r="AC229">
            <v>4.3436836452815095</v>
          </cell>
          <cell r="AD229">
            <v>4.3382241649400761</v>
          </cell>
          <cell r="AE229">
            <v>4.3342173939565711</v>
          </cell>
          <cell r="AF229">
            <v>4.3314882137176465</v>
          </cell>
          <cell r="AG229">
            <v>4.3298784162647825</v>
          </cell>
          <cell r="AH229">
            <v>4.3292477203671034</v>
          </cell>
          <cell r="AI229">
            <v>4.3294720276961902</v>
          </cell>
          <cell r="AJ229">
            <v>4.3304411166739776</v>
          </cell>
          <cell r="AK229">
            <v>4.3320567151463134</v>
          </cell>
          <cell r="AL229">
            <v>4.3342309057504496</v>
          </cell>
          <cell r="AM229">
            <v>4.3368851652134373</v>
          </cell>
          <cell r="AN229">
            <v>4.3399497627769508</v>
          </cell>
          <cell r="AO229">
            <v>4.3433627534571455</v>
          </cell>
          <cell r="AP229">
            <v>4.3470690286272102</v>
          </cell>
          <cell r="AQ229">
            <v>4.3510195021653333</v>
          </cell>
          <cell r="AR229">
            <v>4.3551704101634332</v>
          </cell>
          <cell r="AS229">
            <v>4.3594827083512415</v>
          </cell>
          <cell r="AT229">
            <v>4.3639216057147507</v>
          </cell>
          <cell r="AU229">
            <v>4.3684562049806219</v>
          </cell>
          <cell r="AV229">
            <v>4.3730591075233116</v>
          </cell>
          <cell r="AW229">
            <v>4.3777060489620609</v>
          </cell>
          <cell r="AX229">
            <v>4.3823755793400032</v>
          </cell>
          <cell r="AY229">
            <v>4.3870487816817718</v>
          </cell>
          <cell r="AZ229">
            <v>4.3917090236619813</v>
          </cell>
          <cell r="BA229">
            <v>4.3963417378050318</v>
          </cell>
          <cell r="BB229">
            <v>4.4009342053556137</v>
          </cell>
          <cell r="BC229">
            <v>4.4054752996226227</v>
          </cell>
          <cell r="BD229">
            <v>4.409955307817536</v>
          </cell>
          <cell r="BE229">
            <v>4.4143659367111256</v>
          </cell>
          <cell r="BF229">
            <v>4.4187004511714649</v>
          </cell>
          <cell r="BG229">
            <v>4.4229533226869169</v>
          </cell>
          <cell r="BH229">
            <v>4.4271198344175087</v>
          </cell>
          <cell r="BI229">
            <v>4.4311959856615912</v>
          </cell>
        </row>
        <row r="230">
          <cell r="B230">
            <v>5.6634535910022326</v>
          </cell>
          <cell r="C230">
            <v>5.5398944875653084</v>
          </cell>
          <cell r="D230">
            <v>5.455086245462506</v>
          </cell>
          <cell r="E230">
            <v>5.4021544072715324</v>
          </cell>
          <cell r="F230">
            <v>5.3567398173141392</v>
          </cell>
          <cell r="G230">
            <v>5.30450730036035</v>
          </cell>
          <cell r="H230">
            <v>5.2421339143623848</v>
          </cell>
          <cell r="I230">
            <v>5.1705660056832965</v>
          </cell>
          <cell r="J230">
            <v>5.0927155631454708</v>
          </cell>
          <cell r="K230">
            <v>5.0124241947271369</v>
          </cell>
          <cell r="L230">
            <v>4.9332327153155928</v>
          </cell>
          <cell r="M230">
            <v>4.8575715673033049</v>
          </cell>
          <cell r="N230">
            <v>4.7870695341291016</v>
          </cell>
          <cell r="O230">
            <v>4.7226881913123826</v>
          </cell>
          <cell r="P230">
            <v>4.664780725455306</v>
          </cell>
          <cell r="Q230">
            <v>4.6132660454936207</v>
          </cell>
          <cell r="R230">
            <v>4.5678036679447747</v>
          </cell>
          <cell r="S230">
            <v>4.5279891332760345</v>
          </cell>
          <cell r="T230">
            <v>4.4934061484665859</v>
          </cell>
          <cell r="U230">
            <v>4.4636298963929502</v>
          </cell>
          <cell r="V230">
            <v>4.4382290653772385</v>
          </cell>
          <cell r="W230">
            <v>4.416767325222243</v>
          </cell>
          <cell r="X230">
            <v>4.3988065709821278</v>
          </cell>
          <cell r="Y230">
            <v>4.3839339956882659</v>
          </cell>
          <cell r="Z230">
            <v>4.3717859735439708</v>
          </cell>
          <cell r="AA230">
            <v>4.3620429471917772</v>
          </cell>
          <cell r="AB230">
            <v>4.3544240077970908</v>
          </cell>
          <cell r="AC230">
            <v>4.3486805722061108</v>
          </cell>
          <cell r="AD230">
            <v>4.3445908116686551</v>
          </cell>
          <cell r="AE230">
            <v>4.3419551927708984</v>
          </cell>
          <cell r="AF230">
            <v>4.3405929519146111</v>
          </cell>
          <cell r="AG230">
            <v>4.3403411581026958</v>
          </cell>
          <cell r="AH230">
            <v>4.3410557006040555</v>
          </cell>
          <cell r="AI230">
            <v>4.342609243748413</v>
          </cell>
          <cell r="AJ230">
            <v>4.3448888324064692</v>
          </cell>
          <cell r="AK230">
            <v>4.3477938946925478</v>
          </cell>
          <cell r="AL230">
            <v>4.3512346004616216</v>
          </cell>
          <cell r="AM230">
            <v>4.355130908113904</v>
          </cell>
          <cell r="AN230">
            <v>4.3594118660093004</v>
          </cell>
          <cell r="AO230">
            <v>4.3640145414833036</v>
          </cell>
          <cell r="AP230">
            <v>4.368883042927318</v>
          </cell>
          <cell r="AQ230">
            <v>4.3739676815677235</v>
          </cell>
          <cell r="AR230">
            <v>4.3792242502059855</v>
          </cell>
          <cell r="AS230">
            <v>4.3846134038245772</v>
          </cell>
          <cell r="AT230">
            <v>4.3901001841715273</v>
          </cell>
          <cell r="AU230">
            <v>4.3956536356215246</v>
          </cell>
          <cell r="AV230">
            <v>4.4012463927406831</v>
          </cell>
          <cell r="AW230">
            <v>4.4068543063145995</v>
          </cell>
          <cell r="AX230">
            <v>4.4124561151626835</v>
          </cell>
          <cell r="AY230">
            <v>4.4180331573347837</v>
          </cell>
          <cell r="AZ230">
            <v>4.4235691152846712</v>
          </cell>
          <cell r="BA230">
            <v>4.4290497902300281</v>
          </cell>
          <cell r="BB230">
            <v>4.4344628832970674</v>
          </cell>
          <cell r="BC230">
            <v>4.4397977595314622</v>
          </cell>
          <cell r="BD230">
            <v>4.4450452803473093</v>
          </cell>
          <cell r="BE230">
            <v>4.4501977830195134</v>
          </cell>
          <cell r="BF230">
            <v>4.4552491164839223</v>
          </cell>
          <cell r="BG230">
            <v>4.4601942653533158</v>
          </cell>
          <cell r="BH230">
            <v>4.4650290191401627</v>
          </cell>
          <cell r="BI230">
            <v>4.4697498884680043</v>
          </cell>
        </row>
        <row r="231">
          <cell r="B231">
            <v>5.6556299140513211</v>
          </cell>
          <cell r="C231">
            <v>5.5410133205754972</v>
          </cell>
          <cell r="D231">
            <v>5.4643466119991055</v>
          </cell>
          <cell r="E231">
            <v>5.4159621320549602</v>
          </cell>
          <cell r="F231">
            <v>5.3724583378919784</v>
          </cell>
          <cell r="G231">
            <v>5.3214332802911777</v>
          </cell>
          <cell r="H231">
            <v>5.2600006410069193</v>
          </cell>
          <cell r="I231">
            <v>5.1891617695973853</v>
          </cell>
          <cell r="J231">
            <v>5.1119111482587227</v>
          </cell>
          <cell r="K231">
            <v>5.0321725795974448</v>
          </cell>
          <cell r="L231">
            <v>4.9534548455990359</v>
          </cell>
          <cell r="M231">
            <v>4.8781642448977749</v>
          </cell>
          <cell r="N231">
            <v>4.807939497131013</v>
          </cell>
          <cell r="O231">
            <v>4.7437550474545427</v>
          </cell>
          <cell r="P231">
            <v>4.6859711925449785</v>
          </cell>
          <cell r="Q231">
            <v>4.6345109894914485</v>
          </cell>
          <cell r="R231">
            <v>4.5890398371723924</v>
          </cell>
          <cell r="S231">
            <v>4.5491607672195808</v>
          </cell>
          <cell r="T231">
            <v>4.5144636142950549</v>
          </cell>
          <cell r="U231">
            <v>4.4845285780460937</v>
          </cell>
          <cell r="V231">
            <v>4.4589285171563411</v>
          </cell>
          <cell r="W231">
            <v>4.4372306177466347</v>
          </cell>
          <cell r="X231">
            <v>4.4190000804049419</v>
          </cell>
          <cell r="Y231">
            <v>4.4038281214954909</v>
          </cell>
          <cell r="Z231">
            <v>4.3913546099210468</v>
          </cell>
          <cell r="AA231">
            <v>4.3812628395226456</v>
          </cell>
          <cell r="AB231">
            <v>4.3732743159720968</v>
          </cell>
          <cell r="AC231">
            <v>4.3671424835111905</v>
          </cell>
          <cell r="AD231">
            <v>4.3626472197532182</v>
          </cell>
          <cell r="AE231">
            <v>4.3595904301210551</v>
          </cell>
          <cell r="AF231">
            <v>4.3577925802491491</v>
          </cell>
          <cell r="AG231">
            <v>4.3570919262515035</v>
          </cell>
          <cell r="AH231">
            <v>4.3573454833152478</v>
          </cell>
          <cell r="AI231">
            <v>4.3584269273297958</v>
          </cell>
          <cell r="AJ231">
            <v>4.3602242159936591</v>
          </cell>
          <cell r="AK231">
            <v>4.362637605229847</v>
          </cell>
          <cell r="AL231">
            <v>4.365578024776501</v>
          </cell>
          <cell r="AM231">
            <v>4.3689661624988627</v>
          </cell>
          <cell r="AN231">
            <v>4.3727317632479528</v>
          </cell>
          <cell r="AO231">
            <v>4.3768125555819344</v>
          </cell>
          <cell r="AP231">
            <v>4.3811532781441267</v>
          </cell>
          <cell r="AQ231">
            <v>4.3857048451290561</v>
          </cell>
          <cell r="AR231">
            <v>4.3904236281951121</v>
          </cell>
          <cell r="AS231">
            <v>4.3952708406546419</v>
          </cell>
          <cell r="AT231">
            <v>4.4002120717222128</v>
          </cell>
          <cell r="AU231">
            <v>4.4052169070170084</v>
          </cell>
          <cell r="AV231">
            <v>4.4102585161258627</v>
          </cell>
          <cell r="AW231">
            <v>4.4153132792762086</v>
          </cell>
          <cell r="AX231">
            <v>4.4203604597197055</v>
          </cell>
          <cell r="AY231">
            <v>4.4253819154297993</v>
          </cell>
          <cell r="AZ231">
            <v>4.4303618447172504</v>
          </cell>
          <cell r="BA231">
            <v>4.4352865609369365</v>
          </cell>
          <cell r="BB231">
            <v>4.440144274109076</v>
          </cell>
          <cell r="BC231">
            <v>4.4449248600300129</v>
          </cell>
          <cell r="BD231">
            <v>4.4496196962179848</v>
          </cell>
          <cell r="BE231">
            <v>4.4542216418777993</v>
          </cell>
          <cell r="BF231">
            <v>4.458725055605953</v>
          </cell>
          <cell r="BG231">
            <v>4.4631253980529397</v>
          </cell>
          <cell r="BH231">
            <v>4.4674189065575263</v>
          </cell>
          <cell r="BI231">
            <v>4.4716025154859338</v>
          </cell>
        </row>
        <row r="232">
          <cell r="B232">
            <v>5.6522037784665766</v>
          </cell>
          <cell r="C232">
            <v>5.5418384488176589</v>
          </cell>
          <cell r="D232">
            <v>5.4687141978496454</v>
          </cell>
          <cell r="E232">
            <v>5.421053602902477</v>
          </cell>
          <cell r="F232">
            <v>5.3771216411922085</v>
          </cell>
          <cell r="G232">
            <v>5.3263844037032753</v>
          </cell>
          <cell r="H232">
            <v>5.2664940005865697</v>
          </cell>
          <cell r="I232">
            <v>5.1984834386758028</v>
          </cell>
          <cell r="J232">
            <v>5.125139932719021</v>
          </cell>
          <cell r="K232">
            <v>5.0500632184737189</v>
          </cell>
          <cell r="L232">
            <v>4.9764337829201555</v>
          </cell>
          <cell r="M232">
            <v>4.9063826737779221</v>
          </cell>
          <cell r="N232">
            <v>4.8413137221826057</v>
          </cell>
          <cell r="O232">
            <v>4.7820256121209752</v>
          </cell>
          <cell r="P232">
            <v>4.7287755682851573</v>
          </cell>
          <cell r="Q232">
            <v>4.6814368364995138</v>
          </cell>
          <cell r="R232">
            <v>4.639662361114623</v>
          </cell>
          <cell r="S232">
            <v>4.6030602829904455</v>
          </cell>
          <cell r="T232">
            <v>4.5712337012261424</v>
          </cell>
          <cell r="U232">
            <v>4.5437821108907093</v>
          </cell>
          <cell r="V232">
            <v>4.5203022611253925</v>
          </cell>
          <cell r="W232">
            <v>4.5003887792182153</v>
          </cell>
          <cell r="X232">
            <v>4.4836371781327564</v>
          </cell>
          <cell r="Y232">
            <v>4.4696696719881785</v>
          </cell>
          <cell r="Z232">
            <v>4.4581542645047421</v>
          </cell>
          <cell r="AA232">
            <v>4.4487994928254473</v>
          </cell>
          <cell r="AB232">
            <v>4.4413494605449495</v>
          </cell>
          <cell r="AC232">
            <v>4.4355779411819247</v>
          </cell>
          <cell r="AD232">
            <v>4.43128326350097</v>
          </cell>
          <cell r="AE232">
            <v>4.4282842189716183</v>
          </cell>
          <cell r="AF232">
            <v>4.4264168526385879</v>
          </cell>
          <cell r="AG232">
            <v>4.4255337911297872</v>
          </cell>
          <cell r="AH232">
            <v>4.425504969560599</v>
          </cell>
          <cell r="AI232">
            <v>4.4262156227030838</v>
          </cell>
          <cell r="AJ232">
            <v>4.4275640999574346</v>
          </cell>
          <cell r="AK232">
            <v>4.4294600438758422</v>
          </cell>
          <cell r="AL232">
            <v>4.4318229015189674</v>
          </cell>
          <cell r="AM232">
            <v>4.4345810764037514</v>
          </cell>
          <cell r="AN232">
            <v>4.4376712430399579</v>
          </cell>
          <cell r="AO232">
            <v>4.4410373581658842</v>
          </cell>
          <cell r="AP232">
            <v>4.4446297726717363</v>
          </cell>
          <cell r="AQ232">
            <v>4.4484044703910923</v>
          </cell>
          <cell r="AR232">
            <v>4.4523224131074661</v>
          </cell>
          <cell r="AS232">
            <v>4.4563489790600936</v>
          </cell>
          <cell r="AT232">
            <v>4.4604535346823546</v>
          </cell>
          <cell r="AU232">
            <v>4.464609078548686</v>
          </cell>
          <cell r="AV232">
            <v>4.4687918643452917</v>
          </cell>
          <cell r="AW232">
            <v>4.4729810617968591</v>
          </cell>
          <cell r="AX232">
            <v>4.4771584591116049</v>
          </cell>
          <cell r="AY232">
            <v>4.4813082011329239</v>
          </cell>
          <cell r="AZ232">
            <v>4.4854165582967278</v>
          </cell>
          <cell r="BA232">
            <v>4.4894717218050779</v>
          </cell>
          <cell r="BB232">
            <v>4.4934635956663698</v>
          </cell>
          <cell r="BC232">
            <v>4.4973835653640064</v>
          </cell>
          <cell r="BD232">
            <v>4.501224348421939</v>
          </cell>
          <cell r="BE232">
            <v>4.5049800118709813</v>
          </cell>
          <cell r="BF232">
            <v>4.508646016231312</v>
          </cell>
          <cell r="BG232">
            <v>4.5122188081549215</v>
          </cell>
          <cell r="BH232">
            <v>4.5156955064892594</v>
          </cell>
          <cell r="BI232">
            <v>4.5190738328965443</v>
          </cell>
        </row>
        <row r="233">
          <cell r="B233">
            <v>5.6622994760074583</v>
          </cell>
          <cell r="C233">
            <v>5.570398355181581</v>
          </cell>
          <cell r="D233">
            <v>5.5121614700992829</v>
          </cell>
          <cell r="E233">
            <v>5.4727052534834835</v>
          </cell>
          <cell r="F233">
            <v>5.4337248715229984</v>
          </cell>
          <cell r="G233">
            <v>5.3875279544689922</v>
          </cell>
          <cell r="H233">
            <v>5.3327608911007394</v>
          </cell>
          <cell r="I233">
            <v>5.2706817524063396</v>
          </cell>
          <cell r="J233">
            <v>5.2039037715200207</v>
          </cell>
          <cell r="K233">
            <v>5.1356598881463187</v>
          </cell>
          <cell r="L233">
            <v>5.0687729979164464</v>
          </cell>
          <cell r="M233">
            <v>5.0051286686696894</v>
          </cell>
          <cell r="N233">
            <v>4.9459649184801293</v>
          </cell>
          <cell r="O233">
            <v>4.8919827255865354</v>
          </cell>
          <cell r="P233">
            <v>4.8434039530162245</v>
          </cell>
          <cell r="Q233">
            <v>4.8001110476336786</v>
          </cell>
          <cell r="R233">
            <v>4.7617948148076588</v>
          </cell>
          <cell r="S233">
            <v>4.7281079632688918</v>
          </cell>
          <cell r="T233">
            <v>4.6986977937199175</v>
          </cell>
          <cell r="U233">
            <v>4.6732076616184788</v>
          </cell>
          <cell r="V233">
            <v>4.6512779165215195</v>
          </cell>
          <cell r="W233">
            <v>4.6325465852529675</v>
          </cell>
          <cell r="X233">
            <v>4.6166524687139638</v>
          </cell>
          <cell r="Y233">
            <v>4.6032590612611548</v>
          </cell>
          <cell r="Z233">
            <v>4.5920706798691251</v>
          </cell>
          <cell r="AA233">
            <v>4.5828276409545756</v>
          </cell>
          <cell r="AB233">
            <v>4.5753018421956426</v>
          </cell>
          <cell r="AC233">
            <v>4.5692914930128197</v>
          </cell>
          <cell r="AD233">
            <v>4.564616578498045</v>
          </cell>
          <cell r="AE233">
            <v>4.5611152301361209</v>
          </cell>
          <cell r="AF233">
            <v>4.5586408961374332</v>
          </cell>
          <cell r="AG233">
            <v>4.5570618682748929</v>
          </cell>
          <cell r="AH233">
            <v>4.5562618930801264</v>
          </cell>
          <cell r="AI233">
            <v>4.5561383339345838</v>
          </cell>
          <cell r="AJ233">
            <v>4.5566002261148606</v>
          </cell>
          <cell r="AK233">
            <v>4.5575666556961556</v>
          </cell>
          <cell r="AL233">
            <v>4.5589654398931794</v>
          </cell>
          <cell r="AM233">
            <v>4.560732391192996</v>
          </cell>
          <cell r="AN233">
            <v>4.5628106946994089</v>
          </cell>
          <cell r="AO233">
            <v>4.565150022221462</v>
          </cell>
          <cell r="AP233">
            <v>4.5677057412118316</v>
          </cell>
          <cell r="AQ233">
            <v>4.5704382367140051</v>
          </cell>
          <cell r="AR233">
            <v>4.5733123279214958</v>
          </cell>
          <cell r="AS233">
            <v>4.5762967692160954</v>
          </cell>
          <cell r="AT233">
            <v>4.5793638793101747</v>
          </cell>
          <cell r="AU233">
            <v>4.5824892304873677</v>
          </cell>
          <cell r="AV233">
            <v>4.5856513109510519</v>
          </cell>
          <cell r="AW233">
            <v>4.5888312210829216</v>
          </cell>
          <cell r="AX233">
            <v>4.5920124068941712</v>
          </cell>
          <cell r="AY233">
            <v>4.5951804254625506</v>
          </cell>
          <cell r="AZ233">
            <v>4.5983227379650593</v>
          </cell>
          <cell r="BA233">
            <v>4.6014285259363215</v>
          </cell>
          <cell r="BB233">
            <v>4.6044884954236123</v>
          </cell>
          <cell r="BC233">
            <v>4.6074946512249797</v>
          </cell>
          <cell r="BD233">
            <v>4.610440164541707</v>
          </cell>
          <cell r="BE233">
            <v>4.6133194288733392</v>
          </cell>
          <cell r="BF233">
            <v>4.6161281304925641</v>
          </cell>
          <cell r="BG233">
            <v>4.6188628525644457</v>
          </cell>
          <cell r="BH233">
            <v>4.6215207864575731</v>
          </cell>
          <cell r="BI233">
            <v>4.6240996699809447</v>
          </cell>
        </row>
        <row r="234">
          <cell r="B234">
            <v>5.6580430475764274</v>
          </cell>
          <cell r="C234">
            <v>5.5566856208820887</v>
          </cell>
          <cell r="D234">
            <v>5.495989684108082</v>
          </cell>
          <cell r="E234">
            <v>5.457757800282014</v>
          </cell>
          <cell r="F234">
            <v>5.4194775021205697</v>
          </cell>
          <cell r="G234">
            <v>5.3718215185296563</v>
          </cell>
          <cell r="H234">
            <v>5.3131594414597556</v>
          </cell>
          <cell r="I234">
            <v>5.2450213106840193</v>
          </cell>
          <cell r="J234">
            <v>5.170571118897457</v>
          </cell>
          <cell r="K234">
            <v>5.093719731299065</v>
          </cell>
          <cell r="L234">
            <v>5.0178841999658097</v>
          </cell>
          <cell r="M234">
            <v>4.9453524725907627</v>
          </cell>
          <cell r="N234">
            <v>4.8776360636195566</v>
          </cell>
          <cell r="O234">
            <v>4.8156192912667217</v>
          </cell>
          <cell r="P234">
            <v>4.75962012870332</v>
          </cell>
          <cell r="Q234">
            <v>4.7095523120574114</v>
          </cell>
          <cell r="R234">
            <v>4.6651020081634877</v>
          </cell>
          <cell r="S234">
            <v>4.6259033474004863</v>
          </cell>
          <cell r="T234">
            <v>4.591575519390056</v>
          </cell>
          <cell r="U234">
            <v>4.561726593811648</v>
          </cell>
          <cell r="V234">
            <v>4.5359561680078091</v>
          </cell>
          <cell r="W234">
            <v>4.5138572926089857</v>
          </cell>
          <cell r="X234">
            <v>4.4950213374537187</v>
          </cell>
          <cell r="Y234">
            <v>4.4790674917639981</v>
          </cell>
          <cell r="Z234">
            <v>4.4656609473790772</v>
          </cell>
          <cell r="AA234">
            <v>4.4545073833412134</v>
          </cell>
          <cell r="AB234">
            <v>4.4453479640429983</v>
          </cell>
          <cell r="AC234">
            <v>4.4379533795356148</v>
          </cell>
          <cell r="AD234">
            <v>4.4321187551647974</v>
          </cell>
          <cell r="AE234">
            <v>4.4276595790217357</v>
          </cell>
          <cell r="AF234">
            <v>4.4244085503394635</v>
          </cell>
          <cell r="AG234">
            <v>4.422215237694898</v>
          </cell>
          <cell r="AH234">
            <v>4.4209467780903609</v>
          </cell>
          <cell r="AI234">
            <v>4.4204857469778158</v>
          </cell>
          <cell r="AJ234">
            <v>4.4207279529398011</v>
          </cell>
          <cell r="AK234">
            <v>4.4215805997546953</v>
          </cell>
          <cell r="AL234">
            <v>4.4229607955037951</v>
          </cell>
          <cell r="AM234">
            <v>4.4247947266072138</v>
          </cell>
          <cell r="AN234">
            <v>4.4270169266622519</v>
          </cell>
          <cell r="AO234">
            <v>4.4295692678599545</v>
          </cell>
          <cell r="AP234">
            <v>4.4324000660346643</v>
          </cell>
          <cell r="AQ234">
            <v>4.4354633135636163</v>
          </cell>
          <cell r="AR234">
            <v>4.4387180193038285</v>
          </cell>
          <cell r="AS234">
            <v>4.4421276456736605</v>
          </cell>
          <cell r="AT234">
            <v>4.4456597010663161</v>
          </cell>
          <cell r="AU234">
            <v>4.4492853939199879</v>
          </cell>
          <cell r="AV234">
            <v>4.4529792485577699</v>
          </cell>
          <cell r="AW234">
            <v>4.4567187597830085</v>
          </cell>
          <cell r="AX234">
            <v>4.4604840897690705</v>
          </cell>
          <cell r="AY234">
            <v>4.4642578013223435</v>
          </cell>
          <cell r="AZ234">
            <v>4.468024622526058</v>
          </cell>
          <cell r="BA234">
            <v>4.47177123757369</v>
          </cell>
          <cell r="BB234">
            <v>4.4754860598684996</v>
          </cell>
          <cell r="BC234">
            <v>4.4791589727442842</v>
          </cell>
          <cell r="BD234">
            <v>4.482781182460287</v>
          </cell>
          <cell r="BE234">
            <v>4.4863452895883453</v>
          </cell>
          <cell r="BF234">
            <v>4.4898453597675694</v>
          </cell>
          <cell r="BG234">
            <v>4.4932764927803266</v>
          </cell>
          <cell r="BH234">
            <v>4.4966345240415304</v>
          </cell>
          <cell r="BI234">
            <v>4.4999159534683804</v>
          </cell>
        </row>
        <row r="235">
          <cell r="B235">
            <v>5.6668491497006119</v>
          </cell>
          <cell r="C235">
            <v>5.5746603343572874</v>
          </cell>
          <cell r="D235">
            <v>5.5172988163150434</v>
          </cell>
          <cell r="E235">
            <v>5.4765961834088408</v>
          </cell>
          <cell r="F235">
            <v>5.4333021656490503</v>
          </cell>
          <cell r="G235">
            <v>5.3809015684748598</v>
          </cell>
          <cell r="H235">
            <v>5.3192479702629845</v>
          </cell>
          <cell r="I235">
            <v>5.2504518293100411</v>
          </cell>
          <cell r="J235">
            <v>5.1774860313677662</v>
          </cell>
          <cell r="K235">
            <v>5.1036866148938254</v>
          </cell>
          <cell r="L235">
            <v>5.031920431395597</v>
          </cell>
          <cell r="M235">
            <v>4.9640618622856385</v>
          </cell>
          <cell r="N235">
            <v>4.901291597636857</v>
          </cell>
          <cell r="O235">
            <v>4.8442392984148581</v>
          </cell>
          <cell r="P235">
            <v>4.7930540677190159</v>
          </cell>
          <cell r="Q235">
            <v>4.7475459929365433</v>
          </cell>
          <cell r="R235">
            <v>4.7073509683736727</v>
          </cell>
          <cell r="S235">
            <v>4.6720808629396098</v>
          </cell>
          <cell r="T235">
            <v>4.6413463515817224</v>
          </cell>
          <cell r="U235">
            <v>4.6147572332809323</v>
          </cell>
          <cell r="V235">
            <v>4.591922639615154</v>
          </cell>
          <cell r="W235">
            <v>4.5724511887764265</v>
          </cell>
          <cell r="X235">
            <v>4.5559555525894195</v>
          </cell>
          <cell r="Y235">
            <v>4.5420804211208861</v>
          </cell>
          <cell r="Z235">
            <v>4.5305150574433677</v>
          </cell>
          <cell r="AA235">
            <v>4.5209872910881614</v>
          </cell>
          <cell r="AB235">
            <v>4.513258299202378</v>
          </cell>
          <cell r="AC235">
            <v>4.507116874385356</v>
          </cell>
          <cell r="AD235">
            <v>4.5023746634176378</v>
          </cell>
          <cell r="AE235">
            <v>4.4988623582307667</v>
          </cell>
          <cell r="AF235">
            <v>4.4964268069362685</v>
          </cell>
          <cell r="AG235">
            <v>4.4949308568444524</v>
          </cell>
          <cell r="AH235">
            <v>4.4942535790787463</v>
          </cell>
          <cell r="AI235">
            <v>4.4942881645925228</v>
          </cell>
          <cell r="AJ235">
            <v>4.4949399070544649</v>
          </cell>
          <cell r="AK235">
            <v>4.4961245219286718</v>
          </cell>
          <cell r="AL235">
            <v>4.4977668055819464</v>
          </cell>
          <cell r="AM235">
            <v>4.4997999392239096</v>
          </cell>
          <cell r="AN235">
            <v>4.5021647784433858</v>
          </cell>
          <cell r="AO235">
            <v>4.5048089155252606</v>
          </cell>
          <cell r="AP235">
            <v>4.507685857902171</v>
          </cell>
          <cell r="AQ235">
            <v>4.5107543239702608</v>
          </cell>
          <cell r="AR235">
            <v>4.5139776371632321</v>
          </cell>
          <cell r="AS235">
            <v>4.5173232101315701</v>
          </cell>
          <cell r="AT235">
            <v>4.5207621592247627</v>
          </cell>
          <cell r="AU235">
            <v>4.5242689617293079</v>
          </cell>
          <cell r="AV235">
            <v>4.5278211028533635</v>
          </cell>
          <cell r="AW235">
            <v>4.5313987624015795</v>
          </cell>
          <cell r="AX235">
            <v>4.5349845398162625</v>
          </cell>
          <cell r="AY235">
            <v>4.5385632122136244</v>
          </cell>
          <cell r="AZ235">
            <v>4.5421215208863259</v>
          </cell>
          <cell r="BA235">
            <v>4.5456479804904477</v>
          </cell>
          <cell r="BB235">
            <v>4.5491326554939198</v>
          </cell>
          <cell r="BC235">
            <v>4.5525669110280313</v>
          </cell>
          <cell r="BD235">
            <v>4.5559432938656839</v>
          </cell>
          <cell r="BE235">
            <v>4.5592556673176121</v>
          </cell>
          <cell r="BF235">
            <v>4.5624992703681757</v>
          </cell>
          <cell r="BG235">
            <v>4.5656702461809289</v>
          </cell>
          <cell r="BH235">
            <v>4.5687653746086418</v>
          </cell>
          <cell r="BI235">
            <v>4.5717820129415054</v>
          </cell>
        </row>
        <row r="236">
          <cell r="B236">
            <v>5.6443227516696384</v>
          </cell>
          <cell r="C236">
            <v>5.5611253051494565</v>
          </cell>
          <cell r="D236">
            <v>5.5063147288982375</v>
          </cell>
          <cell r="E236">
            <v>5.4663216167556135</v>
          </cell>
          <cell r="F236">
            <v>5.4226560830098007</v>
          </cell>
          <cell r="G236">
            <v>5.3693006387597757</v>
          </cell>
          <cell r="H236">
            <v>5.306344439119222</v>
          </cell>
          <cell r="I236">
            <v>5.2360281843229881</v>
          </cell>
          <cell r="J236">
            <v>5.1614209661834165</v>
          </cell>
          <cell r="K236">
            <v>5.0859335179506493</v>
          </cell>
          <cell r="L236">
            <v>5.0124677993105253</v>
          </cell>
          <cell r="M236">
            <v>4.9429320195992998</v>
          </cell>
          <cell r="N236">
            <v>4.8785462635918604</v>
          </cell>
          <cell r="O236">
            <v>4.8199671705059277</v>
          </cell>
          <cell r="P236">
            <v>4.7673543378755108</v>
          </cell>
          <cell r="Q236">
            <v>4.7205179279322653</v>
          </cell>
          <cell r="R236">
            <v>4.6790919066522063</v>
          </cell>
          <cell r="S236">
            <v>4.6426854614796866</v>
          </cell>
          <cell r="T236">
            <v>4.6109047721423027</v>
          </cell>
          <cell r="U236">
            <v>4.5833537733945242</v>
          </cell>
          <cell r="V236">
            <v>4.5596346895351063</v>
          </cell>
          <cell r="W236">
            <v>4.5393484279106708</v>
          </cell>
          <cell r="X236">
            <v>4.5220999615555177</v>
          </cell>
          <cell r="Y236">
            <v>4.5075276890448865</v>
          </cell>
          <cell r="Z236">
            <v>4.4953152726761063</v>
          </cell>
          <cell r="AA236">
            <v>4.4851855425724967</v>
          </cell>
          <cell r="AB236">
            <v>4.4768952182318333</v>
          </cell>
          <cell r="AC236">
            <v>4.4702290656460173</v>
          </cell>
          <cell r="AD236">
            <v>4.4649950617015319</v>
          </cell>
          <cell r="AE236">
            <v>4.4610205256970143</v>
          </cell>
          <cell r="AF236">
            <v>4.458149215219394</v>
          </cell>
          <cell r="AG236">
            <v>4.4562412877810704</v>
          </cell>
          <cell r="AH236">
            <v>4.4551734513674219</v>
          </cell>
          <cell r="AI236">
            <v>4.4548367861243889</v>
          </cell>
          <cell r="AJ236">
            <v>4.4551346911929315</v>
          </cell>
          <cell r="AK236">
            <v>4.4559811737700645</v>
          </cell>
          <cell r="AL236">
            <v>4.4572994944487814</v>
          </cell>
          <cell r="AM236">
            <v>4.4590214831728066</v>
          </cell>
          <cell r="AN236">
            <v>4.4610868034137861</v>
          </cell>
          <cell r="AO236">
            <v>4.4634419922960662</v>
          </cell>
          <cell r="AP236">
            <v>4.4660396223463588</v>
          </cell>
          <cell r="AQ236">
            <v>4.4688375829934639</v>
          </cell>
          <cell r="AR236">
            <v>4.471798462324216</v>
          </cell>
          <cell r="AS236">
            <v>4.474889022103155</v>
          </cell>
          <cell r="AT236">
            <v>4.4780798092858705</v>
          </cell>
          <cell r="AU236">
            <v>4.4813448054846958</v>
          </cell>
          <cell r="AV236">
            <v>4.4846610657558967</v>
          </cell>
          <cell r="AW236">
            <v>4.4880083984492618</v>
          </cell>
          <cell r="AX236">
            <v>4.4913690842597864</v>
          </cell>
          <cell r="AY236">
            <v>4.4947276289931475</v>
          </cell>
          <cell r="AZ236">
            <v>4.4980705454176002</v>
          </cell>
          <cell r="BA236">
            <v>4.5013861577735579</v>
          </cell>
          <cell r="BB236">
            <v>4.5046643669492337</v>
          </cell>
          <cell r="BC236">
            <v>4.5078963928438514</v>
          </cell>
          <cell r="BD236">
            <v>4.5110746586160255</v>
          </cell>
          <cell r="BE236">
            <v>4.5141929484584677</v>
          </cell>
          <cell r="BF236">
            <v>4.5172464575294882</v>
          </cell>
          <cell r="BG236">
            <v>4.5202312913883169</v>
          </cell>
          <cell r="BH236">
            <v>4.5231441998233226</v>
          </cell>
          <cell r="BI236">
            <v>4.5259825177906734</v>
          </cell>
        </row>
        <row r="237">
          <cell r="B237">
            <v>5.6343360383321777</v>
          </cell>
          <cell r="C237">
            <v>5.549379804666815</v>
          </cell>
          <cell r="D237">
            <v>5.4967763526980935</v>
          </cell>
          <cell r="E237">
            <v>5.4605761650430242</v>
          </cell>
          <cell r="F237">
            <v>5.4192190152519357</v>
          </cell>
          <cell r="G237">
            <v>5.3660269930303945</v>
          </cell>
          <cell r="H237">
            <v>5.3013860703857656</v>
          </cell>
          <cell r="I237">
            <v>5.2280504764735545</v>
          </cell>
          <cell r="J237">
            <v>5.1495682819810735</v>
          </cell>
          <cell r="K237">
            <v>5.0697938181357083</v>
          </cell>
          <cell r="L237">
            <v>4.9919757239520619</v>
          </cell>
          <cell r="M237">
            <v>4.9182345265192398</v>
          </cell>
          <cell r="N237">
            <v>4.8499123077073429</v>
          </cell>
          <cell r="O237">
            <v>4.7877264172657279</v>
          </cell>
          <cell r="P237">
            <v>4.7318530734539381</v>
          </cell>
          <cell r="Q237">
            <v>4.6820894922577931</v>
          </cell>
          <cell r="R237">
            <v>4.6380464472138625</v>
          </cell>
          <cell r="S237">
            <v>4.5993097864730101</v>
          </cell>
          <cell r="T237">
            <v>4.5654619536855483</v>
          </cell>
          <cell r="U237">
            <v>4.5360828448374786</v>
          </cell>
          <cell r="V237">
            <v>4.5107504148372231</v>
          </cell>
          <cell r="W237">
            <v>4.4890411278550149</v>
          </cell>
          <cell r="X237">
            <v>4.4705363528011635</v>
          </cell>
          <cell r="Y237">
            <v>4.4548543737635358</v>
          </cell>
          <cell r="Z237">
            <v>4.4416618635837448</v>
          </cell>
          <cell r="AA237">
            <v>4.430667117632856</v>
          </cell>
          <cell r="AB237">
            <v>4.4216141945954863</v>
          </cell>
          <cell r="AC237">
            <v>4.4142767082833076</v>
          </cell>
          <cell r="AD237">
            <v>4.4084527319236591</v>
          </cell>
          <cell r="AE237">
            <v>4.4039607215902716</v>
          </cell>
          <cell r="AF237">
            <v>4.4006364862083345</v>
          </cell>
          <cell r="AG237">
            <v>4.3983332208147194</v>
          </cell>
          <cell r="AH237">
            <v>4.3969215337778964</v>
          </cell>
          <cell r="AI237">
            <v>4.3962871208510972</v>
          </cell>
          <cell r="AJ237">
            <v>4.3963286098316221</v>
          </cell>
          <cell r="AK237">
            <v>4.3969557645132333</v>
          </cell>
          <cell r="AL237">
            <v>4.3980880705565264</v>
          </cell>
          <cell r="AM237">
            <v>4.3996540187073743</v>
          </cell>
          <cell r="AN237">
            <v>4.40159030617873</v>
          </cell>
          <cell r="AO237">
            <v>4.4038408277904662</v>
          </cell>
          <cell r="AP237">
            <v>4.4063557982124344</v>
          </cell>
          <cell r="AQ237">
            <v>4.4090909996013794</v>
          </cell>
          <cell r="AR237">
            <v>4.4120071342200102</v>
          </cell>
          <cell r="AS237">
            <v>4.415069274947804</v>
          </cell>
          <cell r="AT237">
            <v>4.4182464534767876</v>
          </cell>
          <cell r="AU237">
            <v>4.4215112856423797</v>
          </cell>
          <cell r="AV237">
            <v>4.424839593576058</v>
          </cell>
          <cell r="AW237">
            <v>4.4282100717161779</v>
          </cell>
          <cell r="AX237">
            <v>4.4316039937154441</v>
          </cell>
          <cell r="AY237">
            <v>4.435004954519469</v>
          </cell>
          <cell r="AZ237">
            <v>4.4383986427890392</v>
          </cell>
          <cell r="BA237">
            <v>4.4417726362781211</v>
          </cell>
          <cell r="BB237">
            <v>4.4451161491285811</v>
          </cell>
          <cell r="BC237">
            <v>4.4484197593481483</v>
          </cell>
          <cell r="BD237">
            <v>4.4516752936900916</v>
          </cell>
          <cell r="BE237">
            <v>4.4548760026670617</v>
          </cell>
          <cell r="BF237">
            <v>4.4580165957550726</v>
          </cell>
          <cell r="BG237">
            <v>4.4610927215984919</v>
          </cell>
          <cell r="BH237">
            <v>4.4641007069400152</v>
          </cell>
          <cell r="BI237">
            <v>4.467037495621355</v>
          </cell>
        </row>
        <row r="238">
          <cell r="B238">
            <v>5.5885673444508939</v>
          </cell>
          <cell r="C238">
            <v>5.4924055018932432</v>
          </cell>
          <cell r="D238">
            <v>5.4301859015561886</v>
          </cell>
          <cell r="E238">
            <v>5.3864526380942808</v>
          </cell>
          <cell r="F238">
            <v>5.3396108290755437</v>
          </cell>
          <cell r="G238">
            <v>5.2828168682641934</v>
          </cell>
          <cell r="H238">
            <v>5.2161384382597467</v>
          </cell>
          <cell r="I238">
            <v>5.1419958079872101</v>
          </cell>
          <cell r="J238">
            <v>5.0636344919844856</v>
          </cell>
          <cell r="K238">
            <v>4.9846284250792374</v>
          </cell>
          <cell r="L238">
            <v>4.9079936663226027</v>
          </cell>
          <cell r="M238">
            <v>4.8356818797569501</v>
          </cell>
          <cell r="N238">
            <v>4.7689095968410697</v>
          </cell>
          <cell r="O238">
            <v>4.7083045486202639</v>
          </cell>
          <cell r="P238">
            <v>4.6539853991404145</v>
          </cell>
          <cell r="Q238">
            <v>4.605715282854602</v>
          </cell>
          <cell r="R238">
            <v>4.5630895228900163</v>
          </cell>
          <cell r="S238">
            <v>4.5256869507698223</v>
          </cell>
          <cell r="T238">
            <v>4.4930873086101437</v>
          </cell>
          <cell r="U238">
            <v>4.4648710237601978</v>
          </cell>
          <cell r="V238">
            <v>4.4406190456515597</v>
          </cell>
          <cell r="W238">
            <v>4.4199127419625226</v>
          </cell>
          <cell r="X238">
            <v>4.4023403073894025</v>
          </cell>
          <cell r="Y238">
            <v>4.387527844492185</v>
          </cell>
          <cell r="Z238">
            <v>4.3751490693201962</v>
          </cell>
          <cell r="AA238">
            <v>4.3649185659333964</v>
          </cell>
          <cell r="AB238">
            <v>4.3565859533602191</v>
          </cell>
          <cell r="AC238">
            <v>4.3499297814572531</v>
          </cell>
          <cell r="AD238">
            <v>4.3447525428354261</v>
          </cell>
          <cell r="AE238">
            <v>4.340876682401233</v>
          </cell>
          <cell r="AF238">
            <v>4.3381416623743521</v>
          </cell>
          <cell r="AG238">
            <v>4.3364040483890935</v>
          </cell>
          <cell r="AH238">
            <v>4.3355373961900865</v>
          </cell>
          <cell r="AI238">
            <v>4.3354299516598243</v>
          </cell>
          <cell r="AJ238">
            <v>4.335982552227545</v>
          </cell>
          <cell r="AK238">
            <v>4.3371068781733726</v>
          </cell>
          <cell r="AL238">
            <v>4.3387240891491983</v>
          </cell>
          <cell r="AM238">
            <v>4.3407641556669674</v>
          </cell>
          <cell r="AN238">
            <v>4.3431650702261635</v>
          </cell>
          <cell r="AO238">
            <v>4.3458718590191854</v>
          </cell>
          <cell r="AP238">
            <v>4.3488357241639282</v>
          </cell>
          <cell r="AQ238">
            <v>4.3520133084745467</v>
          </cell>
          <cell r="AR238">
            <v>4.3553660628257109</v>
          </cell>
          <cell r="AS238">
            <v>4.3588597105101385</v>
          </cell>
          <cell r="AT238">
            <v>4.3624638479263576</v>
          </cell>
          <cell r="AU238">
            <v>4.3661515765138956</v>
          </cell>
          <cell r="AV238">
            <v>4.369899132825724</v>
          </cell>
          <cell r="AW238">
            <v>4.3736855619539492</v>
          </cell>
          <cell r="AX238">
            <v>4.3774924309441801</v>
          </cell>
          <cell r="AY238">
            <v>4.3813035766001773</v>
          </cell>
          <cell r="AZ238">
            <v>4.3851048829585544</v>
          </cell>
          <cell r="BA238">
            <v>4.3888840804007803</v>
          </cell>
          <cell r="BB238">
            <v>4.3926304903452404</v>
          </cell>
          <cell r="BC238">
            <v>4.3963347553246992</v>
          </cell>
          <cell r="BD238">
            <v>4.3999887332903498</v>
          </cell>
          <cell r="BE238">
            <v>4.4035856867271574</v>
          </cell>
          <cell r="BF238">
            <v>4.4071203046360106</v>
          </cell>
          <cell r="BG238">
            <v>4.4105881903063553</v>
          </cell>
          <cell r="BH238">
            <v>4.4139856181668424</v>
          </cell>
          <cell r="BI238">
            <v>4.4173094743179497</v>
          </cell>
        </row>
        <row r="239">
          <cell r="B239">
            <v>5.5728220896537151</v>
          </cell>
          <cell r="C239">
            <v>5.4809236069276963</v>
          </cell>
          <cell r="D239">
            <v>5.4184312927700145</v>
          </cell>
          <cell r="E239">
            <v>5.3729989304974239</v>
          </cell>
          <cell r="F239">
            <v>5.3251394725634009</v>
          </cell>
          <cell r="G239">
            <v>5.2687774142498371</v>
          </cell>
          <cell r="H239">
            <v>5.2040531335771014</v>
          </cell>
          <cell r="I239">
            <v>5.1331719583416993</v>
          </cell>
          <cell r="J239">
            <v>5.0590118874783867</v>
          </cell>
          <cell r="K239">
            <v>4.9847223662038687</v>
          </cell>
          <cell r="L239">
            <v>4.912995416467087</v>
          </cell>
          <cell r="M239">
            <v>4.8455555205470553</v>
          </cell>
          <cell r="N239">
            <v>4.7834459518515668</v>
          </cell>
          <cell r="O239">
            <v>4.7271860374025039</v>
          </cell>
          <cell r="P239">
            <v>4.6768462491768767</v>
          </cell>
          <cell r="Q239">
            <v>4.6321828835274319</v>
          </cell>
          <cell r="R239">
            <v>4.5928089901730962</v>
          </cell>
          <cell r="S239">
            <v>4.5583261823009247</v>
          </cell>
          <cell r="T239">
            <v>4.5283381341751978</v>
          </cell>
          <cell r="U239">
            <v>4.5024500665220621</v>
          </cell>
          <cell r="V239">
            <v>4.4802683783243289</v>
          </cell>
          <cell r="W239">
            <v>4.4614004006079133</v>
          </cell>
          <cell r="X239">
            <v>4.4454608226802144</v>
          </cell>
          <cell r="Y239">
            <v>4.4321006672706442</v>
          </cell>
          <cell r="Z239">
            <v>4.4210151544862946</v>
          </cell>
          <cell r="AA239">
            <v>4.4119375183899976</v>
          </cell>
          <cell r="AB239">
            <v>4.4046336243179107</v>
          </cell>
          <cell r="AC239">
            <v>4.3988962737755228</v>
          </cell>
          <cell r="AD239">
            <v>4.3945405602705314</v>
          </cell>
          <cell r="AE239">
            <v>4.3914001539836152</v>
          </cell>
          <cell r="AF239">
            <v>4.3893246076077235</v>
          </cell>
          <cell r="AG239">
            <v>4.3881795437404119</v>
          </cell>
          <cell r="AH239">
            <v>4.3878464632378673</v>
          </cell>
          <cell r="AI239">
            <v>4.3882205730620436</v>
          </cell>
          <cell r="AJ239">
            <v>4.3892088282655566</v>
          </cell>
          <cell r="AK239">
            <v>4.3907283005320084</v>
          </cell>
          <cell r="AL239">
            <v>4.392704922627801</v>
          </cell>
          <cell r="AM239">
            <v>4.3950729053797728</v>
          </cell>
          <cell r="AN239">
            <v>4.39777399557825</v>
          </cell>
          <cell r="AO239">
            <v>4.4007565459854012</v>
          </cell>
          <cell r="AP239">
            <v>4.4039747097289101</v>
          </cell>
          <cell r="AQ239">
            <v>4.4073877497822709</v>
          </cell>
          <cell r="AR239">
            <v>4.4109594448035567</v>
          </cell>
          <cell r="AS239">
            <v>4.4146575873257614</v>
          </cell>
          <cell r="AT239">
            <v>4.4184536108018921</v>
          </cell>
          <cell r="AU239">
            <v>4.4223222415900807</v>
          </cell>
          <cell r="AV239">
            <v>4.4262411510304789</v>
          </cell>
          <cell r="AW239">
            <v>4.4301906486762919</v>
          </cell>
          <cell r="AX239">
            <v>4.4341534130883682</v>
          </cell>
          <cell r="AY239">
            <v>4.4381142549344297</v>
          </cell>
          <cell r="AZ239">
            <v>4.4420599079589955</v>
          </cell>
          <cell r="BA239">
            <v>4.4459788395646944</v>
          </cell>
          <cell r="BB239">
            <v>4.449861006271707</v>
          </cell>
          <cell r="BC239">
            <v>4.4536976019485595</v>
          </cell>
          <cell r="BD239">
            <v>4.4574809647426443</v>
          </cell>
          <cell r="BE239">
            <v>4.4612047642399846</v>
          </cell>
          <cell r="BF239">
            <v>4.4648640038997796</v>
          </cell>
          <cell r="BG239">
            <v>4.4684545370038453</v>
          </cell>
          <cell r="BH239">
            <v>4.4719728496460238</v>
          </cell>
          <cell r="BI239">
            <v>4.4754160053480554</v>
          </cell>
        </row>
        <row r="240">
          <cell r="B240">
            <v>5.5790509158812132</v>
          </cell>
          <cell r="C240">
            <v>5.5491303087388628</v>
          </cell>
          <cell r="D240">
            <v>5.5158234003801239</v>
          </cell>
          <cell r="E240">
            <v>5.4717577419439509</v>
          </cell>
          <cell r="F240">
            <v>5.4139013417596233</v>
          </cell>
          <cell r="G240">
            <v>5.3445899841257125</v>
          </cell>
          <cell r="H240">
            <v>5.2679876505225538</v>
          </cell>
          <cell r="I240">
            <v>5.1881572816374035</v>
          </cell>
          <cell r="J240">
            <v>5.108280391010064</v>
          </cell>
          <cell r="K240">
            <v>5.0309812649675036</v>
          </cell>
          <cell r="L240">
            <v>4.9582057380636737</v>
          </cell>
          <cell r="M240">
            <v>4.8911004653233929</v>
          </cell>
          <cell r="N240">
            <v>4.8302725647944946</v>
          </cell>
          <cell r="O240">
            <v>4.7759086316103403</v>
          </cell>
          <cell r="P240">
            <v>4.7278355408750707</v>
          </cell>
          <cell r="Q240">
            <v>4.6856334498560379</v>
          </cell>
          <cell r="R240">
            <v>4.6487989745619389</v>
          </cell>
          <cell r="S240">
            <v>4.61685397434539</v>
          </cell>
          <cell r="T240">
            <v>4.5893462793446789</v>
          </cell>
          <cell r="U240">
            <v>4.5658431977873519</v>
          </cell>
          <cell r="V240">
            <v>4.5459268783499036</v>
          </cell>
          <cell r="W240">
            <v>4.5291909988285779</v>
          </cell>
          <cell r="X240">
            <v>4.5152463913828589</v>
          </cell>
          <cell r="Y240">
            <v>4.5037468519656976</v>
          </cell>
          <cell r="Z240">
            <v>4.4943923021305974</v>
          </cell>
          <cell r="AA240">
            <v>4.4869217430249533</v>
          </cell>
          <cell r="AB240">
            <v>4.4811071673015128</v>
          </cell>
          <cell r="AC240">
            <v>4.4767477353089458</v>
          </cell>
          <cell r="AD240">
            <v>4.4736650910063434</v>
          </cell>
          <cell r="AE240">
            <v>4.4716996148473669</v>
          </cell>
          <cell r="AF240">
            <v>4.4707077762046801</v>
          </cell>
          <cell r="AG240">
            <v>4.4705621458613578</v>
          </cell>
          <cell r="AH240">
            <v>4.4711506696197221</v>
          </cell>
          <cell r="AI240">
            <v>4.472374498338314</v>
          </cell>
          <cell r="AJ240">
            <v>4.4741461014952923</v>
          </cell>
          <cell r="AK240">
            <v>4.4763876957993611</v>
          </cell>
          <cell r="AL240">
            <v>4.4790300492957451</v>
          </cell>
          <cell r="AM240">
            <v>4.4820118514416682</v>
          </cell>
          <cell r="AN240">
            <v>4.4852789153768589</v>
          </cell>
          <cell r="AO240">
            <v>4.4887832929721103</v>
          </cell>
          <cell r="AP240">
            <v>4.4924825140084161</v>
          </cell>
          <cell r="AQ240">
            <v>4.4963389340448057</v>
          </cell>
          <cell r="AR240">
            <v>4.500319173308764</v>
          </cell>
          <cell r="AS240">
            <v>4.5043936433042902</v>
          </cell>
          <cell r="AT240">
            <v>4.5085361817210963</v>
          </cell>
          <cell r="AU240">
            <v>4.5127237096428843</v>
          </cell>
          <cell r="AV240">
            <v>4.5169359045678483</v>
          </cell>
          <cell r="AW240">
            <v>4.5211549132821798</v>
          </cell>
          <cell r="AX240">
            <v>4.5253650998918955</v>
          </cell>
          <cell r="AY240">
            <v>4.5295528240908602</v>
          </cell>
          <cell r="AZ240">
            <v>4.533706245514912</v>
          </cell>
          <cell r="BA240">
            <v>4.5378151454269195</v>
          </cell>
          <cell r="BB240">
            <v>4.5418707048897309</v>
          </cell>
          <cell r="BC240">
            <v>4.5458652971631128</v>
          </cell>
          <cell r="BD240">
            <v>4.5497924098593021</v>
          </cell>
          <cell r="BE240">
            <v>4.5536467876339959</v>
          </cell>
          <cell r="BF240">
            <v>4.5574243532492735</v>
          </cell>
          <cell r="BG240">
            <v>4.5611217691229662</v>
          </cell>
          <cell r="BH240">
            <v>4.5647362709479307</v>
          </cell>
          <cell r="BI240">
            <v>4.5682656188125845</v>
          </cell>
        </row>
        <row r="241">
          <cell r="B241">
            <v>5.586677466091861</v>
          </cell>
          <cell r="C241">
            <v>5.5539868035515578</v>
          </cell>
          <cell r="D241">
            <v>5.5184601947136471</v>
          </cell>
          <cell r="E241">
            <v>5.4730314733036183</v>
          </cell>
          <cell r="F241">
            <v>5.4142862862325938</v>
          </cell>
          <cell r="G241">
            <v>5.3444142978151516</v>
          </cell>
          <cell r="H241">
            <v>5.2675125960043037</v>
          </cell>
          <cell r="I241">
            <v>5.1875588251019371</v>
          </cell>
          <cell r="J241">
            <v>5.1077084688451269</v>
          </cell>
          <cell r="K241">
            <v>5.0306040470574125</v>
          </cell>
          <cell r="L241">
            <v>4.9582031523921879</v>
          </cell>
          <cell r="M241">
            <v>4.8916576342465916</v>
          </cell>
          <cell r="N241">
            <v>4.8315775404047052</v>
          </cell>
          <cell r="O241">
            <v>4.7781391528859762</v>
          </cell>
          <cell r="P241">
            <v>4.7311438777769235</v>
          </cell>
          <cell r="Q241">
            <v>4.6901380579659362</v>
          </cell>
          <cell r="R241">
            <v>4.6545886695020302</v>
          </cell>
          <cell r="S241">
            <v>4.623993853857594</v>
          </cell>
          <cell r="T241">
            <v>4.5978816335804895</v>
          </cell>
          <cell r="U241">
            <v>4.5758024420251928</v>
          </cell>
          <cell r="V241">
            <v>4.5573237874464461</v>
          </cell>
          <cell r="W241">
            <v>4.5420264594031146</v>
          </cell>
          <cell r="X241">
            <v>4.5295108053618742</v>
          </cell>
          <cell r="Y241">
            <v>4.519423270613288</v>
          </cell>
          <cell r="Z241">
            <v>4.5114585409333712</v>
          </cell>
          <cell r="AA241">
            <v>4.5053518409189852</v>
          </cell>
          <cell r="AB241">
            <v>4.5008723565682995</v>
          </cell>
          <cell r="AC241">
            <v>4.4978172198475042</v>
          </cell>
          <cell r="AD241">
            <v>4.4960066904204616</v>
          </cell>
          <cell r="AE241">
            <v>4.4952803013422082</v>
          </cell>
          <cell r="AF241">
            <v>4.4954941595238109</v>
          </cell>
          <cell r="AG241">
            <v>4.4965208860306056</v>
          </cell>
          <cell r="AH241">
            <v>4.4982487109461626</v>
          </cell>
          <cell r="AI241">
            <v>4.5005792539213125</v>
          </cell>
          <cell r="AJ241">
            <v>4.5034256113788098</v>
          </cell>
          <cell r="AK241">
            <v>4.5067107633069439</v>
          </cell>
          <cell r="AL241">
            <v>4.5103663528070284</v>
          </cell>
          <cell r="AM241">
            <v>4.5143319803228659</v>
          </cell>
          <cell r="AN241">
            <v>4.5185543608112955</v>
          </cell>
          <cell r="AO241">
            <v>4.5229864383002356</v>
          </cell>
          <cell r="AP241">
            <v>4.5275866262458475</v>
          </cell>
          <cell r="AQ241">
            <v>4.5323181564101453</v>
          </cell>
          <cell r="AR241">
            <v>4.5371485186144609</v>
          </cell>
          <cell r="AS241">
            <v>4.5420489831602691</v>
          </cell>
          <cell r="AT241">
            <v>4.5469942097680303</v>
          </cell>
          <cell r="AU241">
            <v>4.5519618933894535</v>
          </cell>
          <cell r="AV241">
            <v>4.5569324417506358</v>
          </cell>
          <cell r="AW241">
            <v>4.5618886927714071</v>
          </cell>
          <cell r="AX241">
            <v>4.5668156665863666</v>
          </cell>
          <cell r="AY241">
            <v>4.5717003473234117</v>
          </cell>
          <cell r="AZ241">
            <v>4.576531490555376</v>
          </cell>
          <cell r="BA241">
            <v>4.5812994467214558</v>
          </cell>
          <cell r="BB241">
            <v>4.5859959363832123</v>
          </cell>
          <cell r="BC241">
            <v>4.5906138450633645</v>
          </cell>
          <cell r="BD241">
            <v>4.5951471486053803</v>
          </cell>
          <cell r="BE241">
            <v>4.5995910376428411</v>
          </cell>
          <cell r="BF241">
            <v>4.6039418188409078</v>
          </cell>
          <cell r="BG241">
            <v>4.608196502629899</v>
          </cell>
          <cell r="BH241">
            <v>4.6123526538406887</v>
          </cell>
          <cell r="BI241">
            <v>4.6164083447278568</v>
          </cell>
        </row>
        <row r="242">
          <cell r="B242">
            <v>5.5787675629434013</v>
          </cell>
          <cell r="C242">
            <v>5.5487429779717878</v>
          </cell>
          <cell r="D242">
            <v>5.5215215196954475</v>
          </cell>
          <cell r="E242">
            <v>5.4836681796029607</v>
          </cell>
          <cell r="F242">
            <v>5.4301517770031449</v>
          </cell>
          <cell r="G242">
            <v>5.362974087359901</v>
          </cell>
          <cell r="H242">
            <v>5.2864996366087373</v>
          </cell>
          <cell r="I242">
            <v>5.2051177173446375</v>
          </cell>
          <cell r="J242">
            <v>5.1224351050261516</v>
          </cell>
          <cell r="K242">
            <v>5.0415575760079561</v>
          </cell>
          <cell r="L242">
            <v>4.964847502268789</v>
          </cell>
          <cell r="M242">
            <v>4.89376222507929</v>
          </cell>
          <cell r="N242">
            <v>4.829147699015266</v>
          </cell>
          <cell r="O242">
            <v>4.7713451693594457</v>
          </cell>
          <cell r="P242">
            <v>4.7202474279199649</v>
          </cell>
          <cell r="Q242">
            <v>4.6754416157221526</v>
          </cell>
          <cell r="R242">
            <v>4.6364119161103448</v>
          </cell>
          <cell r="S242">
            <v>4.6026604118777774</v>
          </cell>
          <cell r="T242">
            <v>4.5737089065830716</v>
          </cell>
          <cell r="U242">
            <v>4.5490939943588842</v>
          </cell>
          <cell r="V242">
            <v>4.5283635383466629</v>
          </cell>
          <cell r="W242">
            <v>4.5110742388622596</v>
          </cell>
          <cell r="X242">
            <v>4.4968007580415525</v>
          </cell>
          <cell r="Y242">
            <v>4.485166127487342</v>
          </cell>
          <cell r="Z242">
            <v>4.4758439041809783</v>
          </cell>
          <cell r="AA242">
            <v>4.4685503953232093</v>
          </cell>
          <cell r="AB242">
            <v>4.4630378520193865</v>
          </cell>
          <cell r="AC242">
            <v>4.459088103219397</v>
          </cell>
          <cell r="AD242">
            <v>4.4565074560892963</v>
          </cell>
          <cell r="AE242">
            <v>4.4551226169579126</v>
          </cell>
          <cell r="AF242">
            <v>4.4547779155302765</v>
          </cell>
          <cell r="AG242">
            <v>4.4553354713482216</v>
          </cell>
          <cell r="AH242">
            <v>4.4566742139449635</v>
          </cell>
          <cell r="AI242">
            <v>4.4586874835621382</v>
          </cell>
          <cell r="AJ242">
            <v>4.4612809724771685</v>
          </cell>
          <cell r="AK242">
            <v>4.4643710106123091</v>
          </cell>
          <cell r="AL242">
            <v>4.4678832628147376</v>
          </cell>
          <cell r="AM242">
            <v>4.4717519702005433</v>
          </cell>
          <cell r="AN242">
            <v>4.4759190287162296</v>
          </cell>
          <cell r="AO242">
            <v>4.4803330356117437</v>
          </cell>
          <cell r="AP242">
            <v>4.4849484722083428</v>
          </cell>
          <cell r="AQ242">
            <v>4.4897250034139216</v>
          </cell>
          <cell r="AR242">
            <v>4.4946268750308684</v>
          </cell>
          <cell r="AS242">
            <v>4.4996224040803563</v>
          </cell>
          <cell r="AT242">
            <v>4.5046835727017571</v>
          </cell>
          <cell r="AU242">
            <v>4.5097856508840302</v>
          </cell>
          <cell r="AV242">
            <v>4.5149068472655376</v>
          </cell>
          <cell r="AW242">
            <v>4.5200280030247253</v>
          </cell>
          <cell r="AX242">
            <v>4.5251323232535903</v>
          </cell>
          <cell r="AY242">
            <v>4.5302051405663208</v>
          </cell>
          <cell r="AZ242">
            <v>4.5352337065186923</v>
          </cell>
          <cell r="BA242">
            <v>4.5402070010024369</v>
          </cell>
          <cell r="BB242">
            <v>4.5451155034469428</v>
          </cell>
          <cell r="BC242">
            <v>4.5499509895152199</v>
          </cell>
          <cell r="BD242">
            <v>4.554706445411921</v>
          </cell>
          <cell r="BE242">
            <v>4.5593761574856462</v>
          </cell>
          <cell r="BF242">
            <v>4.5639555812243255</v>
          </cell>
          <cell r="BG242">
            <v>4.5684409401432768</v>
          </cell>
          <cell r="BH242">
            <v>4.5728290821315589</v>
          </cell>
          <cell r="BI242">
            <v>4.5771174268797044</v>
          </cell>
        </row>
        <row r="243">
          <cell r="B243">
            <v>5.5846736609872556</v>
          </cell>
          <cell r="C243">
            <v>5.5442105355348756</v>
          </cell>
          <cell r="D243">
            <v>5.5090058515119429</v>
          </cell>
          <cell r="E243">
            <v>5.4671993769966782</v>
          </cell>
          <cell r="F243">
            <v>5.4147248002728041</v>
          </cell>
          <cell r="G243">
            <v>5.353099170047626</v>
          </cell>
          <cell r="H243">
            <v>5.2856970234660174</v>
          </cell>
          <cell r="I243">
            <v>5.2158660895074442</v>
          </cell>
          <cell r="J243">
            <v>5.1462757103156749</v>
          </cell>
          <cell r="K243">
            <v>5.0791679586434908</v>
          </cell>
          <cell r="L243">
            <v>5.0162032014774036</v>
          </cell>
          <cell r="M243">
            <v>4.958352903659601</v>
          </cell>
          <cell r="N243">
            <v>4.9061252053959876</v>
          </cell>
          <cell r="O243">
            <v>4.859658730038344</v>
          </cell>
          <cell r="P243">
            <v>4.8187738956308213</v>
          </cell>
          <cell r="Q243">
            <v>4.7830772443076182</v>
          </cell>
          <cell r="R243">
            <v>4.7521152788534877</v>
          </cell>
          <cell r="S243">
            <v>4.7254603551557608</v>
          </cell>
          <cell r="T243">
            <v>4.7027083057041841</v>
          </cell>
          <cell r="U243">
            <v>4.6834725704403102</v>
          </cell>
          <cell r="V243">
            <v>4.6673800045070744</v>
          </cell>
          <cell r="W243">
            <v>4.6540679603342152</v>
          </cell>
          <cell r="X243">
            <v>4.6431912374195932</v>
          </cell>
          <cell r="Y243">
            <v>4.6344448839361254</v>
          </cell>
          <cell r="Z243">
            <v>4.6275646925801883</v>
          </cell>
          <cell r="AA243">
            <v>4.6223209637155014</v>
          </cell>
          <cell r="AB243">
            <v>4.6185129885199139</v>
          </cell>
          <cell r="AC243">
            <v>4.6159639088653925</v>
          </cell>
          <cell r="AD243">
            <v>4.6145166051293929</v>
          </cell>
          <cell r="AE243">
            <v>4.6140304073345906</v>
          </cell>
          <cell r="AF243">
            <v>4.6143789000094451</v>
          </cell>
          <cell r="AG243">
            <v>4.6154500847142952</v>
          </cell>
          <cell r="AH243">
            <v>4.6171455021316197</v>
          </cell>
          <cell r="AI243">
            <v>4.6193782901925715</v>
          </cell>
          <cell r="AJ243">
            <v>4.6220715273271686</v>
          </cell>
          <cell r="AK243">
            <v>4.6251568533600125</v>
          </cell>
          <cell r="AL243">
            <v>4.6285734539383139</v>
          </cell>
          <cell r="AM243">
            <v>4.6322675233123416</v>
          </cell>
          <cell r="AN243">
            <v>4.6361915260804167</v>
          </cell>
          <cell r="AO243">
            <v>4.640303415930803</v>
          </cell>
          <cell r="AP243">
            <v>4.6445659662404779</v>
          </cell>
          <cell r="AQ243">
            <v>4.6489461963026804</v>
          </cell>
          <cell r="AR243">
            <v>4.6534148777037228</v>
          </cell>
          <cell r="AS243">
            <v>4.6579461224076324</v>
          </cell>
          <cell r="AT243">
            <v>4.6625170684651236</v>
          </cell>
          <cell r="AU243">
            <v>4.6671075752215652</v>
          </cell>
          <cell r="AV243">
            <v>4.6716999343840158</v>
          </cell>
          <cell r="AW243">
            <v>4.6762786166502055</v>
          </cell>
          <cell r="AX243">
            <v>4.680830049362565</v>
          </cell>
          <cell r="AY243">
            <v>4.6853424208437353</v>
          </cell>
          <cell r="AZ243">
            <v>4.6898055077514584</v>
          </cell>
          <cell r="BA243">
            <v>4.6942105170933024</v>
          </cell>
          <cell r="BB243">
            <v>4.6985498996586639</v>
          </cell>
          <cell r="BC243">
            <v>4.7028171877933636</v>
          </cell>
          <cell r="BD243">
            <v>4.7070069280545148</v>
          </cell>
          <cell r="BE243">
            <v>4.7111147570043794</v>
          </cell>
          <cell r="BF243">
            <v>4.7151372736058699</v>
          </cell>
          <cell r="BG243">
            <v>4.7190716954621514</v>
          </cell>
          <cell r="BH243">
            <v>4.7229157435084561</v>
          </cell>
          <cell r="BI243">
            <v>4.7266675997309893</v>
          </cell>
        </row>
        <row r="244">
          <cell r="B244">
            <v>5.5749992332166203</v>
          </cell>
          <cell r="C244">
            <v>5.5451517784420883</v>
          </cell>
          <cell r="D244">
            <v>5.5122689984033846</v>
          </cell>
          <cell r="E244">
            <v>5.4701519942218306</v>
          </cell>
          <cell r="F244">
            <v>5.4162322271732384</v>
          </cell>
          <cell r="G244">
            <v>5.3526052662403183</v>
          </cell>
          <cell r="H244">
            <v>5.2829393168180694</v>
          </cell>
          <cell r="I244">
            <v>5.2107509771835847</v>
          </cell>
          <cell r="J244">
            <v>5.1388064272539102</v>
          </cell>
          <cell r="K244">
            <v>5.0694142781198339</v>
          </cell>
          <cell r="L244">
            <v>5.0043056779003994</v>
          </cell>
          <cell r="M244">
            <v>4.9444954756867654</v>
          </cell>
          <cell r="N244">
            <v>4.8905098267673459</v>
          </cell>
          <cell r="O244">
            <v>4.8424944570494102</v>
          </cell>
          <cell r="P244">
            <v>4.8002647812923085</v>
          </cell>
          <cell r="Q244">
            <v>4.7634139785398268</v>
          </cell>
          <cell r="R244">
            <v>4.731474821668221</v>
          </cell>
          <cell r="S244">
            <v>4.7040047894706358</v>
          </cell>
          <cell r="T244">
            <v>4.6805835020896298</v>
          </cell>
          <cell r="U244">
            <v>4.6608071856798183</v>
          </cell>
          <cell r="V244">
            <v>4.644284718595487</v>
          </cell>
          <cell r="W244">
            <v>4.6306349370587983</v>
          </cell>
          <cell r="X244">
            <v>4.6194951519373593</v>
          </cell>
          <cell r="Y244">
            <v>4.610545654534433</v>
          </cell>
          <cell r="Z244">
            <v>4.6035096760742595</v>
          </cell>
          <cell r="AA244">
            <v>4.5981469340689545</v>
          </cell>
          <cell r="AB244">
            <v>4.5942478100888628</v>
          </cell>
          <cell r="AC244">
            <v>4.5916279089819838</v>
          </cell>
          <cell r="AD244">
            <v>4.5901237100329872</v>
          </cell>
          <cell r="AE244">
            <v>4.5895890893801337</v>
          </cell>
          <cell r="AF244">
            <v>4.5898930417720862</v>
          </cell>
          <cell r="AG244">
            <v>4.590919852170888</v>
          </cell>
          <cell r="AH244">
            <v>4.592568067753378</v>
          </cell>
          <cell r="AI244">
            <v>4.5947484433354413</v>
          </cell>
          <cell r="AJ244">
            <v>4.5973821974235713</v>
          </cell>
          <cell r="AK244">
            <v>4.6003995606949797</v>
          </cell>
          <cell r="AL244">
            <v>4.6037386932366431</v>
          </cell>
          <cell r="AM244">
            <v>4.6073450444014501</v>
          </cell>
          <cell r="AN244">
            <v>4.611170549763183</v>
          </cell>
          <cell r="AO244">
            <v>4.6151728220787938</v>
          </cell>
          <cell r="AP244">
            <v>4.6193144589489812</v>
          </cell>
          <cell r="AQ244">
            <v>4.6235624493844254</v>
          </cell>
          <cell r="AR244">
            <v>4.6278876632413315</v>
          </cell>
          <cell r="AS244">
            <v>4.6322644185507107</v>
          </cell>
          <cell r="AT244">
            <v>4.6366701286447833</v>
          </cell>
          <cell r="AU244">
            <v>4.6410849776427732</v>
          </cell>
          <cell r="AV244">
            <v>4.6454916259274235</v>
          </cell>
          <cell r="AW244">
            <v>4.6498749522008858</v>
          </cell>
          <cell r="AX244">
            <v>4.65422182712559</v>
          </cell>
          <cell r="AY244">
            <v>4.6585209141282267</v>
          </cell>
          <cell r="AZ244">
            <v>4.6627624936384144</v>
          </cell>
          <cell r="BA244">
            <v>4.6669382995587325</v>
          </cell>
          <cell r="BB244">
            <v>4.671041310191284</v>
          </cell>
          <cell r="BC244">
            <v>4.6750655720257326</v>
          </cell>
          <cell r="BD244">
            <v>4.67900614231253</v>
          </cell>
          <cell r="BE244">
            <v>4.6828591927474195</v>
          </cell>
          <cell r="BF244">
            <v>4.6866218640073658</v>
          </cell>
          <cell r="BG244">
            <v>4.6902918917381644</v>
          </cell>
          <cell r="BH244">
            <v>4.6938674915741956</v>
          </cell>
          <cell r="BI244">
            <v>4.6973473188779362</v>
          </cell>
        </row>
        <row r="245">
          <cell r="B245">
            <v>5.5632439210558857</v>
          </cell>
          <cell r="C245">
            <v>5.532588268560505</v>
          </cell>
          <cell r="D245">
            <v>5.4999290659028031</v>
          </cell>
          <cell r="E245">
            <v>5.4585445175249472</v>
          </cell>
          <cell r="F245">
            <v>5.4064858830305447</v>
          </cell>
          <cell r="G245">
            <v>5.3457507929730781</v>
          </cell>
          <cell r="H245">
            <v>5.2796566906366804</v>
          </cell>
          <cell r="I245">
            <v>5.2114189656189689</v>
          </cell>
          <cell r="J245">
            <v>5.1435727922946448</v>
          </cell>
          <cell r="K245">
            <v>5.0782231978310231</v>
          </cell>
          <cell r="L245">
            <v>5.0169362340224435</v>
          </cell>
          <cell r="M245">
            <v>4.9606357095160787</v>
          </cell>
          <cell r="N245">
            <v>4.9098104102450568</v>
          </cell>
          <cell r="O245">
            <v>4.8645971163239841</v>
          </cell>
          <cell r="P245">
            <v>4.8248200211471115</v>
          </cell>
          <cell r="Q245">
            <v>4.7900979774250194</v>
          </cell>
          <cell r="R245">
            <v>4.7600015206279895</v>
          </cell>
          <cell r="S245">
            <v>4.734121429576958</v>
          </cell>
          <cell r="T245">
            <v>4.7120656719991523</v>
          </cell>
          <cell r="U245">
            <v>4.6934551073015047</v>
          </cell>
          <cell r="V245">
            <v>4.6779204171231141</v>
          </cell>
          <cell r="W245">
            <v>4.6651002144460509</v>
          </cell>
          <cell r="X245">
            <v>4.6546519110013733</v>
          </cell>
          <cell r="Y245">
            <v>4.6462745343753067</v>
          </cell>
          <cell r="Z245">
            <v>4.6397070061470416</v>
          </cell>
          <cell r="AA245">
            <v>4.6347224509653628</v>
          </cell>
          <cell r="AB245">
            <v>4.6311227143962732</v>
          </cell>
          <cell r="AC245">
            <v>4.6287332556742031</v>
          </cell>
          <cell r="AD245">
            <v>4.6273990763798718</v>
          </cell>
          <cell r="AE245">
            <v>4.6269814679652619</v>
          </cell>
          <cell r="AF245">
            <v>4.6273560599556385</v>
          </cell>
          <cell r="AG245">
            <v>4.6284131266158379</v>
          </cell>
          <cell r="AH245">
            <v>4.6300564086085227</v>
          </cell>
          <cell r="AI245">
            <v>4.6322011554835694</v>
          </cell>
          <cell r="AJ245">
            <v>4.6347724815513223</v>
          </cell>
          <cell r="AK245">
            <v>4.6377039996852822</v>
          </cell>
          <cell r="AL245">
            <v>4.6409368515465061</v>
          </cell>
          <cell r="AM245">
            <v>4.6444191423099621</v>
          </cell>
          <cell r="AN245">
            <v>4.6481051578236476</v>
          </cell>
          <cell r="AO245">
            <v>4.6519545927997683</v>
          </cell>
          <cell r="AP245">
            <v>4.6559318911971568</v>
          </cell>
          <cell r="AQ245">
            <v>4.6600056808347663</v>
          </cell>
          <cell r="AR245">
            <v>4.6641482870679205</v>
          </cell>
          <cell r="AS245">
            <v>4.6683353246047377</v>
          </cell>
          <cell r="AT245">
            <v>4.6725453666243846</v>
          </cell>
          <cell r="AU245">
            <v>4.676759634110776</v>
          </cell>
          <cell r="AV245">
            <v>4.6809617143031463</v>
          </cell>
          <cell r="AW245">
            <v>4.6851373142111239</v>
          </cell>
          <cell r="AX245">
            <v>4.6892740443116292</v>
          </cell>
          <cell r="AY245">
            <v>4.6933612282021455</v>
          </cell>
          <cell r="AZ245">
            <v>4.6973897346413489</v>
          </cell>
          <cell r="BA245">
            <v>4.7013518134107599</v>
          </cell>
          <cell r="BB245">
            <v>4.7052408589232648</v>
          </cell>
          <cell r="BC245">
            <v>4.7090512322350921</v>
          </cell>
          <cell r="BD245">
            <v>4.7127782498337174</v>
          </cell>
          <cell r="BE245">
            <v>4.716418374575583</v>
          </cell>
          <cell r="BF245">
            <v>4.719969028181791</v>
          </cell>
          <cell r="BG245">
            <v>4.7234281853310005</v>
          </cell>
          <cell r="BH245">
            <v>4.7267942708449349</v>
          </cell>
          <cell r="BI245">
            <v>4.7300661220995659</v>
          </cell>
        </row>
        <row r="246">
          <cell r="B246">
            <v>5.5582218982905607</v>
          </cell>
          <cell r="C246">
            <v>5.5294840909670793</v>
          </cell>
          <cell r="D246">
            <v>5.4988843854072602</v>
          </cell>
          <cell r="E246">
            <v>5.4594485043296705</v>
          </cell>
          <cell r="F246">
            <v>5.4084372679300072</v>
          </cell>
          <cell r="G246">
            <v>5.3476969155495144</v>
          </cell>
          <cell r="H246">
            <v>5.2806229955559454</v>
          </cell>
          <cell r="I246">
            <v>5.2105593764704876</v>
          </cell>
          <cell r="J246">
            <v>5.1402440481027263</v>
          </cell>
          <cell r="K246">
            <v>5.0720299538716818</v>
          </cell>
          <cell r="L246">
            <v>5.007697803275069</v>
          </cell>
          <cell r="M246">
            <v>4.9483313340901356</v>
          </cell>
          <cell r="N246">
            <v>4.8945428217977565</v>
          </cell>
          <cell r="O246">
            <v>4.8465485547188027</v>
          </cell>
          <cell r="P246">
            <v>4.8042077142753756</v>
          </cell>
          <cell r="Q246">
            <v>4.7671464029134301</v>
          </cell>
          <cell r="R246">
            <v>4.734933068001383</v>
          </cell>
          <cell r="S246">
            <v>4.7071512414825456</v>
          </cell>
          <cell r="T246">
            <v>4.6833976430027411</v>
          </cell>
          <cell r="U246">
            <v>4.6632788829846872</v>
          </cell>
          <cell r="V246">
            <v>4.646409107681114</v>
          </cell>
          <cell r="W246">
            <v>4.6324087383315034</v>
          </cell>
          <cell r="X246">
            <v>4.6209176085679218</v>
          </cell>
          <cell r="Y246">
            <v>4.6116195304450596</v>
          </cell>
          <cell r="Z246">
            <v>4.6042400956858645</v>
          </cell>
          <cell r="AA246">
            <v>4.598540748664238</v>
          </cell>
          <cell r="AB246">
            <v>4.594312992991938</v>
          </cell>
          <cell r="AC246">
            <v>4.591373042247322</v>
          </cell>
          <cell r="AD246">
            <v>4.5895575596362672</v>
          </cell>
          <cell r="AE246">
            <v>4.5887202564949501</v>
          </cell>
          <cell r="AF246">
            <v>4.5887299316660313</v>
          </cell>
          <cell r="AG246">
            <v>4.589470864433058</v>
          </cell>
          <cell r="AH246">
            <v>4.5908415124807851</v>
          </cell>
          <cell r="AI246">
            <v>4.5927524464641998</v>
          </cell>
          <cell r="AJ246">
            <v>4.5951246195842135</v>
          </cell>
          <cell r="AK246">
            <v>4.5978879306418046</v>
          </cell>
          <cell r="AL246">
            <v>4.6009802148942711</v>
          </cell>
          <cell r="AM246">
            <v>4.6043466412863676</v>
          </cell>
          <cell r="AN246">
            <v>4.6079388776045294</v>
          </cell>
          <cell r="AO246">
            <v>4.6117142786998278</v>
          </cell>
          <cell r="AP246">
            <v>4.6156351929435111</v>
          </cell>
          <cell r="AQ246">
            <v>4.6196683677603154</v>
          </cell>
          <cell r="AR246">
            <v>4.6237844383053481</v>
          </cell>
          <cell r="AS246">
            <v>4.6279574971052364</v>
          </cell>
          <cell r="AT246">
            <v>4.6321647405055915</v>
          </cell>
          <cell r="AU246">
            <v>4.6363861402368327</v>
          </cell>
          <cell r="AV246">
            <v>4.6406041482491815</v>
          </cell>
          <cell r="AW246">
            <v>4.6448034383564316</v>
          </cell>
          <cell r="AX246">
            <v>4.6489706795151777</v>
          </cell>
          <cell r="AY246">
            <v>4.6530943363105335</v>
          </cell>
          <cell r="AZ246">
            <v>4.65716449290053</v>
          </cell>
          <cell r="BA246">
            <v>4.6611726794158388</v>
          </cell>
          <cell r="BB246">
            <v>4.6651116239208523</v>
          </cell>
          <cell r="BC246">
            <v>4.6689750712931639</v>
          </cell>
          <cell r="BD246">
            <v>4.6727577779163836</v>
          </cell>
          <cell r="BE246">
            <v>4.6764557073315789</v>
          </cell>
          <cell r="BF246">
            <v>4.680065819749176</v>
          </cell>
          <cell r="BG246">
            <v>4.6835856635684525</v>
          </cell>
          <cell r="BH246">
            <v>4.6870132742956665</v>
          </cell>
          <cell r="BI246">
            <v>4.6903471339083733</v>
          </cell>
        </row>
        <row r="247">
          <cell r="B247">
            <v>5.5505901406418143</v>
          </cell>
          <cell r="C247">
            <v>5.5123728368406395</v>
          </cell>
          <cell r="D247">
            <v>5.4792282397004337</v>
          </cell>
          <cell r="E247">
            <v>5.4392741682467403</v>
          </cell>
          <cell r="F247">
            <v>5.3885355489579343</v>
          </cell>
          <cell r="G247">
            <v>5.3284500686205734</v>
          </cell>
          <cell r="H247">
            <v>5.2622561159015913</v>
          </cell>
          <cell r="I247">
            <v>5.1932199755691881</v>
          </cell>
          <cell r="J247">
            <v>5.1240238802951277</v>
          </cell>
          <cell r="K247">
            <v>5.0569749058736519</v>
          </cell>
          <cell r="L247">
            <v>4.9938148468607881</v>
          </cell>
          <cell r="M247">
            <v>4.9355941443575579</v>
          </cell>
          <cell r="N247">
            <v>4.8828957803488633</v>
          </cell>
          <cell r="O247">
            <v>4.8359138032418212</v>
          </cell>
          <cell r="P247">
            <v>4.7944943748468116</v>
          </cell>
          <cell r="Q247">
            <v>4.7582593712956749</v>
          </cell>
          <cell r="R247">
            <v>4.7267801120699344</v>
          </cell>
          <cell r="S247">
            <v>4.6996445920193244</v>
          </cell>
          <cell r="T247">
            <v>4.6764548068024894</v>
          </cell>
          <cell r="U247">
            <v>4.6568232526847622</v>
          </cell>
          <cell r="V247">
            <v>4.6403704263937104</v>
          </cell>
          <cell r="W247">
            <v>4.6267235437493843</v>
          </cell>
          <cell r="X247">
            <v>4.6155301800562452</v>
          </cell>
          <cell r="Y247">
            <v>4.606481725169898</v>
          </cell>
          <cell r="Z247">
            <v>4.5993105540503452</v>
          </cell>
          <cell r="AA247">
            <v>4.5937840559174852</v>
          </cell>
          <cell r="AB247">
            <v>4.5896988646668833</v>
          </cell>
          <cell r="AC247">
            <v>4.5868756499595307</v>
          </cell>
          <cell r="AD247">
            <v>4.5851549731243537</v>
          </cell>
          <cell r="AE247">
            <v>4.5843939807177945</v>
          </cell>
          <cell r="AF247">
            <v>4.5844645597434397</v>
          </cell>
          <cell r="AG247">
            <v>4.585253712653965</v>
          </cell>
          <cell r="AH247">
            <v>4.5866622101535928</v>
          </cell>
          <cell r="AI247">
            <v>4.5886025815007345</v>
          </cell>
          <cell r="AJ247">
            <v>4.5909974347145486</v>
          </cell>
          <cell r="AK247">
            <v>4.593778063217516</v>
          </cell>
          <cell r="AL247">
            <v>4.5968834932010498</v>
          </cell>
          <cell r="AM247">
            <v>4.6002599201875256</v>
          </cell>
          <cell r="AN247">
            <v>4.6038598898543439</v>
          </cell>
          <cell r="AO247">
            <v>4.6076415046795285</v>
          </cell>
          <cell r="AP247">
            <v>4.6115677462831108</v>
          </cell>
          <cell r="AQ247">
            <v>4.6156058945768992</v>
          </cell>
          <cell r="AR247">
            <v>4.6197270282446796</v>
          </cell>
          <cell r="AS247">
            <v>4.6239056071040547</v>
          </cell>
          <cell r="AT247">
            <v>4.6281191313297407</v>
          </cell>
          <cell r="AU247">
            <v>4.632347820418218</v>
          </cell>
          <cell r="AV247">
            <v>4.6365743239737069</v>
          </cell>
          <cell r="AW247">
            <v>4.6407834685719527</v>
          </cell>
          <cell r="AX247">
            <v>4.6449620356202672</v>
          </cell>
          <cell r="AY247">
            <v>4.6490985658743789</v>
          </cell>
          <cell r="AZ247">
            <v>4.6531831869271745</v>
          </cell>
          <cell r="BA247">
            <v>4.6572074400459247</v>
          </cell>
          <cell r="BB247">
            <v>4.6611640288593961</v>
          </cell>
          <cell r="BC247">
            <v>4.6650466430488136</v>
          </cell>
          <cell r="BD247">
            <v>4.6688499643119288</v>
          </cell>
          <cell r="BE247">
            <v>4.6725698649246015</v>
          </cell>
          <cell r="BF247">
            <v>4.6762031881765296</v>
          </cell>
          <cell r="BG247">
            <v>4.6797473587185978</v>
          </cell>
          <cell r="BH247">
            <v>4.6832002887516362</v>
          </cell>
          <cell r="BI247">
            <v>4.686560337376112</v>
          </cell>
        </row>
        <row r="248">
          <cell r="B248">
            <v>5.5308808759860719</v>
          </cell>
          <cell r="C248">
            <v>5.4833562581319253</v>
          </cell>
          <cell r="D248">
            <v>5.4400081177896604</v>
          </cell>
          <cell r="E248">
            <v>5.3910702987921768</v>
          </cell>
          <cell r="F248">
            <v>5.3330964881562588</v>
          </cell>
          <cell r="G248">
            <v>5.2674422137700514</v>
          </cell>
          <cell r="H248">
            <v>5.1970684325984218</v>
          </cell>
          <cell r="I248">
            <v>5.124946565912806</v>
          </cell>
          <cell r="J248">
            <v>5.0535076425004295</v>
          </cell>
          <cell r="K248">
            <v>4.9848362347955995</v>
          </cell>
          <cell r="L248">
            <v>4.9204950520185946</v>
          </cell>
          <cell r="M248">
            <v>4.8614086138903971</v>
          </cell>
          <cell r="N248">
            <v>4.8080695065768007</v>
          </cell>
          <cell r="O248">
            <v>4.7606062488290899</v>
          </cell>
          <cell r="P248">
            <v>4.7188181198392734</v>
          </cell>
          <cell r="Q248">
            <v>4.6822953662285567</v>
          </cell>
          <cell r="R248">
            <v>4.6505895397670276</v>
          </cell>
          <cell r="S248">
            <v>4.6232741921695748</v>
          </cell>
          <cell r="T248">
            <v>4.5999404958828567</v>
          </cell>
          <cell r="U248">
            <v>4.5801928389023443</v>
          </cell>
          <cell r="V248">
            <v>4.5636456782130965</v>
          </cell>
          <cell r="W248">
            <v>4.5499218915425885</v>
          </cell>
          <cell r="X248">
            <v>4.5386668222276807</v>
          </cell>
          <cell r="Y248">
            <v>4.5295706764961929</v>
          </cell>
          <cell r="Z248">
            <v>4.5223649648061075</v>
          </cell>
          <cell r="AA248">
            <v>4.516816395106428</v>
          </cell>
          <cell r="AB248">
            <v>4.5127209937840478</v>
          </cell>
          <cell r="AC248">
            <v>4.509898880357186</v>
          </cell>
          <cell r="AD248">
            <v>4.5081901134872329</v>
          </cell>
          <cell r="AE248">
            <v>4.5074513793047748</v>
          </cell>
          <cell r="AF248">
            <v>4.5075541973861677</v>
          </cell>
          <cell r="AG248">
            <v>4.5083852558610058</v>
          </cell>
          <cell r="AH248">
            <v>4.5098449794415245</v>
          </cell>
          <cell r="AI248">
            <v>4.5118455209229609</v>
          </cell>
          <cell r="AJ248">
            <v>4.5143090857431254</v>
          </cell>
          <cell r="AK248">
            <v>4.5171665438527278</v>
          </cell>
          <cell r="AL248">
            <v>4.5203564999438246</v>
          </cell>
          <cell r="AM248">
            <v>4.5238247359882315</v>
          </cell>
          <cell r="AN248">
            <v>4.5275233844572771</v>
          </cell>
          <cell r="AO248">
            <v>4.5314101347927753</v>
          </cell>
          <cell r="AP248">
            <v>4.5354475557277052</v>
          </cell>
          <cell r="AQ248">
            <v>4.5396025144182159</v>
          </cell>
          <cell r="AR248">
            <v>4.5438456770991777</v>
          </cell>
          <cell r="AS248">
            <v>4.5481510975770245</v>
          </cell>
          <cell r="AT248">
            <v>4.552495887503083</v>
          </cell>
          <cell r="AU248">
            <v>4.5568598956708453</v>
          </cell>
          <cell r="AV248">
            <v>4.5612254169044126</v>
          </cell>
          <cell r="AW248">
            <v>4.5655769372636446</v>
          </cell>
          <cell r="AX248">
            <v>4.5699009104486681</v>
          </cell>
          <cell r="AY248">
            <v>4.5741855610358551</v>
          </cell>
          <cell r="AZ248">
            <v>4.5784207108192518</v>
          </cell>
          <cell r="BA248">
            <v>4.5825976030720739</v>
          </cell>
          <cell r="BB248">
            <v>4.5867086517762221</v>
          </cell>
          <cell r="BC248">
            <v>4.5907472705405654</v>
          </cell>
          <cell r="BD248">
            <v>4.5947078880800545</v>
          </cell>
          <cell r="BE248">
            <v>4.5985861496255005</v>
          </cell>
          <cell r="BF248">
            <v>4.6023786793254731</v>
          </cell>
          <cell r="BG248">
            <v>4.6060826965396382</v>
          </cell>
          <cell r="BH248">
            <v>4.6096959255061174</v>
          </cell>
          <cell r="BI248">
            <v>4.6132165532590603</v>
          </cell>
        </row>
        <row r="249">
          <cell r="B249">
            <v>5.5205582990187398</v>
          </cell>
          <cell r="C249">
            <v>5.4785061674629425</v>
          </cell>
          <cell r="D249">
            <v>5.4399286945964525</v>
          </cell>
          <cell r="E249">
            <v>5.3946603341227259</v>
          </cell>
          <cell r="F249">
            <v>5.3379007419076858</v>
          </cell>
          <cell r="G249">
            <v>5.2709203627811894</v>
          </cell>
          <cell r="H249">
            <v>5.1970645181782258</v>
          </cell>
          <cell r="I249">
            <v>5.11980954745085</v>
          </cell>
          <cell r="J249">
            <v>5.0420938519761931</v>
          </cell>
          <cell r="K249">
            <v>4.9665076661427241</v>
          </cell>
          <cell r="L249">
            <v>4.8950641794297471</v>
          </cell>
          <cell r="M249">
            <v>4.8289919513571791</v>
          </cell>
          <cell r="N249">
            <v>4.7689791673763073</v>
          </cell>
          <cell r="O249">
            <v>4.7152749878855333</v>
          </cell>
          <cell r="P249">
            <v>4.6677300035613847</v>
          </cell>
          <cell r="Q249">
            <v>4.6259403250641453</v>
          </cell>
          <cell r="R249">
            <v>4.5894467067094196</v>
          </cell>
          <cell r="S249">
            <v>4.5578029082220279</v>
          </cell>
          <cell r="T249">
            <v>4.5305735742201438</v>
          </cell>
          <cell r="U249">
            <v>4.5073315129919527</v>
          </cell>
          <cell r="V249">
            <v>4.4876557527647041</v>
          </cell>
          <cell r="W249">
            <v>4.4711310094629448</v>
          </cell>
          <cell r="X249">
            <v>4.4573658272832848</v>
          </cell>
          <cell r="Y249">
            <v>4.4460183580371222</v>
          </cell>
          <cell r="Z249">
            <v>4.436792162766535</v>
          </cell>
          <cell r="AA249">
            <v>4.4294294765869537</v>
          </cell>
          <cell r="AB249">
            <v>4.4237046925887782</v>
          </cell>
          <cell r="AC249">
            <v>4.4194186279224175</v>
          </cell>
          <cell r="AD249">
            <v>4.4163939679258712</v>
          </cell>
          <cell r="AE249">
            <v>4.4144716384999869</v>
          </cell>
          <cell r="AF249">
            <v>4.4135089601841848</v>
          </cell>
          <cell r="AG249">
            <v>4.4133801227820557</v>
          </cell>
          <cell r="AH249">
            <v>4.4139745482396435</v>
          </cell>
          <cell r="AI249">
            <v>4.4151946607859767</v>
          </cell>
          <cell r="AJ249">
            <v>4.4169540294640655</v>
          </cell>
          <cell r="AK249">
            <v>4.4191758306857691</v>
          </cell>
          <cell r="AL249">
            <v>4.4217918245558376</v>
          </cell>
          <cell r="AM249">
            <v>4.4247417128782534</v>
          </cell>
          <cell r="AN249">
            <v>4.4279722120075036</v>
          </cell>
          <cell r="AO249">
            <v>4.4314361762233094</v>
          </cell>
          <cell r="AP249">
            <v>4.4350918492031521</v>
          </cell>
          <cell r="AQ249">
            <v>4.4389022224273136</v>
          </cell>
          <cell r="AR249">
            <v>4.4428344837063634</v>
          </cell>
          <cell r="AS249">
            <v>4.4468595624615341</v>
          </cell>
          <cell r="AT249">
            <v>4.4509517615167944</v>
          </cell>
          <cell r="AU249">
            <v>4.4550884014062628</v>
          </cell>
          <cell r="AV249">
            <v>4.4592494993947112</v>
          </cell>
          <cell r="AW249">
            <v>4.4634174885681244</v>
          </cell>
          <cell r="AX249">
            <v>4.4675769713213338</v>
          </cell>
          <cell r="AY249">
            <v>4.471714502427127</v>
          </cell>
          <cell r="AZ249">
            <v>4.4758183975507722</v>
          </cell>
          <cell r="BA249">
            <v>4.4798785371483065</v>
          </cell>
          <cell r="BB249">
            <v>4.4838860891148249</v>
          </cell>
          <cell r="BC249">
            <v>4.4878333253167018</v>
          </cell>
          <cell r="BD249">
            <v>4.4917136443387413</v>
          </cell>
          <cell r="BE249">
            <v>4.4955217808989065</v>
          </cell>
          <cell r="BF249">
            <v>4.4992535332515775</v>
          </cell>
          <cell r="BG249">
            <v>4.5029053632948131</v>
          </cell>
          <cell r="BH249">
            <v>4.5064743027778453</v>
          </cell>
          <cell r="BI249">
            <v>4.5099579058100918</v>
          </cell>
        </row>
        <row r="250">
          <cell r="B250">
            <v>5.5168086512972074</v>
          </cell>
          <cell r="C250">
            <v>5.4768763369471092</v>
          </cell>
          <cell r="D250">
            <v>5.4364992309763043</v>
          </cell>
          <cell r="E250">
            <v>5.3883895145467733</v>
          </cell>
          <cell r="F250">
            <v>5.3298777175767915</v>
          </cell>
          <cell r="G250">
            <v>5.2626419411139178</v>
          </cell>
          <cell r="H250">
            <v>5.1899460241585498</v>
          </cell>
          <cell r="I250">
            <v>5.1150619335276888</v>
          </cell>
          <cell r="J250">
            <v>5.040641460636035</v>
          </cell>
          <cell r="K250">
            <v>4.9689347779197925</v>
          </cell>
          <cell r="L250">
            <v>4.9016357802638355</v>
          </cell>
          <cell r="M250">
            <v>4.8397506266371115</v>
          </cell>
          <cell r="N250">
            <v>4.7838173365971404</v>
          </cell>
          <cell r="O250">
            <v>4.7339825894241638</v>
          </cell>
          <cell r="P250">
            <v>4.6900352305397606</v>
          </cell>
          <cell r="Q250">
            <v>4.6515474036128568</v>
          </cell>
          <cell r="R250">
            <v>4.6180607962548956</v>
          </cell>
          <cell r="S250">
            <v>4.5891368719996777</v>
          </cell>
          <cell r="T250">
            <v>4.5643523081357467</v>
          </cell>
          <cell r="U250">
            <v>4.5432951922677036</v>
          </cell>
          <cell r="V250">
            <v>4.5255623055742831</v>
          </cell>
          <cell r="W250">
            <v>4.5107584729958026</v>
          </cell>
          <cell r="X250">
            <v>4.4985156701978468</v>
          </cell>
          <cell r="Y250">
            <v>4.4885140329623594</v>
          </cell>
          <cell r="Z250">
            <v>4.4804764037243938</v>
          </cell>
          <cell r="AA250">
            <v>4.4741620370752209</v>
          </cell>
          <cell r="AB250">
            <v>4.4693603503538997</v>
          </cell>
          <cell r="AC250">
            <v>4.4658855409670331</v>
          </cell>
          <cell r="AD250">
            <v>4.4635723139633363</v>
          </cell>
          <cell r="AE250">
            <v>4.4622724949837078</v>
          </cell>
          <cell r="AF250">
            <v>4.4618534965889731</v>
          </cell>
          <cell r="AG250">
            <v>4.4621986038011219</v>
          </cell>
          <cell r="AH250">
            <v>4.4632052208709982</v>
          </cell>
          <cell r="AI250">
            <v>4.4647827985791819</v>
          </cell>
          <cell r="AJ250">
            <v>4.466851113303167</v>
          </cell>
          <cell r="AK250">
            <v>4.4693388497488149</v>
          </cell>
          <cell r="AL250">
            <v>4.4721827084539232</v>
          </cell>
          <cell r="AM250">
            <v>4.4753267959575878</v>
          </cell>
          <cell r="AN250">
            <v>4.4787217395584076</v>
          </cell>
          <cell r="AO250">
            <v>4.4823238722509586</v>
          </cell>
          <cell r="AP250">
            <v>4.4860945369091914</v>
          </cell>
          <cell r="AQ250">
            <v>4.4899994898722424</v>
          </cell>
          <cell r="AR250">
            <v>4.4940083887800224</v>
          </cell>
          <cell r="AS250">
            <v>4.4980943750447109</v>
          </cell>
          <cell r="AT250">
            <v>4.5022337313726579</v>
          </cell>
          <cell r="AU250">
            <v>4.5064055483923102</v>
          </cell>
          <cell r="AV250">
            <v>4.5105914259537068</v>
          </cell>
          <cell r="AW250">
            <v>4.514775211751231</v>
          </cell>
          <cell r="AX250">
            <v>4.5189427719517345</v>
          </cell>
          <cell r="AY250">
            <v>4.5230817893472981</v>
          </cell>
          <cell r="AZ250">
            <v>4.5271815850352928</v>
          </cell>
          <cell r="BA250">
            <v>4.5312329286317397</v>
          </cell>
          <cell r="BB250">
            <v>4.5352277790944626</v>
          </cell>
          <cell r="BC250">
            <v>4.5391591282878379</v>
          </cell>
          <cell r="BD250">
            <v>4.5430210497638956</v>
          </cell>
          <cell r="BE250">
            <v>4.5468088786154253</v>
          </cell>
          <cell r="BF250">
            <v>4.5505189020370898</v>
          </cell>
          <cell r="BG250">
            <v>4.5541480098130043</v>
          </cell>
          <cell r="BH250">
            <v>4.5576936185573054</v>
          </cell>
          <cell r="BI250">
            <v>4.5611536278116498</v>
          </cell>
        </row>
        <row r="251">
          <cell r="B251">
            <v>5.5214081764294836</v>
          </cell>
          <cell r="C251">
            <v>5.4765728908623634</v>
          </cell>
          <cell r="D251">
            <v>5.4347422222090769</v>
          </cell>
          <cell r="E251">
            <v>5.3858857361379302</v>
          </cell>
          <cell r="F251">
            <v>5.3260298367921051</v>
          </cell>
          <cell r="G251">
            <v>5.2566957643762899</v>
          </cell>
          <cell r="H251">
            <v>5.1812930916386151</v>
          </cell>
          <cell r="I251">
            <v>5.1032633879439731</v>
          </cell>
          <cell r="J251">
            <v>5.0254394940346705</v>
          </cell>
          <cell r="K251">
            <v>4.9502623828921726</v>
          </cell>
          <cell r="L251">
            <v>4.8795749407912545</v>
          </cell>
          <cell r="M251">
            <v>4.8144858107990336</v>
          </cell>
          <cell r="N251">
            <v>4.7556055367475762</v>
          </cell>
          <cell r="O251">
            <v>4.7031134959337635</v>
          </cell>
          <cell r="P251">
            <v>4.6567914137824928</v>
          </cell>
          <cell r="Q251">
            <v>4.6161917670377983</v>
          </cell>
          <cell r="R251">
            <v>4.5808404950404977</v>
          </cell>
          <cell r="S251">
            <v>4.550281023153274</v>
          </cell>
          <cell r="T251">
            <v>4.524069976727719</v>
          </cell>
          <cell r="U251">
            <v>4.5017738811070958</v>
          </cell>
          <cell r="V251">
            <v>4.4829668044854785</v>
          </cell>
          <cell r="W251">
            <v>4.4672308344143179</v>
          </cell>
          <cell r="X251">
            <v>4.4541797306170983</v>
          </cell>
          <cell r="Y251">
            <v>4.4434785159652614</v>
          </cell>
          <cell r="Z251">
            <v>4.4348368209037998</v>
          </cell>
          <cell r="AA251">
            <v>4.4280023716611501</v>
          </cell>
          <cell r="AB251">
            <v>4.4227543537935823</v>
          </cell>
          <cell r="AC251">
            <v>4.4188977957522733</v>
          </cell>
          <cell r="AD251">
            <v>4.4162591132117548</v>
          </cell>
          <cell r="AE251">
            <v>4.414682605071885</v>
          </cell>
          <cell r="AF251">
            <v>4.4140291760943793</v>
          </cell>
          <cell r="AG251">
            <v>4.4141766051100886</v>
          </cell>
          <cell r="AH251">
            <v>4.415017525730395</v>
          </cell>
          <cell r="AI251">
            <v>4.4164572430110045</v>
          </cell>
          <cell r="AJ251">
            <v>4.4184119232456247</v>
          </cell>
          <cell r="AK251">
            <v>4.4208071113159191</v>
          </cell>
          <cell r="AL251">
            <v>4.4235768114313405</v>
          </cell>
          <cell r="AM251">
            <v>4.4266627749451297</v>
          </cell>
          <cell r="AN251">
            <v>4.43001355134089</v>
          </cell>
          <cell r="AO251">
            <v>4.433583638467403</v>
          </cell>
          <cell r="AP251">
            <v>4.4373327571282521</v>
          </cell>
          <cell r="AQ251">
            <v>4.4412252293014749</v>
          </cell>
          <cell r="AR251">
            <v>4.4452294448237213</v>
          </cell>
          <cell r="AS251">
            <v>4.4493174294579587</v>
          </cell>
          <cell r="AT251">
            <v>4.4534644832184576</v>
          </cell>
          <cell r="AU251">
            <v>4.4576488304035742</v>
          </cell>
          <cell r="AV251">
            <v>4.4618513085039329</v>
          </cell>
          <cell r="AW251">
            <v>4.4660550959949026</v>
          </cell>
          <cell r="AX251">
            <v>4.4702454734606043</v>
          </cell>
          <cell r="AY251">
            <v>4.4744096133830356</v>
          </cell>
          <cell r="AZ251">
            <v>4.4785363942334371</v>
          </cell>
          <cell r="BA251">
            <v>4.482616203478397</v>
          </cell>
          <cell r="BB251">
            <v>4.4866406961123362</v>
          </cell>
          <cell r="BC251">
            <v>4.4906026503211658</v>
          </cell>
          <cell r="BD251">
            <v>4.4944959979677117</v>
          </cell>
          <cell r="BE251">
            <v>4.4983159140552438</v>
          </cell>
          <cell r="BF251">
            <v>4.5020584844616867</v>
          </cell>
          <cell r="BG251">
            <v>4.5057204142191596</v>
          </cell>
          <cell r="BH251">
            <v>4.5092989603546236</v>
          </cell>
          <cell r="BI251">
            <v>4.5127918858903113</v>
          </cell>
        </row>
        <row r="252">
          <cell r="B252">
            <v>5.4919307977495189</v>
          </cell>
          <cell r="C252">
            <v>5.4494642328521614</v>
          </cell>
          <cell r="D252">
            <v>5.41155924044548</v>
          </cell>
          <cell r="E252">
            <v>5.3662842384162213</v>
          </cell>
          <cell r="F252">
            <v>5.3094671666958755</v>
          </cell>
          <cell r="G252">
            <v>5.2427609885234645</v>
          </cell>
          <cell r="H252">
            <v>5.169758991700915</v>
          </cell>
          <cell r="I252">
            <v>5.0940297285546254</v>
          </cell>
          <cell r="J252">
            <v>5.0184375751035821</v>
          </cell>
          <cell r="K252">
            <v>4.9454098106460087</v>
          </cell>
          <cell r="L252">
            <v>4.8767828673108475</v>
          </cell>
          <cell r="M252">
            <v>4.8136406588477998</v>
          </cell>
          <cell r="N252">
            <v>4.7565516168251882</v>
          </cell>
          <cell r="O252">
            <v>4.7056690087923689</v>
          </cell>
          <cell r="P252">
            <v>4.6607736137002966</v>
          </cell>
          <cell r="Q252">
            <v>4.6214343070696824</v>
          </cell>
          <cell r="R252">
            <v>4.5871971990080551</v>
          </cell>
          <cell r="S252">
            <v>4.5576237221057569</v>
          </cell>
          <cell r="T252">
            <v>4.5322868169028796</v>
          </cell>
          <cell r="U252">
            <v>4.5107680549018356</v>
          </cell>
          <cell r="V252">
            <v>4.4926555835763269</v>
          </cell>
          <cell r="W252">
            <v>4.4775450566777293</v>
          </cell>
          <cell r="X252">
            <v>4.465063516087425</v>
          </cell>
          <cell r="Y252">
            <v>4.4548873453064184</v>
          </cell>
          <cell r="Z252">
            <v>4.4467356424498137</v>
          </cell>
          <cell r="AA252">
            <v>4.4403639640829971</v>
          </cell>
          <cell r="AB252">
            <v>4.435557938673945</v>
          </cell>
          <cell r="AC252">
            <v>4.4321278974139062</v>
          </cell>
          <cell r="AD252">
            <v>4.429904615127179</v>
          </cell>
          <cell r="AE252">
            <v>4.4287359750365889</v>
          </cell>
          <cell r="AF252">
            <v>4.4284859016875524</v>
          </cell>
          <cell r="AG252">
            <v>4.4290346595827694</v>
          </cell>
          <cell r="AH252">
            <v>4.4302768616999062</v>
          </cell>
          <cell r="AI252">
            <v>4.4321193601404429</v>
          </cell>
          <cell r="AJ252">
            <v>4.4344794976834265</v>
          </cell>
          <cell r="AK252">
            <v>4.4372836822791708</v>
          </cell>
          <cell r="AL252">
            <v>4.4404665462270083</v>
          </cell>
          <cell r="AM252">
            <v>4.4439702757661443</v>
          </cell>
          <cell r="AN252">
            <v>4.4477436840035223</v>
          </cell>
          <cell r="AO252">
            <v>4.4517413825554915</v>
          </cell>
          <cell r="AP252">
            <v>4.4559230744125067</v>
          </cell>
          <cell r="AQ252">
            <v>4.4602529478231707</v>
          </cell>
          <cell r="AR252">
            <v>4.464699157796872</v>
          </cell>
          <cell r="AS252">
            <v>4.4692334240306231</v>
          </cell>
          <cell r="AT252">
            <v>4.4738306981168732</v>
          </cell>
          <cell r="AU252">
            <v>4.4784688203711509</v>
          </cell>
          <cell r="AV252">
            <v>4.4831282125225069</v>
          </cell>
          <cell r="AW252">
            <v>4.4877916088162726</v>
          </cell>
          <cell r="AX252">
            <v>4.4924438200430137</v>
          </cell>
          <cell r="AY252">
            <v>4.4970715258840022</v>
          </cell>
          <cell r="AZ252">
            <v>4.5016630912931763</v>
          </cell>
          <cell r="BA252">
            <v>4.5062083792443159</v>
          </cell>
          <cell r="BB252">
            <v>4.5106985391560448</v>
          </cell>
          <cell r="BC252">
            <v>4.5151258715314153</v>
          </cell>
          <cell r="BD252">
            <v>4.519483831792507</v>
          </cell>
          <cell r="BE252">
            <v>4.5237670684714093</v>
          </cell>
          <cell r="BF252">
            <v>4.5279711243501115</v>
          </cell>
          <cell r="BG252">
            <v>4.5320921916759982</v>
          </cell>
          <cell r="BH252">
            <v>4.5361270466927053</v>
          </cell>
          <cell r="BI252">
            <v>4.5400730009737646</v>
          </cell>
        </row>
        <row r="253">
          <cell r="B253">
            <v>5.4938382500572649</v>
          </cell>
          <cell r="C253">
            <v>5.4506781076717168</v>
          </cell>
          <cell r="D253">
            <v>5.4125419113030198</v>
          </cell>
          <cell r="E253">
            <v>5.366314147769371</v>
          </cell>
          <cell r="F253">
            <v>5.3074922262219184</v>
          </cell>
          <cell r="G253">
            <v>5.2377337622475997</v>
          </cell>
          <cell r="H253">
            <v>5.1607665579714883</v>
          </cell>
          <cell r="I253">
            <v>5.0804097835972097</v>
          </cell>
          <cell r="J253">
            <v>4.9997948099199911</v>
          </cell>
          <cell r="K253">
            <v>4.9216017024258445</v>
          </cell>
          <cell r="L253">
            <v>4.8478640710978596</v>
          </cell>
          <cell r="M253">
            <v>4.7798072412457309</v>
          </cell>
          <cell r="N253">
            <v>4.7181057419048651</v>
          </cell>
          <cell r="O253">
            <v>4.6629718336082524</v>
          </cell>
          <cell r="P253">
            <v>4.6141956083283224</v>
          </cell>
          <cell r="Q253">
            <v>4.5713385180530608</v>
          </cell>
          <cell r="R253">
            <v>4.5339364057188991</v>
          </cell>
          <cell r="S253">
            <v>4.5015333222346268</v>
          </cell>
          <cell r="T253">
            <v>4.4736794452366668</v>
          </cell>
          <cell r="U253">
            <v>4.4499295474071596</v>
          </cell>
          <cell r="V253">
            <v>4.4298419026852311</v>
          </cell>
          <cell r="W253">
            <v>4.412981413980936</v>
          </cell>
          <cell r="X253">
            <v>4.3989493660775771</v>
          </cell>
          <cell r="Y253">
            <v>4.3874000186023192</v>
          </cell>
          <cell r="Z253">
            <v>4.3780330416989033</v>
          </cell>
          <cell r="AA253">
            <v>4.3705868768594636</v>
          </cell>
          <cell r="AB253">
            <v>4.3648318594466318</v>
          </cell>
          <cell r="AC253">
            <v>4.360564523518816</v>
          </cell>
          <cell r="AD253">
            <v>4.3576030848136877</v>
          </cell>
          <cell r="AE253">
            <v>4.3557839584040998</v>
          </cell>
          <cell r="AF253">
            <v>4.3549610209999061</v>
          </cell>
          <cell r="AG253">
            <v>4.3550058199282464</v>
          </cell>
          <cell r="AH253">
            <v>4.3558052871116058</v>
          </cell>
          <cell r="AI253">
            <v>4.3572594767312607</v>
          </cell>
          <cell r="AJ253">
            <v>4.3592796906192541</v>
          </cell>
          <cell r="AK253">
            <v>4.3617869653612091</v>
          </cell>
          <cell r="AL253">
            <v>4.3647112073628787</v>
          </cell>
          <cell r="AM253">
            <v>4.367990414928177</v>
          </cell>
          <cell r="AN253">
            <v>4.371569670132323</v>
          </cell>
          <cell r="AO253">
            <v>4.3754002533504242</v>
          </cell>
          <cell r="AP253">
            <v>4.3794388873672512</v>
          </cell>
          <cell r="AQ253">
            <v>4.3836470894713164</v>
          </cell>
          <cell r="AR253">
            <v>4.387990619308483</v>
          </cell>
          <cell r="AS253">
            <v>4.3924390601400187</v>
          </cell>
          <cell r="AT253">
            <v>4.3969654605001072</v>
          </cell>
          <cell r="AU253">
            <v>4.4015459640329757</v>
          </cell>
          <cell r="AV253">
            <v>4.406159480225873</v>
          </cell>
          <cell r="AW253">
            <v>4.4107873963004165</v>
          </cell>
          <cell r="AX253">
            <v>4.4154133243825617</v>
          </cell>
          <cell r="AY253">
            <v>4.4200228790121665</v>
          </cell>
          <cell r="AZ253">
            <v>4.4246034798511085</v>
          </cell>
          <cell r="BA253">
            <v>4.429144139362041</v>
          </cell>
          <cell r="BB253">
            <v>4.4336352262241761</v>
          </cell>
          <cell r="BC253">
            <v>4.4380683281026005</v>
          </cell>
          <cell r="BD253">
            <v>4.4424362797306252</v>
          </cell>
          <cell r="BE253">
            <v>4.4467331851263712</v>
          </cell>
          <cell r="BF253">
            <v>4.4509540792080307</v>
          </cell>
          <cell r="BG253">
            <v>4.4550946954782953</v>
          </cell>
          <cell r="BH253">
            <v>4.4591514000018941</v>
          </cell>
          <cell r="BI253">
            <v>4.4631211386920908</v>
          </cell>
        </row>
        <row r="254">
          <cell r="B254">
            <v>5.489998239701575</v>
          </cell>
          <cell r="C254">
            <v>5.4470181619330944</v>
          </cell>
          <cell r="D254">
            <v>5.4100133550227838</v>
          </cell>
          <cell r="E254">
            <v>5.3639253339003945</v>
          </cell>
          <cell r="F254">
            <v>5.303960972332149</v>
          </cell>
          <cell r="G254">
            <v>5.2319962707166212</v>
          </cell>
          <cell r="H254">
            <v>5.1521037829122101</v>
          </cell>
          <cell r="I254">
            <v>5.0683482558202515</v>
          </cell>
          <cell r="J254">
            <v>4.9840778811609683</v>
          </cell>
          <cell r="K254">
            <v>4.9021813265158745</v>
          </cell>
          <cell r="L254">
            <v>4.8248291297703316</v>
          </cell>
          <cell r="M254">
            <v>4.7533366420983594</v>
          </cell>
          <cell r="N254">
            <v>4.6884441353284334</v>
          </cell>
          <cell r="O254">
            <v>4.6303948763807075</v>
          </cell>
          <cell r="P254">
            <v>4.5789770689501159</v>
          </cell>
          <cell r="Q254">
            <v>4.533742273021482</v>
          </cell>
          <cell r="R254">
            <v>4.494215709876225</v>
          </cell>
          <cell r="S254">
            <v>4.4599269857225652</v>
          </cell>
          <cell r="T254">
            <v>4.4304089698583251</v>
          </cell>
          <cell r="U254">
            <v>4.4051969788985392</v>
          </cell>
          <cell r="V254">
            <v>4.3838281962886576</v>
          </cell>
          <cell r="W254">
            <v>4.3658464930649243</v>
          </cell>
          <cell r="X254">
            <v>4.3508358320274398</v>
          </cell>
          <cell r="Y254">
            <v>4.3384353520592311</v>
          </cell>
          <cell r="Z254">
            <v>4.3283313706152953</v>
          </cell>
          <cell r="AA254">
            <v>4.3202505531490516</v>
          </cell>
          <cell r="AB254">
            <v>4.3139527126116413</v>
          </cell>
          <cell r="AC254">
            <v>4.3092248902853232</v>
          </cell>
          <cell r="AD254">
            <v>4.3058766612436088</v>
          </cell>
          <cell r="AE254">
            <v>4.3037365652922785</v>
          </cell>
          <cell r="AF254">
            <v>4.3026515857032779</v>
          </cell>
          <cell r="AG254">
            <v>4.302487206989853</v>
          </cell>
          <cell r="AH254">
            <v>4.3031249388872022</v>
          </cell>
          <cell r="AI254">
            <v>4.3044599597126512</v>
          </cell>
          <cell r="AJ254">
            <v>4.3063991637206049</v>
          </cell>
          <cell r="AK254">
            <v>4.3088596024278187</v>
          </cell>
          <cell r="AL254">
            <v>4.3117676338256707</v>
          </cell>
          <cell r="AM254">
            <v>4.315058088165344</v>
          </cell>
          <cell r="AN254">
            <v>4.3186732057276576</v>
          </cell>
          <cell r="AO254">
            <v>4.3225617105693495</v>
          </cell>
          <cell r="AP254">
            <v>4.3266780198187087</v>
          </cell>
          <cell r="AQ254">
            <v>4.3309815659289601</v>
          </cell>
          <cell r="AR254">
            <v>4.3354362204558079</v>
          </cell>
          <cell r="AS254">
            <v>4.3400098576721273</v>
          </cell>
          <cell r="AT254">
            <v>4.344673971797782</v>
          </cell>
          <cell r="AU254">
            <v>4.3494032885352381</v>
          </cell>
          <cell r="AV254">
            <v>4.3541754212948041</v>
          </cell>
          <cell r="AW254">
            <v>4.3589705703917447</v>
          </cell>
          <cell r="AX254">
            <v>4.363771259076378</v>
          </cell>
          <cell r="AY254">
            <v>4.3685621012405766</v>
          </cell>
          <cell r="AZ254">
            <v>4.3733295948080917</v>
          </cell>
          <cell r="BA254">
            <v>4.3780618910435161</v>
          </cell>
          <cell r="BB254">
            <v>4.3827485432948556</v>
          </cell>
          <cell r="BC254">
            <v>4.3873803722805755</v>
          </cell>
          <cell r="BD254">
            <v>4.3919495328084599</v>
          </cell>
          <cell r="BE254">
            <v>4.3964495373004784</v>
          </cell>
          <cell r="BF254">
            <v>4.4008748732682896</v>
          </cell>
          <cell r="BG254">
            <v>4.4052207688284026</v>
          </cell>
          <cell r="BH254">
            <v>4.4094831246279904</v>
          </cell>
          <cell r="BI254">
            <v>4.4136584578006701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trix"/>
      <sheetName val="WorkArea"/>
      <sheetName val="CommandBarMenu"/>
      <sheetName val="Functions"/>
    </sheetNames>
    <definedNames>
      <definedName name="MCovar"/>
      <definedName name="MEigenvalPow"/>
      <definedName name="MEigenvecPow"/>
    </defined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63"/>
  <sheetViews>
    <sheetView workbookViewId="0">
      <selection activeCell="M28" sqref="M28"/>
    </sheetView>
  </sheetViews>
  <sheetFormatPr baseColWidth="10" defaultRowHeight="16" x14ac:dyDescent="0.2"/>
  <cols>
    <col min="2" max="2" width="18.33203125" customWidth="1"/>
    <col min="3" max="3" width="12.1640625" customWidth="1"/>
    <col min="4" max="4" width="11.1640625" customWidth="1"/>
    <col min="5" max="5" width="12.33203125" customWidth="1"/>
    <col min="6" max="6" width="12.1640625" customWidth="1"/>
    <col min="8" max="8" width="12.33203125" customWidth="1"/>
    <col min="9" max="9" width="11.1640625" customWidth="1"/>
  </cols>
  <sheetData>
    <row r="2" spans="2:10" x14ac:dyDescent="0.2">
      <c r="B2" s="39" t="s">
        <v>27</v>
      </c>
      <c r="C2" s="39"/>
      <c r="D2" s="39"/>
      <c r="E2" s="39"/>
      <c r="F2" s="39"/>
      <c r="G2" s="39"/>
      <c r="H2" s="39"/>
    </row>
    <row r="3" spans="2:10" ht="17" customHeight="1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J3" s="13"/>
    </row>
    <row r="4" spans="2:10" ht="34" customHeight="1" x14ac:dyDescent="0.2">
      <c r="B4" s="3" t="s">
        <v>25</v>
      </c>
      <c r="C4" s="42">
        <v>1000</v>
      </c>
      <c r="D4" s="42">
        <v>-1500</v>
      </c>
      <c r="E4" s="42">
        <v>2000</v>
      </c>
      <c r="F4" s="43">
        <v>800</v>
      </c>
      <c r="G4" s="43">
        <v>900</v>
      </c>
      <c r="H4" s="43">
        <v>-750</v>
      </c>
      <c r="J4" s="13"/>
    </row>
    <row r="5" spans="2:10" ht="34" customHeight="1" x14ac:dyDescent="0.2">
      <c r="B5" s="3" t="s">
        <v>7</v>
      </c>
      <c r="C5" s="6">
        <v>100</v>
      </c>
      <c r="D5" s="6">
        <v>80</v>
      </c>
      <c r="E5" s="6">
        <v>70</v>
      </c>
      <c r="F5" s="6">
        <v>85</v>
      </c>
      <c r="G5" s="6">
        <v>75</v>
      </c>
      <c r="H5" s="6">
        <v>65</v>
      </c>
      <c r="J5" s="13"/>
    </row>
    <row r="6" spans="2:10" x14ac:dyDescent="0.2">
      <c r="C6" s="13"/>
      <c r="D6" s="13"/>
      <c r="E6" s="13"/>
      <c r="F6" s="13"/>
      <c r="G6" s="13"/>
      <c r="H6" s="13"/>
      <c r="I6" s="13"/>
      <c r="J6" s="13"/>
    </row>
    <row r="7" spans="2:10" x14ac:dyDescent="0.2">
      <c r="B7" s="39" t="s">
        <v>8</v>
      </c>
      <c r="C7" s="39"/>
      <c r="D7" s="39"/>
      <c r="E7" s="39"/>
      <c r="F7" s="39"/>
      <c r="G7" s="39"/>
      <c r="J7" s="8"/>
    </row>
    <row r="8" spans="2:10" x14ac:dyDescent="0.2">
      <c r="B8" s="3">
        <v>1</v>
      </c>
      <c r="C8" s="3">
        <v>0.95</v>
      </c>
      <c r="D8" s="3">
        <v>0.9</v>
      </c>
      <c r="E8" s="3">
        <v>0.7</v>
      </c>
      <c r="F8" s="3">
        <v>0.67</v>
      </c>
      <c r="G8" s="3">
        <v>0.62</v>
      </c>
      <c r="J8" s="13"/>
    </row>
    <row r="9" spans="2:10" x14ac:dyDescent="0.2">
      <c r="B9" s="3">
        <v>0.95</v>
      </c>
      <c r="C9" s="3">
        <v>1</v>
      </c>
      <c r="D9" s="3">
        <v>0.97</v>
      </c>
      <c r="E9" s="3">
        <v>0.65</v>
      </c>
      <c r="F9" s="3">
        <v>0.75</v>
      </c>
      <c r="G9" s="3">
        <v>0.75</v>
      </c>
      <c r="J9" s="13"/>
    </row>
    <row r="10" spans="2:10" x14ac:dyDescent="0.2">
      <c r="B10" s="3">
        <v>0.9</v>
      </c>
      <c r="C10" s="3">
        <v>0.97</v>
      </c>
      <c r="D10" s="3">
        <v>1</v>
      </c>
      <c r="E10" s="3">
        <v>0.6</v>
      </c>
      <c r="F10" s="3">
        <v>0.79</v>
      </c>
      <c r="G10" s="3">
        <v>0.8</v>
      </c>
      <c r="J10" s="13"/>
    </row>
    <row r="11" spans="2:10" x14ac:dyDescent="0.2">
      <c r="B11" s="3">
        <v>0.7</v>
      </c>
      <c r="C11" s="3">
        <v>0.65</v>
      </c>
      <c r="D11" s="3">
        <v>0.6</v>
      </c>
      <c r="E11" s="3">
        <v>1</v>
      </c>
      <c r="F11" s="3">
        <v>0.98</v>
      </c>
      <c r="G11" s="3">
        <v>0.95</v>
      </c>
      <c r="J11" s="13"/>
    </row>
    <row r="12" spans="2:10" x14ac:dyDescent="0.2">
      <c r="B12" s="3">
        <v>0.67</v>
      </c>
      <c r="C12" s="3">
        <v>0.75</v>
      </c>
      <c r="D12" s="3">
        <v>0.79</v>
      </c>
      <c r="E12" s="3">
        <v>0.98</v>
      </c>
      <c r="F12" s="3">
        <v>1</v>
      </c>
      <c r="G12" s="3">
        <v>0.99</v>
      </c>
      <c r="J12" s="13"/>
    </row>
    <row r="13" spans="2:10" x14ac:dyDescent="0.2">
      <c r="B13" s="3">
        <v>0.62</v>
      </c>
      <c r="C13" s="3">
        <v>0.75</v>
      </c>
      <c r="D13" s="3">
        <v>0.8</v>
      </c>
      <c r="E13" s="3">
        <v>0.95</v>
      </c>
      <c r="F13" s="3">
        <v>0.99</v>
      </c>
      <c r="G13" s="3">
        <v>1</v>
      </c>
      <c r="J13" s="13"/>
    </row>
    <row r="17" spans="2:12" x14ac:dyDescent="0.2">
      <c r="C17" s="39" t="s">
        <v>9</v>
      </c>
      <c r="D17" s="39"/>
      <c r="E17" s="39"/>
      <c r="F17" s="39"/>
      <c r="G17" s="39"/>
      <c r="H17" s="39"/>
      <c r="I17" s="39"/>
    </row>
    <row r="18" spans="2:12" x14ac:dyDescent="0.2">
      <c r="B18" s="4" t="s">
        <v>10</v>
      </c>
      <c r="C18" s="9"/>
      <c r="D18" s="6">
        <v>100</v>
      </c>
      <c r="E18" s="6">
        <v>80</v>
      </c>
      <c r="F18" s="6">
        <v>70</v>
      </c>
      <c r="G18" s="6">
        <v>85</v>
      </c>
      <c r="H18" s="6">
        <v>75</v>
      </c>
      <c r="I18" s="6">
        <v>65</v>
      </c>
    </row>
    <row r="19" spans="2:12" ht="17" customHeight="1" x14ac:dyDescent="0.2">
      <c r="B19" s="5"/>
      <c r="C19" s="9"/>
      <c r="D19" s="3" t="str">
        <f t="array" ref="D19:I19">TRANSPOSE(C20:C25)</f>
        <v>US1</v>
      </c>
      <c r="E19" s="3" t="str">
        <v>US2</v>
      </c>
      <c r="F19" s="3" t="str">
        <v>US3</v>
      </c>
      <c r="G19" s="3" t="str">
        <v>UK1</v>
      </c>
      <c r="H19" s="3" t="str">
        <v>UK2</v>
      </c>
      <c r="I19" s="3" t="str">
        <v>UK3</v>
      </c>
    </row>
    <row r="20" spans="2:12" ht="17" customHeight="1" x14ac:dyDescent="0.2">
      <c r="B20" s="7">
        <f t="array" ref="B20:B25">TRANSPOSE(D18:I18)</f>
        <v>100</v>
      </c>
      <c r="C20" s="3" t="s">
        <v>1</v>
      </c>
      <c r="D20" s="10">
        <f>$B20*D$18</f>
        <v>10000</v>
      </c>
      <c r="E20" s="10">
        <f>$B20*E$18*C8</f>
        <v>7600</v>
      </c>
      <c r="F20" s="10">
        <f>$B20*F$18*D8</f>
        <v>6300</v>
      </c>
      <c r="G20" s="11">
        <f>$B20*G$18*E8</f>
        <v>5950</v>
      </c>
      <c r="H20" s="11">
        <f>$B20*H$18*F8</f>
        <v>5025</v>
      </c>
      <c r="I20" s="11">
        <f>$B20*I$18*G8</f>
        <v>4030</v>
      </c>
    </row>
    <row r="21" spans="2:12" ht="17" customHeight="1" x14ac:dyDescent="0.2">
      <c r="B21" s="7">
        <v>80</v>
      </c>
      <c r="C21" s="3" t="s">
        <v>2</v>
      </c>
      <c r="D21" s="10">
        <f t="array" ref="D21:D25">TRANSPOSE(E20:I20)</f>
        <v>7600</v>
      </c>
      <c r="E21" s="10">
        <f>$B21*E$18</f>
        <v>6400</v>
      </c>
      <c r="F21" s="10">
        <f>$B21*F$18*D9</f>
        <v>5432</v>
      </c>
      <c r="G21" s="11">
        <f>$B21*G$18*E9</f>
        <v>4420</v>
      </c>
      <c r="H21" s="11">
        <f>$B21*H$18*F9</f>
        <v>4500</v>
      </c>
      <c r="I21" s="11">
        <f>$B21*I$18*G9</f>
        <v>3900</v>
      </c>
    </row>
    <row r="22" spans="2:12" ht="17" customHeight="1" x14ac:dyDescent="0.2">
      <c r="B22" s="7">
        <v>70</v>
      </c>
      <c r="C22" s="3" t="s">
        <v>3</v>
      </c>
      <c r="D22" s="10">
        <v>6300</v>
      </c>
      <c r="E22" s="10">
        <f t="array" ref="E22:E25">TRANSPOSE(F21:I21)</f>
        <v>5432</v>
      </c>
      <c r="F22" s="10">
        <f>$B22*F$18</f>
        <v>4900</v>
      </c>
      <c r="G22" s="11">
        <f>$B22*G$18*E10</f>
        <v>3570</v>
      </c>
      <c r="H22" s="11">
        <f>$B22*H$18*F10</f>
        <v>4147.5</v>
      </c>
      <c r="I22" s="11">
        <f>$B22*I$18*G10</f>
        <v>3640</v>
      </c>
    </row>
    <row r="23" spans="2:12" ht="17" customHeight="1" x14ac:dyDescent="0.2">
      <c r="B23" s="7">
        <v>85</v>
      </c>
      <c r="C23" s="3" t="s">
        <v>4</v>
      </c>
      <c r="D23" s="11">
        <v>5950</v>
      </c>
      <c r="E23" s="11">
        <v>4420</v>
      </c>
      <c r="F23" s="11">
        <f t="array" ref="F23:F25">TRANSPOSE(G22:I22)</f>
        <v>3570</v>
      </c>
      <c r="G23" s="12">
        <f>$B23*G$18</f>
        <v>7225</v>
      </c>
      <c r="H23" s="12">
        <f>$B23*H$18*F11</f>
        <v>6247.5</v>
      </c>
      <c r="I23" s="12">
        <f>$B23*I$18*G11</f>
        <v>5248.75</v>
      </c>
    </row>
    <row r="24" spans="2:12" ht="17" customHeight="1" x14ac:dyDescent="0.2">
      <c r="B24" s="7">
        <v>75</v>
      </c>
      <c r="C24" s="3" t="s">
        <v>5</v>
      </c>
      <c r="D24" s="11">
        <v>5025</v>
      </c>
      <c r="E24" s="11">
        <v>4500</v>
      </c>
      <c r="F24" s="11">
        <v>4147.5</v>
      </c>
      <c r="G24" s="12">
        <f t="array" ref="G24:G25">TRANSPOSE(H23:I23)</f>
        <v>6247.5</v>
      </c>
      <c r="H24" s="12">
        <f>$B24*H$18</f>
        <v>5625</v>
      </c>
      <c r="I24" s="12">
        <f>$B24*I$18*G12</f>
        <v>4826.25</v>
      </c>
    </row>
    <row r="25" spans="2:12" ht="17" customHeight="1" x14ac:dyDescent="0.2">
      <c r="B25" s="7">
        <v>65</v>
      </c>
      <c r="C25" s="3" t="s">
        <v>6</v>
      </c>
      <c r="D25" s="11">
        <v>4030</v>
      </c>
      <c r="E25" s="11">
        <v>3900</v>
      </c>
      <c r="F25" s="11">
        <v>3640</v>
      </c>
      <c r="G25" s="12">
        <v>5248.75</v>
      </c>
      <c r="H25" s="12">
        <f>I24</f>
        <v>4826.25</v>
      </c>
      <c r="I25" s="12">
        <f>$B25*I$18</f>
        <v>4225</v>
      </c>
    </row>
    <row r="28" spans="2:12" x14ac:dyDescent="0.2">
      <c r="B28" s="23" t="s">
        <v>11</v>
      </c>
      <c r="C28" s="23"/>
      <c r="D28" s="23"/>
      <c r="F28" s="23" t="s">
        <v>12</v>
      </c>
      <c r="G28" s="23"/>
      <c r="H28" s="23"/>
      <c r="J28" s="23" t="s">
        <v>13</v>
      </c>
      <c r="K28" s="23"/>
      <c r="L28" s="23"/>
    </row>
    <row r="29" spans="2:12" x14ac:dyDescent="0.2">
      <c r="B29" s="10">
        <f t="array" ref="B29:D31">D20:F22</f>
        <v>10000</v>
      </c>
      <c r="C29" s="10">
        <v>7600</v>
      </c>
      <c r="D29" s="10">
        <v>6300</v>
      </c>
      <c r="F29" s="12">
        <f t="array" ref="F29:H31">G23:I25</f>
        <v>7225</v>
      </c>
      <c r="G29" s="12">
        <v>6247.5</v>
      </c>
      <c r="H29" s="12">
        <v>5248.75</v>
      </c>
      <c r="J29" s="11">
        <f t="array" ref="J29:L31">G20:I22</f>
        <v>5950</v>
      </c>
      <c r="K29" s="11">
        <v>5025</v>
      </c>
      <c r="L29" s="11">
        <v>4030</v>
      </c>
    </row>
    <row r="30" spans="2:12" x14ac:dyDescent="0.2">
      <c r="B30" s="10">
        <v>7600</v>
      </c>
      <c r="C30" s="10">
        <v>6400</v>
      </c>
      <c r="D30" s="10">
        <v>5432</v>
      </c>
      <c r="F30" s="12">
        <v>6247.5</v>
      </c>
      <c r="G30" s="12">
        <v>5625</v>
      </c>
      <c r="H30" s="12">
        <v>4826.25</v>
      </c>
      <c r="J30" s="11">
        <v>4420</v>
      </c>
      <c r="K30" s="11">
        <v>4500</v>
      </c>
      <c r="L30" s="11">
        <v>3900</v>
      </c>
    </row>
    <row r="31" spans="2:12" x14ac:dyDescent="0.2">
      <c r="B31" s="10">
        <v>6300</v>
      </c>
      <c r="C31" s="10">
        <v>5432</v>
      </c>
      <c r="D31" s="10">
        <v>4900</v>
      </c>
      <c r="F31" s="12">
        <v>5248.75</v>
      </c>
      <c r="G31" s="12">
        <v>4826.25</v>
      </c>
      <c r="H31" s="12">
        <v>4225</v>
      </c>
      <c r="J31" s="11">
        <v>3570</v>
      </c>
      <c r="K31" s="11">
        <v>4147.5</v>
      </c>
      <c r="L31" s="11">
        <v>3640</v>
      </c>
    </row>
    <row r="35" spans="2:9" x14ac:dyDescent="0.2">
      <c r="B35" s="39" t="s">
        <v>15</v>
      </c>
      <c r="C35" s="39"/>
      <c r="E35" s="45" t="s">
        <v>17</v>
      </c>
      <c r="F35" s="45"/>
      <c r="H35" s="47" t="s">
        <v>18</v>
      </c>
      <c r="I35" s="47"/>
    </row>
    <row r="36" spans="2:9" x14ac:dyDescent="0.2">
      <c r="B36" s="2" t="s">
        <v>19</v>
      </c>
      <c r="C36" s="9">
        <f t="array" ref="C36">MMULT(C4:H4,MMULT(D20:I25,TRANSPOSE(C4:H4)))</f>
        <v>35519275000</v>
      </c>
      <c r="E36" s="46" t="s">
        <v>19</v>
      </c>
      <c r="F36" s="10">
        <f t="array" ref="F36">MMULT(C4:E4,MMULT(_xlfn.ANCHORARRAY(B29),TRANSPOSE(C4:E4)))</f>
        <v>13808000000</v>
      </c>
      <c r="H36" s="44" t="s">
        <v>19</v>
      </c>
      <c r="I36" s="12">
        <f t="array" ref="I36">MMULT(F4:H4,MMULT(_xlfn.ANCHORARRAY(F29),TRANSPOSE(F4:H4)))</f>
        <v>7739275000</v>
      </c>
    </row>
    <row r="37" spans="2:9" x14ac:dyDescent="0.2">
      <c r="B37" s="9" t="s">
        <v>14</v>
      </c>
      <c r="C37" s="9">
        <f>_xlfn.NORM.S.INV(0.99)</f>
        <v>2.3263478740408408</v>
      </c>
      <c r="E37" s="10" t="s">
        <v>14</v>
      </c>
      <c r="F37" s="10">
        <f>_xlfn.NORM.S.INV(0.99)</f>
        <v>2.3263478740408408</v>
      </c>
      <c r="H37" s="12" t="s">
        <v>14</v>
      </c>
      <c r="I37" s="12">
        <f>_xlfn.NORM.S.INV(0.99)</f>
        <v>2.3263478740408408</v>
      </c>
    </row>
    <row r="38" spans="2:9" x14ac:dyDescent="0.2">
      <c r="B38" s="9" t="s">
        <v>22</v>
      </c>
      <c r="C38" s="9">
        <f>C37*SQRT(C36)</f>
        <v>438436.50232113159</v>
      </c>
      <c r="E38" s="10" t="s">
        <v>22</v>
      </c>
      <c r="F38" s="10">
        <f>F37*SQRT(F36)</f>
        <v>273363.19851801253</v>
      </c>
      <c r="H38" s="12" t="s">
        <v>22</v>
      </c>
      <c r="I38" s="12">
        <f>I37*SQRT(I36)</f>
        <v>204656.14887634839</v>
      </c>
    </row>
    <row r="39" spans="2:9" x14ac:dyDescent="0.2">
      <c r="B39" s="9" t="s">
        <v>16</v>
      </c>
      <c r="C39" s="9">
        <f>C38*SQRT(10/250)</f>
        <v>87687.300464226326</v>
      </c>
      <c r="E39" s="10" t="s">
        <v>16</v>
      </c>
      <c r="F39" s="10">
        <f>F38*SQRT(10/250)</f>
        <v>54672.639703602508</v>
      </c>
      <c r="H39" s="12" t="s">
        <v>16</v>
      </c>
      <c r="I39" s="12">
        <f>I38*SQRT(10/250)</f>
        <v>40931.229775269683</v>
      </c>
    </row>
    <row r="41" spans="2:9" x14ac:dyDescent="0.2">
      <c r="B41" s="9" t="s">
        <v>28</v>
      </c>
      <c r="C41" s="9">
        <f>F39+I39</f>
        <v>95603.869478872191</v>
      </c>
    </row>
    <row r="44" spans="2:9" x14ac:dyDescent="0.2">
      <c r="C44" s="40" t="s">
        <v>20</v>
      </c>
      <c r="D44" s="41" t="s">
        <v>241</v>
      </c>
    </row>
    <row r="45" spans="2:9" ht="17" customHeight="1" x14ac:dyDescent="0.2">
      <c r="B45" s="48" t="s">
        <v>1</v>
      </c>
      <c r="C45" s="10">
        <f t="array" ref="C45:C50">MMULT(D20:I25,TRANSPOSE(C4:H4))</f>
        <v>17460000</v>
      </c>
      <c r="D45" s="10">
        <f t="shared" ref="D45:D50" si="0">_xlfn.NORM.S.INV(0.99)*C45/SQRT($C$36)</f>
        <v>215.51963914035287</v>
      </c>
    </row>
    <row r="46" spans="2:9" ht="17" customHeight="1" x14ac:dyDescent="0.2">
      <c r="B46" s="48" t="s">
        <v>2</v>
      </c>
      <c r="C46" s="10">
        <v>13525000</v>
      </c>
      <c r="D46" s="10">
        <f t="shared" si="0"/>
        <v>166.9474867911382</v>
      </c>
    </row>
    <row r="47" spans="2:9" ht="17" customHeight="1" x14ac:dyDescent="0.2">
      <c r="B47" s="48" t="s">
        <v>3</v>
      </c>
      <c r="C47" s="10">
        <v>11810750</v>
      </c>
      <c r="D47" s="10">
        <f t="shared" si="0"/>
        <v>145.78743287382147</v>
      </c>
    </row>
    <row r="48" spans="2:9" ht="17" customHeight="1" x14ac:dyDescent="0.2">
      <c r="B48" s="49" t="s">
        <v>4</v>
      </c>
      <c r="C48" s="12">
        <v>13926187.5</v>
      </c>
      <c r="D48" s="12">
        <f t="shared" si="0"/>
        <v>171.89959361975332</v>
      </c>
    </row>
    <row r="49" spans="2:4" ht="17" customHeight="1" x14ac:dyDescent="0.2">
      <c r="B49" s="49" t="s">
        <v>5</v>
      </c>
      <c r="C49" s="12">
        <v>13010812.5</v>
      </c>
      <c r="D49" s="12">
        <f t="shared" si="0"/>
        <v>160.60055068286326</v>
      </c>
    </row>
    <row r="50" spans="2:4" ht="17" customHeight="1" x14ac:dyDescent="0.2">
      <c r="B50" s="49" t="s">
        <v>6</v>
      </c>
      <c r="C50" s="12">
        <v>10833875</v>
      </c>
      <c r="D50" s="12">
        <f t="shared" si="0"/>
        <v>133.72925718738205</v>
      </c>
    </row>
    <row r="53" spans="2:4" x14ac:dyDescent="0.2">
      <c r="B53" s="50" t="s">
        <v>23</v>
      </c>
      <c r="C53" s="50"/>
    </row>
    <row r="54" spans="2:4" x14ac:dyDescent="0.2">
      <c r="B54" s="10" t="s">
        <v>22</v>
      </c>
      <c r="C54" s="10">
        <f t="array" ref="C54">MMULT(C4:E4,D45:D47)</f>
        <v>256673.27470128849</v>
      </c>
    </row>
    <row r="55" spans="2:4" x14ac:dyDescent="0.2">
      <c r="B55" s="10" t="s">
        <v>16</v>
      </c>
      <c r="C55" s="10">
        <f>C54*SQRT(10/250)</f>
        <v>51334.6549402577</v>
      </c>
    </row>
    <row r="56" spans="2:4" x14ac:dyDescent="0.2">
      <c r="B56" s="10" t="s">
        <v>217</v>
      </c>
      <c r="C56" s="10">
        <f>C55/C39</f>
        <v>0.58542861587124162</v>
      </c>
    </row>
    <row r="58" spans="2:4" x14ac:dyDescent="0.2">
      <c r="B58" s="51" t="s">
        <v>24</v>
      </c>
      <c r="C58" s="51"/>
    </row>
    <row r="59" spans="2:4" x14ac:dyDescent="0.2">
      <c r="B59" s="12" t="s">
        <v>22</v>
      </c>
      <c r="C59" s="12">
        <f t="array" ref="C59">MMULT(F4:H4,D48:D50)</f>
        <v>181763.22761984306</v>
      </c>
    </row>
    <row r="60" spans="2:4" x14ac:dyDescent="0.2">
      <c r="B60" s="12" t="s">
        <v>16</v>
      </c>
      <c r="C60" s="12">
        <f>C59*SQRT(10/250)</f>
        <v>36352.645523968611</v>
      </c>
    </row>
    <row r="61" spans="2:4" x14ac:dyDescent="0.2">
      <c r="B61" s="12" t="s">
        <v>217</v>
      </c>
      <c r="C61" s="12">
        <f>C60/C39</f>
        <v>0.41457138412875821</v>
      </c>
    </row>
    <row r="63" spans="2:4" x14ac:dyDescent="0.2">
      <c r="B63" s="9" t="s">
        <v>26</v>
      </c>
      <c r="C63" s="9">
        <f>SUM(C55,C60)</f>
        <v>87687.300464226311</v>
      </c>
    </row>
  </sheetData>
  <mergeCells count="11">
    <mergeCell ref="J28:L28"/>
    <mergeCell ref="B35:C35"/>
    <mergeCell ref="E35:F35"/>
    <mergeCell ref="H35:I35"/>
    <mergeCell ref="B2:H2"/>
    <mergeCell ref="B53:C53"/>
    <mergeCell ref="B58:C58"/>
    <mergeCell ref="B7:G7"/>
    <mergeCell ref="C17:I17"/>
    <mergeCell ref="B28:D28"/>
    <mergeCell ref="F28:H28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253"/>
  <sheetViews>
    <sheetView workbookViewId="0">
      <selection activeCell="B1" sqref="B1:BI1"/>
    </sheetView>
  </sheetViews>
  <sheetFormatPr baseColWidth="10" defaultRowHeight="16" x14ac:dyDescent="0.2"/>
  <sheetData>
    <row r="1" spans="1:61" x14ac:dyDescent="0.2">
      <c r="A1" s="16" t="s">
        <v>147</v>
      </c>
      <c r="B1" s="17" t="s">
        <v>87</v>
      </c>
      <c r="C1" s="17" t="s">
        <v>88</v>
      </c>
      <c r="D1" s="17" t="s">
        <v>89</v>
      </c>
      <c r="E1" s="17" t="s">
        <v>90</v>
      </c>
      <c r="F1" s="17" t="s">
        <v>91</v>
      </c>
      <c r="G1" s="17" t="s">
        <v>92</v>
      </c>
      <c r="H1" s="17" t="s">
        <v>93</v>
      </c>
      <c r="I1" s="17" t="s">
        <v>94</v>
      </c>
      <c r="J1" s="17" t="s">
        <v>95</v>
      </c>
      <c r="K1" s="17" t="s">
        <v>96</v>
      </c>
      <c r="L1" s="17" t="s">
        <v>97</v>
      </c>
      <c r="M1" s="17" t="s">
        <v>98</v>
      </c>
      <c r="N1" s="17" t="s">
        <v>99</v>
      </c>
      <c r="O1" s="17" t="s">
        <v>100</v>
      </c>
      <c r="P1" s="17" t="s">
        <v>101</v>
      </c>
      <c r="Q1" s="17" t="s">
        <v>102</v>
      </c>
      <c r="R1" s="17" t="s">
        <v>103</v>
      </c>
      <c r="S1" s="17" t="s">
        <v>104</v>
      </c>
      <c r="T1" s="17" t="s">
        <v>105</v>
      </c>
      <c r="U1" s="17" t="s">
        <v>106</v>
      </c>
      <c r="V1" s="17" t="s">
        <v>107</v>
      </c>
      <c r="W1" s="17" t="s">
        <v>108</v>
      </c>
      <c r="X1" s="17" t="s">
        <v>109</v>
      </c>
      <c r="Y1" s="17" t="s">
        <v>110</v>
      </c>
      <c r="Z1" s="17" t="s">
        <v>111</v>
      </c>
      <c r="AA1" s="17" t="s">
        <v>112</v>
      </c>
      <c r="AB1" s="17" t="s">
        <v>113</v>
      </c>
      <c r="AC1" s="17" t="s">
        <v>114</v>
      </c>
      <c r="AD1" s="17" t="s">
        <v>115</v>
      </c>
      <c r="AE1" s="17" t="s">
        <v>116</v>
      </c>
      <c r="AF1" s="17" t="s">
        <v>117</v>
      </c>
      <c r="AG1" s="17" t="s">
        <v>118</v>
      </c>
      <c r="AH1" s="17" t="s">
        <v>119</v>
      </c>
      <c r="AI1" s="17" t="s">
        <v>120</v>
      </c>
      <c r="AJ1" s="17" t="s">
        <v>121</v>
      </c>
      <c r="AK1" s="17" t="s">
        <v>122</v>
      </c>
      <c r="AL1" s="17" t="s">
        <v>123</v>
      </c>
      <c r="AM1" s="17" t="s">
        <v>124</v>
      </c>
      <c r="AN1" s="17" t="s">
        <v>125</v>
      </c>
      <c r="AO1" s="17" t="s">
        <v>126</v>
      </c>
      <c r="AP1" s="17" t="s">
        <v>127</v>
      </c>
      <c r="AQ1" s="17" t="s">
        <v>128</v>
      </c>
      <c r="AR1" s="17" t="s">
        <v>129</v>
      </c>
      <c r="AS1" s="17" t="s">
        <v>130</v>
      </c>
      <c r="AT1" s="17" t="s">
        <v>131</v>
      </c>
      <c r="AU1" s="17" t="s">
        <v>132</v>
      </c>
      <c r="AV1" s="17" t="s">
        <v>133</v>
      </c>
      <c r="AW1" s="17" t="s">
        <v>134</v>
      </c>
      <c r="AX1" s="17" t="s">
        <v>135</v>
      </c>
      <c r="AY1" s="17" t="s">
        <v>136</v>
      </c>
      <c r="AZ1" s="17" t="s">
        <v>137</v>
      </c>
      <c r="BA1" s="17" t="s">
        <v>138</v>
      </c>
      <c r="BB1" s="17" t="s">
        <v>139</v>
      </c>
      <c r="BC1" s="17" t="s">
        <v>140</v>
      </c>
      <c r="BD1" s="17" t="s">
        <v>141</v>
      </c>
      <c r="BE1" s="17" t="s">
        <v>142</v>
      </c>
      <c r="BF1" s="17" t="s">
        <v>143</v>
      </c>
      <c r="BG1" s="17" t="s">
        <v>144</v>
      </c>
      <c r="BH1" s="17" t="s">
        <v>145</v>
      </c>
      <c r="BI1" s="17" t="s">
        <v>146</v>
      </c>
    </row>
    <row r="2" spans="1:61" x14ac:dyDescent="0.2">
      <c r="A2" s="18">
        <v>39085</v>
      </c>
      <c r="B2" s="19">
        <f>('[1]Short Spot'!B3-'[1]Short Spot'!B2)*100</f>
        <v>-0.13557909983550331</v>
      </c>
      <c r="C2" s="19">
        <f>('[1]Short Spot'!C3-'[1]Short Spot'!C2)*100</f>
        <v>-0.33542158931387789</v>
      </c>
      <c r="D2" s="19">
        <f>('[1]Short Spot'!D3-'[1]Short Spot'!D2)*100</f>
        <v>-0.17634691665717739</v>
      </c>
      <c r="E2" s="19">
        <f>('[1]Short Spot'!E3-'[1]Short Spot'!E2)*100</f>
        <v>-1.6726878688189117E-2</v>
      </c>
      <c r="F2" s="19">
        <f>('[1]Short Spot'!F3-'[1]Short Spot'!F2)*100</f>
        <v>0.10600612411089116</v>
      </c>
      <c r="G2" s="19">
        <f>('[1]Short Spot'!G3-'[1]Short Spot'!G2)*100</f>
        <v>0.19626928257379106</v>
      </c>
      <c r="H2" s="19">
        <f>('[1]Short Spot'!H3-'[1]Short Spot'!H2)*100</f>
        <v>0.26813012676534242</v>
      </c>
      <c r="I2" s="19">
        <f>('[1]Short Spot'!I3-'[1]Short Spot'!I2)*100</f>
        <v>0.33306084100361844</v>
      </c>
      <c r="J2" s="19">
        <f>('[1]Short Spot'!J3-'[1]Short Spot'!J2)*100</f>
        <v>0.39610028055347968</v>
      </c>
      <c r="K2" s="19">
        <f>('[1]Short Spot'!K3-'[1]Short Spot'!K2)*100</f>
        <v>0.45877539626308916</v>
      </c>
      <c r="L2" s="19">
        <f>('[1]Short Spot'!L3-'[1]Short Spot'!L2)*100</f>
        <v>0.5209051215110172</v>
      </c>
      <c r="M2" s="19">
        <f>('[1]Short Spot'!M3-'[1]Short Spot'!M2)*100</f>
        <v>0.58148018850712191</v>
      </c>
      <c r="N2" s="19">
        <f>('[1]Short Spot'!N3-'[1]Short Spot'!N2)*100</f>
        <v>0.63878306713949229</v>
      </c>
      <c r="O2" s="19">
        <f>('[1]Short Spot'!O3-'[1]Short Spot'!O2)*100</f>
        <v>0.69105870780052925</v>
      </c>
      <c r="P2" s="19">
        <f>('[1]Short Spot'!P3-'[1]Short Spot'!P2)*100</f>
        <v>0.73731923092124063</v>
      </c>
      <c r="Q2" s="19">
        <f>('[1]Short Spot'!Q3-'[1]Short Spot'!Q2)*100</f>
        <v>0.7772502461724784</v>
      </c>
      <c r="R2" s="19">
        <f>('[1]Short Spot'!R3-'[1]Short Spot'!R2)*100</f>
        <v>0.81088291194992834</v>
      </c>
      <c r="S2" s="19">
        <f>('[1]Short Spot'!S3-'[1]Short Spot'!S2)*100</f>
        <v>0.83843532651499686</v>
      </c>
      <c r="T2" s="19">
        <f>('[1]Short Spot'!T3-'[1]Short Spot'!T2)*100</f>
        <v>0.86026307086815024</v>
      </c>
      <c r="U2" s="19">
        <f>('[1]Short Spot'!U3-'[1]Short Spot'!U2)*100</f>
        <v>0.87682483806519329</v>
      </c>
      <c r="V2" s="19">
        <f>('[1]Short Spot'!V3-'[1]Short Spot'!V2)*100</f>
        <v>0.8886578827274505</v>
      </c>
      <c r="W2" s="19">
        <f>('[1]Short Spot'!W3-'[1]Short Spot'!W2)*100</f>
        <v>0.89636035113214163</v>
      </c>
      <c r="X2" s="19">
        <f>('[1]Short Spot'!X3-'[1]Short Spot'!X2)*100</f>
        <v>0.90056175376203029</v>
      </c>
      <c r="Y2" s="19">
        <f>('[1]Short Spot'!Y3-'[1]Short Spot'!Y2)*100</f>
        <v>0.90185430120905963</v>
      </c>
      <c r="Z2" s="19">
        <f>('[1]Short Spot'!Z3-'[1]Short Spot'!Z2)*100</f>
        <v>0.90077877951539875</v>
      </c>
      <c r="AA2" s="19">
        <f>('[1]Short Spot'!AA3-'[1]Short Spot'!AA2)*100</f>
        <v>0.89783419195308412</v>
      </c>
      <c r="AB2" s="19">
        <f>('[1]Short Spot'!AB3-'[1]Short Spot'!AB2)*100</f>
        <v>0.89348527970916081</v>
      </c>
      <c r="AC2" s="19">
        <f>('[1]Short Spot'!AC3-'[1]Short Spot'!AC2)*100</f>
        <v>0.88816046701021278</v>
      </c>
      <c r="AD2" s="19">
        <f>('[1]Short Spot'!AD3-'[1]Short Spot'!AD2)*100</f>
        <v>0.88224049285186013</v>
      </c>
      <c r="AE2" s="19">
        <f>('[1]Short Spot'!AE3-'[1]Short Spot'!AE2)*100</f>
        <v>0.87606225123506576</v>
      </c>
      <c r="AF2" s="19">
        <f>('[1]Short Spot'!AF3-'[1]Short Spot'!AF2)*100</f>
        <v>0.86992584156515562</v>
      </c>
      <c r="AG2" s="19">
        <f>('[1]Short Spot'!AG3-'[1]Short Spot'!AG2)*100</f>
        <v>0.86410031780683738</v>
      </c>
      <c r="AH2" s="19">
        <f>('[1]Short Spot'!AH3-'[1]Short Spot'!AH2)*100</f>
        <v>0.85882839233963892</v>
      </c>
      <c r="AI2" s="19">
        <f>('[1]Short Spot'!AI3-'[1]Short Spot'!AI2)*100</f>
        <v>0.85433026641732468</v>
      </c>
      <c r="AJ2" s="19">
        <f>('[1]Short Spot'!AJ3-'[1]Short Spot'!AJ2)*100</f>
        <v>0.85080446262075782</v>
      </c>
      <c r="AK2" s="19">
        <f>('[1]Short Spot'!AK3-'[1]Short Spot'!AK2)*100</f>
        <v>0.84842698496698787</v>
      </c>
      <c r="AL2" s="19">
        <f>('[1]Short Spot'!AL3-'[1]Short Spot'!AL2)*100</f>
        <v>0.84735142320884194</v>
      </c>
      <c r="AM2" s="19">
        <f>('[1]Short Spot'!AM3-'[1]Short Spot'!AM2)*100</f>
        <v>0.84770840640846501</v>
      </c>
      <c r="AN2" s="19">
        <f>('[1]Short Spot'!AN3-'[1]Short Spot'!AN2)*100</f>
        <v>0.84960804785918498</v>
      </c>
      <c r="AO2" s="19">
        <f>('[1]Short Spot'!AO3-'[1]Short Spot'!AO2)*100</f>
        <v>0.85314250946337822</v>
      </c>
      <c r="AP2" s="19">
        <f>('[1]Short Spot'!AP3-'[1]Short Spot'!AP2)*100</f>
        <v>0.85838819092556307</v>
      </c>
      <c r="AQ2" s="19">
        <f>('[1]Short Spot'!AQ3-'[1]Short Spot'!AQ2)*100</f>
        <v>0.86540754059303282</v>
      </c>
      <c r="AR2" s="19">
        <f>('[1]Short Spot'!AR3-'[1]Short Spot'!AR2)*100</f>
        <v>0.87424929419555042</v>
      </c>
      <c r="AS2" s="19">
        <f>('[1]Short Spot'!AS3-'[1]Short Spot'!AS2)*100</f>
        <v>0.88494787899184857</v>
      </c>
      <c r="AT2" s="19">
        <f>('[1]Short Spot'!AT3-'[1]Short Spot'!AT2)*100</f>
        <v>0.8975246586968133</v>
      </c>
      <c r="AU2" s="19">
        <f>('[1]Short Spot'!AU3-'[1]Short Spot'!AU2)*100</f>
        <v>0.91198935310146112</v>
      </c>
      <c r="AV2" s="19">
        <f>('[1]Short Spot'!AV3-'[1]Short Spot'!AV2)*100</f>
        <v>0.92834127678811384</v>
      </c>
      <c r="AW2" s="19">
        <f>('[1]Short Spot'!AW3-'[1]Short Spot'!AW2)*100</f>
        <v>0.94657030762101968</v>
      </c>
      <c r="AX2" s="19">
        <f>('[1]Short Spot'!AX3-'[1]Short Spot'!AX2)*100</f>
        <v>0.96665574895391515</v>
      </c>
      <c r="AY2" s="19">
        <f>('[1]Short Spot'!AY3-'[1]Short Spot'!AY2)*100</f>
        <v>0.98856443516321946</v>
      </c>
      <c r="AZ2" s="19">
        <f>('[1]Short Spot'!AZ3-'[1]Short Spot'!AZ2)*100</f>
        <v>1.0122515407927857</v>
      </c>
      <c r="BA2" s="19">
        <f>('[1]Short Spot'!BA3-'[1]Short Spot'!BA2)*100</f>
        <v>1.0376617015674938</v>
      </c>
      <c r="BB2" s="19">
        <f>('[1]Short Spot'!BB3-'[1]Short Spot'!BB2)*100</f>
        <v>1.0647300086217726</v>
      </c>
      <c r="BC2" s="19">
        <f>('[1]Short Spot'!BC3-'[1]Short Spot'!BC2)*100</f>
        <v>1.0933828922447653</v>
      </c>
      <c r="BD2" s="19">
        <f>('[1]Short Spot'!BD3-'[1]Short Spot'!BD2)*100</f>
        <v>1.1235388798946033</v>
      </c>
      <c r="BE2" s="19">
        <f>('[1]Short Spot'!BE3-'[1]Short Spot'!BE2)*100</f>
        <v>1.1551096983697384</v>
      </c>
      <c r="BF2" s="19">
        <f>('[1]Short Spot'!BF3-'[1]Short Spot'!BF2)*100</f>
        <v>1.1880036310455644</v>
      </c>
      <c r="BG2" s="19">
        <f>('[1]Short Spot'!BG3-'[1]Short Spot'!BG2)*100</f>
        <v>1.2221272768239366</v>
      </c>
      <c r="BH2" s="19">
        <f>('[1]Short Spot'!BH3-'[1]Short Spot'!BH2)*100</f>
        <v>1.2573857406676048</v>
      </c>
      <c r="BI2" s="19">
        <f>('[1]Short Spot'!BI3-'[1]Short Spot'!BI2)*100</f>
        <v>1.2936827580962706</v>
      </c>
    </row>
    <row r="3" spans="1:61" x14ac:dyDescent="0.2">
      <c r="A3" s="18">
        <v>39086</v>
      </c>
      <c r="B3" s="19">
        <f>('[1]Short Spot'!B4-'[1]Short Spot'!B3)*100</f>
        <v>0.14764619834766179</v>
      </c>
      <c r="C3" s="19">
        <f>('[1]Short Spot'!C4-'[1]Short Spot'!C3)*100</f>
        <v>0.32902133896204333</v>
      </c>
      <c r="D3" s="19">
        <f>('[1]Short Spot'!D4-'[1]Short Spot'!D3)*100</f>
        <v>0.52899259549343824</v>
      </c>
      <c r="E3" s="19">
        <f>('[1]Short Spot'!E4-'[1]Short Spot'!E3)*100</f>
        <v>0.7248461361873737</v>
      </c>
      <c r="F3" s="19">
        <f>('[1]Short Spot'!F4-'[1]Short Spot'!F3)*100</f>
        <v>0.88711822976792476</v>
      </c>
      <c r="G3" s="19">
        <f>('[1]Short Spot'!G4-'[1]Short Spot'!G3)*100</f>
        <v>1.0054632517015882</v>
      </c>
      <c r="H3" s="19">
        <f>('[1]Short Spot'!H4-'[1]Short Spot'!H3)*100</f>
        <v>1.0760248835022246</v>
      </c>
      <c r="I3" s="19">
        <f>('[1]Short Spot'!I4-'[1]Short Spot'!I3)*100</f>
        <v>1.0961554286751607</v>
      </c>
      <c r="J3" s="19">
        <f>('[1]Short Spot'!J4-'[1]Short Spot'!J3)*100</f>
        <v>1.0697566789281687</v>
      </c>
      <c r="K3" s="19">
        <f>('[1]Short Spot'!K4-'[1]Short Spot'!K3)*100</f>
        <v>1.005729273991296</v>
      </c>
      <c r="L3" s="19">
        <f>('[1]Short Spot'!L4-'[1]Short Spot'!L3)*100</f>
        <v>0.91401647034698996</v>
      </c>
      <c r="M3" s="19">
        <f>('[1]Short Spot'!M4-'[1]Short Spot'!M3)*100</f>
        <v>0.80367768252980198</v>
      </c>
      <c r="N3" s="19">
        <f>('[1]Short Spot'!N4-'[1]Short Spot'!N3)*100</f>
        <v>0.6826251724858956</v>
      </c>
      <c r="O3" s="19">
        <f>('[1]Short Spot'!O4-'[1]Short Spot'!O3)*100</f>
        <v>0.55686822980716144</v>
      </c>
      <c r="P3" s="19">
        <f>('[1]Short Spot'!P4-'[1]Short Spot'!P3)*100</f>
        <v>0.43054650464995348</v>
      </c>
      <c r="Q3" s="19">
        <f>('[1]Short Spot'!Q4-'[1]Short Spot'!Q3)*100</f>
        <v>0.30658548771258509</v>
      </c>
      <c r="R3" s="19">
        <f>('[1]Short Spot'!R4-'[1]Short Spot'!R3)*100</f>
        <v>0.18698468913305177</v>
      </c>
      <c r="S3" s="19">
        <f>('[1]Short Spot'!S4-'[1]Short Spot'!S3)*100</f>
        <v>7.3026498311712373E-2</v>
      </c>
      <c r="T3" s="19">
        <f>('[1]Short Spot'!T4-'[1]Short Spot'!T3)*100</f>
        <v>-3.453524876100289E-2</v>
      </c>
      <c r="U3" s="19">
        <f>('[1]Short Spot'!U4-'[1]Short Spot'!U3)*100</f>
        <v>-0.13534313115206587</v>
      </c>
      <c r="V3" s="19">
        <f>('[1]Short Spot'!V4-'[1]Short Spot'!V3)*100</f>
        <v>-0.22934175844850913</v>
      </c>
      <c r="W3" s="19">
        <f>('[1]Short Spot'!W4-'[1]Short Spot'!W3)*100</f>
        <v>-0.31670698232915129</v>
      </c>
      <c r="X3" s="19">
        <f>('[1]Short Spot'!X4-'[1]Short Spot'!X3)*100</f>
        <v>-0.39774661639491171</v>
      </c>
      <c r="Y3" s="19">
        <f>('[1]Short Spot'!Y4-'[1]Short Spot'!Y3)*100</f>
        <v>-0.47279923952041614</v>
      </c>
      <c r="Z3" s="19">
        <f>('[1]Short Spot'!Z4-'[1]Short Spot'!Z3)*100</f>
        <v>-0.54221826290623554</v>
      </c>
      <c r="AA3" s="19">
        <f>('[1]Short Spot'!AA4-'[1]Short Spot'!AA3)*100</f>
        <v>-0.60636913392899672</v>
      </c>
      <c r="AB3" s="19">
        <f>('[1]Short Spot'!AB4-'[1]Short Spot'!AB3)*100</f>
        <v>-0.66562676715591351</v>
      </c>
      <c r="AC3" s="19">
        <f>('[1]Short Spot'!AC4-'[1]Short Spot'!AC3)*100</f>
        <v>-0.7203626031563104</v>
      </c>
      <c r="AD3" s="19">
        <f>('[1]Short Spot'!AD4-'[1]Short Spot'!AD3)*100</f>
        <v>-0.77092254339525823</v>
      </c>
      <c r="AE3" s="19">
        <f>('[1]Short Spot'!AE4-'[1]Short Spot'!AE3)*100</f>
        <v>-0.81762630875656939</v>
      </c>
      <c r="AF3" s="19">
        <f>('[1]Short Spot'!AF4-'[1]Short Spot'!AF3)*100</f>
        <v>-0.86077164260878192</v>
      </c>
      <c r="AG3" s="19">
        <f>('[1]Short Spot'!AG4-'[1]Short Spot'!AG3)*100</f>
        <v>-0.90063774479087755</v>
      </c>
      <c r="AH3" s="19">
        <f>('[1]Short Spot'!AH4-'[1]Short Spot'!AH3)*100</f>
        <v>-0.93748808122349203</v>
      </c>
      <c r="AI3" s="19">
        <f>('[1]Short Spot'!AI4-'[1]Short Spot'!AI3)*100</f>
        <v>-0.97157182676799181</v>
      </c>
      <c r="AJ3" s="19">
        <f>('[1]Short Spot'!AJ4-'[1]Short Spot'!AJ3)*100</f>
        <v>-1.0031195305576723</v>
      </c>
      <c r="AK3" s="19">
        <f>('[1]Short Spot'!AK4-'[1]Short Spot'!AK3)*100</f>
        <v>-1.0323413698507089</v>
      </c>
      <c r="AL3" s="19">
        <f>('[1]Short Spot'!AL4-'[1]Short Spot'!AL3)*100</f>
        <v>-1.0594292621533441</v>
      </c>
      <c r="AM3" s="19">
        <f>('[1]Short Spot'!AM4-'[1]Short Spot'!AM3)*100</f>
        <v>-1.0845581270580773</v>
      </c>
      <c r="AN3" s="19">
        <f>('[1]Short Spot'!AN4-'[1]Short Spot'!AN3)*100</f>
        <v>-1.1078878064057385</v>
      </c>
      <c r="AO3" s="19">
        <f>('[1]Short Spot'!AO4-'[1]Short Spot'!AO3)*100</f>
        <v>-1.1295649484448056</v>
      </c>
      <c r="AP3" s="19">
        <f>('[1]Short Spot'!AP4-'[1]Short Spot'!AP3)*100</f>
        <v>-1.1497246168051589</v>
      </c>
      <c r="AQ3" s="19">
        <f>('[1]Short Spot'!AQ4-'[1]Short Spot'!AQ3)*100</f>
        <v>-1.1684916334230522</v>
      </c>
      <c r="AR3" s="19">
        <f>('[1]Short Spot'!AR4-'[1]Short Spot'!AR3)*100</f>
        <v>-1.1859809699190649</v>
      </c>
      <c r="AS3" s="19">
        <f>('[1]Short Spot'!AS4-'[1]Short Spot'!AS3)*100</f>
        <v>-1.2022975918606349</v>
      </c>
      <c r="AT3" s="19">
        <f>('[1]Short Spot'!AT4-'[1]Short Spot'!AT3)*100</f>
        <v>-1.2175373614381257</v>
      </c>
      <c r="AU3" s="19">
        <f>('[1]Short Spot'!AU4-'[1]Short Spot'!AU3)*100</f>
        <v>-1.2317880267473491</v>
      </c>
      <c r="AV3" s="19">
        <f>('[1]Short Spot'!AV4-'[1]Short Spot'!AV3)*100</f>
        <v>-1.2451300849907199</v>
      </c>
      <c r="AW3" s="19">
        <f>('[1]Short Spot'!AW4-'[1]Short Spot'!AW3)*100</f>
        <v>-1.2576375030776354</v>
      </c>
      <c r="AX3" s="19">
        <f>('[1]Short Spot'!AX4-'[1]Short Spot'!AX3)*100</f>
        <v>-1.2693780996285042</v>
      </c>
      <c r="AY3" s="19">
        <f>('[1]Short Spot'!AY4-'[1]Short Spot'!AY3)*100</f>
        <v>-1.2804139913805024</v>
      </c>
      <c r="AZ3" s="19">
        <f>('[1]Short Spot'!AZ4-'[1]Short Spot'!AZ3)*100</f>
        <v>-1.2908021575890771</v>
      </c>
      <c r="BA3" s="19">
        <f>('[1]Short Spot'!BA4-'[1]Short Spot'!BA3)*100</f>
        <v>-1.3005949340347378</v>
      </c>
      <c r="BB3" s="19">
        <f>('[1]Short Spot'!BB4-'[1]Short Spot'!BB3)*100</f>
        <v>-1.3098404510849093</v>
      </c>
      <c r="BC3" s="19">
        <f>('[1]Short Spot'!BC4-'[1]Short Spot'!BC3)*100</f>
        <v>-1.3185830230852957</v>
      </c>
      <c r="BD3" s="19">
        <f>('[1]Short Spot'!BD4-'[1]Short Spot'!BD3)*100</f>
        <v>-1.326863494242847</v>
      </c>
      <c r="BE3" s="19">
        <f>('[1]Short Spot'!BE4-'[1]Short Spot'!BE3)*100</f>
        <v>-1.3347194702284071</v>
      </c>
      <c r="BF3" s="19">
        <f>('[1]Short Spot'!BF4-'[1]Short Spot'!BF3)*100</f>
        <v>-1.3421854890059315</v>
      </c>
      <c r="BG3" s="19">
        <f>('[1]Short Spot'!BG4-'[1]Short Spot'!BG3)*100</f>
        <v>-1.3492933362590165</v>
      </c>
      <c r="BH3" s="19">
        <f>('[1]Short Spot'!BH4-'[1]Short Spot'!BH3)*100</f>
        <v>-1.3560722860829877</v>
      </c>
      <c r="BI3" s="19">
        <f>('[1]Short Spot'!BI4-'[1]Short Spot'!BI3)*100</f>
        <v>-1.3625493102844111</v>
      </c>
    </row>
    <row r="4" spans="1:61" x14ac:dyDescent="0.2">
      <c r="A4" s="18">
        <v>39087</v>
      </c>
      <c r="B4" s="19">
        <f>('[1]Short Spot'!B5-'[1]Short Spot'!B4)*100</f>
        <v>0.91653760745691315</v>
      </c>
      <c r="C4" s="19">
        <f>('[1]Short Spot'!C5-'[1]Short Spot'!C4)*100</f>
        <v>0.85423409596758759</v>
      </c>
      <c r="D4" s="19">
        <f>('[1]Short Spot'!D5-'[1]Short Spot'!D4)*100</f>
        <v>0.19244154675801539</v>
      </c>
      <c r="E4" s="19">
        <f>('[1]Short Spot'!E5-'[1]Short Spot'!E4)*100</f>
        <v>-0.37772356544207852</v>
      </c>
      <c r="F4" s="19">
        <f>('[1]Short Spot'!F5-'[1]Short Spot'!F4)*100</f>
        <v>-0.69769444882012976</v>
      </c>
      <c r="G4" s="19">
        <f>('[1]Short Spot'!G5-'[1]Short Spot'!G4)*100</f>
        <v>-0.77348962802830101</v>
      </c>
      <c r="H4" s="19">
        <f>('[1]Short Spot'!H5-'[1]Short Spot'!H4)*100</f>
        <v>-0.66486689528346687</v>
      </c>
      <c r="I4" s="19">
        <f>('[1]Short Spot'!I5-'[1]Short Spot'!I4)*100</f>
        <v>-0.44798738878579769</v>
      </c>
      <c r="J4" s="19">
        <f>('[1]Short Spot'!J5-'[1]Short Spot'!J4)*100</f>
        <v>-0.17956441961022307</v>
      </c>
      <c r="K4" s="19">
        <f>('[1]Short Spot'!K5-'[1]Short Spot'!K4)*100</f>
        <v>0.10060472844806156</v>
      </c>
      <c r="L4" s="19">
        <f>('[1]Short Spot'!L5-'[1]Short Spot'!L4)*100</f>
        <v>0.36791543258090087</v>
      </c>
      <c r="M4" s="19">
        <f>('[1]Short Spot'!M5-'[1]Short Spot'!M4)*100</f>
        <v>0.61154248122203825</v>
      </c>
      <c r="N4" s="19">
        <f>('[1]Short Spot'!N5-'[1]Short Spot'!N4)*100</f>
        <v>0.82713588691483153</v>
      </c>
      <c r="O4" s="19">
        <f>('[1]Short Spot'!O5-'[1]Short Spot'!O4)*100</f>
        <v>1.0136138787966154</v>
      </c>
      <c r="P4" s="19">
        <f>('[1]Short Spot'!P5-'[1]Short Spot'!P4)*100</f>
        <v>1.1728230663458739</v>
      </c>
      <c r="Q4" s="19">
        <f>('[1]Short Spot'!Q5-'[1]Short Spot'!Q4)*100</f>
        <v>1.3080472722363901</v>
      </c>
      <c r="R4" s="19">
        <f>('[1]Short Spot'!R5-'[1]Short Spot'!R4)*100</f>
        <v>1.4223491161914126</v>
      </c>
      <c r="S4" s="19">
        <f>('[1]Short Spot'!S5-'[1]Short Spot'!S4)*100</f>
        <v>1.5184076199579621</v>
      </c>
      <c r="T4" s="19">
        <f>('[1]Short Spot'!T5-'[1]Short Spot'!T4)*100</f>
        <v>1.5986190285245172</v>
      </c>
      <c r="U4" s="19">
        <f>('[1]Short Spot'!U5-'[1]Short Spot'!U4)*100</f>
        <v>1.6651675043115155</v>
      </c>
      <c r="V4" s="19">
        <f>('[1]Short Spot'!V5-'[1]Short Spot'!V4)*100</f>
        <v>1.7200756230202785</v>
      </c>
      <c r="W4" s="19">
        <f>('[1]Short Spot'!W5-'[1]Short Spot'!W4)*100</f>
        <v>1.7652417671057741</v>
      </c>
      <c r="X4" s="19">
        <f>('[1]Short Spot'!X5-'[1]Short Spot'!X4)*100</f>
        <v>1.8024182394646537</v>
      </c>
      <c r="Y4" s="19">
        <f>('[1]Short Spot'!Y5-'[1]Short Spot'!Y4)*100</f>
        <v>1.8330861203609494</v>
      </c>
      <c r="Z4" s="19">
        <f>('[1]Short Spot'!Z5-'[1]Short Spot'!Z4)*100</f>
        <v>1.8584653144206875</v>
      </c>
      <c r="AA4" s="19">
        <f>('[1]Short Spot'!AA5-'[1]Short Spot'!AA4)*100</f>
        <v>1.8795645129995542</v>
      </c>
      <c r="AB4" s="19">
        <f>('[1]Short Spot'!AB5-'[1]Short Spot'!AB4)*100</f>
        <v>1.8972204946085647</v>
      </c>
      <c r="AC4" s="19">
        <f>('[1]Short Spot'!AC5-'[1]Short Spot'!AC4)*100</f>
        <v>1.9121308933988779</v>
      </c>
      <c r="AD4" s="19">
        <f>('[1]Short Spot'!AD5-'[1]Short Spot'!AD4)*100</f>
        <v>1.9248790656529735</v>
      </c>
      <c r="AE4" s="19">
        <f>('[1]Short Spot'!AE5-'[1]Short Spot'!AE4)*100</f>
        <v>1.9359527200591309</v>
      </c>
      <c r="AF4" s="19">
        <f>('[1]Short Spot'!AF5-'[1]Short Spot'!AF4)*100</f>
        <v>1.9457593383938487</v>
      </c>
      <c r="AG4" s="19">
        <f>('[1]Short Spot'!AG5-'[1]Short Spot'!AG4)*100</f>
        <v>1.9546387109749652</v>
      </c>
      <c r="AH4" s="19">
        <f>('[1]Short Spot'!AH5-'[1]Short Spot'!AH4)*100</f>
        <v>1.9628731941201849</v>
      </c>
      <c r="AI4" s="19">
        <f>('[1]Short Spot'!AI5-'[1]Short Spot'!AI4)*100</f>
        <v>1.9706975057148135</v>
      </c>
      <c r="AJ4" s="19">
        <f>('[1]Short Spot'!AJ5-'[1]Short Spot'!AJ4)*100</f>
        <v>1.9783089956562527</v>
      </c>
      <c r="AK4" s="19">
        <f>('[1]Short Spot'!AK5-'[1]Short Spot'!AK4)*100</f>
        <v>1.9858709231970195</v>
      </c>
      <c r="AL4" s="19">
        <f>('[1]Short Spot'!AL5-'[1]Short Spot'!AL4)*100</f>
        <v>1.9935166856516418</v>
      </c>
      <c r="AM4" s="19">
        <f>('[1]Short Spot'!AM5-'[1]Short Spot'!AM4)*100</f>
        <v>2.0013551188953649</v>
      </c>
      <c r="AN4" s="19">
        <f>('[1]Short Spot'!AN5-'[1]Short Spot'!AN4)*100</f>
        <v>2.0094740037175818</v>
      </c>
      <c r="AO4" s="19">
        <f>('[1]Short Spot'!AO5-'[1]Short Spot'!AO4)*100</f>
        <v>2.0179426981222548</v>
      </c>
      <c r="AP4" s="19">
        <f>('[1]Short Spot'!AP5-'[1]Short Spot'!AP4)*100</f>
        <v>2.0268143840080022</v>
      </c>
      <c r="AQ4" s="19">
        <f>('[1]Short Spot'!AQ5-'[1]Short Spot'!AQ4)*100</f>
        <v>2.0361280663424353</v>
      </c>
      <c r="AR4" s="19">
        <f>('[1]Short Spot'!AR5-'[1]Short Spot'!AR4)*100</f>
        <v>2.0459113224493564</v>
      </c>
      <c r="AS4" s="19">
        <f>('[1]Short Spot'!AS5-'[1]Short Spot'!AS4)*100</f>
        <v>2.0561829838019463</v>
      </c>
      <c r="AT4" s="19">
        <f>('[1]Short Spot'!AT5-'[1]Short Spot'!AT4)*100</f>
        <v>2.0669542804123253</v>
      </c>
      <c r="AU4" s="19">
        <f>('[1]Short Spot'!AU5-'[1]Short Spot'!AU4)*100</f>
        <v>2.0782296671199241</v>
      </c>
      <c r="AV4" s="19">
        <f>('[1]Short Spot'!AV5-'[1]Short Spot'!AV4)*100</f>
        <v>2.0900075443538668</v>
      </c>
      <c r="AW4" s="19">
        <f>('[1]Short Spot'!AW5-'[1]Short Spot'!AW4)*100</f>
        <v>2.1022810428466876</v>
      </c>
      <c r="AX4" s="19">
        <f>('[1]Short Spot'!AX5-'[1]Short Spot'!AX4)*100</f>
        <v>2.1150395553893198</v>
      </c>
      <c r="AY4" s="19">
        <f>('[1]Short Spot'!AY5-'[1]Short Spot'!AY4)*100</f>
        <v>2.1282695545416175</v>
      </c>
      <c r="AZ4" s="19">
        <f>('[1]Short Spot'!AZ5-'[1]Short Spot'!AZ4)*100</f>
        <v>2.1419548493998519</v>
      </c>
      <c r="BA4" s="19">
        <f>('[1]Short Spot'!BA5-'[1]Short Spot'!BA4)*100</f>
        <v>2.1560768416942544</v>
      </c>
      <c r="BB4" s="19">
        <f>('[1]Short Spot'!BB5-'[1]Short Spot'!BB4)*100</f>
        <v>2.170614752898814</v>
      </c>
      <c r="BC4" s="19">
        <f>('[1]Short Spot'!BC5-'[1]Short Spot'!BC4)*100</f>
        <v>2.18554582610615</v>
      </c>
      <c r="BD4" s="19">
        <f>('[1]Short Spot'!BD5-'[1]Short Spot'!BD4)*100</f>
        <v>2.2008455127322968</v>
      </c>
      <c r="BE4" s="19">
        <f>('[1]Short Spot'!BE5-'[1]Short Spot'!BE4)*100</f>
        <v>2.2164880181686719</v>
      </c>
      <c r="BF4" s="19">
        <f>('[1]Short Spot'!BF5-'[1]Short Spot'!BF4)*100</f>
        <v>2.2324470965531695</v>
      </c>
      <c r="BG4" s="19">
        <f>('[1]Short Spot'!BG5-'[1]Short Spot'!BG4)*100</f>
        <v>2.2486960631166397</v>
      </c>
      <c r="BH4" s="19">
        <f>('[1]Short Spot'!BH5-'[1]Short Spot'!BH4)*100</f>
        <v>2.2652078162730405</v>
      </c>
      <c r="BI4" s="19">
        <f>('[1]Short Spot'!BI5-'[1]Short Spot'!BI4)*100</f>
        <v>2.2819548723538752</v>
      </c>
    </row>
    <row r="5" spans="1:61" x14ac:dyDescent="0.2">
      <c r="A5" s="18">
        <v>39090</v>
      </c>
      <c r="B5" s="19">
        <f>('[1]Short Spot'!B6-'[1]Short Spot'!B5)*100</f>
        <v>0.50992442753399203</v>
      </c>
      <c r="C5" s="19">
        <f>('[1]Short Spot'!C6-'[1]Short Spot'!C5)*100</f>
        <v>0.8388472256544155</v>
      </c>
      <c r="D5" s="19">
        <f>('[1]Short Spot'!D6-'[1]Short Spot'!D5)*100</f>
        <v>0.91538756719238279</v>
      </c>
      <c r="E5" s="19">
        <f>('[1]Short Spot'!E6-'[1]Short Spot'!E5)*100</f>
        <v>1.0079881546288583</v>
      </c>
      <c r="F5" s="19">
        <f>('[1]Short Spot'!F6-'[1]Short Spot'!F5)*100</f>
        <v>1.1199827978078503</v>
      </c>
      <c r="G5" s="19">
        <f>('[1]Short Spot'!G6-'[1]Short Spot'!G5)*100</f>
        <v>1.235038255011478</v>
      </c>
      <c r="H5" s="19">
        <f>('[1]Short Spot'!H6-'[1]Short Spot'!H5)*100</f>
        <v>1.3337406894314618</v>
      </c>
      <c r="I5" s="19">
        <f>('[1]Short Spot'!I6-'[1]Short Spot'!I5)*100</f>
        <v>1.4010435296651025</v>
      </c>
      <c r="J5" s="19">
        <f>('[1]Short Spot'!J6-'[1]Short Spot'!J5)*100</f>
        <v>1.433105750500463</v>
      </c>
      <c r="K5" s="19">
        <f>('[1]Short Spot'!K6-'[1]Short Spot'!K5)*100</f>
        <v>1.4330771441504631</v>
      </c>
      <c r="L5" s="19">
        <f>('[1]Short Spot'!L6-'[1]Short Spot'!L5)*100</f>
        <v>1.4068126804498426</v>
      </c>
      <c r="M5" s="19">
        <f>('[1]Short Spot'!M6-'[1]Short Spot'!M5)*100</f>
        <v>1.3606959276491359</v>
      </c>
      <c r="N5" s="19">
        <f>('[1]Short Spot'!N6-'[1]Short Spot'!N5)*100</f>
        <v>1.3006222378691312</v>
      </c>
      <c r="O5" s="19">
        <f>('[1]Short Spot'!O6-'[1]Short Spot'!O5)*100</f>
        <v>1.2311250330222734</v>
      </c>
      <c r="P5" s="19">
        <f>('[1]Short Spot'!P6-'[1]Short Spot'!P5)*100</f>
        <v>1.1557506105958737</v>
      </c>
      <c r="Q5" s="19">
        <f>('[1]Short Spot'!Q6-'[1]Short Spot'!Q5)*100</f>
        <v>1.0773080949793901</v>
      </c>
      <c r="R5" s="19">
        <f>('[1]Short Spot'!R6-'[1]Short Spot'!R5)*100</f>
        <v>0.99783031484586004</v>
      </c>
      <c r="S5" s="19">
        <f>('[1]Short Spot'!S6-'[1]Short Spot'!S5)*100</f>
        <v>0.91874875993234184</v>
      </c>
      <c r="T5" s="19">
        <f>('[1]Short Spot'!T6-'[1]Short Spot'!T5)*100</f>
        <v>0.84105182679810042</v>
      </c>
      <c r="U5" s="19">
        <f>('[1]Short Spot'!U6-'[1]Short Spot'!U5)*100</f>
        <v>0.76539559211674657</v>
      </c>
      <c r="V5" s="19">
        <f>('[1]Short Spot'!V6-'[1]Short Spot'!V5)*100</f>
        <v>0.69218293646056139</v>
      </c>
      <c r="W5" s="19">
        <f>('[1]Short Spot'!W6-'[1]Short Spot'!W5)*100</f>
        <v>0.62162354676162934</v>
      </c>
      <c r="X5" s="19">
        <f>('[1]Short Spot'!X6-'[1]Short Spot'!X5)*100</f>
        <v>0.55380733158445494</v>
      </c>
      <c r="Y5" s="19">
        <f>('[1]Short Spot'!Y6-'[1]Short Spot'!Y5)*100</f>
        <v>0.48875882995096376</v>
      </c>
      <c r="Z5" s="19">
        <f>('[1]Short Spot'!Z6-'[1]Short Spot'!Z5)*100</f>
        <v>0.42645143585184897</v>
      </c>
      <c r="AA5" s="19">
        <f>('[1]Short Spot'!AA6-'[1]Short Spot'!AA5)*100</f>
        <v>0.36681721558347036</v>
      </c>
      <c r="AB5" s="19">
        <f>('[1]Short Spot'!AB6-'[1]Short Spot'!AB5)*100</f>
        <v>0.30975513028463908</v>
      </c>
      <c r="AC5" s="19">
        <f>('[1]Short Spot'!AC6-'[1]Short Spot'!AC5)*100</f>
        <v>0.25514691472698914</v>
      </c>
      <c r="AD5" s="19">
        <f>('[1]Short Spot'!AD6-'[1]Short Spot'!AD5)*100</f>
        <v>0.20287364527007412</v>
      </c>
      <c r="AE5" s="19">
        <f>('[1]Short Spot'!AE6-'[1]Short Spot'!AE5)*100</f>
        <v>0.15281768772217319</v>
      </c>
      <c r="AF5" s="19">
        <f>('[1]Short Spot'!AF6-'[1]Short Spot'!AF5)*100</f>
        <v>0.10486248957226607</v>
      </c>
      <c r="AG5" s="19">
        <f>('[1]Short Spot'!AG6-'[1]Short Spot'!AG5)*100</f>
        <v>5.8892410978028664E-2</v>
      </c>
      <c r="AH5" s="19">
        <f>('[1]Short Spot'!AH6-'[1]Short Spot'!AH5)*100</f>
        <v>1.4792588372980475E-2</v>
      </c>
      <c r="AI5" s="19">
        <f>('[1]Short Spot'!AI6-'[1]Short Spot'!AI5)*100</f>
        <v>-2.7549965395579079E-2</v>
      </c>
      <c r="AJ5" s="19">
        <f>('[1]Short Spot'!AJ6-'[1]Short Spot'!AJ5)*100</f>
        <v>-6.8241231044297024E-2</v>
      </c>
      <c r="AK5" s="19">
        <f>('[1]Short Spot'!AK6-'[1]Short Spot'!AK5)*100</f>
        <v>-0.10737906478235359</v>
      </c>
      <c r="AL5" s="19">
        <f>('[1]Short Spot'!AL6-'[1]Short Spot'!AL5)*100</f>
        <v>-0.14505431899687338</v>
      </c>
      <c r="AM5" s="19">
        <f>('[1]Short Spot'!AM6-'[1]Short Spot'!AM5)*100</f>
        <v>-0.18135145252919926</v>
      </c>
      <c r="AN5" s="19">
        <f>('[1]Short Spot'!AN6-'[1]Short Spot'!AN5)*100</f>
        <v>-0.21634927340281607</v>
      </c>
      <c r="AO5" s="19">
        <f>('[1]Short Spot'!AO6-'[1]Short Spot'!AO5)*100</f>
        <v>-0.25012164516651225</v>
      </c>
      <c r="AP5" s="19">
        <f>('[1]Short Spot'!AP6-'[1]Short Spot'!AP5)*100</f>
        <v>-0.28273808987764326</v>
      </c>
      <c r="AQ5" s="19">
        <f>('[1]Short Spot'!AQ6-'[1]Short Spot'!AQ5)*100</f>
        <v>-0.31426423489877564</v>
      </c>
      <c r="AR5" s="19">
        <f>('[1]Short Spot'!AR6-'[1]Short Spot'!AR5)*100</f>
        <v>-0.34476147578867966</v>
      </c>
      <c r="AS5" s="19">
        <f>('[1]Short Spot'!AS6-'[1]Short Spot'!AS5)*100</f>
        <v>-0.37428666380208142</v>
      </c>
      <c r="AT5" s="19">
        <f>('[1]Short Spot'!AT6-'[1]Short Spot'!AT5)*100</f>
        <v>-0.40289253876473197</v>
      </c>
      <c r="AU5" s="19">
        <f>('[1]Short Spot'!AU6-'[1]Short Spot'!AU5)*100</f>
        <v>-0.43062817597032677</v>
      </c>
      <c r="AV5" s="19">
        <f>('[1]Short Spot'!AV6-'[1]Short Spot'!AV5)*100</f>
        <v>-0.45753937602004413</v>
      </c>
      <c r="AW5" s="19">
        <f>('[1]Short Spot'!AW6-'[1]Short Spot'!AW5)*100</f>
        <v>-0.48366892777425008</v>
      </c>
      <c r="AX5" s="19">
        <f>('[1]Short Spot'!AX6-'[1]Short Spot'!AX5)*100</f>
        <v>-0.50905648731029984</v>
      </c>
      <c r="AY5" s="19">
        <f>('[1]Short Spot'!AY6-'[1]Short Spot'!AY5)*100</f>
        <v>-0.53373872377528997</v>
      </c>
      <c r="AZ5" s="19">
        <f>('[1]Short Spot'!AZ6-'[1]Short Spot'!AZ5)*100</f>
        <v>-0.55774962205301648</v>
      </c>
      <c r="BA5" s="19">
        <f>('[1]Short Spot'!BA6-'[1]Short Spot'!BA5)*100</f>
        <v>-0.58112074086436039</v>
      </c>
      <c r="BB5" s="19">
        <f>('[1]Short Spot'!BB6-'[1]Short Spot'!BB5)*100</f>
        <v>-0.60388144165175461</v>
      </c>
      <c r="BC5" s="19">
        <f>('[1]Short Spot'!BC6-'[1]Short Spot'!BC5)*100</f>
        <v>-0.62605909202986254</v>
      </c>
      <c r="BD5" s="19">
        <f>('[1]Short Spot'!BD6-'[1]Short Spot'!BD5)*100</f>
        <v>-0.64767924330579874</v>
      </c>
      <c r="BE5" s="19">
        <f>('[1]Short Spot'!BE6-'[1]Short Spot'!BE5)*100</f>
        <v>-0.66876566359503897</v>
      </c>
      <c r="BF5" s="19">
        <f>('[1]Short Spot'!BF6-'[1]Short Spot'!BF5)*100</f>
        <v>-0.68934036061794046</v>
      </c>
      <c r="BG5" s="19">
        <f>('[1]Short Spot'!BG6-'[1]Short Spot'!BG5)*100</f>
        <v>-0.70942378842442366</v>
      </c>
      <c r="BH5" s="19">
        <f>('[1]Short Spot'!BH6-'[1]Short Spot'!BH5)*100</f>
        <v>-0.72903498384455645</v>
      </c>
      <c r="BI5" s="19">
        <f>('[1]Short Spot'!BI6-'[1]Short Spot'!BI5)*100</f>
        <v>-0.74819168459061558</v>
      </c>
    </row>
    <row r="6" spans="1:61" x14ac:dyDescent="0.2">
      <c r="A6" s="18">
        <v>39091</v>
      </c>
      <c r="B6" s="19">
        <f>('[1]Short Spot'!B7-'[1]Short Spot'!B6)*100</f>
        <v>1.396507881670761</v>
      </c>
      <c r="C6" s="19">
        <f>('[1]Short Spot'!C7-'[1]Short Spot'!C6)*100</f>
        <v>1.8608547873271597</v>
      </c>
      <c r="D6" s="19">
        <f>('[1]Short Spot'!D7-'[1]Short Spot'!D6)*100</f>
        <v>1.8250936515282312</v>
      </c>
      <c r="E6" s="19">
        <f>('[1]Short Spot'!E7-'[1]Short Spot'!E6)*100</f>
        <v>1.7200119339157105</v>
      </c>
      <c r="F6" s="19">
        <f>('[1]Short Spot'!F7-'[1]Short Spot'!F6)*100</f>
        <v>1.6062792856345709</v>
      </c>
      <c r="G6" s="19">
        <f>('[1]Short Spot'!G7-'[1]Short Spot'!G6)*100</f>
        <v>1.5009964561592426</v>
      </c>
      <c r="H6" s="19">
        <f>('[1]Short Spot'!H7-'[1]Short Spot'!H6)*100</f>
        <v>1.4099165186645557</v>
      </c>
      <c r="I6" s="19">
        <f>('[1]Short Spot'!I7-'[1]Short Spot'!I6)*100</f>
        <v>1.3348460805176821</v>
      </c>
      <c r="J6" s="19">
        <f>('[1]Short Spot'!J7-'[1]Short Spot'!J6)*100</f>
        <v>1.2764901971387133</v>
      </c>
      <c r="K6" s="19">
        <f>('[1]Short Spot'!K7-'[1]Short Spot'!K6)*100</f>
        <v>1.2344494683142138</v>
      </c>
      <c r="L6" s="19">
        <f>('[1]Short Spot'!L7-'[1]Short Spot'!L6)*100</f>
        <v>1.2072396904700078</v>
      </c>
      <c r="M6" s="19">
        <f>('[1]Short Spot'!M7-'[1]Short Spot'!M6)*100</f>
        <v>1.1923284527936673</v>
      </c>
      <c r="N6" s="19">
        <f>('[1]Short Spot'!N7-'[1]Short Spot'!N6)*100</f>
        <v>1.1867391080662593</v>
      </c>
      <c r="O6" s="19">
        <f>('[1]Short Spot'!O7-'[1]Short Spot'!O6)*100</f>
        <v>1.1878406550444254</v>
      </c>
      <c r="P6" s="19">
        <f>('[1]Short Spot'!P7-'[1]Short Spot'!P6)*100</f>
        <v>1.1936127674556651</v>
      </c>
      <c r="Q6" s="19">
        <f>('[1]Short Spot'!Q7-'[1]Short Spot'!Q6)*100</f>
        <v>1.2026037265163936</v>
      </c>
      <c r="R6" s="19">
        <f>('[1]Short Spot'!R7-'[1]Short Spot'!R6)*100</f>
        <v>1.2137597507524411</v>
      </c>
      <c r="S6" s="19">
        <f>('[1]Short Spot'!S7-'[1]Short Spot'!S6)*100</f>
        <v>1.2263003429999308</v>
      </c>
      <c r="T6" s="19">
        <f>('[1]Short Spot'!T7-'[1]Short Spot'!T6)*100</f>
        <v>1.2396463734498653</v>
      </c>
      <c r="U6" s="19">
        <f>('[1]Short Spot'!U7-'[1]Short Spot'!U6)*100</f>
        <v>1.2533697378104058</v>
      </c>
      <c r="V6" s="19">
        <f>('[1]Short Spot'!V7-'[1]Short Spot'!V6)*100</f>
        <v>1.2671573988485285</v>
      </c>
      <c r="W6" s="19">
        <f>('[1]Short Spot'!W7-'[1]Short Spot'!W6)*100</f>
        <v>1.2807865324146128</v>
      </c>
      <c r="X6" s="19">
        <f>('[1]Short Spot'!X7-'[1]Short Spot'!X6)*100</f>
        <v>1.2941081926459042</v>
      </c>
      <c r="Y6" s="19">
        <f>('[1]Short Spot'!Y7-'[1]Short Spot'!Y6)*100</f>
        <v>1.307017499182983</v>
      </c>
      <c r="Z6" s="19">
        <f>('[1]Short Spot'!Z7-'[1]Short Spot'!Z6)*100</f>
        <v>1.3194393930442416</v>
      </c>
      <c r="AA6" s="19">
        <f>('[1]Short Spot'!AA7-'[1]Short Spot'!AA6)*100</f>
        <v>1.331322886045605</v>
      </c>
      <c r="AB6" s="19">
        <f>('[1]Short Spot'!AB7-'[1]Short Spot'!AB6)*100</f>
        <v>1.3426366293185055</v>
      </c>
      <c r="AC6" s="19">
        <f>('[1]Short Spot'!AC7-'[1]Short Spot'!AC6)*100</f>
        <v>1.3533639409626375</v>
      </c>
      <c r="AD6" s="19">
        <f>('[1]Short Spot'!AD7-'[1]Short Spot'!AD6)*100</f>
        <v>1.3634964447708953</v>
      </c>
      <c r="AE6" s="19">
        <f>('[1]Short Spot'!AE7-'[1]Short Spot'!AE6)*100</f>
        <v>1.3730318356513393</v>
      </c>
      <c r="AF6" s="19">
        <f>('[1]Short Spot'!AF7-'[1]Short Spot'!AF6)*100</f>
        <v>1.3819728989947322</v>
      </c>
      <c r="AG6" s="19">
        <f>('[1]Short Spot'!AG7-'[1]Short Spot'!AG6)*100</f>
        <v>1.3903267152870491</v>
      </c>
      <c r="AH6" s="19">
        <f>('[1]Short Spot'!AH7-'[1]Short Spot'!AH6)*100</f>
        <v>1.3981040119258381</v>
      </c>
      <c r="AI6" s="19">
        <f>('[1]Short Spot'!AI7-'[1]Short Spot'!AI6)*100</f>
        <v>1.4053188986689946</v>
      </c>
      <c r="AJ6" s="19">
        <f>('[1]Short Spot'!AJ7-'[1]Short Spot'!AJ6)*100</f>
        <v>1.4119871503116777</v>
      </c>
      <c r="AK6" s="19">
        <f>('[1]Short Spot'!AK7-'[1]Short Spot'!AK6)*100</f>
        <v>1.4181236707477396</v>
      </c>
      <c r="AL6" s="19">
        <f>('[1]Short Spot'!AL7-'[1]Short Spot'!AL6)*100</f>
        <v>1.4237427392408186</v>
      </c>
      <c r="AM6" s="19">
        <f>('[1]Short Spot'!AM7-'[1]Short Spot'!AM6)*100</f>
        <v>1.4288587458169744</v>
      </c>
      <c r="AN6" s="19">
        <f>('[1]Short Spot'!AN7-'[1]Short Spot'!AN6)*100</f>
        <v>1.4334862762808598</v>
      </c>
      <c r="AO6" s="19">
        <f>('[1]Short Spot'!AO7-'[1]Short Spot'!AO6)*100</f>
        <v>1.437640087745784</v>
      </c>
      <c r="AP6" s="19">
        <f>('[1]Short Spot'!AP7-'[1]Short Spot'!AP6)*100</f>
        <v>1.4413350877419795</v>
      </c>
      <c r="AQ6" s="19">
        <f>('[1]Short Spot'!AQ7-'[1]Short Spot'!AQ6)*100</f>
        <v>1.4445863166562489</v>
      </c>
      <c r="AR6" s="19">
        <f>('[1]Short Spot'!AR7-'[1]Short Spot'!AR6)*100</f>
        <v>1.4474087973543881</v>
      </c>
      <c r="AS6" s="19">
        <f>('[1]Short Spot'!AS7-'[1]Short Spot'!AS6)*100</f>
        <v>1.4498172906863616</v>
      </c>
      <c r="AT6" s="19">
        <f>('[1]Short Spot'!AT7-'[1]Short Spot'!AT6)*100</f>
        <v>1.4518262873846055</v>
      </c>
      <c r="AU6" s="19">
        <f>('[1]Short Spot'!AU7-'[1]Short Spot'!AU6)*100</f>
        <v>1.45345003742543</v>
      </c>
      <c r="AV6" s="19">
        <f>('[1]Short Spot'!AV7-'[1]Short Spot'!AV6)*100</f>
        <v>1.4547025756592724</v>
      </c>
      <c r="AW6" s="19">
        <f>('[1]Short Spot'!AW7-'[1]Short Spot'!AW6)*100</f>
        <v>1.4555977649299834</v>
      </c>
      <c r="AX6" s="19">
        <f>('[1]Short Spot'!AX7-'[1]Short Spot'!AX6)*100</f>
        <v>1.4561491716865937</v>
      </c>
      <c r="AY6" s="19">
        <f>('[1]Short Spot'!AY7-'[1]Short Spot'!AY6)*100</f>
        <v>1.4563697703956713</v>
      </c>
      <c r="AZ6" s="19">
        <f>('[1]Short Spot'!AZ7-'[1]Short Spot'!AZ6)*100</f>
        <v>1.4562719578476546</v>
      </c>
      <c r="BA6" s="19">
        <f>('[1]Short Spot'!BA7-'[1]Short Spot'!BA6)*100</f>
        <v>1.4558676087009559</v>
      </c>
      <c r="BB6" s="19">
        <f>('[1]Short Spot'!BB7-'[1]Short Spot'!BB6)*100</f>
        <v>1.4551681247406911</v>
      </c>
      <c r="BC6" s="19">
        <f>('[1]Short Spot'!BC7-'[1]Short Spot'!BC6)*100</f>
        <v>1.4541844786630342</v>
      </c>
      <c r="BD6" s="19">
        <f>('[1]Short Spot'!BD7-'[1]Short Spot'!BD6)*100</f>
        <v>1.4529272567264329</v>
      </c>
      <c r="BE6" s="19">
        <f>('[1]Short Spot'!BE7-'[1]Short Spot'!BE6)*100</f>
        <v>1.4514067480461357</v>
      </c>
      <c r="BF6" s="19">
        <f>('[1]Short Spot'!BF7-'[1]Short Spot'!BF6)*100</f>
        <v>1.4496328474912445</v>
      </c>
      <c r="BG6" s="19">
        <f>('[1]Short Spot'!BG7-'[1]Short Spot'!BG6)*100</f>
        <v>1.447614951505205</v>
      </c>
      <c r="BH6" s="19">
        <f>('[1]Short Spot'!BH7-'[1]Short Spot'!BH6)*100</f>
        <v>1.4453619951718011</v>
      </c>
      <c r="BI6" s="19">
        <f>('[1]Short Spot'!BI7-'[1]Short Spot'!BI6)*100</f>
        <v>1.4428824906620008</v>
      </c>
    </row>
    <row r="7" spans="1:61" x14ac:dyDescent="0.2">
      <c r="A7" s="18">
        <v>39092</v>
      </c>
      <c r="B7" s="19">
        <f>('[1]Short Spot'!B8-'[1]Short Spot'!B7)*100</f>
        <v>1.2651203257217247</v>
      </c>
      <c r="C7" s="19">
        <f>('[1]Short Spot'!C8-'[1]Short Spot'!C7)*100</f>
        <v>0.89228645445658117</v>
      </c>
      <c r="D7" s="19">
        <f>('[1]Short Spot'!D8-'[1]Short Spot'!D7)*100</f>
        <v>0.70153815394116137</v>
      </c>
      <c r="E7" s="19">
        <f>('[1]Short Spot'!E8-'[1]Short Spot'!E7)*100</f>
        <v>0.52932583012550438</v>
      </c>
      <c r="F7" s="19">
        <f>('[1]Short Spot'!F8-'[1]Short Spot'!F7)*100</f>
        <v>0.41889008703570596</v>
      </c>
      <c r="G7" s="19">
        <f>('[1]Short Spot'!G8-'[1]Short Spot'!G7)*100</f>
        <v>0.37625588753282813</v>
      </c>
      <c r="H7" s="19">
        <f>('[1]Short Spot'!H8-'[1]Short Spot'!H7)*100</f>
        <v>0.38721188334411849</v>
      </c>
      <c r="I7" s="19">
        <f>('[1]Short Spot'!I8-'[1]Short Spot'!I7)*100</f>
        <v>0.42352918377401849</v>
      </c>
      <c r="J7" s="19">
        <f>('[1]Short Spot'!J8-'[1]Short Spot'!J7)*100</f>
        <v>0.46588314995839042</v>
      </c>
      <c r="K7" s="19">
        <f>('[1]Short Spot'!K8-'[1]Short Spot'!K7)*100</f>
        <v>0.50346652209540821</v>
      </c>
      <c r="L7" s="19">
        <f>('[1]Short Spot'!L8-'[1]Short Spot'!L7)*100</f>
        <v>0.53129760231671597</v>
      </c>
      <c r="M7" s="19">
        <f>('[1]Short Spot'!M8-'[1]Short Spot'!M7)*100</f>
        <v>0.54869141050479797</v>
      </c>
      <c r="N7" s="19">
        <f>('[1]Short Spot'!N8-'[1]Short Spot'!N7)*100</f>
        <v>0.55692796640922637</v>
      </c>
      <c r="O7" s="19">
        <f>('[1]Short Spot'!O8-'[1]Short Spot'!O7)*100</f>
        <v>0.5578150580286767</v>
      </c>
      <c r="P7" s="19">
        <f>('[1]Short Spot'!P8-'[1]Short Spot'!P7)*100</f>
        <v>0.55318795465515436</v>
      </c>
      <c r="Q7" s="19">
        <f>('[1]Short Spot'!Q8-'[1]Short Spot'!Q7)*100</f>
        <v>0.54469987084875271</v>
      </c>
      <c r="R7" s="19">
        <f>('[1]Short Spot'!R8-'[1]Short Spot'!R7)*100</f>
        <v>0.53361157059246267</v>
      </c>
      <c r="S7" s="19">
        <f>('[1]Short Spot'!S8-'[1]Short Spot'!S7)*100</f>
        <v>0.52086770649291125</v>
      </c>
      <c r="T7" s="19">
        <f>('[1]Short Spot'!T8-'[1]Short Spot'!T7)*100</f>
        <v>0.50718000698424248</v>
      </c>
      <c r="U7" s="19">
        <f>('[1]Short Spot'!U8-'[1]Short Spot'!U7)*100</f>
        <v>0.49308550737174883</v>
      </c>
      <c r="V7" s="19">
        <f>('[1]Short Spot'!V8-'[1]Short Spot'!V7)*100</f>
        <v>0.47898814343403373</v>
      </c>
      <c r="W7" s="19">
        <f>('[1]Short Spot'!W8-'[1]Short Spot'!W7)*100</f>
        <v>0.46519071855266603</v>
      </c>
      <c r="X7" s="19">
        <f>('[1]Short Spot'!X8-'[1]Short Spot'!X7)*100</f>
        <v>0.45192472422952434</v>
      </c>
      <c r="Y7" s="19">
        <f>('[1]Short Spot'!Y8-'[1]Short Spot'!Y7)*100</f>
        <v>0.43935731182722648</v>
      </c>
      <c r="Z7" s="19">
        <f>('[1]Short Spot'!Z8-'[1]Short Spot'!Z7)*100</f>
        <v>0.42760013426992316</v>
      </c>
      <c r="AA7" s="19">
        <f>('[1]Short Spot'!AA8-'[1]Short Spot'!AA7)*100</f>
        <v>0.41672001066181963</v>
      </c>
      <c r="AB7" s="19">
        <f>('[1]Short Spot'!AB8-'[1]Short Spot'!AB7)*100</f>
        <v>0.40674778824412172</v>
      </c>
      <c r="AC7" s="19">
        <f>('[1]Short Spot'!AC8-'[1]Short Spot'!AC7)*100</f>
        <v>0.39769164495844223</v>
      </c>
      <c r="AD7" s="19">
        <f>('[1]Short Spot'!AD8-'[1]Short Spot'!AD7)*100</f>
        <v>0.38954807586248918</v>
      </c>
      <c r="AE7" s="19">
        <f>('[1]Short Spot'!AE8-'[1]Short Spot'!AE7)*100</f>
        <v>0.38230445278859548</v>
      </c>
      <c r="AF7" s="19">
        <f>('[1]Short Spot'!AF8-'[1]Short Spot'!AF7)*100</f>
        <v>0.37594049536631147</v>
      </c>
      <c r="AG7" s="19">
        <f>('[1]Short Spot'!AG8-'[1]Short Spot'!AG7)*100</f>
        <v>0.37042946667797949</v>
      </c>
      <c r="AH7" s="19">
        <f>('[1]Short Spot'!AH8-'[1]Short Spot'!AH7)*100</f>
        <v>0.3657391567887025</v>
      </c>
      <c r="AI7" s="19">
        <f>('[1]Short Spot'!AI8-'[1]Short Spot'!AI7)*100</f>
        <v>0.36183383999093266</v>
      </c>
      <c r="AJ7" s="19">
        <f>('[1]Short Spot'!AJ8-'[1]Short Spot'!AJ7)*100</f>
        <v>0.35867832724765236</v>
      </c>
      <c r="AK7" s="19">
        <f>('[1]Short Spot'!AK8-'[1]Short Spot'!AK7)*100</f>
        <v>0.35623846059742448</v>
      </c>
      <c r="AL7" s="19">
        <f>('[1]Short Spot'!AL8-'[1]Short Spot'!AL7)*100</f>
        <v>0.3544808200976135</v>
      </c>
      <c r="AM7" s="19">
        <f>('[1]Short Spot'!AM8-'[1]Short Spot'!AM7)*100</f>
        <v>0.35337281125160658</v>
      </c>
      <c r="AN7" s="19">
        <f>('[1]Short Spot'!AN8-'[1]Short Spot'!AN7)*100</f>
        <v>0.35288260561134877</v>
      </c>
      <c r="AO7" s="19">
        <f>('[1]Short Spot'!AO8-'[1]Short Spot'!AO7)*100</f>
        <v>0.35297904502238353</v>
      </c>
      <c r="AP7" s="19">
        <f>('[1]Short Spot'!AP8-'[1]Short Spot'!AP7)*100</f>
        <v>0.35363155987937489</v>
      </c>
      <c r="AQ7" s="19">
        <f>('[1]Short Spot'!AQ8-'[1]Short Spot'!AQ7)*100</f>
        <v>0.3548101676152271</v>
      </c>
      <c r="AR7" s="19">
        <f>('[1]Short Spot'!AR8-'[1]Short Spot'!AR7)*100</f>
        <v>0.35648597189421594</v>
      </c>
      <c r="AS7" s="19">
        <f>('[1]Short Spot'!AS8-'[1]Short Spot'!AS7)*100</f>
        <v>0.3586314734282503</v>
      </c>
      <c r="AT7" s="19">
        <f>('[1]Short Spot'!AT8-'[1]Short Spot'!AT7)*100</f>
        <v>0.36122043950541638</v>
      </c>
      <c r="AU7" s="19">
        <f>('[1]Short Spot'!AU8-'[1]Short Spot'!AU7)*100</f>
        <v>0.36422776631717113</v>
      </c>
      <c r="AV7" s="19">
        <f>('[1]Short Spot'!AV8-'[1]Short Spot'!AV7)*100</f>
        <v>0.36762935891925252</v>
      </c>
      <c r="AW7" s="19">
        <f>('[1]Short Spot'!AW8-'[1]Short Spot'!AW7)*100</f>
        <v>0.37140209021249149</v>
      </c>
      <c r="AX7" s="19">
        <f>('[1]Short Spot'!AX8-'[1]Short Spot'!AX7)*100</f>
        <v>0.375523889347118</v>
      </c>
      <c r="AY7" s="19">
        <f>('[1]Short Spot'!AY8-'[1]Short Spot'!AY7)*100</f>
        <v>0.37997358589221264</v>
      </c>
      <c r="AZ7" s="19">
        <f>('[1]Short Spot'!AZ8-'[1]Short Spot'!AZ7)*100</f>
        <v>0.38473080040928309</v>
      </c>
      <c r="BA7" s="19">
        <f>('[1]Short Spot'!BA8-'[1]Short Spot'!BA7)*100</f>
        <v>0.389775868394171</v>
      </c>
      <c r="BB7" s="19">
        <f>('[1]Short Spot'!BB8-'[1]Short Spot'!BB7)*100</f>
        <v>0.39508977283144731</v>
      </c>
      <c r="BC7" s="19">
        <f>('[1]Short Spot'!BC8-'[1]Short Spot'!BC7)*100</f>
        <v>0.40065408424103666</v>
      </c>
      <c r="BD7" s="19">
        <f>('[1]Short Spot'!BD8-'[1]Short Spot'!BD7)*100</f>
        <v>0.40645091301056979</v>
      </c>
      <c r="BE7" s="19">
        <f>('[1]Short Spot'!BE8-'[1]Short Spot'!BE7)*100</f>
        <v>0.41246300577570949</v>
      </c>
      <c r="BF7" s="19">
        <f>('[1]Short Spot'!BF8-'[1]Short Spot'!BF7)*100</f>
        <v>0.41867381230078493</v>
      </c>
      <c r="BG7" s="19">
        <f>('[1]Short Spot'!BG8-'[1]Short Spot'!BG7)*100</f>
        <v>0.42506737233134473</v>
      </c>
      <c r="BH7" s="19">
        <f>('[1]Short Spot'!BH8-'[1]Short Spot'!BH7)*100</f>
        <v>0.431628262309669</v>
      </c>
      <c r="BI7" s="19">
        <f>('[1]Short Spot'!BI8-'[1]Short Spot'!BI7)*100</f>
        <v>0.43834155065018976</v>
      </c>
    </row>
    <row r="8" spans="1:61" x14ac:dyDescent="0.2">
      <c r="A8" s="18">
        <v>39093</v>
      </c>
      <c r="B8" s="19">
        <f>('[1]Short Spot'!B9-'[1]Short Spot'!B8)*100</f>
        <v>0.42036327726560074</v>
      </c>
      <c r="C8" s="19">
        <f>('[1]Short Spot'!C9-'[1]Short Spot'!C8)*100</f>
        <v>0.80224686158407721</v>
      </c>
      <c r="D8" s="19">
        <f>('[1]Short Spot'!D9-'[1]Short Spot'!D8)*100</f>
        <v>2.2648537692685267</v>
      </c>
      <c r="E8" s="19">
        <f>('[1]Short Spot'!E9-'[1]Short Spot'!E8)*100</f>
        <v>3.7752033242697713</v>
      </c>
      <c r="F8" s="19">
        <f>('[1]Short Spot'!F9-'[1]Short Spot'!F8)*100</f>
        <v>5.055620007790651</v>
      </c>
      <c r="G8" s="19">
        <f>('[1]Short Spot'!G9-'[1]Short Spot'!G8)*100</f>
        <v>6.0748703993993125</v>
      </c>
      <c r="H8" s="19">
        <f>('[1]Short Spot'!H9-'[1]Short Spot'!H8)*100</f>
        <v>6.884875043476324</v>
      </c>
      <c r="I8" s="19">
        <f>('[1]Short Spot'!I9-'[1]Short Spot'!I8)*100</f>
        <v>7.5636638687051061</v>
      </c>
      <c r="J8" s="19">
        <f>('[1]Short Spot'!J9-'[1]Short Spot'!J8)*100</f>
        <v>8.1587892882343027</v>
      </c>
      <c r="K8" s="19">
        <f>('[1]Short Spot'!K9-'[1]Short Spot'!K8)*100</f>
        <v>8.6933987069548913</v>
      </c>
      <c r="L8" s="19">
        <f>('[1]Short Spot'!L9-'[1]Short Spot'!L8)*100</f>
        <v>9.1766219729254139</v>
      </c>
      <c r="M8" s="19">
        <f>('[1]Short Spot'!M9-'[1]Short Spot'!M8)*100</f>
        <v>9.6091996623385967</v>
      </c>
      <c r="N8" s="19">
        <f>('[1]Short Spot'!N9-'[1]Short Spot'!N8)*100</f>
        <v>9.9896350354053531</v>
      </c>
      <c r="O8" s="19">
        <f>('[1]Short Spot'!O9-'[1]Short Spot'!O8)*100</f>
        <v>10.318168081268198</v>
      </c>
      <c r="P8" s="19">
        <f>('[1]Short Spot'!P9-'[1]Short Spot'!P8)*100</f>
        <v>10.597309024649348</v>
      </c>
      <c r="Q8" s="19">
        <f>('[1]Short Spot'!Q9-'[1]Short Spot'!Q8)*100</f>
        <v>10.830541659354775</v>
      </c>
      <c r="R8" s="19">
        <f>('[1]Short Spot'!R9-'[1]Short Spot'!R8)*100</f>
        <v>11.021402198437347</v>
      </c>
      <c r="S8" s="19">
        <f>('[1]Short Spot'!S9-'[1]Short Spot'!S8)*100</f>
        <v>11.173411496493113</v>
      </c>
      <c r="T8" s="19">
        <f>('[1]Short Spot'!T9-'[1]Short Spot'!T8)*100</f>
        <v>11.290079091359839</v>
      </c>
      <c r="U8" s="19">
        <f>('[1]Short Spot'!U9-'[1]Short Spot'!U8)*100</f>
        <v>11.374906033306065</v>
      </c>
      <c r="V8" s="19">
        <f>('[1]Short Spot'!V9-'[1]Short Spot'!V8)*100</f>
        <v>11.431386905882501</v>
      </c>
      <c r="W8" s="19">
        <f>('[1]Short Spot'!W9-'[1]Short Spot'!W8)*100</f>
        <v>11.462998408866554</v>
      </c>
      <c r="X8" s="19">
        <f>('[1]Short Spot'!X9-'[1]Short Spot'!X8)*100</f>
        <v>11.473001268146721</v>
      </c>
      <c r="Y8" s="19">
        <f>('[1]Short Spot'!Y9-'[1]Short Spot'!Y8)*100</f>
        <v>11.464227724339437</v>
      </c>
      <c r="Z8" s="19">
        <f>('[1]Short Spot'!Z9-'[1]Short Spot'!Z8)*100</f>
        <v>11.439134760375502</v>
      </c>
      <c r="AA8" s="19">
        <f>('[1]Short Spot'!AA9-'[1]Short Spot'!AA8)*100</f>
        <v>11.399876260784048</v>
      </c>
      <c r="AB8" s="19">
        <f>('[1]Short Spot'!AB9-'[1]Short Spot'!AB8)*100</f>
        <v>11.348357484922289</v>
      </c>
      <c r="AC8" s="19">
        <f>('[1]Short Spot'!AC9-'[1]Short Spot'!AC8)*100</f>
        <v>11.28625423562859</v>
      </c>
      <c r="AD8" s="19">
        <f>('[1]Short Spot'!AD9-'[1]Short Spot'!AD8)*100</f>
        <v>11.215020807966525</v>
      </c>
      <c r="AE8" s="19">
        <f>('[1]Short Spot'!AE9-'[1]Short Spot'!AE8)*100</f>
        <v>11.135923015081772</v>
      </c>
      <c r="AF8" s="19">
        <f>('[1]Short Spot'!AF9-'[1]Short Spot'!AF8)*100</f>
        <v>11.05006858800941</v>
      </c>
      <c r="AG8" s="19">
        <f>('[1]Short Spot'!AG9-'[1]Short Spot'!AG8)*100</f>
        <v>10.958431876005292</v>
      </c>
      <c r="AH8" s="19">
        <f>('[1]Short Spot'!AH9-'[1]Short Spot'!AH8)*100</f>
        <v>10.861874056983112</v>
      </c>
      <c r="AI8" s="19">
        <f>('[1]Short Spot'!AI9-'[1]Short Spot'!AI8)*100</f>
        <v>10.761158015898609</v>
      </c>
      <c r="AJ8" s="19">
        <f>('[1]Short Spot'!AJ9-'[1]Short Spot'!AJ8)*100</f>
        <v>10.656950659389519</v>
      </c>
      <c r="AK8" s="19">
        <f>('[1]Short Spot'!AK9-'[1]Short Spot'!AK8)*100</f>
        <v>10.549829025556257</v>
      </c>
      <c r="AL8" s="19">
        <f>('[1]Short Spot'!AL9-'[1]Short Spot'!AL8)*100</f>
        <v>10.440295879921457</v>
      </c>
      <c r="AM8" s="19">
        <f>('[1]Short Spot'!AM9-'[1]Short Spot'!AM8)*100</f>
        <v>10.328793025742655</v>
      </c>
      <c r="AN8" s="19">
        <f>('[1]Short Spot'!AN9-'[1]Short Spot'!AN8)*100</f>
        <v>10.215709413387053</v>
      </c>
      <c r="AO8" s="19">
        <f>('[1]Short Spot'!AO9-'[1]Short Spot'!AO8)*100</f>
        <v>10.101387746942425</v>
      </c>
      <c r="AP8" s="19">
        <f>('[1]Short Spot'!AP9-'[1]Short Spot'!AP8)*100</f>
        <v>9.9861301240093958</v>
      </c>
      <c r="AQ8" s="19">
        <f>('[1]Short Spot'!AQ9-'[1]Short Spot'!AQ8)*100</f>
        <v>9.8702029625174603</v>
      </c>
      <c r="AR8" s="19">
        <f>('[1]Short Spot'!AR9-'[1]Short Spot'!AR8)*100</f>
        <v>9.7538418279721206</v>
      </c>
      <c r="AS8" s="19">
        <f>('[1]Short Spot'!AS9-'[1]Short Spot'!AS8)*100</f>
        <v>9.6372554031105118</v>
      </c>
      <c r="AT8" s="19">
        <f>('[1]Short Spot'!AT9-'[1]Short Spot'!AT8)*100</f>
        <v>9.5206284959094667</v>
      </c>
      <c r="AU8" s="19">
        <f>('[1]Short Spot'!AU9-'[1]Short Spot'!AU8)*100</f>
        <v>9.4041246346676211</v>
      </c>
      <c r="AV8" s="19">
        <f>('[1]Short Spot'!AV9-'[1]Short Spot'!AV8)*100</f>
        <v>9.2878883319707839</v>
      </c>
      <c r="AW8" s="19">
        <f>('[1]Short Spot'!AW9-'[1]Short Spot'!AW8)*100</f>
        <v>9.1720472587173418</v>
      </c>
      <c r="AX8" s="19">
        <f>('[1]Short Spot'!AX9-'[1]Short Spot'!AX8)*100</f>
        <v>9.0567149869092312</v>
      </c>
      <c r="AY8" s="19">
        <f>('[1]Short Spot'!AY9-'[1]Short Spot'!AY8)*100</f>
        <v>8.9419929213735649</v>
      </c>
      <c r="AZ8" s="19">
        <f>('[1]Short Spot'!AZ9-'[1]Short Spot'!AZ8)*100</f>
        <v>8.8279715045102236</v>
      </c>
      <c r="BA8" s="19">
        <f>('[1]Short Spot'!BA9-'[1]Short Spot'!BA8)*100</f>
        <v>8.7147312703724111</v>
      </c>
      <c r="BB8" s="19">
        <f>('[1]Short Spot'!BB9-'[1]Short Spot'!BB8)*100</f>
        <v>8.6023437794144897</v>
      </c>
      <c r="BC8" s="19">
        <f>('[1]Short Spot'!BC9-'[1]Short Spot'!BC8)*100</f>
        <v>8.4908724493827137</v>
      </c>
      <c r="BD8" s="19">
        <f>('[1]Short Spot'!BD9-'[1]Short Spot'!BD8)*100</f>
        <v>8.3803733054645058</v>
      </c>
      <c r="BE8" s="19">
        <f>('[1]Short Spot'!BE9-'[1]Short Spot'!BE8)*100</f>
        <v>8.2708959368096302</v>
      </c>
      <c r="BF8" s="19">
        <f>('[1]Short Spot'!BF9-'[1]Short Spot'!BF8)*100</f>
        <v>8.1624845340778407</v>
      </c>
      <c r="BG8" s="19">
        <f>('[1]Short Spot'!BG9-'[1]Short Spot'!BG8)*100</f>
        <v>8.0551783992294013</v>
      </c>
      <c r="BH8" s="19">
        <f>('[1]Short Spot'!BH9-'[1]Short Spot'!BH8)*100</f>
        <v>7.9490123578808358</v>
      </c>
      <c r="BI8" s="19">
        <f>('[1]Short Spot'!BI9-'[1]Short Spot'!BI8)*100</f>
        <v>7.8440171323332919</v>
      </c>
    </row>
    <row r="9" spans="1:61" x14ac:dyDescent="0.2">
      <c r="A9" s="18">
        <v>39094</v>
      </c>
      <c r="B9" s="19">
        <f>('[1]Short Spot'!B10-'[1]Short Spot'!B9)*100</f>
        <v>19.309115314082259</v>
      </c>
      <c r="C9" s="19">
        <f>('[1]Short Spot'!C10-'[1]Short Spot'!C9)*100</f>
        <v>17.489911882146902</v>
      </c>
      <c r="D9" s="19">
        <f>('[1]Short Spot'!D10-'[1]Short Spot'!D9)*100</f>
        <v>15.926535972970068</v>
      </c>
      <c r="E9" s="19">
        <f>('[1]Short Spot'!E10-'[1]Short Spot'!E9)*100</f>
        <v>14.689385082168549</v>
      </c>
      <c r="F9" s="19">
        <f>('[1]Short Spot'!F10-'[1]Short Spot'!F9)*100</f>
        <v>13.75303847624636</v>
      </c>
      <c r="G9" s="19">
        <f>('[1]Short Spot'!G10-'[1]Short Spot'!G9)*100</f>
        <v>13.046528214916453</v>
      </c>
      <c r="H9" s="19">
        <f>('[1]Short Spot'!H10-'[1]Short Spot'!H9)*100</f>
        <v>12.473642125508988</v>
      </c>
      <c r="I9" s="19">
        <f>('[1]Short Spot'!I10-'[1]Short Spot'!I9)*100</f>
        <v>11.928740273800731</v>
      </c>
      <c r="J9" s="19">
        <f>('[1]Short Spot'!J10-'[1]Short Spot'!J9)*100</f>
        <v>11.366450963089036</v>
      </c>
      <c r="K9" s="19">
        <f>('[1]Short Spot'!K10-'[1]Short Spot'!K9)*100</f>
        <v>10.782686881103931</v>
      </c>
      <c r="L9" s="19">
        <f>('[1]Short Spot'!L10-'[1]Short Spot'!L9)*100</f>
        <v>10.189627099075782</v>
      </c>
      <c r="M9" s="19">
        <f>('[1]Short Spot'!M10-'[1]Short Spot'!M9)*100</f>
        <v>9.602916893002611</v>
      </c>
      <c r="N9" s="19">
        <f>('[1]Short Spot'!N10-'[1]Short Spot'!N9)*100</f>
        <v>9.0368227485170927</v>
      </c>
      <c r="O9" s="19">
        <f>('[1]Short Spot'!O10-'[1]Short Spot'!O9)*100</f>
        <v>8.5014880838287787</v>
      </c>
      <c r="P9" s="19">
        <f>('[1]Short Spot'!P10-'[1]Short Spot'!P9)*100</f>
        <v>8.0021780549349941</v>
      </c>
      <c r="Q9" s="19">
        <f>('[1]Short Spot'!Q10-'[1]Short Spot'!Q9)*100</f>
        <v>7.5413021271401703</v>
      </c>
      <c r="R9" s="19">
        <f>('[1]Short Spot'!R10-'[1]Short Spot'!R9)*100</f>
        <v>7.1196084537173299</v>
      </c>
      <c r="S9" s="19">
        <f>('[1]Short Spot'!S10-'[1]Short Spot'!S9)*100</f>
        <v>6.7366490236559606</v>
      </c>
      <c r="T9" s="19">
        <f>('[1]Short Spot'!T10-'[1]Short Spot'!T9)*100</f>
        <v>6.3910944417372662</v>
      </c>
      <c r="U9" s="19">
        <f>('[1]Short Spot'!U10-'[1]Short Spot'!U9)*100</f>
        <v>6.0809542745871248</v>
      </c>
      <c r="V9" s="19">
        <f>('[1]Short Spot'!V10-'[1]Short Spot'!V9)*100</f>
        <v>5.8037344407107838</v>
      </c>
      <c r="W9" s="19">
        <f>('[1]Short Spot'!W10-'[1]Short Spot'!W9)*100</f>
        <v>5.556577722863576</v>
      </c>
      <c r="X9" s="19">
        <f>('[1]Short Spot'!X10-'[1]Short Spot'!X9)*100</f>
        <v>5.3366184241892434</v>
      </c>
      <c r="Y9" s="19">
        <f>('[1]Short Spot'!Y10-'[1]Short Spot'!Y9)*100</f>
        <v>5.1412498440775778</v>
      </c>
      <c r="Z9" s="19">
        <f>('[1]Short Spot'!Z10-'[1]Short Spot'!Z9)*100</f>
        <v>4.9680958838712819</v>
      </c>
      <c r="AA9" s="19">
        <f>('[1]Short Spot'!AA10-'[1]Short Spot'!AA9)*100</f>
        <v>4.8149667003905883</v>
      </c>
      <c r="AB9" s="19">
        <f>('[1]Short Spot'!AB10-'[1]Short Spot'!AB9)*100</f>
        <v>4.6798297353305429</v>
      </c>
      <c r="AC9" s="19">
        <f>('[1]Short Spot'!AC10-'[1]Short Spot'!AC9)*100</f>
        <v>4.5608387600501565</v>
      </c>
      <c r="AD9" s="19">
        <f>('[1]Short Spot'!AD10-'[1]Short Spot'!AD9)*100</f>
        <v>4.456355965504688</v>
      </c>
      <c r="AE9" s="19">
        <f>('[1]Short Spot'!AE10-'[1]Short Spot'!AE9)*100</f>
        <v>4.3649218914928234</v>
      </c>
      <c r="AF9" s="19">
        <f>('[1]Short Spot'!AF10-'[1]Short Spot'!AF9)*100</f>
        <v>4.285226660725705</v>
      </c>
      <c r="AG9" s="19">
        <f>('[1]Short Spot'!AG10-'[1]Short Spot'!AG9)*100</f>
        <v>4.2160866064947733</v>
      </c>
      <c r="AH9" s="19">
        <f>('[1]Short Spot'!AH10-'[1]Short Spot'!AH9)*100</f>
        <v>4.1564252108242883</v>
      </c>
      <c r="AI9" s="19">
        <f>('[1]Short Spot'!AI10-'[1]Short Spot'!AI9)*100</f>
        <v>4.1052642656264737</v>
      </c>
      <c r="AJ9" s="19">
        <f>('[1]Short Spot'!AJ10-'[1]Short Spot'!AJ9)*100</f>
        <v>4.0617314080532374</v>
      </c>
      <c r="AK9" s="19">
        <f>('[1]Short Spot'!AK10-'[1]Short Spot'!AK9)*100</f>
        <v>4.0250518695754245</v>
      </c>
      <c r="AL9" s="19">
        <f>('[1]Short Spot'!AL10-'[1]Short Spot'!AL9)*100</f>
        <v>3.9945347432943201</v>
      </c>
      <c r="AM9" s="19">
        <f>('[1]Short Spot'!AM10-'[1]Short Spot'!AM9)*100</f>
        <v>3.9695615680049201</v>
      </c>
      <c r="AN9" s="19">
        <f>('[1]Short Spot'!AN10-'[1]Short Spot'!AN9)*100</f>
        <v>3.9495770189250656</v>
      </c>
      <c r="AO9" s="19">
        <f>('[1]Short Spot'!AO10-'[1]Short Spot'!AO9)*100</f>
        <v>3.9340810156426542</v>
      </c>
      <c r="AP9" s="19">
        <f>('[1]Short Spot'!AP10-'[1]Short Spot'!AP9)*100</f>
        <v>3.9226219852043442</v>
      </c>
      <c r="AQ9" s="19">
        <f>('[1]Short Spot'!AQ10-'[1]Short Spot'!AQ9)*100</f>
        <v>3.9147914468518508</v>
      </c>
      <c r="AR9" s="19">
        <f>('[1]Short Spot'!AR10-'[1]Short Spot'!AR9)*100</f>
        <v>3.9102208924097326</v>
      </c>
      <c r="AS9" s="19">
        <f>('[1]Short Spot'!AS10-'[1]Short Spot'!AS9)*100</f>
        <v>3.9085781271514186</v>
      </c>
      <c r="AT9" s="19">
        <f>('[1]Short Spot'!AT10-'[1]Short Spot'!AT9)*100</f>
        <v>3.9095632383209455</v>
      </c>
      <c r="AU9" s="19">
        <f>('[1]Short Spot'!AU10-'[1]Short Spot'!AU9)*100</f>
        <v>3.9129050862237946</v>
      </c>
      <c r="AV9" s="19">
        <f>('[1]Short Spot'!AV10-'[1]Short Spot'!AV9)*100</f>
        <v>3.9183582446016274</v>
      </c>
      <c r="AW9" s="19">
        <f>('[1]Short Spot'!AW10-'[1]Short Spot'!AW9)*100</f>
        <v>3.9257005061521966</v>
      </c>
      <c r="AX9" s="19">
        <f>('[1]Short Spot'!AX10-'[1]Short Spot'!AX9)*100</f>
        <v>3.9347304342201461</v>
      </c>
      <c r="AY9" s="19">
        <f>('[1]Short Spot'!AY10-'[1]Short Spot'!AY9)*100</f>
        <v>3.9452646186544094</v>
      </c>
      <c r="AZ9" s="19">
        <f>('[1]Short Spot'!AZ10-'[1]Short Spot'!AZ9)*100</f>
        <v>3.9571358320474204</v>
      </c>
      <c r="BA9" s="19">
        <f>('[1]Short Spot'!BA10-'[1]Short Spot'!BA9)*100</f>
        <v>3.970191473701945</v>
      </c>
      <c r="BB9" s="19">
        <f>('[1]Short Spot'!BB10-'[1]Short Spot'!BB9)*100</f>
        <v>3.9842921897534467</v>
      </c>
      <c r="BC9" s="19">
        <f>('[1]Short Spot'!BC10-'[1]Short Spot'!BC9)*100</f>
        <v>3.999310646610521</v>
      </c>
      <c r="BD9" s="19">
        <f>('[1]Short Spot'!BD10-'[1]Short Spot'!BD9)*100</f>
        <v>4.0151304664286513</v>
      </c>
      <c r="BE9" s="19">
        <f>('[1]Short Spot'!BE10-'[1]Short Spot'!BE9)*100</f>
        <v>4.0316455747735347</v>
      </c>
      <c r="BF9" s="19">
        <f>('[1]Short Spot'!BF10-'[1]Short Spot'!BF9)*100</f>
        <v>4.0487590960461617</v>
      </c>
      <c r="BG9" s="19">
        <f>('[1]Short Spot'!BG10-'[1]Short Spot'!BG9)*100</f>
        <v>4.0663822619865897</v>
      </c>
      <c r="BH9" s="19">
        <f>('[1]Short Spot'!BH10-'[1]Short Spot'!BH9)*100</f>
        <v>4.0844337180042878</v>
      </c>
      <c r="BI9" s="19">
        <f>('[1]Short Spot'!BI10-'[1]Short Spot'!BI9)*100</f>
        <v>4.1028389053718861</v>
      </c>
    </row>
    <row r="10" spans="1:61" x14ac:dyDescent="0.2">
      <c r="A10" s="18">
        <v>39097</v>
      </c>
      <c r="B10" s="19">
        <f>('[1]Short Spot'!B11-'[1]Short Spot'!B10)*100</f>
        <v>1.2836439021652879</v>
      </c>
      <c r="C10" s="19">
        <f>('[1]Short Spot'!C11-'[1]Short Spot'!C10)*100</f>
        <v>1.1181381233366317</v>
      </c>
      <c r="D10" s="19">
        <f>('[1]Short Spot'!D11-'[1]Short Spot'!D10)*100</f>
        <v>0.91615627653238718</v>
      </c>
      <c r="E10" s="19">
        <f>('[1]Short Spot'!E11-'[1]Short Spot'!E10)*100</f>
        <v>0.77516953546359346</v>
      </c>
      <c r="F10" s="19">
        <f>('[1]Short Spot'!F11-'[1]Short Spot'!F10)*100</f>
        <v>0.66528832005623428</v>
      </c>
      <c r="G10" s="19">
        <f>('[1]Short Spot'!G11-'[1]Short Spot'!G10)*100</f>
        <v>0.56966577277730579</v>
      </c>
      <c r="H10" s="19">
        <f>('[1]Short Spot'!H11-'[1]Short Spot'!H10)*100</f>
        <v>0.47940372394252861</v>
      </c>
      <c r="I10" s="19">
        <f>('[1]Short Spot'!I11-'[1]Short Spot'!I10)*100</f>
        <v>0.39204214230252887</v>
      </c>
      <c r="J10" s="19">
        <f>('[1]Short Spot'!J11-'[1]Short Spot'!J10)*100</f>
        <v>0.30814383332984363</v>
      </c>
      <c r="K10" s="19">
        <f>('[1]Short Spot'!K11-'[1]Short Spot'!K10)*100</f>
        <v>0.2293150433162694</v>
      </c>
      <c r="L10" s="19">
        <f>('[1]Short Spot'!L11-'[1]Short Spot'!L10)*100</f>
        <v>0.15661602960443943</v>
      </c>
      <c r="M10" s="19">
        <f>('[1]Short Spot'!M11-'[1]Short Spot'!M10)*100</f>
        <v>8.9889493364037065E-2</v>
      </c>
      <c r="N10" s="19">
        <f>('[1]Short Spot'!N11-'[1]Short Spot'!N10)*100</f>
        <v>2.8589289039171462E-2</v>
      </c>
      <c r="O10" s="19">
        <f>('[1]Short Spot'!O11-'[1]Short Spot'!O10)*100</f>
        <v>-2.8170397451710016E-2</v>
      </c>
      <c r="P10" s="19">
        <f>('[1]Short Spot'!P11-'[1]Short Spot'!P10)*100</f>
        <v>-8.1188467050452573E-2</v>
      </c>
      <c r="Q10" s="19">
        <f>('[1]Short Spot'!Q11-'[1]Short Spot'!Q10)*100</f>
        <v>-0.1310084539960954</v>
      </c>
      <c r="R10" s="19">
        <f>('[1]Short Spot'!R11-'[1]Short Spot'!R10)*100</f>
        <v>-0.17802265836843745</v>
      </c>
      <c r="S10" s="19">
        <f>('[1]Short Spot'!S11-'[1]Short Spot'!S10)*100</f>
        <v>-0.22252129582902569</v>
      </c>
      <c r="T10" s="19">
        <f>('[1]Short Spot'!T11-'[1]Short Spot'!T10)*100</f>
        <v>-0.26471936194294443</v>
      </c>
      <c r="U10" s="19">
        <f>('[1]Short Spot'!U11-'[1]Short Spot'!U10)*100</f>
        <v>-0.30477543720373035</v>
      </c>
      <c r="V10" s="19">
        <f>('[1]Short Spot'!V11-'[1]Short Spot'!V10)*100</f>
        <v>-0.34280511916042755</v>
      </c>
      <c r="W10" s="19">
        <f>('[1]Short Spot'!W11-'[1]Short Spot'!W10)*100</f>
        <v>-0.37888815663356112</v>
      </c>
      <c r="X10" s="19">
        <f>('[1]Short Spot'!X11-'[1]Short Spot'!X10)*100</f>
        <v>-0.41307544224871151</v>
      </c>
      <c r="Y10" s="19">
        <f>('[1]Short Spot'!Y11-'[1]Short Spot'!Y10)*100</f>
        <v>-0.44541221955700649</v>
      </c>
      <c r="Z10" s="19">
        <f>('[1]Short Spot'!Z11-'[1]Short Spot'!Z10)*100</f>
        <v>-0.47594265473724917</v>
      </c>
      <c r="AA10" s="19">
        <f>('[1]Short Spot'!AA11-'[1]Short Spot'!AA10)*100</f>
        <v>-0.50471004376158035</v>
      </c>
      <c r="AB10" s="19">
        <f>('[1]Short Spot'!AB11-'[1]Short Spot'!AB10)*100</f>
        <v>-0.53175643868090816</v>
      </c>
      <c r="AC10" s="19">
        <f>('[1]Short Spot'!AC11-'[1]Short Spot'!AC10)*100</f>
        <v>-0.55712290230571782</v>
      </c>
      <c r="AD10" s="19">
        <f>('[1]Short Spot'!AD11-'[1]Short Spot'!AD10)*100</f>
        <v>-0.58085335793727211</v>
      </c>
      <c r="AE10" s="19">
        <f>('[1]Short Spot'!AE11-'[1]Short Spot'!AE10)*100</f>
        <v>-0.60299481259100673</v>
      </c>
      <c r="AF10" s="19">
        <f>('[1]Short Spot'!AF11-'[1]Short Spot'!AF10)*100</f>
        <v>-0.62359685962452005</v>
      </c>
      <c r="AG10" s="19">
        <f>('[1]Short Spot'!AG11-'[1]Short Spot'!AG10)*100</f>
        <v>-0.64271127462003363</v>
      </c>
      <c r="AH10" s="19">
        <f>('[1]Short Spot'!AH11-'[1]Short Spot'!AH10)*100</f>
        <v>-0.66039165555276114</v>
      </c>
      <c r="AI10" s="19">
        <f>('[1]Short Spot'!AI11-'[1]Short Spot'!AI10)*100</f>
        <v>-0.67669204220699442</v>
      </c>
      <c r="AJ10" s="19">
        <f>('[1]Short Spot'!AJ11-'[1]Short Spot'!AJ10)*100</f>
        <v>-0.6916663878233642</v>
      </c>
      <c r="AK10" s="19">
        <f>('[1]Short Spot'!AK11-'[1]Short Spot'!AK10)*100</f>
        <v>-0.70536960101605928</v>
      </c>
      <c r="AL10" s="19">
        <f>('[1]Short Spot'!AL11-'[1]Short Spot'!AL10)*100</f>
        <v>-0.71785627851683742</v>
      </c>
      <c r="AM10" s="19">
        <f>('[1]Short Spot'!AM11-'[1]Short Spot'!AM10)*100</f>
        <v>-0.72917992643217744</v>
      </c>
      <c r="AN10" s="19">
        <f>('[1]Short Spot'!AN11-'[1]Short Spot'!AN10)*100</f>
        <v>-0.73939305744401551</v>
      </c>
      <c r="AO10" s="19">
        <f>('[1]Short Spot'!AO11-'[1]Short Spot'!AO10)*100</f>
        <v>-0.7485473149887234</v>
      </c>
      <c r="AP10" s="19">
        <f>('[1]Short Spot'!AP11-'[1]Short Spot'!AP10)*100</f>
        <v>-0.75669357894270206</v>
      </c>
      <c r="AQ10" s="19">
        <f>('[1]Short Spot'!AQ11-'[1]Short Spot'!AQ10)*100</f>
        <v>-0.76388186466198604</v>
      </c>
      <c r="AR10" s="19">
        <f>('[1]Short Spot'!AR11-'[1]Short Spot'!AR10)*100</f>
        <v>-0.7701605738875017</v>
      </c>
      <c r="AS10" s="19">
        <f>('[1]Short Spot'!AS11-'[1]Short Spot'!AS10)*100</f>
        <v>-0.77557634397118491</v>
      </c>
      <c r="AT10" s="19">
        <f>('[1]Short Spot'!AT11-'[1]Short Spot'!AT10)*100</f>
        <v>-0.78017424548741943</v>
      </c>
      <c r="AU10" s="19">
        <f>('[1]Short Spot'!AU11-'[1]Short Spot'!AU10)*100</f>
        <v>-0.78399795253432103</v>
      </c>
      <c r="AV10" s="19">
        <f>('[1]Short Spot'!AV11-'[1]Short Spot'!AV10)*100</f>
        <v>-0.78708988998963392</v>
      </c>
      <c r="AW10" s="19">
        <f>('[1]Short Spot'!AW11-'[1]Short Spot'!AW10)*100</f>
        <v>-0.78949115414372883</v>
      </c>
      <c r="AX10" s="19">
        <f>('[1]Short Spot'!AX11-'[1]Short Spot'!AX10)*100</f>
        <v>-0.79124099049288077</v>
      </c>
      <c r="AY10" s="19">
        <f>('[1]Short Spot'!AY11-'[1]Short Spot'!AY10)*100</f>
        <v>-0.79237681632315926</v>
      </c>
      <c r="AZ10" s="19">
        <f>('[1]Short Spot'!AZ11-'[1]Short Spot'!AZ10)*100</f>
        <v>-0.79293440587635544</v>
      </c>
      <c r="BA10" s="19">
        <f>('[1]Short Spot'!BA11-'[1]Short Spot'!BA10)*100</f>
        <v>-0.79294804833445198</v>
      </c>
      <c r="BB10" s="19">
        <f>('[1]Short Spot'!BB11-'[1]Short Spot'!BB10)*100</f>
        <v>-0.79245068791964357</v>
      </c>
      <c r="BC10" s="19">
        <f>('[1]Short Spot'!BC11-'[1]Short Spot'!BC10)*100</f>
        <v>-0.79147404842787594</v>
      </c>
      <c r="BD10" s="19">
        <f>('[1]Short Spot'!BD11-'[1]Short Spot'!BD10)*100</f>
        <v>-0.79004872354646594</v>
      </c>
      <c r="BE10" s="19">
        <f>('[1]Short Spot'!BE11-'[1]Short Spot'!BE10)*100</f>
        <v>-0.7882039304606181</v>
      </c>
      <c r="BF10" s="19">
        <f>('[1]Short Spot'!BF11-'[1]Short Spot'!BF10)*100</f>
        <v>-0.785967266455323</v>
      </c>
      <c r="BG10" s="19">
        <f>('[1]Short Spot'!BG11-'[1]Short Spot'!BG10)*100</f>
        <v>-0.78336484652945515</v>
      </c>
      <c r="BH10" s="19">
        <f>('[1]Short Spot'!BH11-'[1]Short Spot'!BH10)*100</f>
        <v>-0.78042142996483932</v>
      </c>
      <c r="BI10" s="19">
        <f>('[1]Short Spot'!BI11-'[1]Short Spot'!BI10)*100</f>
        <v>-0.77716053330165735</v>
      </c>
    </row>
    <row r="11" spans="1:61" x14ac:dyDescent="0.2">
      <c r="A11" s="18">
        <v>39098</v>
      </c>
      <c r="B11" s="19">
        <f>('[1]Short Spot'!B12-'[1]Short Spot'!B11)*100</f>
        <v>-0.76121993008140265</v>
      </c>
      <c r="C11" s="19">
        <f>('[1]Short Spot'!C12-'[1]Short Spot'!C11)*100</f>
        <v>-0.10316867510926642</v>
      </c>
      <c r="D11" s="19">
        <f>('[1]Short Spot'!D12-'[1]Short Spot'!D11)*100</f>
        <v>5.9040494917894648E-3</v>
      </c>
      <c r="E11" s="19">
        <f>('[1]Short Spot'!E12-'[1]Short Spot'!E11)*100</f>
        <v>5.2243734438128797E-3</v>
      </c>
      <c r="F11" s="19">
        <f>('[1]Short Spot'!F12-'[1]Short Spot'!F11)*100</f>
        <v>-1.8821898562126904E-2</v>
      </c>
      <c r="G11" s="19">
        <f>('[1]Short Spot'!G12-'[1]Short Spot'!G11)*100</f>
        <v>-3.991987422837795E-2</v>
      </c>
      <c r="H11" s="19">
        <f>('[1]Short Spot'!H12-'[1]Short Spot'!H11)*100</f>
        <v>-5.3969913561324745E-2</v>
      </c>
      <c r="I11" s="19">
        <f>('[1]Short Spot'!I12-'[1]Short Spot'!I11)*100</f>
        <v>-6.7869253573249466E-2</v>
      </c>
      <c r="J11" s="19">
        <f>('[1]Short Spot'!J12-'[1]Short Spot'!J11)*100</f>
        <v>-8.4226858749580913E-2</v>
      </c>
      <c r="K11" s="19">
        <f>('[1]Short Spot'!K12-'[1]Short Spot'!K11)*100</f>
        <v>-0.10291279123197938</v>
      </c>
      <c r="L11" s="19">
        <f>('[1]Short Spot'!L12-'[1]Short Spot'!L11)*100</f>
        <v>-0.12314572336604712</v>
      </c>
      <c r="M11" s="19">
        <f>('[1]Short Spot'!M12-'[1]Short Spot'!M11)*100</f>
        <v>-0.14444638901585094</v>
      </c>
      <c r="N11" s="19">
        <f>('[1]Short Spot'!N12-'[1]Short Spot'!N11)*100</f>
        <v>-0.16620028504643614</v>
      </c>
      <c r="O11" s="19">
        <f>('[1]Short Spot'!O12-'[1]Short Spot'!O11)*100</f>
        <v>-0.18774919163186965</v>
      </c>
      <c r="P11" s="19">
        <f>('[1]Short Spot'!P12-'[1]Short Spot'!P11)*100</f>
        <v>-0.20865191128631722</v>
      </c>
      <c r="Q11" s="19">
        <f>('[1]Short Spot'!Q12-'[1]Short Spot'!Q11)*100</f>
        <v>-0.22858516635020365</v>
      </c>
      <c r="R11" s="19">
        <f>('[1]Short Spot'!R12-'[1]Short Spot'!R11)*100</f>
        <v>-0.24735267437252517</v>
      </c>
      <c r="S11" s="19">
        <f>('[1]Short Spot'!S12-'[1]Short Spot'!S11)*100</f>
        <v>-0.26485686960198151</v>
      </c>
      <c r="T11" s="19">
        <f>('[1]Short Spot'!T12-'[1]Short Spot'!T11)*100</f>
        <v>-0.28107292490844316</v>
      </c>
      <c r="U11" s="19">
        <f>('[1]Short Spot'!U12-'[1]Short Spot'!U11)*100</f>
        <v>-0.29603056712739217</v>
      </c>
      <c r="V11" s="19">
        <f>('[1]Short Spot'!V12-'[1]Short Spot'!V11)*100</f>
        <v>-0.3098010875404178</v>
      </c>
      <c r="W11" s="19">
        <f>('[1]Short Spot'!W12-'[1]Short Spot'!W11)*100</f>
        <v>-0.32248278905750993</v>
      </c>
      <c r="X11" s="19">
        <f>('[1]Short Spot'!X12-'[1]Short Spot'!X11)*100</f>
        <v>-0.334174684485955</v>
      </c>
      <c r="Y11" s="19">
        <f>('[1]Short Spot'!Y12-'[1]Short Spot'!Y11)*100</f>
        <v>-0.34497610622388208</v>
      </c>
      <c r="Z11" s="19">
        <f>('[1]Short Spot'!Z12-'[1]Short Spot'!Z11)*100</f>
        <v>-0.35498842461105795</v>
      </c>
      <c r="AA11" s="19">
        <f>('[1]Short Spot'!AA12-'[1]Short Spot'!AA11)*100</f>
        <v>-0.36431465582964506</v>
      </c>
      <c r="AB11" s="19">
        <f>('[1]Short Spot'!AB12-'[1]Short Spot'!AB11)*100</f>
        <v>-0.37305757387500194</v>
      </c>
      <c r="AC11" s="19">
        <f>('[1]Short Spot'!AC12-'[1]Short Spot'!AC11)*100</f>
        <v>-0.3813112253942208</v>
      </c>
      <c r="AD11" s="19">
        <f>('[1]Short Spot'!AD12-'[1]Short Spot'!AD11)*100</f>
        <v>-0.38915887186394826</v>
      </c>
      <c r="AE11" s="19">
        <f>('[1]Short Spot'!AE12-'[1]Short Spot'!AE11)*100</f>
        <v>-0.3966748972002776</v>
      </c>
      <c r="AF11" s="19">
        <f>('[1]Short Spot'!AF12-'[1]Short Spot'!AF11)*100</f>
        <v>-0.40392623962315355</v>
      </c>
      <c r="AG11" s="19">
        <f>('[1]Short Spot'!AG12-'[1]Short Spot'!AG11)*100</f>
        <v>-0.41097355504700062</v>
      </c>
      <c r="AH11" s="19">
        <f>('[1]Short Spot'!AH12-'[1]Short Spot'!AH11)*100</f>
        <v>-0.41787212948474206</v>
      </c>
      <c r="AI11" s="19">
        <f>('[1]Short Spot'!AI12-'[1]Short Spot'!AI11)*100</f>
        <v>-0.42467127409402394</v>
      </c>
      <c r="AJ11" s="19">
        <f>('[1]Short Spot'!AJ12-'[1]Short Spot'!AJ11)*100</f>
        <v>-0.43141406985620634</v>
      </c>
      <c r="AK11" s="19">
        <f>('[1]Short Spot'!AK12-'[1]Short Spot'!AK11)*100</f>
        <v>-0.43813898439140075</v>
      </c>
      <c r="AL11" s="19">
        <f>('[1]Short Spot'!AL12-'[1]Short Spot'!AL11)*100</f>
        <v>-0.44487964872832464</v>
      </c>
      <c r="AM11" s="19">
        <f>('[1]Short Spot'!AM12-'[1]Short Spot'!AM11)*100</f>
        <v>-0.4516649727706934</v>
      </c>
      <c r="AN11" s="19">
        <f>('[1]Short Spot'!AN12-'[1]Short Spot'!AN11)*100</f>
        <v>-0.45851973002770663</v>
      </c>
      <c r="AO11" s="19">
        <f>('[1]Short Spot'!AO12-'[1]Short Spot'!AO11)*100</f>
        <v>-0.46546507466223019</v>
      </c>
      <c r="AP11" s="19">
        <f>('[1]Short Spot'!AP12-'[1]Short Spot'!AP11)*100</f>
        <v>-0.47251898235778356</v>
      </c>
      <c r="AQ11" s="19">
        <f>('[1]Short Spot'!AQ12-'[1]Short Spot'!AQ11)*100</f>
        <v>-0.47969650103025785</v>
      </c>
      <c r="AR11" s="19">
        <f>('[1]Short Spot'!AR12-'[1]Short Spot'!AR11)*100</f>
        <v>-0.48700978495013203</v>
      </c>
      <c r="AS11" s="19">
        <f>('[1]Short Spot'!AS12-'[1]Short Spot'!AS11)*100</f>
        <v>-0.49446848012069111</v>
      </c>
      <c r="AT11" s="19">
        <f>('[1]Short Spot'!AT12-'[1]Short Spot'!AT11)*100</f>
        <v>-0.50208002407270413</v>
      </c>
      <c r="AU11" s="19">
        <f>('[1]Short Spot'!AU12-'[1]Short Spot'!AU11)*100</f>
        <v>-0.50984988591435965</v>
      </c>
      <c r="AV11" s="19">
        <f>('[1]Short Spot'!AV12-'[1]Short Spot'!AV11)*100</f>
        <v>-0.51778177434416151</v>
      </c>
      <c r="AW11" s="19">
        <f>('[1]Short Spot'!AW12-'[1]Short Spot'!AW11)*100</f>
        <v>-0.52587775460910535</v>
      </c>
      <c r="AX11" s="19">
        <f>('[1]Short Spot'!AX12-'[1]Short Spot'!AX11)*100</f>
        <v>-0.53413852981289978</v>
      </c>
      <c r="AY11" s="19">
        <f>('[1]Short Spot'!AY12-'[1]Short Spot'!AY11)*100</f>
        <v>-0.54256382122988001</v>
      </c>
      <c r="AZ11" s="19">
        <f>('[1]Short Spot'!AZ12-'[1]Short Spot'!AZ11)*100</f>
        <v>-0.55115248301875752</v>
      </c>
      <c r="BA11" s="19">
        <f>('[1]Short Spot'!BA12-'[1]Short Spot'!BA11)*100</f>
        <v>-0.55990258559903694</v>
      </c>
      <c r="BB11" s="19">
        <f>('[1]Short Spot'!BB12-'[1]Short Spot'!BB11)*100</f>
        <v>-0.56881148958911609</v>
      </c>
      <c r="BC11" s="19">
        <f>('[1]Short Spot'!BC12-'[1]Short Spot'!BC11)*100</f>
        <v>-0.57787591152838047</v>
      </c>
      <c r="BD11" s="19">
        <f>('[1]Short Spot'!BD12-'[1]Short Spot'!BD11)*100</f>
        <v>-0.58709196993671497</v>
      </c>
      <c r="BE11" s="19">
        <f>('[1]Short Spot'!BE12-'[1]Short Spot'!BE11)*100</f>
        <v>-0.59645520152269427</v>
      </c>
      <c r="BF11" s="19">
        <f>('[1]Short Spot'!BF12-'[1]Short Spot'!BF11)*100</f>
        <v>-0.60596086245485736</v>
      </c>
      <c r="BG11" s="19">
        <f>('[1]Short Spot'!BG12-'[1]Short Spot'!BG11)*100</f>
        <v>-0.61560407051253208</v>
      </c>
      <c r="BH11" s="19">
        <f>('[1]Short Spot'!BH12-'[1]Short Spot'!BH11)*100</f>
        <v>-0.62537981781334295</v>
      </c>
      <c r="BI11" s="19">
        <f>('[1]Short Spot'!BI12-'[1]Short Spot'!BI11)*100</f>
        <v>-0.63528298128501248</v>
      </c>
    </row>
    <row r="12" spans="1:61" x14ac:dyDescent="0.2">
      <c r="A12" s="18">
        <v>39099</v>
      </c>
      <c r="B12" s="19">
        <f>('[1]Short Spot'!B13-'[1]Short Spot'!B12)*100</f>
        <v>3.1494019837818854E-2</v>
      </c>
      <c r="C12" s="19">
        <f>('[1]Short Spot'!C13-'[1]Short Spot'!C12)*100</f>
        <v>0.23583598361023306</v>
      </c>
      <c r="D12" s="19">
        <f>('[1]Short Spot'!D13-'[1]Short Spot'!D12)*100</f>
        <v>0.63070854325788517</v>
      </c>
      <c r="E12" s="19">
        <f>('[1]Short Spot'!E13-'[1]Short Spot'!E12)*100</f>
        <v>0.97518670149874254</v>
      </c>
      <c r="F12" s="19">
        <f>('[1]Short Spot'!F13-'[1]Short Spot'!F12)*100</f>
        <v>1.2677891547137499</v>
      </c>
      <c r="G12" s="19">
        <f>('[1]Short Spot'!G13-'[1]Short Spot'!G12)*100</f>
        <v>1.5236453040803788</v>
      </c>
      <c r="H12" s="19">
        <f>('[1]Short Spot'!H13-'[1]Short Spot'!H12)*100</f>
        <v>1.7578531641542661</v>
      </c>
      <c r="I12" s="19">
        <f>('[1]Short Spot'!I13-'[1]Short Spot'!I12)*100</f>
        <v>1.9787376138472368</v>
      </c>
      <c r="J12" s="19">
        <f>('[1]Short Spot'!J13-'[1]Short Spot'!J12)*100</f>
        <v>2.1894568309114959</v>
      </c>
      <c r="K12" s="19">
        <f>('[1]Short Spot'!K13-'[1]Short Spot'!K12)*100</f>
        <v>2.3901521570829587</v>
      </c>
      <c r="L12" s="19">
        <f>('[1]Short Spot'!L13-'[1]Short Spot'!L12)*100</f>
        <v>2.5794320295344342</v>
      </c>
      <c r="M12" s="19">
        <f>('[1]Short Spot'!M13-'[1]Short Spot'!M12)*100</f>
        <v>2.7552166722420779</v>
      </c>
      <c r="N12" s="19">
        <f>('[1]Short Spot'!N13-'[1]Short Spot'!N12)*100</f>
        <v>2.9156443523480569</v>
      </c>
      <c r="O12" s="19">
        <f>('[1]Short Spot'!O13-'[1]Short Spot'!O12)*100</f>
        <v>3.0597554336925015</v>
      </c>
      <c r="P12" s="19">
        <f>('[1]Short Spot'!P13-'[1]Short Spot'!P12)*100</f>
        <v>3.187602353207275</v>
      </c>
      <c r="Q12" s="19">
        <f>('[1]Short Spot'!Q13-'[1]Short Spot'!Q12)*100</f>
        <v>3.299758030060751</v>
      </c>
      <c r="R12" s="19">
        <f>('[1]Short Spot'!R13-'[1]Short Spot'!R12)*100</f>
        <v>3.3969822624130508</v>
      </c>
      <c r="S12" s="19">
        <f>('[1]Short Spot'!S13-'[1]Short Spot'!S12)*100</f>
        <v>3.4801588629705726</v>
      </c>
      <c r="T12" s="19">
        <f>('[1]Short Spot'!T13-'[1]Short Spot'!T12)*100</f>
        <v>3.5502630235809463</v>
      </c>
      <c r="U12" s="19">
        <f>('[1]Short Spot'!U13-'[1]Short Spot'!U12)*100</f>
        <v>3.6083384704471477</v>
      </c>
      <c r="V12" s="19">
        <f>('[1]Short Spot'!V13-'[1]Short Spot'!V12)*100</f>
        <v>3.6554811477063964</v>
      </c>
      <c r="W12" s="19">
        <f>('[1]Short Spot'!W13-'[1]Short Spot'!W12)*100</f>
        <v>3.6928201021456886</v>
      </c>
      <c r="X12" s="19">
        <f>('[1]Short Spot'!X13-'[1]Short Spot'!X12)*100</f>
        <v>3.7214271764663742</v>
      </c>
      <c r="Y12" s="19">
        <f>('[1]Short Spot'!Y13-'[1]Short Spot'!Y12)*100</f>
        <v>3.7422480070153696</v>
      </c>
      <c r="Z12" s="19">
        <f>('[1]Short Spot'!Z13-'[1]Short Spot'!Z12)*100</f>
        <v>3.7561203495387829</v>
      </c>
      <c r="AA12" s="19">
        <f>('[1]Short Spot'!AA13-'[1]Short Spot'!AA12)*100</f>
        <v>3.7637948258999465</v>
      </c>
      <c r="AB12" s="19">
        <f>('[1]Short Spot'!AB13-'[1]Short Spot'!AB12)*100</f>
        <v>3.7659499906907534</v>
      </c>
      <c r="AC12" s="19">
        <f>('[1]Short Spot'!AC13-'[1]Short Spot'!AC12)*100</f>
        <v>3.7631912840016213</v>
      </c>
      <c r="AD12" s="19">
        <f>('[1]Short Spot'!AD13-'[1]Short Spot'!AD12)*100</f>
        <v>3.7560494370412201</v>
      </c>
      <c r="AE12" s="19">
        <f>('[1]Short Spot'!AE13-'[1]Short Spot'!AE12)*100</f>
        <v>3.7449916731159938</v>
      </c>
      <c r="AF12" s="19">
        <f>('[1]Short Spot'!AF13-'[1]Short Spot'!AF12)*100</f>
        <v>3.7304319508387529</v>
      </c>
      <c r="AG12" s="19">
        <f>('[1]Short Spot'!AG13-'[1]Short Spot'!AG12)*100</f>
        <v>3.7127392867383868</v>
      </c>
      <c r="AH12" s="19">
        <f>('[1]Short Spot'!AH13-'[1]Short Spot'!AH12)*100</f>
        <v>3.6922445884647104</v>
      </c>
      <c r="AI12" s="19">
        <f>('[1]Short Spot'!AI13-'[1]Short Spot'!AI12)*100</f>
        <v>3.6692455546461389</v>
      </c>
      <c r="AJ12" s="19">
        <f>('[1]Short Spot'!AJ13-'[1]Short Spot'!AJ12)*100</f>
        <v>3.6440056855223446</v>
      </c>
      <c r="AK12" s="19">
        <f>('[1]Short Spot'!AK13-'[1]Short Spot'!AK12)*100</f>
        <v>3.6167561510862534</v>
      </c>
      <c r="AL12" s="19">
        <f>('[1]Short Spot'!AL13-'[1]Short Spot'!AL12)*100</f>
        <v>3.5877015962725523</v>
      </c>
      <c r="AM12" s="19">
        <f>('[1]Short Spot'!AM13-'[1]Short Spot'!AM12)*100</f>
        <v>3.5570244200338941</v>
      </c>
      <c r="AN12" s="19">
        <f>('[1]Short Spot'!AN13-'[1]Short Spot'!AN12)*100</f>
        <v>3.5248876534538454</v>
      </c>
      <c r="AO12" s="19">
        <f>('[1]Short Spot'!AO13-'[1]Short Spot'!AO12)*100</f>
        <v>3.4914373807304777</v>
      </c>
      <c r="AP12" s="19">
        <f>('[1]Short Spot'!AP13-'[1]Short Spot'!AP12)*100</f>
        <v>3.4568048066557111</v>
      </c>
      <c r="AQ12" s="19">
        <f>('[1]Short Spot'!AQ13-'[1]Short Spot'!AQ12)*100</f>
        <v>3.421108135551254</v>
      </c>
      <c r="AR12" s="19">
        <f>('[1]Short Spot'!AR13-'[1]Short Spot'!AR12)*100</f>
        <v>3.3844542013600432</v>
      </c>
      <c r="AS12" s="19">
        <f>('[1]Short Spot'!AS13-'[1]Short Spot'!AS12)*100</f>
        <v>3.346939587886677</v>
      </c>
      <c r="AT12" s="19">
        <f>('[1]Short Spot'!AT13-'[1]Short Spot'!AT12)*100</f>
        <v>3.3086517440169771</v>
      </c>
      <c r="AU12" s="19">
        <f>('[1]Short Spot'!AU13-'[1]Short Spot'!AU12)*100</f>
        <v>3.2696699766424864</v>
      </c>
      <c r="AV12" s="19">
        <f>('[1]Short Spot'!AV13-'[1]Short Spot'!AV12)*100</f>
        <v>3.2300663193777446</v>
      </c>
      <c r="AW12" s="19">
        <f>('[1]Short Spot'!AW13-'[1]Short Spot'!AW12)*100</f>
        <v>3.1899065008934357</v>
      </c>
      <c r="AX12" s="19">
        <f>('[1]Short Spot'!AX13-'[1]Short Spot'!AX12)*100</f>
        <v>3.1492510637838755</v>
      </c>
      <c r="AY12" s="19">
        <f>('[1]Short Spot'!AY13-'[1]Short Spot'!AY12)*100</f>
        <v>3.1081559219915178</v>
      </c>
      <c r="AZ12" s="19">
        <f>('[1]Short Spot'!AZ13-'[1]Short Spot'!AZ12)*100</f>
        <v>3.0666728062241688</v>
      </c>
      <c r="BA12" s="19">
        <f>('[1]Short Spot'!BA13-'[1]Short Spot'!BA12)*100</f>
        <v>3.0248496661901214</v>
      </c>
      <c r="BB12" s="19">
        <f>('[1]Short Spot'!BB13-'[1]Short Spot'!BB12)*100</f>
        <v>2.9827310272953156</v>
      </c>
      <c r="BC12" s="19">
        <f>('[1]Short Spot'!BC13-'[1]Short Spot'!BC12)*100</f>
        <v>2.9403583077096229</v>
      </c>
      <c r="BD12" s="19">
        <f>('[1]Short Spot'!BD13-'[1]Short Spot'!BD12)*100</f>
        <v>2.8977701220983754</v>
      </c>
      <c r="BE12" s="19">
        <f>('[1]Short Spot'!BE13-'[1]Short Spot'!BE12)*100</f>
        <v>2.8550027386774701</v>
      </c>
      <c r="BF12" s="19">
        <f>('[1]Short Spot'!BF13-'[1]Short Spot'!BF12)*100</f>
        <v>2.8120903254007068</v>
      </c>
      <c r="BG12" s="19">
        <f>('[1]Short Spot'!BG13-'[1]Short Spot'!BG12)*100</f>
        <v>2.7690650744069067</v>
      </c>
      <c r="BH12" s="19">
        <f>('[1]Short Spot'!BH13-'[1]Short Spot'!BH12)*100</f>
        <v>2.7259573688715122</v>
      </c>
      <c r="BI12" s="19">
        <f>('[1]Short Spot'!BI13-'[1]Short Spot'!BI12)*100</f>
        <v>2.6827959337523133</v>
      </c>
    </row>
    <row r="13" spans="1:61" x14ac:dyDescent="0.2">
      <c r="A13" s="18">
        <v>39100</v>
      </c>
      <c r="B13" s="19">
        <f>('[1]Short Spot'!B14-'[1]Short Spot'!B13)*100</f>
        <v>1.7387431207736448</v>
      </c>
      <c r="C13" s="19">
        <f>('[1]Short Spot'!C14-'[1]Short Spot'!C13)*100</f>
        <v>2.8497560436623992</v>
      </c>
      <c r="D13" s="19">
        <f>('[1]Short Spot'!D14-'[1]Short Spot'!D13)*100</f>
        <v>3.332035735752914</v>
      </c>
      <c r="E13" s="19">
        <f>('[1]Short Spot'!E14-'[1]Short Spot'!E13)*100</f>
        <v>3.6047154399501125</v>
      </c>
      <c r="F13" s="19">
        <f>('[1]Short Spot'!F14-'[1]Short Spot'!F13)*100</f>
        <v>3.7656410136442275</v>
      </c>
      <c r="G13" s="19">
        <f>('[1]Short Spot'!G14-'[1]Short Spot'!G13)*100</f>
        <v>3.8523074862030882</v>
      </c>
      <c r="H13" s="19">
        <f>('[1]Short Spot'!H14-'[1]Short Spot'!H13)*100</f>
        <v>3.8790760054062901</v>
      </c>
      <c r="I13" s="19">
        <f>('[1]Short Spot'!I14-'[1]Short Spot'!I13)*100</f>
        <v>3.8478064275862423</v>
      </c>
      <c r="J13" s="19">
        <f>('[1]Short Spot'!J14-'[1]Short Spot'!J13)*100</f>
        <v>3.7679519836042452</v>
      </c>
      <c r="K13" s="19">
        <f>('[1]Short Spot'!K14-'[1]Short Spot'!K13)*100</f>
        <v>3.6541024627389618</v>
      </c>
      <c r="L13" s="19">
        <f>('[1]Short Spot'!L14-'[1]Short Spot'!L13)*100</f>
        <v>3.5196797088286047</v>
      </c>
      <c r="M13" s="19">
        <f>('[1]Short Spot'!M14-'[1]Short Spot'!M13)*100</f>
        <v>3.3741791011764555</v>
      </c>
      <c r="N13" s="19">
        <f>('[1]Short Spot'!N14-'[1]Short Spot'!N13)*100</f>
        <v>3.2251667025023245</v>
      </c>
      <c r="O13" s="19">
        <f>('[1]Short Spot'!O14-'[1]Short Spot'!O13)*100</f>
        <v>3.0782839436976239</v>
      </c>
      <c r="P13" s="19">
        <f>('[1]Short Spot'!P14-'[1]Short Spot'!P13)*100</f>
        <v>2.936984697857703</v>
      </c>
      <c r="Q13" s="19">
        <f>('[1]Short Spot'!Q14-'[1]Short Spot'!Q13)*100</f>
        <v>2.8033911541543333</v>
      </c>
      <c r="R13" s="19">
        <f>('[1]Short Spot'!R14-'[1]Short Spot'!R13)*100</f>
        <v>2.6787489016330213</v>
      </c>
      <c r="S13" s="19">
        <f>('[1]Short Spot'!S14-'[1]Short Spot'!S13)*100</f>
        <v>2.5636688064042623</v>
      </c>
      <c r="T13" s="19">
        <f>('[1]Short Spot'!T14-'[1]Short Spot'!T13)*100</f>
        <v>2.4582940439944245</v>
      </c>
      <c r="U13" s="19">
        <f>('[1]Short Spot'!U14-'[1]Short Spot'!U13)*100</f>
        <v>2.3624170219913587</v>
      </c>
      <c r="V13" s="19">
        <f>('[1]Short Spot'!V14-'[1]Short Spot'!V13)*100</f>
        <v>2.2755629029190594</v>
      </c>
      <c r="W13" s="19">
        <f>('[1]Short Spot'!W14-'[1]Short Spot'!W13)*100</f>
        <v>2.1970682125976637</v>
      </c>
      <c r="X13" s="19">
        <f>('[1]Short Spot'!X14-'[1]Short Spot'!X13)*100</f>
        <v>2.1262337418835209</v>
      </c>
      <c r="Y13" s="19">
        <f>('[1]Short Spot'!Y14-'[1]Short Spot'!Y13)*100</f>
        <v>2.0624013017711107</v>
      </c>
      <c r="Z13" s="19">
        <f>('[1]Short Spot'!Z14-'[1]Short Spot'!Z13)*100</f>
        <v>2.0049485360551067</v>
      </c>
      <c r="AA13" s="19">
        <f>('[1]Short Spot'!AA14-'[1]Short Spot'!AA13)*100</f>
        <v>1.953282032524406</v>
      </c>
      <c r="AB13" s="19">
        <f>('[1]Short Spot'!AB14-'[1]Short Spot'!AB13)*100</f>
        <v>1.9068362274751394</v>
      </c>
      <c r="AC13" s="19">
        <f>('[1]Short Spot'!AC14-'[1]Short Spot'!AC13)*100</f>
        <v>1.8650943526071551</v>
      </c>
      <c r="AD13" s="19">
        <f>('[1]Short Spot'!AD14-'[1]Short Spot'!AD13)*100</f>
        <v>1.8275956638173163</v>
      </c>
      <c r="AE13" s="19">
        <f>('[1]Short Spot'!AE14-'[1]Short Spot'!AE13)*100</f>
        <v>1.7939267480946874</v>
      </c>
      <c r="AF13" s="19">
        <f>('[1]Short Spot'!AF14-'[1]Short Spot'!AF13)*100</f>
        <v>1.7637138894730064</v>
      </c>
      <c r="AG13" s="19">
        <f>('[1]Short Spot'!AG14-'[1]Short Spot'!AG13)*100</f>
        <v>1.7366168663680348</v>
      </c>
      <c r="AH13" s="19">
        <f>('[1]Short Spot'!AH14-'[1]Short Spot'!AH13)*100</f>
        <v>1.7123239677703239</v>
      </c>
      <c r="AI13" s="19">
        <f>('[1]Short Spot'!AI14-'[1]Short Spot'!AI13)*100</f>
        <v>1.6905516604835746</v>
      </c>
      <c r="AJ13" s="19">
        <f>('[1]Short Spot'!AJ14-'[1]Short Spot'!AJ13)*100</f>
        <v>1.6710484493439814</v>
      </c>
      <c r="AK13" s="19">
        <f>('[1]Short Spot'!AK14-'[1]Short Spot'!AK13)*100</f>
        <v>1.6535916318951571</v>
      </c>
      <c r="AL13" s="19">
        <f>('[1]Short Spot'!AL14-'[1]Short Spot'!AL13)*100</f>
        <v>1.6379821119782534</v>
      </c>
      <c r="AM13" s="19">
        <f>('[1]Short Spot'!AM14-'[1]Short Spot'!AM13)*100</f>
        <v>1.6240405039800621</v>
      </c>
      <c r="AN13" s="19">
        <f>('[1]Short Spot'!AN14-'[1]Short Spot'!AN13)*100</f>
        <v>1.6116045704884563</v>
      </c>
      <c r="AO13" s="19">
        <f>('[1]Short Spot'!AO14-'[1]Short Spot'!AO13)*100</f>
        <v>1.6005270787669446</v>
      </c>
      <c r="AP13" s="19">
        <f>('[1]Short Spot'!AP14-'[1]Short Spot'!AP13)*100</f>
        <v>1.590673972350487</v>
      </c>
      <c r="AQ13" s="19">
        <f>('[1]Short Spot'!AQ14-'[1]Short Spot'!AQ13)*100</f>
        <v>1.5819230236910897</v>
      </c>
      <c r="AR13" s="19">
        <f>('[1]Short Spot'!AR14-'[1]Short Spot'!AR13)*100</f>
        <v>1.5741630912716076</v>
      </c>
      <c r="AS13" s="19">
        <f>('[1]Short Spot'!AS14-'[1]Short Spot'!AS13)*100</f>
        <v>1.5672929636102673</v>
      </c>
      <c r="AT13" s="19">
        <f>('[1]Short Spot'!AT14-'[1]Short Spot'!AT13)*100</f>
        <v>1.5612202446568801</v>
      </c>
      <c r="AU13" s="19">
        <f>('[1]Short Spot'!AU14-'[1]Short Spot'!AU13)*100</f>
        <v>1.5558603955928341</v>
      </c>
      <c r="AV13" s="19">
        <f>('[1]Short Spot'!AV14-'[1]Short Spot'!AV13)*100</f>
        <v>1.5511359020054627</v>
      </c>
      <c r="AW13" s="19">
        <f>('[1]Short Spot'!AW14-'[1]Short Spot'!AW13)*100</f>
        <v>1.5469756901078213</v>
      </c>
      <c r="AX13" s="19">
        <f>('[1]Short Spot'!AX14-'[1]Short Spot'!AX13)*100</f>
        <v>1.5433146062639125</v>
      </c>
      <c r="AY13" s="19">
        <f>('[1]Short Spot'!AY14-'[1]Short Spot'!AY13)*100</f>
        <v>1.540092704492757</v>
      </c>
      <c r="AZ13" s="19">
        <f>('[1]Short Spot'!AZ14-'[1]Short Spot'!AZ13)*100</f>
        <v>1.5372547245071644</v>
      </c>
      <c r="BA13" s="19">
        <f>('[1]Short Spot'!BA14-'[1]Short Spot'!BA13)*100</f>
        <v>1.5347496411643569</v>
      </c>
      <c r="BB13" s="19">
        <f>('[1]Short Spot'!BB14-'[1]Short Spot'!BB13)*100</f>
        <v>1.5325302649253914</v>
      </c>
      <c r="BC13" s="19">
        <f>('[1]Short Spot'!BC14-'[1]Short Spot'!BC13)*100</f>
        <v>1.5305528867060936</v>
      </c>
      <c r="BD13" s="19">
        <f>('[1]Short Spot'!BD14-'[1]Short Spot'!BD13)*100</f>
        <v>1.5287769851985544</v>
      </c>
      <c r="BE13" s="19">
        <f>('[1]Short Spot'!BE14-'[1]Short Spot'!BE13)*100</f>
        <v>1.5271651334791692</v>
      </c>
      <c r="BF13" s="19">
        <f>('[1]Short Spot'!BF14-'[1]Short Spot'!BF13)*100</f>
        <v>1.5256827187888788</v>
      </c>
      <c r="BG13" s="19">
        <f>('[1]Short Spot'!BG14-'[1]Short Spot'!BG13)*100</f>
        <v>1.5242976388705642</v>
      </c>
      <c r="BH13" s="19">
        <f>('[1]Short Spot'!BH14-'[1]Short Spot'!BH13)*100</f>
        <v>1.5229800888119094</v>
      </c>
      <c r="BI13" s="19">
        <f>('[1]Short Spot'!BI14-'[1]Short Spot'!BI13)*100</f>
        <v>1.5217023695997867</v>
      </c>
    </row>
    <row r="14" spans="1:61" x14ac:dyDescent="0.2">
      <c r="A14" s="18">
        <v>39101</v>
      </c>
      <c r="B14" s="19">
        <f>('[1]Short Spot'!B15-'[1]Short Spot'!B14)*100</f>
        <v>0.64366468607097715</v>
      </c>
      <c r="C14" s="19">
        <f>('[1]Short Spot'!C15-'[1]Short Spot'!C14)*100</f>
        <v>0.84287938943683471</v>
      </c>
      <c r="D14" s="19">
        <f>('[1]Short Spot'!D15-'[1]Short Spot'!D14)*100</f>
        <v>0.58006975405673344</v>
      </c>
      <c r="E14" s="19">
        <f>('[1]Short Spot'!E15-'[1]Short Spot'!E14)*100</f>
        <v>0.31158374559137059</v>
      </c>
      <c r="F14" s="19">
        <f>('[1]Short Spot'!F15-'[1]Short Spot'!F14)*100</f>
        <v>0.1094985082877642</v>
      </c>
      <c r="G14" s="19">
        <f>('[1]Short Spot'!G15-'[1]Short Spot'!G14)*100</f>
        <v>-5.3310847333687406E-2</v>
      </c>
      <c r="H14" s="19">
        <f>('[1]Short Spot'!H15-'[1]Short Spot'!H14)*100</f>
        <v>-0.20134709546217877</v>
      </c>
      <c r="I14" s="19">
        <f>('[1]Short Spot'!I15-'[1]Short Spot'!I14)*100</f>
        <v>-0.29202692702785527</v>
      </c>
      <c r="J14" s="19">
        <f>('[1]Short Spot'!J15-'[1]Short Spot'!J14)*100</f>
        <v>-0.31389321803088066</v>
      </c>
      <c r="K14" s="19">
        <f>('[1]Short Spot'!K15-'[1]Short Spot'!K14)*100</f>
        <v>-0.28370319398316468</v>
      </c>
      <c r="L14" s="19">
        <f>('[1]Short Spot'!L15-'[1]Short Spot'!L14)*100</f>
        <v>-0.22089186868896604</v>
      </c>
      <c r="M14" s="19">
        <f>('[1]Short Spot'!M15-'[1]Short Spot'!M14)*100</f>
        <v>-0.1368325832983075</v>
      </c>
      <c r="N14" s="19">
        <f>('[1]Short Spot'!N15-'[1]Short Spot'!N14)*100</f>
        <v>-4.0849535715548058E-2</v>
      </c>
      <c r="O14" s="19">
        <f>('[1]Short Spot'!O15-'[1]Short Spot'!O14)*100</f>
        <v>5.9727725052827196E-2</v>
      </c>
      <c r="P14" s="19">
        <f>('[1]Short Spot'!P15-'[1]Short Spot'!P14)*100</f>
        <v>0.16014115804798834</v>
      </c>
      <c r="Q14" s="19">
        <f>('[1]Short Spot'!Q15-'[1]Short Spot'!Q14)*100</f>
        <v>0.25739224461434063</v>
      </c>
      <c r="R14" s="19">
        <f>('[1]Short Spot'!R15-'[1]Short Spot'!R14)*100</f>
        <v>0.34953476172461251</v>
      </c>
      <c r="S14" s="19">
        <f>('[1]Short Spot'!S15-'[1]Short Spot'!S14)*100</f>
        <v>0.4353689908794145</v>
      </c>
      <c r="T14" s="19">
        <f>('[1]Short Spot'!T15-'[1]Short Spot'!T14)*100</f>
        <v>0.5142452695465316</v>
      </c>
      <c r="U14" s="19">
        <f>('[1]Short Spot'!U15-'[1]Short Spot'!U14)*100</f>
        <v>0.58592647716988466</v>
      </c>
      <c r="V14" s="19">
        <f>('[1]Short Spot'!V15-'[1]Short Spot'!V14)*100</f>
        <v>0.65048985858568997</v>
      </c>
      <c r="W14" s="19">
        <f>('[1]Short Spot'!W15-'[1]Short Spot'!W14)*100</f>
        <v>0.70825474700360047</v>
      </c>
      <c r="X14" s="19">
        <f>('[1]Short Spot'!X15-'[1]Short Spot'!X14)*100</f>
        <v>0.7596515785105673</v>
      </c>
      <c r="Y14" s="19">
        <f>('[1]Short Spot'!Y15-'[1]Short Spot'!Y14)*100</f>
        <v>0.80510875177415286</v>
      </c>
      <c r="Z14" s="19">
        <f>('[1]Short Spot'!Z15-'[1]Short Spot'!Z14)*100</f>
        <v>0.84504546340262721</v>
      </c>
      <c r="AA14" s="19">
        <f>('[1]Short Spot'!AA15-'[1]Short Spot'!AA14)*100</f>
        <v>0.87987349170965956</v>
      </c>
      <c r="AB14" s="19">
        <f>('[1]Short Spot'!AB15-'[1]Short Spot'!AB14)*100</f>
        <v>0.9099989059860647</v>
      </c>
      <c r="AC14" s="19">
        <f>('[1]Short Spot'!AC15-'[1]Short Spot'!AC14)*100</f>
        <v>0.93580737066618624</v>
      </c>
      <c r="AD14" s="19">
        <f>('[1]Short Spot'!AD15-'[1]Short Spot'!AD14)*100</f>
        <v>0.95764825068069825</v>
      </c>
      <c r="AE14" s="19">
        <f>('[1]Short Spot'!AE15-'[1]Short Spot'!AE14)*100</f>
        <v>0.97583900257420808</v>
      </c>
      <c r="AF14" s="19">
        <f>('[1]Short Spot'!AF15-'[1]Short Spot'!AF14)*100</f>
        <v>0.99067032101975983</v>
      </c>
      <c r="AG14" s="19">
        <f>('[1]Short Spot'!AG15-'[1]Short Spot'!AG14)*100</f>
        <v>1.0024103203603474</v>
      </c>
      <c r="AH14" s="19">
        <f>('[1]Short Spot'!AH15-'[1]Short Spot'!AH14)*100</f>
        <v>1.0113081582893813</v>
      </c>
      <c r="AI14" s="19">
        <f>('[1]Short Spot'!AI15-'[1]Short Spot'!AI14)*100</f>
        <v>1.017598413206855</v>
      </c>
      <c r="AJ14" s="19">
        <f>('[1]Short Spot'!AJ15-'[1]Short Spot'!AJ14)*100</f>
        <v>1.0214966861583186</v>
      </c>
      <c r="AK14" s="19">
        <f>('[1]Short Spot'!AK15-'[1]Short Spot'!AK14)*100</f>
        <v>1.0231974671612853</v>
      </c>
      <c r="AL14" s="19">
        <f>('[1]Short Spot'!AL15-'[1]Short Spot'!AL14)*100</f>
        <v>1.0228767779218551</v>
      </c>
      <c r="AM14" s="19">
        <f>('[1]Short Spot'!AM15-'[1]Short Spot'!AM14)*100</f>
        <v>1.0206943713885863</v>
      </c>
      <c r="AN14" s="19">
        <f>('[1]Short Spot'!AN15-'[1]Short Spot'!AN14)*100</f>
        <v>1.0167958008625355</v>
      </c>
      <c r="AO14" s="19">
        <f>('[1]Short Spot'!AO15-'[1]Short Spot'!AO14)*100</f>
        <v>1.011314194953794</v>
      </c>
      <c r="AP14" s="19">
        <f>('[1]Short Spot'!AP15-'[1]Short Spot'!AP14)*100</f>
        <v>1.0043717797630691</v>
      </c>
      <c r="AQ14" s="19">
        <f>('[1]Short Spot'!AQ15-'[1]Short Spot'!AQ14)*100</f>
        <v>0.99608151477124096</v>
      </c>
      <c r="AR14" s="19">
        <f>('[1]Short Spot'!AR15-'[1]Short Spot'!AR14)*100</f>
        <v>0.98654809552156664</v>
      </c>
      <c r="AS14" s="19">
        <f>('[1]Short Spot'!AS15-'[1]Short Spot'!AS14)*100</f>
        <v>0.97586820007000696</v>
      </c>
      <c r="AT14" s="19">
        <f>('[1]Short Spot'!AT15-'[1]Short Spot'!AT14)*100</f>
        <v>0.96413132473704977</v>
      </c>
      <c r="AU14" s="19">
        <f>('[1]Short Spot'!AU15-'[1]Short Spot'!AU14)*100</f>
        <v>0.95142056473145331</v>
      </c>
      <c r="AV14" s="19">
        <f>('[1]Short Spot'!AV15-'[1]Short Spot'!AV14)*100</f>
        <v>0.93781330796005591</v>
      </c>
      <c r="AW14" s="19">
        <f>('[1]Short Spot'!AW15-'[1]Short Spot'!AW14)*100</f>
        <v>0.9233821155524069</v>
      </c>
      <c r="AX14" s="19">
        <f>('[1]Short Spot'!AX15-'[1]Short Spot'!AX14)*100</f>
        <v>0.90819488750453203</v>
      </c>
      <c r="AY14" s="19">
        <f>('[1]Short Spot'!AY15-'[1]Short Spot'!AY14)*100</f>
        <v>0.89231474389039889</v>
      </c>
      <c r="AZ14" s="19">
        <f>('[1]Short Spot'!AZ15-'[1]Short Spot'!AZ14)*100</f>
        <v>0.87580046491524399</v>
      </c>
      <c r="BA14" s="19">
        <f>('[1]Short Spot'!BA15-'[1]Short Spot'!BA14)*100</f>
        <v>0.85870690821119311</v>
      </c>
      <c r="BB14" s="19">
        <f>('[1]Short Spot'!BB15-'[1]Short Spot'!BB14)*100</f>
        <v>0.841085378890849</v>
      </c>
      <c r="BC14" s="19">
        <f>('[1]Short Spot'!BC15-'[1]Short Spot'!BC14)*100</f>
        <v>0.82298395848372508</v>
      </c>
      <c r="BD14" s="19">
        <f>('[1]Short Spot'!BD15-'[1]Short Spot'!BD14)*100</f>
        <v>0.80444787590243649</v>
      </c>
      <c r="BE14" s="19">
        <f>('[1]Short Spot'!BE15-'[1]Short Spot'!BE14)*100</f>
        <v>0.78552011697192725</v>
      </c>
      <c r="BF14" s="19">
        <f>('[1]Short Spot'!BF15-'[1]Short Spot'!BF14)*100</f>
        <v>0.7662412233042204</v>
      </c>
      <c r="BG14" s="19">
        <f>('[1]Short Spot'!BG15-'[1]Short Spot'!BG14)*100</f>
        <v>0.74664930087111614</v>
      </c>
      <c r="BH14" s="19">
        <f>('[1]Short Spot'!BH15-'[1]Short Spot'!BH14)*100</f>
        <v>0.72678022595029645</v>
      </c>
      <c r="BI14" s="19">
        <f>('[1]Short Spot'!BI15-'[1]Short Spot'!BI14)*100</f>
        <v>0.70666783093420449</v>
      </c>
    </row>
    <row r="15" spans="1:61" x14ac:dyDescent="0.2">
      <c r="A15" s="18">
        <v>39104</v>
      </c>
      <c r="B15" s="19">
        <f>('[1]Short Spot'!B16-'[1]Short Spot'!B15)*100</f>
        <v>1.7799719680304804</v>
      </c>
      <c r="C15" s="19">
        <f>('[1]Short Spot'!C16-'[1]Short Spot'!C15)*100</f>
        <v>1.7732448765475972</v>
      </c>
      <c r="D15" s="19">
        <f>('[1]Short Spot'!D16-'[1]Short Spot'!D15)*100</f>
        <v>1.8072703533407619</v>
      </c>
      <c r="E15" s="19">
        <f>('[1]Short Spot'!E16-'[1]Short Spot'!E15)*100</f>
        <v>1.9051787266555209</v>
      </c>
      <c r="F15" s="19">
        <f>('[1]Short Spot'!F16-'[1]Short Spot'!F15)*100</f>
        <v>2.0250681592363762</v>
      </c>
      <c r="G15" s="19">
        <f>('[1]Short Spot'!G16-'[1]Short Spot'!G15)*100</f>
        <v>2.1354425276671307</v>
      </c>
      <c r="H15" s="19">
        <f>('[1]Short Spot'!H16-'[1]Short Spot'!H15)*100</f>
        <v>2.2128319935018403</v>
      </c>
      <c r="I15" s="19">
        <f>('[1]Short Spot'!I16-'[1]Short Spot'!I15)*100</f>
        <v>2.2488468592364974</v>
      </c>
      <c r="J15" s="19">
        <f>('[1]Short Spot'!J16-'[1]Short Spot'!J15)*100</f>
        <v>2.2467904391064941</v>
      </c>
      <c r="K15" s="19">
        <f>('[1]Short Spot'!K16-'[1]Short Spot'!K15)*100</f>
        <v>2.2156315237329416</v>
      </c>
      <c r="L15" s="19">
        <f>('[1]Short Spot'!L16-'[1]Short Spot'!L15)*100</f>
        <v>2.1650180218550474</v>
      </c>
      <c r="M15" s="19">
        <f>('[1]Short Spot'!M16-'[1]Short Spot'!M15)*100</f>
        <v>2.1026935201555297</v>
      </c>
      <c r="N15" s="19">
        <f>('[1]Short Spot'!N16-'[1]Short Spot'!N15)*100</f>
        <v>2.0346478944731849</v>
      </c>
      <c r="O15" s="19">
        <f>('[1]Short Spot'!O16-'[1]Short Spot'!O15)*100</f>
        <v>1.9646493406130006</v>
      </c>
      <c r="P15" s="19">
        <f>('[1]Short Spot'!P16-'[1]Short Spot'!P15)*100</f>
        <v>1.8947217594800669</v>
      </c>
      <c r="Q15" s="19">
        <f>('[1]Short Spot'!Q16-'[1]Short Spot'!Q15)*100</f>
        <v>1.8260987305420251</v>
      </c>
      <c r="R15" s="19">
        <f>('[1]Short Spot'!R16-'[1]Short Spot'!R15)*100</f>
        <v>1.7595318391692594</v>
      </c>
      <c r="S15" s="19">
        <f>('[1]Short Spot'!S16-'[1]Short Spot'!S15)*100</f>
        <v>1.6954237169541031</v>
      </c>
      <c r="T15" s="19">
        <f>('[1]Short Spot'!T16-'[1]Short Spot'!T15)*100</f>
        <v>1.6339198716527115</v>
      </c>
      <c r="U15" s="19">
        <f>('[1]Short Spot'!U16-'[1]Short Spot'!U15)*100</f>
        <v>1.5749729681447278</v>
      </c>
      <c r="V15" s="19">
        <f>('[1]Short Spot'!V16-'[1]Short Spot'!V15)*100</f>
        <v>1.5183888118169619</v>
      </c>
      <c r="W15" s="19">
        <f>('[1]Short Spot'!W16-'[1]Short Spot'!W15)*100</f>
        <v>1.463878704979038</v>
      </c>
      <c r="X15" s="19">
        <f>('[1]Short Spot'!X16-'[1]Short Spot'!X15)*100</f>
        <v>1.4111578279876191</v>
      </c>
      <c r="Y15" s="19">
        <f>('[1]Short Spot'!Y16-'[1]Short Spot'!Y15)*100</f>
        <v>1.3599766091683563</v>
      </c>
      <c r="Z15" s="19">
        <f>('[1]Short Spot'!Z16-'[1]Short Spot'!Z15)*100</f>
        <v>1.3101142054176229</v>
      </c>
      <c r="AA15" s="19">
        <f>('[1]Short Spot'!AA16-'[1]Short Spot'!AA15)*100</f>
        <v>1.26137299207425</v>
      </c>
      <c r="AB15" s="19">
        <f>('[1]Short Spot'!AB16-'[1]Short Spot'!AB15)*100</f>
        <v>1.2135768810910719</v>
      </c>
      <c r="AC15" s="19">
        <f>('[1]Short Spot'!AC16-'[1]Short Spot'!AC15)*100</f>
        <v>1.1665756986900533</v>
      </c>
      <c r="AD15" s="19">
        <f>('[1]Short Spot'!AD16-'[1]Short Spot'!AD15)*100</f>
        <v>1.1202426513458263</v>
      </c>
      <c r="AE15" s="19">
        <f>('[1]Short Spot'!AE16-'[1]Short Spot'!AE15)*100</f>
        <v>1.0744703383343435</v>
      </c>
      <c r="AF15" s="19">
        <f>('[1]Short Spot'!AF16-'[1]Short Spot'!AF15)*100</f>
        <v>1.0291676238618486</v>
      </c>
      <c r="AG15" s="19">
        <f>('[1]Short Spot'!AG16-'[1]Short Spot'!AG15)*100</f>
        <v>0.98425709567013797</v>
      </c>
      <c r="AH15" s="19">
        <f>('[1]Short Spot'!AH16-'[1]Short Spot'!AH15)*100</f>
        <v>0.93967312491161081</v>
      </c>
      <c r="AI15" s="19">
        <f>('[1]Short Spot'!AI16-'[1]Short Spot'!AI15)*100</f>
        <v>0.8953625575494506</v>
      </c>
      <c r="AJ15" s="19">
        <f>('[1]Short Spot'!AJ16-'[1]Short Spot'!AJ15)*100</f>
        <v>0.85128493968076313</v>
      </c>
      <c r="AK15" s="19">
        <f>('[1]Short Spot'!AK16-'[1]Short Spot'!AK15)*100</f>
        <v>0.80740988119245571</v>
      </c>
      <c r="AL15" s="19">
        <f>('[1]Short Spot'!AL16-'[1]Short Spot'!AL15)*100</f>
        <v>0.76371374840311645</v>
      </c>
      <c r="AM15" s="19">
        <f>('[1]Short Spot'!AM16-'[1]Short Spot'!AM15)*100</f>
        <v>0.72017797189243282</v>
      </c>
      <c r="AN15" s="19">
        <f>('[1]Short Spot'!AN16-'[1]Short Spot'!AN15)*100</f>
        <v>0.67678837901388178</v>
      </c>
      <c r="AO15" s="19">
        <f>('[1]Short Spot'!AO16-'[1]Short Spot'!AO15)*100</f>
        <v>0.63353464429791728</v>
      </c>
      <c r="AP15" s="19">
        <f>('[1]Short Spot'!AP16-'[1]Short Spot'!AP15)*100</f>
        <v>0.59040982326656888</v>
      </c>
      <c r="AQ15" s="19">
        <f>('[1]Short Spot'!AQ16-'[1]Short Spot'!AQ15)*100</f>
        <v>0.54740997040543249</v>
      </c>
      <c r="AR15" s="19">
        <f>('[1]Short Spot'!AR16-'[1]Short Spot'!AR15)*100</f>
        <v>0.50453338244214052</v>
      </c>
      <c r="AS15" s="19">
        <f>('[1]Short Spot'!AS16-'[1]Short Spot'!AS15)*100</f>
        <v>0.46177999427374772</v>
      </c>
      <c r="AT15" s="19">
        <f>('[1]Short Spot'!AT16-'[1]Short Spot'!AT15)*100</f>
        <v>0.41915118138176055</v>
      </c>
      <c r="AU15" s="19">
        <f>('[1]Short Spot'!AU16-'[1]Short Spot'!AU15)*100</f>
        <v>0.37664960324592656</v>
      </c>
      <c r="AV15" s="19">
        <f>('[1]Short Spot'!AV16-'[1]Short Spot'!AV15)*100</f>
        <v>0.33427907257301825</v>
      </c>
      <c r="AW15" s="19">
        <f>('[1]Short Spot'!AW16-'[1]Short Spot'!AW15)*100</f>
        <v>0.29204451346425131</v>
      </c>
      <c r="AX15" s="19">
        <f>('[1]Short Spot'!AX16-'[1]Short Spot'!AX15)*100</f>
        <v>0.24995167214774128</v>
      </c>
      <c r="AY15" s="19">
        <f>('[1]Short Spot'!AY16-'[1]Short Spot'!AY15)*100</f>
        <v>0.20800684994313201</v>
      </c>
      <c r="AZ15" s="19">
        <f>('[1]Short Spot'!AZ16-'[1]Short Spot'!AZ15)*100</f>
        <v>0.16621684259838787</v>
      </c>
      <c r="BA15" s="19">
        <f>('[1]Short Spot'!BA16-'[1]Short Spot'!BA15)*100</f>
        <v>0.12458889274853391</v>
      </c>
      <c r="BB15" s="19">
        <f>('[1]Short Spot'!BB16-'[1]Short Spot'!BB15)*100</f>
        <v>8.313064775675727E-2</v>
      </c>
      <c r="BC15" s="19">
        <f>('[1]Short Spot'!BC16-'[1]Short Spot'!BC15)*100</f>
        <v>4.1850122239761589E-2</v>
      </c>
      <c r="BD15" s="19">
        <f>('[1]Short Spot'!BD16-'[1]Short Spot'!BD15)*100</f>
        <v>7.5569482591575365E-4</v>
      </c>
      <c r="BE15" s="19">
        <f>('[1]Short Spot'!BE16-'[1]Short Spot'!BE15)*100</f>
        <v>-4.0143834903005882E-2</v>
      </c>
      <c r="BF15" s="19">
        <f>('[1]Short Spot'!BF16-'[1]Short Spot'!BF15)*100</f>
        <v>-8.08394509943966E-2</v>
      </c>
      <c r="BG15" s="19">
        <f>('[1]Short Spot'!BG16-'[1]Short Spot'!BG15)*100</f>
        <v>-0.12132199817793676</v>
      </c>
      <c r="BH15" s="19">
        <f>('[1]Short Spot'!BH16-'[1]Short Spot'!BH15)*100</f>
        <v>-0.16158219369604154</v>
      </c>
      <c r="BI15" s="19">
        <f>('[1]Short Spot'!BI16-'[1]Short Spot'!BI15)*100</f>
        <v>-0.20161063792807354</v>
      </c>
    </row>
    <row r="16" spans="1:61" x14ac:dyDescent="0.2">
      <c r="A16" s="18">
        <v>39105</v>
      </c>
      <c r="B16" s="19">
        <f>('[1]Short Spot'!B17-'[1]Short Spot'!B16)*100</f>
        <v>-0.26374915121731846</v>
      </c>
      <c r="C16" s="19">
        <f>('[1]Short Spot'!C17-'[1]Short Spot'!C16)*100</f>
        <v>0.61486732144633294</v>
      </c>
      <c r="D16" s="19">
        <f>('[1]Short Spot'!D17-'[1]Short Spot'!D16)*100</f>
        <v>0.66751540936440534</v>
      </c>
      <c r="E16" s="19">
        <f>('[1]Short Spot'!E17-'[1]Short Spot'!E16)*100</f>
        <v>0.53597666752702722</v>
      </c>
      <c r="F16" s="19">
        <f>('[1]Short Spot'!F17-'[1]Short Spot'!F16)*100</f>
        <v>0.40534668780125571</v>
      </c>
      <c r="G16" s="19">
        <f>('[1]Short Spot'!G17-'[1]Short Spot'!G16)*100</f>
        <v>0.3126827713935576</v>
      </c>
      <c r="H16" s="19">
        <f>('[1]Short Spot'!H17-'[1]Short Spot'!H16)*100</f>
        <v>0.2570611361288222</v>
      </c>
      <c r="I16" s="19">
        <f>('[1]Short Spot'!I17-'[1]Short Spot'!I16)*100</f>
        <v>0.24090056179462138</v>
      </c>
      <c r="J16" s="19">
        <f>('[1]Short Spot'!J17-'[1]Short Spot'!J16)*100</f>
        <v>0.2583949068065472</v>
      </c>
      <c r="K16" s="19">
        <f>('[1]Short Spot'!K17-'[1]Short Spot'!K16)*100</f>
        <v>0.29810242632262174</v>
      </c>
      <c r="L16" s="19">
        <f>('[1]Short Spot'!L17-'[1]Short Spot'!L16)*100</f>
        <v>0.34997594077124106</v>
      </c>
      <c r="M16" s="19">
        <f>('[1]Short Spot'!M17-'[1]Short Spot'!M16)*100</f>
        <v>0.40802916053417349</v>
      </c>
      <c r="N16" s="19">
        <f>('[1]Short Spot'!N17-'[1]Short Spot'!N16)*100</f>
        <v>0.46787405377823887</v>
      </c>
      <c r="O16" s="19">
        <f>('[1]Short Spot'!O17-'[1]Short Spot'!O16)*100</f>
        <v>0.52651917531667536</v>
      </c>
      <c r="P16" s="19">
        <f>('[1]Short Spot'!P17-'[1]Short Spot'!P16)*100</f>
        <v>0.5824257355747875</v>
      </c>
      <c r="Q16" s="19">
        <f>('[1]Short Spot'!Q17-'[1]Short Spot'!Q16)*100</f>
        <v>0.63479729496274118</v>
      </c>
      <c r="R16" s="19">
        <f>('[1]Short Spot'!R17-'[1]Short Spot'!R16)*100</f>
        <v>0.68320290930641292</v>
      </c>
      <c r="S16" s="19">
        <f>('[1]Short Spot'!S17-'[1]Short Spot'!S16)*100</f>
        <v>0.72747120987912695</v>
      </c>
      <c r="T16" s="19">
        <f>('[1]Short Spot'!T17-'[1]Short Spot'!T16)*100</f>
        <v>0.76762209407190696</v>
      </c>
      <c r="U16" s="19">
        <f>('[1]Short Spot'!U17-'[1]Short Spot'!U16)*100</f>
        <v>0.80381890886505047</v>
      </c>
      <c r="V16" s="19">
        <f>('[1]Short Spot'!V17-'[1]Short Spot'!V16)*100</f>
        <v>0.83633433025331883</v>
      </c>
      <c r="W16" s="19">
        <f>('[1]Short Spot'!W17-'[1]Short Spot'!W16)*100</f>
        <v>0.86551791436084713</v>
      </c>
      <c r="X16" s="19">
        <f>('[1]Short Spot'!X17-'[1]Short Spot'!X16)*100</f>
        <v>0.89171797056399882</v>
      </c>
      <c r="Y16" s="19">
        <f>('[1]Short Spot'!Y17-'[1]Short Spot'!Y16)*100</f>
        <v>0.91523902982215688</v>
      </c>
      <c r="Z16" s="19">
        <f>('[1]Short Spot'!Z17-'[1]Short Spot'!Z16)*100</f>
        <v>0.93634845142807066</v>
      </c>
      <c r="AA16" s="19">
        <f>('[1]Short Spot'!AA17-'[1]Short Spot'!AA16)*100</f>
        <v>0.95528358593810481</v>
      </c>
      <c r="AB16" s="19">
        <f>('[1]Short Spot'!AB17-'[1]Short Spot'!AB16)*100</f>
        <v>0.97225766245232492</v>
      </c>
      <c r="AC16" s="19">
        <f>('[1]Short Spot'!AC17-'[1]Short Spot'!AC16)*100</f>
        <v>0.98746013385691001</v>
      </c>
      <c r="AD16" s="19">
        <f>('[1]Short Spot'!AD17-'[1]Short Spot'!AD16)*100</f>
        <v>1.0010562792548861</v>
      </c>
      <c r="AE16" s="19">
        <f>('[1]Short Spot'!AE17-'[1]Short Spot'!AE16)*100</f>
        <v>1.0131909367805392</v>
      </c>
      <c r="AF16" s="19">
        <f>('[1]Short Spot'!AF17-'[1]Short Spot'!AF16)*100</f>
        <v>1.023991800528723</v>
      </c>
      <c r="AG16" s="19">
        <f>('[1]Short Spot'!AG17-'[1]Short Spot'!AG16)*100</f>
        <v>1.0335720993111863</v>
      </c>
      <c r="AH16" s="19">
        <f>('[1]Short Spot'!AH17-'[1]Short Spot'!AH16)*100</f>
        <v>1.0420329136386464</v>
      </c>
      <c r="AI16" s="19">
        <f>('[1]Short Spot'!AI17-'[1]Short Spot'!AI16)*100</f>
        <v>1.0494661220869617</v>
      </c>
      <c r="AJ16" s="19">
        <f>('[1]Short Spot'!AJ17-'[1]Short Spot'!AJ16)*100</f>
        <v>1.0559547633994804</v>
      </c>
      <c r="AK16" s="19">
        <f>('[1]Short Spot'!AK17-'[1]Short Spot'!AK16)*100</f>
        <v>1.0615733836578656</v>
      </c>
      <c r="AL16" s="19">
        <f>('[1]Short Spot'!AL17-'[1]Short Spot'!AL16)*100</f>
        <v>1.0663895999376116</v>
      </c>
      <c r="AM16" s="19">
        <f>('[1]Short Spot'!AM17-'[1]Short Spot'!AM16)*100</f>
        <v>1.0704651720077507</v>
      </c>
      <c r="AN16" s="19">
        <f>('[1]Short Spot'!AN17-'[1]Short Spot'!AN16)*100</f>
        <v>1.0738567561195289</v>
      </c>
      <c r="AO16" s="19">
        <f>('[1]Short Spot'!AO17-'[1]Short Spot'!AO16)*100</f>
        <v>1.0766165429446417</v>
      </c>
      <c r="AP16" s="19">
        <f>('[1]Short Spot'!AP17-'[1]Short Spot'!AP16)*100</f>
        <v>1.0787928061117391</v>
      </c>
      <c r="AQ16" s="19">
        <f>('[1]Short Spot'!AQ17-'[1]Short Spot'!AQ16)*100</f>
        <v>1.0804304361445638</v>
      </c>
      <c r="AR16" s="19">
        <f>('[1]Short Spot'!AR17-'[1]Short Spot'!AR16)*100</f>
        <v>1.0815711133431272</v>
      </c>
      <c r="AS16" s="19">
        <f>('[1]Short Spot'!AS17-'[1]Short Spot'!AS16)*100</f>
        <v>1.0822534263104089</v>
      </c>
      <c r="AT16" s="19">
        <f>('[1]Short Spot'!AT17-'[1]Short Spot'!AT16)*100</f>
        <v>1.082513204488933</v>
      </c>
      <c r="AU16" s="19">
        <f>('[1]Short Spot'!AU17-'[1]Short Spot'!AU16)*100</f>
        <v>1.0823838180709089</v>
      </c>
      <c r="AV16" s="19">
        <f>('[1]Short Spot'!AV17-'[1]Short Spot'!AV16)*100</f>
        <v>1.0818964461329905</v>
      </c>
      <c r="AW16" s="19">
        <f>('[1]Short Spot'!AW17-'[1]Short Spot'!AW16)*100</f>
        <v>1.0810803680441516</v>
      </c>
      <c r="AX16" s="19">
        <f>('[1]Short Spot'!AX17-'[1]Short Spot'!AX16)*100</f>
        <v>1.0799629428070112</v>
      </c>
      <c r="AY16" s="19">
        <f>('[1]Short Spot'!AY17-'[1]Short Spot'!AY16)*100</f>
        <v>1.0785696217674889</v>
      </c>
      <c r="AZ16" s="19">
        <f>('[1]Short Spot'!AZ17-'[1]Short Spot'!AZ16)*100</f>
        <v>1.0769241306913813</v>
      </c>
      <c r="BA16" s="19">
        <f>('[1]Short Spot'!BA17-'[1]Short Spot'!BA16)*100</f>
        <v>1.0750486356858602</v>
      </c>
      <c r="BB16" s="19">
        <f>('[1]Short Spot'!BB17-'[1]Short Spot'!BB16)*100</f>
        <v>1.0729638903370642</v>
      </c>
      <c r="BC16" s="19">
        <f>('[1]Short Spot'!BC17-'[1]Short Spot'!BC16)*100</f>
        <v>1.0706893664983674</v>
      </c>
      <c r="BD16" s="19">
        <f>('[1]Short Spot'!BD17-'[1]Short Spot'!BD16)*100</f>
        <v>1.0682434017772025</v>
      </c>
      <c r="BE16" s="19">
        <f>('[1]Short Spot'!BE17-'[1]Short Spot'!BE16)*100</f>
        <v>1.065643361192059</v>
      </c>
      <c r="BF16" s="19">
        <f>('[1]Short Spot'!BF17-'[1]Short Spot'!BF16)*100</f>
        <v>1.0629055287243894</v>
      </c>
      <c r="BG16" s="19">
        <f>('[1]Short Spot'!BG17-'[1]Short Spot'!BG16)*100</f>
        <v>1.0600451457520421</v>
      </c>
      <c r="BH16" s="19">
        <f>('[1]Short Spot'!BH17-'[1]Short Spot'!BH16)*100</f>
        <v>1.0570764993998338</v>
      </c>
      <c r="BI16" s="19">
        <f>('[1]Short Spot'!BI17-'[1]Short Spot'!BI16)*100</f>
        <v>1.0540130020610938</v>
      </c>
    </row>
    <row r="17" spans="1:61" x14ac:dyDescent="0.2">
      <c r="A17" s="18">
        <v>39106</v>
      </c>
      <c r="B17" s="19">
        <f>('[1]Short Spot'!B18-'[1]Short Spot'!B17)*100</f>
        <v>-4.9922362211334281</v>
      </c>
      <c r="C17" s="19">
        <f>('[1]Short Spot'!C18-'[1]Short Spot'!C17)*100</f>
        <v>-6.5506587600592248</v>
      </c>
      <c r="D17" s="19">
        <f>('[1]Short Spot'!D18-'[1]Short Spot'!D17)*100</f>
        <v>-6.4426262171259019</v>
      </c>
      <c r="E17" s="19">
        <f>('[1]Short Spot'!E18-'[1]Short Spot'!E17)*100</f>
        <v>-6.1423344080119513</v>
      </c>
      <c r="F17" s="19">
        <f>('[1]Short Spot'!F18-'[1]Short Spot'!F17)*100</f>
        <v>-5.9080869767929478</v>
      </c>
      <c r="G17" s="19">
        <f>('[1]Short Spot'!G18-'[1]Short Spot'!G17)*100</f>
        <v>-5.7795323377061614</v>
      </c>
      <c r="H17" s="19">
        <f>('[1]Short Spot'!H18-'[1]Short Spot'!H17)*100</f>
        <v>-5.727559636305557</v>
      </c>
      <c r="I17" s="19">
        <f>('[1]Short Spot'!I18-'[1]Short Spot'!I17)*100</f>
        <v>-5.7065514826214248</v>
      </c>
      <c r="J17" s="19">
        <f>('[1]Short Spot'!J18-'[1]Short Spot'!J17)*100</f>
        <v>-5.6894145895057591</v>
      </c>
      <c r="K17" s="19">
        <f>('[1]Short Spot'!K18-'[1]Short Spot'!K17)*100</f>
        <v>-5.6611625975064861</v>
      </c>
      <c r="L17" s="19">
        <f>('[1]Short Spot'!L18-'[1]Short Spot'!L17)*100</f>
        <v>-5.6149418815246932</v>
      </c>
      <c r="M17" s="19">
        <f>('[1]Short Spot'!M18-'[1]Short Spot'!M17)*100</f>
        <v>-5.5497486892789993</v>
      </c>
      <c r="N17" s="19">
        <f>('[1]Short Spot'!N18-'[1]Short Spot'!N17)*100</f>
        <v>-5.4673146283136909</v>
      </c>
      <c r="O17" s="19">
        <f>('[1]Short Spot'!O18-'[1]Short Spot'!O17)*100</f>
        <v>-5.37058271350217</v>
      </c>
      <c r="P17" s="19">
        <f>('[1]Short Spot'!P18-'[1]Short Spot'!P17)*100</f>
        <v>-5.2628067925010846</v>
      </c>
      <c r="Q17" s="19">
        <f>('[1]Short Spot'!Q18-'[1]Short Spot'!Q17)*100</f>
        <v>-5.1466690927203906</v>
      </c>
      <c r="R17" s="19">
        <f>('[1]Short Spot'!R18-'[1]Short Spot'!R17)*100</f>
        <v>-5.0242600513156432</v>
      </c>
      <c r="S17" s="19">
        <f>('[1]Short Spot'!S18-'[1]Short Spot'!S17)*100</f>
        <v>-4.8972420076799139</v>
      </c>
      <c r="T17" s="19">
        <f>('[1]Short Spot'!T18-'[1]Short Spot'!T17)*100</f>
        <v>-4.7669618607481645</v>
      </c>
      <c r="U17" s="19">
        <f>('[1]Short Spot'!U18-'[1]Short Spot'!U17)*100</f>
        <v>-4.6345299291132847</v>
      </c>
      <c r="V17" s="19">
        <f>('[1]Short Spot'!V18-'[1]Short Spot'!V17)*100</f>
        <v>-4.500876160023104</v>
      </c>
      <c r="W17" s="19">
        <f>('[1]Short Spot'!W18-'[1]Short Spot'!W17)*100</f>
        <v>-4.3667766420038667</v>
      </c>
      <c r="X17" s="19">
        <f>('[1]Short Spot'!X18-'[1]Short Spot'!X17)*100</f>
        <v>-4.2328443777281954</v>
      </c>
      <c r="Y17" s="19">
        <f>('[1]Short Spot'!Y18-'[1]Short Spot'!Y17)*100</f>
        <v>-4.0995524668823613</v>
      </c>
      <c r="Z17" s="19">
        <f>('[1]Short Spot'!Z18-'[1]Short Spot'!Z17)*100</f>
        <v>-3.9672622983139227</v>
      </c>
      <c r="AA17" s="19">
        <f>('[1]Short Spot'!AA18-'[1]Short Spot'!AA17)*100</f>
        <v>-3.8362450220467359</v>
      </c>
      <c r="AB17" s="19">
        <f>('[1]Short Spot'!AB18-'[1]Short Spot'!AB17)*100</f>
        <v>-3.7066996103198413</v>
      </c>
      <c r="AC17" s="19">
        <f>('[1]Short Spot'!AC18-'[1]Short Spot'!AC17)*100</f>
        <v>-3.5787765743531708</v>
      </c>
      <c r="AD17" s="19">
        <f>('[1]Short Spot'!AD18-'[1]Short Spot'!AD17)*100</f>
        <v>-3.4525935018262288</v>
      </c>
      <c r="AE17" s="19">
        <f>('[1]Short Spot'!AE18-'[1]Short Spot'!AE17)*100</f>
        <v>-3.328240865678822</v>
      </c>
      <c r="AF17" s="19">
        <f>('[1]Short Spot'!AF18-'[1]Short Spot'!AF17)*100</f>
        <v>-3.2057863974555012</v>
      </c>
      <c r="AG17" s="19">
        <f>('[1]Short Spot'!AG18-'[1]Short Spot'!AG17)*100</f>
        <v>-3.0852786406491362</v>
      </c>
      <c r="AH17" s="19">
        <f>('[1]Short Spot'!AH18-'[1]Short Spot'!AH17)*100</f>
        <v>-2.9667497590754266</v>
      </c>
      <c r="AI17" s="19">
        <f>('[1]Short Spot'!AI18-'[1]Short Spot'!AI17)*100</f>
        <v>-2.8502180083131989</v>
      </c>
      <c r="AJ17" s="19">
        <f>('[1]Short Spot'!AJ18-'[1]Short Spot'!AJ17)*100</f>
        <v>-2.735692978445492</v>
      </c>
      <c r="AK17" s="19">
        <f>('[1]Short Spot'!AK18-'[1]Short Spot'!AK17)*100</f>
        <v>-2.6231781741250515</v>
      </c>
      <c r="AL17" s="19">
        <f>('[1]Short Spot'!AL18-'[1]Short Spot'!AL17)*100</f>
        <v>-2.5126719021167254</v>
      </c>
      <c r="AM17" s="19">
        <f>('[1]Short Spot'!AM18-'[1]Short Spot'!AM17)*100</f>
        <v>-2.4041679801314331</v>
      </c>
      <c r="AN17" s="19">
        <f>('[1]Short Spot'!AN18-'[1]Short Spot'!AN17)*100</f>
        <v>-2.2976563129609495</v>
      </c>
      <c r="AO17" s="19">
        <f>('[1]Short Spot'!AO18-'[1]Short Spot'!AO17)*100</f>
        <v>-2.1931233815918105</v>
      </c>
      <c r="AP17" s="19">
        <f>('[1]Short Spot'!AP18-'[1]Short Spot'!AP17)*100</f>
        <v>-2.0905526593288926</v>
      </c>
      <c r="AQ17" s="19">
        <f>('[1]Short Spot'!AQ18-'[1]Short Spot'!AQ17)*100</f>
        <v>-1.9899251698530129</v>
      </c>
      <c r="AR17" s="19">
        <f>('[1]Short Spot'!AR18-'[1]Short Spot'!AR17)*100</f>
        <v>-1.8912208097007444</v>
      </c>
      <c r="AS17" s="19">
        <f>('[1]Short Spot'!AS18-'[1]Short Spot'!AS17)*100</f>
        <v>-1.7944189744987682</v>
      </c>
      <c r="AT17" s="19">
        <f>('[1]Short Spot'!AT18-'[1]Short Spot'!AT17)*100</f>
        <v>-1.6994986271788193</v>
      </c>
      <c r="AU17" s="19">
        <f>('[1]Short Spot'!AU18-'[1]Short Spot'!AU17)*100</f>
        <v>-1.6064383450101083</v>
      </c>
      <c r="AV17" s="19">
        <f>('[1]Short Spot'!AV18-'[1]Short Spot'!AV17)*100</f>
        <v>-1.5152163534626339</v>
      </c>
      <c r="AW17" s="19">
        <f>('[1]Short Spot'!AW18-'[1]Short Spot'!AW17)*100</f>
        <v>-1.425810514392456</v>
      </c>
      <c r="AX17" s="19">
        <f>('[1]Short Spot'!AX18-'[1]Short Spot'!AX17)*100</f>
        <v>-1.338198606092611</v>
      </c>
      <c r="AY17" s="19">
        <f>('[1]Short Spot'!AY18-'[1]Short Spot'!AY17)*100</f>
        <v>-1.2523585016285033</v>
      </c>
      <c r="AZ17" s="19">
        <f>('[1]Short Spot'!AZ18-'[1]Short Spot'!AZ17)*100</f>
        <v>-1.1682681633639724</v>
      </c>
      <c r="BA17" s="19">
        <f>('[1]Short Spot'!BA18-'[1]Short Spot'!BA17)*100</f>
        <v>-1.0859056343755391</v>
      </c>
      <c r="BB17" s="19">
        <f>('[1]Short Spot'!BB18-'[1]Short Spot'!BB17)*100</f>
        <v>-1.005249030837696</v>
      </c>
      <c r="BC17" s="19">
        <f>('[1]Short Spot'!BC18-'[1]Short Spot'!BC17)*100</f>
        <v>-0.92627653525427789</v>
      </c>
      <c r="BD17" s="19">
        <f>('[1]Short Spot'!BD18-'[1]Short Spot'!BD17)*100</f>
        <v>-0.84896634815097016</v>
      </c>
      <c r="BE17" s="19">
        <f>('[1]Short Spot'!BE18-'[1]Short Spot'!BE17)*100</f>
        <v>-0.7732965371990197</v>
      </c>
      <c r="BF17" s="19">
        <f>('[1]Short Spot'!BF18-'[1]Short Spot'!BF17)*100</f>
        <v>-0.69924514628514345</v>
      </c>
      <c r="BG17" s="19">
        <f>('[1]Short Spot'!BG18-'[1]Short Spot'!BG17)*100</f>
        <v>-0.62679023759546482</v>
      </c>
      <c r="BH17" s="19">
        <f>('[1]Short Spot'!BH18-'[1]Short Spot'!BH17)*100</f>
        <v>-0.55590989006546465</v>
      </c>
      <c r="BI17" s="19">
        <f>('[1]Short Spot'!BI18-'[1]Short Spot'!BI17)*100</f>
        <v>-0.48658219798500824</v>
      </c>
    </row>
    <row r="18" spans="1:61" x14ac:dyDescent="0.2">
      <c r="A18" s="18">
        <v>39107</v>
      </c>
      <c r="B18" s="19">
        <f>('[1]Short Spot'!B19-'[1]Short Spot'!B18)*100</f>
        <v>0.64937838265857195</v>
      </c>
      <c r="C18" s="19">
        <f>('[1]Short Spot'!C19-'[1]Short Spot'!C18)*100</f>
        <v>0.33607637684234248</v>
      </c>
      <c r="D18" s="19">
        <f>('[1]Short Spot'!D19-'[1]Short Spot'!D18)*100</f>
        <v>0.3186858522896685</v>
      </c>
      <c r="E18" s="19">
        <f>('[1]Short Spot'!E19-'[1]Short Spot'!E18)*100</f>
        <v>0.44836925045288467</v>
      </c>
      <c r="F18" s="19">
        <f>('[1]Short Spot'!F19-'[1]Short Spot'!F18)*100</f>
        <v>0.67637686360555449</v>
      </c>
      <c r="G18" s="19">
        <f>('[1]Short Spot'!G19-'[1]Short Spot'!G18)*100</f>
        <v>0.95629009424555989</v>
      </c>
      <c r="H18" s="19">
        <f>('[1]Short Spot'!H19-'[1]Short Spot'!H18)*100</f>
        <v>1.2469342394869187</v>
      </c>
      <c r="I18" s="19">
        <f>('[1]Short Spot'!I19-'[1]Short Spot'!I18)*100</f>
        <v>1.5234435512286204</v>
      </c>
      <c r="J18" s="19">
        <f>('[1]Short Spot'!J19-'[1]Short Spot'!J18)*100</f>
        <v>1.7740144081607845</v>
      </c>
      <c r="K18" s="19">
        <f>('[1]Short Spot'!K19-'[1]Short Spot'!K18)*100</f>
        <v>1.9938653890153368</v>
      </c>
      <c r="L18" s="19">
        <f>('[1]Short Spot'!L19-'[1]Short Spot'!L18)*100</f>
        <v>2.1832344484594479</v>
      </c>
      <c r="M18" s="19">
        <f>('[1]Short Spot'!M19-'[1]Short Spot'!M18)*100</f>
        <v>2.3454952853913191</v>
      </c>
      <c r="N18" s="19">
        <f>('[1]Short Spot'!N19-'[1]Short Spot'!N18)*100</f>
        <v>2.4845731518476022</v>
      </c>
      <c r="O18" s="19">
        <f>('[1]Short Spot'!O19-'[1]Short Spot'!O18)*100</f>
        <v>2.6044656892037388</v>
      </c>
      <c r="P18" s="19">
        <f>('[1]Short Spot'!P19-'[1]Short Spot'!P18)*100</f>
        <v>2.7090224275838182</v>
      </c>
      <c r="Q18" s="19">
        <f>('[1]Short Spot'!Q19-'[1]Short Spot'!Q18)*100</f>
        <v>2.8013813872582283</v>
      </c>
      <c r="R18" s="19">
        <f>('[1]Short Spot'!R19-'[1]Short Spot'!R18)*100</f>
        <v>2.8839455440053285</v>
      </c>
      <c r="S18" s="19">
        <f>('[1]Short Spot'!S19-'[1]Short Spot'!S18)*100</f>
        <v>2.9585829730878643</v>
      </c>
      <c r="T18" s="19">
        <f>('[1]Short Spot'!T19-'[1]Short Spot'!T18)*100</f>
        <v>3.0267676125458109</v>
      </c>
      <c r="U18" s="19">
        <f>('[1]Short Spot'!U19-'[1]Short Spot'!U18)*100</f>
        <v>3.0896777975038425</v>
      </c>
      <c r="V18" s="19">
        <f>('[1]Short Spot'!V19-'[1]Short Spot'!V18)*100</f>
        <v>3.1482667433644806</v>
      </c>
      <c r="W18" s="19">
        <f>('[1]Short Spot'!W19-'[1]Short Spot'!W18)*100</f>
        <v>3.203315203263557</v>
      </c>
      <c r="X18" s="19">
        <f>('[1]Short Spot'!X19-'[1]Short Spot'!X18)*100</f>
        <v>3.2554516088263874</v>
      </c>
      <c r="Y18" s="19">
        <f>('[1]Short Spot'!Y19-'[1]Short Spot'!Y18)*100</f>
        <v>3.3051664097940581</v>
      </c>
      <c r="Z18" s="19">
        <f>('[1]Short Spot'!Z19-'[1]Short Spot'!Z18)*100</f>
        <v>3.3528387187804931</v>
      </c>
      <c r="AA18" s="19">
        <f>('[1]Short Spot'!AA19-'[1]Short Spot'!AA18)*100</f>
        <v>3.3987577669996938</v>
      </c>
      <c r="AB18" s="19">
        <f>('[1]Short Spot'!AB19-'[1]Short Spot'!AB18)*100</f>
        <v>3.4431440020456172</v>
      </c>
      <c r="AC18" s="19">
        <f>('[1]Short Spot'!AC19-'[1]Short Spot'!AC18)*100</f>
        <v>3.4861746335845822</v>
      </c>
      <c r="AD18" s="19">
        <f>('[1]Short Spot'!AD19-'[1]Short Spot'!AD18)*100</f>
        <v>3.5279949553726375</v>
      </c>
      <c r="AE18" s="19">
        <f>('[1]Short Spot'!AE19-'[1]Short Spot'!AE18)*100</f>
        <v>3.5687236671562594</v>
      </c>
      <c r="AF18" s="19">
        <f>('[1]Short Spot'!AF19-'[1]Short Spot'!AF18)*100</f>
        <v>3.6084571640315311</v>
      </c>
      <c r="AG18" s="19">
        <f>('[1]Short Spot'!AG19-'[1]Short Spot'!AG18)*100</f>
        <v>3.6472730215438176</v>
      </c>
      <c r="AH18" s="19">
        <f>('[1]Short Spot'!AH19-'[1]Short Spot'!AH18)*100</f>
        <v>3.6852330613918127</v>
      </c>
      <c r="AI18" s="19">
        <f>('[1]Short Spot'!AI19-'[1]Short Spot'!AI18)*100</f>
        <v>3.7223882141073084</v>
      </c>
      <c r="AJ18" s="19">
        <f>('[1]Short Spot'!AJ19-'[1]Short Spot'!AJ18)*100</f>
        <v>3.7587814880944315</v>
      </c>
      <c r="AK18" s="19">
        <f>('[1]Short Spot'!AK19-'[1]Short Spot'!AK18)*100</f>
        <v>3.7944489167395012</v>
      </c>
      <c r="AL18" s="19">
        <f>('[1]Short Spot'!AL19-'[1]Short Spot'!AL18)*100</f>
        <v>3.8294211522734933</v>
      </c>
      <c r="AM18" s="19">
        <f>('[1]Short Spot'!AM19-'[1]Short Spot'!AM18)*100</f>
        <v>3.8637243721000303</v>
      </c>
      <c r="AN18" s="19">
        <f>('[1]Short Spot'!AN19-'[1]Short Spot'!AN18)*100</f>
        <v>3.8973808546193922</v>
      </c>
      <c r="AO18" s="19">
        <f>('[1]Short Spot'!AO19-'[1]Short Spot'!AO18)*100</f>
        <v>3.9304094666041678</v>
      </c>
      <c r="AP18" s="19">
        <f>('[1]Short Spot'!AP19-'[1]Short Spot'!AP18)*100</f>
        <v>3.9628260874087218</v>
      </c>
      <c r="AQ18" s="19">
        <f>('[1]Short Spot'!AQ19-'[1]Short Spot'!AQ18)*100</f>
        <v>3.9946442571366703</v>
      </c>
      <c r="AR18" s="19">
        <f>('[1]Short Spot'!AR19-'[1]Short Spot'!AR18)*100</f>
        <v>4.0258759384406595</v>
      </c>
      <c r="AS18" s="19">
        <f>('[1]Short Spot'!AS19-'[1]Short Spot'!AS18)*100</f>
        <v>4.0565317330809592</v>
      </c>
      <c r="AT18" s="19">
        <f>('[1]Short Spot'!AT19-'[1]Short Spot'!AT18)*100</f>
        <v>4.0866210298021954</v>
      </c>
      <c r="AU18" s="19">
        <f>('[1]Short Spot'!AU19-'[1]Short Spot'!AU18)*100</f>
        <v>4.116152136182194</v>
      </c>
      <c r="AV18" s="19">
        <f>('[1]Short Spot'!AV19-'[1]Short Spot'!AV18)*100</f>
        <v>4.1451324045371329</v>
      </c>
      <c r="AW18" s="19">
        <f>('[1]Short Spot'!AW19-'[1]Short Spot'!AW18)*100</f>
        <v>4.1735684911778925</v>
      </c>
      <c r="AX18" s="19">
        <f>('[1]Short Spot'!AX19-'[1]Short Spot'!AX18)*100</f>
        <v>4.2014664449592232</v>
      </c>
      <c r="AY18" s="19">
        <f>('[1]Short Spot'!AY19-'[1]Short Spot'!AY18)*100</f>
        <v>4.2288316774536483</v>
      </c>
      <c r="AZ18" s="19">
        <f>('[1]Short Spot'!AZ19-'[1]Short Spot'!AZ18)*100</f>
        <v>4.2556690229476501</v>
      </c>
      <c r="BA18" s="19">
        <f>('[1]Short Spot'!BA19-'[1]Short Spot'!BA18)*100</f>
        <v>4.2819827939499788</v>
      </c>
      <c r="BB18" s="19">
        <f>('[1]Short Spot'!BB19-'[1]Short Spot'!BB18)*100</f>
        <v>4.3077768304155661</v>
      </c>
      <c r="BC18" s="19">
        <f>('[1]Short Spot'!BC19-'[1]Short Spot'!BC18)*100</f>
        <v>4.3330545435014578</v>
      </c>
      <c r="BD18" s="19">
        <f>('[1]Short Spot'!BD19-'[1]Short Spot'!BD18)*100</f>
        <v>4.3578190052413923</v>
      </c>
      <c r="BE18" s="19">
        <f>('[1]Short Spot'!BE19-'[1]Short Spot'!BE18)*100</f>
        <v>4.3820731612022712</v>
      </c>
      <c r="BF18" s="19">
        <f>('[1]Short Spot'!BF19-'[1]Short Spot'!BF18)*100</f>
        <v>4.405819770991215</v>
      </c>
      <c r="BG18" s="19">
        <f>('[1]Short Spot'!BG19-'[1]Short Spot'!BG18)*100</f>
        <v>4.429061390358946</v>
      </c>
      <c r="BH18" s="19">
        <f>('[1]Short Spot'!BH19-'[1]Short Spot'!BH18)*100</f>
        <v>4.4518003884750357</v>
      </c>
      <c r="BI18" s="19">
        <f>('[1]Short Spot'!BI19-'[1]Short Spot'!BI18)*100</f>
        <v>4.4740389634775113</v>
      </c>
    </row>
    <row r="19" spans="1:61" x14ac:dyDescent="0.2">
      <c r="A19" s="18">
        <v>39108</v>
      </c>
      <c r="B19" s="19">
        <f>('[1]Short Spot'!B20-'[1]Short Spot'!B19)*100</f>
        <v>0.30082704296452434</v>
      </c>
      <c r="C19" s="19">
        <f>('[1]Short Spot'!C20-'[1]Short Spot'!C19)*100</f>
        <v>1.2071412883519095</v>
      </c>
      <c r="D19" s="19">
        <f>('[1]Short Spot'!D20-'[1]Short Spot'!D19)*100</f>
        <v>1.4831548195878952</v>
      </c>
      <c r="E19" s="19">
        <f>('[1]Short Spot'!E20-'[1]Short Spot'!E19)*100</f>
        <v>1.5742524753155074</v>
      </c>
      <c r="F19" s="19">
        <f>('[1]Short Spot'!F20-'[1]Short Spot'!F19)*100</f>
        <v>1.588439966912869</v>
      </c>
      <c r="G19" s="19">
        <f>('[1]Short Spot'!G20-'[1]Short Spot'!G19)*100</f>
        <v>1.5648098530784083</v>
      </c>
      <c r="H19" s="19">
        <f>('[1]Short Spot'!H20-'[1]Short Spot'!H19)*100</f>
        <v>1.5220341798738879</v>
      </c>
      <c r="I19" s="19">
        <f>('[1]Short Spot'!I20-'[1]Short Spot'!I19)*100</f>
        <v>1.4650401771231891</v>
      </c>
      <c r="J19" s="19">
        <f>('[1]Short Spot'!J20-'[1]Short Spot'!J19)*100</f>
        <v>1.3977284904153287</v>
      </c>
      <c r="K19" s="19">
        <f>('[1]Short Spot'!K20-'[1]Short Spot'!K19)*100</f>
        <v>1.3248298266510083</v>
      </c>
      <c r="L19" s="19">
        <f>('[1]Short Spot'!L20-'[1]Short Spot'!L19)*100</f>
        <v>1.2504014423131871</v>
      </c>
      <c r="M19" s="19">
        <f>('[1]Short Spot'!M20-'[1]Short Spot'!M19)*100</f>
        <v>1.1763322754805294</v>
      </c>
      <c r="N19" s="19">
        <f>('[1]Short Spot'!N20-'[1]Short Spot'!N19)*100</f>
        <v>1.1030506274753549</v>
      </c>
      <c r="O19" s="19">
        <f>('[1]Short Spot'!O20-'[1]Short Spot'!O19)*100</f>
        <v>1.0307785967285099</v>
      </c>
      <c r="P19" s="19">
        <f>('[1]Short Spot'!P20-'[1]Short Spot'!P19)*100</f>
        <v>0.95964979387792582</v>
      </c>
      <c r="Q19" s="19">
        <f>('[1]Short Spot'!Q20-'[1]Short Spot'!Q19)*100</f>
        <v>0.88982214432720141</v>
      </c>
      <c r="R19" s="19">
        <f>('[1]Short Spot'!R20-'[1]Short Spot'!R19)*100</f>
        <v>0.82138737296189035</v>
      </c>
      <c r="S19" s="19">
        <f>('[1]Short Spot'!S20-'[1]Short Spot'!S19)*100</f>
        <v>0.75438603966091478</v>
      </c>
      <c r="T19" s="19">
        <f>('[1]Short Spot'!T20-'[1]Short Spot'!T19)*100</f>
        <v>0.68882100377267719</v>
      </c>
      <c r="U19" s="19">
        <f>('[1]Short Spot'!U20-'[1]Short Spot'!U19)*100</f>
        <v>0.62466684924586957</v>
      </c>
      <c r="V19" s="19">
        <f>('[1]Short Spot'!V20-'[1]Short Spot'!V19)*100</f>
        <v>0.56187730261836322</v>
      </c>
      <c r="W19" s="19">
        <f>('[1]Short Spot'!W20-'[1]Short Spot'!W19)*100</f>
        <v>0.50041669462315141</v>
      </c>
      <c r="X19" s="19">
        <f>('[1]Short Spot'!X20-'[1]Short Spot'!X19)*100</f>
        <v>0.44028272716420958</v>
      </c>
      <c r="Y19" s="19">
        <f>('[1]Short Spot'!Y20-'[1]Short Spot'!Y19)*100</f>
        <v>0.38148370551587263</v>
      </c>
      <c r="Z19" s="19">
        <f>('[1]Short Spot'!Z20-'[1]Short Spot'!Z19)*100</f>
        <v>0.32403503089772911</v>
      </c>
      <c r="AA19" s="19">
        <f>('[1]Short Spot'!AA20-'[1]Short Spot'!AA19)*100</f>
        <v>0.26795800087002775</v>
      </c>
      <c r="AB19" s="19">
        <f>('[1]Short Spot'!AB20-'[1]Short Spot'!AB19)*100</f>
        <v>0.21328418341282074</v>
      </c>
      <c r="AC19" s="19">
        <f>('[1]Short Spot'!AC20-'[1]Short Spot'!AC19)*100</f>
        <v>0.16005636927767242</v>
      </c>
      <c r="AD19" s="19">
        <f>('[1]Short Spot'!AD20-'[1]Short Spot'!AD19)*100</f>
        <v>0.10832185384535009</v>
      </c>
      <c r="AE19" s="19">
        <f>('[1]Short Spot'!AE20-'[1]Short Spot'!AE19)*100</f>
        <v>5.813135882615228E-2</v>
      </c>
      <c r="AF19" s="19">
        <f>('[1]Short Spot'!AF20-'[1]Short Spot'!AF19)*100</f>
        <v>9.5384796231279267E-3</v>
      </c>
      <c r="AG19" s="19">
        <f>('[1]Short Spot'!AG20-'[1]Short Spot'!AG19)*100</f>
        <v>-3.740076367932943E-2</v>
      </c>
      <c r="AH19" s="19">
        <f>('[1]Short Spot'!AH20-'[1]Short Spot'!AH19)*100</f>
        <v>-8.2627615463781723E-2</v>
      </c>
      <c r="AI19" s="19">
        <f>('[1]Short Spot'!AI20-'[1]Short Spot'!AI19)*100</f>
        <v>-0.12607668305326669</v>
      </c>
      <c r="AJ19" s="19">
        <f>('[1]Short Spot'!AJ20-'[1]Short Spot'!AJ19)*100</f>
        <v>-0.16767938771566904</v>
      </c>
      <c r="AK19" s="19">
        <f>('[1]Short Spot'!AK20-'[1]Short Spot'!AK19)*100</f>
        <v>-0.20736771979219526</v>
      </c>
      <c r="AL19" s="19">
        <f>('[1]Short Spot'!AL20-'[1]Short Spot'!AL19)*100</f>
        <v>-0.24507716944581759</v>
      </c>
      <c r="AM19" s="19">
        <f>('[1]Short Spot'!AM20-'[1]Short Spot'!AM19)*100</f>
        <v>-0.28074705738605488</v>
      </c>
      <c r="AN19" s="19">
        <f>('[1]Short Spot'!AN20-'[1]Short Spot'!AN19)*100</f>
        <v>-0.31432005005740393</v>
      </c>
      <c r="AO19" s="19">
        <f>('[1]Short Spot'!AO20-'[1]Short Spot'!AO19)*100</f>
        <v>-0.34574174142294467</v>
      </c>
      <c r="AP19" s="19">
        <f>('[1]Short Spot'!AP20-'[1]Short Spot'!AP19)*100</f>
        <v>-0.37496028787780133</v>
      </c>
      <c r="AQ19" s="19">
        <f>('[1]Short Spot'!AQ20-'[1]Short Spot'!AQ19)*100</f>
        <v>-0.40192646930972131</v>
      </c>
      <c r="AR19" s="19">
        <f>('[1]Short Spot'!AR20-'[1]Short Spot'!AR19)*100</f>
        <v>-0.42659525273389676</v>
      </c>
      <c r="AS19" s="19">
        <f>('[1]Short Spot'!AS20-'[1]Short Spot'!AS19)*100</f>
        <v>-0.44892611047249176</v>
      </c>
      <c r="AT19" s="19">
        <f>('[1]Short Spot'!AT20-'[1]Short Spot'!AT19)*100</f>
        <v>-0.46888253344254949</v>
      </c>
      <c r="AU19" s="19">
        <f>('[1]Short Spot'!AU20-'[1]Short Spot'!AU19)*100</f>
        <v>-0.48643159435171057</v>
      </c>
      <c r="AV19" s="19">
        <f>('[1]Short Spot'!AV20-'[1]Short Spot'!AV19)*100</f>
        <v>-0.50154356755678364</v>
      </c>
      <c r="AW19" s="19">
        <f>('[1]Short Spot'!AW20-'[1]Short Spot'!AW19)*100</f>
        <v>-0.51419232917622182</v>
      </c>
      <c r="AX19" s="19">
        <f>('[1]Short Spot'!AX20-'[1]Short Spot'!AX19)*100</f>
        <v>-0.52435724364396918</v>
      </c>
      <c r="AY19" s="19">
        <f>('[1]Short Spot'!AY20-'[1]Short Spot'!AY19)*100</f>
        <v>-0.53202328992032477</v>
      </c>
      <c r="AZ19" s="19">
        <f>('[1]Short Spot'!AZ20-'[1]Short Spot'!AZ19)*100</f>
        <v>-0.53718051644819909</v>
      </c>
      <c r="BA19" s="19">
        <f>('[1]Short Spot'!BA20-'[1]Short Spot'!BA19)*100</f>
        <v>-0.53982355370161272</v>
      </c>
      <c r="BB19" s="19">
        <f>('[1]Short Spot'!BB20-'[1]Short Spot'!BB19)*100</f>
        <v>-0.53995118191885183</v>
      </c>
      <c r="BC19" s="19">
        <f>('[1]Short Spot'!BC20-'[1]Short Spot'!BC19)*100</f>
        <v>-0.53756594681839687</v>
      </c>
      <c r="BD19" s="19">
        <f>('[1]Short Spot'!BD20-'[1]Short Spot'!BD19)*100</f>
        <v>-0.53267394223182052</v>
      </c>
      <c r="BE19" s="19">
        <f>('[1]Short Spot'!BE20-'[1]Short Spot'!BE19)*100</f>
        <v>-0.5252863049775236</v>
      </c>
      <c r="BF19" s="19">
        <f>('[1]Short Spot'!BF20-'[1]Short Spot'!BF19)*100</f>
        <v>-0.51542075474140248</v>
      </c>
      <c r="BG19" s="19">
        <f>('[1]Short Spot'!BG20-'[1]Short Spot'!BG19)*100</f>
        <v>-0.50310121611945036</v>
      </c>
      <c r="BH19" s="19">
        <f>('[1]Short Spot'!BH20-'[1]Short Spot'!BH19)*100</f>
        <v>-0.48835729277874051</v>
      </c>
      <c r="BI19" s="19">
        <f>('[1]Short Spot'!BI20-'[1]Short Spot'!BI19)*100</f>
        <v>-0.47122379420088123</v>
      </c>
    </row>
    <row r="20" spans="1:61" x14ac:dyDescent="0.2">
      <c r="A20" s="18">
        <v>39111</v>
      </c>
      <c r="B20" s="19">
        <f>('[1]Short Spot'!B21-'[1]Short Spot'!B20)*100</f>
        <v>0.18469986202980238</v>
      </c>
      <c r="C20" s="19">
        <f>('[1]Short Spot'!C21-'[1]Short Spot'!C20)*100</f>
        <v>-0.24421333598114714</v>
      </c>
      <c r="D20" s="19">
        <f>('[1]Short Spot'!D21-'[1]Short Spot'!D20)*100</f>
        <v>-0.19919438525013433</v>
      </c>
      <c r="E20" s="19">
        <f>('[1]Short Spot'!E21-'[1]Short Spot'!E20)*100</f>
        <v>-6.1641461013017818E-2</v>
      </c>
      <c r="F20" s="19">
        <f>('[1]Short Spot'!F21-'[1]Short Spot'!F20)*100</f>
        <v>7.2273643433717893E-2</v>
      </c>
      <c r="G20" s="19">
        <f>('[1]Short Spot'!G21-'[1]Short Spot'!G20)*100</f>
        <v>0.18229676904999437</v>
      </c>
      <c r="H20" s="19">
        <f>('[1]Short Spot'!H21-'[1]Short Spot'!H20)*100</f>
        <v>0.26761402389494648</v>
      </c>
      <c r="I20" s="19">
        <f>('[1]Short Spot'!I21-'[1]Short Spot'!I20)*100</f>
        <v>0.32814507178864361</v>
      </c>
      <c r="J20" s="19">
        <f>('[1]Short Spot'!J21-'[1]Short Spot'!J20)*100</f>
        <v>0.36838140673740583</v>
      </c>
      <c r="K20" s="19">
        <f>('[1]Short Spot'!K21-'[1]Short Spot'!K20)*100</f>
        <v>0.3955600358382938</v>
      </c>
      <c r="L20" s="19">
        <f>('[1]Short Spot'!L21-'[1]Short Spot'!L20)*100</f>
        <v>0.41624462346510072</v>
      </c>
      <c r="M20" s="19">
        <f>('[1]Short Spot'!M21-'[1]Short Spot'!M20)*100</f>
        <v>0.43464407138307237</v>
      </c>
      <c r="N20" s="19">
        <f>('[1]Short Spot'!N21-'[1]Short Spot'!N20)*100</f>
        <v>0.45353957128764222</v>
      </c>
      <c r="O20" s="19">
        <f>('[1]Short Spot'!O21-'[1]Short Spot'!O20)*100</f>
        <v>0.47417295913119162</v>
      </c>
      <c r="P20" s="19">
        <f>('[1]Short Spot'!P21-'[1]Short Spot'!P20)*100</f>
        <v>0.49690655347980339</v>
      </c>
      <c r="Q20" s="19">
        <f>('[1]Short Spot'!Q21-'[1]Short Spot'!Q20)*100</f>
        <v>0.52187592261585536</v>
      </c>
      <c r="R20" s="19">
        <f>('[1]Short Spot'!R21-'[1]Short Spot'!R20)*100</f>
        <v>0.54907853211290103</v>
      </c>
      <c r="S20" s="19">
        <f>('[1]Short Spot'!S21-'[1]Short Spot'!S20)*100</f>
        <v>0.57841156838875918</v>
      </c>
      <c r="T20" s="19">
        <f>('[1]Short Spot'!T21-'[1]Short Spot'!T20)*100</f>
        <v>0.60969832795567669</v>
      </c>
      <c r="U20" s="19">
        <f>('[1]Short Spot'!U21-'[1]Short Spot'!U20)*100</f>
        <v>0.64270668989729884</v>
      </c>
      <c r="V20" s="19">
        <f>('[1]Short Spot'!V21-'[1]Short Spot'!V20)*100</f>
        <v>0.67716285361818507</v>
      </c>
      <c r="W20" s="19">
        <f>('[1]Short Spot'!W21-'[1]Short Spot'!W20)*100</f>
        <v>0.71278404652979077</v>
      </c>
      <c r="X20" s="19">
        <f>('[1]Short Spot'!X21-'[1]Short Spot'!X20)*100</f>
        <v>0.74932581376190299</v>
      </c>
      <c r="Y20" s="19">
        <f>('[1]Short Spot'!Y21-'[1]Short Spot'!Y20)*100</f>
        <v>0.78658080137428144</v>
      </c>
      <c r="Z20" s="19">
        <f>('[1]Short Spot'!Z21-'[1]Short Spot'!Z20)*100</f>
        <v>0.82437115335682876</v>
      </c>
      <c r="AA20" s="19">
        <f>('[1]Short Spot'!AA21-'[1]Short Spot'!AA20)*100</f>
        <v>0.86254293310172869</v>
      </c>
      <c r="AB20" s="19">
        <f>('[1]Short Spot'!AB21-'[1]Short Spot'!AB20)*100</f>
        <v>0.9009643232981368</v>
      </c>
      <c r="AC20" s="19">
        <f>('[1]Short Spot'!AC21-'[1]Short Spot'!AC20)*100</f>
        <v>0.9395240332453092</v>
      </c>
      <c r="AD20" s="19">
        <f>('[1]Short Spot'!AD21-'[1]Short Spot'!AD20)*100</f>
        <v>0.97812675956010509</v>
      </c>
      <c r="AE20" s="19">
        <f>('[1]Short Spot'!AE21-'[1]Short Spot'!AE20)*100</f>
        <v>1.0166904513883246</v>
      </c>
      <c r="AF20" s="19">
        <f>('[1]Short Spot'!AF21-'[1]Short Spot'!AF20)*100</f>
        <v>1.0551441729006683</v>
      </c>
      <c r="AG20" s="19">
        <f>('[1]Short Spot'!AG21-'[1]Short Spot'!AG20)*100</f>
        <v>1.0934263665684618</v>
      </c>
      <c r="AH20" s="19">
        <f>('[1]Short Spot'!AH21-'[1]Short Spot'!AH20)*100</f>
        <v>1.1314837722459004</v>
      </c>
      <c r="AI20" s="19">
        <f>('[1]Short Spot'!AI21-'[1]Short Spot'!AI20)*100</f>
        <v>1.1692724590582237</v>
      </c>
      <c r="AJ20" s="19">
        <f>('[1]Short Spot'!AJ21-'[1]Short Spot'!AJ20)*100</f>
        <v>1.2067565264800351</v>
      </c>
      <c r="AK20" s="19">
        <f>('[1]Short Spot'!AK21-'[1]Short Spot'!AK20)*100</f>
        <v>1.243906016391616</v>
      </c>
      <c r="AL20" s="19">
        <f>('[1]Short Spot'!AL21-'[1]Short Spot'!AL20)*100</f>
        <v>1.2806951876639161</v>
      </c>
      <c r="AM20" s="19">
        <f>('[1]Short Spot'!AM21-'[1]Short Spot'!AM20)*100</f>
        <v>1.3171017929304085</v>
      </c>
      <c r="AN20" s="19">
        <f>('[1]Short Spot'!AN21-'[1]Short Spot'!AN20)*100</f>
        <v>1.3531066306306627</v>
      </c>
      <c r="AO20" s="19">
        <f>('[1]Short Spot'!AO21-'[1]Short Spot'!AO20)*100</f>
        <v>1.3886931642834277</v>
      </c>
      <c r="AP20" s="19">
        <f>('[1]Short Spot'!AP21-'[1]Short Spot'!AP20)*100</f>
        <v>1.4238472019046711</v>
      </c>
      <c r="AQ20" s="19">
        <f>('[1]Short Spot'!AQ21-'[1]Short Spot'!AQ20)*100</f>
        <v>1.4585565820389945</v>
      </c>
      <c r="AR20" s="19">
        <f>('[1]Short Spot'!AR21-'[1]Short Spot'!AR20)*100</f>
        <v>1.4928106307865008</v>
      </c>
      <c r="AS20" s="19">
        <f>('[1]Short Spot'!AS21-'[1]Short Spot'!AS20)*100</f>
        <v>1.5265998609394593</v>
      </c>
      <c r="AT20" s="19">
        <f>('[1]Short Spot'!AT21-'[1]Short Spot'!AT20)*100</f>
        <v>1.559915838381265</v>
      </c>
      <c r="AU20" s="19">
        <f>('[1]Short Spot'!AU21-'[1]Short Spot'!AU20)*100</f>
        <v>1.5927510676205792</v>
      </c>
      <c r="AV20" s="19">
        <f>('[1]Short Spot'!AV21-'[1]Short Spot'!AV20)*100</f>
        <v>1.6250989044903186</v>
      </c>
      <c r="AW20" s="19">
        <f>('[1]Short Spot'!AW21-'[1]Short Spot'!AW20)*100</f>
        <v>1.656953601863087</v>
      </c>
      <c r="AX20" s="19">
        <f>('[1]Short Spot'!AX21-'[1]Short Spot'!AX20)*100</f>
        <v>1.6883102669850381</v>
      </c>
      <c r="AY20" s="19">
        <f>('[1]Short Spot'!AY21-'[1]Short Spot'!AY20)*100</f>
        <v>1.7191647463756787</v>
      </c>
      <c r="AZ20" s="19">
        <f>('[1]Short Spot'!AZ21-'[1]Short Spot'!AZ20)*100</f>
        <v>1.7495135529635775</v>
      </c>
      <c r="BA20" s="19">
        <f>('[1]Short Spot'!BA21-'[1]Short Spot'!BA20)*100</f>
        <v>1.779353802008643</v>
      </c>
      <c r="BB20" s="19">
        <f>('[1]Short Spot'!BB21-'[1]Short Spot'!BB20)*100</f>
        <v>1.8086831542784232</v>
      </c>
      <c r="BC20" s="19">
        <f>('[1]Short Spot'!BC21-'[1]Short Spot'!BC20)*100</f>
        <v>1.8374997656100511</v>
      </c>
      <c r="BD20" s="19">
        <f>('[1]Short Spot'!BD21-'[1]Short Spot'!BD20)*100</f>
        <v>1.8658022829015408</v>
      </c>
      <c r="BE20" s="19">
        <f>('[1]Short Spot'!BE21-'[1]Short Spot'!BE20)*100</f>
        <v>1.8935899227369823</v>
      </c>
      <c r="BF20" s="19">
        <f>('[1]Short Spot'!BF21-'[1]Short Spot'!BF20)*100</f>
        <v>1.9208624111203498</v>
      </c>
      <c r="BG20" s="19">
        <f>('[1]Short Spot'!BG21-'[1]Short Spot'!BG20)*100</f>
        <v>1.9476199307513653</v>
      </c>
      <c r="BH20" s="19">
        <f>('[1]Short Spot'!BH21-'[1]Short Spot'!BH20)*100</f>
        <v>1.9738630823242787</v>
      </c>
      <c r="BI20" s="19">
        <f>('[1]Short Spot'!BI21-'[1]Short Spot'!BI20)*100</f>
        <v>1.9995928496934212</v>
      </c>
    </row>
    <row r="21" spans="1:61" x14ac:dyDescent="0.2">
      <c r="A21" s="18">
        <v>39112</v>
      </c>
      <c r="B21" s="19">
        <f>('[1]Short Spot'!B22-'[1]Short Spot'!B21)*100</f>
        <v>-0.61006489137849229</v>
      </c>
      <c r="C21" s="19">
        <f>('[1]Short Spot'!C22-'[1]Short Spot'!C21)*100</f>
        <v>-1.2656393794524767</v>
      </c>
      <c r="D21" s="19">
        <f>('[1]Short Spot'!D22-'[1]Short Spot'!D21)*100</f>
        <v>-1.948209759734798</v>
      </c>
      <c r="E21" s="19">
        <f>('[1]Short Spot'!E22-'[1]Short Spot'!E21)*100</f>
        <v>-2.4624726999225466</v>
      </c>
      <c r="F21" s="19">
        <f>('[1]Short Spot'!F22-'[1]Short Spot'!F21)*100</f>
        <v>-2.7847848868167269</v>
      </c>
      <c r="G21" s="19">
        <f>('[1]Short Spot'!G22-'[1]Short Spot'!G21)*100</f>
        <v>-2.9540416703986772</v>
      </c>
      <c r="H21" s="19">
        <f>('[1]Short Spot'!H22-'[1]Short Spot'!H21)*100</f>
        <v>-3.0241579092379567</v>
      </c>
      <c r="I21" s="19">
        <f>('[1]Short Spot'!I22-'[1]Short Spot'!I21)*100</f>
        <v>-3.0383589255857935</v>
      </c>
      <c r="J21" s="19">
        <f>('[1]Short Spot'!J22-'[1]Short Spot'!J21)*100</f>
        <v>-3.0236456059736128</v>
      </c>
      <c r="K21" s="19">
        <f>('[1]Short Spot'!K22-'[1]Short Spot'!K21)*100</f>
        <v>-2.9976163460723626</v>
      </c>
      <c r="L21" s="19">
        <f>('[1]Short Spot'!L22-'[1]Short Spot'!L21)*100</f>
        <v>-2.9703557243024648</v>
      </c>
      <c r="M21" s="19">
        <f>('[1]Short Spot'!M22-'[1]Short Spot'!M21)*100</f>
        <v>-2.9464006363641992</v>
      </c>
      <c r="N21" s="19">
        <f>('[1]Short Spot'!N22-'[1]Short Spot'!N21)*100</f>
        <v>-2.9276861311229752</v>
      </c>
      <c r="O21" s="19">
        <f>('[1]Short Spot'!O22-'[1]Short Spot'!O21)*100</f>
        <v>-2.9144198236551233</v>
      </c>
      <c r="P21" s="19">
        <f>('[1]Short Spot'!P22-'[1]Short Spot'!P21)*100</f>
        <v>-2.9058059133505232</v>
      </c>
      <c r="Q21" s="19">
        <f>('[1]Short Spot'!Q22-'[1]Short Spot'!Q21)*100</f>
        <v>-2.9009999760093663</v>
      </c>
      <c r="R21" s="19">
        <f>('[1]Short Spot'!R22-'[1]Short Spot'!R21)*100</f>
        <v>-2.8992884874546654</v>
      </c>
      <c r="S21" s="19">
        <f>('[1]Short Spot'!S22-'[1]Short Spot'!S21)*100</f>
        <v>-2.9000534085221297</v>
      </c>
      <c r="T21" s="19">
        <f>('[1]Short Spot'!T22-'[1]Short Spot'!T21)*100</f>
        <v>-2.9027470574225944</v>
      </c>
      <c r="U21" s="19">
        <f>('[1]Short Spot'!U22-'[1]Short Spot'!U21)*100</f>
        <v>-2.9068745203992385</v>
      </c>
      <c r="V21" s="19">
        <f>('[1]Short Spot'!V22-'[1]Short Spot'!V21)*100</f>
        <v>-2.9119808880732734</v>
      </c>
      <c r="W21" s="19">
        <f>('[1]Short Spot'!W22-'[1]Short Spot'!W21)*100</f>
        <v>-2.9176498265764295</v>
      </c>
      <c r="X21" s="19">
        <f>('[1]Short Spot'!X22-'[1]Short Spot'!X21)*100</f>
        <v>-2.9235418801818902</v>
      </c>
      <c r="Y21" s="19">
        <f>('[1]Short Spot'!Y22-'[1]Short Spot'!Y21)*100</f>
        <v>-2.9294006776550141</v>
      </c>
      <c r="Z21" s="19">
        <f>('[1]Short Spot'!Z22-'[1]Short Spot'!Z21)*100</f>
        <v>-2.9350368124760884</v>
      </c>
      <c r="AA21" s="19">
        <f>('[1]Short Spot'!AA22-'[1]Short Spot'!AA21)*100</f>
        <v>-2.9403148142400859</v>
      </c>
      <c r="AB21" s="19">
        <f>('[1]Short Spot'!AB22-'[1]Short Spot'!AB21)*100</f>
        <v>-2.9451384633037314</v>
      </c>
      <c r="AC21" s="19">
        <f>('[1]Short Spot'!AC22-'[1]Short Spot'!AC21)*100</f>
        <v>-2.9494366121133098</v>
      </c>
      <c r="AD21" s="19">
        <f>('[1]Short Spot'!AD22-'[1]Short Spot'!AD21)*100</f>
        <v>-2.9531584675789091</v>
      </c>
      <c r="AE21" s="19">
        <f>('[1]Short Spot'!AE22-'[1]Short Spot'!AE21)*100</f>
        <v>-2.9562702443944211</v>
      </c>
      <c r="AF21" s="19">
        <f>('[1]Short Spot'!AF22-'[1]Short Spot'!AF21)*100</f>
        <v>-2.9587524218475103</v>
      </c>
      <c r="AG21" s="19">
        <f>('[1]Short Spot'!AG22-'[1]Short Spot'!AG21)*100</f>
        <v>-2.9605975149753938</v>
      </c>
      <c r="AH21" s="19">
        <f>('[1]Short Spot'!AH22-'[1]Short Spot'!AH21)*100</f>
        <v>-2.9618078837127193</v>
      </c>
      <c r="AI21" s="19">
        <f>('[1]Short Spot'!AI22-'[1]Short Spot'!AI21)*100</f>
        <v>-2.9623923114672657</v>
      </c>
      <c r="AJ21" s="19">
        <f>('[1]Short Spot'!AJ22-'[1]Short Spot'!AJ21)*100</f>
        <v>-2.9623655349952038</v>
      </c>
      <c r="AK21" s="19">
        <f>('[1]Short Spot'!AK22-'[1]Short Spot'!AK21)*100</f>
        <v>-2.9617467842686374</v>
      </c>
      <c r="AL21" s="19">
        <f>('[1]Short Spot'!AL22-'[1]Short Spot'!AL21)*100</f>
        <v>-2.9605567644584774</v>
      </c>
      <c r="AM21" s="19">
        <f>('[1]Short Spot'!AM22-'[1]Short Spot'!AM21)*100</f>
        <v>-2.9588169057435998</v>
      </c>
      <c r="AN21" s="19">
        <f>('[1]Short Spot'!AN22-'[1]Short Spot'!AN21)*100</f>
        <v>-2.9565492676657534</v>
      </c>
      <c r="AO21" s="19">
        <f>('[1]Short Spot'!AO22-'[1]Short Spot'!AO21)*100</f>
        <v>-2.9537764604572914</v>
      </c>
      <c r="AP21" s="19">
        <f>('[1]Short Spot'!AP22-'[1]Short Spot'!AP21)*100</f>
        <v>-2.9505215541917096</v>
      </c>
      <c r="AQ21" s="19">
        <f>('[1]Short Spot'!AQ22-'[1]Short Spot'!AQ21)*100</f>
        <v>-2.9468074617247986</v>
      </c>
      <c r="AR21" s="19">
        <f>('[1]Short Spot'!AR22-'[1]Short Spot'!AR21)*100</f>
        <v>-2.9426560638198929</v>
      </c>
      <c r="AS21" s="19">
        <f>('[1]Short Spot'!AS22-'[1]Short Spot'!AS21)*100</f>
        <v>-2.9380881923829705</v>
      </c>
      <c r="AT21" s="19">
        <f>('[1]Short Spot'!AT22-'[1]Short Spot'!AT21)*100</f>
        <v>-2.9331237473523508</v>
      </c>
      <c r="AU21" s="19">
        <f>('[1]Short Spot'!AU22-'[1]Short Spot'!AU21)*100</f>
        <v>-2.927781797999085</v>
      </c>
      <c r="AV21" s="19">
        <f>('[1]Short Spot'!AV22-'[1]Short Spot'!AV21)*100</f>
        <v>-2.922080653334902</v>
      </c>
      <c r="AW21" s="19">
        <f>('[1]Short Spot'!AW22-'[1]Short Spot'!AW21)*100</f>
        <v>-2.9160377353913525</v>
      </c>
      <c r="AX21" s="19">
        <f>('[1]Short Spot'!AX22-'[1]Short Spot'!AX21)*100</f>
        <v>-2.9096695286777496</v>
      </c>
      <c r="AY21" s="19">
        <f>('[1]Short Spot'!AY22-'[1]Short Spot'!AY21)*100</f>
        <v>-2.9029916877783002</v>
      </c>
      <c r="AZ21" s="19">
        <f>('[1]Short Spot'!AZ22-'[1]Short Spot'!AZ21)*100</f>
        <v>-2.8960191189714379</v>
      </c>
      <c r="BA21" s="19">
        <f>('[1]Short Spot'!BA22-'[1]Short Spot'!BA21)*100</f>
        <v>-2.8887660521823122</v>
      </c>
      <c r="BB21" s="19">
        <f>('[1]Short Spot'!BB22-'[1]Short Spot'!BB21)*100</f>
        <v>-2.8812461047901472</v>
      </c>
      <c r="BC21" s="19">
        <f>('[1]Short Spot'!BC22-'[1]Short Spot'!BC21)*100</f>
        <v>-2.8734723382025429</v>
      </c>
      <c r="BD21" s="19">
        <f>('[1]Short Spot'!BD22-'[1]Short Spot'!BD21)*100</f>
        <v>-2.865457258347881</v>
      </c>
      <c r="BE21" s="19">
        <f>('[1]Short Spot'!BE22-'[1]Short Spot'!BE21)*100</f>
        <v>-2.8572127177979745</v>
      </c>
      <c r="BF21" s="19">
        <f>('[1]Short Spot'!BF22-'[1]Short Spot'!BF21)*100</f>
        <v>-2.8487499726869814</v>
      </c>
      <c r="BG21" s="19">
        <f>('[1]Short Spot'!BG22-'[1]Short Spot'!BG21)*100</f>
        <v>-2.8400797417086565</v>
      </c>
      <c r="BH21" s="19">
        <f>('[1]Short Spot'!BH22-'[1]Short Spot'!BH21)*100</f>
        <v>-2.8312122516638283</v>
      </c>
      <c r="BI21" s="19">
        <f>('[1]Short Spot'!BI22-'[1]Short Spot'!BI21)*100</f>
        <v>-2.8221572784491222</v>
      </c>
    </row>
    <row r="22" spans="1:61" x14ac:dyDescent="0.2">
      <c r="A22" s="18">
        <v>39113</v>
      </c>
      <c r="B22" s="19">
        <f>('[1]Short Spot'!B23-'[1]Short Spot'!B22)*100</f>
        <v>8.3640203053825246E-2</v>
      </c>
      <c r="C22" s="19">
        <f>('[1]Short Spot'!C23-'[1]Short Spot'!C22)*100</f>
        <v>9.2930710071748024E-2</v>
      </c>
      <c r="D22" s="19">
        <f>('[1]Short Spot'!D23-'[1]Short Spot'!D22)*100</f>
        <v>0.15742924250075063</v>
      </c>
      <c r="E22" s="19">
        <f>('[1]Short Spot'!E23-'[1]Short Spot'!E22)*100</f>
        <v>0.17882054327751362</v>
      </c>
      <c r="F22" s="19">
        <f>('[1]Short Spot'!F23-'[1]Short Spot'!F22)*100</f>
        <v>0.15073140554893172</v>
      </c>
      <c r="G22" s="19">
        <f>('[1]Short Spot'!G23-'[1]Short Spot'!G22)*100</f>
        <v>9.1684455210838678E-2</v>
      </c>
      <c r="H22" s="19">
        <f>('[1]Short Spot'!H23-'[1]Short Spot'!H22)*100</f>
        <v>2.546932054157125E-2</v>
      </c>
      <c r="I22" s="19">
        <f>('[1]Short Spot'!I23-'[1]Short Spot'!I22)*100</f>
        <v>-3.3389407777839608E-2</v>
      </c>
      <c r="J22" s="19">
        <f>('[1]Short Spot'!J23-'[1]Short Spot'!J22)*100</f>
        <v>-7.8440453204198235E-2</v>
      </c>
      <c r="K22" s="19">
        <f>('[1]Short Spot'!K23-'[1]Short Spot'!K22)*100</f>
        <v>-0.10738545565676105</v>
      </c>
      <c r="L22" s="19">
        <f>('[1]Short Spot'!L23-'[1]Short Spot'!L22)*100</f>
        <v>-0.12133842745658541</v>
      </c>
      <c r="M22" s="19">
        <f>('[1]Short Spot'!M23-'[1]Short Spot'!M22)*100</f>
        <v>-0.12375149144787656</v>
      </c>
      <c r="N22" s="19">
        <f>('[1]Short Spot'!N23-'[1]Short Spot'!N22)*100</f>
        <v>-0.11814173555801943</v>
      </c>
      <c r="O22" s="19">
        <f>('[1]Short Spot'!O23-'[1]Short Spot'!O22)*100</f>
        <v>-0.10752387986272538</v>
      </c>
      <c r="P22" s="19">
        <f>('[1]Short Spot'!P23-'[1]Short Spot'!P22)*100</f>
        <v>-9.4178388735688401E-2</v>
      </c>
      <c r="Q22" s="19">
        <f>('[1]Short Spot'!Q23-'[1]Short Spot'!Q22)*100</f>
        <v>-7.9699226620189023E-2</v>
      </c>
      <c r="R22" s="19">
        <f>('[1]Short Spot'!R23-'[1]Short Spot'!R22)*100</f>
        <v>-6.5197069258804419E-2</v>
      </c>
      <c r="S22" s="19">
        <f>('[1]Short Spot'!S23-'[1]Short Spot'!S22)*100</f>
        <v>-5.1433845921877719E-2</v>
      </c>
      <c r="T22" s="19">
        <f>('[1]Short Spot'!T23-'[1]Short Spot'!T22)*100</f>
        <v>-3.8914514796406507E-2</v>
      </c>
      <c r="U22" s="19">
        <f>('[1]Short Spot'!U23-'[1]Short Spot'!U22)*100</f>
        <v>-2.7951305756079847E-2</v>
      </c>
      <c r="V22" s="19">
        <f>('[1]Short Spot'!V23-'[1]Short Spot'!V22)*100</f>
        <v>-1.8709316013598709E-2</v>
      </c>
      <c r="W22" s="19">
        <f>('[1]Short Spot'!W23-'[1]Short Spot'!W22)*100</f>
        <v>-1.1242237911091024E-2</v>
      </c>
      <c r="X22" s="19">
        <f>('[1]Short Spot'!X23-'[1]Short Spot'!X22)*100</f>
        <v>-5.5445791526054222E-3</v>
      </c>
      <c r="Y22" s="19">
        <f>('[1]Short Spot'!Y23-'[1]Short Spot'!Y22)*100</f>
        <v>-1.5784791268735887E-3</v>
      </c>
      <c r="Z22" s="19">
        <f>('[1]Short Spot'!Z23-'[1]Short Spot'!Z22)*100</f>
        <v>7.1950670603726508E-4</v>
      </c>
      <c r="AA22" s="19">
        <f>('[1]Short Spot'!AA23-'[1]Short Spot'!AA22)*100</f>
        <v>1.4335339136195557E-3</v>
      </c>
      <c r="AB22" s="19">
        <f>('[1]Short Spot'!AB23-'[1]Short Spot'!AB22)*100</f>
        <v>6.6238464953016774E-4</v>
      </c>
      <c r="AC22" s="19">
        <f>('[1]Short Spot'!AC23-'[1]Short Spot'!AC22)*100</f>
        <v>-1.4944412413342434E-3</v>
      </c>
      <c r="AD22" s="19">
        <f>('[1]Short Spot'!AD23-'[1]Short Spot'!AD22)*100</f>
        <v>-4.9416065836638268E-3</v>
      </c>
      <c r="AE22" s="19">
        <f>('[1]Short Spot'!AE23-'[1]Short Spot'!AE22)*100</f>
        <v>-9.5873257232703679E-3</v>
      </c>
      <c r="AF22" s="19">
        <f>('[1]Short Spot'!AF23-'[1]Short Spot'!AF22)*100</f>
        <v>-1.5342791699879399E-2</v>
      </c>
      <c r="AG22" s="19">
        <f>('[1]Short Spot'!AG23-'[1]Short Spot'!AG22)*100</f>
        <v>-2.2121710828493235E-2</v>
      </c>
      <c r="AH22" s="19">
        <f>('[1]Short Spot'!AH23-'[1]Short Spot'!AH22)*100</f>
        <v>-2.9839747801663208E-2</v>
      </c>
      <c r="AI22" s="19">
        <f>('[1]Short Spot'!AI23-'[1]Short Spot'!AI22)*100</f>
        <v>-3.8415295164018204E-2</v>
      </c>
      <c r="AJ22" s="19">
        <f>('[1]Short Spot'!AJ23-'[1]Short Spot'!AJ22)*100</f>
        <v>-4.7773024683905874E-2</v>
      </c>
      <c r="AK22" s="19">
        <f>('[1]Short Spot'!AK23-'[1]Short Spot'!AK22)*100</f>
        <v>-5.7844138532736622E-2</v>
      </c>
      <c r="AL22" s="19">
        <f>('[1]Short Spot'!AL23-'[1]Short Spot'!AL22)*100</f>
        <v>-6.8566018720339628E-2</v>
      </c>
      <c r="AM22" s="19">
        <f>('[1]Short Spot'!AM23-'[1]Short Spot'!AM22)*100</f>
        <v>-7.9881505681456133E-2</v>
      </c>
      <c r="AN22" s="19">
        <f>('[1]Short Spot'!AN23-'[1]Short Spot'!AN22)*100</f>
        <v>-9.1738198573043661E-2</v>
      </c>
      <c r="AO22" s="19">
        <f>('[1]Short Spot'!AO23-'[1]Short Spot'!AO22)*100</f>
        <v>-0.10408786043551999</v>
      </c>
      <c r="AP22" s="19">
        <f>('[1]Short Spot'!AP23-'[1]Short Spot'!AP22)*100</f>
        <v>-0.11688590575404945</v>
      </c>
      <c r="AQ22" s="19">
        <f>('[1]Short Spot'!AQ23-'[1]Short Spot'!AQ22)*100</f>
        <v>-0.13009107815005194</v>
      </c>
      <c r="AR22" s="19">
        <f>('[1]Short Spot'!AR23-'[1]Short Spot'!AR22)*100</f>
        <v>-0.14366554016067568</v>
      </c>
      <c r="AS22" s="19">
        <f>('[1]Short Spot'!AS23-'[1]Short Spot'!AS22)*100</f>
        <v>-0.1575746407003642</v>
      </c>
      <c r="AT22" s="19">
        <f>('[1]Short Spot'!AT23-'[1]Short Spot'!AT22)*100</f>
        <v>-0.17178656218925781</v>
      </c>
      <c r="AU22" s="19">
        <f>('[1]Short Spot'!AU23-'[1]Short Spot'!AU22)*100</f>
        <v>-0.18627201256311565</v>
      </c>
      <c r="AV22" s="19">
        <f>('[1]Short Spot'!AV23-'[1]Short Spot'!AV22)*100</f>
        <v>-0.20100394185913473</v>
      </c>
      <c r="AW22" s="19">
        <f>('[1]Short Spot'!AW23-'[1]Short Spot'!AW22)*100</f>
        <v>-0.2159572191863468</v>
      </c>
      <c r="AX22" s="19">
        <f>('[1]Short Spot'!AX23-'[1]Short Spot'!AX22)*100</f>
        <v>-0.23110849538179323</v>
      </c>
      <c r="AY22" s="19">
        <f>('[1]Short Spot'!AY23-'[1]Short Spot'!AY22)*100</f>
        <v>-0.2464360690157541</v>
      </c>
      <c r="AZ22" s="19">
        <f>('[1]Short Spot'!AZ23-'[1]Short Spot'!AZ22)*100</f>
        <v>-0.26191972503717409</v>
      </c>
      <c r="BA22" s="19">
        <f>('[1]Short Spot'!BA23-'[1]Short Spot'!BA22)*100</f>
        <v>-0.27754059185376434</v>
      </c>
      <c r="BB22" s="19">
        <f>('[1]Short Spot'!BB23-'[1]Short Spot'!BB22)*100</f>
        <v>-0.29328101458983014</v>
      </c>
      <c r="BC22" s="19">
        <f>('[1]Short Spot'!BC23-'[1]Short Spot'!BC22)*100</f>
        <v>-0.30912444223014646</v>
      </c>
      <c r="BD22" s="19">
        <f>('[1]Short Spot'!BD23-'[1]Short Spot'!BD22)*100</f>
        <v>-0.32505530873638833</v>
      </c>
      <c r="BE22" s="19">
        <f>('[1]Short Spot'!BE23-'[1]Short Spot'!BE22)*100</f>
        <v>-0.34105901339556155</v>
      </c>
      <c r="BF22" s="19">
        <f>('[1]Short Spot'!BF23-'[1]Short Spot'!BF22)*100</f>
        <v>-0.35712197027262249</v>
      </c>
      <c r="BG22" s="19">
        <f>('[1]Short Spot'!BG23-'[1]Short Spot'!BG22)*100</f>
        <v>-0.37323153347434967</v>
      </c>
      <c r="BH22" s="19">
        <f>('[1]Short Spot'!BH23-'[1]Short Spot'!BH22)*100</f>
        <v>-0.38937591748435807</v>
      </c>
      <c r="BI22" s="19">
        <f>('[1]Short Spot'!BI23-'[1]Short Spot'!BI22)*100</f>
        <v>-0.4055441254661396</v>
      </c>
    </row>
    <row r="23" spans="1:61" x14ac:dyDescent="0.2">
      <c r="A23" s="18">
        <v>39114</v>
      </c>
      <c r="B23" s="19">
        <f>('[1]Short Spot'!B24-'[1]Short Spot'!B23)*100</f>
        <v>0.51048140143601373</v>
      </c>
      <c r="C23" s="19">
        <f>('[1]Short Spot'!C24-'[1]Short Spot'!C23)*100</f>
        <v>1.2858134319626124</v>
      </c>
      <c r="D23" s="19">
        <f>('[1]Short Spot'!D24-'[1]Short Spot'!D23)*100</f>
        <v>1.6137956403970755</v>
      </c>
      <c r="E23" s="19">
        <f>('[1]Short Spot'!E24-'[1]Short Spot'!E23)*100</f>
        <v>1.817794210221102</v>
      </c>
      <c r="F23" s="19">
        <f>('[1]Short Spot'!F24-'[1]Short Spot'!F23)*100</f>
        <v>1.9651254510634431</v>
      </c>
      <c r="G23" s="19">
        <f>('[1]Short Spot'!G24-'[1]Short Spot'!G23)*100</f>
        <v>2.0826863311690147</v>
      </c>
      <c r="H23" s="19">
        <f>('[1]Short Spot'!H24-'[1]Short Spot'!H23)*100</f>
        <v>2.1845788859717885</v>
      </c>
      <c r="I23" s="19">
        <f>('[1]Short Spot'!I24-'[1]Short Spot'!I23)*100</f>
        <v>2.2761067674005098</v>
      </c>
      <c r="J23" s="19">
        <f>('[1]Short Spot'!J24-'[1]Short Spot'!J23)*100</f>
        <v>2.3600111438386584</v>
      </c>
      <c r="K23" s="19">
        <f>('[1]Short Spot'!K24-'[1]Short Spot'!K23)*100</f>
        <v>2.4380644412831387</v>
      </c>
      <c r="L23" s="19">
        <f>('[1]Short Spot'!L24-'[1]Short Spot'!L23)*100</f>
        <v>2.5112699578159869</v>
      </c>
      <c r="M23" s="19">
        <f>('[1]Short Spot'!M24-'[1]Short Spot'!M23)*100</f>
        <v>2.5798755277179453</v>
      </c>
      <c r="N23" s="19">
        <f>('[1]Short Spot'!N24-'[1]Short Spot'!N23)*100</f>
        <v>2.6438989527441059</v>
      </c>
      <c r="O23" s="19">
        <f>('[1]Short Spot'!O24-'[1]Short Spot'!O23)*100</f>
        <v>2.703270642146105</v>
      </c>
      <c r="P23" s="19">
        <f>('[1]Short Spot'!P24-'[1]Short Spot'!P23)*100</f>
        <v>2.7579626553454695</v>
      </c>
      <c r="Q23" s="19">
        <f>('[1]Short Spot'!Q24-'[1]Short Spot'!Q23)*100</f>
        <v>2.80806082320888</v>
      </c>
      <c r="R23" s="19">
        <f>('[1]Short Spot'!R24-'[1]Short Spot'!R23)*100</f>
        <v>2.8537156330623148</v>
      </c>
      <c r="S23" s="19">
        <f>('[1]Short Spot'!S24-'[1]Short Spot'!S23)*100</f>
        <v>2.8951240257903521</v>
      </c>
      <c r="T23" s="19">
        <f>('[1]Short Spot'!T24-'[1]Short Spot'!T23)*100</f>
        <v>2.9325171712144993</v>
      </c>
      <c r="U23" s="19">
        <f>('[1]Short Spot'!U24-'[1]Short Spot'!U23)*100</f>
        <v>2.9661519108597822</v>
      </c>
      <c r="V23" s="19">
        <f>('[1]Short Spot'!V24-'[1]Short Spot'!V23)*100</f>
        <v>2.9963049529352581</v>
      </c>
      <c r="W23" s="19">
        <f>('[1]Short Spot'!W24-'[1]Short Spot'!W23)*100</f>
        <v>3.023265872751324</v>
      </c>
      <c r="X23" s="19">
        <f>('[1]Short Spot'!X24-'[1]Short Spot'!X23)*100</f>
        <v>3.0473084750010315</v>
      </c>
      <c r="Y23" s="19">
        <f>('[1]Short Spot'!Y24-'[1]Short Spot'!Y23)*100</f>
        <v>3.0686817357735485</v>
      </c>
      <c r="Z23" s="19">
        <f>('[1]Short Spot'!Z24-'[1]Short Spot'!Z23)*100</f>
        <v>3.087614546374251</v>
      </c>
      <c r="AA23" s="19">
        <f>('[1]Short Spot'!AA24-'[1]Short Spot'!AA23)*100</f>
        <v>3.1043196513664384</v>
      </c>
      <c r="AB23" s="19">
        <f>('[1]Short Spot'!AB24-'[1]Short Spot'!AB23)*100</f>
        <v>3.1189958493587966</v>
      </c>
      <c r="AC23" s="19">
        <f>('[1]Short Spot'!AC24-'[1]Short Spot'!AC23)*100</f>
        <v>3.1318237787536951</v>
      </c>
      <c r="AD23" s="19">
        <f>('[1]Short Spot'!AD24-'[1]Short Spot'!AD23)*100</f>
        <v>3.1429660006477178</v>
      </c>
      <c r="AE23" s="19">
        <f>('[1]Short Spot'!AE24-'[1]Short Spot'!AE23)*100</f>
        <v>3.1525699616355318</v>
      </c>
      <c r="AF23" s="19">
        <f>('[1]Short Spot'!AF24-'[1]Short Spot'!AF23)*100</f>
        <v>3.1607704316321872</v>
      </c>
      <c r="AG23" s="19">
        <f>('[1]Short Spot'!AG24-'[1]Short Spot'!AG23)*100</f>
        <v>3.1676914846050508</v>
      </c>
      <c r="AH23" s="19">
        <f>('[1]Short Spot'!AH24-'[1]Short Spot'!AH23)*100</f>
        <v>3.1734483463973007</v>
      </c>
      <c r="AI23" s="19">
        <f>('[1]Short Spot'!AI24-'[1]Short Spot'!AI23)*100</f>
        <v>3.1781482110757153</v>
      </c>
      <c r="AJ23" s="19">
        <f>('[1]Short Spot'!AJ24-'[1]Short Spot'!AJ23)*100</f>
        <v>3.1818883863311775</v>
      </c>
      <c r="AK23" s="19">
        <f>('[1]Short Spot'!AK24-'[1]Short Spot'!AK23)*100</f>
        <v>3.1847568322302955</v>
      </c>
      <c r="AL23" s="19">
        <f>('[1]Short Spot'!AL24-'[1]Short Spot'!AL23)*100</f>
        <v>3.1868331351475376</v>
      </c>
      <c r="AM23" s="19">
        <f>('[1]Short Spot'!AM24-'[1]Short Spot'!AM23)*100</f>
        <v>3.1881895763694601</v>
      </c>
      <c r="AN23" s="19">
        <f>('[1]Short Spot'!AN24-'[1]Short Spot'!AN23)*100</f>
        <v>3.1888920687634048</v>
      </c>
      <c r="AO23" s="19">
        <f>('[1]Short Spot'!AO24-'[1]Short Spot'!AO23)*100</f>
        <v>3.1890009528302343</v>
      </c>
      <c r="AP23" s="19">
        <f>('[1]Short Spot'!AP24-'[1]Short Spot'!AP23)*100</f>
        <v>3.1885716726643309</v>
      </c>
      <c r="AQ23" s="19">
        <f>('[1]Short Spot'!AQ24-'[1]Short Spot'!AQ23)*100</f>
        <v>3.1876550547884186</v>
      </c>
      <c r="AR23" s="19">
        <f>('[1]Short Spot'!AR24-'[1]Short Spot'!AR23)*100</f>
        <v>3.1862970918109745</v>
      </c>
      <c r="AS23" s="19">
        <f>('[1]Short Spot'!AS24-'[1]Short Spot'!AS23)*100</f>
        <v>3.1845393058097748</v>
      </c>
      <c r="AT23" s="19">
        <f>('[1]Short Spot'!AT24-'[1]Short Spot'!AT23)*100</f>
        <v>3.1824192442467591</v>
      </c>
      <c r="AU23" s="19">
        <f>('[1]Short Spot'!AU24-'[1]Short Spot'!AU23)*100</f>
        <v>3.1799709119900932</v>
      </c>
      <c r="AV23" s="19">
        <f>('[1]Short Spot'!AV24-'[1]Short Spot'!AV23)*100</f>
        <v>3.1772251612548708</v>
      </c>
      <c r="AW23" s="19">
        <f>('[1]Short Spot'!AW24-'[1]Short Spot'!AW23)*100</f>
        <v>3.1742100495752545</v>
      </c>
      <c r="AX23" s="19">
        <f>('[1]Short Spot'!AX24-'[1]Short Spot'!AX23)*100</f>
        <v>3.1709509816154835</v>
      </c>
      <c r="AY23" s="19">
        <f>('[1]Short Spot'!AY24-'[1]Short Spot'!AY23)*100</f>
        <v>3.1674709228926012</v>
      </c>
      <c r="AZ23" s="19">
        <f>('[1]Short Spot'!AZ24-'[1]Short Spot'!AZ23)*100</f>
        <v>3.163790638796371</v>
      </c>
      <c r="BA23" s="19">
        <f>('[1]Short Spot'!BA24-'[1]Short Spot'!BA23)*100</f>
        <v>3.1599289061406743</v>
      </c>
      <c r="BB23" s="19">
        <f>('[1]Short Spot'!BB24-'[1]Short Spot'!BB23)*100</f>
        <v>3.1559027007657114</v>
      </c>
      <c r="BC23" s="19">
        <f>('[1]Short Spot'!BC24-'[1]Short Spot'!BC23)*100</f>
        <v>3.1517273646122668</v>
      </c>
      <c r="BD23" s="19">
        <f>('[1]Short Spot'!BD24-'[1]Short Spot'!BD23)*100</f>
        <v>3.1474167905598982</v>
      </c>
      <c r="BE23" s="19">
        <f>('[1]Short Spot'!BE24-'[1]Short Spot'!BE23)*100</f>
        <v>3.1429835763744585</v>
      </c>
      <c r="BF23" s="19">
        <f>('[1]Short Spot'!BF24-'[1]Short Spot'!BF23)*100</f>
        <v>3.1384390672850593</v>
      </c>
      <c r="BG23" s="19">
        <f>('[1]Short Spot'!BG24-'[1]Short Spot'!BG23)*100</f>
        <v>3.133793455430034</v>
      </c>
      <c r="BH23" s="19">
        <f>('[1]Short Spot'!BH24-'[1]Short Spot'!BH23)*100</f>
        <v>3.1290558775778798</v>
      </c>
      <c r="BI23" s="19">
        <f>('[1]Short Spot'!BI24-'[1]Short Spot'!BI23)*100</f>
        <v>3.124234503073442</v>
      </c>
    </row>
    <row r="24" spans="1:61" x14ac:dyDescent="0.2">
      <c r="A24" s="18">
        <v>39115</v>
      </c>
      <c r="B24" s="19">
        <f>('[1]Short Spot'!B25-'[1]Short Spot'!B24)*100</f>
        <v>1.7382236614236213</v>
      </c>
      <c r="C24" s="19">
        <f>('[1]Short Spot'!C25-'[1]Short Spot'!C24)*100</f>
        <v>2.0917743411061451</v>
      </c>
      <c r="D24" s="19">
        <f>('[1]Short Spot'!D25-'[1]Short Spot'!D24)*100</f>
        <v>2.0574545354050677</v>
      </c>
      <c r="E24" s="19">
        <f>('[1]Short Spot'!E25-'[1]Short Spot'!E24)*100</f>
        <v>2.0364564232451698</v>
      </c>
      <c r="F24" s="19">
        <f>('[1]Short Spot'!F25-'[1]Short Spot'!F24)*100</f>
        <v>2.0365566857138973</v>
      </c>
      <c r="G24" s="19">
        <f>('[1]Short Spot'!G25-'[1]Short Spot'!G24)*100</f>
        <v>2.0454265330270616</v>
      </c>
      <c r="H24" s="19">
        <f>('[1]Short Spot'!H25-'[1]Short Spot'!H24)*100</f>
        <v>2.0494180578277899</v>
      </c>
      <c r="I24" s="19">
        <f>('[1]Short Spot'!I25-'[1]Short Spot'!I24)*100</f>
        <v>2.0380809542902334</v>
      </c>
      <c r="J24" s="19">
        <f>('[1]Short Spot'!J25-'[1]Short Spot'!J24)*100</f>
        <v>2.0111347705861427</v>
      </c>
      <c r="K24" s="19">
        <f>('[1]Short Spot'!K25-'[1]Short Spot'!K24)*100</f>
        <v>1.9739825989110393</v>
      </c>
      <c r="L24" s="19">
        <f>('[1]Short Spot'!L25-'[1]Short Spot'!L24)*100</f>
        <v>1.9313585058601923</v>
      </c>
      <c r="M24" s="19">
        <f>('[1]Short Spot'!M25-'[1]Short Spot'!M24)*100</f>
        <v>1.8849289457770091</v>
      </c>
      <c r="N24" s="19">
        <f>('[1]Short Spot'!N25-'[1]Short Spot'!N24)*100</f>
        <v>1.8359913599118372</v>
      </c>
      <c r="O24" s="19">
        <f>('[1]Short Spot'!O25-'[1]Short Spot'!O24)*100</f>
        <v>1.7858491848380176</v>
      </c>
      <c r="P24" s="19">
        <f>('[1]Short Spot'!P25-'[1]Short Spot'!P24)*100</f>
        <v>1.7354279932376038</v>
      </c>
      <c r="Q24" s="19">
        <f>('[1]Short Spot'!Q25-'[1]Short Spot'!Q24)*100</f>
        <v>1.6854160707976185</v>
      </c>
      <c r="R24" s="19">
        <f>('[1]Short Spot'!R25-'[1]Short Spot'!R24)*100</f>
        <v>1.636276545154125</v>
      </c>
      <c r="S24" s="19">
        <f>('[1]Short Spot'!S25-'[1]Short Spot'!S24)*100</f>
        <v>1.5883095871365605</v>
      </c>
      <c r="T24" s="19">
        <f>('[1]Short Spot'!T25-'[1]Short Spot'!T24)*100</f>
        <v>1.5416952941392559</v>
      </c>
      <c r="U24" s="19">
        <f>('[1]Short Spot'!U25-'[1]Short Spot'!U24)*100</f>
        <v>1.4965237084791916</v>
      </c>
      <c r="V24" s="19">
        <f>('[1]Short Spot'!V25-'[1]Short Spot'!V24)*100</f>
        <v>1.4528183972743136</v>
      </c>
      <c r="W24" s="19">
        <f>('[1]Short Spot'!W25-'[1]Short Spot'!W24)*100</f>
        <v>1.4105768018635167</v>
      </c>
      <c r="X24" s="19">
        <f>('[1]Short Spot'!X25-'[1]Short Spot'!X24)*100</f>
        <v>1.3697732179905664</v>
      </c>
      <c r="Y24" s="19">
        <f>('[1]Short Spot'!Y25-'[1]Short Spot'!Y24)*100</f>
        <v>1.3303492866699074</v>
      </c>
      <c r="Z24" s="19">
        <f>('[1]Short Spot'!Z25-'[1]Short Spot'!Z24)*100</f>
        <v>1.2922202283134787</v>
      </c>
      <c r="AA24" s="19">
        <f>('[1]Short Spot'!AA25-'[1]Short Spot'!AA24)*100</f>
        <v>1.2552807603733562</v>
      </c>
      <c r="AB24" s="19">
        <f>('[1]Short Spot'!AB25-'[1]Short Spot'!AB24)*100</f>
        <v>1.2194230603980394</v>
      </c>
      <c r="AC24" s="19">
        <f>('[1]Short Spot'!AC25-'[1]Short Spot'!AC24)*100</f>
        <v>1.1845509592218306</v>
      </c>
      <c r="AD24" s="19">
        <f>('[1]Short Spot'!AD25-'[1]Short Spot'!AD24)*100</f>
        <v>1.1505772996440733</v>
      </c>
      <c r="AE24" s="19">
        <f>('[1]Short Spot'!AE25-'[1]Short Spot'!AE24)*100</f>
        <v>1.1174223765053171</v>
      </c>
      <c r="AF24" s="19">
        <f>('[1]Short Spot'!AF25-'[1]Short Spot'!AF24)*100</f>
        <v>1.085012734747437</v>
      </c>
      <c r="AG24" s="19">
        <f>('[1]Short Spot'!AG25-'[1]Short Spot'!AG24)*100</f>
        <v>1.0532801929527658</v>
      </c>
      <c r="AH24" s="19">
        <f>('[1]Short Spot'!AH25-'[1]Short Spot'!AH24)*100</f>
        <v>1.0221625819276881</v>
      </c>
      <c r="AI24" s="19">
        <f>('[1]Short Spot'!AI25-'[1]Short Spot'!AI24)*100</f>
        <v>0.99160805404094887</v>
      </c>
      <c r="AJ24" s="19">
        <f>('[1]Short Spot'!AJ25-'[1]Short Spot'!AJ24)*100</f>
        <v>0.96157147921962505</v>
      </c>
      <c r="AK24" s="19">
        <f>('[1]Short Spot'!AK25-'[1]Short Spot'!AK24)*100</f>
        <v>0.93201286558635132</v>
      </c>
      <c r="AL24" s="19">
        <f>('[1]Short Spot'!AL25-'[1]Short Spot'!AL24)*100</f>
        <v>0.90289734319179971</v>
      </c>
      <c r="AM24" s="19">
        <f>('[1]Short Spot'!AM25-'[1]Short Spot'!AM24)*100</f>
        <v>0.87419464063058783</v>
      </c>
      <c r="AN24" s="19">
        <f>('[1]Short Spot'!AN25-'[1]Short Spot'!AN24)*100</f>
        <v>0.84587849586581498</v>
      </c>
      <c r="AO24" s="19">
        <f>('[1]Short Spot'!AO25-'[1]Short Spot'!AO24)*100</f>
        <v>0.81792615505946742</v>
      </c>
      <c r="AP24" s="19">
        <f>('[1]Short Spot'!AP25-'[1]Short Spot'!AP24)*100</f>
        <v>0.79031798958855148</v>
      </c>
      <c r="AQ24" s="19">
        <f>('[1]Short Spot'!AQ25-'[1]Short Spot'!AQ24)*100</f>
        <v>0.76303744537913332</v>
      </c>
      <c r="AR24" s="19">
        <f>('[1]Short Spot'!AR25-'[1]Short Spot'!AR24)*100</f>
        <v>0.73607061103251326</v>
      </c>
      <c r="AS24" s="19">
        <f>('[1]Short Spot'!AS25-'[1]Short Spot'!AS24)*100</f>
        <v>0.7094058005163717</v>
      </c>
      <c r="AT24" s="19">
        <f>('[1]Short Spot'!AT25-'[1]Short Spot'!AT24)*100</f>
        <v>0.68303330524610573</v>
      </c>
      <c r="AU24" s="19">
        <f>('[1]Short Spot'!AU25-'[1]Short Spot'!AU24)*100</f>
        <v>0.65694517914502981</v>
      </c>
      <c r="AV24" s="19">
        <f>('[1]Short Spot'!AV25-'[1]Short Spot'!AV24)*100</f>
        <v>0.63113509494145958</v>
      </c>
      <c r="AW24" s="19">
        <f>('[1]Short Spot'!AW25-'[1]Short Spot'!AW24)*100</f>
        <v>0.60559822060683999</v>
      </c>
      <c r="AX24" s="19">
        <f>('[1]Short Spot'!AX25-'[1]Short Spot'!AX24)*100</f>
        <v>0.58033063220648273</v>
      </c>
      <c r="AY24" s="19">
        <f>('[1]Short Spot'!AY25-'[1]Short Spot'!AY24)*100</f>
        <v>0.555329099650681</v>
      </c>
      <c r="AZ24" s="19">
        <f>('[1]Short Spot'!AZ25-'[1]Short Spot'!AZ24)*100</f>
        <v>0.5305910185910534</v>
      </c>
      <c r="BA24" s="19">
        <f>('[1]Short Spot'!BA25-'[1]Short Spot'!BA24)*100</f>
        <v>0.50611435025311735</v>
      </c>
      <c r="BB24" s="19">
        <f>('[1]Short Spot'!BB25-'[1]Short Spot'!BB24)*100</f>
        <v>0.481897568079237</v>
      </c>
      <c r="BC24" s="19">
        <f>('[1]Short Spot'!BC25-'[1]Short Spot'!BC24)*100</f>
        <v>0.45793961216906709</v>
      </c>
      <c r="BD24" s="19">
        <f>('[1]Short Spot'!BD25-'[1]Short Spot'!BD24)*100</f>
        <v>0.43423995122786607</v>
      </c>
      <c r="BE24" s="19">
        <f>('[1]Short Spot'!BE25-'[1]Short Spot'!BE24)*100</f>
        <v>0.41079851132632683</v>
      </c>
      <c r="BF24" s="19">
        <f>('[1]Short Spot'!BF25-'[1]Short Spot'!BF24)*100</f>
        <v>0.3876154011165589</v>
      </c>
      <c r="BG24" s="19">
        <f>('[1]Short Spot'!BG25-'[1]Short Spot'!BG24)*100</f>
        <v>0.36469087608024253</v>
      </c>
      <c r="BH24" s="19">
        <f>('[1]Short Spot'!BH25-'[1]Short Spot'!BH24)*100</f>
        <v>0.34202532608427205</v>
      </c>
      <c r="BI24" s="19">
        <f>('[1]Short Spot'!BI25-'[1]Short Spot'!BI24)*100</f>
        <v>0.31961926418349051</v>
      </c>
    </row>
    <row r="25" spans="1:61" x14ac:dyDescent="0.2">
      <c r="A25" s="18">
        <v>39118</v>
      </c>
      <c r="B25" s="19">
        <f>('[1]Short Spot'!B26-'[1]Short Spot'!B25)*100</f>
        <v>1.3601267679092643</v>
      </c>
      <c r="C25" s="19">
        <f>('[1]Short Spot'!C26-'[1]Short Spot'!C25)*100</f>
        <v>1.1252998006208159</v>
      </c>
      <c r="D25" s="19">
        <f>('[1]Short Spot'!D26-'[1]Short Spot'!D25)*100</f>
        <v>0.77289652160867917</v>
      </c>
      <c r="E25" s="19">
        <f>('[1]Short Spot'!E26-'[1]Short Spot'!E25)*100</f>
        <v>0.46895918070015696</v>
      </c>
      <c r="F25" s="19">
        <f>('[1]Short Spot'!F26-'[1]Short Spot'!F25)*100</f>
        <v>0.24125939439754163</v>
      </c>
      <c r="G25" s="19">
        <f>('[1]Short Spot'!G26-'[1]Short Spot'!G25)*100</f>
        <v>8.9747602289502737E-2</v>
      </c>
      <c r="H25" s="19">
        <f>('[1]Short Spot'!H26-'[1]Short Spot'!H25)*100</f>
        <v>1.0392955084093103E-3</v>
      </c>
      <c r="I25" s="19">
        <f>('[1]Short Spot'!I26-'[1]Short Spot'!I25)*100</f>
        <v>-4.4435308229306969E-2</v>
      </c>
      <c r="J25" s="19">
        <f>('[1]Short Spot'!J26-'[1]Short Spot'!J25)*100</f>
        <v>-5.9744301838904335E-2</v>
      </c>
      <c r="K25" s="19">
        <f>('[1]Short Spot'!K26-'[1]Short Spot'!K25)*100</f>
        <v>-5.3681996270515953E-2</v>
      </c>
      <c r="L25" s="19">
        <f>('[1]Short Spot'!L26-'[1]Short Spot'!L25)*100</f>
        <v>-3.2815118914530927E-2</v>
      </c>
      <c r="M25" s="19">
        <f>('[1]Short Spot'!M26-'[1]Short Spot'!M25)*100</f>
        <v>-2.0896931419933651E-3</v>
      </c>
      <c r="N25" s="19">
        <f>('[1]Short Spot'!N26-'[1]Short Spot'!N25)*100</f>
        <v>3.5073242927552428E-2</v>
      </c>
      <c r="O25" s="19">
        <f>('[1]Short Spot'!O26-'[1]Short Spot'!O25)*100</f>
        <v>7.5714643247160041E-2</v>
      </c>
      <c r="P25" s="19">
        <f>('[1]Short Spot'!P26-'[1]Short Spot'!P25)*100</f>
        <v>0.11755259106838167</v>
      </c>
      <c r="Q25" s="19">
        <f>('[1]Short Spot'!Q26-'[1]Short Spot'!Q25)*100</f>
        <v>0.15898872835595768</v>
      </c>
      <c r="R25" s="19">
        <f>('[1]Short Spot'!R26-'[1]Short Spot'!R25)*100</f>
        <v>0.19889406600839266</v>
      </c>
      <c r="S25" s="19">
        <f>('[1]Short Spot'!S26-'[1]Short Spot'!S25)*100</f>
        <v>0.23647857322881549</v>
      </c>
      <c r="T25" s="19">
        <f>('[1]Short Spot'!T26-'[1]Short Spot'!T25)*100</f>
        <v>0.27120197797154688</v>
      </c>
      <c r="U25" s="19">
        <f>('[1]Short Spot'!U26-'[1]Short Spot'!U25)*100</f>
        <v>0.30271132725365746</v>
      </c>
      <c r="V25" s="19">
        <f>('[1]Short Spot'!V26-'[1]Short Spot'!V25)*100</f>
        <v>0.33079717794040064</v>
      </c>
      <c r="W25" s="19">
        <f>('[1]Short Spot'!W26-'[1]Short Spot'!W25)*100</f>
        <v>0.35536538343432511</v>
      </c>
      <c r="X25" s="19">
        <f>('[1]Short Spot'!X26-'[1]Short Spot'!X25)*100</f>
        <v>0.37640216828584983</v>
      </c>
      <c r="Y25" s="19">
        <f>('[1]Short Spot'!Y26-'[1]Short Spot'!Y25)*100</f>
        <v>0.39395160076383107</v>
      </c>
      <c r="Z25" s="19">
        <f>('[1]Short Spot'!Z26-'[1]Short Spot'!Z25)*100</f>
        <v>0.40810396739470178</v>
      </c>
      <c r="AA25" s="19">
        <f>('[1]Short Spot'!AA26-'[1]Short Spot'!AA25)*100</f>
        <v>0.41898683034657935</v>
      </c>
      <c r="AB25" s="19">
        <f>('[1]Short Spot'!AB26-'[1]Short Spot'!AB25)*100</f>
        <v>0.42675193261603184</v>
      </c>
      <c r="AC25" s="19">
        <f>('[1]Short Spot'!AC26-'[1]Short Spot'!AC25)*100</f>
        <v>0.43155506458019133</v>
      </c>
      <c r="AD25" s="19">
        <f>('[1]Short Spot'!AD26-'[1]Short Spot'!AD25)*100</f>
        <v>0.43355137787939313</v>
      </c>
      <c r="AE25" s="19">
        <f>('[1]Short Spot'!AE26-'[1]Short Spot'!AE25)*100</f>
        <v>0.43289547298144271</v>
      </c>
      <c r="AF25" s="19">
        <f>('[1]Short Spot'!AF26-'[1]Short Spot'!AF25)*100</f>
        <v>0.4297414880783279</v>
      </c>
      <c r="AG25" s="19">
        <f>('[1]Short Spot'!AG26-'[1]Short Spot'!AG25)*100</f>
        <v>0.42424317164320158</v>
      </c>
      <c r="AH25" s="19">
        <f>('[1]Short Spot'!AH26-'[1]Short Spot'!AH25)*100</f>
        <v>0.41655396731954397</v>
      </c>
      <c r="AI25" s="19">
        <f>('[1]Short Spot'!AI26-'[1]Short Spot'!AI25)*100</f>
        <v>0.40682398409392917</v>
      </c>
      <c r="AJ25" s="19">
        <f>('[1]Short Spot'!AJ26-'[1]Short Spot'!AJ25)*100</f>
        <v>0.39519588656427018</v>
      </c>
      <c r="AK25" s="19">
        <f>('[1]Short Spot'!AK26-'[1]Short Spot'!AK25)*100</f>
        <v>0.3818039316989541</v>
      </c>
      <c r="AL25" s="19">
        <f>('[1]Short Spot'!AL26-'[1]Short Spot'!AL25)*100</f>
        <v>0.36677325510332537</v>
      </c>
      <c r="AM25" s="19">
        <f>('[1]Short Spot'!AM26-'[1]Short Spot'!AM25)*100</f>
        <v>0.35022084992348823</v>
      </c>
      <c r="AN25" s="19">
        <f>('[1]Short Spot'!AN26-'[1]Short Spot'!AN25)*100</f>
        <v>0.33225661074176571</v>
      </c>
      <c r="AO25" s="19">
        <f>('[1]Short Spot'!AO26-'[1]Short Spot'!AO25)*100</f>
        <v>0.31298422089562905</v>
      </c>
      <c r="AP25" s="19">
        <f>('[1]Short Spot'!AP26-'[1]Short Spot'!AP25)*100</f>
        <v>0.29250186708411618</v>
      </c>
      <c r="AQ25" s="19">
        <f>('[1]Short Spot'!AQ26-'[1]Short Spot'!AQ25)*100</f>
        <v>0.2709020397894335</v>
      </c>
      <c r="AR25" s="19">
        <f>('[1]Short Spot'!AR26-'[1]Short Spot'!AR25)*100</f>
        <v>0.24827093192749672</v>
      </c>
      <c r="AS25" s="19">
        <f>('[1]Short Spot'!AS26-'[1]Short Spot'!AS25)*100</f>
        <v>0.22468896671830052</v>
      </c>
      <c r="AT25" s="19">
        <f>('[1]Short Spot'!AT26-'[1]Short Spot'!AT25)*100</f>
        <v>0.20023143867691218</v>
      </c>
      <c r="AU25" s="19">
        <f>('[1]Short Spot'!AU26-'[1]Short Spot'!AU25)*100</f>
        <v>0.17496907108176529</v>
      </c>
      <c r="AV25" s="19">
        <f>('[1]Short Spot'!AV26-'[1]Short Spot'!AV25)*100</f>
        <v>0.14896851812435941</v>
      </c>
      <c r="AW25" s="19">
        <f>('[1]Short Spot'!AW26-'[1]Short Spot'!AW25)*100</f>
        <v>0.12229278803586041</v>
      </c>
      <c r="AX25" s="19">
        <f>('[1]Short Spot'!AX26-'[1]Short Spot'!AX25)*100</f>
        <v>9.5001471861522191E-2</v>
      </c>
      <c r="AY25" s="19">
        <f>('[1]Short Spot'!AY26-'[1]Short Spot'!AY25)*100</f>
        <v>6.715105327641524E-2</v>
      </c>
      <c r="AZ25" s="19">
        <f>('[1]Short Spot'!AZ26-'[1]Short Spot'!AZ25)*100</f>
        <v>3.8795213229469994E-2</v>
      </c>
      <c r="BA25" s="19">
        <f>('[1]Short Spot'!BA26-'[1]Short Spot'!BA25)*100</f>
        <v>9.9850994362604695E-3</v>
      </c>
      <c r="BB25" s="19">
        <f>('[1]Short Spot'!BB26-'[1]Short Spot'!BB25)*100</f>
        <v>-1.9230434636607896E-2</v>
      </c>
      <c r="BC25" s="19">
        <f>('[1]Short Spot'!BC26-'[1]Short Spot'!BC25)*100</f>
        <v>-4.8804616591180405E-2</v>
      </c>
      <c r="BD25" s="19">
        <f>('[1]Short Spot'!BD26-'[1]Short Spot'!BD25)*100</f>
        <v>-7.8692570883376334E-2</v>
      </c>
      <c r="BE25" s="19">
        <f>('[1]Short Spot'!BE26-'[1]Short Spot'!BE25)*100</f>
        <v>-0.10885132511821993</v>
      </c>
      <c r="BF25" s="19">
        <f>('[1]Short Spot'!BF26-'[1]Short Spot'!BF25)*100</f>
        <v>-0.1392397794582223</v>
      </c>
      <c r="BG25" s="19">
        <f>('[1]Short Spot'!BG26-'[1]Short Spot'!BG25)*100</f>
        <v>-0.16981855129589718</v>
      </c>
      <c r="BH25" s="19">
        <f>('[1]Short Spot'!BH26-'[1]Short Spot'!BH25)*100</f>
        <v>-0.20054982972359525</v>
      </c>
      <c r="BI25" s="19">
        <f>('[1]Short Spot'!BI26-'[1]Short Spot'!BI25)*100</f>
        <v>-0.23139724456164856</v>
      </c>
    </row>
    <row r="26" spans="1:61" x14ac:dyDescent="0.2">
      <c r="A26" s="18">
        <v>39119</v>
      </c>
      <c r="B26" s="19">
        <f>('[1]Short Spot'!B27-'[1]Short Spot'!B26)*100</f>
        <v>1.2081513895461526</v>
      </c>
      <c r="C26" s="19">
        <f>('[1]Short Spot'!C27-'[1]Short Spot'!C26)*100</f>
        <v>1.1476751157006859</v>
      </c>
      <c r="D26" s="19">
        <f>('[1]Short Spot'!D27-'[1]Short Spot'!D26)*100</f>
        <v>1.2440296412843388</v>
      </c>
      <c r="E26" s="19">
        <f>('[1]Short Spot'!E27-'[1]Short Spot'!E26)*100</f>
        <v>1.3348879762012267</v>
      </c>
      <c r="F26" s="19">
        <f>('[1]Short Spot'!F27-'[1]Short Spot'!F26)*100</f>
        <v>1.4075630438322939</v>
      </c>
      <c r="G26" s="19">
        <f>('[1]Short Spot'!G27-'[1]Short Spot'!G26)*100</f>
        <v>1.4522246915761983</v>
      </c>
      <c r="H26" s="19">
        <f>('[1]Short Spot'!H27-'[1]Short Spot'!H26)*100</f>
        <v>1.4640202341615449</v>
      </c>
      <c r="I26" s="19">
        <f>('[1]Short Spot'!I27-'[1]Short Spot'!I26)*100</f>
        <v>1.4463893872068034</v>
      </c>
      <c r="J26" s="19">
        <f>('[1]Short Spot'!J27-'[1]Short Spot'!J26)*100</f>
        <v>1.405074971619058</v>
      </c>
      <c r="K26" s="19">
        <f>('[1]Short Spot'!K27-'[1]Short Spot'!K26)*100</f>
        <v>1.3465728870748706</v>
      </c>
      <c r="L26" s="19">
        <f>('[1]Short Spot'!L27-'[1]Short Spot'!L26)*100</f>
        <v>1.276752632457967</v>
      </c>
      <c r="M26" s="19">
        <f>('[1]Short Spot'!M27-'[1]Short Spot'!M26)*100</f>
        <v>1.2000532591819102</v>
      </c>
      <c r="N26" s="19">
        <f>('[1]Short Spot'!N27-'[1]Short Spot'!N26)*100</f>
        <v>1.1199771522661273</v>
      </c>
      <c r="O26" s="19">
        <f>('[1]Short Spot'!O27-'[1]Short Spot'!O26)*100</f>
        <v>1.0391153388940033</v>
      </c>
      <c r="P26" s="19">
        <f>('[1]Short Spot'!P27-'[1]Short Spot'!P26)*100</f>
        <v>0.9592732919752045</v>
      </c>
      <c r="Q26" s="19">
        <f>('[1]Short Spot'!Q27-'[1]Short Spot'!Q26)*100</f>
        <v>0.88169325287310585</v>
      </c>
      <c r="R26" s="19">
        <f>('[1]Short Spot'!R27-'[1]Short Spot'!R26)*100</f>
        <v>0.80719581353863035</v>
      </c>
      <c r="S26" s="19">
        <f>('[1]Short Spot'!S27-'[1]Short Spot'!S26)*100</f>
        <v>0.73629702958877274</v>
      </c>
      <c r="T26" s="19">
        <f>('[1]Short Spot'!T27-'[1]Short Spot'!T26)*100</f>
        <v>0.66928856144716775</v>
      </c>
      <c r="U26" s="19">
        <f>('[1]Short Spot'!U27-'[1]Short Spot'!U26)*100</f>
        <v>0.60629377314214139</v>
      </c>
      <c r="V26" s="19">
        <f>('[1]Short Spot'!V27-'[1]Short Spot'!V26)*100</f>
        <v>0.54730944866498987</v>
      </c>
      <c r="W26" s="19">
        <f>('[1]Short Spot'!W27-'[1]Short Spot'!W26)*100</f>
        <v>0.4922562947763609</v>
      </c>
      <c r="X26" s="19">
        <f>('[1]Short Spot'!X27-'[1]Short Spot'!X26)*100</f>
        <v>0.44101394750928335</v>
      </c>
      <c r="Y26" s="19">
        <f>('[1]Short Spot'!Y27-'[1]Short Spot'!Y26)*100</f>
        <v>0.39342908200898918</v>
      </c>
      <c r="Z26" s="19">
        <f>('[1]Short Spot'!Z27-'[1]Short Spot'!Z26)*100</f>
        <v>0.349321973039185</v>
      </c>
      <c r="AA26" s="19">
        <f>('[1]Short Spot'!AA27-'[1]Short Spot'!AA26)*100</f>
        <v>0.30849229003031553</v>
      </c>
      <c r="AB26" s="19">
        <f>('[1]Short Spot'!AB27-'[1]Short Spot'!AB26)*100</f>
        <v>0.27073461231807983</v>
      </c>
      <c r="AC26" s="19">
        <f>('[1]Short Spot'!AC27-'[1]Short Spot'!AC26)*100</f>
        <v>0.23585367974856553</v>
      </c>
      <c r="AD26" s="19">
        <f>('[1]Short Spot'!AD27-'[1]Short Spot'!AD26)*100</f>
        <v>0.20366412234915643</v>
      </c>
      <c r="AE26" s="19">
        <f>('[1]Short Spot'!AE27-'[1]Short Spot'!AE26)*100</f>
        <v>0.17398880699257546</v>
      </c>
      <c r="AF26" s="19">
        <f>('[1]Short Spot'!AF27-'[1]Short Spot'!AF26)*100</f>
        <v>0.14665750887337126</v>
      </c>
      <c r="AG26" s="19">
        <f>('[1]Short Spot'!AG27-'[1]Short Spot'!AG26)*100</f>
        <v>0.12150583306116403</v>
      </c>
      <c r="AH26" s="19">
        <f>('[1]Short Spot'!AH27-'[1]Short Spot'!AH26)*100</f>
        <v>9.8375477442935733E-2</v>
      </c>
      <c r="AI26" s="19">
        <f>('[1]Short Spot'!AI27-'[1]Short Spot'!AI26)*100</f>
        <v>7.7118559228761541E-2</v>
      </c>
      <c r="AJ26" s="19">
        <f>('[1]Short Spot'!AJ27-'[1]Short Spot'!AJ26)*100</f>
        <v>5.7598045129925168E-2</v>
      </c>
      <c r="AK26" s="19">
        <f>('[1]Short Spot'!AK27-'[1]Short Spot'!AK26)*100</f>
        <v>3.968688644313545E-2</v>
      </c>
      <c r="AL26" s="19">
        <f>('[1]Short Spot'!AL27-'[1]Short Spot'!AL26)*100</f>
        <v>2.3267678264282665E-2</v>
      </c>
      <c r="AM26" s="19">
        <f>('[1]Short Spot'!AM27-'[1]Short Spot'!AM26)*100</f>
        <v>8.23153342608407E-3</v>
      </c>
      <c r="AN26" s="19">
        <f>('[1]Short Spot'!AN27-'[1]Short Spot'!AN26)*100</f>
        <v>-5.5230094838876198E-3</v>
      </c>
      <c r="AO26" s="19">
        <f>('[1]Short Spot'!AO27-'[1]Short Spot'!AO26)*100</f>
        <v>-1.809091434141763E-2</v>
      </c>
      <c r="AP26" s="19">
        <f>('[1]Short Spot'!AP27-'[1]Short Spot'!AP26)*100</f>
        <v>-2.9561368916652953E-2</v>
      </c>
      <c r="AQ26" s="19">
        <f>('[1]Short Spot'!AQ27-'[1]Short Spot'!AQ26)*100</f>
        <v>-4.001758148186596E-2</v>
      </c>
      <c r="AR26" s="19">
        <f>('[1]Short Spot'!AR27-'[1]Short Spot'!AR26)*100</f>
        <v>-4.953651202210807E-2</v>
      </c>
      <c r="AS26" s="19">
        <f>('[1]Short Spot'!AS27-'[1]Short Spot'!AS26)*100</f>
        <v>-5.8189486410231694E-2</v>
      </c>
      <c r="AT26" s="19">
        <f>('[1]Short Spot'!AT27-'[1]Short Spot'!AT26)*100</f>
        <v>-6.6042822430922854E-2</v>
      </c>
      <c r="AU26" s="19">
        <f>('[1]Short Spot'!AU27-'[1]Short Spot'!AU26)*100</f>
        <v>-7.3158374137349824E-2</v>
      </c>
      <c r="AV26" s="19">
        <f>('[1]Short Spot'!AV27-'[1]Short Spot'!AV26)*100</f>
        <v>-7.959395687668902E-2</v>
      </c>
      <c r="AW26" s="19">
        <f>('[1]Short Spot'!AW27-'[1]Short Spot'!AW26)*100</f>
        <v>-8.54034379266011E-2</v>
      </c>
      <c r="AX26" s="19">
        <f>('[1]Short Spot'!AX27-'[1]Short Spot'!AX26)*100</f>
        <v>-9.0636963796608683E-2</v>
      </c>
      <c r="AY26" s="19">
        <f>('[1]Short Spot'!AY27-'[1]Short Spot'!AY26)*100</f>
        <v>-9.5341333762188896E-2</v>
      </c>
      <c r="AZ26" s="19">
        <f>('[1]Short Spot'!AZ27-'[1]Short Spot'!AZ26)*100</f>
        <v>-9.9560328025471989E-2</v>
      </c>
      <c r="BA26" s="19">
        <f>('[1]Short Spot'!BA27-'[1]Short Spot'!BA26)*100</f>
        <v>-0.10333499801085111</v>
      </c>
      <c r="BB26" s="19">
        <f>('[1]Short Spot'!BB27-'[1]Short Spot'!BB26)*100</f>
        <v>-0.10670392379674709</v>
      </c>
      <c r="BC26" s="19">
        <f>('[1]Short Spot'!BC27-'[1]Short Spot'!BC26)*100</f>
        <v>-0.10970344084801908</v>
      </c>
      <c r="BD26" s="19">
        <f>('[1]Short Spot'!BD27-'[1]Short Spot'!BD26)*100</f>
        <v>-0.11236770699927234</v>
      </c>
      <c r="BE26" s="19">
        <f>('[1]Short Spot'!BE27-'[1]Short Spot'!BE26)*100</f>
        <v>-0.11472855937668669</v>
      </c>
      <c r="BF26" s="19">
        <f>('[1]Short Spot'!BF27-'[1]Short Spot'!BF26)*100</f>
        <v>-0.11681564460399585</v>
      </c>
      <c r="BG26" s="19">
        <f>('[1]Short Spot'!BG27-'[1]Short Spot'!BG26)*100</f>
        <v>-0.11865660869103678</v>
      </c>
      <c r="BH26" s="19">
        <f>('[1]Short Spot'!BH27-'[1]Short Spot'!BH26)*100</f>
        <v>-0.12027726657821702</v>
      </c>
      <c r="BI26" s="19">
        <f>('[1]Short Spot'!BI27-'[1]Short Spot'!BI26)*100</f>
        <v>-0.12170175472405731</v>
      </c>
    </row>
    <row r="27" spans="1:61" x14ac:dyDescent="0.2">
      <c r="A27" s="18">
        <v>39120</v>
      </c>
      <c r="B27" s="19">
        <f>('[1]Short Spot'!B28-'[1]Short Spot'!B27)*100</f>
        <v>-0.88720518849534358</v>
      </c>
      <c r="C27" s="19">
        <f>('[1]Short Spot'!C28-'[1]Short Spot'!C27)*100</f>
        <v>-0.26257573072046014</v>
      </c>
      <c r="D27" s="19">
        <f>('[1]Short Spot'!D28-'[1]Short Spot'!D27)*100</f>
        <v>2.96751145465457E-2</v>
      </c>
      <c r="E27" s="19">
        <f>('[1]Short Spot'!E28-'[1]Short Spot'!E27)*100</f>
        <v>0.1283469103371182</v>
      </c>
      <c r="F27" s="19">
        <f>('[1]Short Spot'!F28-'[1]Short Spot'!F27)*100</f>
        <v>8.5792292652975277E-2</v>
      </c>
      <c r="G27" s="19">
        <f>('[1]Short Spot'!G28-'[1]Short Spot'!G27)*100</f>
        <v>-6.5736591733944749E-2</v>
      </c>
      <c r="H27" s="19">
        <f>('[1]Short Spot'!H28-'[1]Short Spot'!H27)*100</f>
        <v>-0.28977503516820491</v>
      </c>
      <c r="I27" s="19">
        <f>('[1]Short Spot'!I28-'[1]Short Spot'!I27)*100</f>
        <v>-0.5502147868326368</v>
      </c>
      <c r="J27" s="19">
        <f>('[1]Short Spot'!J28-'[1]Short Spot'!J27)*100</f>
        <v>-0.82332643959457386</v>
      </c>
      <c r="K27" s="19">
        <f>('[1]Short Spot'!K28-'[1]Short Spot'!K27)*100</f>
        <v>-1.0928364026224102</v>
      </c>
      <c r="L27" s="19">
        <f>('[1]Short Spot'!L28-'[1]Short Spot'!L27)*100</f>
        <v>-1.3489747459761503</v>
      </c>
      <c r="M27" s="19">
        <f>('[1]Short Spot'!M28-'[1]Short Spot'!M27)*100</f>
        <v>-1.5869597717230732</v>
      </c>
      <c r="N27" s="19">
        <f>('[1]Short Spot'!N28-'[1]Short Spot'!N27)*100</f>
        <v>-1.8042823704540467</v>
      </c>
      <c r="O27" s="19">
        <f>('[1]Short Spot'!O28-'[1]Short Spot'!O27)*100</f>
        <v>-2.000635460960698</v>
      </c>
      <c r="P27" s="19">
        <f>('[1]Short Spot'!P28-'[1]Short Spot'!P27)*100</f>
        <v>-2.1770584487994959</v>
      </c>
      <c r="Q27" s="19">
        <f>('[1]Short Spot'!Q28-'[1]Short Spot'!Q27)*100</f>
        <v>-2.33475783298287</v>
      </c>
      <c r="R27" s="19">
        <f>('[1]Short Spot'!R28-'[1]Short Spot'!R27)*100</f>
        <v>-2.4750036807302145</v>
      </c>
      <c r="S27" s="19">
        <f>('[1]Short Spot'!S28-'[1]Short Spot'!S27)*100</f>
        <v>-2.5991119720806033</v>
      </c>
      <c r="T27" s="19">
        <f>('[1]Short Spot'!T28-'[1]Short Spot'!T27)*100</f>
        <v>-2.708432517572934</v>
      </c>
      <c r="U27" s="19">
        <f>('[1]Short Spot'!U28-'[1]Short Spot'!U27)*100</f>
        <v>-2.804340500619773</v>
      </c>
      <c r="V27" s="19">
        <f>('[1]Short Spot'!V28-'[1]Short Spot'!V27)*100</f>
        <v>-2.8882255641292431</v>
      </c>
      <c r="W27" s="19">
        <f>('[1]Short Spot'!W28-'[1]Short Spot'!W27)*100</f>
        <v>-2.96140724122953</v>
      </c>
      <c r="X27" s="19">
        <f>('[1]Short Spot'!X28-'[1]Short Spot'!X27)*100</f>
        <v>-3.0250455808887189</v>
      </c>
      <c r="Y27" s="19">
        <f>('[1]Short Spot'!Y28-'[1]Short Spot'!Y27)*100</f>
        <v>-3.080161745280563</v>
      </c>
      <c r="Z27" s="19">
        <f>('[1]Short Spot'!Z28-'[1]Short Spot'!Z27)*100</f>
        <v>-3.1276657994702362</v>
      </c>
      <c r="AA27" s="19">
        <f>('[1]Short Spot'!AA28-'[1]Short Spot'!AA27)*100</f>
        <v>-3.1683770829419977</v>
      </c>
      <c r="AB27" s="19">
        <f>('[1]Short Spot'!AB28-'[1]Short Spot'!AB27)*100</f>
        <v>-3.2030268089230596</v>
      </c>
      <c r="AC27" s="19">
        <f>('[1]Short Spot'!AC28-'[1]Short Spot'!AC27)*100</f>
        <v>-3.2322580680071766</v>
      </c>
      <c r="AD27" s="19">
        <f>('[1]Short Spot'!AD28-'[1]Short Spot'!AD27)*100</f>
        <v>-3.2566396628824101</v>
      </c>
      <c r="AE27" s="19">
        <f>('[1]Short Spot'!AE28-'[1]Short Spot'!AE27)*100</f>
        <v>-3.2766784943042637</v>
      </c>
      <c r="AF27" s="19">
        <f>('[1]Short Spot'!AF28-'[1]Short Spot'!AF27)*100</f>
        <v>-3.2928295452780532</v>
      </c>
      <c r="AG27" s="19">
        <f>('[1]Short Spot'!AG28-'[1]Short Spot'!AG27)*100</f>
        <v>-3.3055039908348682</v>
      </c>
      <c r="AH27" s="19">
        <f>('[1]Short Spot'!AH28-'[1]Short Spot'!AH27)*100</f>
        <v>-3.3150741632284486</v>
      </c>
      <c r="AI27" s="19">
        <f>('[1]Short Spot'!AI28-'[1]Short Spot'!AI27)*100</f>
        <v>-3.3218716997843067</v>
      </c>
      <c r="AJ27" s="19">
        <f>('[1]Short Spot'!AJ28-'[1]Short Spot'!AJ27)*100</f>
        <v>-3.326190347609792</v>
      </c>
      <c r="AK27" s="19">
        <f>('[1]Short Spot'!AK28-'[1]Short Spot'!AK27)*100</f>
        <v>-3.3282914688919973</v>
      </c>
      <c r="AL27" s="19">
        <f>('[1]Short Spot'!AL28-'[1]Short Spot'!AL27)*100</f>
        <v>-3.3284085600874924</v>
      </c>
      <c r="AM27" s="19">
        <f>('[1]Short Spot'!AM28-'[1]Short Spot'!AM27)*100</f>
        <v>-3.3267509171571064</v>
      </c>
      <c r="AN27" s="19">
        <f>('[1]Short Spot'!AN28-'[1]Short Spot'!AN27)*100</f>
        <v>-3.323506738187465</v>
      </c>
      <c r="AO27" s="19">
        <f>('[1]Short Spot'!AO28-'[1]Short Spot'!AO27)*100</f>
        <v>-3.318845760625333</v>
      </c>
      <c r="AP27" s="19">
        <f>('[1]Short Spot'!AP28-'[1]Short Spot'!AP27)*100</f>
        <v>-3.3129214350592129</v>
      </c>
      <c r="AQ27" s="19">
        <f>('[1]Short Spot'!AQ28-'[1]Short Spot'!AQ27)*100</f>
        <v>-3.3058720680499754</v>
      </c>
      <c r="AR27" s="19">
        <f>('[1]Short Spot'!AR28-'[1]Short Spot'!AR27)*100</f>
        <v>-3.2978218635339118</v>
      </c>
      <c r="AS27" s="19">
        <f>('[1]Short Spot'!AS28-'[1]Short Spot'!AS27)*100</f>
        <v>-3.2888824733437794</v>
      </c>
      <c r="AT27" s="19">
        <f>('[1]Short Spot'!AT28-'[1]Short Spot'!AT27)*100</f>
        <v>-3.2791543918937016</v>
      </c>
      <c r="AU27" s="19">
        <f>('[1]Short Spot'!AU28-'[1]Short Spot'!AU27)*100</f>
        <v>-3.2687281689420367</v>
      </c>
      <c r="AV27" s="19">
        <f>('[1]Short Spot'!AV28-'[1]Short Spot'!AV27)*100</f>
        <v>-3.2576854330614857</v>
      </c>
      <c r="AW27" s="19">
        <f>('[1]Short Spot'!AW28-'[1]Short Spot'!AW27)*100</f>
        <v>-3.2460997042615958</v>
      </c>
      <c r="AX27" s="19">
        <f>('[1]Short Spot'!AX28-'[1]Short Spot'!AX27)*100</f>
        <v>-3.2340372648612004</v>
      </c>
      <c r="AY27" s="19">
        <f>('[1]Short Spot'!AY28-'[1]Short Spot'!AY27)*100</f>
        <v>-3.2215579028599173</v>
      </c>
      <c r="AZ27" s="19">
        <f>('[1]Short Spot'!AZ28-'[1]Short Spot'!AZ27)*100</f>
        <v>-3.2087155486353325</v>
      </c>
      <c r="BA27" s="19">
        <f>('[1]Short Spot'!BA28-'[1]Short Spot'!BA27)*100</f>
        <v>-3.1955588381767264</v>
      </c>
      <c r="BB27" s="19">
        <f>('[1]Short Spot'!BB28-'[1]Short Spot'!BB27)*100</f>
        <v>-3.1821316125548726</v>
      </c>
      <c r="BC27" s="19">
        <f>('[1]Short Spot'!BC28-'[1]Short Spot'!BC27)*100</f>
        <v>-3.1684733602814319</v>
      </c>
      <c r="BD27" s="19">
        <f>('[1]Short Spot'!BD28-'[1]Short Spot'!BD27)*100</f>
        <v>-3.1546195853290548</v>
      </c>
      <c r="BE27" s="19">
        <f>('[1]Short Spot'!BE28-'[1]Short Spot'!BE27)*100</f>
        <v>-3.1406022386333277</v>
      </c>
      <c r="BF27" s="19">
        <f>('[1]Short Spot'!BF28-'[1]Short Spot'!BF27)*100</f>
        <v>-3.1264501172596049</v>
      </c>
      <c r="BG27" s="19">
        <f>('[1]Short Spot'!BG28-'[1]Short Spot'!BG27)*100</f>
        <v>-3.1121891400728963</v>
      </c>
      <c r="BH27" s="19">
        <f>('[1]Short Spot'!BH28-'[1]Short Spot'!BH27)*100</f>
        <v>-3.0978425916521779</v>
      </c>
      <c r="BI27" s="19">
        <f>('[1]Short Spot'!BI28-'[1]Short Spot'!BI27)*100</f>
        <v>-3.0834313418145243</v>
      </c>
    </row>
    <row r="28" spans="1:61" x14ac:dyDescent="0.2">
      <c r="A28" s="18">
        <v>39121</v>
      </c>
      <c r="B28" s="19">
        <f>('[1]Short Spot'!B29-'[1]Short Spot'!B28)*100</f>
        <v>2.1129181267998121E-2</v>
      </c>
      <c r="C28" s="19">
        <f>('[1]Short Spot'!C29-'[1]Short Spot'!C28)*100</f>
        <v>-0.53439918604913927</v>
      </c>
      <c r="D28" s="19">
        <f>('[1]Short Spot'!D29-'[1]Short Spot'!D28)*100</f>
        <v>-1.32163815831845</v>
      </c>
      <c r="E28" s="19">
        <f>('[1]Short Spot'!E29-'[1]Short Spot'!E28)*100</f>
        <v>-1.9848284988484011</v>
      </c>
      <c r="F28" s="19">
        <f>('[1]Short Spot'!F29-'[1]Short Spot'!F28)*100</f>
        <v>-2.4466374848993055</v>
      </c>
      <c r="G28" s="19">
        <f>('[1]Short Spot'!G29-'[1]Short Spot'!G28)*100</f>
        <v>-2.7587038483008364</v>
      </c>
      <c r="H28" s="19">
        <f>('[1]Short Spot'!H29-'[1]Short Spot'!H28)*100</f>
        <v>-2.9989221877249506</v>
      </c>
      <c r="I28" s="19">
        <f>('[1]Short Spot'!I29-'[1]Short Spot'!I28)*100</f>
        <v>-3.2192850357988689</v>
      </c>
      <c r="J28" s="19">
        <f>('[1]Short Spot'!J29-'[1]Short Spot'!J28)*100</f>
        <v>-3.4414055790117359</v>
      </c>
      <c r="K28" s="19">
        <f>('[1]Short Spot'!K29-'[1]Short Spot'!K28)*100</f>
        <v>-3.6705747298029223</v>
      </c>
      <c r="L28" s="19">
        <f>('[1]Short Spot'!L29-'[1]Short Spot'!L28)*100</f>
        <v>-3.9044435289229185</v>
      </c>
      <c r="M28" s="19">
        <f>('[1]Short Spot'!M29-'[1]Short Spot'!M28)*100</f>
        <v>-4.1384749627568773</v>
      </c>
      <c r="N28" s="19">
        <f>('[1]Short Spot'!N29-'[1]Short Spot'!N28)*100</f>
        <v>-4.3678413554973261</v>
      </c>
      <c r="O28" s="19">
        <f>('[1]Short Spot'!O29-'[1]Short Spot'!O28)*100</f>
        <v>-4.5885163804062934</v>
      </c>
      <c r="P28" s="19">
        <f>('[1]Short Spot'!P29-'[1]Short Spot'!P28)*100</f>
        <v>-4.7977705159580886</v>
      </c>
      <c r="Q28" s="19">
        <f>('[1]Short Spot'!Q29-'[1]Short Spot'!Q28)*100</f>
        <v>-4.9939268973701267</v>
      </c>
      <c r="R28" s="19">
        <f>('[1]Short Spot'!R29-'[1]Short Spot'!R28)*100</f>
        <v>-5.1760869621902295</v>
      </c>
      <c r="S28" s="19">
        <f>('[1]Short Spot'!S29-'[1]Short Spot'!S28)*100</f>
        <v>-5.3439142553574293</v>
      </c>
      <c r="T28" s="19">
        <f>('[1]Short Spot'!T29-'[1]Short Spot'!T28)*100</f>
        <v>-5.497486506204563</v>
      </c>
      <c r="U28" s="19">
        <f>('[1]Short Spot'!U29-'[1]Short Spot'!U28)*100</f>
        <v>-5.6371920823590216</v>
      </c>
      <c r="V28" s="19">
        <f>('[1]Short Spot'!V29-'[1]Short Spot'!V28)*100</f>
        <v>-5.7636507381538138</v>
      </c>
      <c r="W28" s="19">
        <f>('[1]Short Spot'!W29-'[1]Short Spot'!W28)*100</f>
        <v>-5.8775907650447934</v>
      </c>
      <c r="X28" s="19">
        <f>('[1]Short Spot'!X29-'[1]Short Spot'!X28)*100</f>
        <v>-5.9797520201353649</v>
      </c>
      <c r="Y28" s="19">
        <f>('[1]Short Spot'!Y29-'[1]Short Spot'!Y28)*100</f>
        <v>-6.0708777838629047</v>
      </c>
      <c r="Z28" s="19">
        <f>('[1]Short Spot'!Z29-'[1]Short Spot'!Z28)*100</f>
        <v>-6.1517140937915826</v>
      </c>
      <c r="AA28" s="19">
        <f>('[1]Short Spot'!AA29-'[1]Short Spot'!AA28)*100</f>
        <v>-6.2230070731130738</v>
      </c>
      <c r="AB28" s="19">
        <f>('[1]Short Spot'!AB29-'[1]Short Spot'!AB28)*100</f>
        <v>-6.2854721355884102</v>
      </c>
      <c r="AC28" s="19">
        <f>('[1]Short Spot'!AC29-'[1]Short Spot'!AC28)*100</f>
        <v>-6.3397636113110778</v>
      </c>
      <c r="AD28" s="19">
        <f>('[1]Short Spot'!AD29-'[1]Short Spot'!AD28)*100</f>
        <v>-6.3864814864725616</v>
      </c>
      <c r="AE28" s="19">
        <f>('[1]Short Spot'!AE29-'[1]Short Spot'!AE28)*100</f>
        <v>-6.4261804635817654</v>
      </c>
      <c r="AF28" s="19">
        <f>('[1]Short Spot'!AF29-'[1]Short Spot'!AF28)*100</f>
        <v>-6.4593772652838055</v>
      </c>
      <c r="AG28" s="19">
        <f>('[1]Short Spot'!AG29-'[1]Short Spot'!AG28)*100</f>
        <v>-6.486556563301793</v>
      </c>
      <c r="AH28" s="19">
        <f>('[1]Short Spot'!AH29-'[1]Short Spot'!AH28)*100</f>
        <v>-6.5081732354251187</v>
      </c>
      <c r="AI28" s="19">
        <f>('[1]Short Spot'!AI29-'[1]Short Spot'!AI28)*100</f>
        <v>-6.5246451326180122</v>
      </c>
      <c r="AJ28" s="19">
        <f>('[1]Short Spot'!AJ29-'[1]Short Spot'!AJ28)*100</f>
        <v>-6.536353377097992</v>
      </c>
      <c r="AK28" s="19">
        <f>('[1]Short Spot'!AK29-'[1]Short Spot'!AK28)*100</f>
        <v>-6.5436469110696116</v>
      </c>
      <c r="AL28" s="19">
        <f>('[1]Short Spot'!AL29-'[1]Short Spot'!AL28)*100</f>
        <v>-6.5468462167487473</v>
      </c>
      <c r="AM28" s="19">
        <f>('[1]Short Spot'!AM29-'[1]Short Spot'!AM28)*100</f>
        <v>-6.5462469855476435</v>
      </c>
      <c r="AN28" s="19">
        <f>('[1]Short Spot'!AN29-'[1]Short Spot'!AN28)*100</f>
        <v>-6.542123296381952</v>
      </c>
      <c r="AO28" s="19">
        <f>('[1]Short Spot'!AO29-'[1]Short Spot'!AO28)*100</f>
        <v>-6.5347303172336169</v>
      </c>
      <c r="AP28" s="19">
        <f>('[1]Short Spot'!AP29-'[1]Short Spot'!AP28)*100</f>
        <v>-6.5243064263689199</v>
      </c>
      <c r="AQ28" s="19">
        <f>('[1]Short Spot'!AQ29-'[1]Short Spot'!AQ28)*100</f>
        <v>-6.511073346277918</v>
      </c>
      <c r="AR28" s="19">
        <f>('[1]Short Spot'!AR29-'[1]Short Spot'!AR28)*100</f>
        <v>-6.4952363764710697</v>
      </c>
      <c r="AS28" s="19">
        <f>('[1]Short Spot'!AS29-'[1]Short Spot'!AS28)*100</f>
        <v>-6.4769861262194084</v>
      </c>
      <c r="AT28" s="19">
        <f>('[1]Short Spot'!AT29-'[1]Short Spot'!AT28)*100</f>
        <v>-6.4565001468066541</v>
      </c>
      <c r="AU28" s="19">
        <f>('[1]Short Spot'!AU29-'[1]Short Spot'!AU28)*100</f>
        <v>-6.4339443508594663</v>
      </c>
      <c r="AV28" s="19">
        <f>('[1]Short Spot'!AV29-'[1]Short Spot'!AV28)*100</f>
        <v>-6.409474116774394</v>
      </c>
      <c r="AW28" s="19">
        <f>('[1]Short Spot'!AW29-'[1]Short Spot'!AW28)*100</f>
        <v>-6.3832344728879775</v>
      </c>
      <c r="AX28" s="19">
        <f>('[1]Short Spot'!AX29-'[1]Short Spot'!AX28)*100</f>
        <v>-6.3553605577000738</v>
      </c>
      <c r="AY28" s="19">
        <f>('[1]Short Spot'!AY29-'[1]Short Spot'!AY28)*100</f>
        <v>-6.3259785829256288</v>
      </c>
      <c r="AZ28" s="19">
        <f>('[1]Short Spot'!AZ29-'[1]Short Spot'!AZ28)*100</f>
        <v>-6.2952067086705199</v>
      </c>
      <c r="BA28" s="19">
        <f>('[1]Short Spot'!BA29-'[1]Short Spot'!BA28)*100</f>
        <v>-6.2631558176242663</v>
      </c>
      <c r="BB28" s="19">
        <f>('[1]Short Spot'!BB29-'[1]Short Spot'!BB28)*100</f>
        <v>-6.2299302016086244</v>
      </c>
      <c r="BC28" s="19">
        <f>('[1]Short Spot'!BC29-'[1]Short Spot'!BC28)*100</f>
        <v>-6.1956281668757995</v>
      </c>
      <c r="BD28" s="19">
        <f>('[1]Short Spot'!BD29-'[1]Short Spot'!BD28)*100</f>
        <v>-6.1603423193916207</v>
      </c>
      <c r="BE28" s="19">
        <f>('[1]Short Spot'!BE29-'[1]Short Spot'!BE28)*100</f>
        <v>-6.1241594571011859</v>
      </c>
      <c r="BF28" s="19">
        <f>('[1]Short Spot'!BF29-'[1]Short Spot'!BF28)*100</f>
        <v>-6.0871609328478904</v>
      </c>
      <c r="BG28" s="19">
        <f>('[1]Short Spot'!BG29-'[1]Short Spot'!BG28)*100</f>
        <v>-6.0494231237967711</v>
      </c>
      <c r="BH28" s="19">
        <f>('[1]Short Spot'!BH29-'[1]Short Spot'!BH28)*100</f>
        <v>-6.0110178531036951</v>
      </c>
      <c r="BI28" s="19">
        <f>('[1]Short Spot'!BI29-'[1]Short Spot'!BI28)*100</f>
        <v>-5.9720127694154357</v>
      </c>
    </row>
    <row r="29" spans="1:61" x14ac:dyDescent="0.2">
      <c r="A29" s="18">
        <v>39122</v>
      </c>
      <c r="B29" s="19">
        <f>('[1]Short Spot'!B30-'[1]Short Spot'!B29)*100</f>
        <v>-5.8297850574576593</v>
      </c>
      <c r="C29" s="19">
        <f>('[1]Short Spot'!C30-'[1]Short Spot'!C29)*100</f>
        <v>-5.2006696035863165</v>
      </c>
      <c r="D29" s="19">
        <f>('[1]Short Spot'!D30-'[1]Short Spot'!D29)*100</f>
        <v>-4.4026654982532776</v>
      </c>
      <c r="E29" s="19">
        <f>('[1]Short Spot'!E30-'[1]Short Spot'!E29)*100</f>
        <v>-3.7826309347417819</v>
      </c>
      <c r="F29" s="19">
        <f>('[1]Short Spot'!F30-'[1]Short Spot'!F29)*100</f>
        <v>-3.3552555120368588</v>
      </c>
      <c r="G29" s="19">
        <f>('[1]Short Spot'!G30-'[1]Short Spot'!G29)*100</f>
        <v>-3.0547150511774035</v>
      </c>
      <c r="H29" s="19">
        <f>('[1]Short Spot'!H30-'[1]Short Spot'!H29)*100</f>
        <v>-2.7935524675890555</v>
      </c>
      <c r="I29" s="19">
        <f>('[1]Short Spot'!I30-'[1]Short Spot'!I29)*100</f>
        <v>-2.516518525472744</v>
      </c>
      <c r="J29" s="19">
        <f>('[1]Short Spot'!J30-'[1]Short Spot'!J29)*100</f>
        <v>-2.2082373122976229</v>
      </c>
      <c r="K29" s="19">
        <f>('[1]Short Spot'!K30-'[1]Short Spot'!K29)*100</f>
        <v>-1.8741553448050396</v>
      </c>
      <c r="L29" s="19">
        <f>('[1]Short Spot'!L30-'[1]Short Spot'!L29)*100</f>
        <v>-1.5253143494299515</v>
      </c>
      <c r="M29" s="19">
        <f>('[1]Short Spot'!M30-'[1]Short Spot'!M29)*100</f>
        <v>-1.1720357489957145</v>
      </c>
      <c r="N29" s="19">
        <f>('[1]Short Spot'!N30-'[1]Short Spot'!N29)*100</f>
        <v>-0.82375207596792066</v>
      </c>
      <c r="O29" s="19">
        <f>('[1]Short Spot'!O30-'[1]Short Spot'!O29)*100</f>
        <v>-0.48761554073326607</v>
      </c>
      <c r="P29" s="19">
        <f>('[1]Short Spot'!P30-'[1]Short Spot'!P29)*100</f>
        <v>-0.16796688606541821</v>
      </c>
      <c r="Q29" s="19">
        <f>('[1]Short Spot'!Q30-'[1]Short Spot'!Q29)*100</f>
        <v>0.13273638020381284</v>
      </c>
      <c r="R29" s="19">
        <f>('[1]Short Spot'!R30-'[1]Short Spot'!R29)*100</f>
        <v>0.41329751300542839</v>
      </c>
      <c r="S29" s="19">
        <f>('[1]Short Spot'!S30-'[1]Short Spot'!S29)*100</f>
        <v>0.67343031815481069</v>
      </c>
      <c r="T29" s="19">
        <f>('[1]Short Spot'!T30-'[1]Short Spot'!T29)*100</f>
        <v>0.91351953369791516</v>
      </c>
      <c r="U29" s="19">
        <f>('[1]Short Spot'!U30-'[1]Short Spot'!U29)*100</f>
        <v>1.1344530968527167</v>
      </c>
      <c r="V29" s="19">
        <f>('[1]Short Spot'!V30-'[1]Short Spot'!V29)*100</f>
        <v>1.337500467449626</v>
      </c>
      <c r="W29" s="19">
        <f>('[1]Short Spot'!W30-'[1]Short Spot'!W29)*100</f>
        <v>1.5241167967976033</v>
      </c>
      <c r="X29" s="19">
        <f>('[1]Short Spot'!X30-'[1]Short Spot'!X29)*100</f>
        <v>1.6956943866616392</v>
      </c>
      <c r="Y29" s="19">
        <f>('[1]Short Spot'!Y30-'[1]Short Spot'!Y29)*100</f>
        <v>1.8535385519713898</v>
      </c>
      <c r="Z29" s="19">
        <f>('[1]Short Spot'!Z30-'[1]Short Spot'!Z29)*100</f>
        <v>1.9988849889755578</v>
      </c>
      <c r="AA29" s="19">
        <f>('[1]Short Spot'!AA30-'[1]Short Spot'!AA29)*100</f>
        <v>2.1329128276321718</v>
      </c>
      <c r="AB29" s="19">
        <f>('[1]Short Spot'!AB30-'[1]Short Spot'!AB29)*100</f>
        <v>2.256726174573398</v>
      </c>
      <c r="AC29" s="19">
        <f>('[1]Short Spot'!AC30-'[1]Short Spot'!AC29)*100</f>
        <v>2.3713112435127748</v>
      </c>
      <c r="AD29" s="19">
        <f>('[1]Short Spot'!AD30-'[1]Short Spot'!AD29)*100</f>
        <v>2.4775466975557769</v>
      </c>
      <c r="AE29" s="19">
        <f>('[1]Short Spot'!AE30-'[1]Short Spot'!AE29)*100</f>
        <v>2.5762215683261758</v>
      </c>
      <c r="AF29" s="19">
        <f>('[1]Short Spot'!AF30-'[1]Short Spot'!AF29)*100</f>
        <v>2.6680497126557512</v>
      </c>
      <c r="AG29" s="19">
        <f>('[1]Short Spot'!AG30-'[1]Short Spot'!AG29)*100</f>
        <v>2.7536815847091667</v>
      </c>
      <c r="AH29" s="19">
        <f>('[1]Short Spot'!AH30-'[1]Short Spot'!AH29)*100</f>
        <v>2.833714839314716</v>
      </c>
      <c r="AI29" s="19">
        <f>('[1]Short Spot'!AI30-'[1]Short Spot'!AI29)*100</f>
        <v>2.9086935513743306</v>
      </c>
      <c r="AJ29" s="19">
        <f>('[1]Short Spot'!AJ30-'[1]Short Spot'!AJ29)*100</f>
        <v>2.9791043804607398</v>
      </c>
      <c r="AK29" s="19">
        <f>('[1]Short Spot'!AK30-'[1]Short Spot'!AK29)*100</f>
        <v>3.0453823315350625</v>
      </c>
      <c r="AL29" s="19">
        <f>('[1]Short Spot'!AL30-'[1]Short Spot'!AL29)*100</f>
        <v>3.1079168418739478</v>
      </c>
      <c r="AM29" s="19">
        <f>('[1]Short Spot'!AM30-'[1]Short Spot'!AM29)*100</f>
        <v>3.1670577408351441</v>
      </c>
      <c r="AN29" s="19">
        <f>('[1]Short Spot'!AN30-'[1]Short Spot'!AN29)*100</f>
        <v>3.2231203277953924</v>
      </c>
      <c r="AO29" s="19">
        <f>('[1]Short Spot'!AO30-'[1]Short Spot'!AO29)*100</f>
        <v>3.2763896884090649</v>
      </c>
      <c r="AP29" s="19">
        <f>('[1]Short Spot'!AP30-'[1]Short Spot'!AP29)*100</f>
        <v>3.3271243838433051</v>
      </c>
      <c r="AQ29" s="19">
        <f>('[1]Short Spot'!AQ30-'[1]Short Spot'!AQ29)*100</f>
        <v>3.3755585192122517</v>
      </c>
      <c r="AR29" s="19">
        <f>('[1]Short Spot'!AR30-'[1]Short Spot'!AR29)*100</f>
        <v>3.4219027780624245</v>
      </c>
      <c r="AS29" s="19">
        <f>('[1]Short Spot'!AS30-'[1]Short Spot'!AS29)*100</f>
        <v>3.4663468434185774</v>
      </c>
      <c r="AT29" s="19">
        <f>('[1]Short Spot'!AT30-'[1]Short Spot'!AT29)*100</f>
        <v>3.5090617311733574</v>
      </c>
      <c r="AU29" s="19">
        <f>('[1]Short Spot'!AU30-'[1]Short Spot'!AU29)*100</f>
        <v>3.5502018194193852</v>
      </c>
      <c r="AV29" s="19">
        <f>('[1]Short Spot'!AV30-'[1]Short Spot'!AV29)*100</f>
        <v>3.5899067158781328</v>
      </c>
      <c r="AW29" s="19">
        <f>('[1]Short Spot'!AW30-'[1]Short Spot'!AW29)*100</f>
        <v>3.6283026514384531</v>
      </c>
      <c r="AX29" s="19">
        <f>('[1]Short Spot'!AX30-'[1]Short Spot'!AX29)*100</f>
        <v>3.6655032381174735</v>
      </c>
      <c r="AY29" s="19">
        <f>('[1]Short Spot'!AY30-'[1]Short Spot'!AY29)*100</f>
        <v>3.701610651394649</v>
      </c>
      <c r="AZ29" s="19">
        <f>('[1]Short Spot'!AZ30-'[1]Short Spot'!AZ29)*100</f>
        <v>3.7367167514408273</v>
      </c>
      <c r="BA29" s="19">
        <f>('[1]Short Spot'!BA30-'[1]Short Spot'!BA29)*100</f>
        <v>3.7709040749752454</v>
      </c>
      <c r="BB29" s="19">
        <f>('[1]Short Spot'!BB30-'[1]Short Spot'!BB29)*100</f>
        <v>3.8042467148355463</v>
      </c>
      <c r="BC29" s="19">
        <f>('[1]Short Spot'!BC30-'[1]Short Spot'!BC29)*100</f>
        <v>3.8368111154544415</v>
      </c>
      <c r="BD29" s="19">
        <f>('[1]Short Spot'!BD30-'[1]Short Spot'!BD29)*100</f>
        <v>3.8686570210749061</v>
      </c>
      <c r="BE29" s="19">
        <f>('[1]Short Spot'!BE30-'[1]Short Spot'!BE29)*100</f>
        <v>3.8998381206353905</v>
      </c>
      <c r="BF29" s="19">
        <f>('[1]Short Spot'!BF30-'[1]Short Spot'!BF29)*100</f>
        <v>3.9304024043144814</v>
      </c>
      <c r="BG29" s="19">
        <f>('[1]Short Spot'!BG30-'[1]Short Spot'!BG29)*100</f>
        <v>3.9603926480536344</v>
      </c>
      <c r="BH29" s="19">
        <f>('[1]Short Spot'!BH30-'[1]Short Spot'!BH29)*100</f>
        <v>3.9898468554422806</v>
      </c>
      <c r="BI29" s="19">
        <f>('[1]Short Spot'!BI30-'[1]Short Spot'!BI29)*100</f>
        <v>4.0187986554134802</v>
      </c>
    </row>
    <row r="30" spans="1:61" x14ac:dyDescent="0.2">
      <c r="A30" s="18">
        <v>39125</v>
      </c>
      <c r="B30" s="19">
        <f>('[1]Short Spot'!B31-'[1]Short Spot'!B30)*100</f>
        <v>1.6323826036169997</v>
      </c>
      <c r="C30" s="19">
        <f>('[1]Short Spot'!C31-'[1]Short Spot'!C30)*100</f>
        <v>0.86851599429218496</v>
      </c>
      <c r="D30" s="19">
        <f>('[1]Short Spot'!D31-'[1]Short Spot'!D30)*100</f>
        <v>0.61042168740792491</v>
      </c>
      <c r="E30" s="19">
        <f>('[1]Short Spot'!E31-'[1]Short Spot'!E30)*100</f>
        <v>0.52548139188566267</v>
      </c>
      <c r="F30" s="19">
        <f>('[1]Short Spot'!F31-'[1]Short Spot'!F30)*100</f>
        <v>0.49901608104390149</v>
      </c>
      <c r="G30" s="19">
        <f>('[1]Short Spot'!G31-'[1]Short Spot'!G30)*100</f>
        <v>0.48035726676580737</v>
      </c>
      <c r="H30" s="19">
        <f>('[1]Short Spot'!H31-'[1]Short Spot'!H30)*100</f>
        <v>0.45358851472405703</v>
      </c>
      <c r="I30" s="19">
        <f>('[1]Short Spot'!I31-'[1]Short Spot'!I30)*100</f>
        <v>0.42076851207895061</v>
      </c>
      <c r="J30" s="19">
        <f>('[1]Short Spot'!J31-'[1]Short Spot'!J30)*100</f>
        <v>0.38626999611919288</v>
      </c>
      <c r="K30" s="19">
        <f>('[1]Short Spot'!K31-'[1]Short Spot'!K30)*100</f>
        <v>0.35488039551374584</v>
      </c>
      <c r="L30" s="19">
        <f>('[1]Short Spot'!L31-'[1]Short Spot'!L30)*100</f>
        <v>0.32944244286676749</v>
      </c>
      <c r="M30" s="19">
        <f>('[1]Short Spot'!M31-'[1]Short Spot'!M30)*100</f>
        <v>0.31061100635119132</v>
      </c>
      <c r="N30" s="19">
        <f>('[1]Short Spot'!N31-'[1]Short Spot'!N30)*100</f>
        <v>0.29816678121026285</v>
      </c>
      <c r="O30" s="19">
        <f>('[1]Short Spot'!O31-'[1]Short Spot'!O30)*100</f>
        <v>0.29117385661017181</v>
      </c>
      <c r="P30" s="19">
        <f>('[1]Short Spot'!P31-'[1]Short Spot'!P30)*100</f>
        <v>0.28892941522000726</v>
      </c>
      <c r="Q30" s="19">
        <f>('[1]Short Spot'!Q31-'[1]Short Spot'!Q30)*100</f>
        <v>0.29084636661842467</v>
      </c>
      <c r="R30" s="19">
        <f>('[1]Short Spot'!R31-'[1]Short Spot'!R30)*100</f>
        <v>0.29638569323768849</v>
      </c>
      <c r="S30" s="19">
        <f>('[1]Short Spot'!S31-'[1]Short Spot'!S30)*100</f>
        <v>0.30504309679058039</v>
      </c>
      <c r="T30" s="19">
        <f>('[1]Short Spot'!T31-'[1]Short Spot'!T30)*100</f>
        <v>0.31633986161994088</v>
      </c>
      <c r="U30" s="19">
        <f>('[1]Short Spot'!U31-'[1]Short Spot'!U30)*100</f>
        <v>0.32981645903982226</v>
      </c>
      <c r="V30" s="19">
        <f>('[1]Short Spot'!V31-'[1]Short Spot'!V30)*100</f>
        <v>0.34503315338074714</v>
      </c>
      <c r="W30" s="19">
        <f>('[1]Short Spot'!W31-'[1]Short Spot'!W30)*100</f>
        <v>0.36160817564985237</v>
      </c>
      <c r="X30" s="19">
        <f>('[1]Short Spot'!X31-'[1]Short Spot'!X30)*100</f>
        <v>0.37923420727379309</v>
      </c>
      <c r="Y30" s="19">
        <f>('[1]Short Spot'!Y31-'[1]Short Spot'!Y30)*100</f>
        <v>0.39766354930090841</v>
      </c>
      <c r="Z30" s="19">
        <f>('[1]Short Spot'!Z31-'[1]Short Spot'!Z30)*100</f>
        <v>0.41669619793722745</v>
      </c>
      <c r="AA30" s="19">
        <f>('[1]Short Spot'!AA31-'[1]Short Spot'!AA30)*100</f>
        <v>0.43617129165465229</v>
      </c>
      <c r="AB30" s="19">
        <f>('[1]Short Spot'!AB31-'[1]Short Spot'!AB30)*100</f>
        <v>0.45596106330672015</v>
      </c>
      <c r="AC30" s="19">
        <f>('[1]Short Spot'!AC31-'[1]Short Spot'!AC30)*100</f>
        <v>0.47596135372112158</v>
      </c>
      <c r="AD30" s="19">
        <f>('[1]Short Spot'!AD31-'[1]Short Spot'!AD30)*100</f>
        <v>0.49608655489690179</v>
      </c>
      <c r="AE30" s="19">
        <f>('[1]Short Spot'!AE31-'[1]Short Spot'!AE30)*100</f>
        <v>0.51626651807099577</v>
      </c>
      <c r="AF30" s="19">
        <f>('[1]Short Spot'!AF31-'[1]Short Spot'!AF30)*100</f>
        <v>0.5364440602919629</v>
      </c>
      <c r="AG30" s="19">
        <f>('[1]Short Spot'!AG31-'[1]Short Spot'!AG30)*100</f>
        <v>0.55657295531510442</v>
      </c>
      <c r="AH30" s="19">
        <f>('[1]Short Spot'!AH31-'[1]Short Spot'!AH30)*100</f>
        <v>0.57661713483181387</v>
      </c>
      <c r="AI30" s="19">
        <f>('[1]Short Spot'!AI31-'[1]Short Spot'!AI30)*100</f>
        <v>0.59654892225013967</v>
      </c>
      <c r="AJ30" s="19">
        <f>('[1]Short Spot'!AJ31-'[1]Short Spot'!AJ30)*100</f>
        <v>0.61634586960810367</v>
      </c>
      <c r="AK30" s="19">
        <f>('[1]Short Spot'!AK31-'[1]Short Spot'!AK30)*100</f>
        <v>0.63598943428138099</v>
      </c>
      <c r="AL30" s="19">
        <f>('[1]Short Spot'!AL31-'[1]Short Spot'!AL30)*100</f>
        <v>0.65546424889006971</v>
      </c>
      <c r="AM30" s="19">
        <f>('[1]Short Spot'!AM31-'[1]Short Spot'!AM30)*100</f>
        <v>0.67475770446607797</v>
      </c>
      <c r="AN30" s="19">
        <f>('[1]Short Spot'!AN31-'[1]Short Spot'!AN30)*100</f>
        <v>0.69385959681316223</v>
      </c>
      <c r="AO30" s="19">
        <f>('[1]Short Spot'!AO31-'[1]Short Spot'!AO30)*100</f>
        <v>0.71276182593669191</v>
      </c>
      <c r="AP30" s="19">
        <f>('[1]Short Spot'!AP31-'[1]Short Spot'!AP30)*100</f>
        <v>0.73145813548913807</v>
      </c>
      <c r="AQ30" s="19">
        <f>('[1]Short Spot'!AQ31-'[1]Short Spot'!AQ30)*100</f>
        <v>0.74994355805522162</v>
      </c>
      <c r="AR30" s="19">
        <f>('[1]Short Spot'!AR31-'[1]Short Spot'!AR30)*100</f>
        <v>0.76821380793994365</v>
      </c>
      <c r="AS30" s="19">
        <f>('[1]Short Spot'!AS31-'[1]Short Spot'!AS30)*100</f>
        <v>0.78626515474491399</v>
      </c>
      <c r="AT30" s="19">
        <f>('[1]Short Spot'!AT31-'[1]Short Spot'!AT30)*100</f>
        <v>0.80409436167112602</v>
      </c>
      <c r="AU30" s="19">
        <f>('[1]Short Spot'!AU31-'[1]Short Spot'!AU30)*100</f>
        <v>0.82169863213028549</v>
      </c>
      <c r="AV30" s="19">
        <f>('[1]Short Spot'!AV31-'[1]Short Spot'!AV30)*100</f>
        <v>0.83907560028535499</v>
      </c>
      <c r="AW30" s="19">
        <f>('[1]Short Spot'!AW31-'[1]Short Spot'!AW30)*100</f>
        <v>0.85622324644969439</v>
      </c>
      <c r="AX30" s="19">
        <f>('[1]Short Spot'!AX31-'[1]Short Spot'!AX30)*100</f>
        <v>0.8731396963363558</v>
      </c>
      <c r="AY30" s="19">
        <f>('[1]Short Spot'!AY31-'[1]Short Spot'!AY30)*100</f>
        <v>0.88982318834212037</v>
      </c>
      <c r="AZ30" s="19">
        <f>('[1]Short Spot'!AZ31-'[1]Short Spot'!AZ30)*100</f>
        <v>0.90627206249980219</v>
      </c>
      <c r="BA30" s="19">
        <f>('[1]Short Spot'!BA31-'[1]Short Spot'!BA30)*100</f>
        <v>0.92248475070615399</v>
      </c>
      <c r="BB30" s="19">
        <f>('[1]Short Spot'!BB31-'[1]Short Spot'!BB30)*100</f>
        <v>0.93845976805537745</v>
      </c>
      <c r="BC30" s="19">
        <f>('[1]Short Spot'!BC31-'[1]Short Spot'!BC30)*100</f>
        <v>0.95419570993504621</v>
      </c>
      <c r="BD30" s="19">
        <f>('[1]Short Spot'!BD31-'[1]Short Spot'!BD30)*100</f>
        <v>0.96969127014272516</v>
      </c>
      <c r="BE30" s="19">
        <f>('[1]Short Spot'!BE31-'[1]Short Spot'!BE30)*100</f>
        <v>0.98494508864623853</v>
      </c>
      <c r="BF30" s="19">
        <f>('[1]Short Spot'!BF31-'[1]Short Spot'!BF30)*100</f>
        <v>0.99995566670942893</v>
      </c>
      <c r="BG30" s="19">
        <f>('[1]Short Spot'!BG31-'[1]Short Spot'!BG30)*100</f>
        <v>1.0147213772428998</v>
      </c>
      <c r="BH30" s="19">
        <f>('[1]Short Spot'!BH31-'[1]Short Spot'!BH30)*100</f>
        <v>1.0292404756805595</v>
      </c>
      <c r="BI30" s="19">
        <f>('[1]Short Spot'!BI31-'[1]Short Spot'!BI30)*100</f>
        <v>1.0435111097700123</v>
      </c>
    </row>
    <row r="31" spans="1:61" x14ac:dyDescent="0.2">
      <c r="A31" s="18">
        <v>39126</v>
      </c>
      <c r="B31" s="19">
        <f>('[1]Short Spot'!B32-'[1]Short Spot'!B31)*100</f>
        <v>-0.78002346158774216</v>
      </c>
      <c r="C31" s="19">
        <f>('[1]Short Spot'!C32-'[1]Short Spot'!C31)*100</f>
        <v>-2.8108526869935702</v>
      </c>
      <c r="D31" s="19">
        <f>('[1]Short Spot'!D32-'[1]Short Spot'!D31)*100</f>
        <v>-4.0552994478496807</v>
      </c>
      <c r="E31" s="19">
        <f>('[1]Short Spot'!E32-'[1]Short Spot'!E31)*100</f>
        <v>-4.8749742656093886</v>
      </c>
      <c r="F31" s="19">
        <f>('[1]Short Spot'!F32-'[1]Short Spot'!F31)*100</f>
        <v>-5.3829084069608513</v>
      </c>
      <c r="G31" s="19">
        <f>('[1]Short Spot'!G32-'[1]Short Spot'!G31)*100</f>
        <v>-5.6768435466842071</v>
      </c>
      <c r="H31" s="19">
        <f>('[1]Short Spot'!H32-'[1]Short Spot'!H31)*100</f>
        <v>-5.8362210603647213</v>
      </c>
      <c r="I31" s="19">
        <f>('[1]Short Spot'!I32-'[1]Short Spot'!I31)*100</f>
        <v>-5.9142711210284027</v>
      </c>
      <c r="J31" s="19">
        <f>('[1]Short Spot'!J32-'[1]Short Spot'!J31)*100</f>
        <v>-5.9430797694568049</v>
      </c>
      <c r="K31" s="19">
        <f>('[1]Short Spot'!K32-'[1]Short Spot'!K31)*100</f>
        <v>-5.9431670625841093</v>
      </c>
      <c r="L31" s="19">
        <f>('[1]Short Spot'!L32-'[1]Short Spot'!L31)*100</f>
        <v>-5.9265978613848525</v>
      </c>
      <c r="M31" s="19">
        <f>('[1]Short Spot'!M32-'[1]Short Spot'!M31)*100</f>
        <v>-5.9002203806605813</v>
      </c>
      <c r="N31" s="19">
        <f>('[1]Short Spot'!N32-'[1]Short Spot'!N31)*100</f>
        <v>-5.8683585293317186</v>
      </c>
      <c r="O31" s="19">
        <f>('[1]Short Spot'!O32-'[1]Short Spot'!O31)*100</f>
        <v>-5.8334590508879458</v>
      </c>
      <c r="P31" s="19">
        <f>('[1]Short Spot'!P32-'[1]Short Spot'!P31)*100</f>
        <v>-5.7967599697155592</v>
      </c>
      <c r="Q31" s="19">
        <f>('[1]Short Spot'!Q32-'[1]Short Spot'!Q31)*100</f>
        <v>-5.7590474460902819</v>
      </c>
      <c r="R31" s="19">
        <f>('[1]Short Spot'!R32-'[1]Short Spot'!R31)*100</f>
        <v>-5.7208266204192171</v>
      </c>
      <c r="S31" s="19">
        <f>('[1]Short Spot'!S32-'[1]Short Spot'!S31)*100</f>
        <v>-5.6823996743141869</v>
      </c>
      <c r="T31" s="19">
        <f>('[1]Short Spot'!T32-'[1]Short Spot'!T31)*100</f>
        <v>-5.6439192408031857</v>
      </c>
      <c r="U31" s="19">
        <f>('[1]Short Spot'!U32-'[1]Short Spot'!U31)*100</f>
        <v>-5.6054257914740724</v>
      </c>
      <c r="V31" s="19">
        <f>('[1]Short Spot'!V32-'[1]Short Spot'!V31)*100</f>
        <v>-5.5668748199018125</v>
      </c>
      <c r="W31" s="19">
        <f>('[1]Short Spot'!W32-'[1]Short Spot'!W31)*100</f>
        <v>-5.5281840698135909</v>
      </c>
      <c r="X31" s="19">
        <f>('[1]Short Spot'!X32-'[1]Short Spot'!X31)*100</f>
        <v>-5.4892869518305965</v>
      </c>
      <c r="Y31" s="19">
        <f>('[1]Short Spot'!Y32-'[1]Short Spot'!Y31)*100</f>
        <v>-5.4501356387068434</v>
      </c>
      <c r="Z31" s="19">
        <f>('[1]Short Spot'!Z32-'[1]Short Spot'!Z31)*100</f>
        <v>-5.4106973129793623</v>
      </c>
      <c r="AA31" s="19">
        <f>('[1]Short Spot'!AA32-'[1]Short Spot'!AA31)*100</f>
        <v>-5.3709505681545089</v>
      </c>
      <c r="AB31" s="19">
        <f>('[1]Short Spot'!AB32-'[1]Short Spot'!AB31)*100</f>
        <v>-5.3308817720241208</v>
      </c>
      <c r="AC31" s="19">
        <f>('[1]Short Spot'!AC32-'[1]Short Spot'!AC31)*100</f>
        <v>-5.2904867845462</v>
      </c>
      <c r="AD31" s="19">
        <f>('[1]Short Spot'!AD32-'[1]Short Spot'!AD31)*100</f>
        <v>-5.2497701570071165</v>
      </c>
      <c r="AE31" s="19">
        <f>('[1]Short Spot'!AE32-'[1]Short Spot'!AE31)*100</f>
        <v>-5.2087436834704626</v>
      </c>
      <c r="AF31" s="19">
        <f>('[1]Short Spot'!AF32-'[1]Short Spot'!AF31)*100</f>
        <v>-5.1674252325868864</v>
      </c>
      <c r="AG31" s="19">
        <f>('[1]Short Spot'!AG32-'[1]Short Spot'!AG31)*100</f>
        <v>-5.1258377742592565</v>
      </c>
      <c r="AH31" s="19">
        <f>('[1]Short Spot'!AH32-'[1]Short Spot'!AH31)*100</f>
        <v>-5.0840073450470591</v>
      </c>
      <c r="AI31" s="19">
        <f>('[1]Short Spot'!AI32-'[1]Short Spot'!AI31)*100</f>
        <v>-5.0419615016832786</v>
      </c>
      <c r="AJ31" s="19">
        <f>('[1]Short Spot'!AJ32-'[1]Short Spot'!AJ31)*100</f>
        <v>-4.9997301307234565</v>
      </c>
      <c r="AK31" s="19">
        <f>('[1]Short Spot'!AK32-'[1]Short Spot'!AK31)*100</f>
        <v>-4.9573440000209246</v>
      </c>
      <c r="AL31" s="19">
        <f>('[1]Short Spot'!AL32-'[1]Short Spot'!AL31)*100</f>
        <v>-4.9148336049585239</v>
      </c>
      <c r="AM31" s="19">
        <f>('[1]Short Spot'!AM32-'[1]Short Spot'!AM31)*100</f>
        <v>-4.8722291310649091</v>
      </c>
      <c r="AN31" s="19">
        <f>('[1]Short Spot'!AN32-'[1]Short Spot'!AN31)*100</f>
        <v>-4.8295604937412584</v>
      </c>
      <c r="AO31" s="19">
        <f>('[1]Short Spot'!AO32-'[1]Short Spot'!AO31)*100</f>
        <v>-4.7868573719295426</v>
      </c>
      <c r="AP31" s="19">
        <f>('[1]Short Spot'!AP32-'[1]Short Spot'!AP31)*100</f>
        <v>-4.7441491004754255</v>
      </c>
      <c r="AQ31" s="19">
        <f>('[1]Short Spot'!AQ32-'[1]Short Spot'!AQ31)*100</f>
        <v>-4.7014639998058882</v>
      </c>
      <c r="AR31" s="19">
        <f>('[1]Short Spot'!AR32-'[1]Short Spot'!AR31)*100</f>
        <v>-4.6588291531488579</v>
      </c>
      <c r="AS31" s="19">
        <f>('[1]Short Spot'!AS32-'[1]Short Spot'!AS31)*100</f>
        <v>-4.6162705430348616</v>
      </c>
      <c r="AT31" s="19">
        <f>('[1]Short Spot'!AT32-'[1]Short Spot'!AT31)*100</f>
        <v>-4.5738131735962639</v>
      </c>
      <c r="AU31" s="19">
        <f>('[1]Short Spot'!AU32-'[1]Short Spot'!AU31)*100</f>
        <v>-4.5314811763454088</v>
      </c>
      <c r="AV31" s="19">
        <f>('[1]Short Spot'!AV32-'[1]Short Spot'!AV31)*100</f>
        <v>-4.4892977650783372</v>
      </c>
      <c r="AW31" s="19">
        <f>('[1]Short Spot'!AW32-'[1]Short Spot'!AW31)*100</f>
        <v>-4.4472848405351151</v>
      </c>
      <c r="AX31" s="19">
        <f>('[1]Short Spot'!AX32-'[1]Short Spot'!AX31)*100</f>
        <v>-4.405462978507213</v>
      </c>
      <c r="AY31" s="19">
        <f>('[1]Short Spot'!AY32-'[1]Short Spot'!AY31)*100</f>
        <v>-4.3638515658545707</v>
      </c>
      <c r="AZ31" s="19">
        <f>('[1]Short Spot'!AZ32-'[1]Short Spot'!AZ31)*100</f>
        <v>-4.3224689170668462</v>
      </c>
      <c r="BA31" s="19">
        <f>('[1]Short Spot'!BA32-'[1]Short Spot'!BA31)*100</f>
        <v>-4.2813323773756906</v>
      </c>
      <c r="BB31" s="19">
        <f>('[1]Short Spot'!BB32-'[1]Short Spot'!BB31)*100</f>
        <v>-4.240458414195114</v>
      </c>
      <c r="BC31" s="19">
        <f>('[1]Short Spot'!BC32-'[1]Short Spot'!BC31)*100</f>
        <v>-4.1998626874086398</v>
      </c>
      <c r="BD31" s="19">
        <f>('[1]Short Spot'!BD32-'[1]Short Spot'!BD31)*100</f>
        <v>-4.1595599069432332</v>
      </c>
      <c r="BE31" s="19">
        <f>('[1]Short Spot'!BE32-'[1]Short Spot'!BE31)*100</f>
        <v>-4.1195636621929488</v>
      </c>
      <c r="BF31" s="19">
        <f>('[1]Short Spot'!BF32-'[1]Short Spot'!BF31)*100</f>
        <v>-4.0798865132479989</v>
      </c>
      <c r="BG31" s="19">
        <f>('[1]Short Spot'!BG32-'[1]Short Spot'!BG31)*100</f>
        <v>-4.0405400804359282</v>
      </c>
      <c r="BH31" s="19">
        <f>('[1]Short Spot'!BH32-'[1]Short Spot'!BH31)*100</f>
        <v>-4.0015351239627961</v>
      </c>
      <c r="BI31" s="19">
        <f>('[1]Short Spot'!BI32-'[1]Short Spot'!BI31)*100</f>
        <v>-3.9628816155905078</v>
      </c>
    </row>
    <row r="32" spans="1:61" x14ac:dyDescent="0.2">
      <c r="A32" s="18">
        <v>39127</v>
      </c>
      <c r="B32" s="19">
        <f>('[1]Short Spot'!B33-'[1]Short Spot'!B32)*100</f>
        <v>-0.17774258534135612</v>
      </c>
      <c r="C32" s="19">
        <f>('[1]Short Spot'!C33-'[1]Short Spot'!C32)*100</f>
        <v>-0.40761188941225157</v>
      </c>
      <c r="D32" s="19">
        <f>('[1]Short Spot'!D33-'[1]Short Spot'!D32)*100</f>
        <v>-0.26868937039337126</v>
      </c>
      <c r="E32" s="19">
        <f>('[1]Short Spot'!E33-'[1]Short Spot'!E32)*100</f>
        <v>-8.0025410694961607E-2</v>
      </c>
      <c r="F32" s="19">
        <f>('[1]Short Spot'!F33-'[1]Short Spot'!F32)*100</f>
        <v>9.442030247521771E-2</v>
      </c>
      <c r="G32" s="19">
        <f>('[1]Short Spot'!G33-'[1]Short Spot'!G32)*100</f>
        <v>0.2357773970247834</v>
      </c>
      <c r="H32" s="19">
        <f>('[1]Short Spot'!H33-'[1]Short Spot'!H32)*100</f>
        <v>0.34361389857524571</v>
      </c>
      <c r="I32" s="19">
        <f>('[1]Short Spot'!I33-'[1]Short Spot'!I32)*100</f>
        <v>0.42223804042249569</v>
      </c>
      <c r="J32" s="19">
        <f>('[1]Short Spot'!J33-'[1]Short Spot'!J32)*100</f>
        <v>0.47628548671569959</v>
      </c>
      <c r="K32" s="19">
        <f>('[1]Short Spot'!K33-'[1]Short Spot'!K32)*100</f>
        <v>0.51049341687727789</v>
      </c>
      <c r="L32" s="19">
        <f>('[1]Short Spot'!L33-'[1]Short Spot'!L32)*100</f>
        <v>0.52950834468816765</v>
      </c>
      <c r="M32" s="19">
        <f>('[1]Short Spot'!M33-'[1]Short Spot'!M32)*100</f>
        <v>0.53722996986129701</v>
      </c>
      <c r="N32" s="19">
        <f>('[1]Short Spot'!N33-'[1]Short Spot'!N32)*100</f>
        <v>0.53692396414906085</v>
      </c>
      <c r="O32" s="19">
        <f>('[1]Short Spot'!O33-'[1]Short Spot'!O32)*100</f>
        <v>0.53129104087377144</v>
      </c>
      <c r="P32" s="19">
        <f>('[1]Short Spot'!P33-'[1]Short Spot'!P32)*100</f>
        <v>0.52242303521072841</v>
      </c>
      <c r="Q32" s="19">
        <f>('[1]Short Spot'!Q33-'[1]Short Spot'!Q32)*100</f>
        <v>0.51177396223742733</v>
      </c>
      <c r="R32" s="19">
        <f>('[1]Short Spot'!R33-'[1]Short Spot'!R32)*100</f>
        <v>0.50032418840295634</v>
      </c>
      <c r="S32" s="19">
        <f>('[1]Short Spot'!S33-'[1]Short Spot'!S32)*100</f>
        <v>0.4887120005911072</v>
      </c>
      <c r="T32" s="19">
        <f>('[1]Short Spot'!T33-'[1]Short Spot'!T32)*100</f>
        <v>0.47732362706041087</v>
      </c>
      <c r="U32" s="19">
        <f>('[1]Short Spot'!U33-'[1]Short Spot'!U32)*100</f>
        <v>0.46635625210420528</v>
      </c>
      <c r="V32" s="19">
        <f>('[1]Short Spot'!V33-'[1]Short Spot'!V32)*100</f>
        <v>0.45586908832371265</v>
      </c>
      <c r="W32" s="19">
        <f>('[1]Short Spot'!W33-'[1]Short Spot'!W32)*100</f>
        <v>0.44585471900306928</v>
      </c>
      <c r="X32" s="19">
        <f>('[1]Short Spot'!X33-'[1]Short Spot'!X32)*100</f>
        <v>0.4362753139832698</v>
      </c>
      <c r="Y32" s="19">
        <f>('[1]Short Spot'!Y33-'[1]Short Spot'!Y32)*100</f>
        <v>0.42706899021665023</v>
      </c>
      <c r="Z32" s="19">
        <f>('[1]Short Spot'!Z33-'[1]Short Spot'!Z32)*100</f>
        <v>0.41815462236174383</v>
      </c>
      <c r="AA32" s="19">
        <f>('[1]Short Spot'!AA33-'[1]Short Spot'!AA32)*100</f>
        <v>0.40943782580393773</v>
      </c>
      <c r="AB32" s="19">
        <f>('[1]Short Spot'!AB33-'[1]Short Spot'!AB32)*100</f>
        <v>0.40082911133501042</v>
      </c>
      <c r="AC32" s="19">
        <f>('[1]Short Spot'!AC33-'[1]Short Spot'!AC32)*100</f>
        <v>0.39225258388544404</v>
      </c>
      <c r="AD32" s="19">
        <f>('[1]Short Spot'!AD33-'[1]Short Spot'!AD32)*100</f>
        <v>0.38364384795892548</v>
      </c>
      <c r="AE32" s="19">
        <f>('[1]Short Spot'!AE33-'[1]Short Spot'!AE32)*100</f>
        <v>0.37494809103595372</v>
      </c>
      <c r="AF32" s="19">
        <f>('[1]Short Spot'!AF33-'[1]Short Spot'!AF32)*100</f>
        <v>0.36611853793324656</v>
      </c>
      <c r="AG32" s="19">
        <f>('[1]Short Spot'!AG33-'[1]Short Spot'!AG32)*100</f>
        <v>0.35711523029888781</v>
      </c>
      <c r="AH32" s="19">
        <f>('[1]Short Spot'!AH33-'[1]Short Spot'!AH32)*100</f>
        <v>0.34790578513925752</v>
      </c>
      <c r="AI32" s="19">
        <f>('[1]Short Spot'!AI33-'[1]Short Spot'!AI32)*100</f>
        <v>0.33846688972660743</v>
      </c>
      <c r="AJ32" s="19">
        <f>('[1]Short Spot'!AJ33-'[1]Short Spot'!AJ32)*100</f>
        <v>0.32878234607958134</v>
      </c>
      <c r="AK32" s="19">
        <f>('[1]Short Spot'!AK33-'[1]Short Spot'!AK32)*100</f>
        <v>0.3188412702022525</v>
      </c>
      <c r="AL32" s="19">
        <f>('[1]Short Spot'!AL33-'[1]Short Spot'!AL32)*100</f>
        <v>0.3086369726412741</v>
      </c>
      <c r="AM32" s="19">
        <f>('[1]Short Spot'!AM33-'[1]Short Spot'!AM32)*100</f>
        <v>0.29816639298561043</v>
      </c>
      <c r="AN32" s="19">
        <f>('[1]Short Spot'!AN33-'[1]Short Spot'!AN32)*100</f>
        <v>0.28742963460288706</v>
      </c>
      <c r="AO32" s="19">
        <f>('[1]Short Spot'!AO33-'[1]Short Spot'!AO32)*100</f>
        <v>0.27642956932929508</v>
      </c>
      <c r="AP32" s="19">
        <f>('[1]Short Spot'!AP33-'[1]Short Spot'!AP32)*100</f>
        <v>0.2651715381777997</v>
      </c>
      <c r="AQ32" s="19">
        <f>('[1]Short Spot'!AQ33-'[1]Short Spot'!AQ32)*100</f>
        <v>0.25366298306446211</v>
      </c>
      <c r="AR32" s="19">
        <f>('[1]Short Spot'!AR33-'[1]Short Spot'!AR32)*100</f>
        <v>0.24191296123481365</v>
      </c>
      <c r="AS32" s="19">
        <f>('[1]Short Spot'!AS33-'[1]Short Spot'!AS32)*100</f>
        <v>0.22993193294471581</v>
      </c>
      <c r="AT32" s="19">
        <f>('[1]Short Spot'!AT33-'[1]Short Spot'!AT32)*100</f>
        <v>0.21773160556914917</v>
      </c>
      <c r="AU32" s="19">
        <f>('[1]Short Spot'!AU33-'[1]Short Spot'!AU32)*100</f>
        <v>0.20532479861001818</v>
      </c>
      <c r="AV32" s="19">
        <f>('[1]Short Spot'!AV33-'[1]Short Spot'!AV32)*100</f>
        <v>0.19272533054905949</v>
      </c>
      <c r="AW32" s="19">
        <f>('[1]Short Spot'!AW33-'[1]Short Spot'!AW32)*100</f>
        <v>0.17994765267692614</v>
      </c>
      <c r="AX32" s="19">
        <f>('[1]Short Spot'!AX33-'[1]Short Spot'!AX32)*100</f>
        <v>0.16700650667198502</v>
      </c>
      <c r="AY32" s="19">
        <f>('[1]Short Spot'!AY33-'[1]Short Spot'!AY32)*100</f>
        <v>0.15391687674952692</v>
      </c>
      <c r="AZ32" s="19">
        <f>('[1]Short Spot'!AZ33-'[1]Short Spot'!AZ32)*100</f>
        <v>0.14069396588460847</v>
      </c>
      <c r="BA32" s="19">
        <f>('[1]Short Spot'!BA33-'[1]Short Spot'!BA32)*100</f>
        <v>0.12735317477554631</v>
      </c>
      <c r="BB32" s="19">
        <f>('[1]Short Spot'!BB33-'[1]Short Spot'!BB32)*100</f>
        <v>0.11391008319296958</v>
      </c>
      <c r="BC32" s="19">
        <f>('[1]Short Spot'!BC33-'[1]Short Spot'!BC32)*100</f>
        <v>0.10038043659212903</v>
      </c>
      <c r="BD32" s="19">
        <f>('[1]Short Spot'!BD33-'[1]Short Spot'!BD32)*100</f>
        <v>8.6780048999024473E-2</v>
      </c>
      <c r="BE32" s="19">
        <f>('[1]Short Spot'!BE33-'[1]Short Spot'!BE32)*100</f>
        <v>7.3124435028493195E-2</v>
      </c>
      <c r="BF32" s="19">
        <f>('[1]Short Spot'!BF33-'[1]Short Spot'!BF32)*100</f>
        <v>5.9428712445530607E-2</v>
      </c>
      <c r="BG32" s="19">
        <f>('[1]Short Spot'!BG33-'[1]Short Spot'!BG32)*100</f>
        <v>4.5707635307135064E-2</v>
      </c>
      <c r="BH32" s="19">
        <f>('[1]Short Spot'!BH33-'[1]Short Spot'!BH32)*100</f>
        <v>3.1975624784763568E-2</v>
      </c>
      <c r="BI32" s="19">
        <f>('[1]Short Spot'!BI33-'[1]Short Spot'!BI32)*100</f>
        <v>1.8246796906939977E-2</v>
      </c>
    </row>
    <row r="33" spans="1:61" x14ac:dyDescent="0.2">
      <c r="A33" s="18">
        <v>39128</v>
      </c>
      <c r="B33" s="19">
        <f>('[1]Short Spot'!B34-'[1]Short Spot'!B33)*100</f>
        <v>0.17145741035982098</v>
      </c>
      <c r="C33" s="19">
        <f>('[1]Short Spot'!C34-'[1]Short Spot'!C33)*100</f>
        <v>-0.67981290981986575</v>
      </c>
      <c r="D33" s="19">
        <f>('[1]Short Spot'!D34-'[1]Short Spot'!D33)*100</f>
        <v>-1.5114888009060579</v>
      </c>
      <c r="E33" s="19">
        <f>('[1]Short Spot'!E34-'[1]Short Spot'!E33)*100</f>
        <v>-2.1885550754172201</v>
      </c>
      <c r="F33" s="19">
        <f>('[1]Short Spot'!F34-'[1]Short Spot'!F33)*100</f>
        <v>-2.7046776684863438</v>
      </c>
      <c r="G33" s="19">
        <f>('[1]Short Spot'!G34-'[1]Short Spot'!G33)*100</f>
        <v>-3.107088270890479</v>
      </c>
      <c r="H33" s="19">
        <f>('[1]Short Spot'!H34-'[1]Short Spot'!H33)*100</f>
        <v>-3.4458338887207951</v>
      </c>
      <c r="I33" s="19">
        <f>('[1]Short Spot'!I34-'[1]Short Spot'!I33)*100</f>
        <v>-3.753398663522578</v>
      </c>
      <c r="J33" s="19">
        <f>('[1]Short Spot'!J34-'[1]Short Spot'!J33)*100</f>
        <v>-4.0438265721814304</v>
      </c>
      <c r="K33" s="19">
        <f>('[1]Short Spot'!K34-'[1]Short Spot'!K33)*100</f>
        <v>-4.3212627610176746</v>
      </c>
      <c r="L33" s="19">
        <f>('[1]Short Spot'!L34-'[1]Short Spot'!L33)*100</f>
        <v>-4.5856547595414021</v>
      </c>
      <c r="M33" s="19">
        <f>('[1]Short Spot'!M34-'[1]Short Spot'!M33)*100</f>
        <v>-4.8363718222280916</v>
      </c>
      <c r="N33" s="19">
        <f>('[1]Short Spot'!N34-'[1]Short Spot'!N33)*100</f>
        <v>-5.0728128889135249</v>
      </c>
      <c r="O33" s="19">
        <f>('[1]Short Spot'!O34-'[1]Short Spot'!O33)*100</f>
        <v>-5.2946848794911183</v>
      </c>
      <c r="P33" s="19">
        <f>('[1]Short Spot'!P34-'[1]Short Spot'!P33)*100</f>
        <v>-5.502024903997782</v>
      </c>
      <c r="Q33" s="19">
        <f>('[1]Short Spot'!Q34-'[1]Short Spot'!Q33)*100</f>
        <v>-5.6951607325014919</v>
      </c>
      <c r="R33" s="19">
        <f>('[1]Short Spot'!R34-'[1]Short Spot'!R33)*100</f>
        <v>-5.8746388618624579</v>
      </c>
      <c r="S33" s="19">
        <f>('[1]Short Spot'!S34-'[1]Short Spot'!S33)*100</f>
        <v>-6.0411637582907574</v>
      </c>
      <c r="T33" s="19">
        <f>('[1]Short Spot'!T34-'[1]Short Spot'!T33)*100</f>
        <v>-6.1955562864660862</v>
      </c>
      <c r="U33" s="19">
        <f>('[1]Short Spot'!U34-'[1]Short Spot'!U33)*100</f>
        <v>-6.3387246096352712</v>
      </c>
      <c r="V33" s="19">
        <f>('[1]Short Spot'!V34-'[1]Short Spot'!V33)*100</f>
        <v>-6.4716319835794955</v>
      </c>
      <c r="W33" s="19">
        <f>('[1]Short Spot'!W34-'[1]Short Spot'!W33)*100</f>
        <v>-6.5952047768930377</v>
      </c>
      <c r="X33" s="19">
        <f>('[1]Short Spot'!X34-'[1]Short Spot'!X33)*100</f>
        <v>-6.7102893020067889</v>
      </c>
      <c r="Y33" s="19">
        <f>('[1]Short Spot'!Y34-'[1]Short Spot'!Y33)*100</f>
        <v>-6.817666492532215</v>
      </c>
      <c r="Z33" s="19">
        <f>('[1]Short Spot'!Z34-'[1]Short Spot'!Z33)*100</f>
        <v>-6.9180649787838888</v>
      </c>
      <c r="AA33" s="19">
        <f>('[1]Short Spot'!AA34-'[1]Short Spot'!AA33)*100</f>
        <v>-7.0121673242629079</v>
      </c>
      <c r="AB33" s="19">
        <f>('[1]Short Spot'!AB34-'[1]Short Spot'!AB33)*100</f>
        <v>-7.1005928107776839</v>
      </c>
      <c r="AC33" s="19">
        <f>('[1]Short Spot'!AC34-'[1]Short Spot'!AC33)*100</f>
        <v>-7.1838925204986914</v>
      </c>
      <c r="AD33" s="19">
        <f>('[1]Short Spot'!AD34-'[1]Short Spot'!AD33)*100</f>
        <v>-7.2625604804243515</v>
      </c>
      <c r="AE33" s="19">
        <f>('[1]Short Spot'!AE34-'[1]Short Spot'!AE33)*100</f>
        <v>-7.3370431715760631</v>
      </c>
      <c r="AF33" s="19">
        <f>('[1]Short Spot'!AF34-'[1]Short Spot'!AF33)*100</f>
        <v>-7.4077471977044063</v>
      </c>
      <c r="AG33" s="19">
        <f>('[1]Short Spot'!AG34-'[1]Short Spot'!AG33)*100</f>
        <v>-7.4750454562749979</v>
      </c>
      <c r="AH33" s="19">
        <f>('[1]Short Spot'!AH34-'[1]Short Spot'!AH33)*100</f>
        <v>-7.539278960434892</v>
      </c>
      <c r="AI33" s="19">
        <f>('[1]Short Spot'!AI34-'[1]Short Spot'!AI33)*100</f>
        <v>-7.6007545369057183</v>
      </c>
      <c r="AJ33" s="19">
        <f>('[1]Short Spot'!AJ34-'[1]Short Spot'!AJ33)*100</f>
        <v>-7.659748492317231</v>
      </c>
      <c r="AK33" s="19">
        <f>('[1]Short Spot'!AK34-'[1]Short Spot'!AK33)*100</f>
        <v>-7.7165095791434268</v>
      </c>
      <c r="AL33" s="19">
        <f>('[1]Short Spot'!AL34-'[1]Short Spot'!AL33)*100</f>
        <v>-7.7712617951346097</v>
      </c>
      <c r="AM33" s="19">
        <f>('[1]Short Spot'!AM34-'[1]Short Spot'!AM33)*100</f>
        <v>-7.824207589549026</v>
      </c>
      <c r="AN33" s="19">
        <f>('[1]Short Spot'!AN34-'[1]Short Spot'!AN33)*100</f>
        <v>-7.8755306257776603</v>
      </c>
      <c r="AO33" s="19">
        <f>('[1]Short Spot'!AO34-'[1]Short Spot'!AO33)*100</f>
        <v>-7.9253981290483999</v>
      </c>
      <c r="AP33" s="19">
        <f>('[1]Short Spot'!AP34-'[1]Short Spot'!AP33)*100</f>
        <v>-7.9739625633714617</v>
      </c>
      <c r="AQ33" s="19">
        <f>('[1]Short Spot'!AQ34-'[1]Short Spot'!AQ33)*100</f>
        <v>-8.0213617258648284</v>
      </c>
      <c r="AR33" s="19">
        <f>('[1]Short Spot'!AR34-'[1]Short Spot'!AR33)*100</f>
        <v>-8.0677195977272298</v>
      </c>
      <c r="AS33" s="19">
        <f>('[1]Short Spot'!AS34-'[1]Short Spot'!AS33)*100</f>
        <v>-8.1131478887917829</v>
      </c>
      <c r="AT33" s="19">
        <f>('[1]Short Spot'!AT34-'[1]Short Spot'!AT33)*100</f>
        <v>-8.1577474010111395</v>
      </c>
      <c r="AU33" s="19">
        <f>('[1]Short Spot'!AU34-'[1]Short Spot'!AU33)*100</f>
        <v>-8.2016092126428575</v>
      </c>
      <c r="AV33" s="19">
        <f>('[1]Short Spot'!AV34-'[1]Short Spot'!AV33)*100</f>
        <v>-8.2448155015073077</v>
      </c>
      <c r="AW33" s="19">
        <f>('[1]Short Spot'!AW34-'[1]Short Spot'!AW33)*100</f>
        <v>-8.2874397727292326</v>
      </c>
      <c r="AX33" s="19">
        <f>('[1]Short Spot'!AX34-'[1]Short Spot'!AX33)*100</f>
        <v>-8.3295475257929574</v>
      </c>
      <c r="AY33" s="19">
        <f>('[1]Short Spot'!AY34-'[1]Short Spot'!AY33)*100</f>
        <v>-8.3711970558067783</v>
      </c>
      <c r="AZ33" s="19">
        <f>('[1]Short Spot'!AZ34-'[1]Short Spot'!AZ33)*100</f>
        <v>-8.4124401598151266</v>
      </c>
      <c r="BA33" s="19">
        <f>('[1]Short Spot'!BA34-'[1]Short Spot'!BA33)*100</f>
        <v>-8.4533227616116591</v>
      </c>
      <c r="BB33" s="19">
        <f>('[1]Short Spot'!BB34-'[1]Short Spot'!BB33)*100</f>
        <v>-8.4938854658201279</v>
      </c>
      <c r="BC33" s="19">
        <f>('[1]Short Spot'!BC34-'[1]Short Spot'!BC33)*100</f>
        <v>-8.5341640350256043</v>
      </c>
      <c r="BD33" s="19">
        <f>('[1]Short Spot'!BD34-'[1]Short Spot'!BD33)*100</f>
        <v>-8.5741895872118334</v>
      </c>
      <c r="BE33" s="19">
        <f>('[1]Short Spot'!BE34-'[1]Short Spot'!BE33)*100</f>
        <v>-8.6139887583632557</v>
      </c>
      <c r="BF33" s="19">
        <f>('[1]Short Spot'!BF34-'[1]Short Spot'!BF33)*100</f>
        <v>-8.6535840898336325</v>
      </c>
      <c r="BG33" s="19">
        <f>('[1]Short Spot'!BG34-'[1]Short Spot'!BG33)*100</f>
        <v>-8.6929943817795063</v>
      </c>
      <c r="BH33" s="19">
        <f>('[1]Short Spot'!BH34-'[1]Short Spot'!BH33)*100</f>
        <v>-8.7322350102107649</v>
      </c>
      <c r="BI33" s="19">
        <f>('[1]Short Spot'!BI34-'[1]Short Spot'!BI33)*100</f>
        <v>-8.7713182123374978</v>
      </c>
    </row>
    <row r="34" spans="1:61" x14ac:dyDescent="0.2">
      <c r="A34" s="18">
        <v>39129</v>
      </c>
      <c r="B34" s="19">
        <f>('[1]Short Spot'!B35-'[1]Short Spot'!B34)*100</f>
        <v>-0.46325141695211514</v>
      </c>
      <c r="C34" s="19">
        <f>('[1]Short Spot'!C35-'[1]Short Spot'!C34)*100</f>
        <v>-9.3936666546579062E-2</v>
      </c>
      <c r="D34" s="19">
        <f>('[1]Short Spot'!D35-'[1]Short Spot'!D34)*100</f>
        <v>0.44754883905584464</v>
      </c>
      <c r="E34" s="19">
        <f>('[1]Short Spot'!E35-'[1]Short Spot'!E34)*100</f>
        <v>0.82993325226610182</v>
      </c>
      <c r="F34" s="19">
        <f>('[1]Short Spot'!F35-'[1]Short Spot'!F34)*100</f>
        <v>1.0065428855271286</v>
      </c>
      <c r="G34" s="19">
        <f>('[1]Short Spot'!G35-'[1]Short Spot'!G34)*100</f>
        <v>1.0339012978670681</v>
      </c>
      <c r="H34" s="19">
        <f>('[1]Short Spot'!H35-'[1]Short Spot'!H34)*100</f>
        <v>0.99424044013582957</v>
      </c>
      <c r="I34" s="19">
        <f>('[1]Short Spot'!I35-'[1]Short Spot'!I34)*100</f>
        <v>0.94228918713881171</v>
      </c>
      <c r="J34" s="19">
        <f>('[1]Short Spot'!J35-'[1]Short Spot'!J34)*100</f>
        <v>0.90371510324391835</v>
      </c>
      <c r="K34" s="19">
        <f>('[1]Short Spot'!K35-'[1]Short Spot'!K34)*100</f>
        <v>0.88852163286210484</v>
      </c>
      <c r="L34" s="19">
        <f>('[1]Short Spot'!L35-'[1]Short Spot'!L34)*100</f>
        <v>0.8970658286900246</v>
      </c>
      <c r="M34" s="19">
        <f>('[1]Short Spot'!M35-'[1]Short Spot'!M34)*100</f>
        <v>0.92512766718160222</v>
      </c>
      <c r="N34" s="19">
        <f>('[1]Short Spot'!N35-'[1]Short Spot'!N34)*100</f>
        <v>0.96728422371157308</v>
      </c>
      <c r="O34" s="19">
        <f>('[1]Short Spot'!O35-'[1]Short Spot'!O34)*100</f>
        <v>1.018083799966174</v>
      </c>
      <c r="P34" s="19">
        <f>('[1]Short Spot'!P35-'[1]Short Spot'!P34)*100</f>
        <v>1.073330616271484</v>
      </c>
      <c r="Q34" s="19">
        <f>('[1]Short Spot'!Q35-'[1]Short Spot'!Q34)*100</f>
        <v>1.1300830848995247</v>
      </c>
      <c r="R34" s="19">
        <f>('[1]Short Spot'!R35-'[1]Short Spot'!R34)*100</f>
        <v>1.1862710568295576</v>
      </c>
      <c r="S34" s="19">
        <f>('[1]Short Spot'!S35-'[1]Short Spot'!S34)*100</f>
        <v>1.240453755439308</v>
      </c>
      <c r="T34" s="19">
        <f>('[1]Short Spot'!T35-'[1]Short Spot'!T34)*100</f>
        <v>1.2916541521908798</v>
      </c>
      <c r="U34" s="19">
        <f>('[1]Short Spot'!U35-'[1]Short Spot'!U34)*100</f>
        <v>1.3392430458574189</v>
      </c>
      <c r="V34" s="19">
        <f>('[1]Short Spot'!V35-'[1]Short Spot'!V34)*100</f>
        <v>1.3828685490383741</v>
      </c>
      <c r="W34" s="19">
        <f>('[1]Short Spot'!W35-'[1]Short Spot'!W34)*100</f>
        <v>1.4223969392003433</v>
      </c>
      <c r="X34" s="19">
        <f>('[1]Short Spot'!X35-'[1]Short Spot'!X34)*100</f>
        <v>1.4578125565356537</v>
      </c>
      <c r="Y34" s="19">
        <f>('[1]Short Spot'!Y35-'[1]Short Spot'!Y34)*100</f>
        <v>1.4891847106784262</v>
      </c>
      <c r="Z34" s="19">
        <f>('[1]Short Spot'!Z35-'[1]Short Spot'!Z34)*100</f>
        <v>1.5166506931754142</v>
      </c>
      <c r="AA34" s="19">
        <f>('[1]Short Spot'!AA35-'[1]Short Spot'!AA34)*100</f>
        <v>1.5404042227257442</v>
      </c>
      <c r="AB34" s="19">
        <f>('[1]Short Spot'!AB35-'[1]Short Spot'!AB34)*100</f>
        <v>1.5606695816631877</v>
      </c>
      <c r="AC34" s="19">
        <f>('[1]Short Spot'!AC35-'[1]Short Spot'!AC34)*100</f>
        <v>1.5776687616028795</v>
      </c>
      <c r="AD34" s="19">
        <f>('[1]Short Spot'!AD35-'[1]Short Spot'!AD34)*100</f>
        <v>1.5916187488387301</v>
      </c>
      <c r="AE34" s="19">
        <f>('[1]Short Spot'!AE35-'[1]Short Spot'!AE34)*100</f>
        <v>1.6027323585634079</v>
      </c>
      <c r="AF34" s="19">
        <f>('[1]Short Spot'!AF35-'[1]Short Spot'!AF34)*100</f>
        <v>1.6112189076268102</v>
      </c>
      <c r="AG34" s="19">
        <f>('[1]Short Spot'!AG35-'[1]Short Spot'!AG34)*100</f>
        <v>1.6172849219127094</v>
      </c>
      <c r="AH34" s="19">
        <f>('[1]Short Spot'!AH35-'[1]Short Spot'!AH34)*100</f>
        <v>1.621136108206489</v>
      </c>
      <c r="AI34" s="19">
        <f>('[1]Short Spot'!AI35-'[1]Short Spot'!AI34)*100</f>
        <v>1.6229691175507099</v>
      </c>
      <c r="AJ34" s="19">
        <f>('[1]Short Spot'!AJ35-'[1]Short Spot'!AJ34)*100</f>
        <v>1.622965434872814</v>
      </c>
      <c r="AK34" s="19">
        <f>('[1]Short Spot'!AK35-'[1]Short Spot'!AK34)*100</f>
        <v>1.621291574906536</v>
      </c>
      <c r="AL34" s="19">
        <f>('[1]Short Spot'!AL35-'[1]Short Spot'!AL34)*100</f>
        <v>1.6181004028521961</v>
      </c>
      <c r="AM34" s="19">
        <f>('[1]Short Spot'!AM35-'[1]Short Spot'!AM34)*100</f>
        <v>1.6135329173832424</v>
      </c>
      <c r="AN34" s="19">
        <f>('[1]Short Spot'!AN35-'[1]Short Spot'!AN34)*100</f>
        <v>1.6077197719960523</v>
      </c>
      <c r="AO34" s="19">
        <f>('[1]Short Spot'!AO35-'[1]Short Spot'!AO34)*100</f>
        <v>1.6007825699273504</v>
      </c>
      <c r="AP34" s="19">
        <f>('[1]Short Spot'!AP35-'[1]Short Spot'!AP34)*100</f>
        <v>1.5928348792225044</v>
      </c>
      <c r="AQ34" s="19">
        <f>('[1]Short Spot'!AQ35-'[1]Short Spot'!AQ34)*100</f>
        <v>1.58398155569488</v>
      </c>
      <c r="AR34" s="19">
        <f>('[1]Short Spot'!AR35-'[1]Short Spot'!AR34)*100</f>
        <v>1.5743182824141222</v>
      </c>
      <c r="AS34" s="19">
        <f>('[1]Short Spot'!AS35-'[1]Short Spot'!AS34)*100</f>
        <v>1.5639325174982233</v>
      </c>
      <c r="AT34" s="19">
        <f>('[1]Short Spot'!AT35-'[1]Short Spot'!AT34)*100</f>
        <v>1.5529044079971577</v>
      </c>
      <c r="AU34" s="19">
        <f>('[1]Short Spot'!AU35-'[1]Short Spot'!AU34)*100</f>
        <v>1.54130758983273</v>
      </c>
      <c r="AV34" s="19">
        <f>('[1]Short Spot'!AV35-'[1]Short Spot'!AV34)*100</f>
        <v>1.5292100399045161</v>
      </c>
      <c r="AW34" s="19">
        <f>('[1]Short Spot'!AW35-'[1]Short Spot'!AW34)*100</f>
        <v>1.5166743771453994</v>
      </c>
      <c r="AX34" s="19">
        <f>('[1]Short Spot'!AX35-'[1]Short Spot'!AX34)*100</f>
        <v>1.5037579097345599</v>
      </c>
      <c r="AY34" s="19">
        <f>('[1]Short Spot'!AY35-'[1]Short Spot'!AY34)*100</f>
        <v>1.4905131355344992</v>
      </c>
      <c r="AZ34" s="19">
        <f>('[1]Short Spot'!AZ35-'[1]Short Spot'!AZ34)*100</f>
        <v>1.476988213690511</v>
      </c>
      <c r="BA34" s="19">
        <f>('[1]Short Spot'!BA35-'[1]Short Spot'!BA34)*100</f>
        <v>1.4632273818154573</v>
      </c>
      <c r="BB34" s="19">
        <f>('[1]Short Spot'!BB35-'[1]Short Spot'!BB34)*100</f>
        <v>1.4492713259446788</v>
      </c>
      <c r="BC34" s="19">
        <f>('[1]Short Spot'!BC35-'[1]Short Spot'!BC34)*100</f>
        <v>1.435157543476695</v>
      </c>
      <c r="BD34" s="19">
        <f>('[1]Short Spot'!BD35-'[1]Short Spot'!BD34)*100</f>
        <v>1.4209207930765189</v>
      </c>
      <c r="BE34" s="19">
        <f>('[1]Short Spot'!BE35-'[1]Short Spot'!BE34)*100</f>
        <v>1.4065930219785194</v>
      </c>
      <c r="BF34" s="19">
        <f>('[1]Short Spot'!BF35-'[1]Short Spot'!BF34)*100</f>
        <v>1.3922034485130297</v>
      </c>
      <c r="BG34" s="19">
        <f>('[1]Short Spot'!BG35-'[1]Short Spot'!BG34)*100</f>
        <v>1.3777787964537325</v>
      </c>
      <c r="BH34" s="19">
        <f>('[1]Short Spot'!BH35-'[1]Short Spot'!BH34)*100</f>
        <v>1.3633435064209998</v>
      </c>
      <c r="BI34" s="19">
        <f>('[1]Short Spot'!BI35-'[1]Short Spot'!BI34)*100</f>
        <v>1.3489199261451645</v>
      </c>
    </row>
    <row r="35" spans="1:61" x14ac:dyDescent="0.2">
      <c r="A35" s="18">
        <v>39132</v>
      </c>
      <c r="B35" s="19">
        <f>('[1]Short Spot'!B36-'[1]Short Spot'!B35)*100</f>
        <v>-3.7227095982128589E-2</v>
      </c>
      <c r="C35" s="19">
        <f>('[1]Short Spot'!C36-'[1]Short Spot'!C35)*100</f>
        <v>0.3946096590007997</v>
      </c>
      <c r="D35" s="19">
        <f>('[1]Short Spot'!D36-'[1]Short Spot'!D35)*100</f>
        <v>0.58958167973974795</v>
      </c>
      <c r="E35" s="19">
        <f>('[1]Short Spot'!E36-'[1]Short Spot'!E35)*100</f>
        <v>0.75809066975622841</v>
      </c>
      <c r="F35" s="19">
        <f>('[1]Short Spot'!F36-'[1]Short Spot'!F35)*100</f>
        <v>0.92140589116924687</v>
      </c>
      <c r="G35" s="19">
        <f>('[1]Short Spot'!G36-'[1]Short Spot'!G35)*100</f>
        <v>1.0722458361124509</v>
      </c>
      <c r="H35" s="19">
        <f>('[1]Short Spot'!H36-'[1]Short Spot'!H35)*100</f>
        <v>1.2026959340570187</v>
      </c>
      <c r="I35" s="19">
        <f>('[1]Short Spot'!I36-'[1]Short Spot'!I35)*100</f>
        <v>1.3091104824375144</v>
      </c>
      <c r="J35" s="19">
        <f>('[1]Short Spot'!J36-'[1]Short Spot'!J35)*100</f>
        <v>1.392835876076326</v>
      </c>
      <c r="K35" s="19">
        <f>('[1]Short Spot'!K36-'[1]Short Spot'!K35)*100</f>
        <v>1.4576652723557793</v>
      </c>
      <c r="L35" s="19">
        <f>('[1]Short Spot'!L36-'[1]Short Spot'!L35)*100</f>
        <v>1.5064618814703223</v>
      </c>
      <c r="M35" s="19">
        <f>('[1]Short Spot'!M36-'[1]Short Spot'!M35)*100</f>
        <v>1.5413646055872476</v>
      </c>
      <c r="N35" s="19">
        <f>('[1]Short Spot'!N36-'[1]Short Spot'!N35)*100</f>
        <v>1.5647156939151863</v>
      </c>
      <c r="O35" s="19">
        <f>('[1]Short Spot'!O36-'[1]Short Spot'!O35)*100</f>
        <v>1.5788366929634812</v>
      </c>
      <c r="P35" s="19">
        <f>('[1]Short Spot'!P36-'[1]Short Spot'!P35)*100</f>
        <v>1.5859654595722361</v>
      </c>
      <c r="Q35" s="19">
        <f>('[1]Short Spot'!Q36-'[1]Short Spot'!Q35)*100</f>
        <v>1.5878284829109468</v>
      </c>
      <c r="R35" s="19">
        <f>('[1]Short Spot'!R36-'[1]Short Spot'!R35)*100</f>
        <v>1.5857640934207495</v>
      </c>
      <c r="S35" s="19">
        <f>('[1]Short Spot'!S36-'[1]Short Spot'!S35)*100</f>
        <v>1.5808302846849642</v>
      </c>
      <c r="T35" s="19">
        <f>('[1]Short Spot'!T36-'[1]Short Spot'!T35)*100</f>
        <v>1.5738784862855404</v>
      </c>
      <c r="U35" s="19">
        <f>('[1]Short Spot'!U36-'[1]Short Spot'!U35)*100</f>
        <v>1.5656052208730564</v>
      </c>
      <c r="V35" s="19">
        <f>('[1]Short Spot'!V36-'[1]Short Spot'!V35)*100</f>
        <v>1.5565896592717898</v>
      </c>
      <c r="W35" s="19">
        <f>('[1]Short Spot'!W36-'[1]Short Spot'!W35)*100</f>
        <v>1.5472958792569713</v>
      </c>
      <c r="X35" s="19">
        <f>('[1]Short Spot'!X36-'[1]Short Spot'!X35)*100</f>
        <v>1.538066203101085</v>
      </c>
      <c r="Y35" s="19">
        <f>('[1]Short Spot'!Y36-'[1]Short Spot'!Y35)*100</f>
        <v>1.5291437077635806</v>
      </c>
      <c r="Z35" s="19">
        <f>('[1]Short Spot'!Z36-'[1]Short Spot'!Z35)*100</f>
        <v>1.5206920824619274</v>
      </c>
      <c r="AA35" s="19">
        <f>('[1]Short Spot'!AA36-'[1]Short Spot'!AA35)*100</f>
        <v>1.5128144635280449</v>
      </c>
      <c r="AB35" s="19">
        <f>('[1]Short Spot'!AB36-'[1]Short Spot'!AB35)*100</f>
        <v>1.5055784743004175</v>
      </c>
      <c r="AC35" s="19">
        <f>('[1]Short Spot'!AC36-'[1]Short Spot'!AC35)*100</f>
        <v>1.4990268632797843</v>
      </c>
      <c r="AD35" s="19">
        <f>('[1]Short Spot'!AD36-'[1]Short Spot'!AD35)*100</f>
        <v>1.4931816570723733</v>
      </c>
      <c r="AE35" s="19">
        <f>('[1]Short Spot'!AE36-'[1]Short Spot'!AE35)*100</f>
        <v>1.488047614039445</v>
      </c>
      <c r="AF35" s="19">
        <f>('[1]Short Spot'!AF36-'[1]Short Spot'!AF35)*100</f>
        <v>1.4836150094971856</v>
      </c>
      <c r="AG35" s="19">
        <f>('[1]Short Spot'!AG36-'[1]Short Spot'!AG35)*100</f>
        <v>1.479862021012579</v>
      </c>
      <c r="AH35" s="19">
        <f>('[1]Short Spot'!AH36-'[1]Short Spot'!AH35)*100</f>
        <v>1.476759663059557</v>
      </c>
      <c r="AI35" s="19">
        <f>('[1]Short Spot'!AI36-'[1]Short Spot'!AI35)*100</f>
        <v>1.4742767273046908</v>
      </c>
      <c r="AJ35" s="19">
        <f>('[1]Short Spot'!AJ36-'[1]Short Spot'!AJ35)*100</f>
        <v>1.4723803076207354</v>
      </c>
      <c r="AK35" s="19">
        <f>('[1]Short Spot'!AK36-'[1]Short Spot'!AK35)*100</f>
        <v>1.4710375396187025</v>
      </c>
      <c r="AL35" s="19">
        <f>('[1]Short Spot'!AL36-'[1]Short Spot'!AL35)*100</f>
        <v>1.4702163988189909</v>
      </c>
      <c r="AM35" s="19">
        <f>('[1]Short Spot'!AM36-'[1]Short Spot'!AM35)*100</f>
        <v>1.4698856178536168</v>
      </c>
      <c r="AN35" s="19">
        <f>('[1]Short Spot'!AN36-'[1]Short Spot'!AN35)*100</f>
        <v>1.4700145893998595</v>
      </c>
      <c r="AO35" s="19">
        <f>('[1]Short Spot'!AO36-'[1]Short Spot'!AO35)*100</f>
        <v>1.4705732858814713</v>
      </c>
      <c r="AP35" s="19">
        <f>('[1]Short Spot'!AP36-'[1]Short Spot'!AP35)*100</f>
        <v>1.4715324753234782</v>
      </c>
      <c r="AQ35" s="19">
        <f>('[1]Short Spot'!AQ36-'[1]Short Spot'!AQ35)*100</f>
        <v>1.4728645648713901</v>
      </c>
      <c r="AR35" s="19">
        <f>('[1]Short Spot'!AR36-'[1]Short Spot'!AR35)*100</f>
        <v>1.4745437105819548</v>
      </c>
      <c r="AS35" s="19">
        <f>('[1]Short Spot'!AS36-'[1]Short Spot'!AS35)*100</f>
        <v>1.4765456194431259</v>
      </c>
      <c r="AT35" s="19">
        <f>('[1]Short Spot'!AT36-'[1]Short Spot'!AT35)*100</f>
        <v>1.4788473770476429</v>
      </c>
      <c r="AU35" s="19">
        <f>('[1]Short Spot'!AU36-'[1]Short Spot'!AU35)*100</f>
        <v>1.4814273005519851</v>
      </c>
      <c r="AV35" s="19">
        <f>('[1]Short Spot'!AV36-'[1]Short Spot'!AV35)*100</f>
        <v>1.4842648788860657</v>
      </c>
      <c r="AW35" s="19">
        <f>('[1]Short Spot'!AW36-'[1]Short Spot'!AW35)*100</f>
        <v>1.4873406062829275</v>
      </c>
      <c r="AX35" s="19">
        <f>('[1]Short Spot'!AX36-'[1]Short Spot'!AX35)*100</f>
        <v>1.490635759052239</v>
      </c>
      <c r="AY35" s="19">
        <f>('[1]Short Spot'!AY36-'[1]Short Spot'!AY35)*100</f>
        <v>1.4941323110867266</v>
      </c>
      <c r="AZ35" s="19">
        <f>('[1]Short Spot'!AZ36-'[1]Short Spot'!AZ35)*100</f>
        <v>1.497812865472703</v>
      </c>
      <c r="BA35" s="19">
        <f>('[1]Short Spot'!BA36-'[1]Short Spot'!BA35)*100</f>
        <v>1.5016605939891292</v>
      </c>
      <c r="BB35" s="19">
        <f>('[1]Short Spot'!BB36-'[1]Short Spot'!BB35)*100</f>
        <v>1.5056591834592403</v>
      </c>
      <c r="BC35" s="19">
        <f>('[1]Short Spot'!BC36-'[1]Short Spot'!BC35)*100</f>
        <v>1.5097928046370335</v>
      </c>
      <c r="BD35" s="19">
        <f>('[1]Short Spot'!BD36-'[1]Short Spot'!BD35)*100</f>
        <v>1.5140461626605095</v>
      </c>
      <c r="BE35" s="19">
        <f>('[1]Short Spot'!BE36-'[1]Short Spot'!BE35)*100</f>
        <v>1.5184044023363263</v>
      </c>
      <c r="BF35" s="19">
        <f>('[1]Short Spot'!BF36-'[1]Short Spot'!BF35)*100</f>
        <v>1.5228530331072854</v>
      </c>
      <c r="BG35" s="19">
        <f>('[1]Short Spot'!BG36-'[1]Short Spot'!BG35)*100</f>
        <v>1.5273778975275931</v>
      </c>
      <c r="BH35" s="19">
        <f>('[1]Short Spot'!BH36-'[1]Short Spot'!BH35)*100</f>
        <v>1.5319651430319325</v>
      </c>
      <c r="BI35" s="19">
        <f>('[1]Short Spot'!BI36-'[1]Short Spot'!BI35)*100</f>
        <v>1.5366011965294746</v>
      </c>
    </row>
    <row r="36" spans="1:61" x14ac:dyDescent="0.2">
      <c r="A36" s="18">
        <v>39133</v>
      </c>
      <c r="B36" s="19">
        <f>('[1]Short Spot'!B37-'[1]Short Spot'!B36)*100</f>
        <v>0.79745643368784869</v>
      </c>
      <c r="C36" s="19">
        <f>('[1]Short Spot'!C37-'[1]Short Spot'!C36)*100</f>
        <v>0.98261921240796468</v>
      </c>
      <c r="D36" s="19">
        <f>('[1]Short Spot'!D37-'[1]Short Spot'!D36)*100</f>
        <v>1.0893681357763363</v>
      </c>
      <c r="E36" s="19">
        <f>('[1]Short Spot'!E37-'[1]Short Spot'!E36)*100</f>
        <v>1.2085032143254182</v>
      </c>
      <c r="F36" s="19">
        <f>('[1]Short Spot'!F37-'[1]Short Spot'!F36)*100</f>
        <v>1.3428831939852337</v>
      </c>
      <c r="G36" s="19">
        <f>('[1]Short Spot'!G37-'[1]Short Spot'!G36)*100</f>
        <v>1.469308159374183</v>
      </c>
      <c r="H36" s="19">
        <f>('[1]Short Spot'!H37-'[1]Short Spot'!H36)*100</f>
        <v>1.5708522610155207</v>
      </c>
      <c r="I36" s="19">
        <f>('[1]Short Spot'!I37-'[1]Short Spot'!I36)*100</f>
        <v>1.6411322525872407</v>
      </c>
      <c r="J36" s="19">
        <f>('[1]Short Spot'!J37-'[1]Short Spot'!J36)*100</f>
        <v>1.6820425637988023</v>
      </c>
      <c r="K36" s="19">
        <f>('[1]Short Spot'!K37-'[1]Short Spot'!K36)*100</f>
        <v>1.6997083278138092</v>
      </c>
      <c r="L36" s="19">
        <f>('[1]Short Spot'!L37-'[1]Short Spot'!L36)*100</f>
        <v>1.7008240751408721</v>
      </c>
      <c r="M36" s="19">
        <f>('[1]Short Spot'!M37-'[1]Short Spot'!M36)*100</f>
        <v>1.6907105665426414</v>
      </c>
      <c r="N36" s="19">
        <f>('[1]Short Spot'!N37-'[1]Short Spot'!N36)*100</f>
        <v>1.6736077917612668</v>
      </c>
      <c r="O36" s="19">
        <f>('[1]Short Spot'!O37-'[1]Short Spot'!O36)*100</f>
        <v>1.6523219137613232</v>
      </c>
      <c r="P36" s="19">
        <f>('[1]Short Spot'!P37-'[1]Short Spot'!P36)*100</f>
        <v>1.6286536351755032</v>
      </c>
      <c r="Q36" s="19">
        <f>('[1]Short Spot'!Q37-'[1]Short Spot'!Q36)*100</f>
        <v>1.6038468819635554</v>
      </c>
      <c r="R36" s="19">
        <f>('[1]Short Spot'!R37-'[1]Short Spot'!R36)*100</f>
        <v>1.5787493032509481</v>
      </c>
      <c r="S36" s="19">
        <f>('[1]Short Spot'!S37-'[1]Short Spot'!S36)*100</f>
        <v>1.5539223482289088</v>
      </c>
      <c r="T36" s="19">
        <f>('[1]Short Spot'!T37-'[1]Short Spot'!T36)*100</f>
        <v>1.5297165819252001</v>
      </c>
      <c r="U36" s="19">
        <f>('[1]Short Spot'!U37-'[1]Short Spot'!U36)*100</f>
        <v>1.5063244429931899</v>
      </c>
      <c r="V36" s="19">
        <f>('[1]Short Spot'!V37-'[1]Short Spot'!V36)*100</f>
        <v>1.483829802039871</v>
      </c>
      <c r="W36" s="19">
        <f>('[1]Short Spot'!W37-'[1]Short Spot'!W36)*100</f>
        <v>1.4622747959324833</v>
      </c>
      <c r="X36" s="19">
        <f>('[1]Short Spot'!X37-'[1]Short Spot'!X36)*100</f>
        <v>1.4416798881433657</v>
      </c>
      <c r="Y36" s="19">
        <f>('[1]Short Spot'!Y37-'[1]Short Spot'!Y36)*100</f>
        <v>1.4220478073731613</v>
      </c>
      <c r="Z36" s="19">
        <f>('[1]Short Spot'!Z37-'[1]Short Spot'!Z36)*100</f>
        <v>1.4033671083999444</v>
      </c>
      <c r="AA36" s="19">
        <f>('[1]Short Spot'!AA37-'[1]Short Spot'!AA36)*100</f>
        <v>1.3856178519970896</v>
      </c>
      <c r="AB36" s="19">
        <f>('[1]Short Spot'!AB37-'[1]Short Spot'!AB36)*100</f>
        <v>1.3687808084518416</v>
      </c>
      <c r="AC36" s="19">
        <f>('[1]Short Spot'!AC37-'[1]Short Spot'!AC36)*100</f>
        <v>1.352837163354792</v>
      </c>
      <c r="AD36" s="19">
        <f>('[1]Short Spot'!AD37-'[1]Short Spot'!AD36)*100</f>
        <v>1.3377681081010451</v>
      </c>
      <c r="AE36" s="19">
        <f>('[1]Short Spot'!AE37-'[1]Short Spot'!AE36)*100</f>
        <v>1.3235548389217477</v>
      </c>
      <c r="AF36" s="19">
        <f>('[1]Short Spot'!AF37-'[1]Short Spot'!AF36)*100</f>
        <v>1.3101785561056012</v>
      </c>
      <c r="AG36" s="19">
        <f>('[1]Short Spot'!AG37-'[1]Short Spot'!AG36)*100</f>
        <v>1.2976205775910188</v>
      </c>
      <c r="AH36" s="19">
        <f>('[1]Short Spot'!AH37-'[1]Short Spot'!AH36)*100</f>
        <v>1.2858639232143254</v>
      </c>
      <c r="AI36" s="19">
        <f>('[1]Short Spot'!AI37-'[1]Short Spot'!AI36)*100</f>
        <v>1.2748927025177714</v>
      </c>
      <c r="AJ36" s="19">
        <f>('[1]Short Spot'!AJ37-'[1]Short Spot'!AJ36)*100</f>
        <v>1.2646908035626403</v>
      </c>
      <c r="AK36" s="19">
        <f>('[1]Short Spot'!AK37-'[1]Short Spot'!AK36)*100</f>
        <v>1.2552423307949923</v>
      </c>
      <c r="AL36" s="19">
        <f>('[1]Short Spot'!AL37-'[1]Short Spot'!AL36)*100</f>
        <v>1.2465318043272333</v>
      </c>
      <c r="AM36" s="19">
        <f>('[1]Short Spot'!AM37-'[1]Short Spot'!AM36)*100</f>
        <v>1.2385441127911179</v>
      </c>
      <c r="AN36" s="19">
        <f>('[1]Short Spot'!AN37-'[1]Short Spot'!AN36)*100</f>
        <v>1.2312644660911864</v>
      </c>
      <c r="AO36" s="19">
        <f>('[1]Short Spot'!AO37-'[1]Short Spot'!AO36)*100</f>
        <v>1.2246783573366393</v>
      </c>
      <c r="AP36" s="19">
        <f>('[1]Short Spot'!AP37-'[1]Short Spot'!AP36)*100</f>
        <v>1.2187716227728629</v>
      </c>
      <c r="AQ36" s="19">
        <f>('[1]Short Spot'!AQ37-'[1]Short Spot'!AQ36)*100</f>
        <v>1.21353040922898</v>
      </c>
      <c r="AR36" s="19">
        <f>('[1]Short Spot'!AR37-'[1]Short Spot'!AR36)*100</f>
        <v>1.2089409854242561</v>
      </c>
      <c r="AS36" s="19">
        <f>('[1]Short Spot'!AS37-'[1]Short Spot'!AS36)*100</f>
        <v>1.2049897163463719</v>
      </c>
      <c r="AT36" s="19">
        <f>('[1]Short Spot'!AT37-'[1]Short Spot'!AT36)*100</f>
        <v>1.2016630525551797</v>
      </c>
      <c r="AU36" s="19">
        <f>('[1]Short Spot'!AU37-'[1]Short Spot'!AU36)*100</f>
        <v>1.1989475239937875</v>
      </c>
      <c r="AV36" s="19">
        <f>('[1]Short Spot'!AV37-'[1]Short Spot'!AV36)*100</f>
        <v>1.1968297790250659</v>
      </c>
      <c r="AW36" s="19">
        <f>('[1]Short Spot'!AW37-'[1]Short Spot'!AW36)*100</f>
        <v>1.1952964439655211</v>
      </c>
      <c r="AX36" s="19">
        <f>('[1]Short Spot'!AX37-'[1]Short Spot'!AX36)*100</f>
        <v>1.1943339857712232</v>
      </c>
      <c r="AY36" s="19">
        <f>('[1]Short Spot'!AY37-'[1]Short Spot'!AY36)*100</f>
        <v>1.1939287224862483</v>
      </c>
      <c r="AZ36" s="19">
        <f>('[1]Short Spot'!AZ37-'[1]Short Spot'!AZ36)*100</f>
        <v>1.194066837841401</v>
      </c>
      <c r="BA36" s="19">
        <f>('[1]Short Spot'!BA37-'[1]Short Spot'!BA36)*100</f>
        <v>1.1947343941700161</v>
      </c>
      <c r="BB36" s="19">
        <f>('[1]Short Spot'!BB37-'[1]Short Spot'!BB36)*100</f>
        <v>1.1959173438590653</v>
      </c>
      <c r="BC36" s="19">
        <f>('[1]Short Spot'!BC37-'[1]Short Spot'!BC36)*100</f>
        <v>1.1976015530708928</v>
      </c>
      <c r="BD36" s="19">
        <f>('[1]Short Spot'!BD37-'[1]Short Spot'!BD36)*100</f>
        <v>1.1997728273739128</v>
      </c>
      <c r="BE36" s="19">
        <f>('[1]Short Spot'!BE37-'[1]Short Spot'!BE36)*100</f>
        <v>1.2024167701778943</v>
      </c>
      <c r="BF36" s="19">
        <f>('[1]Short Spot'!BF37-'[1]Short Spot'!BF36)*100</f>
        <v>1.205518755205226</v>
      </c>
      <c r="BG36" s="19">
        <f>('[1]Short Spot'!BG37-'[1]Short Spot'!BG36)*100</f>
        <v>1.2090639462440933</v>
      </c>
      <c r="BH36" s="19">
        <f>('[1]Short Spot'!BH37-'[1]Short Spot'!BH36)*100</f>
        <v>1.2130373149409124</v>
      </c>
      <c r="BI36" s="19">
        <f>('[1]Short Spot'!BI37-'[1]Short Spot'!BI36)*100</f>
        <v>1.2174236568109009</v>
      </c>
    </row>
    <row r="37" spans="1:61" x14ac:dyDescent="0.2">
      <c r="A37" s="18">
        <v>39134</v>
      </c>
      <c r="B37" s="19">
        <f>('[1]Short Spot'!B38-'[1]Short Spot'!B37)*100</f>
        <v>-0.80691782454458405</v>
      </c>
      <c r="C37" s="19">
        <f>('[1]Short Spot'!C38-'[1]Short Spot'!C37)*100</f>
        <v>-0.99115090003989437</v>
      </c>
      <c r="D37" s="19">
        <f>('[1]Short Spot'!D38-'[1]Short Spot'!D37)*100</f>
        <v>-0.96017958863363617</v>
      </c>
      <c r="E37" s="19">
        <f>('[1]Short Spot'!E38-'[1]Short Spot'!E37)*100</f>
        <v>-0.98541829489366961</v>
      </c>
      <c r="F37" s="19">
        <f>('[1]Short Spot'!F38-'[1]Short Spot'!F37)*100</f>
        <v>-1.0892714795089908</v>
      </c>
      <c r="G37" s="19">
        <f>('[1]Short Spot'!G38-'[1]Short Spot'!G37)*100</f>
        <v>-1.23138476940019</v>
      </c>
      <c r="H37" s="19">
        <f>('[1]Short Spot'!H38-'[1]Short Spot'!H37)*100</f>
        <v>-1.3741030102237595</v>
      </c>
      <c r="I37" s="19">
        <f>('[1]Short Spot'!I38-'[1]Short Spot'!I37)*100</f>
        <v>-1.4995896437639544</v>
      </c>
      <c r="J37" s="19">
        <f>('[1]Short Spot'!J38-'[1]Short Spot'!J37)*100</f>
        <v>-1.6016462318106051</v>
      </c>
      <c r="K37" s="19">
        <f>('[1]Short Spot'!K38-'[1]Short Spot'!K37)*100</f>
        <v>-1.6800530556153603</v>
      </c>
      <c r="L37" s="19">
        <f>('[1]Short Spot'!L38-'[1]Short Spot'!L37)*100</f>
        <v>-1.7376865500973615</v>
      </c>
      <c r="M37" s="19">
        <f>('[1]Short Spot'!M38-'[1]Short Spot'!M37)*100</f>
        <v>-1.77789798082717</v>
      </c>
      <c r="N37" s="19">
        <f>('[1]Short Spot'!N38-'[1]Short Spot'!N37)*100</f>
        <v>-1.8038679145271352</v>
      </c>
      <c r="O37" s="19">
        <f>('[1]Short Spot'!O38-'[1]Short Spot'!O37)*100</f>
        <v>-1.8190963045746855</v>
      </c>
      <c r="P37" s="19">
        <f>('[1]Short Spot'!P38-'[1]Short Spot'!P37)*100</f>
        <v>-1.8265299115074463</v>
      </c>
      <c r="Q37" s="19">
        <f>('[1]Short Spot'!Q38-'[1]Short Spot'!Q37)*100</f>
        <v>-1.8283540309817603</v>
      </c>
      <c r="R37" s="19">
        <f>('[1]Short Spot'!R38-'[1]Short Spot'!R37)*100</f>
        <v>-1.826216086703969</v>
      </c>
      <c r="S37" s="19">
        <f>('[1]Short Spot'!S38-'[1]Short Spot'!S37)*100</f>
        <v>-1.8213750393069716</v>
      </c>
      <c r="T37" s="19">
        <f>('[1]Short Spot'!T38-'[1]Short Spot'!T37)*100</f>
        <v>-1.8148036134732592</v>
      </c>
      <c r="U37" s="19">
        <f>('[1]Short Spot'!U38-'[1]Short Spot'!U37)*100</f>
        <v>-1.8072598008683549</v>
      </c>
      <c r="V37" s="19">
        <f>('[1]Short Spot'!V38-'[1]Short Spot'!V37)*100</f>
        <v>-1.7993288381445538</v>
      </c>
      <c r="W37" s="19">
        <f>('[1]Short Spot'!W38-'[1]Short Spot'!W37)*100</f>
        <v>-1.7914434795403444</v>
      </c>
      <c r="X37" s="19">
        <f>('[1]Short Spot'!X38-'[1]Short Spot'!X37)*100</f>
        <v>-1.7839214593852404</v>
      </c>
      <c r="Y37" s="19">
        <f>('[1]Short Spot'!Y38-'[1]Short Spot'!Y37)*100</f>
        <v>-1.7769906489139231</v>
      </c>
      <c r="Z37" s="19">
        <f>('[1]Short Spot'!Z38-'[1]Short Spot'!Z37)*100</f>
        <v>-1.7708070130666442</v>
      </c>
      <c r="AA37" s="19">
        <f>('[1]Short Spot'!AA38-'[1]Short Spot'!AA37)*100</f>
        <v>-1.7654681341291223</v>
      </c>
      <c r="AB37" s="19">
        <f>('[1]Short Spot'!AB38-'[1]Short Spot'!AB37)*100</f>
        <v>-1.7610316630606526</v>
      </c>
      <c r="AC37" s="19">
        <f>('[1]Short Spot'!AC38-'[1]Short Spot'!AC37)*100</f>
        <v>-1.7575310758934037</v>
      </c>
      <c r="AD37" s="19">
        <f>('[1]Short Spot'!AD38-'[1]Short Spot'!AD37)*100</f>
        <v>-1.7549804600571761</v>
      </c>
      <c r="AE37" s="19">
        <f>('[1]Short Spot'!AE38-'[1]Short Spot'!AE37)*100</f>
        <v>-1.7533777458132782</v>
      </c>
      <c r="AF37" s="19">
        <f>('[1]Short Spot'!AF38-'[1]Short Spot'!AF37)*100</f>
        <v>-1.7527073122483472</v>
      </c>
      <c r="AG37" s="19">
        <f>('[1]Short Spot'!AG38-'[1]Short Spot'!AG37)*100</f>
        <v>-1.752941996316526</v>
      </c>
      <c r="AH37" s="19">
        <f>('[1]Short Spot'!AH38-'[1]Short Spot'!AH37)*100</f>
        <v>-1.7540441644730898</v>
      </c>
      <c r="AI37" s="19">
        <f>('[1]Short Spot'!AI38-'[1]Short Spot'!AI37)*100</f>
        <v>-1.7559698020329861</v>
      </c>
      <c r="AJ37" s="19">
        <f>('[1]Short Spot'!AJ38-'[1]Short Spot'!AJ37)*100</f>
        <v>-1.7586718675247859</v>
      </c>
      <c r="AK37" s="19">
        <f>('[1]Short Spot'!AK38-'[1]Short Spot'!AK37)*100</f>
        <v>-1.7621035667011675</v>
      </c>
      <c r="AL37" s="19">
        <f>('[1]Short Spot'!AL38-'[1]Short Spot'!AL37)*100</f>
        <v>-1.7662194198667436</v>
      </c>
      <c r="AM37" s="19">
        <f>('[1]Short Spot'!AM38-'[1]Short Spot'!AM37)*100</f>
        <v>-1.7709751106202987</v>
      </c>
      <c r="AN37" s="19">
        <f>('[1]Short Spot'!AN38-'[1]Short Spot'!AN37)*100</f>
        <v>-1.7763273367140009</v>
      </c>
      <c r="AO37" s="19">
        <f>('[1]Short Spot'!AO38-'[1]Short Spot'!AO37)*100</f>
        <v>-1.7822336830743524</v>
      </c>
      <c r="AP37" s="19">
        <f>('[1]Short Spot'!AP38-'[1]Short Spot'!AP37)*100</f>
        <v>-1.7886527505746486</v>
      </c>
      <c r="AQ37" s="19">
        <f>('[1]Short Spot'!AQ38-'[1]Short Spot'!AQ37)*100</f>
        <v>-1.7955452712862474</v>
      </c>
      <c r="AR37" s="19">
        <f>('[1]Short Spot'!AR38-'[1]Short Spot'!AR37)*100</f>
        <v>-1.8028745008375147</v>
      </c>
      <c r="AS37" s="19">
        <f>('[1]Short Spot'!AS38-'[1]Short Spot'!AS37)*100</f>
        <v>-1.8106059518444795</v>
      </c>
      <c r="AT37" s="19">
        <f>('[1]Short Spot'!AT38-'[1]Short Spot'!AT37)*100</f>
        <v>-1.8187071431329471</v>
      </c>
      <c r="AU37" s="19">
        <f>('[1]Short Spot'!AU38-'[1]Short Spot'!AU37)*100</f>
        <v>-1.8271473785878456</v>
      </c>
      <c r="AV37" s="19">
        <f>('[1]Short Spot'!AV38-'[1]Short Spot'!AV37)*100</f>
        <v>-1.8358975484565221</v>
      </c>
      <c r="AW37" s="19">
        <f>('[1]Short Spot'!AW38-'[1]Short Spot'!AW37)*100</f>
        <v>-1.8449302002178314</v>
      </c>
      <c r="AX37" s="19">
        <f>('[1]Short Spot'!AX38-'[1]Short Spot'!AX37)*100</f>
        <v>-1.8542195299318998</v>
      </c>
      <c r="AY37" s="19">
        <f>('[1]Short Spot'!AY38-'[1]Short Spot'!AY37)*100</f>
        <v>-1.8637412220769534</v>
      </c>
      <c r="AZ37" s="19">
        <f>('[1]Short Spot'!AZ38-'[1]Short Spot'!AZ37)*100</f>
        <v>-1.873472303625956</v>
      </c>
      <c r="BA37" s="19">
        <f>('[1]Short Spot'!BA38-'[1]Short Spot'!BA37)*100</f>
        <v>-1.8833910149600008</v>
      </c>
      <c r="BB37" s="19">
        <f>('[1]Short Spot'!BB38-'[1]Short Spot'!BB37)*100</f>
        <v>-1.8934766953963234</v>
      </c>
      <c r="BC37" s="19">
        <f>('[1]Short Spot'!BC38-'[1]Short Spot'!BC37)*100</f>
        <v>-1.9037096727156921</v>
      </c>
      <c r="BD37" s="19">
        <f>('[1]Short Spot'!BD38-'[1]Short Spot'!BD37)*100</f>
        <v>-1.9140712363805434</v>
      </c>
      <c r="BE37" s="19">
        <f>('[1]Short Spot'!BE38-'[1]Short Spot'!BE37)*100</f>
        <v>-1.9245437827971834</v>
      </c>
      <c r="BF37" s="19">
        <f>('[1]Short Spot'!BF38-'[1]Short Spot'!BF37)*100</f>
        <v>-1.9351107675974255</v>
      </c>
      <c r="BG37" s="19">
        <f>('[1]Short Spot'!BG38-'[1]Short Spot'!BG37)*100</f>
        <v>-1.9457566143441518</v>
      </c>
      <c r="BH37" s="19">
        <f>('[1]Short Spot'!BH38-'[1]Short Spot'!BH37)*100</f>
        <v>-1.9564666325025293</v>
      </c>
      <c r="BI37" s="19">
        <f>('[1]Short Spot'!BI38-'[1]Short Spot'!BI37)*100</f>
        <v>-1.9672269436158629</v>
      </c>
    </row>
    <row r="38" spans="1:61" x14ac:dyDescent="0.2">
      <c r="A38" s="18">
        <v>39135</v>
      </c>
      <c r="B38" s="19">
        <f>('[1]Short Spot'!B39-'[1]Short Spot'!B38)*100</f>
        <v>-0.28788264210000136</v>
      </c>
      <c r="C38" s="19">
        <f>('[1]Short Spot'!C39-'[1]Short Spot'!C38)*100</f>
        <v>0.42595852936395673</v>
      </c>
      <c r="D38" s="19">
        <f>('[1]Short Spot'!D39-'[1]Short Spot'!D38)*100</f>
        <v>0.50200319958468853</v>
      </c>
      <c r="E38" s="19">
        <f>('[1]Short Spot'!E39-'[1]Short Spot'!E38)*100</f>
        <v>0.49338895604629229</v>
      </c>
      <c r="F38" s="19">
        <f>('[1]Short Spot'!F39-'[1]Short Spot'!F38)*100</f>
        <v>0.50144037811321596</v>
      </c>
      <c r="G38" s="19">
        <f>('[1]Short Spot'!G39-'[1]Short Spot'!G38)*100</f>
        <v>0.55115652485628885</v>
      </c>
      <c r="H38" s="19">
        <f>('[1]Short Spot'!H39-'[1]Short Spot'!H38)*100</f>
        <v>0.64151036736586065</v>
      </c>
      <c r="I38" s="19">
        <f>('[1]Short Spot'!I39-'[1]Short Spot'!I38)*100</f>
        <v>0.76231204978398637</v>
      </c>
      <c r="J38" s="19">
        <f>('[1]Short Spot'!J39-'[1]Short Spot'!J38)*100</f>
        <v>0.90424646740379089</v>
      </c>
      <c r="K38" s="19">
        <f>('[1]Short Spot'!K39-'[1]Short Spot'!K38)*100</f>
        <v>1.0587811874383846</v>
      </c>
      <c r="L38" s="19">
        <f>('[1]Short Spot'!L39-'[1]Short Spot'!L38)*100</f>
        <v>1.2181181860924539</v>
      </c>
      <c r="M38" s="19">
        <f>('[1]Short Spot'!M39-'[1]Short Spot'!M38)*100</f>
        <v>1.3765995274637177</v>
      </c>
      <c r="N38" s="19">
        <f>('[1]Short Spot'!N39-'[1]Short Spot'!N38)*100</f>
        <v>1.5305328667079898</v>
      </c>
      <c r="O38" s="19">
        <f>('[1]Short Spot'!O39-'[1]Short Spot'!O38)*100</f>
        <v>1.677877762201696</v>
      </c>
      <c r="P38" s="19">
        <f>('[1]Short Spot'!P39-'[1]Short Spot'!P38)*100</f>
        <v>1.8177157780723263</v>
      </c>
      <c r="Q38" s="19">
        <f>('[1]Short Spot'!Q39-'[1]Short Spot'!Q38)*100</f>
        <v>1.9496280116834797</v>
      </c>
      <c r="R38" s="19">
        <f>('[1]Short Spot'!R39-'[1]Short Spot'!R38)*100</f>
        <v>2.0735355289112967</v>
      </c>
      <c r="S38" s="19">
        <f>('[1]Short Spot'!S39-'[1]Short Spot'!S38)*100</f>
        <v>2.1896049284455543</v>
      </c>
      <c r="T38" s="19">
        <f>('[1]Short Spot'!T39-'[1]Short Spot'!T38)*100</f>
        <v>2.2981837278911676</v>
      </c>
      <c r="U38" s="19">
        <f>('[1]Short Spot'!U39-'[1]Short Spot'!U38)*100</f>
        <v>2.3997551677984674</v>
      </c>
      <c r="V38" s="19">
        <f>('[1]Short Spot'!V39-'[1]Short Spot'!V38)*100</f>
        <v>2.4948958111686181</v>
      </c>
      <c r="W38" s="19">
        <f>('[1]Short Spot'!W39-'[1]Short Spot'!W38)*100</f>
        <v>2.5841751754677844</v>
      </c>
      <c r="X38" s="19">
        <f>('[1]Short Spot'!X39-'[1]Short Spot'!X38)*100</f>
        <v>2.6681022044206415</v>
      </c>
      <c r="Y38" s="19">
        <f>('[1]Short Spot'!Y39-'[1]Short Spot'!Y38)*100</f>
        <v>2.7471350837942943</v>
      </c>
      <c r="Z38" s="19">
        <f>('[1]Short Spot'!Z39-'[1]Short Spot'!Z38)*100</f>
        <v>2.8216914124103987</v>
      </c>
      <c r="AA38" s="19">
        <f>('[1]Short Spot'!AA39-'[1]Short Spot'!AA38)*100</f>
        <v>2.8921559306229305</v>
      </c>
      <c r="AB38" s="19">
        <f>('[1]Short Spot'!AB39-'[1]Short Spot'!AB38)*100</f>
        <v>2.9588778106595548</v>
      </c>
      <c r="AC38" s="19">
        <f>('[1]Short Spot'!AC39-'[1]Short Spot'!AC38)*100</f>
        <v>3.0221686881511722</v>
      </c>
      <c r="AD38" s="19">
        <f>('[1]Short Spot'!AD39-'[1]Short Spot'!AD38)*100</f>
        <v>3.0823086240727271</v>
      </c>
      <c r="AE38" s="19">
        <f>('[1]Short Spot'!AE39-'[1]Short Spot'!AE38)*100</f>
        <v>3.1395513671863107</v>
      </c>
      <c r="AF38" s="19">
        <f>('[1]Short Spot'!AF39-'[1]Short Spot'!AF38)*100</f>
        <v>3.1941285979449674</v>
      </c>
      <c r="AG38" s="19">
        <f>('[1]Short Spot'!AG39-'[1]Short Spot'!AG38)*100</f>
        <v>3.2462534674129628</v>
      </c>
      <c r="AH38" s="19">
        <f>('[1]Short Spot'!AH39-'[1]Short Spot'!AH38)*100</f>
        <v>3.2961230793022267</v>
      </c>
      <c r="AI38" s="19">
        <f>('[1]Short Spot'!AI39-'[1]Short Spot'!AI38)*100</f>
        <v>3.3439164185203651</v>
      </c>
      <c r="AJ38" s="19">
        <f>('[1]Short Spot'!AJ39-'[1]Short Spot'!AJ38)*100</f>
        <v>3.3897947810692663</v>
      </c>
      <c r="AK38" s="19">
        <f>('[1]Short Spot'!AK39-'[1]Short Spot'!AK38)*100</f>
        <v>3.4339035837414045</v>
      </c>
      <c r="AL38" s="19">
        <f>('[1]Short Spot'!AL39-'[1]Short Spot'!AL38)*100</f>
        <v>3.4763743820350967</v>
      </c>
      <c r="AM38" s="19">
        <f>('[1]Short Spot'!AM39-'[1]Short Spot'!AM38)*100</f>
        <v>3.5173266961196603</v>
      </c>
      <c r="AN38" s="19">
        <f>('[1]Short Spot'!AN39-'[1]Short Spot'!AN38)*100</f>
        <v>3.5568695538261252</v>
      </c>
      <c r="AO38" s="19">
        <f>('[1]Short Spot'!AO39-'[1]Short Spot'!AO38)*100</f>
        <v>3.5951028019230336</v>
      </c>
      <c r="AP38" s="19">
        <f>('[1]Short Spot'!AP39-'[1]Short Spot'!AP38)*100</f>
        <v>3.6321180017353072</v>
      </c>
      <c r="AQ38" s="19">
        <f>('[1]Short Spot'!AQ39-'[1]Short Spot'!AQ38)*100</f>
        <v>3.6679983870204325</v>
      </c>
      <c r="AR38" s="19">
        <f>('[1]Short Spot'!AR39-'[1]Short Spot'!AR38)*100</f>
        <v>3.7028193496113637</v>
      </c>
      <c r="AS38" s="19">
        <f>('[1]Short Spot'!AS39-'[1]Short Spot'!AS38)*100</f>
        <v>3.7366493176664406</v>
      </c>
      <c r="AT38" s="19">
        <f>('[1]Short Spot'!AT39-'[1]Short Spot'!AT38)*100</f>
        <v>3.7695505294110809</v>
      </c>
      <c r="AU38" s="19">
        <f>('[1]Short Spot'!AU39-'[1]Short Spot'!AU38)*100</f>
        <v>3.8015797086306868</v>
      </c>
      <c r="AV38" s="19">
        <f>('[1]Short Spot'!AV39-'[1]Short Spot'!AV38)*100</f>
        <v>3.832788615363647</v>
      </c>
      <c r="AW38" s="19">
        <f>('[1]Short Spot'!AW39-'[1]Short Spot'!AW38)*100</f>
        <v>3.8632242273018313</v>
      </c>
      <c r="AX38" s="19">
        <f>('[1]Short Spot'!AX39-'[1]Short Spot'!AX38)*100</f>
        <v>3.8929290553300078</v>
      </c>
      <c r="AY38" s="19">
        <f>('[1]Short Spot'!AY39-'[1]Short Spot'!AY38)*100</f>
        <v>3.9219415864041096</v>
      </c>
      <c r="AZ38" s="19">
        <f>('[1]Short Spot'!AZ39-'[1]Short Spot'!AZ38)*100</f>
        <v>3.9502966780526449</v>
      </c>
      <c r="BA38" s="19">
        <f>('[1]Short Spot'!BA39-'[1]Short Spot'!BA38)*100</f>
        <v>3.9780259073601165</v>
      </c>
      <c r="BB38" s="19">
        <f>('[1]Short Spot'!BB39-'[1]Short Spot'!BB38)*100</f>
        <v>4.0051578804436438</v>
      </c>
      <c r="BC38" s="19">
        <f>('[1]Short Spot'!BC39-'[1]Short Spot'!BC38)*100</f>
        <v>4.0317185293297086</v>
      </c>
      <c r="BD38" s="19">
        <f>('[1]Short Spot'!BD39-'[1]Short Spot'!BD38)*100</f>
        <v>4.0577314493637218</v>
      </c>
      <c r="BE38" s="19">
        <f>('[1]Short Spot'!BE39-'[1]Short Spot'!BE38)*100</f>
        <v>4.0832180660755668</v>
      </c>
      <c r="BF38" s="19">
        <f>('[1]Short Spot'!BF39-'[1]Short Spot'!BF38)*100</f>
        <v>4.1081978013259857</v>
      </c>
      <c r="BG38" s="19">
        <f>('[1]Short Spot'!BG39-'[1]Short Spot'!BG38)*100</f>
        <v>4.1326882460330339</v>
      </c>
      <c r="BH38" s="19">
        <f>('[1]Short Spot'!BH39-'[1]Short Spot'!BH38)*100</f>
        <v>4.1567053153359623</v>
      </c>
      <c r="BI38" s="19">
        <f>('[1]Short Spot'!BI39-'[1]Short Spot'!BI38)*100</f>
        <v>4.1802633882442208</v>
      </c>
    </row>
    <row r="39" spans="1:61" x14ac:dyDescent="0.2">
      <c r="A39" s="18">
        <v>39136</v>
      </c>
      <c r="B39" s="19">
        <f>('[1]Short Spot'!B40-'[1]Short Spot'!B39)*100</f>
        <v>0.31779220157792665</v>
      </c>
      <c r="C39" s="19">
        <f>('[1]Short Spot'!C40-'[1]Short Spot'!C39)*100</f>
        <v>0.10492483866260116</v>
      </c>
      <c r="D39" s="19">
        <f>('[1]Short Spot'!D40-'[1]Short Spot'!D39)*100</f>
        <v>-6.9690205514305603E-2</v>
      </c>
      <c r="E39" s="19">
        <f>('[1]Short Spot'!E40-'[1]Short Spot'!E39)*100</f>
        <v>-0.19336012152031401</v>
      </c>
      <c r="F39" s="19">
        <f>('[1]Short Spot'!F40-'[1]Short Spot'!F39)*100</f>
        <v>-0.27835660813737562</v>
      </c>
      <c r="G39" s="19">
        <f>('[1]Short Spot'!G40-'[1]Short Spot'!G39)*100</f>
        <v>-0.35565077992965044</v>
      </c>
      <c r="H39" s="19">
        <f>('[1]Short Spot'!H40-'[1]Short Spot'!H39)*100</f>
        <v>-0.43745873551293002</v>
      </c>
      <c r="I39" s="19">
        <f>('[1]Short Spot'!I40-'[1]Short Spot'!I39)*100</f>
        <v>-0.52621049274490517</v>
      </c>
      <c r="J39" s="19">
        <f>('[1]Short Spot'!J40-'[1]Short Spot'!J39)*100</f>
        <v>-0.61927219636705999</v>
      </c>
      <c r="K39" s="19">
        <f>('[1]Short Spot'!K40-'[1]Short Spot'!K39)*100</f>
        <v>-0.71214173867986119</v>
      </c>
      <c r="L39" s="19">
        <f>('[1]Short Spot'!L40-'[1]Short Spot'!L39)*100</f>
        <v>-0.80345146219045205</v>
      </c>
      <c r="M39" s="19">
        <f>('[1]Short Spot'!M40-'[1]Short Spot'!M39)*100</f>
        <v>-0.89268712726449095</v>
      </c>
      <c r="N39" s="19">
        <f>('[1]Short Spot'!N40-'[1]Short Spot'!N39)*100</f>
        <v>-0.97874165854605621</v>
      </c>
      <c r="O39" s="19">
        <f>('[1]Short Spot'!O40-'[1]Short Spot'!O39)*100</f>
        <v>-1.0614478968937746</v>
      </c>
      <c r="P39" s="19">
        <f>('[1]Short Spot'!P40-'[1]Short Spot'!P39)*100</f>
        <v>-1.1410934659549454</v>
      </c>
      <c r="Q39" s="19">
        <f>('[1]Short Spot'!Q40-'[1]Short Spot'!Q39)*100</f>
        <v>-1.2179092062923225</v>
      </c>
      <c r="R39" s="19">
        <f>('[1]Short Spot'!R40-'[1]Short Spot'!R39)*100</f>
        <v>-1.2920945639631753</v>
      </c>
      <c r="S39" s="19">
        <f>('[1]Short Spot'!S40-'[1]Short Spot'!S39)*100</f>
        <v>-1.3638263112136784</v>
      </c>
      <c r="T39" s="19">
        <f>('[1]Short Spot'!T40-'[1]Short Spot'!T39)*100</f>
        <v>-1.4332645132715705</v>
      </c>
      <c r="U39" s="19">
        <f>('[1]Short Spot'!U40-'[1]Short Spot'!U39)*100</f>
        <v>-1.5005563594247207</v>
      </c>
      <c r="V39" s="19">
        <f>('[1]Short Spot'!V40-'[1]Short Spot'!V39)*100</f>
        <v>-1.5658222792272802</v>
      </c>
      <c r="W39" s="19">
        <f>('[1]Short Spot'!W40-'[1]Short Spot'!W39)*100</f>
        <v>-1.6291621612883667</v>
      </c>
      <c r="X39" s="19">
        <f>('[1]Short Spot'!X40-'[1]Short Spot'!X39)*100</f>
        <v>-1.6906899459034896</v>
      </c>
      <c r="Y39" s="19">
        <f>('[1]Short Spot'!Y40-'[1]Short Spot'!Y39)*100</f>
        <v>-1.7505331218139908</v>
      </c>
      <c r="Z39" s="19">
        <f>('[1]Short Spot'!Z40-'[1]Short Spot'!Z39)*100</f>
        <v>-1.8088298534103764</v>
      </c>
      <c r="AA39" s="19">
        <f>('[1]Short Spot'!AA40-'[1]Short Spot'!AA39)*100</f>
        <v>-1.8657166148911664</v>
      </c>
      <c r="AB39" s="19">
        <f>('[1]Short Spot'!AB40-'[1]Short Spot'!AB39)*100</f>
        <v>-1.9213115953626847</v>
      </c>
      <c r="AC39" s="19">
        <f>('[1]Short Spot'!AC40-'[1]Short Spot'!AC39)*100</f>
        <v>-1.9757207554873091</v>
      </c>
      <c r="AD39" s="19">
        <f>('[1]Short Spot'!AD40-'[1]Short Spot'!AD39)*100</f>
        <v>-2.0290405227169295</v>
      </c>
      <c r="AE39" s="19">
        <f>('[1]Short Spot'!AE40-'[1]Short Spot'!AE39)*100</f>
        <v>-2.0813593801616292</v>
      </c>
      <c r="AF39" s="19">
        <f>('[1]Short Spot'!AF40-'[1]Short Spot'!AF39)*100</f>
        <v>-2.1327591479334274</v>
      </c>
      <c r="AG39" s="19">
        <f>('[1]Short Spot'!AG40-'[1]Short Spot'!AG39)*100</f>
        <v>-2.1833154468047233</v>
      </c>
      <c r="AH39" s="19">
        <f>('[1]Short Spot'!AH40-'[1]Short Spot'!AH39)*100</f>
        <v>-2.2330937120588423</v>
      </c>
      <c r="AI39" s="19">
        <f>('[1]Short Spot'!AI40-'[1]Short Spot'!AI39)*100</f>
        <v>-2.2821524467725673</v>
      </c>
      <c r="AJ39" s="19">
        <f>('[1]Short Spot'!AJ40-'[1]Short Spot'!AJ39)*100</f>
        <v>-2.3305461642556757</v>
      </c>
      <c r="AK39" s="19">
        <f>('[1]Short Spot'!AK40-'[1]Short Spot'!AK39)*100</f>
        <v>-2.3783233856272012</v>
      </c>
      <c r="AL39" s="19">
        <f>('[1]Short Spot'!AL40-'[1]Short Spot'!AL39)*100</f>
        <v>-2.4255263714883846</v>
      </c>
      <c r="AM39" s="19">
        <f>('[1]Short Spot'!AM40-'[1]Short Spot'!AM39)*100</f>
        <v>-2.4721919230255018</v>
      </c>
      <c r="AN39" s="19">
        <f>('[1]Short Spot'!AN40-'[1]Short Spot'!AN39)*100</f>
        <v>-2.5183520819361149</v>
      </c>
      <c r="AO39" s="19">
        <f>('[1]Short Spot'!AO40-'[1]Short Spot'!AO39)*100</f>
        <v>-2.564034712233898</v>
      </c>
      <c r="AP39" s="19">
        <f>('[1]Short Spot'!AP40-'[1]Short Spot'!AP39)*100</f>
        <v>-2.6092635430070565</v>
      </c>
      <c r="AQ39" s="19">
        <f>('[1]Short Spot'!AQ40-'[1]Short Spot'!AQ39)*100</f>
        <v>-2.6540579118448981</v>
      </c>
      <c r="AR39" s="19">
        <f>('[1]Short Spot'!AR40-'[1]Short Spot'!AR39)*100</f>
        <v>-2.6984332435782576</v>
      </c>
      <c r="AS39" s="19">
        <f>('[1]Short Spot'!AS40-'[1]Short Spot'!AS39)*100</f>
        <v>-2.7424015015375502</v>
      </c>
      <c r="AT39" s="19">
        <f>('[1]Short Spot'!AT40-'[1]Short Spot'!AT39)*100</f>
        <v>-2.7859715721661793</v>
      </c>
      <c r="AU39" s="19">
        <f>('[1]Short Spot'!AU40-'[1]Short Spot'!AU39)*100</f>
        <v>-2.8291495819802392</v>
      </c>
      <c r="AV39" s="19">
        <f>('[1]Short Spot'!AV40-'[1]Short Spot'!AV39)*100</f>
        <v>-2.871938986892264</v>
      </c>
      <c r="AW39" s="19">
        <f>('[1]Short Spot'!AW40-'[1]Short Spot'!AW39)*100</f>
        <v>-2.9143410160774152</v>
      </c>
      <c r="AX39" s="19">
        <f>('[1]Short Spot'!AX40-'[1]Short Spot'!AX39)*100</f>
        <v>-2.9563551170385338</v>
      </c>
      <c r="AY39" s="19">
        <f>('[1]Short Spot'!AY40-'[1]Short Spot'!AY39)*100</f>
        <v>-2.9979791389254551</v>
      </c>
      <c r="AZ39" s="19">
        <f>('[1]Short Spot'!AZ40-'[1]Short Spot'!AZ39)*100</f>
        <v>-3.039209489235617</v>
      </c>
      <c r="BA39" s="19">
        <f>('[1]Short Spot'!BA40-'[1]Short Spot'!BA39)*100</f>
        <v>-3.0800412724346415</v>
      </c>
      <c r="BB39" s="19">
        <f>('[1]Short Spot'!BB40-'[1]Short Spot'!BB39)*100</f>
        <v>-3.1204684128816496</v>
      </c>
      <c r="BC39" s="19">
        <f>('[1]Short Spot'!BC40-'[1]Short Spot'!BC39)*100</f>
        <v>-3.1604837091396831</v>
      </c>
      <c r="BD39" s="19">
        <f>('[1]Short Spot'!BD40-'[1]Short Spot'!BD39)*100</f>
        <v>-3.2000789059026147</v>
      </c>
      <c r="BE39" s="19">
        <f>('[1]Short Spot'!BE40-'[1]Short Spot'!BE39)*100</f>
        <v>-3.2392451523673316</v>
      </c>
      <c r="BF39" s="19">
        <f>('[1]Short Spot'!BF40-'[1]Short Spot'!BF39)*100</f>
        <v>-3.2779731321829431</v>
      </c>
      <c r="BG39" s="19">
        <f>('[1]Short Spot'!BG40-'[1]Short Spot'!BG39)*100</f>
        <v>-3.3162531035859644</v>
      </c>
      <c r="BH39" s="19">
        <f>('[1]Short Spot'!BH40-'[1]Short Spot'!BH39)*100</f>
        <v>-3.3540749354505905</v>
      </c>
      <c r="BI39" s="19">
        <f>('[1]Short Spot'!BI40-'[1]Short Spot'!BI39)*100</f>
        <v>-3.3914281397363411</v>
      </c>
    </row>
    <row r="40" spans="1:61" x14ac:dyDescent="0.2">
      <c r="A40" s="18">
        <v>39139</v>
      </c>
      <c r="B40" s="19">
        <f>('[1]Short Spot'!B41-'[1]Short Spot'!B40)*100</f>
        <v>0.11653727069322883</v>
      </c>
      <c r="C40" s="19">
        <f>('[1]Short Spot'!C41-'[1]Short Spot'!C40)*100</f>
        <v>-0.58986092397095291</v>
      </c>
      <c r="D40" s="19">
        <f>('[1]Short Spot'!D41-'[1]Short Spot'!D40)*100</f>
        <v>-0.80162142842299389</v>
      </c>
      <c r="E40" s="19">
        <f>('[1]Short Spot'!E41-'[1]Short Spot'!E40)*100</f>
        <v>-0.800068059011938</v>
      </c>
      <c r="F40" s="19">
        <f>('[1]Short Spot'!F41-'[1]Short Spot'!F40)*100</f>
        <v>-0.66731444198024903</v>
      </c>
      <c r="G40" s="19">
        <f>('[1]Short Spot'!G41-'[1]Short Spot'!G40)*100</f>
        <v>-0.44604115349997642</v>
      </c>
      <c r="H40" s="19">
        <f>('[1]Short Spot'!H41-'[1]Short Spot'!H40)*100</f>
        <v>-0.17105793510250322</v>
      </c>
      <c r="I40" s="19">
        <f>('[1]Short Spot'!I41-'[1]Short Spot'!I40)*100</f>
        <v>0.12447000681534703</v>
      </c>
      <c r="J40" s="19">
        <f>('[1]Short Spot'!J41-'[1]Short Spot'!J40)*100</f>
        <v>0.41201477498304939</v>
      </c>
      <c r="K40" s="19">
        <f>('[1]Short Spot'!K41-'[1]Short Spot'!K40)*100</f>
        <v>0.6668629495704792</v>
      </c>
      <c r="L40" s="19">
        <f>('[1]Short Spot'!L41-'[1]Short Spot'!L40)*100</f>
        <v>0.87364833996019797</v>
      </c>
      <c r="M40" s="19">
        <f>('[1]Short Spot'!M41-'[1]Short Spot'!M40)*100</f>
        <v>1.025559106957985</v>
      </c>
      <c r="N40" s="19">
        <f>('[1]Short Spot'!N41-'[1]Short Spot'!N40)*100</f>
        <v>1.1210354668548916</v>
      </c>
      <c r="O40" s="19">
        <f>('[1]Short Spot'!O41-'[1]Short Spot'!O40)*100</f>
        <v>1.1657992668229866</v>
      </c>
      <c r="P40" s="19">
        <f>('[1]Short Spot'!P41-'[1]Short Spot'!P40)*100</f>
        <v>1.1675544483754408</v>
      </c>
      <c r="Q40" s="19">
        <f>('[1]Short Spot'!Q41-'[1]Short Spot'!Q40)*100</f>
        <v>1.1328117736296051</v>
      </c>
      <c r="R40" s="19">
        <f>('[1]Short Spot'!R41-'[1]Short Spot'!R40)*100</f>
        <v>1.0672076083506177</v>
      </c>
      <c r="S40" s="19">
        <f>('[1]Short Spot'!S41-'[1]Short Spot'!S40)*100</f>
        <v>0.97574680982779327</v>
      </c>
      <c r="T40" s="19">
        <f>('[1]Short Spot'!T41-'[1]Short Spot'!T40)*100</f>
        <v>0.86296891331532066</v>
      </c>
      <c r="U40" s="19">
        <f>('[1]Short Spot'!U41-'[1]Short Spot'!U40)*100</f>
        <v>0.7330639576962561</v>
      </c>
      <c r="V40" s="19">
        <f>('[1]Short Spot'!V41-'[1]Short Spot'!V40)*100</f>
        <v>0.58987734570683514</v>
      </c>
      <c r="W40" s="19">
        <f>('[1]Short Spot'!W41-'[1]Short Spot'!W40)*100</f>
        <v>0.43669084837469896</v>
      </c>
      <c r="X40" s="19">
        <f>('[1]Short Spot'!X41-'[1]Short Spot'!X40)*100</f>
        <v>0.27622291535776</v>
      </c>
      <c r="Y40" s="19">
        <f>('[1]Short Spot'!Y41-'[1]Short Spot'!Y40)*100</f>
        <v>0.11074327639848391</v>
      </c>
      <c r="Z40" s="19">
        <f>('[1]Short Spot'!Z41-'[1]Short Spot'!Z40)*100</f>
        <v>-5.7833769472015462E-2</v>
      </c>
      <c r="AA40" s="19">
        <f>('[1]Short Spot'!AA41-'[1]Short Spot'!AA40)*100</f>
        <v>-0.22784591350575312</v>
      </c>
      <c r="AB40" s="19">
        <f>('[1]Short Spot'!AB41-'[1]Short Spot'!AB40)*100</f>
        <v>-0.39785867963866295</v>
      </c>
      <c r="AC40" s="19">
        <f>('[1]Short Spot'!AC41-'[1]Short Spot'!AC40)*100</f>
        <v>-0.56665720888995352</v>
      </c>
      <c r="AD40" s="19">
        <f>('[1]Short Spot'!AD41-'[1]Short Spot'!AD40)*100</f>
        <v>-0.73320932870482025</v>
      </c>
      <c r="AE40" s="19">
        <f>('[1]Short Spot'!AE41-'[1]Short Spot'!AE40)*100</f>
        <v>-0.89663510521624801</v>
      </c>
      <c r="AF40" s="19">
        <f>('[1]Short Spot'!AF41-'[1]Short Spot'!AF40)*100</f>
        <v>-1.056182288619123</v>
      </c>
      <c r="AG40" s="19">
        <f>('[1]Short Spot'!AG41-'[1]Short Spot'!AG40)*100</f>
        <v>-1.2112077077753192</v>
      </c>
      <c r="AH40" s="19">
        <f>('[1]Short Spot'!AH41-'[1]Short Spot'!AH40)*100</f>
        <v>-1.3611902740805704</v>
      </c>
      <c r="AI40" s="19">
        <f>('[1]Short Spot'!AI41-'[1]Short Spot'!AI40)*100</f>
        <v>-1.5057597766719333</v>
      </c>
      <c r="AJ40" s="19">
        <f>('[1]Short Spot'!AJ41-'[1]Short Spot'!AJ40)*100</f>
        <v>-1.6446702450084061</v>
      </c>
      <c r="AK40" s="19">
        <f>('[1]Short Spot'!AK41-'[1]Short Spot'!AK40)*100</f>
        <v>-1.7777505708430397</v>
      </c>
      <c r="AL40" s="19">
        <f>('[1]Short Spot'!AL41-'[1]Short Spot'!AL40)*100</f>
        <v>-1.9048856181825613</v>
      </c>
      <c r="AM40" s="19">
        <f>('[1]Short Spot'!AM41-'[1]Short Spot'!AM40)*100</f>
        <v>-2.026008785455069</v>
      </c>
      <c r="AN40" s="19">
        <f>('[1]Short Spot'!AN41-'[1]Short Spot'!AN40)*100</f>
        <v>-2.1410957831474065</v>
      </c>
      <c r="AO40" s="19">
        <f>('[1]Short Spot'!AO41-'[1]Short Spot'!AO40)*100</f>
        <v>-2.2501593093390504</v>
      </c>
      <c r="AP40" s="19">
        <f>('[1]Short Spot'!AP41-'[1]Short Spot'!AP40)*100</f>
        <v>-2.3532429174044189</v>
      </c>
      <c r="AQ40" s="19">
        <f>('[1]Short Spot'!AQ41-'[1]Short Spot'!AQ40)*100</f>
        <v>-2.4504135101492075</v>
      </c>
      <c r="AR40" s="19">
        <f>('[1]Short Spot'!AR41-'[1]Short Spot'!AR40)*100</f>
        <v>-2.5417576502363204</v>
      </c>
      <c r="AS40" s="19">
        <f>('[1]Short Spot'!AS41-'[1]Short Spot'!AS40)*100</f>
        <v>-2.6273793199644402</v>
      </c>
      <c r="AT40" s="19">
        <f>('[1]Short Spot'!AT41-'[1]Short Spot'!AT40)*100</f>
        <v>-2.7073979857530794</v>
      </c>
      <c r="AU40" s="19">
        <f>('[1]Short Spot'!AU41-'[1]Short Spot'!AU40)*100</f>
        <v>-2.7819468221711219</v>
      </c>
      <c r="AV40" s="19">
        <f>('[1]Short Spot'!AV41-'[1]Short Spot'!AV40)*100</f>
        <v>-2.8511685498388672</v>
      </c>
      <c r="AW40" s="19">
        <f>('[1]Short Spot'!AW41-'[1]Short Spot'!AW40)*100</f>
        <v>-2.9152093654679412</v>
      </c>
      <c r="AX40" s="19">
        <f>('[1]Short Spot'!AX41-'[1]Short Spot'!AX40)*100</f>
        <v>-2.9742175826473982</v>
      </c>
      <c r="AY40" s="19">
        <f>('[1]Short Spot'!AY41-'[1]Short Spot'!AY40)*100</f>
        <v>-3.0283434176061164</v>
      </c>
      <c r="AZ40" s="19">
        <f>('[1]Short Spot'!AZ41-'[1]Short Spot'!AZ40)*100</f>
        <v>-3.0777388026799635</v>
      </c>
      <c r="BA40" s="19">
        <f>('[1]Short Spot'!BA41-'[1]Short Spot'!BA40)*100</f>
        <v>-3.1225572213001485</v>
      </c>
      <c r="BB40" s="19">
        <f>('[1]Short Spot'!BB41-'[1]Short Spot'!BB40)*100</f>
        <v>-3.1629535616317206</v>
      </c>
      <c r="BC40" s="19">
        <f>('[1]Short Spot'!BC41-'[1]Short Spot'!BC40)*100</f>
        <v>-3.1990835531188644</v>
      </c>
      <c r="BD40" s="19">
        <f>('[1]Short Spot'!BD41-'[1]Short Spot'!BD40)*100</f>
        <v>-3.2311002724322968</v>
      </c>
      <c r="BE40" s="19">
        <f>('[1]Short Spot'!BE41-'[1]Short Spot'!BE40)*100</f>
        <v>-3.2591517598082653</v>
      </c>
      <c r="BF40" s="19">
        <f>('[1]Short Spot'!BF41-'[1]Short Spot'!BF40)*100</f>
        <v>-3.2833812961220232</v>
      </c>
      <c r="BG40" s="19">
        <f>('[1]Short Spot'!BG41-'[1]Short Spot'!BG40)*100</f>
        <v>-3.3039278131765215</v>
      </c>
      <c r="BH40" s="19">
        <f>('[1]Short Spot'!BH41-'[1]Short Spot'!BH40)*100</f>
        <v>-3.320926262269186</v>
      </c>
      <c r="BI40" s="19">
        <f>('[1]Short Spot'!BI41-'[1]Short Spot'!BI40)*100</f>
        <v>-3.3345079459029314</v>
      </c>
    </row>
    <row r="41" spans="1:61" x14ac:dyDescent="0.2">
      <c r="A41" s="18">
        <v>39140</v>
      </c>
      <c r="B41" s="19">
        <f>('[1]Short Spot'!B42-'[1]Short Spot'!B41)*100</f>
        <v>0.38911427629342299</v>
      </c>
      <c r="C41" s="19">
        <f>('[1]Short Spot'!C42-'[1]Short Spot'!C41)*100</f>
        <v>0.13188860164454752</v>
      </c>
      <c r="D41" s="19">
        <f>('[1]Short Spot'!D42-'[1]Short Spot'!D41)*100</f>
        <v>-0.24537130224562276</v>
      </c>
      <c r="E41" s="19">
        <f>('[1]Short Spot'!E42-'[1]Short Spot'!E41)*100</f>
        <v>-0.54773907522189802</v>
      </c>
      <c r="F41" s="19">
        <f>('[1]Short Spot'!F42-'[1]Short Spot'!F41)*100</f>
        <v>-0.77078318551659919</v>
      </c>
      <c r="G41" s="19">
        <f>('[1]Short Spot'!G42-'[1]Short Spot'!G41)*100</f>
        <v>-0.96099572371137754</v>
      </c>
      <c r="H41" s="19">
        <f>('[1]Short Spot'!H42-'[1]Short Spot'!H41)*100</f>
        <v>-1.1458043739950519</v>
      </c>
      <c r="I41" s="19">
        <f>('[1]Short Spot'!I42-'[1]Short Spot'!I41)*100</f>
        <v>-1.3344185720491453</v>
      </c>
      <c r="J41" s="19">
        <f>('[1]Short Spot'!J42-'[1]Short Spot'!J41)*100</f>
        <v>-1.5270783548683831</v>
      </c>
      <c r="K41" s="19">
        <f>('[1]Short Spot'!K42-'[1]Short Spot'!K41)*100</f>
        <v>-1.7200083471577088</v>
      </c>
      <c r="L41" s="19">
        <f>('[1]Short Spot'!L42-'[1]Short Spot'!L41)*100</f>
        <v>-1.9097371550252262</v>
      </c>
      <c r="M41" s="19">
        <f>('[1]Short Spot'!M42-'[1]Short Spot'!M41)*100</f>
        <v>-2.0931891084098986</v>
      </c>
      <c r="N41" s="19">
        <f>('[1]Short Spot'!N42-'[1]Short Spot'!N41)*100</f>
        <v>-2.2671479647800474</v>
      </c>
      <c r="O41" s="19">
        <f>('[1]Short Spot'!O42-'[1]Short Spot'!O41)*100</f>
        <v>-2.4287521292675862</v>
      </c>
      <c r="P41" s="19">
        <f>('[1]Short Spot'!P42-'[1]Short Spot'!P41)*100</f>
        <v>-2.5762225329660104</v>
      </c>
      <c r="Q41" s="19">
        <f>('[1]Short Spot'!Q42-'[1]Short Spot'!Q41)*100</f>
        <v>-2.708675798029514</v>
      </c>
      <c r="R41" s="19">
        <f>('[1]Short Spot'!R42-'[1]Short Spot'!R41)*100</f>
        <v>-2.8258609588334593</v>
      </c>
      <c r="S41" s="19">
        <f>('[1]Short Spot'!S42-'[1]Short Spot'!S41)*100</f>
        <v>-2.9279837919151674</v>
      </c>
      <c r="T41" s="19">
        <f>('[1]Short Spot'!T42-'[1]Short Spot'!T41)*100</f>
        <v>-3.0155866206672322</v>
      </c>
      <c r="U41" s="19">
        <f>('[1]Short Spot'!U42-'[1]Short Spot'!U41)*100</f>
        <v>-3.0894638639094474</v>
      </c>
      <c r="V41" s="19">
        <f>('[1]Short Spot'!V42-'[1]Short Spot'!V41)*100</f>
        <v>-3.1505713093496368</v>
      </c>
      <c r="W41" s="19">
        <f>('[1]Short Spot'!W42-'[1]Short Spot'!W41)*100</f>
        <v>-3.1998898855258417</v>
      </c>
      <c r="X41" s="19">
        <f>('[1]Short Spot'!X42-'[1]Short Spot'!X41)*100</f>
        <v>-3.2383849436770973</v>
      </c>
      <c r="Y41" s="19">
        <f>('[1]Short Spot'!Y42-'[1]Short Spot'!Y41)*100</f>
        <v>-3.2670089229384303</v>
      </c>
      <c r="Z41" s="19">
        <f>('[1]Short Spot'!Z42-'[1]Short Spot'!Z41)*100</f>
        <v>-3.2867016614281042</v>
      </c>
      <c r="AA41" s="19">
        <f>('[1]Short Spot'!AA42-'[1]Short Spot'!AA41)*100</f>
        <v>-3.2983637391659215</v>
      </c>
      <c r="AB41" s="19">
        <f>('[1]Short Spot'!AB42-'[1]Short Spot'!AB41)*100</f>
        <v>-3.3028327633120469</v>
      </c>
      <c r="AC41" s="19">
        <f>('[1]Short Spot'!AC42-'[1]Short Spot'!AC41)*100</f>
        <v>-3.3008917502787227</v>
      </c>
      <c r="AD41" s="19">
        <f>('[1]Short Spot'!AD42-'[1]Short Spot'!AD41)*100</f>
        <v>-3.2932785399750308</v>
      </c>
      <c r="AE41" s="19">
        <f>('[1]Short Spot'!AE42-'[1]Short Spot'!AE41)*100</f>
        <v>-3.2806933252231829</v>
      </c>
      <c r="AF41" s="19">
        <f>('[1]Short Spot'!AF42-'[1]Short Spot'!AF41)*100</f>
        <v>-3.2638047238704893</v>
      </c>
      <c r="AG41" s="19">
        <f>('[1]Short Spot'!AG42-'[1]Short Spot'!AG41)*100</f>
        <v>-3.2432532905477984</v>
      </c>
      <c r="AH41" s="19">
        <f>('[1]Short Spot'!AH42-'[1]Short Spot'!AH41)*100</f>
        <v>-3.219630901860171</v>
      </c>
      <c r="AI41" s="19">
        <f>('[1]Short Spot'!AI42-'[1]Short Spot'!AI41)*100</f>
        <v>-3.1934537361753002</v>
      </c>
      <c r="AJ41" s="19">
        <f>('[1]Short Spot'!AJ42-'[1]Short Spot'!AJ41)*100</f>
        <v>-3.1651725242721085</v>
      </c>
      <c r="AK41" s="19">
        <f>('[1]Short Spot'!AK42-'[1]Short Spot'!AK41)*100</f>
        <v>-3.1351934822597904</v>
      </c>
      <c r="AL41" s="19">
        <f>('[1]Short Spot'!AL42-'[1]Short Spot'!AL41)*100</f>
        <v>-3.1038879323312507</v>
      </c>
      <c r="AM41" s="19">
        <f>('[1]Short Spot'!AM42-'[1]Short Spot'!AM41)*100</f>
        <v>-3.0715969317841818</v>
      </c>
      <c r="AN41" s="19">
        <f>('[1]Short Spot'!AN42-'[1]Short Spot'!AN41)*100</f>
        <v>-3.0386351531336508</v>
      </c>
      <c r="AO41" s="19">
        <f>('[1]Short Spot'!AO42-'[1]Short Spot'!AO41)*100</f>
        <v>-3.005294103291245</v>
      </c>
      <c r="AP41" s="19">
        <f>('[1]Short Spot'!AP42-'[1]Short Spot'!AP41)*100</f>
        <v>-2.9718419180398747</v>
      </c>
      <c r="AQ41" s="19">
        <f>('[1]Short Spot'!AQ42-'[1]Short Spot'!AQ41)*100</f>
        <v>-2.9385195960433208</v>
      </c>
      <c r="AR41" s="19">
        <f>('[1]Short Spot'!AR42-'[1]Short Spot'!AR41)*100</f>
        <v>-2.9055426486368496</v>
      </c>
      <c r="AS41" s="19">
        <f>('[1]Short Spot'!AS42-'[1]Short Spot'!AS41)*100</f>
        <v>-2.8731039896412014</v>
      </c>
      <c r="AT41" s="19">
        <f>('[1]Short Spot'!AT42-'[1]Short Spot'!AT41)*100</f>
        <v>-2.841376446196886</v>
      </c>
      <c r="AU41" s="19">
        <f>('[1]Short Spot'!AU42-'[1]Short Spot'!AU41)*100</f>
        <v>-2.8105148962922932</v>
      </c>
      <c r="AV41" s="19">
        <f>('[1]Short Spot'!AV42-'[1]Short Spot'!AV41)*100</f>
        <v>-2.7806574254220173</v>
      </c>
      <c r="AW41" s="19">
        <f>('[1]Short Spot'!AW42-'[1]Short Spot'!AW41)*100</f>
        <v>-2.7519262671201083</v>
      </c>
      <c r="AX41" s="19">
        <f>('[1]Short Spot'!AX42-'[1]Short Spot'!AX41)*100</f>
        <v>-2.7244293965174471</v>
      </c>
      <c r="AY41" s="19">
        <f>('[1]Short Spot'!AY42-'[1]Short Spot'!AY41)*100</f>
        <v>-2.6982619577003319</v>
      </c>
      <c r="AZ41" s="19">
        <f>('[1]Short Spot'!AZ42-'[1]Short Spot'!AZ41)*100</f>
        <v>-2.6735075216551607</v>
      </c>
      <c r="BA41" s="19">
        <f>('[1]Short Spot'!BA42-'[1]Short Spot'!BA41)*100</f>
        <v>-2.6502391990675278</v>
      </c>
      <c r="BB41" s="19">
        <f>('[1]Short Spot'!BB42-'[1]Short Spot'!BB41)*100</f>
        <v>-2.6285206270529216</v>
      </c>
      <c r="BC41" s="19">
        <f>('[1]Short Spot'!BC42-'[1]Short Spot'!BC41)*100</f>
        <v>-2.6084067281460399</v>
      </c>
      <c r="BD41" s="19">
        <f>('[1]Short Spot'!BD42-'[1]Short Spot'!BD41)*100</f>
        <v>-2.5899440728896828</v>
      </c>
      <c r="BE41" s="19">
        <f>('[1]Short Spot'!BE42-'[1]Short Spot'!BE41)*100</f>
        <v>-2.5731716027618035</v>
      </c>
      <c r="BF41" s="19">
        <f>('[1]Short Spot'!BF42-'[1]Short Spot'!BF41)*100</f>
        <v>-2.5581213264958436</v>
      </c>
      <c r="BG41" s="19">
        <f>('[1]Short Spot'!BG42-'[1]Short Spot'!BG41)*100</f>
        <v>-2.5448189177303071</v>
      </c>
      <c r="BH41" s="19">
        <f>('[1]Short Spot'!BH42-'[1]Short Spot'!BH41)*100</f>
        <v>-2.5332842518813514</v>
      </c>
      <c r="BI41" s="19">
        <f>('[1]Short Spot'!BI42-'[1]Short Spot'!BI41)*100</f>
        <v>-2.5235318889277991</v>
      </c>
    </row>
    <row r="42" spans="1:61" x14ac:dyDescent="0.2">
      <c r="A42" s="18">
        <v>39141</v>
      </c>
      <c r="B42" s="19">
        <f>('[1]Short Spot'!B43-'[1]Short Spot'!B42)*100</f>
        <v>-1.2965456087897564</v>
      </c>
      <c r="C42" s="19">
        <f>('[1]Short Spot'!C43-'[1]Short Spot'!C42)*100</f>
        <v>-1.8621162548141612</v>
      </c>
      <c r="D42" s="19">
        <f>('[1]Short Spot'!D43-'[1]Short Spot'!D42)*100</f>
        <v>-1.9970480457646822</v>
      </c>
      <c r="E42" s="19">
        <f>('[1]Short Spot'!E43-'[1]Short Spot'!E42)*100</f>
        <v>-2.0557070969665858</v>
      </c>
      <c r="F42" s="19">
        <f>('[1]Short Spot'!F43-'[1]Short Spot'!F42)*100</f>
        <v>-2.0582340174598812</v>
      </c>
      <c r="G42" s="19">
        <f>('[1]Short Spot'!G43-'[1]Short Spot'!G42)*100</f>
        <v>-2.0160184197860254</v>
      </c>
      <c r="H42" s="19">
        <f>('[1]Short Spot'!H43-'[1]Short Spot'!H42)*100</f>
        <v>-1.9424989231287881</v>
      </c>
      <c r="I42" s="19">
        <f>('[1]Short Spot'!I43-'[1]Short Spot'!I42)*100</f>
        <v>-1.852222968497852</v>
      </c>
      <c r="J42" s="19">
        <f>('[1]Short Spot'!J43-'[1]Short Spot'!J42)*100</f>
        <v>-1.7551265987242104</v>
      </c>
      <c r="K42" s="19">
        <f>('[1]Short Spot'!K43-'[1]Short Spot'!K42)*100</f>
        <v>-1.6576111748118905</v>
      </c>
      <c r="L42" s="19">
        <f>('[1]Short Spot'!L43-'[1]Short Spot'!L42)*100</f>
        <v>-1.562685891435045</v>
      </c>
      <c r="M42" s="19">
        <f>('[1]Short Spot'!M43-'[1]Short Spot'!M42)*100</f>
        <v>-1.4722777289200906</v>
      </c>
      <c r="N42" s="19">
        <f>('[1]Short Spot'!N43-'[1]Short Spot'!N42)*100</f>
        <v>-1.3878771146885072</v>
      </c>
      <c r="O42" s="19">
        <f>('[1]Short Spot'!O43-'[1]Short Spot'!O42)*100</f>
        <v>-1.3102617182151555</v>
      </c>
      <c r="P42" s="19">
        <f>('[1]Short Spot'!P43-'[1]Short Spot'!P42)*100</f>
        <v>-1.2397143651231346</v>
      </c>
      <c r="Q42" s="19">
        <f>('[1]Short Spot'!Q43-'[1]Short Spot'!Q42)*100</f>
        <v>-1.1762380134300088</v>
      </c>
      <c r="R42" s="19">
        <f>('[1]Short Spot'!R43-'[1]Short Spot'!R42)*100</f>
        <v>-1.1196381239115816</v>
      </c>
      <c r="S42" s="19">
        <f>('[1]Short Spot'!S43-'[1]Short Spot'!S42)*100</f>
        <v>-1.0695775204484725</v>
      </c>
      <c r="T42" s="19">
        <f>('[1]Short Spot'!T43-'[1]Short Spot'!T42)*100</f>
        <v>-1.0256139260496511</v>
      </c>
      <c r="U42" s="19">
        <f>('[1]Short Spot'!U43-'[1]Short Spot'!U42)*100</f>
        <v>-0.98722639635573373</v>
      </c>
      <c r="V42" s="19">
        <f>('[1]Short Spot'!V43-'[1]Short Spot'!V42)*100</f>
        <v>-0.9538522961276108</v>
      </c>
      <c r="W42" s="19">
        <f>('[1]Short Spot'!W43-'[1]Short Spot'!W42)*100</f>
        <v>-0.92495893642734472</v>
      </c>
      <c r="X42" s="19">
        <f>('[1]Short Spot'!X43-'[1]Short Spot'!X42)*100</f>
        <v>-0.90006004043736709</v>
      </c>
      <c r="Y42" s="19">
        <f>('[1]Short Spot'!Y43-'[1]Short Spot'!Y42)*100</f>
        <v>-0.8787064846266901</v>
      </c>
      <c r="Z42" s="19">
        <f>('[1]Short Spot'!Z43-'[1]Short Spot'!Z42)*100</f>
        <v>-0.86047893864238389</v>
      </c>
      <c r="AA42" s="19">
        <f>('[1]Short Spot'!AA43-'[1]Short Spot'!AA42)*100</f>
        <v>-0.84499246527558469</v>
      </c>
      <c r="AB42" s="19">
        <f>('[1]Short Spot'!AB43-'[1]Short Spot'!AB42)*100</f>
        <v>-0.83191082342919387</v>
      </c>
      <c r="AC42" s="19">
        <f>('[1]Short Spot'!AC43-'[1]Short Spot'!AC42)*100</f>
        <v>-0.8209414806672477</v>
      </c>
      <c r="AD42" s="19">
        <f>('[1]Short Spot'!AD43-'[1]Short Spot'!AD42)*100</f>
        <v>-0.81182807916286848</v>
      </c>
      <c r="AE42" s="19">
        <f>('[1]Short Spot'!AE43-'[1]Short Spot'!AE42)*100</f>
        <v>-0.80434440659793438</v>
      </c>
      <c r="AF42" s="19">
        <f>('[1]Short Spot'!AF43-'[1]Short Spot'!AF42)*100</f>
        <v>-0.79828953398370928</v>
      </c>
      <c r="AG42" s="19">
        <f>('[1]Short Spot'!AG43-'[1]Short Spot'!AG42)*100</f>
        <v>-0.79348367034244305</v>
      </c>
      <c r="AH42" s="19">
        <f>('[1]Short Spot'!AH43-'[1]Short Spot'!AH42)*100</f>
        <v>-0.78976444363636489</v>
      </c>
      <c r="AI42" s="19">
        <f>('[1]Short Spot'!AI43-'[1]Short Spot'!AI42)*100</f>
        <v>-0.78698604862159627</v>
      </c>
      <c r="AJ42" s="19">
        <f>('[1]Short Spot'!AJ43-'[1]Short Spot'!AJ42)*100</f>
        <v>-0.7850179038076277</v>
      </c>
      <c r="AK42" s="19">
        <f>('[1]Short Spot'!AK43-'[1]Short Spot'!AK42)*100</f>
        <v>-0.78374472869011669</v>
      </c>
      <c r="AL42" s="19">
        <f>('[1]Short Spot'!AL43-'[1]Short Spot'!AL42)*100</f>
        <v>-0.78306534414034346</v>
      </c>
      <c r="AM42" s="19">
        <f>('[1]Short Spot'!AM43-'[1]Short Spot'!AM42)*100</f>
        <v>-0.78289082827449619</v>
      </c>
      <c r="AN42" s="19">
        <f>('[1]Short Spot'!AN43-'[1]Short Spot'!AN42)*100</f>
        <v>-0.78314294501362625</v>
      </c>
      <c r="AO42" s="19">
        <f>('[1]Short Spot'!AO43-'[1]Short Spot'!AO42)*100</f>
        <v>-0.78375277207731742</v>
      </c>
      <c r="AP42" s="19">
        <f>('[1]Short Spot'!AP43-'[1]Short Spot'!AP42)*100</f>
        <v>-0.7846590001291176</v>
      </c>
      <c r="AQ42" s="19">
        <f>('[1]Short Spot'!AQ43-'[1]Short Spot'!AQ42)*100</f>
        <v>-0.78580677536352894</v>
      </c>
      <c r="AR42" s="19">
        <f>('[1]Short Spot'!AR43-'[1]Short Spot'!AR42)*100</f>
        <v>-0.78714715427725679</v>
      </c>
      <c r="AS42" s="19">
        <f>('[1]Short Spot'!AS43-'[1]Short Spot'!AS42)*100</f>
        <v>-0.78863643820747953</v>
      </c>
      <c r="AT42" s="19">
        <f>('[1]Short Spot'!AT43-'[1]Short Spot'!AT42)*100</f>
        <v>-0.79023559057143089</v>
      </c>
      <c r="AU42" s="19">
        <f>('[1]Short Spot'!AU43-'[1]Short Spot'!AU42)*100</f>
        <v>-0.79190969580400505</v>
      </c>
      <c r="AV42" s="19">
        <f>('[1]Short Spot'!AV43-'[1]Short Spot'!AV42)*100</f>
        <v>-0.79362725603031592</v>
      </c>
      <c r="AW42" s="19">
        <f>('[1]Short Spot'!AW43-'[1]Short Spot'!AW42)*100</f>
        <v>-0.79535999929385426</v>
      </c>
      <c r="AX42" s="19">
        <f>('[1]Short Spot'!AX43-'[1]Short Spot'!AX42)*100</f>
        <v>-0.79708271367451289</v>
      </c>
      <c r="AY42" s="19">
        <f>('[1]Short Spot'!AY43-'[1]Short Spot'!AY42)*100</f>
        <v>-0.79877294280317201</v>
      </c>
      <c r="AZ42" s="19">
        <f>('[1]Short Spot'!AZ43-'[1]Short Spot'!AZ42)*100</f>
        <v>-0.80041071571024247</v>
      </c>
      <c r="BA42" s="19">
        <f>('[1]Short Spot'!BA43-'[1]Short Spot'!BA42)*100</f>
        <v>-0.80197830784518587</v>
      </c>
      <c r="BB42" s="19">
        <f>('[1]Short Spot'!BB43-'[1]Short Spot'!BB42)*100</f>
        <v>-0.80346002895765878</v>
      </c>
      <c r="BC42" s="19">
        <f>('[1]Short Spot'!BC43-'[1]Short Spot'!BC42)*100</f>
        <v>-0.80484194041217094</v>
      </c>
      <c r="BD42" s="19">
        <f>('[1]Short Spot'!BD43-'[1]Short Spot'!BD42)*100</f>
        <v>-0.80611153738114893</v>
      </c>
      <c r="BE42" s="19">
        <f>('[1]Short Spot'!BE43-'[1]Short Spot'!BE42)*100</f>
        <v>-0.80725780982424666</v>
      </c>
      <c r="BF42" s="19">
        <f>('[1]Short Spot'!BF43-'[1]Short Spot'!BF42)*100</f>
        <v>-0.80827114821477863</v>
      </c>
      <c r="BG42" s="19">
        <f>('[1]Short Spot'!BG43-'[1]Short Spot'!BG42)*100</f>
        <v>-0.80914322280563056</v>
      </c>
      <c r="BH42" s="19">
        <f>('[1]Short Spot'!BH43-'[1]Short Spot'!BH42)*100</f>
        <v>-0.80986687517414779</v>
      </c>
      <c r="BI42" s="19">
        <f>('[1]Short Spot'!BI43-'[1]Short Spot'!BI42)*100</f>
        <v>-0.81043602027248696</v>
      </c>
    </row>
    <row r="43" spans="1:61" x14ac:dyDescent="0.2">
      <c r="A43" s="18">
        <v>39142</v>
      </c>
      <c r="B43" s="19">
        <f>('[1]Short Spot'!B44-'[1]Short Spot'!B43)*100</f>
        <v>7.5899585854966034E-2</v>
      </c>
      <c r="C43" s="19">
        <f>('[1]Short Spot'!C44-'[1]Short Spot'!C43)*100</f>
        <v>0.63966701426609873</v>
      </c>
      <c r="D43" s="19">
        <f>('[1]Short Spot'!D44-'[1]Short Spot'!D43)*100</f>
        <v>1.001901221127266</v>
      </c>
      <c r="E43" s="19">
        <f>('[1]Short Spot'!E44-'[1]Short Spot'!E43)*100</f>
        <v>1.3031163719646521</v>
      </c>
      <c r="F43" s="19">
        <f>('[1]Short Spot'!F44-'[1]Short Spot'!F43)*100</f>
        <v>1.5475474259204702</v>
      </c>
      <c r="G43" s="19">
        <f>('[1]Short Spot'!G44-'[1]Short Spot'!G43)*100</f>
        <v>1.7105362986398198</v>
      </c>
      <c r="H43" s="19">
        <f>('[1]Short Spot'!H44-'[1]Short Spot'!H43)*100</f>
        <v>1.791826822222653</v>
      </c>
      <c r="I43" s="19">
        <f>('[1]Short Spot'!I44-'[1]Short Spot'!I43)*100</f>
        <v>1.8030666528812134</v>
      </c>
      <c r="J43" s="19">
        <f>('[1]Short Spot'!J44-'[1]Short Spot'!J43)*100</f>
        <v>1.7594994303928857</v>
      </c>
      <c r="K43" s="19">
        <f>('[1]Short Spot'!K44-'[1]Short Spot'!K43)*100</f>
        <v>1.6779866985155323</v>
      </c>
      <c r="L43" s="19">
        <f>('[1]Short Spot'!L44-'[1]Short Spot'!L43)*100</f>
        <v>1.5722556612019822</v>
      </c>
      <c r="M43" s="19">
        <f>('[1]Short Spot'!M44-'[1]Short Spot'!M43)*100</f>
        <v>1.4524041894035555</v>
      </c>
      <c r="N43" s="19">
        <f>('[1]Short Spot'!N44-'[1]Short Spot'!N43)*100</f>
        <v>1.32660314260864</v>
      </c>
      <c r="O43" s="19">
        <f>('[1]Short Spot'!O44-'[1]Short Spot'!O43)*100</f>
        <v>1.2003281002536781</v>
      </c>
      <c r="P43" s="19">
        <f>('[1]Short Spot'!P44-'[1]Short Spot'!P43)*100</f>
        <v>1.0770019207607007</v>
      </c>
      <c r="Q43" s="19">
        <f>('[1]Short Spot'!Q44-'[1]Short Spot'!Q43)*100</f>
        <v>0.95883668318137438</v>
      </c>
      <c r="R43" s="19">
        <f>('[1]Short Spot'!R44-'[1]Short Spot'!R43)*100</f>
        <v>0.8471900599904103</v>
      </c>
      <c r="S43" s="19">
        <f>('[1]Short Spot'!S44-'[1]Short Spot'!S43)*100</f>
        <v>0.7428026522473985</v>
      </c>
      <c r="T43" s="19">
        <f>('[1]Short Spot'!T44-'[1]Short Spot'!T43)*100</f>
        <v>0.64596037680937357</v>
      </c>
      <c r="U43" s="19">
        <f>('[1]Short Spot'!U44-'[1]Short Spot'!U43)*100</f>
        <v>0.55660861813144891</v>
      </c>
      <c r="V43" s="19">
        <f>('[1]Short Spot'!V44-'[1]Short Spot'!V43)*100</f>
        <v>0.47446291785764316</v>
      </c>
      <c r="W43" s="19">
        <f>('[1]Short Spot'!W44-'[1]Short Spot'!W43)*100</f>
        <v>0.39914080545120356</v>
      </c>
      <c r="X43" s="19">
        <f>('[1]Short Spot'!X44-'[1]Short Spot'!X43)*100</f>
        <v>0.33020641510175253</v>
      </c>
      <c r="Y43" s="19">
        <f>('[1]Short Spot'!Y44-'[1]Short Spot'!Y43)*100</f>
        <v>0.26718184787650756</v>
      </c>
      <c r="Z43" s="19">
        <f>('[1]Short Spot'!Z44-'[1]Short Spot'!Z43)*100</f>
        <v>0.20955919862375438</v>
      </c>
      <c r="AA43" s="19">
        <f>('[1]Short Spot'!AA44-'[1]Short Spot'!AA43)*100</f>
        <v>0.15684470553756213</v>
      </c>
      <c r="AB43" s="19">
        <f>('[1]Short Spot'!AB44-'[1]Short Spot'!AB43)*100</f>
        <v>0.10859180062281482</v>
      </c>
      <c r="AC43" s="19">
        <f>('[1]Short Spot'!AC44-'[1]Short Spot'!AC43)*100</f>
        <v>6.4395434238839755E-2</v>
      </c>
      <c r="AD43" s="19">
        <f>('[1]Short Spot'!AD44-'[1]Short Spot'!AD43)*100</f>
        <v>2.3884916244210075E-2</v>
      </c>
      <c r="AE43" s="19">
        <f>('[1]Short Spot'!AE44-'[1]Short Spot'!AE43)*100</f>
        <v>-1.3281810584597764E-2</v>
      </c>
      <c r="AF43" s="19">
        <f>('[1]Short Spot'!AF44-'[1]Short Spot'!AF43)*100</f>
        <v>-4.742278876674888E-2</v>
      </c>
      <c r="AG43" s="19">
        <f>('[1]Short Spot'!AG44-'[1]Short Spot'!AG43)*100</f>
        <v>-7.8835132783883211E-2</v>
      </c>
      <c r="AH43" s="19">
        <f>('[1]Short Spot'!AH44-'[1]Short Spot'!AH43)*100</f>
        <v>-0.10779130714917429</v>
      </c>
      <c r="AI43" s="19">
        <f>('[1]Short Spot'!AI44-'[1]Short Spot'!AI43)*100</f>
        <v>-0.13453673469241423</v>
      </c>
      <c r="AJ43" s="19">
        <f>('[1]Short Spot'!AJ44-'[1]Short Spot'!AJ43)*100</f>
        <v>-0.15929194634010102</v>
      </c>
      <c r="AK43" s="19">
        <f>('[1]Short Spot'!AK44-'[1]Short Spot'!AK43)*100</f>
        <v>-0.18225443130601704</v>
      </c>
      <c r="AL43" s="19">
        <f>('[1]Short Spot'!AL44-'[1]Short Spot'!AL43)*100</f>
        <v>-0.20360170401243494</v>
      </c>
      <c r="AM43" s="19">
        <f>('[1]Short Spot'!AM44-'[1]Short Spot'!AM43)*100</f>
        <v>-0.22349393699050424</v>
      </c>
      <c r="AN43" s="19">
        <f>('[1]Short Spot'!AN44-'[1]Short Spot'!AN43)*100</f>
        <v>-0.24207618420026833</v>
      </c>
      <c r="AO43" s="19">
        <f>('[1]Short Spot'!AO44-'[1]Short Spot'!AO43)*100</f>
        <v>-0.25948021611537087</v>
      </c>
      <c r="AP43" s="19">
        <f>('[1]Short Spot'!AP44-'[1]Short Spot'!AP43)*100</f>
        <v>-0.27582518050781601</v>
      </c>
      <c r="AQ43" s="19">
        <f>('[1]Short Spot'!AQ44-'[1]Short Spot'!AQ43)*100</f>
        <v>-0.29121816021469016</v>
      </c>
      <c r="AR43" s="19">
        <f>('[1]Short Spot'!AR44-'[1]Short Spot'!AR43)*100</f>
        <v>-0.30575562456869321</v>
      </c>
      <c r="AS43" s="19">
        <f>('[1]Short Spot'!AS44-'[1]Short Spot'!AS43)*100</f>
        <v>-0.31952463974782574</v>
      </c>
      <c r="AT43" s="19">
        <f>('[1]Short Spot'!AT44-'[1]Short Spot'!AT43)*100</f>
        <v>-0.33260391356924046</v>
      </c>
      <c r="AU43" s="19">
        <f>('[1]Short Spot'!AU44-'[1]Short Spot'!AU43)*100</f>
        <v>-0.34506465943753284</v>
      </c>
      <c r="AV43" s="19">
        <f>('[1]Short Spot'!AV44-'[1]Short Spot'!AV43)*100</f>
        <v>-0.35697101025702338</v>
      </c>
      <c r="AW43" s="19">
        <f>('[1]Short Spot'!AW44-'[1]Short Spot'!AW43)*100</f>
        <v>-0.36838075244274293</v>
      </c>
      <c r="AX43" s="19">
        <f>('[1]Short Spot'!AX44-'[1]Short Spot'!AX43)*100</f>
        <v>-0.37934609601277813</v>
      </c>
      <c r="AY43" s="19">
        <f>('[1]Short Spot'!AY44-'[1]Short Spot'!AY43)*100</f>
        <v>-0.38991423321670382</v>
      </c>
      <c r="AZ43" s="19">
        <f>('[1]Short Spot'!AZ44-'[1]Short Spot'!AZ43)*100</f>
        <v>-0.40012783047256306</v>
      </c>
      <c r="BA43" s="19">
        <f>('[1]Short Spot'!BA44-'[1]Short Spot'!BA43)*100</f>
        <v>-0.41002546354347302</v>
      </c>
      <c r="BB43" s="19">
        <f>('[1]Short Spot'!BB44-'[1]Short Spot'!BB43)*100</f>
        <v>-0.41964200307855748</v>
      </c>
      <c r="BC43" s="19">
        <f>('[1]Short Spot'!BC44-'[1]Short Spot'!BC43)*100</f>
        <v>-0.42900883852929894</v>
      </c>
      <c r="BD43" s="19">
        <f>('[1]Short Spot'!BD44-'[1]Short Spot'!BD43)*100</f>
        <v>-0.43815393989081741</v>
      </c>
      <c r="BE43" s="19">
        <f>('[1]Short Spot'!BE44-'[1]Short Spot'!BE43)*100</f>
        <v>-0.44710228487438997</v>
      </c>
      <c r="BF43" s="19">
        <f>('[1]Short Spot'!BF44-'[1]Short Spot'!BF43)*100</f>
        <v>-0.45587615085134203</v>
      </c>
      <c r="BG43" s="19">
        <f>('[1]Short Spot'!BG44-'[1]Short Spot'!BG43)*100</f>
        <v>-0.46449534764239075</v>
      </c>
      <c r="BH43" s="19">
        <f>('[1]Short Spot'!BH44-'[1]Short Spot'!BH43)*100</f>
        <v>-0.47297742663090503</v>
      </c>
      <c r="BI43" s="19">
        <f>('[1]Short Spot'!BI44-'[1]Short Spot'!BI43)*100</f>
        <v>-0.48133786845649951</v>
      </c>
    </row>
    <row r="44" spans="1:61" x14ac:dyDescent="0.2">
      <c r="A44" s="18">
        <v>39143</v>
      </c>
      <c r="B44" s="19">
        <f>('[1]Short Spot'!B45-'[1]Short Spot'!B44)*100</f>
        <v>1.057695931246716</v>
      </c>
      <c r="C44" s="19">
        <f>('[1]Short Spot'!C45-'[1]Short Spot'!C44)*100</f>
        <v>0.29213580328155686</v>
      </c>
      <c r="D44" s="19">
        <f>('[1]Short Spot'!D45-'[1]Short Spot'!D44)*100</f>
        <v>-0.37993054832119455</v>
      </c>
      <c r="E44" s="19">
        <f>('[1]Short Spot'!E45-'[1]Short Spot'!E44)*100</f>
        <v>-0.90735699691357752</v>
      </c>
      <c r="F44" s="19">
        <f>('[1]Short Spot'!F45-'[1]Short Spot'!F44)*100</f>
        <v>-1.3118583745349355</v>
      </c>
      <c r="G44" s="19">
        <f>('[1]Short Spot'!G45-'[1]Short Spot'!G44)*100</f>
        <v>-1.6357771157836432</v>
      </c>
      <c r="H44" s="19">
        <f>('[1]Short Spot'!H45-'[1]Short Spot'!H44)*100</f>
        <v>-1.8924536914560086</v>
      </c>
      <c r="I44" s="19">
        <f>('[1]Short Spot'!I45-'[1]Short Spot'!I44)*100</f>
        <v>-2.0884830918387109</v>
      </c>
      <c r="J44" s="19">
        <f>('[1]Short Spot'!J45-'[1]Short Spot'!J44)*100</f>
        <v>-2.2318535466203215</v>
      </c>
      <c r="K44" s="19">
        <f>('[1]Short Spot'!K45-'[1]Short Spot'!K44)*100</f>
        <v>-2.3323512519376699</v>
      </c>
      <c r="L44" s="19">
        <f>('[1]Short Spot'!L45-'[1]Short Spot'!L44)*100</f>
        <v>-2.4010489598005336</v>
      </c>
      <c r="M44" s="19">
        <f>('[1]Short Spot'!M45-'[1]Short Spot'!M44)*100</f>
        <v>-2.4472073476085043</v>
      </c>
      <c r="N44" s="19">
        <f>('[1]Short Spot'!N45-'[1]Short Spot'!N44)*100</f>
        <v>-2.4782619563572084</v>
      </c>
      <c r="O44" s="19">
        <f>('[1]Short Spot'!O45-'[1]Short Spot'!O44)*100</f>
        <v>-2.4984799043703099</v>
      </c>
      <c r="P44" s="19">
        <f>('[1]Short Spot'!P45-'[1]Short Spot'!P44)*100</f>
        <v>-2.5104843932547638</v>
      </c>
      <c r="Q44" s="19">
        <f>('[1]Short Spot'!Q45-'[1]Short Spot'!Q44)*100</f>
        <v>-2.5161908251648768</v>
      </c>
      <c r="R44" s="19">
        <f>('[1]Short Spot'!R45-'[1]Short Spot'!R44)*100</f>
        <v>-2.5170152474984775</v>
      </c>
      <c r="S44" s="19">
        <f>('[1]Short Spot'!S45-'[1]Short Spot'!S44)*100</f>
        <v>-2.5140130625498358</v>
      </c>
      <c r="T44" s="19">
        <f>('[1]Short Spot'!T45-'[1]Short Spot'!T44)*100</f>
        <v>-2.5079739341157037</v>
      </c>
      <c r="U44" s="19">
        <f>('[1]Short Spot'!U45-'[1]Short Spot'!U44)*100</f>
        <v>-2.4994877184855824</v>
      </c>
      <c r="V44" s="19">
        <f>('[1]Short Spot'!V45-'[1]Short Spot'!V44)*100</f>
        <v>-2.4889879507723478</v>
      </c>
      <c r="W44" s="19">
        <f>('[1]Short Spot'!W45-'[1]Short Spot'!W44)*100</f>
        <v>-2.4768018388735769</v>
      </c>
      <c r="X44" s="19">
        <f>('[1]Short Spot'!X45-'[1]Short Spot'!X44)*100</f>
        <v>-2.4631842973369622</v>
      </c>
      <c r="Y44" s="19">
        <f>('[1]Short Spot'!Y45-'[1]Short Spot'!Y44)*100</f>
        <v>-2.4483332712496697</v>
      </c>
      <c r="Z44" s="19">
        <f>('[1]Short Spot'!Z45-'[1]Short Spot'!Z44)*100</f>
        <v>-2.4323974685435346</v>
      </c>
      <c r="AA44" s="19">
        <f>('[1]Short Spot'!AA45-'[1]Short Spot'!AA44)*100</f>
        <v>-2.4154813748304527</v>
      </c>
      <c r="AB44" s="19">
        <f>('[1]Short Spot'!AB45-'[1]Short Spot'!AB44)*100</f>
        <v>-2.3976757272799354</v>
      </c>
      <c r="AC44" s="19">
        <f>('[1]Short Spot'!AC45-'[1]Short Spot'!AC44)*100</f>
        <v>-2.3790652956636293</v>
      </c>
      <c r="AD44" s="19">
        <f>('[1]Short Spot'!AD45-'[1]Short Spot'!AD44)*100</f>
        <v>-2.3597299114120673</v>
      </c>
      <c r="AE44" s="19">
        <f>('[1]Short Spot'!AE45-'[1]Short Spot'!AE44)*100</f>
        <v>-2.3397452906727345</v>
      </c>
      <c r="AF44" s="19">
        <f>('[1]Short Spot'!AF45-'[1]Short Spot'!AF44)*100</f>
        <v>-2.3191836980643643</v>
      </c>
      <c r="AG44" s="19">
        <f>('[1]Short Spot'!AG45-'[1]Short Spot'!AG44)*100</f>
        <v>-2.298113324238571</v>
      </c>
      <c r="AH44" s="19">
        <f>('[1]Short Spot'!AH45-'[1]Short Spot'!AH44)*100</f>
        <v>-2.276595027843431</v>
      </c>
      <c r="AI44" s="19">
        <f>('[1]Short Spot'!AI45-'[1]Short Spot'!AI44)*100</f>
        <v>-2.2546869354299837</v>
      </c>
      <c r="AJ44" s="19">
        <f>('[1]Short Spot'!AJ45-'[1]Short Spot'!AJ44)*100</f>
        <v>-2.23244328118124</v>
      </c>
      <c r="AK44" s="19">
        <f>('[1]Short Spot'!AK45-'[1]Short Spot'!AK44)*100</f>
        <v>-2.2099137085352716</v>
      </c>
      <c r="AL44" s="19">
        <f>('[1]Short Spot'!AL45-'[1]Short Spot'!AL44)*100</f>
        <v>-2.1871445404859635</v>
      </c>
      <c r="AM44" s="19">
        <f>('[1]Short Spot'!AM45-'[1]Short Spot'!AM44)*100</f>
        <v>-2.1641792270834515</v>
      </c>
      <c r="AN44" s="19">
        <f>('[1]Short Spot'!AN45-'[1]Short Spot'!AN44)*100</f>
        <v>-2.1410587137607351</v>
      </c>
      <c r="AO44" s="19">
        <f>('[1]Short Spot'!AO45-'[1]Short Spot'!AO44)*100</f>
        <v>-2.1178215726680882</v>
      </c>
      <c r="AP44" s="19">
        <f>('[1]Short Spot'!AP45-'[1]Short Spot'!AP44)*100</f>
        <v>-2.0945025404547124</v>
      </c>
      <c r="AQ44" s="19">
        <f>('[1]Short Spot'!AQ45-'[1]Short Spot'!AQ44)*100</f>
        <v>-2.0711330491913316</v>
      </c>
      <c r="AR44" s="19">
        <f>('[1]Short Spot'!AR45-'[1]Short Spot'!AR44)*100</f>
        <v>-2.0477423283882246</v>
      </c>
      <c r="AS44" s="19">
        <f>('[1]Short Spot'!AS45-'[1]Short Spot'!AS44)*100</f>
        <v>-2.0243576642742234</v>
      </c>
      <c r="AT44" s="19">
        <f>('[1]Short Spot'!AT45-'[1]Short Spot'!AT44)*100</f>
        <v>-2.0010046157177719</v>
      </c>
      <c r="AU44" s="19">
        <f>('[1]Short Spot'!AU45-'[1]Short Spot'!AU44)*100</f>
        <v>-1.9777070288103715</v>
      </c>
      <c r="AV44" s="19">
        <f>('[1]Short Spot'!AV45-'[1]Short Spot'!AV44)*100</f>
        <v>-1.9544861028783167</v>
      </c>
      <c r="AW44" s="19">
        <f>('[1]Short Spot'!AW45-'[1]Short Spot'!AW44)*100</f>
        <v>-1.9313609225373618</v>
      </c>
      <c r="AX44" s="19">
        <f>('[1]Short Spot'!AX45-'[1]Short Spot'!AX44)*100</f>
        <v>-1.9083490258959834</v>
      </c>
      <c r="AY44" s="19">
        <f>('[1]Short Spot'!AY45-'[1]Short Spot'!AY44)*100</f>
        <v>-1.8854665604241205</v>
      </c>
      <c r="AZ44" s="19">
        <f>('[1]Short Spot'!AZ45-'[1]Short Spot'!AZ44)*100</f>
        <v>-1.8627284192906934</v>
      </c>
      <c r="BA44" s="19">
        <f>('[1]Short Spot'!BA45-'[1]Short Spot'!BA44)*100</f>
        <v>-1.840148361969618</v>
      </c>
      <c r="BB44" s="19">
        <f>('[1]Short Spot'!BB45-'[1]Short Spot'!BB44)*100</f>
        <v>-1.8177391182561564</v>
      </c>
      <c r="BC44" s="19">
        <f>('[1]Short Spot'!BC45-'[1]Short Spot'!BC44)*100</f>
        <v>-1.7955121254031425</v>
      </c>
      <c r="BD44" s="19">
        <f>('[1]Short Spot'!BD45-'[1]Short Spot'!BD44)*100</f>
        <v>-1.7734772857628478</v>
      </c>
      <c r="BE44" s="19">
        <f>('[1]Short Spot'!BE45-'[1]Short Spot'!BE44)*100</f>
        <v>-1.7516436963643578</v>
      </c>
      <c r="BF44" s="19">
        <f>('[1]Short Spot'!BF45-'[1]Short Spot'!BF44)*100</f>
        <v>-1.7300197984223331</v>
      </c>
      <c r="BG44" s="19">
        <f>('[1]Short Spot'!BG45-'[1]Short Spot'!BG44)*100</f>
        <v>-1.7086134338716974</v>
      </c>
      <c r="BH44" s="19">
        <f>('[1]Short Spot'!BH45-'[1]Short Spot'!BH44)*100</f>
        <v>-1.6874318961543899</v>
      </c>
      <c r="BI44" s="19">
        <f>('[1]Short Spot'!BI45-'[1]Short Spot'!BI44)*100</f>
        <v>-1.6664819726817548</v>
      </c>
    </row>
    <row r="45" spans="1:61" x14ac:dyDescent="0.2">
      <c r="A45" s="18">
        <v>39146</v>
      </c>
      <c r="B45" s="19">
        <f>('[1]Short Spot'!B46-'[1]Short Spot'!B45)*100</f>
        <v>-0.27439394144721518</v>
      </c>
      <c r="C45" s="19">
        <f>('[1]Short Spot'!C46-'[1]Short Spot'!C45)*100</f>
        <v>-1.3693120741705478</v>
      </c>
      <c r="D45" s="19">
        <f>('[1]Short Spot'!D46-'[1]Short Spot'!D45)*100</f>
        <v>-2.0918840555550489</v>
      </c>
      <c r="E45" s="19">
        <f>('[1]Short Spot'!E46-'[1]Short Spot'!E45)*100</f>
        <v>-2.6949905731171953</v>
      </c>
      <c r="F45" s="19">
        <f>('[1]Short Spot'!F46-'[1]Short Spot'!F45)*100</f>
        <v>-3.2122906709531662</v>
      </c>
      <c r="G45" s="19">
        <f>('[1]Short Spot'!G46-'[1]Short Spot'!G45)*100</f>
        <v>-3.6287439321593951</v>
      </c>
      <c r="H45" s="19">
        <f>('[1]Short Spot'!H46-'[1]Short Spot'!H45)*100</f>
        <v>-3.9410282651655137</v>
      </c>
      <c r="I45" s="19">
        <f>('[1]Short Spot'!I46-'[1]Short Spot'!I45)*100</f>
        <v>-4.1587952954730945</v>
      </c>
      <c r="J45" s="19">
        <f>('[1]Short Spot'!J46-'[1]Short Spot'!J45)*100</f>
        <v>-4.2963257196075411</v>
      </c>
      <c r="K45" s="19">
        <f>('[1]Short Spot'!K46-'[1]Short Spot'!K45)*100</f>
        <v>-4.3701756900378363</v>
      </c>
      <c r="L45" s="19">
        <f>('[1]Short Spot'!L46-'[1]Short Spot'!L45)*100</f>
        <v>-4.3958770243987644</v>
      </c>
      <c r="M45" s="19">
        <f>('[1]Short Spot'!M46-'[1]Short Spot'!M45)*100</f>
        <v>-4.3860885169651809</v>
      </c>
      <c r="N45" s="19">
        <f>('[1]Short Spot'!N46-'[1]Short Spot'!N45)*100</f>
        <v>-4.3515458652708894</v>
      </c>
      <c r="O45" s="19">
        <f>('[1]Short Spot'!O46-'[1]Short Spot'!O45)*100</f>
        <v>-4.3006765626281585</v>
      </c>
      <c r="P45" s="19">
        <f>('[1]Short Spot'!P46-'[1]Short Spot'!P45)*100</f>
        <v>-4.2395043023955914</v>
      </c>
      <c r="Q45" s="19">
        <f>('[1]Short Spot'!Q46-'[1]Short Spot'!Q45)*100</f>
        <v>-4.1723206410670066</v>
      </c>
      <c r="R45" s="19">
        <f>('[1]Short Spot'!R46-'[1]Short Spot'!R45)*100</f>
        <v>-4.1021944376668174</v>
      </c>
      <c r="S45" s="19">
        <f>('[1]Short Spot'!S46-'[1]Short Spot'!S45)*100</f>
        <v>-4.0313114919355186</v>
      </c>
      <c r="T45" s="19">
        <f>('[1]Short Spot'!T46-'[1]Short Spot'!T45)*100</f>
        <v>-3.9612069283539775</v>
      </c>
      <c r="U45" s="19">
        <f>('[1]Short Spot'!U46-'[1]Short Spot'!U45)*100</f>
        <v>-3.8929279385476967</v>
      </c>
      <c r="V45" s="19">
        <f>('[1]Short Spot'!V46-'[1]Short Spot'!V45)*100</f>
        <v>-3.8271587285113817</v>
      </c>
      <c r="W45" s="19">
        <f>('[1]Short Spot'!W46-'[1]Short Spot'!W45)*100</f>
        <v>-3.7643284027939927</v>
      </c>
      <c r="X45" s="19">
        <f>('[1]Short Spot'!X46-'[1]Short Spot'!X45)*100</f>
        <v>-3.704673960765259</v>
      </c>
      <c r="Y45" s="19">
        <f>('[1]Short Spot'!Y46-'[1]Short Spot'!Y45)*100</f>
        <v>-3.6482803864835489</v>
      </c>
      <c r="Z45" s="19">
        <f>('[1]Short Spot'!Z46-'[1]Short Spot'!Z45)*100</f>
        <v>-3.5951132617497272</v>
      </c>
      <c r="AA45" s="19">
        <f>('[1]Short Spot'!AA46-'[1]Short Spot'!AA45)*100</f>
        <v>-3.5450723890785518</v>
      </c>
      <c r="AB45" s="19">
        <f>('[1]Short Spot'!AB46-'[1]Short Spot'!AB45)*100</f>
        <v>-3.498037441486801</v>
      </c>
      <c r="AC45" s="19">
        <f>('[1]Short Spot'!AC46-'[1]Short Spot'!AC45)*100</f>
        <v>-3.4538748248190032</v>
      </c>
      <c r="AD45" s="19">
        <f>('[1]Short Spot'!AD46-'[1]Short Spot'!AD45)*100</f>
        <v>-3.4124399651923376</v>
      </c>
      <c r="AE45" s="19">
        <f>('[1]Short Spot'!AE46-'[1]Short Spot'!AE45)*100</f>
        <v>-3.3735791389500669</v>
      </c>
      <c r="AF45" s="19">
        <f>('[1]Short Spot'!AF46-'[1]Short Spot'!AF45)*100</f>
        <v>-3.3371309484262035</v>
      </c>
      <c r="AG45" s="19">
        <f>('[1]Short Spot'!AG46-'[1]Short Spot'!AG45)*100</f>
        <v>-3.3029278074376833</v>
      </c>
      <c r="AH45" s="19">
        <f>('[1]Short Spot'!AH46-'[1]Short Spot'!AH45)*100</f>
        <v>-3.2708028966074387</v>
      </c>
      <c r="AI45" s="19">
        <f>('[1]Short Spot'!AI46-'[1]Short Spot'!AI45)*100</f>
        <v>-3.2405978123734691</v>
      </c>
      <c r="AJ45" s="19">
        <f>('[1]Short Spot'!AJ46-'[1]Short Spot'!AJ45)*100</f>
        <v>-3.2121630722832251</v>
      </c>
      <c r="AK45" s="19">
        <f>('[1]Short Spot'!AK46-'[1]Short Spot'!AK45)*100</f>
        <v>-3.1853594382061701</v>
      </c>
      <c r="AL45" s="19">
        <f>('[1]Short Spot'!AL46-'[1]Short Spot'!AL45)*100</f>
        <v>-3.1600571889347506</v>
      </c>
      <c r="AM45" s="19">
        <f>('[1]Short Spot'!AM46-'[1]Short Spot'!AM45)*100</f>
        <v>-3.1361348699954661</v>
      </c>
      <c r="AN45" s="19">
        <f>('[1]Short Spot'!AN46-'[1]Short Spot'!AN45)*100</f>
        <v>-3.1134782338089195</v>
      </c>
      <c r="AO45" s="19">
        <f>('[1]Short Spot'!AO46-'[1]Short Spot'!AO45)*100</f>
        <v>-3.0919793420811637</v>
      </c>
      <c r="AP45" s="19">
        <f>('[1]Short Spot'!AP46-'[1]Short Spot'!AP45)*100</f>
        <v>-3.0715368586050396</v>
      </c>
      <c r="AQ45" s="19">
        <f>('[1]Short Spot'!AQ46-'[1]Short Spot'!AQ45)*100</f>
        <v>-3.0520578873253434</v>
      </c>
      <c r="AR45" s="19">
        <f>('[1]Short Spot'!AR46-'[1]Short Spot'!AR45)*100</f>
        <v>-3.0334575970407229</v>
      </c>
      <c r="AS45" s="19">
        <f>('[1]Short Spot'!AS46-'[1]Short Spot'!AS45)*100</f>
        <v>-3.0156583065844345</v>
      </c>
      <c r="AT45" s="19">
        <f>('[1]Short Spot'!AT46-'[1]Short Spot'!AT45)*100</f>
        <v>-2.9985886903748593</v>
      </c>
      <c r="AU45" s="19">
        <f>('[1]Short Spot'!AU46-'[1]Short Spot'!AU45)*100</f>
        <v>-2.9821830544101147</v>
      </c>
      <c r="AV45" s="19">
        <f>('[1]Short Spot'!AV46-'[1]Short Spot'!AV45)*100</f>
        <v>-2.9663809244115491</v>
      </c>
      <c r="AW45" s="19">
        <f>('[1]Short Spot'!AW46-'[1]Short Spot'!AW45)*100</f>
        <v>-2.9511272982894354</v>
      </c>
      <c r="AX45" s="19">
        <f>('[1]Short Spot'!AX46-'[1]Short Spot'!AX45)*100</f>
        <v>-2.9363722668428238</v>
      </c>
      <c r="AY45" s="19">
        <f>('[1]Short Spot'!AY46-'[1]Short Spot'!AY45)*100</f>
        <v>-2.9220705045601036</v>
      </c>
      <c r="AZ45" s="19">
        <f>('[1]Short Spot'!AZ46-'[1]Short Spot'!AZ45)*100</f>
        <v>-2.908180820236872</v>
      </c>
      <c r="BA45" s="19">
        <f>('[1]Short Spot'!BA46-'[1]Short Spot'!BA45)*100</f>
        <v>-2.8946657594468128</v>
      </c>
      <c r="BB45" s="19">
        <f>('[1]Short Spot'!BB46-'[1]Short Spot'!BB45)*100</f>
        <v>-2.8814912501546885</v>
      </c>
      <c r="BC45" s="19">
        <f>('[1]Short Spot'!BC46-'[1]Short Spot'!BC45)*100</f>
        <v>-2.8686261757891351</v>
      </c>
      <c r="BD45" s="19">
        <f>('[1]Short Spot'!BD46-'[1]Short Spot'!BD45)*100</f>
        <v>-2.8560421124627311</v>
      </c>
      <c r="BE45" s="19">
        <f>('[1]Short Spot'!BE46-'[1]Short Spot'!BE45)*100</f>
        <v>-2.8437133303192752</v>
      </c>
      <c r="BF45" s="19">
        <f>('[1]Short Spot'!BF46-'[1]Short Spot'!BF45)*100</f>
        <v>-2.8316165785665426</v>
      </c>
      <c r="BG45" s="19">
        <f>('[1]Short Spot'!BG46-'[1]Short Spot'!BG45)*100</f>
        <v>-2.8197308717634151</v>
      </c>
      <c r="BH45" s="19">
        <f>('[1]Short Spot'!BH46-'[1]Short Spot'!BH45)*100</f>
        <v>-2.8080372978417145</v>
      </c>
      <c r="BI45" s="19">
        <f>('[1]Short Spot'!BI46-'[1]Short Spot'!BI45)*100</f>
        <v>-2.7965188433843657</v>
      </c>
    </row>
    <row r="46" spans="1:61" x14ac:dyDescent="0.2">
      <c r="A46" s="18">
        <v>39147</v>
      </c>
      <c r="B46" s="19">
        <f>('[1]Short Spot'!B47-'[1]Short Spot'!B46)*100</f>
        <v>0.35435204765477124</v>
      </c>
      <c r="C46" s="19">
        <f>('[1]Short Spot'!C47-'[1]Short Spot'!C46)*100</f>
        <v>1.3722447773037771</v>
      </c>
      <c r="D46" s="19">
        <f>('[1]Short Spot'!D47-'[1]Short Spot'!D46)*100</f>
        <v>1.8612044056145471</v>
      </c>
      <c r="E46" s="19">
        <f>('[1]Short Spot'!E47-'[1]Short Spot'!E46)*100</f>
        <v>2.2100632372887397</v>
      </c>
      <c r="F46" s="19">
        <f>('[1]Short Spot'!F47-'[1]Short Spot'!F46)*100</f>
        <v>2.4856627287195288</v>
      </c>
      <c r="G46" s="19">
        <f>('[1]Short Spot'!G47-'[1]Short Spot'!G46)*100</f>
        <v>2.6753334827928299</v>
      </c>
      <c r="H46" s="19">
        <f>('[1]Short Spot'!H47-'[1]Short Spot'!H46)*100</f>
        <v>2.7798621511045951</v>
      </c>
      <c r="I46" s="19">
        <f>('[1]Short Spot'!I47-'[1]Short Spot'!I46)*100</f>
        <v>2.8103898027628027</v>
      </c>
      <c r="J46" s="19">
        <f>('[1]Short Spot'!J47-'[1]Short Spot'!J46)*100</f>
        <v>2.7830468750121184</v>
      </c>
      <c r="K46" s="19">
        <f>('[1]Short Spot'!K47-'[1]Short Spot'!K46)*100</f>
        <v>2.7157464887937799</v>
      </c>
      <c r="L46" s="19">
        <f>('[1]Short Spot'!L47-'[1]Short Spot'!L46)*100</f>
        <v>2.6228082830773936</v>
      </c>
      <c r="M46" s="19">
        <f>('[1]Short Spot'!M47-'[1]Short Spot'!M46)*100</f>
        <v>2.514340952185723</v>
      </c>
      <c r="N46" s="19">
        <f>('[1]Short Spot'!N47-'[1]Short Spot'!N46)*100</f>
        <v>2.3980516314908051</v>
      </c>
      <c r="O46" s="19">
        <f>('[1]Short Spot'!O47-'[1]Short Spot'!O46)*100</f>
        <v>2.2801041283815771</v>
      </c>
      <c r="P46" s="19">
        <f>('[1]Short Spot'!P47-'[1]Short Spot'!P46)*100</f>
        <v>2.1647325175129239</v>
      </c>
      <c r="Q46" s="19">
        <f>('[1]Short Spot'!Q47-'[1]Short Spot'!Q46)*100</f>
        <v>2.054680461509939</v>
      </c>
      <c r="R46" s="19">
        <f>('[1]Short Spot'!R47-'[1]Short Spot'!R46)*100</f>
        <v>1.9516395672892983</v>
      </c>
      <c r="S46" s="19">
        <f>('[1]Short Spot'!S47-'[1]Short Spot'!S46)*100</f>
        <v>1.8565416237565024</v>
      </c>
      <c r="T46" s="19">
        <f>('[1]Short Spot'!T47-'[1]Short Spot'!T46)*100</f>
        <v>1.7697585539149685</v>
      </c>
      <c r="U46" s="19">
        <f>('[1]Short Spot'!U47-'[1]Short Spot'!U46)*100</f>
        <v>1.6912442810656181</v>
      </c>
      <c r="V46" s="19">
        <f>('[1]Short Spot'!V47-'[1]Short Spot'!V46)*100</f>
        <v>1.6206875321747027</v>
      </c>
      <c r="W46" s="19">
        <f>('[1]Short Spot'!W47-'[1]Short Spot'!W46)*100</f>
        <v>1.5576688261427662</v>
      </c>
      <c r="X46" s="19">
        <f>('[1]Short Spot'!X47-'[1]Short Spot'!X46)*100</f>
        <v>1.501702457146159</v>
      </c>
      <c r="Y46" s="19">
        <f>('[1]Short Spot'!Y47-'[1]Short Spot'!Y46)*100</f>
        <v>1.4522503338715964</v>
      </c>
      <c r="Z46" s="19">
        <f>('[1]Short Spot'!Z47-'[1]Short Spot'!Z46)*100</f>
        <v>1.4087395740054021</v>
      </c>
      <c r="AA46" s="19">
        <f>('[1]Short Spot'!AA47-'[1]Short Spot'!AA46)*100</f>
        <v>1.3706178267161917</v>
      </c>
      <c r="AB46" s="19">
        <f>('[1]Short Spot'!AB47-'[1]Short Spot'!AB46)*100</f>
        <v>1.3373817423334877</v>
      </c>
      <c r="AC46" s="19">
        <f>('[1]Short Spot'!AC47-'[1]Short Spot'!AC46)*100</f>
        <v>1.3085697713834499</v>
      </c>
      <c r="AD46" s="19">
        <f>('[1]Short Spot'!AD47-'[1]Short Spot'!AD46)*100</f>
        <v>1.2837549576596885</v>
      </c>
      <c r="AE46" s="19">
        <f>('[1]Short Spot'!AE47-'[1]Short Spot'!AE46)*100</f>
        <v>1.2625391726776236</v>
      </c>
      <c r="AF46" s="19">
        <f>('[1]Short Spot'!AF47-'[1]Short Spot'!AF46)*100</f>
        <v>1.2445484661336437</v>
      </c>
      <c r="AG46" s="19">
        <f>('[1]Short Spot'!AG47-'[1]Short Spot'!AG46)*100</f>
        <v>1.229430784304153</v>
      </c>
      <c r="AH46" s="19">
        <f>('[1]Short Spot'!AH47-'[1]Short Spot'!AH46)*100</f>
        <v>1.2168629632001604</v>
      </c>
      <c r="AI46" s="19">
        <f>('[1]Short Spot'!AI47-'[1]Short Spot'!AI46)*100</f>
        <v>1.2065533527497507</v>
      </c>
      <c r="AJ46" s="19">
        <f>('[1]Short Spot'!AJ47-'[1]Short Spot'!AJ46)*100</f>
        <v>1.1982398158866481</v>
      </c>
      <c r="AK46" s="19">
        <f>('[1]Short Spot'!AK47-'[1]Short Spot'!AK46)*100</f>
        <v>1.1916875667186133</v>
      </c>
      <c r="AL46" s="19">
        <f>('[1]Short Spot'!AL47-'[1]Short Spot'!AL46)*100</f>
        <v>1.1866855313039437</v>
      </c>
      <c r="AM46" s="19">
        <f>('[1]Short Spot'!AM47-'[1]Short Spot'!AM46)*100</f>
        <v>1.1830432268222779</v>
      </c>
      <c r="AN46" s="19">
        <f>('[1]Short Spot'!AN47-'[1]Short Spot'!AN46)*100</f>
        <v>1.1805881216858438</v>
      </c>
      <c r="AO46" s="19">
        <f>('[1]Short Spot'!AO47-'[1]Short Spot'!AO46)*100</f>
        <v>1.1791635299073455</v>
      </c>
      <c r="AP46" s="19">
        <f>('[1]Short Spot'!AP47-'[1]Short Spot'!AP46)*100</f>
        <v>1.1786282984060037</v>
      </c>
      <c r="AQ46" s="19">
        <f>('[1]Short Spot'!AQ47-'[1]Short Spot'!AQ46)*100</f>
        <v>1.1788563803159846</v>
      </c>
      <c r="AR46" s="19">
        <f>('[1]Short Spot'!AR47-'[1]Short Spot'!AR46)*100</f>
        <v>1.1797351225653507</v>
      </c>
      <c r="AS46" s="19">
        <f>('[1]Short Spot'!AS47-'[1]Short Spot'!AS46)*100</f>
        <v>1.1811637432459499</v>
      </c>
      <c r="AT46" s="19">
        <f>('[1]Short Spot'!AT47-'[1]Short Spot'!AT46)*100</f>
        <v>1.1830520125942101</v>
      </c>
      <c r="AU46" s="19">
        <f>('[1]Short Spot'!AU47-'[1]Short Spot'!AU46)*100</f>
        <v>1.1853191910132566</v>
      </c>
      <c r="AV46" s="19">
        <f>('[1]Short Spot'!AV47-'[1]Short Spot'!AV46)*100</f>
        <v>1.1878934685086051</v>
      </c>
      <c r="AW46" s="19">
        <f>('[1]Short Spot'!AW47-'[1]Short Spot'!AW46)*100</f>
        <v>1.1907110036148083</v>
      </c>
      <c r="AX46" s="19">
        <f>('[1]Short Spot'!AX47-'[1]Short Spot'!AX46)*100</f>
        <v>1.1937150322733459</v>
      </c>
      <c r="AY46" s="19">
        <f>('[1]Short Spot'!AY47-'[1]Short Spot'!AY46)*100</f>
        <v>1.1968551600687327</v>
      </c>
      <c r="AZ46" s="19">
        <f>('[1]Short Spot'!AZ47-'[1]Short Spot'!AZ46)*100</f>
        <v>1.2000867377517821</v>
      </c>
      <c r="BA46" s="19">
        <f>('[1]Short Spot'!BA47-'[1]Short Spot'!BA46)*100</f>
        <v>1.2033703088213166</v>
      </c>
      <c r="BB46" s="19">
        <f>('[1]Short Spot'!BB47-'[1]Short Spot'!BB46)*100</f>
        <v>1.2066711222748161</v>
      </c>
      <c r="BC46" s="19">
        <f>('[1]Short Spot'!BC47-'[1]Short Spot'!BC46)*100</f>
        <v>1.2099588445121157</v>
      </c>
      <c r="BD46" s="19">
        <f>('[1]Short Spot'!BD47-'[1]Short Spot'!BD46)*100</f>
        <v>1.213207260084026</v>
      </c>
      <c r="BE46" s="19">
        <f>('[1]Short Spot'!BE47-'[1]Short Spot'!BE46)*100</f>
        <v>1.2163937267296809</v>
      </c>
      <c r="BF46" s="19">
        <f>('[1]Short Spot'!BF47-'[1]Short Spot'!BF46)*100</f>
        <v>1.2194988452609579</v>
      </c>
      <c r="BG46" s="19">
        <f>('[1]Short Spot'!BG47-'[1]Short Spot'!BG46)*100</f>
        <v>1.22250617998656</v>
      </c>
      <c r="BH46" s="19">
        <f>('[1]Short Spot'!BH47-'[1]Short Spot'!BH46)*100</f>
        <v>1.2254020075695315</v>
      </c>
      <c r="BI46" s="19">
        <f>('[1]Short Spot'!BI47-'[1]Short Spot'!BI46)*100</f>
        <v>1.2281750934353575</v>
      </c>
    </row>
    <row r="47" spans="1:61" x14ac:dyDescent="0.2">
      <c r="A47" s="18">
        <v>39148</v>
      </c>
      <c r="B47" s="19">
        <f>('[1]Short Spot'!B48-'[1]Short Spot'!B47)*100</f>
        <v>0.43666095110435066</v>
      </c>
      <c r="C47" s="19">
        <f>('[1]Short Spot'!C48-'[1]Short Spot'!C47)*100</f>
        <v>0.35769259440741052</v>
      </c>
      <c r="D47" s="19">
        <f>('[1]Short Spot'!D48-'[1]Short Spot'!D47)*100</f>
        <v>0.32534930266159279</v>
      </c>
      <c r="E47" s="19">
        <f>('[1]Short Spot'!E48-'[1]Short Spot'!E47)*100</f>
        <v>0.32189529159563079</v>
      </c>
      <c r="F47" s="19">
        <f>('[1]Short Spot'!F48-'[1]Short Spot'!F47)*100</f>
        <v>0.31880626181415295</v>
      </c>
      <c r="G47" s="19">
        <f>('[1]Short Spot'!G48-'[1]Short Spot'!G47)*100</f>
        <v>0.30677910929997054</v>
      </c>
      <c r="H47" s="19">
        <f>('[1]Short Spot'!H48-'[1]Short Spot'!H47)*100</f>
        <v>0.28679103378523862</v>
      </c>
      <c r="I47" s="19">
        <f>('[1]Short Spot'!I48-'[1]Short Spot'!I47)*100</f>
        <v>0.26086120279762426</v>
      </c>
      <c r="J47" s="19">
        <f>('[1]Short Spot'!J48-'[1]Short Spot'!J47)*100</f>
        <v>0.23163312298368766</v>
      </c>
      <c r="K47" s="19">
        <f>('[1]Short Spot'!K48-'[1]Short Spot'!K47)*100</f>
        <v>0.20198801494419882</v>
      </c>
      <c r="L47" s="19">
        <f>('[1]Short Spot'!L48-'[1]Short Spot'!L47)*100</f>
        <v>0.17433608807175816</v>
      </c>
      <c r="M47" s="19">
        <f>('[1]Short Spot'!M48-'[1]Short Spot'!M47)*100</f>
        <v>0.14980490236622401</v>
      </c>
      <c r="N47" s="19">
        <f>('[1]Short Spot'!N48-'[1]Short Spot'!N47)*100</f>
        <v>0.12853657988616263</v>
      </c>
      <c r="O47" s="19">
        <f>('[1]Short Spot'!O48-'[1]Short Spot'!O47)*100</f>
        <v>0.11027222492119293</v>
      </c>
      <c r="P47" s="19">
        <f>('[1]Short Spot'!P48-'[1]Short Spot'!P47)*100</f>
        <v>9.4715391277055971E-2</v>
      </c>
      <c r="Q47" s="19">
        <f>('[1]Short Spot'!Q48-'[1]Short Spot'!Q47)*100</f>
        <v>8.1579986118196501E-2</v>
      </c>
      <c r="R47" s="19">
        <f>('[1]Short Spot'!R48-'[1]Short Spot'!R47)*100</f>
        <v>7.0587225112017649E-2</v>
      </c>
      <c r="S47" s="19">
        <f>('[1]Short Spot'!S48-'[1]Short Spot'!S47)*100</f>
        <v>6.1463602286693231E-2</v>
      </c>
      <c r="T47" s="19">
        <f>('[1]Short Spot'!T48-'[1]Short Spot'!T47)*100</f>
        <v>5.3939500990285438E-2</v>
      </c>
      <c r="U47" s="19">
        <f>('[1]Short Spot'!U48-'[1]Short Spot'!U47)*100</f>
        <v>4.7749489531057066E-2</v>
      </c>
      <c r="V47" s="19">
        <f>('[1]Short Spot'!V48-'[1]Short Spot'!V47)*100</f>
        <v>4.2654310653045258E-2</v>
      </c>
      <c r="W47" s="19">
        <f>('[1]Short Spot'!W48-'[1]Short Spot'!W47)*100</f>
        <v>3.8463690903167702E-2</v>
      </c>
      <c r="X47" s="19">
        <f>('[1]Short Spot'!X48-'[1]Short Spot'!X47)*100</f>
        <v>3.5028290743532864E-2</v>
      </c>
      <c r="Y47" s="19">
        <f>('[1]Short Spot'!Y48-'[1]Short Spot'!Y47)*100</f>
        <v>3.2231151156647542E-2</v>
      </c>
      <c r="Z47" s="19">
        <f>('[1]Short Spot'!Z48-'[1]Short Spot'!Z47)*100</f>
        <v>2.9983065397587438E-2</v>
      </c>
      <c r="AA47" s="19">
        <f>('[1]Short Spot'!AA48-'[1]Short Spot'!AA47)*100</f>
        <v>2.821833379025307E-2</v>
      </c>
      <c r="AB47" s="19">
        <f>('[1]Short Spot'!AB48-'[1]Short Spot'!AB47)*100</f>
        <v>2.6883424942969469E-2</v>
      </c>
      <c r="AC47" s="19">
        <f>('[1]Short Spot'!AC48-'[1]Short Spot'!AC47)*100</f>
        <v>2.5933665768640424E-2</v>
      </c>
      <c r="AD47" s="19">
        <f>('[1]Short Spot'!AD48-'[1]Short Spot'!AD47)*100</f>
        <v>2.5331714190635068E-2</v>
      </c>
      <c r="AE47" s="19">
        <f>('[1]Short Spot'!AE48-'[1]Short Spot'!AE47)*100</f>
        <v>2.5046337307710331E-2</v>
      </c>
      <c r="AF47" s="19">
        <f>('[1]Short Spot'!AF48-'[1]Short Spot'!AF47)*100</f>
        <v>2.5051426386113462E-2</v>
      </c>
      <c r="AG47" s="19">
        <f>('[1]Short Spot'!AG48-'[1]Short Spot'!AG47)*100</f>
        <v>2.5325774564155523E-2</v>
      </c>
      <c r="AH47" s="19">
        <f>('[1]Short Spot'!AH48-'[1]Short Spot'!AH47)*100</f>
        <v>2.5853361385319573E-2</v>
      </c>
      <c r="AI47" s="19">
        <f>('[1]Short Spot'!AI48-'[1]Short Spot'!AI47)*100</f>
        <v>2.6621123944092773E-2</v>
      </c>
      <c r="AJ47" s="19">
        <f>('[1]Short Spot'!AJ48-'[1]Short Spot'!AJ47)*100</f>
        <v>2.7618137464457959E-2</v>
      </c>
      <c r="AK47" s="19">
        <f>('[1]Short Spot'!AK48-'[1]Short Spot'!AK47)*100</f>
        <v>2.8833938427563766E-2</v>
      </c>
      <c r="AL47" s="19">
        <f>('[1]Short Spot'!AL48-'[1]Short Spot'!AL47)*100</f>
        <v>3.0258062887078552E-2</v>
      </c>
      <c r="AM47" s="19">
        <f>('[1]Short Spot'!AM48-'[1]Short Spot'!AM47)*100</f>
        <v>3.1880045901022669E-2</v>
      </c>
      <c r="AN47" s="19">
        <f>('[1]Short Spot'!AN48-'[1]Short Spot'!AN47)*100</f>
        <v>3.3689421658955609E-2</v>
      </c>
      <c r="AO47" s="19">
        <f>('[1]Short Spot'!AO48-'[1]Short Spot'!AO47)*100</f>
        <v>3.5675803424162211E-2</v>
      </c>
      <c r="AP47" s="19">
        <f>('[1]Short Spot'!AP48-'[1]Short Spot'!AP47)*100</f>
        <v>3.7829165195990555E-2</v>
      </c>
      <c r="AQ47" s="19">
        <f>('[1]Short Spot'!AQ48-'[1]Short Spot'!AQ47)*100</f>
        <v>4.0139237240222059E-2</v>
      </c>
      <c r="AR47" s="19">
        <f>('[1]Short Spot'!AR48-'[1]Short Spot'!AR47)*100</f>
        <v>4.2595300187109331E-2</v>
      </c>
      <c r="AS47" s="19">
        <f>('[1]Short Spot'!AS48-'[1]Short Spot'!AS47)*100</f>
        <v>4.5186235679572917E-2</v>
      </c>
      <c r="AT47" s="19">
        <f>('[1]Short Spot'!AT48-'[1]Short Spot'!AT47)*100</f>
        <v>4.7900570705117218E-2</v>
      </c>
      <c r="AU47" s="19">
        <f>('[1]Short Spot'!AU48-'[1]Short Spot'!AU47)*100</f>
        <v>5.0726628439701216E-2</v>
      </c>
      <c r="AV47" s="19">
        <f>('[1]Short Spot'!AV48-'[1]Short Spot'!AV47)*100</f>
        <v>5.3653179663193384E-2</v>
      </c>
      <c r="AW47" s="19">
        <f>('[1]Short Spot'!AW48-'[1]Short Spot'!AW47)*100</f>
        <v>5.6669516544349818E-2</v>
      </c>
      <c r="AX47" s="19">
        <f>('[1]Short Spot'!AX48-'[1]Short Spot'!AX47)*100</f>
        <v>5.976534167855263E-2</v>
      </c>
      <c r="AY47" s="19">
        <f>('[1]Short Spot'!AY48-'[1]Short Spot'!AY47)*100</f>
        <v>6.2930727039489653E-2</v>
      </c>
      <c r="AZ47" s="19">
        <f>('[1]Short Spot'!AZ48-'[1]Short Spot'!AZ47)*100</f>
        <v>6.6156077767764998E-2</v>
      </c>
      <c r="BA47" s="19">
        <f>('[1]Short Spot'!BA48-'[1]Short Spot'!BA47)*100</f>
        <v>6.9432100133859365E-2</v>
      </c>
      <c r="BB47" s="19">
        <f>('[1]Short Spot'!BB48-'[1]Short Spot'!BB47)*100</f>
        <v>7.2749777008684902E-2</v>
      </c>
      <c r="BC47" s="19">
        <f>('[1]Short Spot'!BC48-'[1]Short Spot'!BC47)*100</f>
        <v>7.6100557352010156E-2</v>
      </c>
      <c r="BD47" s="19">
        <f>('[1]Short Spot'!BD48-'[1]Short Spot'!BD47)*100</f>
        <v>7.9476626461438826E-2</v>
      </c>
      <c r="BE47" s="19">
        <f>('[1]Short Spot'!BE48-'[1]Short Spot'!BE47)*100</f>
        <v>8.287075820669898E-2</v>
      </c>
      <c r="BF47" s="19">
        <f>('[1]Short Spot'!BF48-'[1]Short Spot'!BF47)*100</f>
        <v>8.627625111783388E-2</v>
      </c>
      <c r="BG47" s="19">
        <f>('[1]Short Spot'!BG48-'[1]Short Spot'!BG47)*100</f>
        <v>8.9686883155870589E-2</v>
      </c>
      <c r="BH47" s="19">
        <f>('[1]Short Spot'!BH48-'[1]Short Spot'!BH47)*100</f>
        <v>9.3096871082121169E-2</v>
      </c>
      <c r="BI47" s="19">
        <f>('[1]Short Spot'!BI48-'[1]Short Spot'!BI47)*100</f>
        <v>9.650083733161452E-2</v>
      </c>
    </row>
    <row r="48" spans="1:61" x14ac:dyDescent="0.2">
      <c r="A48" s="18">
        <v>39149</v>
      </c>
      <c r="B48" s="19">
        <f>('[1]Short Spot'!B49-'[1]Short Spot'!B48)*100</f>
        <v>0.36553255437530296</v>
      </c>
      <c r="C48" s="19">
        <f>('[1]Short Spot'!C49-'[1]Short Spot'!C48)*100</f>
        <v>0.29279046915364759</v>
      </c>
      <c r="D48" s="19">
        <f>('[1]Short Spot'!D49-'[1]Short Spot'!D48)*100</f>
        <v>0.13277203160981799</v>
      </c>
      <c r="E48" s="19">
        <f>('[1]Short Spot'!E49-'[1]Short Spot'!E48)*100</f>
        <v>-4.4137983377456891E-2</v>
      </c>
      <c r="F48" s="19">
        <f>('[1]Short Spot'!F49-'[1]Short Spot'!F48)*100</f>
        <v>-0.23826572537055668</v>
      </c>
      <c r="G48" s="19">
        <f>('[1]Short Spot'!G49-'[1]Short Spot'!G48)*100</f>
        <v>-0.43215166023662377</v>
      </c>
      <c r="H48" s="19">
        <f>('[1]Short Spot'!H49-'[1]Short Spot'!H48)*100</f>
        <v>-0.60586902479524696</v>
      </c>
      <c r="I48" s="19">
        <f>('[1]Short Spot'!I49-'[1]Short Spot'!I48)*100</f>
        <v>-0.74922179898653241</v>
      </c>
      <c r="J48" s="19">
        <f>('[1]Short Spot'!J49-'[1]Short Spot'!J48)*100</f>
        <v>-0.86129101187584212</v>
      </c>
      <c r="K48" s="19">
        <f>('[1]Short Spot'!K49-'[1]Short Spot'!K48)*100</f>
        <v>-0.9460994841115955</v>
      </c>
      <c r="L48" s="19">
        <f>('[1]Short Spot'!L49-'[1]Short Spot'!L48)*100</f>
        <v>-1.0097001011243556</v>
      </c>
      <c r="M48" s="19">
        <f>('[1]Short Spot'!M49-'[1]Short Spot'!M48)*100</f>
        <v>-1.0572432085553807</v>
      </c>
      <c r="N48" s="19">
        <f>('[1]Short Spot'!N49-'[1]Short Spot'!N48)*100</f>
        <v>-1.0928496503480822</v>
      </c>
      <c r="O48" s="19">
        <f>('[1]Short Spot'!O49-'[1]Short Spot'!O48)*100</f>
        <v>-1.1195860730137674</v>
      </c>
      <c r="P48" s="19">
        <f>('[1]Short Spot'!P49-'[1]Short Spot'!P48)*100</f>
        <v>-1.1395853443863402</v>
      </c>
      <c r="Q48" s="19">
        <f>('[1]Short Spot'!Q49-'[1]Short Spot'!Q48)*100</f>
        <v>-1.1543732262453865</v>
      </c>
      <c r="R48" s="19">
        <f>('[1]Short Spot'!R49-'[1]Short Spot'!R48)*100</f>
        <v>-1.1650469850343903</v>
      </c>
      <c r="S48" s="19">
        <f>('[1]Short Spot'!S49-'[1]Short Spot'!S48)*100</f>
        <v>-1.1723944183434476</v>
      </c>
      <c r="T48" s="19">
        <f>('[1]Short Spot'!T49-'[1]Short Spot'!T48)*100</f>
        <v>-1.1769752940804068</v>
      </c>
      <c r="U48" s="19">
        <f>('[1]Short Spot'!U49-'[1]Short Spot'!U48)*100</f>
        <v>-1.1791783763436925</v>
      </c>
      <c r="V48" s="19">
        <f>('[1]Short Spot'!V49-'[1]Short Spot'!V48)*100</f>
        <v>-1.1792758303222683</v>
      </c>
      <c r="W48" s="19">
        <f>('[1]Short Spot'!W49-'[1]Short Spot'!W48)*100</f>
        <v>-1.1774866014171437</v>
      </c>
      <c r="X48" s="19">
        <f>('[1]Short Spot'!X49-'[1]Short Spot'!X48)*100</f>
        <v>-1.1739974487941396</v>
      </c>
      <c r="Y48" s="19">
        <f>('[1]Short Spot'!Y49-'[1]Short Spot'!Y48)*100</f>
        <v>-1.1689696897949631</v>
      </c>
      <c r="Z48" s="19">
        <f>('[1]Short Spot'!Z49-'[1]Short Spot'!Z48)*100</f>
        <v>-1.1625416958817247</v>
      </c>
      <c r="AA48" s="19">
        <f>('[1]Short Spot'!AA49-'[1]Short Spot'!AA48)*100</f>
        <v>-1.1548282605977178</v>
      </c>
      <c r="AB48" s="19">
        <f>('[1]Short Spot'!AB49-'[1]Short Spot'!AB48)*100</f>
        <v>-1.1459288633528963</v>
      </c>
      <c r="AC48" s="19">
        <f>('[1]Short Spot'!AC49-'[1]Short Spot'!AC48)*100</f>
        <v>-1.1359312425329726</v>
      </c>
      <c r="AD48" s="19">
        <f>('[1]Short Spot'!AD49-'[1]Short Spot'!AD48)*100</f>
        <v>-1.1249134198131117</v>
      </c>
      <c r="AE48" s="19">
        <f>('[1]Short Spot'!AE49-'[1]Short Spot'!AE48)*100</f>
        <v>-1.1129453196100592</v>
      </c>
      <c r="AF48" s="19">
        <f>('[1]Short Spot'!AF49-'[1]Short Spot'!AF48)*100</f>
        <v>-1.1000900742668129</v>
      </c>
      <c r="AG48" s="19">
        <f>('[1]Short Spot'!AG49-'[1]Short Spot'!AG48)*100</f>
        <v>-1.0864046757378176</v>
      </c>
      <c r="AH48" s="19">
        <f>('[1]Short Spot'!AH49-'[1]Short Spot'!AH48)*100</f>
        <v>-1.0719415317569592</v>
      </c>
      <c r="AI48" s="19">
        <f>('[1]Short Spot'!AI49-'[1]Short Spot'!AI48)*100</f>
        <v>-1.0567516066979366</v>
      </c>
      <c r="AJ48" s="19">
        <f>('[1]Short Spot'!AJ49-'[1]Short Spot'!AJ48)*100</f>
        <v>-1.0408832032237747</v>
      </c>
      <c r="AK48" s="19">
        <f>('[1]Short Spot'!AK49-'[1]Short Spot'!AK48)*100</f>
        <v>-1.0243813775972832</v>
      </c>
      <c r="AL48" s="19">
        <f>('[1]Short Spot'!AL49-'[1]Short Spot'!AL48)*100</f>
        <v>-1.0072884581687092</v>
      </c>
      <c r="AM48" s="19">
        <f>('[1]Short Spot'!AM49-'[1]Short Spot'!AM48)*100</f>
        <v>-0.98964440457329772</v>
      </c>
      <c r="AN48" s="19">
        <f>('[1]Short Spot'!AN49-'[1]Short Spot'!AN48)*100</f>
        <v>-0.97148711141263888</v>
      </c>
      <c r="AO48" s="19">
        <f>('[1]Short Spot'!AO49-'[1]Short Spot'!AO48)*100</f>
        <v>-0.95285255033825678</v>
      </c>
      <c r="AP48" s="19">
        <f>('[1]Short Spot'!AP49-'[1]Short Spot'!AP48)*100</f>
        <v>-0.93377431734094074</v>
      </c>
      <c r="AQ48" s="19">
        <f>('[1]Short Spot'!AQ49-'[1]Short Spot'!AQ48)*100</f>
        <v>-0.91428398430029034</v>
      </c>
      <c r="AR48" s="19">
        <f>('[1]Short Spot'!AR49-'[1]Short Spot'!AR48)*100</f>
        <v>-0.89441148671607351</v>
      </c>
      <c r="AS48" s="19">
        <f>('[1]Short Spot'!AS49-'[1]Short Spot'!AS48)*100</f>
        <v>-0.87418530986429488</v>
      </c>
      <c r="AT48" s="19">
        <f>('[1]Short Spot'!AT49-'[1]Short Spot'!AT48)*100</f>
        <v>-0.85363264993292276</v>
      </c>
      <c r="AU48" s="19">
        <f>('[1]Short Spot'!AU49-'[1]Short Spot'!AU48)*100</f>
        <v>-0.83277944308397522</v>
      </c>
      <c r="AV48" s="19">
        <f>('[1]Short Spot'!AV49-'[1]Short Spot'!AV48)*100</f>
        <v>-0.81165004441965394</v>
      </c>
      <c r="AW48" s="19">
        <f>('[1]Short Spot'!AW49-'[1]Short Spot'!AW48)*100</f>
        <v>-0.79026749026329668</v>
      </c>
      <c r="AX48" s="19">
        <f>('[1]Short Spot'!AX49-'[1]Short Spot'!AX48)*100</f>
        <v>-0.76865370594108029</v>
      </c>
      <c r="AY48" s="19">
        <f>('[1]Short Spot'!AY49-'[1]Short Spot'!AY48)*100</f>
        <v>-0.74682961688035121</v>
      </c>
      <c r="AZ48" s="19">
        <f>('[1]Short Spot'!AZ49-'[1]Short Spot'!AZ48)*100</f>
        <v>-0.72481524663992047</v>
      </c>
      <c r="BA48" s="19">
        <f>('[1]Short Spot'!BA49-'[1]Short Spot'!BA48)*100</f>
        <v>-0.70262980362771899</v>
      </c>
      <c r="BB48" s="19">
        <f>('[1]Short Spot'!BB49-'[1]Short Spot'!BB48)*100</f>
        <v>-0.68029175288026877</v>
      </c>
      <c r="BC48" s="19">
        <f>('[1]Short Spot'!BC49-'[1]Short Spot'!BC48)*100</f>
        <v>-0.65781866096559227</v>
      </c>
      <c r="BD48" s="19">
        <f>('[1]Short Spot'!BD49-'[1]Short Spot'!BD48)*100</f>
        <v>-0.63522701389926439</v>
      </c>
      <c r="BE48" s="19">
        <f>('[1]Short Spot'!BE49-'[1]Short Spot'!BE48)*100</f>
        <v>-0.61253241942207381</v>
      </c>
      <c r="BF48" s="19">
        <f>('[1]Short Spot'!BF49-'[1]Short Spot'!BF48)*100</f>
        <v>-0.58974969533984734</v>
      </c>
      <c r="BG48" s="19">
        <f>('[1]Short Spot'!BG49-'[1]Short Spot'!BG48)*100</f>
        <v>-0.56689293762124393</v>
      </c>
      <c r="BH48" s="19">
        <f>('[1]Short Spot'!BH49-'[1]Short Spot'!BH48)*100</f>
        <v>-0.54397558156988879</v>
      </c>
      <c r="BI48" s="19">
        <f>('[1]Short Spot'!BI49-'[1]Short Spot'!BI48)*100</f>
        <v>-0.52101045229226983</v>
      </c>
    </row>
    <row r="49" spans="1:61" x14ac:dyDescent="0.2">
      <c r="A49" s="18">
        <v>39150</v>
      </c>
      <c r="B49" s="19">
        <f>('[1]Short Spot'!B50-'[1]Short Spot'!B49)*100</f>
        <v>-1.539518158674813</v>
      </c>
      <c r="C49" s="19">
        <f>('[1]Short Spot'!C50-'[1]Short Spot'!C49)*100</f>
        <v>-1.3462354281388755</v>
      </c>
      <c r="D49" s="19">
        <f>('[1]Short Spot'!D50-'[1]Short Spot'!D49)*100</f>
        <v>-0.89450583936816486</v>
      </c>
      <c r="E49" s="19">
        <f>('[1]Short Spot'!E50-'[1]Short Spot'!E49)*100</f>
        <v>-0.5154907297963085</v>
      </c>
      <c r="F49" s="19">
        <f>('[1]Short Spot'!F50-'[1]Short Spot'!F49)*100</f>
        <v>-0.24541618418840727</v>
      </c>
      <c r="G49" s="19">
        <f>('[1]Short Spot'!G50-'[1]Short Spot'!G49)*100</f>
        <v>-3.1674100330292276E-2</v>
      </c>
      <c r="H49" s="19">
        <f>('[1]Short Spot'!H50-'[1]Short Spot'!H49)*100</f>
        <v>0.16187789930972585</v>
      </c>
      <c r="I49" s="19">
        <f>('[1]Short Spot'!I50-'[1]Short Spot'!I49)*100</f>
        <v>0.35021837851898496</v>
      </c>
      <c r="J49" s="19">
        <f>('[1]Short Spot'!J50-'[1]Short Spot'!J49)*100</f>
        <v>0.53753050234561783</v>
      </c>
      <c r="K49" s="19">
        <f>('[1]Short Spot'!K50-'[1]Short Spot'!K49)*100</f>
        <v>0.72211579523617786</v>
      </c>
      <c r="L49" s="19">
        <f>('[1]Short Spot'!L50-'[1]Short Spot'!L49)*100</f>
        <v>0.90098852181581535</v>
      </c>
      <c r="M49" s="19">
        <f>('[1]Short Spot'!M50-'[1]Short Spot'!M49)*100</f>
        <v>1.071821924668015</v>
      </c>
      <c r="N49" s="19">
        <f>('[1]Short Spot'!N50-'[1]Short Spot'!N49)*100</f>
        <v>1.2327677444207374</v>
      </c>
      <c r="O49" s="19">
        <f>('[1]Short Spot'!O50-'[1]Short Spot'!O49)*100</f>
        <v>1.3830509004088221</v>
      </c>
      <c r="P49" s="19">
        <f>('[1]Short Spot'!P50-'[1]Short Spot'!P49)*100</f>
        <v>1.5224455973640971</v>
      </c>
      <c r="Q49" s="19">
        <f>('[1]Short Spot'!Q50-'[1]Short Spot'!Q49)*100</f>
        <v>1.6510846522240108</v>
      </c>
      <c r="R49" s="19">
        <f>('[1]Short Spot'!R50-'[1]Short Spot'!R49)*100</f>
        <v>1.7693540598795465</v>
      </c>
      <c r="S49" s="19">
        <f>('[1]Short Spot'!S50-'[1]Short Spot'!S49)*100</f>
        <v>1.8778226659654784</v>
      </c>
      <c r="T49" s="19">
        <f>('[1]Short Spot'!T50-'[1]Short Spot'!T49)*100</f>
        <v>1.9771940482430139</v>
      </c>
      <c r="U49" s="19">
        <f>('[1]Short Spot'!U50-'[1]Short Spot'!U49)*100</f>
        <v>2.0682720604742855</v>
      </c>
      <c r="V49" s="19">
        <f>('[1]Short Spot'!V50-'[1]Short Spot'!V49)*100</f>
        <v>2.1518949159220035</v>
      </c>
      <c r="W49" s="19">
        <f>('[1]Short Spot'!W50-'[1]Short Spot'!W49)*100</f>
        <v>2.228838984290693</v>
      </c>
      <c r="X49" s="19">
        <f>('[1]Short Spot'!X50-'[1]Short Spot'!X49)*100</f>
        <v>2.2998138503614207</v>
      </c>
      <c r="Y49" s="19">
        <f>('[1]Short Spot'!Y50-'[1]Short Spot'!Y49)*100</f>
        <v>2.3654762237376836</v>
      </c>
      <c r="Z49" s="19">
        <f>('[1]Short Spot'!Z50-'[1]Short Spot'!Z49)*100</f>
        <v>2.4264429237775609</v>
      </c>
      <c r="AA49" s="19">
        <f>('[1]Short Spot'!AA50-'[1]Short Spot'!AA49)*100</f>
        <v>2.4832768268942651</v>
      </c>
      <c r="AB49" s="19">
        <f>('[1]Short Spot'!AB50-'[1]Short Spot'!AB49)*100</f>
        <v>2.5364652806985077</v>
      </c>
      <c r="AC49" s="19">
        <f>('[1]Short Spot'!AC50-'[1]Short Spot'!AC49)*100</f>
        <v>2.5864308302027794</v>
      </c>
      <c r="AD49" s="19">
        <f>('[1]Short Spot'!AD50-'[1]Short Spot'!AD49)*100</f>
        <v>2.6335423906824751</v>
      </c>
      <c r="AE49" s="19">
        <f>('[1]Short Spot'!AE50-'[1]Short Spot'!AE49)*100</f>
        <v>2.6781241859666238</v>
      </c>
      <c r="AF49" s="19">
        <f>('[1]Short Spot'!AF50-'[1]Short Spot'!AF49)*100</f>
        <v>2.7204629651071066</v>
      </c>
      <c r="AG49" s="19">
        <f>('[1]Short Spot'!AG50-'[1]Short Spot'!AG49)*100</f>
        <v>2.7608150447091084</v>
      </c>
      <c r="AH49" s="19">
        <f>('[1]Short Spot'!AH50-'[1]Short Spot'!AH49)*100</f>
        <v>2.7994080752116624</v>
      </c>
      <c r="AI49" s="19">
        <f>('[1]Short Spot'!AI50-'[1]Short Spot'!AI49)*100</f>
        <v>2.8364385349139098</v>
      </c>
      <c r="AJ49" s="19">
        <f>('[1]Short Spot'!AJ50-'[1]Short Spot'!AJ49)*100</f>
        <v>2.8720784939174848</v>
      </c>
      <c r="AK49" s="19">
        <f>('[1]Short Spot'!AK50-'[1]Short Spot'!AK49)*100</f>
        <v>2.906478478746255</v>
      </c>
      <c r="AL49" s="19">
        <f>('[1]Short Spot'!AL50-'[1]Short Spot'!AL49)*100</f>
        <v>2.9397698149670859</v>
      </c>
      <c r="AM49" s="19">
        <f>('[1]Short Spot'!AM50-'[1]Short Spot'!AM49)*100</f>
        <v>2.9720671534949616</v>
      </c>
      <c r="AN49" s="19">
        <f>('[1]Short Spot'!AN50-'[1]Short Spot'!AN49)*100</f>
        <v>3.0034706083691631</v>
      </c>
      <c r="AO49" s="19">
        <f>('[1]Short Spot'!AO50-'[1]Short Spot'!AO49)*100</f>
        <v>3.0340679311446017</v>
      </c>
      <c r="AP49" s="19">
        <f>('[1]Short Spot'!AP50-'[1]Short Spot'!AP49)*100</f>
        <v>3.0639371080780187</v>
      </c>
      <c r="AQ49" s="19">
        <f>('[1]Short Spot'!AQ50-'[1]Short Spot'!AQ49)*100</f>
        <v>3.0931460795820875</v>
      </c>
      <c r="AR49" s="19">
        <f>('[1]Short Spot'!AR50-'[1]Short Spot'!AR49)*100</f>
        <v>3.1217534092774279</v>
      </c>
      <c r="AS49" s="19">
        <f>('[1]Short Spot'!AS50-'[1]Short Spot'!AS49)*100</f>
        <v>3.1498093494397139</v>
      </c>
      <c r="AT49" s="19">
        <f>('[1]Short Spot'!AT50-'[1]Short Spot'!AT49)*100</f>
        <v>3.1773567646251166</v>
      </c>
      <c r="AU49" s="19">
        <f>('[1]Short Spot'!AU50-'[1]Short Spot'!AU49)*100</f>
        <v>3.2044323583586554</v>
      </c>
      <c r="AV49" s="19">
        <f>('[1]Short Spot'!AV50-'[1]Short Spot'!AV49)*100</f>
        <v>3.2310686914255982</v>
      </c>
      <c r="AW49" s="19">
        <f>('[1]Short Spot'!AW50-'[1]Short Spot'!AW49)*100</f>
        <v>3.2572941945571365</v>
      </c>
      <c r="AX49" s="19">
        <f>('[1]Short Spot'!AX50-'[1]Short Spot'!AX49)*100</f>
        <v>3.2831333981729216</v>
      </c>
      <c r="AY49" s="19">
        <f>('[1]Short Spot'!AY50-'[1]Short Spot'!AY49)*100</f>
        <v>3.3086073224120049</v>
      </c>
      <c r="AZ49" s="19">
        <f>('[1]Short Spot'!AZ50-'[1]Short Spot'!AZ49)*100</f>
        <v>3.3337338212768408</v>
      </c>
      <c r="BA49" s="19">
        <f>('[1]Short Spot'!BA50-'[1]Short Spot'!BA49)*100</f>
        <v>3.3585278870711832</v>
      </c>
      <c r="BB49" s="19">
        <f>('[1]Short Spot'!BB50-'[1]Short Spot'!BB49)*100</f>
        <v>3.3830019446380533</v>
      </c>
      <c r="BC49" s="19">
        <f>('[1]Short Spot'!BC50-'[1]Short Spot'!BC49)*100</f>
        <v>3.4071667463172695</v>
      </c>
      <c r="BD49" s="19">
        <f>('[1]Short Spot'!BD50-'[1]Short Spot'!BD49)*100</f>
        <v>3.4310318760336855</v>
      </c>
      <c r="BE49" s="19">
        <f>('[1]Short Spot'!BE50-'[1]Short Spot'!BE49)*100</f>
        <v>3.4546053952363209</v>
      </c>
      <c r="BF49" s="19">
        <f>('[1]Short Spot'!BF50-'[1]Short Spot'!BF49)*100</f>
        <v>3.4778939493278038</v>
      </c>
      <c r="BG49" s="19">
        <f>('[1]Short Spot'!BG50-'[1]Short Spot'!BG49)*100</f>
        <v>3.5009028897378336</v>
      </c>
      <c r="BH49" s="19">
        <f>('[1]Short Spot'!BH50-'[1]Short Spot'!BH49)*100</f>
        <v>3.5236363835817741</v>
      </c>
      <c r="BI49" s="19">
        <f>('[1]Short Spot'!BI50-'[1]Short Spot'!BI49)*100</f>
        <v>3.5460975307726628</v>
      </c>
    </row>
    <row r="50" spans="1:61" x14ac:dyDescent="0.2">
      <c r="A50" s="18">
        <v>39153</v>
      </c>
      <c r="B50" s="19">
        <f>('[1]Short Spot'!B51-'[1]Short Spot'!B50)*100</f>
        <v>0.46130434867377446</v>
      </c>
      <c r="C50" s="19">
        <f>('[1]Short Spot'!C51-'[1]Short Spot'!C50)*100</f>
        <v>0.24593930448935097</v>
      </c>
      <c r="D50" s="19">
        <f>('[1]Short Spot'!D51-'[1]Short Spot'!D50)*100</f>
        <v>0.35778814219771249</v>
      </c>
      <c r="E50" s="19">
        <f>('[1]Short Spot'!E51-'[1]Short Spot'!E50)*100</f>
        <v>0.54607525414631652</v>
      </c>
      <c r="F50" s="19">
        <f>('[1]Short Spot'!F51-'[1]Short Spot'!F50)*100</f>
        <v>0.71972875373260692</v>
      </c>
      <c r="G50" s="19">
        <f>('[1]Short Spot'!G51-'[1]Short Spot'!G50)*100</f>
        <v>0.84955810210320948</v>
      </c>
      <c r="H50" s="19">
        <f>('[1]Short Spot'!H51-'[1]Short Spot'!H50)*100</f>
        <v>0.92790117166794417</v>
      </c>
      <c r="I50" s="19">
        <f>('[1]Short Spot'!I51-'[1]Short Spot'!I50)*100</f>
        <v>0.95602945087867042</v>
      </c>
      <c r="J50" s="19">
        <f>('[1]Short Spot'!J51-'[1]Short Spot'!J50)*100</f>
        <v>0.94178201251633453</v>
      </c>
      <c r="K50" s="19">
        <f>('[1]Short Spot'!K51-'[1]Short Spot'!K50)*100</f>
        <v>0.8959540314108061</v>
      </c>
      <c r="L50" s="19">
        <f>('[1]Short Spot'!L51-'[1]Short Spot'!L50)*100</f>
        <v>0.82852480660458028</v>
      </c>
      <c r="M50" s="19">
        <f>('[1]Short Spot'!M51-'[1]Short Spot'!M50)*100</f>
        <v>0.74694365118910255</v>
      </c>
      <c r="N50" s="19">
        <f>('[1]Short Spot'!N51-'[1]Short Spot'!N50)*100</f>
        <v>0.65730380772013319</v>
      </c>
      <c r="O50" s="19">
        <f>('[1]Short Spot'!O51-'[1]Short Spot'!O50)*100</f>
        <v>0.56505743502537342</v>
      </c>
      <c r="P50" s="19">
        <f>('[1]Short Spot'!P51-'[1]Short Spot'!P50)*100</f>
        <v>0.47394913793041837</v>
      </c>
      <c r="Q50" s="19">
        <f>('[1]Short Spot'!Q51-'[1]Short Spot'!Q50)*100</f>
        <v>0.38638467033162982</v>
      </c>
      <c r="R50" s="19">
        <f>('[1]Short Spot'!R51-'[1]Short Spot'!R50)*100</f>
        <v>0.30382472507231029</v>
      </c>
      <c r="S50" s="19">
        <f>('[1]Short Spot'!S51-'[1]Short Spot'!S50)*100</f>
        <v>0.22704745090358358</v>
      </c>
      <c r="T50" s="19">
        <f>('[1]Short Spot'!T51-'[1]Short Spot'!T50)*100</f>
        <v>0.15632806935084176</v>
      </c>
      <c r="U50" s="19">
        <f>('[1]Short Spot'!U51-'[1]Short Spot'!U50)*100</f>
        <v>9.1570133032803369E-2</v>
      </c>
      <c r="V50" s="19">
        <f>('[1]Short Spot'!V51-'[1]Short Spot'!V50)*100</f>
        <v>3.2471717103543796E-2</v>
      </c>
      <c r="W50" s="19">
        <f>('[1]Short Spot'!W51-'[1]Short Spot'!W50)*100</f>
        <v>-2.1336705197150252E-2</v>
      </c>
      <c r="X50" s="19">
        <f>('[1]Short Spot'!X51-'[1]Short Spot'!X50)*100</f>
        <v>-7.0267304865456737E-2</v>
      </c>
      <c r="Y50" s="19">
        <f>('[1]Short Spot'!Y51-'[1]Short Spot'!Y50)*100</f>
        <v>-0.11476595758566077</v>
      </c>
      <c r="Z50" s="19">
        <f>('[1]Short Spot'!Z51-'[1]Short Spot'!Z50)*100</f>
        <v>-0.1552933488020436</v>
      </c>
      <c r="AA50" s="19">
        <f>('[1]Short Spot'!AA51-'[1]Short Spot'!AA50)*100</f>
        <v>-0.19227427949193299</v>
      </c>
      <c r="AB50" s="19">
        <f>('[1]Short Spot'!AB51-'[1]Short Spot'!AB50)*100</f>
        <v>-0.2260849694593503</v>
      </c>
      <c r="AC50" s="19">
        <f>('[1]Short Spot'!AC51-'[1]Short Spot'!AC50)*100</f>
        <v>-0.25706140054406745</v>
      </c>
      <c r="AD50" s="19">
        <f>('[1]Short Spot'!AD51-'[1]Short Spot'!AD50)*100</f>
        <v>-0.28550625420127318</v>
      </c>
      <c r="AE50" s="19">
        <f>('[1]Short Spot'!AE51-'[1]Short Spot'!AE50)*100</f>
        <v>-0.31169446156642522</v>
      </c>
      <c r="AF50" s="19">
        <f>('[1]Short Spot'!AF51-'[1]Short Spot'!AF50)*100</f>
        <v>-0.3358776695053578</v>
      </c>
      <c r="AG50" s="19">
        <f>('[1]Short Spot'!AG51-'[1]Short Spot'!AG50)*100</f>
        <v>-0.35828565753748265</v>
      </c>
      <c r="AH50" s="19">
        <f>('[1]Short Spot'!AH51-'[1]Short Spot'!AH50)*100</f>
        <v>-0.37912139121969446</v>
      </c>
      <c r="AI50" s="19">
        <f>('[1]Short Spot'!AI51-'[1]Short Spot'!AI50)*100</f>
        <v>-0.39856182117272709</v>
      </c>
      <c r="AJ50" s="19">
        <f>('[1]Short Spot'!AJ51-'[1]Short Spot'!AJ50)*100</f>
        <v>-0.41676082187978025</v>
      </c>
      <c r="AK50" s="19">
        <f>('[1]Short Spot'!AK51-'[1]Short Spot'!AK50)*100</f>
        <v>-0.43385292498747674</v>
      </c>
      <c r="AL50" s="19">
        <f>('[1]Short Spot'!AL51-'[1]Short Spot'!AL50)*100</f>
        <v>-0.44995612043861044</v>
      </c>
      <c r="AM50" s="19">
        <f>('[1]Short Spot'!AM51-'[1]Short Spot'!AM50)*100</f>
        <v>-0.4651740330121612</v>
      </c>
      <c r="AN50" s="19">
        <f>('[1]Short Spot'!AN51-'[1]Short Spot'!AN50)*100</f>
        <v>-0.47959776401045318</v>
      </c>
      <c r="AO50" s="19">
        <f>('[1]Short Spot'!AO51-'[1]Short Spot'!AO50)*100</f>
        <v>-0.49330728194627582</v>
      </c>
      <c r="AP50" s="19">
        <f>('[1]Short Spot'!AP51-'[1]Short Spot'!AP50)*100</f>
        <v>-0.50637214026982846</v>
      </c>
      <c r="AQ50" s="19">
        <f>('[1]Short Spot'!AQ51-'[1]Short Spot'!AQ50)*100</f>
        <v>-0.51885293222344586</v>
      </c>
      <c r="AR50" s="19">
        <f>('[1]Short Spot'!AR51-'[1]Short Spot'!AR50)*100</f>
        <v>-0.53080244414109856</v>
      </c>
      <c r="AS50" s="19">
        <f>('[1]Short Spot'!AS51-'[1]Short Spot'!AS50)*100</f>
        <v>-0.54226654259608154</v>
      </c>
      <c r="AT50" s="19">
        <f>('[1]Short Spot'!AT51-'[1]Short Spot'!AT50)*100</f>
        <v>-0.55328494303754638</v>
      </c>
      <c r="AU50" s="19">
        <f>('[1]Short Spot'!AU51-'[1]Short Spot'!AU50)*100</f>
        <v>-0.56389179948270751</v>
      </c>
      <c r="AV50" s="19">
        <f>('[1]Short Spot'!AV51-'[1]Short Spot'!AV50)*100</f>
        <v>-0.57411653450456512</v>
      </c>
      <c r="AW50" s="19">
        <f>('[1]Short Spot'!AW51-'[1]Short Spot'!AW50)*100</f>
        <v>-0.58398499204050935</v>
      </c>
      <c r="AX50" s="19">
        <f>('[1]Short Spot'!AX51-'[1]Short Spot'!AX50)*100</f>
        <v>-0.59351988439422243</v>
      </c>
      <c r="AY50" s="19">
        <f>('[1]Short Spot'!AY51-'[1]Short Spot'!AY50)*100</f>
        <v>-0.60274110540019521</v>
      </c>
      <c r="AZ50" s="19">
        <f>('[1]Short Spot'!AZ51-'[1]Short Spot'!AZ50)*100</f>
        <v>-0.61166600674287253</v>
      </c>
      <c r="BA50" s="19">
        <f>('[1]Short Spot'!BA51-'[1]Short Spot'!BA50)*100</f>
        <v>-0.62030964239552233</v>
      </c>
      <c r="BB50" s="19">
        <f>('[1]Short Spot'!BB51-'[1]Short Spot'!BB50)*100</f>
        <v>-0.62868497604755547</v>
      </c>
      <c r="BC50" s="19">
        <f>('[1]Short Spot'!BC51-'[1]Short Spot'!BC50)*100</f>
        <v>-0.63680298881561015</v>
      </c>
      <c r="BD50" s="19">
        <f>('[1]Short Spot'!BD51-'[1]Short Spot'!BD50)*100</f>
        <v>-0.64467318732672751</v>
      </c>
      <c r="BE50" s="19">
        <f>('[1]Short Spot'!BE51-'[1]Short Spot'!BE50)*100</f>
        <v>-0.65230400148141854</v>
      </c>
      <c r="BF50" s="19">
        <f>('[1]Short Spot'!BF51-'[1]Short Spot'!BF50)*100</f>
        <v>-0.65970288618206752</v>
      </c>
      <c r="BG50" s="19">
        <f>('[1]Short Spot'!BG51-'[1]Short Spot'!BG50)*100</f>
        <v>-0.66687640538445336</v>
      </c>
      <c r="BH50" s="19">
        <f>('[1]Short Spot'!BH51-'[1]Short Spot'!BH50)*100</f>
        <v>-0.67383030760215235</v>
      </c>
      <c r="BI50" s="19">
        <f>('[1]Short Spot'!BI51-'[1]Short Spot'!BI50)*100</f>
        <v>-0.68056958692706004</v>
      </c>
    </row>
    <row r="51" spans="1:61" x14ac:dyDescent="0.2">
      <c r="A51" s="18">
        <v>39154</v>
      </c>
      <c r="B51" s="19">
        <f>('[1]Short Spot'!B52-'[1]Short Spot'!B51)*100</f>
        <v>-0.68396574979017188</v>
      </c>
      <c r="C51" s="19">
        <f>('[1]Short Spot'!C52-'[1]Short Spot'!C51)*100</f>
        <v>-0.29407403259371634</v>
      </c>
      <c r="D51" s="19">
        <f>('[1]Short Spot'!D52-'[1]Short Spot'!D51)*100</f>
        <v>-0.64810429594688301</v>
      </c>
      <c r="E51" s="19">
        <f>('[1]Short Spot'!E52-'[1]Short Spot'!E51)*100</f>
        <v>-1.0413506513730297</v>
      </c>
      <c r="F51" s="19">
        <f>('[1]Short Spot'!F52-'[1]Short Spot'!F51)*100</f>
        <v>-1.3804513991175327</v>
      </c>
      <c r="G51" s="19">
        <f>('[1]Short Spot'!G52-'[1]Short Spot'!G51)*100</f>
        <v>-1.6676052276186404</v>
      </c>
      <c r="H51" s="19">
        <f>('[1]Short Spot'!H52-'[1]Short Spot'!H51)*100</f>
        <v>-1.9159313806157208</v>
      </c>
      <c r="I51" s="19">
        <f>('[1]Short Spot'!I52-'[1]Short Spot'!I51)*100</f>
        <v>-2.1368828887297298</v>
      </c>
      <c r="J51" s="19">
        <f>('[1]Short Spot'!J52-'[1]Short Spot'!J51)*100</f>
        <v>-2.335345265627975</v>
      </c>
      <c r="K51" s="19">
        <f>('[1]Short Spot'!K52-'[1]Short Spot'!K51)*100</f>
        <v>-2.5126446287820237</v>
      </c>
      <c r="L51" s="19">
        <f>('[1]Short Spot'!L52-'[1]Short Spot'!L51)*100</f>
        <v>-2.6693445044511321</v>
      </c>
      <c r="M51" s="19">
        <f>('[1]Short Spot'!M52-'[1]Short Spot'!M51)*100</f>
        <v>-2.806669316879784</v>
      </c>
      <c r="N51" s="19">
        <f>('[1]Short Spot'!N52-'[1]Short Spot'!N51)*100</f>
        <v>-2.9264337911138583</v>
      </c>
      <c r="O51" s="19">
        <f>('[1]Short Spot'!O52-'[1]Short Spot'!O51)*100</f>
        <v>-3.0307757738384566</v>
      </c>
      <c r="P51" s="19">
        <f>('[1]Short Spot'!P52-'[1]Short Spot'!P51)*100</f>
        <v>-3.121577356298566</v>
      </c>
      <c r="Q51" s="19">
        <f>('[1]Short Spot'!Q52-'[1]Short Spot'!Q51)*100</f>
        <v>-3.2004544979144178</v>
      </c>
      <c r="R51" s="19">
        <f>('[1]Short Spot'!R52-'[1]Short Spot'!R51)*100</f>
        <v>-3.2688353002038539</v>
      </c>
      <c r="S51" s="19">
        <f>('[1]Short Spot'!S52-'[1]Short Spot'!S51)*100</f>
        <v>-3.3280121895323589</v>
      </c>
      <c r="T51" s="19">
        <f>('[1]Short Spot'!T52-'[1]Short Spot'!T51)*100</f>
        <v>-3.3791776211002933</v>
      </c>
      <c r="U51" s="19">
        <f>('[1]Short Spot'!U52-'[1]Short Spot'!U51)*100</f>
        <v>-3.4234438140869905</v>
      </c>
      <c r="V51" s="19">
        <f>('[1]Short Spot'!V52-'[1]Short Spot'!V51)*100</f>
        <v>-3.4618035080334231</v>
      </c>
      <c r="W51" s="19">
        <f>('[1]Short Spot'!W52-'[1]Short Spot'!W51)*100</f>
        <v>-3.4951013399831865</v>
      </c>
      <c r="X51" s="19">
        <f>('[1]Short Spot'!X52-'[1]Short Spot'!X51)*100</f>
        <v>-3.5240616030185912</v>
      </c>
      <c r="Y51" s="19">
        <f>('[1]Short Spot'!Y52-'[1]Short Spot'!Y51)*100</f>
        <v>-3.5493132517499859</v>
      </c>
      <c r="Z51" s="19">
        <f>('[1]Short Spot'!Z52-'[1]Short Spot'!Z51)*100</f>
        <v>-3.5714018541993298</v>
      </c>
      <c r="AA51" s="19">
        <f>('[1]Short Spot'!AA52-'[1]Short Spot'!AA51)*100</f>
        <v>-3.5907881465784719</v>
      </c>
      <c r="AB51" s="19">
        <f>('[1]Short Spot'!AB52-'[1]Short Spot'!AB51)*100</f>
        <v>-3.60786177633452</v>
      </c>
      <c r="AC51" s="19">
        <f>('[1]Short Spot'!AC52-'[1]Short Spot'!AC51)*100</f>
        <v>-3.6229543038805545</v>
      </c>
      <c r="AD51" s="19">
        <f>('[1]Short Spot'!AD52-'[1]Short Spot'!AD51)*100</f>
        <v>-3.6363492176009871</v>
      </c>
      <c r="AE51" s="19">
        <f>('[1]Short Spot'!AE52-'[1]Short Spot'!AE51)*100</f>
        <v>-3.6482899458571971</v>
      </c>
      <c r="AF51" s="19">
        <f>('[1]Short Spot'!AF52-'[1]Short Spot'!AF51)*100</f>
        <v>-3.6589863058053673</v>
      </c>
      <c r="AG51" s="19">
        <f>('[1]Short Spot'!AG52-'[1]Short Spot'!AG51)*100</f>
        <v>-3.6686184769837205</v>
      </c>
      <c r="AH51" s="19">
        <f>('[1]Short Spot'!AH52-'[1]Short Spot'!AH51)*100</f>
        <v>-3.6773391938396571</v>
      </c>
      <c r="AI51" s="19">
        <f>('[1]Short Spot'!AI52-'[1]Short Spot'!AI51)*100</f>
        <v>-3.6852782823839192</v>
      </c>
      <c r="AJ51" s="19">
        <f>('[1]Short Spot'!AJ52-'[1]Short Spot'!AJ51)*100</f>
        <v>-3.6925468302659858</v>
      </c>
      <c r="AK51" s="19">
        <f>('[1]Short Spot'!AK52-'[1]Short Spot'!AK51)*100</f>
        <v>-3.6992416305641207</v>
      </c>
      <c r="AL51" s="19">
        <f>('[1]Short Spot'!AL52-'[1]Short Spot'!AL51)*100</f>
        <v>-3.7054473776317209</v>
      </c>
      <c r="AM51" s="19">
        <f>('[1]Short Spot'!AM52-'[1]Short Spot'!AM51)*100</f>
        <v>-3.7112382590351878</v>
      </c>
      <c r="AN51" s="19">
        <f>('[1]Short Spot'!AN52-'[1]Short Spot'!AN51)*100</f>
        <v>-3.7166793025571465</v>
      </c>
      <c r="AO51" s="19">
        <f>('[1]Short Spot'!AO52-'[1]Short Spot'!AO51)*100</f>
        <v>-3.7218273831980397</v>
      </c>
      <c r="AP51" s="19">
        <f>('[1]Short Spot'!AP52-'[1]Short Spot'!AP51)*100</f>
        <v>-3.7267320956987149</v>
      </c>
      <c r="AQ51" s="19">
        <f>('[1]Short Spot'!AQ52-'[1]Short Spot'!AQ51)*100</f>
        <v>-3.7314372995927769</v>
      </c>
      <c r="AR51" s="19">
        <f>('[1]Short Spot'!AR52-'[1]Short Spot'!AR51)*100</f>
        <v>-3.735981921200171</v>
      </c>
      <c r="AS51" s="19">
        <f>('[1]Short Spot'!AS52-'[1]Short Spot'!AS51)*100</f>
        <v>-3.7404005142205321</v>
      </c>
      <c r="AT51" s="19">
        <f>('[1]Short Spot'!AT52-'[1]Short Spot'!AT51)*100</f>
        <v>-3.7447237451035953</v>
      </c>
      <c r="AU51" s="19">
        <f>('[1]Short Spot'!AU52-'[1]Short Spot'!AU51)*100</f>
        <v>-3.7489786295627603</v>
      </c>
      <c r="AV51" s="19">
        <f>('[1]Short Spot'!AV52-'[1]Short Spot'!AV51)*100</f>
        <v>-3.7531884791762948</v>
      </c>
      <c r="AW51" s="19">
        <f>('[1]Short Spot'!AW52-'[1]Short Spot'!AW51)*100</f>
        <v>-3.757373442374945</v>
      </c>
      <c r="AX51" s="19">
        <f>('[1]Short Spot'!AX52-'[1]Short Spot'!AX51)*100</f>
        <v>-3.761550872568975</v>
      </c>
      <c r="AY51" s="19">
        <f>('[1]Short Spot'!AY52-'[1]Short Spot'!AY51)*100</f>
        <v>-3.7657356076494786</v>
      </c>
      <c r="AZ51" s="19">
        <f>('[1]Short Spot'!AZ52-'[1]Short Spot'!AZ51)*100</f>
        <v>-3.769940216608525</v>
      </c>
      <c r="BA51" s="19">
        <f>('[1]Short Spot'!BA52-'[1]Short Spot'!BA51)*100</f>
        <v>-3.7741752177016252</v>
      </c>
      <c r="BB51" s="19">
        <f>('[1]Short Spot'!BB52-'[1]Short Spot'!BB51)*100</f>
        <v>-3.7784492579832296</v>
      </c>
      <c r="BC51" s="19">
        <f>('[1]Short Spot'!BC52-'[1]Short Spot'!BC51)*100</f>
        <v>-3.7827690498131616</v>
      </c>
      <c r="BD51" s="19">
        <f>('[1]Short Spot'!BD52-'[1]Short Spot'!BD51)*100</f>
        <v>-3.7871394981475071</v>
      </c>
      <c r="BE51" s="19">
        <f>('[1]Short Spot'!BE52-'[1]Short Spot'!BE51)*100</f>
        <v>-3.7915640042912813</v>
      </c>
      <c r="BF51" s="19">
        <f>('[1]Short Spot'!BF52-'[1]Short Spot'!BF51)*100</f>
        <v>-3.7960446026085393</v>
      </c>
      <c r="BG51" s="19">
        <f>('[1]Short Spot'!BG52-'[1]Short Spot'!BG51)*100</f>
        <v>-3.8005820783618915</v>
      </c>
      <c r="BH51" s="19">
        <f>('[1]Short Spot'!BH52-'[1]Short Spot'!BH51)*100</f>
        <v>-3.805176073568628</v>
      </c>
      <c r="BI51" s="19">
        <f>('[1]Short Spot'!BI52-'[1]Short Spot'!BI51)*100</f>
        <v>-3.8098251715368292</v>
      </c>
    </row>
    <row r="52" spans="1:61" x14ac:dyDescent="0.2">
      <c r="A52" s="18">
        <v>39155</v>
      </c>
      <c r="B52" s="19">
        <f>('[1]Short Spot'!B53-'[1]Short Spot'!B52)*100</f>
        <v>0.17969792665564199</v>
      </c>
      <c r="C52" s="19">
        <f>('[1]Short Spot'!C53-'[1]Short Spot'!C52)*100</f>
        <v>-0.59874633441792113</v>
      </c>
      <c r="D52" s="19">
        <f>('[1]Short Spot'!D53-'[1]Short Spot'!D52)*100</f>
        <v>-1.1325939648985539</v>
      </c>
      <c r="E52" s="19">
        <f>('[1]Short Spot'!E53-'[1]Short Spot'!E52)*100</f>
        <v>-1.5896898455369346</v>
      </c>
      <c r="F52" s="19">
        <f>('[1]Short Spot'!F53-'[1]Short Spot'!F52)*100</f>
        <v>-1.9532787803197671</v>
      </c>
      <c r="G52" s="19">
        <f>('[1]Short Spot'!G53-'[1]Short Spot'!G52)*100</f>
        <v>-2.2311415918541577</v>
      </c>
      <c r="H52" s="19">
        <f>('[1]Short Spot'!H53-'[1]Short Spot'!H52)*100</f>
        <v>-2.4378083790091765</v>
      </c>
      <c r="I52" s="19">
        <f>('[1]Short Spot'!I53-'[1]Short Spot'!I52)*100</f>
        <v>-2.5886623006064369</v>
      </c>
      <c r="J52" s="19">
        <f>('[1]Short Spot'!J53-'[1]Short Spot'!J52)*100</f>
        <v>-2.696504337613348</v>
      </c>
      <c r="K52" s="19">
        <f>('[1]Short Spot'!K53-'[1]Short Spot'!K52)*100</f>
        <v>-2.772750295893367</v>
      </c>
      <c r="L52" s="19">
        <f>('[1]Short Spot'!L53-'[1]Short Spot'!L52)*100</f>
        <v>-2.8267870230330061</v>
      </c>
      <c r="M52" s="19">
        <f>('[1]Short Spot'!M53-'[1]Short Spot'!M52)*100</f>
        <v>-2.8649048389274512</v>
      </c>
      <c r="N52" s="19">
        <f>('[1]Short Spot'!N53-'[1]Short Spot'!N52)*100</f>
        <v>-2.8915485214401571</v>
      </c>
      <c r="O52" s="19">
        <f>('[1]Short Spot'!O53-'[1]Short Spot'!O52)*100</f>
        <v>-2.9104181813939256</v>
      </c>
      <c r="P52" s="19">
        <f>('[1]Short Spot'!P53-'[1]Short Spot'!P52)*100</f>
        <v>-2.9241780391234151</v>
      </c>
      <c r="Q52" s="19">
        <f>('[1]Short Spot'!Q53-'[1]Short Spot'!Q52)*100</f>
        <v>-2.9346572751690836</v>
      </c>
      <c r="R52" s="19">
        <f>('[1]Short Spot'!R53-'[1]Short Spot'!R52)*100</f>
        <v>-2.9430956300424249</v>
      </c>
      <c r="S52" s="19">
        <f>('[1]Short Spot'!S53-'[1]Short Spot'!S52)*100</f>
        <v>-2.9503071375690304</v>
      </c>
      <c r="T52" s="19">
        <f>('[1]Short Spot'!T53-'[1]Short Spot'!T52)*100</f>
        <v>-2.9567921529644714</v>
      </c>
      <c r="U52" s="19">
        <f>('[1]Short Spot'!U53-'[1]Short Spot'!U52)*100</f>
        <v>-2.9628174768405735</v>
      </c>
      <c r="V52" s="19">
        <f>('[1]Short Spot'!V53-'[1]Short Spot'!V52)*100</f>
        <v>-2.968511555059461</v>
      </c>
      <c r="W52" s="19">
        <f>('[1]Short Spot'!W53-'[1]Short Spot'!W52)*100</f>
        <v>-2.9739540885707072</v>
      </c>
      <c r="X52" s="19">
        <f>('[1]Short Spot'!X53-'[1]Short Spot'!X52)*100</f>
        <v>-2.9791947583490241</v>
      </c>
      <c r="Y52" s="19">
        <f>('[1]Short Spot'!Y53-'[1]Short Spot'!Y52)*100</f>
        <v>-2.9842594126145094</v>
      </c>
      <c r="Z52" s="19">
        <f>('[1]Short Spot'!Z53-'[1]Short Spot'!Z52)*100</f>
        <v>-2.989152905155823</v>
      </c>
      <c r="AA52" s="19">
        <f>('[1]Short Spot'!AA53-'[1]Short Spot'!AA52)*100</f>
        <v>-2.9938703450005377</v>
      </c>
      <c r="AB52" s="19">
        <f>('[1]Short Spot'!AB53-'[1]Short Spot'!AB52)*100</f>
        <v>-2.9984085112392478</v>
      </c>
      <c r="AC52" s="19">
        <f>('[1]Short Spot'!AC53-'[1]Short Spot'!AC52)*100</f>
        <v>-3.0027661423076779</v>
      </c>
      <c r="AD52" s="19">
        <f>('[1]Short Spot'!AD53-'[1]Short Spot'!AD52)*100</f>
        <v>-3.0069435981688208</v>
      </c>
      <c r="AE52" s="19">
        <f>('[1]Short Spot'!AE53-'[1]Short Spot'!AE52)*100</f>
        <v>-3.0109425900583631</v>
      </c>
      <c r="AF52" s="19">
        <f>('[1]Short Spot'!AF53-'[1]Short Spot'!AF52)*100</f>
        <v>-3.014765947370357</v>
      </c>
      <c r="AG52" s="19">
        <f>('[1]Short Spot'!AG53-'[1]Short Spot'!AG52)*100</f>
        <v>-3.0184166998320272</v>
      </c>
      <c r="AH52" s="19">
        <f>('[1]Short Spot'!AH53-'[1]Short Spot'!AH52)*100</f>
        <v>-3.0218986690654148</v>
      </c>
      <c r="AI52" s="19">
        <f>('[1]Short Spot'!AI53-'[1]Short Spot'!AI52)*100</f>
        <v>-3.0252179415960256</v>
      </c>
      <c r="AJ52" s="19">
        <f>('[1]Short Spot'!AJ53-'[1]Short Spot'!AJ52)*100</f>
        <v>-3.0283809335140965</v>
      </c>
      <c r="AK52" s="19">
        <f>('[1]Short Spot'!AK53-'[1]Short Spot'!AK52)*100</f>
        <v>-3.0313940267290285</v>
      </c>
      <c r="AL52" s="19">
        <f>('[1]Short Spot'!AL53-'[1]Short Spot'!AL52)*100</f>
        <v>-3.0342636605944939</v>
      </c>
      <c r="AM52" s="19">
        <f>('[1]Short Spot'!AM53-'[1]Short Spot'!AM52)*100</f>
        <v>-3.0369963243500386</v>
      </c>
      <c r="AN52" s="19">
        <f>('[1]Short Spot'!AN53-'[1]Short Spot'!AN52)*100</f>
        <v>-3.0395985506375567</v>
      </c>
      <c r="AO52" s="19">
        <f>('[1]Short Spot'!AO53-'[1]Short Spot'!AO52)*100</f>
        <v>-3.0420766970687296</v>
      </c>
      <c r="AP52" s="19">
        <f>('[1]Short Spot'!AP53-'[1]Short Spot'!AP52)*100</f>
        <v>-3.0444363382573059</v>
      </c>
      <c r="AQ52" s="19">
        <f>('[1]Short Spot'!AQ53-'[1]Short Spot'!AQ52)*100</f>
        <v>-3.0466825980375312</v>
      </c>
      <c r="AR52" s="19">
        <f>('[1]Short Spot'!AR53-'[1]Short Spot'!AR52)*100</f>
        <v>-3.0488202922430929</v>
      </c>
      <c r="AS52" s="19">
        <f>('[1]Short Spot'!AS53-'[1]Short Spot'!AS52)*100</f>
        <v>-3.0508539637085441</v>
      </c>
      <c r="AT52" s="19">
        <f>('[1]Short Spot'!AT53-'[1]Short Spot'!AT52)*100</f>
        <v>-3.0527879118036338</v>
      </c>
      <c r="AU52" s="19">
        <f>('[1]Short Spot'!AU53-'[1]Short Spot'!AU52)*100</f>
        <v>-3.0546260576500117</v>
      </c>
      <c r="AV52" s="19">
        <f>('[1]Short Spot'!AV53-'[1]Short Spot'!AV52)*100</f>
        <v>-3.056371815926795</v>
      </c>
      <c r="AW52" s="19">
        <f>('[1]Short Spot'!AW53-'[1]Short Spot'!AW52)*100</f>
        <v>-3.0580284801937196</v>
      </c>
      <c r="AX52" s="19">
        <f>('[1]Short Spot'!AX53-'[1]Short Spot'!AX52)*100</f>
        <v>-3.0595992841353059</v>
      </c>
      <c r="AY52" s="19">
        <f>('[1]Short Spot'!AY53-'[1]Short Spot'!AY52)*100</f>
        <v>-3.0610874075476247</v>
      </c>
      <c r="AZ52" s="19">
        <f>('[1]Short Spot'!AZ53-'[1]Short Spot'!AZ52)*100</f>
        <v>-3.0624959816218933</v>
      </c>
      <c r="BA52" s="19">
        <f>('[1]Short Spot'!BA53-'[1]Short Spot'!BA52)*100</f>
        <v>-3.0638280936183371</v>
      </c>
      <c r="BB52" s="19">
        <f>('[1]Short Spot'!BB53-'[1]Short Spot'!BB52)*100</f>
        <v>-3.0650867749053567</v>
      </c>
      <c r="BC52" s="19">
        <f>('[1]Short Spot'!BC53-'[1]Short Spot'!BC52)*100</f>
        <v>-3.0662747837268967</v>
      </c>
      <c r="BD52" s="19">
        <f>('[1]Short Spot'!BD53-'[1]Short Spot'!BD52)*100</f>
        <v>-3.0673946540324515</v>
      </c>
      <c r="BE52" s="19">
        <f>('[1]Short Spot'!BE53-'[1]Short Spot'!BE52)*100</f>
        <v>-3.068448867449991</v>
      </c>
      <c r="BF52" s="19">
        <f>('[1]Short Spot'!BF53-'[1]Short Spot'!BF52)*100</f>
        <v>-3.0694398617803209</v>
      </c>
      <c r="BG52" s="19">
        <f>('[1]Short Spot'!BG53-'[1]Short Spot'!BG52)*100</f>
        <v>-3.0703700347759266</v>
      </c>
      <c r="BH52" s="19">
        <f>('[1]Short Spot'!BH53-'[1]Short Spot'!BH52)*100</f>
        <v>-3.0712417475350584</v>
      </c>
      <c r="BI52" s="19">
        <f>('[1]Short Spot'!BI53-'[1]Short Spot'!BI52)*100</f>
        <v>-3.0720573144102481</v>
      </c>
    </row>
    <row r="53" spans="1:61" x14ac:dyDescent="0.2">
      <c r="A53" s="18">
        <v>39156</v>
      </c>
      <c r="B53" s="19">
        <f>('[1]Short Spot'!B54-'[1]Short Spot'!B53)*100</f>
        <v>1.2477891085094228E-2</v>
      </c>
      <c r="C53" s="19">
        <f>('[1]Short Spot'!C54-'[1]Short Spot'!C53)*100</f>
        <v>0.92838549939910919</v>
      </c>
      <c r="D53" s="19">
        <f>('[1]Short Spot'!D54-'[1]Short Spot'!D53)*100</f>
        <v>1.2931308883957549</v>
      </c>
      <c r="E53" s="19">
        <f>('[1]Short Spot'!E54-'[1]Short Spot'!E53)*100</f>
        <v>1.5018520048272421</v>
      </c>
      <c r="F53" s="19">
        <f>('[1]Short Spot'!F54-'[1]Short Spot'!F53)*100</f>
        <v>1.622134058448399</v>
      </c>
      <c r="G53" s="19">
        <f>('[1]Short Spot'!G54-'[1]Short Spot'!G53)*100</f>
        <v>1.7123047042748141</v>
      </c>
      <c r="H53" s="19">
        <f>('[1]Short Spot'!H54-'[1]Short Spot'!H53)*100</f>
        <v>1.8105227318955031</v>
      </c>
      <c r="I53" s="19">
        <f>('[1]Short Spot'!I54-'[1]Short Spot'!I53)*100</f>
        <v>1.9350518496536573</v>
      </c>
      <c r="J53" s="19">
        <f>('[1]Short Spot'!J54-'[1]Short Spot'!J53)*100</f>
        <v>2.0888864673624497</v>
      </c>
      <c r="K53" s="19">
        <f>('[1]Short Spot'!K54-'[1]Short Spot'!K53)*100</f>
        <v>2.2668998644892469</v>
      </c>
      <c r="L53" s="19">
        <f>('[1]Short Spot'!L54-'[1]Short Spot'!L53)*100</f>
        <v>2.4613791344338942</v>
      </c>
      <c r="M53" s="19">
        <f>('[1]Short Spot'!M54-'[1]Short Spot'!M53)*100</f>
        <v>2.6659539540259125</v>
      </c>
      <c r="N53" s="19">
        <f>('[1]Short Spot'!N54-'[1]Short Spot'!N53)*100</f>
        <v>2.8746924182038391</v>
      </c>
      <c r="O53" s="19">
        <f>('[1]Short Spot'!O54-'[1]Short Spot'!O53)*100</f>
        <v>3.0814872498292623</v>
      </c>
      <c r="P53" s="19">
        <f>('[1]Short Spot'!P54-'[1]Short Spot'!P53)*100</f>
        <v>3.2819597736254202</v>
      </c>
      <c r="Q53" s="19">
        <f>('[1]Short Spot'!Q54-'[1]Short Spot'!Q53)*100</f>
        <v>3.4731822428692105</v>
      </c>
      <c r="R53" s="19">
        <f>('[1]Short Spot'!R54-'[1]Short Spot'!R53)*100</f>
        <v>3.6532510733847445</v>
      </c>
      <c r="S53" s="19">
        <f>('[1]Short Spot'!S54-'[1]Short Spot'!S53)*100</f>
        <v>3.8210023539468452</v>
      </c>
      <c r="T53" s="19">
        <f>('[1]Short Spot'!T54-'[1]Short Spot'!T53)*100</f>
        <v>3.9758171955045718</v>
      </c>
      <c r="U53" s="19">
        <f>('[1]Short Spot'!U54-'[1]Short Spot'!U53)*100</f>
        <v>4.1174854332060029</v>
      </c>
      <c r="V53" s="19">
        <f>('[1]Short Spot'!V54-'[1]Short Spot'!V53)*100</f>
        <v>4.246093383316385</v>
      </c>
      <c r="W53" s="19">
        <f>('[1]Short Spot'!W54-'[1]Short Spot'!W53)*100</f>
        <v>4.3619299847360793</v>
      </c>
      <c r="X53" s="19">
        <f>('[1]Short Spot'!X54-'[1]Short Spot'!X53)*100</f>
        <v>4.4654387819878849</v>
      </c>
      <c r="Y53" s="19">
        <f>('[1]Short Spot'!Y54-'[1]Short Spot'!Y53)*100</f>
        <v>4.5571857428202911</v>
      </c>
      <c r="Z53" s="19">
        <f>('[1]Short Spot'!Z54-'[1]Short Spot'!Z53)*100</f>
        <v>4.6378282264073256</v>
      </c>
      <c r="AA53" s="19">
        <f>('[1]Short Spot'!AA54-'[1]Short Spot'!AA53)*100</f>
        <v>4.708058470557841</v>
      </c>
      <c r="AB53" s="19">
        <f>('[1]Short Spot'!AB54-'[1]Short Spot'!AB53)*100</f>
        <v>4.7685754490424337</v>
      </c>
      <c r="AC53" s="19">
        <f>('[1]Short Spot'!AC54-'[1]Short Spot'!AC53)*100</f>
        <v>4.8200829092738928</v>
      </c>
      <c r="AD53" s="19">
        <f>('[1]Short Spot'!AD54-'[1]Short Spot'!AD53)*100</f>
        <v>4.8632885492655653</v>
      </c>
      <c r="AE53" s="19">
        <f>('[1]Short Spot'!AE54-'[1]Short Spot'!AE53)*100</f>
        <v>4.8989033591982256</v>
      </c>
      <c r="AF53" s="19">
        <f>('[1]Short Spot'!AF54-'[1]Short Spot'!AF53)*100</f>
        <v>4.9276418228799912</v>
      </c>
      <c r="AG53" s="19">
        <f>('[1]Short Spot'!AG54-'[1]Short Spot'!AG53)*100</f>
        <v>4.950222661167647</v>
      </c>
      <c r="AH53" s="19">
        <f>('[1]Short Spot'!AH54-'[1]Short Spot'!AH53)*100</f>
        <v>4.9673361838486585</v>
      </c>
      <c r="AI53" s="19">
        <f>('[1]Short Spot'!AI54-'[1]Short Spot'!AI53)*100</f>
        <v>4.9796264109878585</v>
      </c>
      <c r="AJ53" s="19">
        <f>('[1]Short Spot'!AJ54-'[1]Short Spot'!AJ53)*100</f>
        <v>4.9876817040209964</v>
      </c>
      <c r="AK53" s="19">
        <f>('[1]Short Spot'!AK54-'[1]Short Spot'!AK53)*100</f>
        <v>4.9920302096226443</v>
      </c>
      <c r="AL53" s="19">
        <f>('[1]Short Spot'!AL54-'[1]Short Spot'!AL53)*100</f>
        <v>4.9931471676488037</v>
      </c>
      <c r="AM53" s="19">
        <f>('[1]Short Spot'!AM54-'[1]Short Spot'!AM53)*100</f>
        <v>4.9914618725613202</v>
      </c>
      <c r="AN53" s="19">
        <f>('[1]Short Spot'!AN54-'[1]Short Spot'!AN53)*100</f>
        <v>4.9873635639409386</v>
      </c>
      <c r="AO53" s="19">
        <f>('[1]Short Spot'!AO54-'[1]Short Spot'!AO53)*100</f>
        <v>4.9812058061736053</v>
      </c>
      <c r="AP53" s="19">
        <f>('[1]Short Spot'!AP54-'[1]Short Spot'!AP53)*100</f>
        <v>4.9733050569158443</v>
      </c>
      <c r="AQ53" s="19">
        <f>('[1]Short Spot'!AQ54-'[1]Short Spot'!AQ53)*100</f>
        <v>4.9639401334055755</v>
      </c>
      <c r="AR53" s="19">
        <f>('[1]Short Spot'!AR54-'[1]Short Spot'!AR53)*100</f>
        <v>4.9533562274963749</v>
      </c>
      <c r="AS53" s="19">
        <f>('[1]Short Spot'!AS54-'[1]Short Spot'!AS53)*100</f>
        <v>4.9417687267247601</v>
      </c>
      <c r="AT53" s="19">
        <f>('[1]Short Spot'!AT54-'[1]Short Spot'!AT53)*100</f>
        <v>4.9293665273943077</v>
      </c>
      <c r="AU53" s="19">
        <f>('[1]Short Spot'!AU54-'[1]Short Spot'!AU53)*100</f>
        <v>4.9163152309768421</v>
      </c>
      <c r="AV53" s="19">
        <f>('[1]Short Spot'!AV54-'[1]Short Spot'!AV53)*100</f>
        <v>4.9027605597915525</v>
      </c>
      <c r="AW53" s="19">
        <f>('[1]Short Spot'!AW54-'[1]Short Spot'!AW53)*100</f>
        <v>4.8888305477718497</v>
      </c>
      <c r="AX53" s="19">
        <f>('[1]Short Spot'!AX54-'[1]Short Spot'!AX53)*100</f>
        <v>4.8746373204805238</v>
      </c>
      <c r="AY53" s="19">
        <f>('[1]Short Spot'!AY54-'[1]Short Spot'!AY53)*100</f>
        <v>4.8602786859446745</v>
      </c>
      <c r="AZ53" s="19">
        <f>('[1]Short Spot'!AZ54-'[1]Short Spot'!AZ53)*100</f>
        <v>4.8458395383376818</v>
      </c>
      <c r="BA53" s="19">
        <f>('[1]Short Spot'!BA54-'[1]Short Spot'!BA53)*100</f>
        <v>4.8313930996947363</v>
      </c>
      <c r="BB53" s="19">
        <f>('[1]Short Spot'!BB54-'[1]Short Spot'!BB53)*100</f>
        <v>4.8170020500546862</v>
      </c>
      <c r="BC53" s="19">
        <f>('[1]Short Spot'!BC54-'[1]Short Spot'!BC53)*100</f>
        <v>4.8027200804875214</v>
      </c>
      <c r="BD53" s="19">
        <f>('[1]Short Spot'!BD54-'[1]Short Spot'!BD53)*100</f>
        <v>4.7885933932088953</v>
      </c>
      <c r="BE53" s="19">
        <f>('[1]Short Spot'!BE54-'[1]Short Spot'!BE53)*100</f>
        <v>4.7746613862212683</v>
      </c>
      <c r="BF53" s="19">
        <f>('[1]Short Spot'!BF54-'[1]Short Spot'!BF53)*100</f>
        <v>4.7609572478477524</v>
      </c>
      <c r="BG53" s="19">
        <f>('[1]Short Spot'!BG54-'[1]Short Spot'!BG53)*100</f>
        <v>4.7475084920488797</v>
      </c>
      <c r="BH53" s="19">
        <f>('[1]Short Spot'!BH54-'[1]Short Spot'!BH53)*100</f>
        <v>4.7343374393013171</v>
      </c>
      <c r="BI53" s="19">
        <f>('[1]Short Spot'!BI54-'[1]Short Spot'!BI53)*100</f>
        <v>4.7214616679495336</v>
      </c>
    </row>
    <row r="54" spans="1:61" x14ac:dyDescent="0.2">
      <c r="A54" s="18">
        <v>39157</v>
      </c>
      <c r="B54" s="19">
        <f>('[1]Short Spot'!B55-'[1]Short Spot'!B54)*100</f>
        <v>5.3371877385899325E-2</v>
      </c>
      <c r="C54" s="19">
        <f>('[1]Short Spot'!C55-'[1]Short Spot'!C54)*100</f>
        <v>-0.21461780903013761</v>
      </c>
      <c r="D54" s="19">
        <f>('[1]Short Spot'!D55-'[1]Short Spot'!D54)*100</f>
        <v>-0.36468933035802564</v>
      </c>
      <c r="E54" s="19">
        <f>('[1]Short Spot'!E55-'[1]Short Spot'!E54)*100</f>
        <v>-0.36826552863189477</v>
      </c>
      <c r="F54" s="19">
        <f>('[1]Short Spot'!F55-'[1]Short Spot'!F54)*100</f>
        <v>-0.28552912412100895</v>
      </c>
      <c r="G54" s="19">
        <f>('[1]Short Spot'!G55-'[1]Short Spot'!G54)*100</f>
        <v>-0.18746510340896805</v>
      </c>
      <c r="H54" s="19">
        <f>('[1]Short Spot'!H55-'[1]Short Spot'!H54)*100</f>
        <v>-0.10197783934984272</v>
      </c>
      <c r="I54" s="19">
        <f>('[1]Short Spot'!I55-'[1]Short Spot'!I54)*100</f>
        <v>-3.8285032451756962E-2</v>
      </c>
      <c r="J54" s="19">
        <f>('[1]Short Spot'!J55-'[1]Short Spot'!J54)*100</f>
        <v>4.6435215200979485E-3</v>
      </c>
      <c r="K54" s="19">
        <f>('[1]Short Spot'!K55-'[1]Short Spot'!K54)*100</f>
        <v>3.025681394372981E-2</v>
      </c>
      <c r="L54" s="19">
        <f>('[1]Short Spot'!L55-'[1]Short Spot'!L54)*100</f>
        <v>3.9876372239877611E-2</v>
      </c>
      <c r="M54" s="19">
        <f>('[1]Short Spot'!M55-'[1]Short Spot'!M54)*100</f>
        <v>3.6567574072243758E-2</v>
      </c>
      <c r="N54" s="19">
        <f>('[1]Short Spot'!N55-'[1]Short Spot'!N54)*100</f>
        <v>2.4564781045910422E-2</v>
      </c>
      <c r="O54" s="19">
        <f>('[1]Short Spot'!O55-'[1]Short Spot'!O54)*100</f>
        <v>7.4121633476309512E-3</v>
      </c>
      <c r="P54" s="19">
        <f>('[1]Short Spot'!P55-'[1]Short Spot'!P54)*100</f>
        <v>-1.2366391766782669E-2</v>
      </c>
      <c r="Q54" s="19">
        <f>('[1]Short Spot'!Q55-'[1]Short Spot'!Q54)*100</f>
        <v>-3.2934875010681708E-2</v>
      </c>
      <c r="R54" s="19">
        <f>('[1]Short Spot'!R55-'[1]Short Spot'!R54)*100</f>
        <v>-5.2942819803458718E-2</v>
      </c>
      <c r="S54" s="19">
        <f>('[1]Short Spot'!S55-'[1]Short Spot'!S54)*100</f>
        <v>-7.1390429294737601E-2</v>
      </c>
      <c r="T54" s="19">
        <f>('[1]Short Spot'!T55-'[1]Short Spot'!T54)*100</f>
        <v>-8.7536294473178344E-2</v>
      </c>
      <c r="U54" s="19">
        <f>('[1]Short Spot'!U55-'[1]Short Spot'!U54)*100</f>
        <v>-0.10083127196214292</v>
      </c>
      <c r="V54" s="19">
        <f>('[1]Short Spot'!V55-'[1]Short Spot'!V54)*100</f>
        <v>-0.11089429607737955</v>
      </c>
      <c r="W54" s="19">
        <f>('[1]Short Spot'!W55-'[1]Short Spot'!W54)*100</f>
        <v>-0.11751870423566402</v>
      </c>
      <c r="X54" s="19">
        <f>('[1]Short Spot'!X55-'[1]Short Spot'!X54)*100</f>
        <v>-0.12064068782695614</v>
      </c>
      <c r="Y54" s="19">
        <f>('[1]Short Spot'!Y55-'[1]Short Spot'!Y54)*100</f>
        <v>-0.12030900918968968</v>
      </c>
      <c r="Z54" s="19">
        <f>('[1]Short Spot'!Z55-'[1]Short Spot'!Z54)*100</f>
        <v>-0.11664089514926701</v>
      </c>
      <c r="AA54" s="19">
        <f>('[1]Short Spot'!AA55-'[1]Short Spot'!AA54)*100</f>
        <v>-0.10977525254505238</v>
      </c>
      <c r="AB54" s="19">
        <f>('[1]Short Spot'!AB55-'[1]Short Spot'!AB54)*100</f>
        <v>-9.9869822757181481E-2</v>
      </c>
      <c r="AC54" s="19">
        <f>('[1]Short Spot'!AC55-'[1]Short Spot'!AC54)*100</f>
        <v>-8.7098353323167288E-2</v>
      </c>
      <c r="AD54" s="19">
        <f>('[1]Short Spot'!AD55-'[1]Short Spot'!AD54)*100</f>
        <v>-7.1647838255461949E-2</v>
      </c>
      <c r="AE54" s="19">
        <f>('[1]Short Spot'!AE55-'[1]Short Spot'!AE54)*100</f>
        <v>-5.3716310296447745E-2</v>
      </c>
      <c r="AF54" s="19">
        <f>('[1]Short Spot'!AF55-'[1]Short Spot'!AF54)*100</f>
        <v>-3.3509990321434202E-2</v>
      </c>
      <c r="AG54" s="19">
        <f>('[1]Short Spot'!AG55-'[1]Short Spot'!AG54)*100</f>
        <v>-1.1232675312911056E-2</v>
      </c>
      <c r="AH54" s="19">
        <f>('[1]Short Spot'!AH55-'[1]Short Spot'!AH54)*100</f>
        <v>1.2920551435691152E-2</v>
      </c>
      <c r="AI54" s="19">
        <f>('[1]Short Spot'!AI55-'[1]Short Spot'!AI54)*100</f>
        <v>3.8762497672184537E-2</v>
      </c>
      <c r="AJ54" s="19">
        <f>('[1]Short Spot'!AJ55-'[1]Short Spot'!AJ54)*100</f>
        <v>6.6113349031571289E-2</v>
      </c>
      <c r="AK54" s="19">
        <f>('[1]Short Spot'!AK55-'[1]Short Spot'!AK54)*100</f>
        <v>9.4799345607388119E-2</v>
      </c>
      <c r="AL54" s="19">
        <f>('[1]Short Spot'!AL55-'[1]Short Spot'!AL54)*100</f>
        <v>0.12465189400598931</v>
      </c>
      <c r="AM54" s="19">
        <f>('[1]Short Spot'!AM55-'[1]Short Spot'!AM54)*100</f>
        <v>0.15550688754109032</v>
      </c>
      <c r="AN54" s="19">
        <f>('[1]Short Spot'!AN55-'[1]Short Spot'!AN54)*100</f>
        <v>0.18720413330663987</v>
      </c>
      <c r="AO54" s="19">
        <f>('[1]Short Spot'!AO55-'[1]Short Spot'!AO54)*100</f>
        <v>0.21958781265700722</v>
      </c>
      <c r="AP54" s="19">
        <f>('[1]Short Spot'!AP55-'[1]Short Spot'!AP54)*100</f>
        <v>0.25250965944350057</v>
      </c>
      <c r="AQ54" s="19">
        <f>('[1]Short Spot'!AQ55-'[1]Short Spot'!AQ54)*100</f>
        <v>0.28582920187920635</v>
      </c>
      <c r="AR54" s="19">
        <f>('[1]Short Spot'!AR55-'[1]Short Spot'!AR54)*100</f>
        <v>0.31941281357017459</v>
      </c>
      <c r="AS54" s="19">
        <f>('[1]Short Spot'!AS55-'[1]Short Spot'!AS54)*100</f>
        <v>0.35313293562984072</v>
      </c>
      <c r="AT54" s="19">
        <f>('[1]Short Spot'!AT55-'[1]Short Spot'!AT54)*100</f>
        <v>0.38686741283200377</v>
      </c>
      <c r="AU54" s="19">
        <f>('[1]Short Spot'!AU55-'[1]Short Spot'!AU54)*100</f>
        <v>0.42049986615770862</v>
      </c>
      <c r="AV54" s="19">
        <f>('[1]Short Spot'!AV55-'[1]Short Spot'!AV54)*100</f>
        <v>0.45392082479951412</v>
      </c>
      <c r="AW54" s="19">
        <f>('[1]Short Spot'!AW55-'[1]Short Spot'!AW54)*100</f>
        <v>0.48702661720803064</v>
      </c>
      <c r="AX54" s="19">
        <f>('[1]Short Spot'!AX55-'[1]Short Spot'!AX54)*100</f>
        <v>0.51971869113778268</v>
      </c>
      <c r="AY54" s="19">
        <f>('[1]Short Spot'!AY55-'[1]Short Spot'!AY54)*100</f>
        <v>0.5519031017193754</v>
      </c>
      <c r="AZ54" s="19">
        <f>('[1]Short Spot'!AZ55-'[1]Short Spot'!AZ54)*100</f>
        <v>0.58349005975397716</v>
      </c>
      <c r="BA54" s="19">
        <f>('[1]Short Spot'!BA55-'[1]Short Spot'!BA54)*100</f>
        <v>0.61439353213081915</v>
      </c>
      <c r="BB54" s="19">
        <f>('[1]Short Spot'!BB55-'[1]Short Spot'!BB54)*100</f>
        <v>0.64453101132935231</v>
      </c>
      <c r="BC54" s="19">
        <f>('[1]Short Spot'!BC55-'[1]Short Spot'!BC54)*100</f>
        <v>0.67382488574931898</v>
      </c>
      <c r="BD54" s="19">
        <f>('[1]Short Spot'!BD55-'[1]Short Spot'!BD54)*100</f>
        <v>0.70220326399494937</v>
      </c>
      <c r="BE54" s="19">
        <f>('[1]Short Spot'!BE55-'[1]Short Spot'!BE54)*100</f>
        <v>0.72959929302305326</v>
      </c>
      <c r="BF54" s="19">
        <f>('[1]Short Spot'!BF55-'[1]Short Spot'!BF54)*100</f>
        <v>0.75595071097351862</v>
      </c>
      <c r="BG54" s="19">
        <f>('[1]Short Spot'!BG55-'[1]Short Spot'!BG54)*100</f>
        <v>0.78119945137808955</v>
      </c>
      <c r="BH54" s="19">
        <f>('[1]Short Spot'!BH55-'[1]Short Spot'!BH54)*100</f>
        <v>0.80529128761845925</v>
      </c>
      <c r="BI54" s="19">
        <f>('[1]Short Spot'!BI55-'[1]Short Spot'!BI54)*100</f>
        <v>0.82817558099028687</v>
      </c>
    </row>
    <row r="55" spans="1:61" x14ac:dyDescent="0.2">
      <c r="A55" s="18">
        <v>39160</v>
      </c>
      <c r="B55" s="19">
        <f>('[1]Short Spot'!B56-'[1]Short Spot'!B55)*100</f>
        <v>0.42382784604706458</v>
      </c>
      <c r="C55" s="19">
        <f>('[1]Short Spot'!C56-'[1]Short Spot'!C55)*100</f>
        <v>0.34483552230035741</v>
      </c>
      <c r="D55" s="19">
        <f>('[1]Short Spot'!D56-'[1]Short Spot'!D55)*100</f>
        <v>1.0265734552867833</v>
      </c>
      <c r="E55" s="19">
        <f>('[1]Short Spot'!E56-'[1]Short Spot'!E55)*100</f>
        <v>1.6833668432728821</v>
      </c>
      <c r="F55" s="19">
        <f>('[1]Short Spot'!F56-'[1]Short Spot'!F55)*100</f>
        <v>2.173236514606014</v>
      </c>
      <c r="G55" s="19">
        <f>('[1]Short Spot'!G56-'[1]Short Spot'!G55)*100</f>
        <v>2.5228407537331243</v>
      </c>
      <c r="H55" s="19">
        <f>('[1]Short Spot'!H56-'[1]Short Spot'!H55)*100</f>
        <v>2.7765351900169044</v>
      </c>
      <c r="I55" s="19">
        <f>('[1]Short Spot'!I56-'[1]Short Spot'!I55)*100</f>
        <v>2.9706249313557365</v>
      </c>
      <c r="J55" s="19">
        <f>('[1]Short Spot'!J56-'[1]Short Spot'!J55)*100</f>
        <v>3.1264018394700166</v>
      </c>
      <c r="K55" s="19">
        <f>('[1]Short Spot'!K56-'[1]Short Spot'!K55)*100</f>
        <v>3.2558009095970064</v>
      </c>
      <c r="L55" s="19">
        <f>('[1]Short Spot'!L56-'[1]Short Spot'!L55)*100</f>
        <v>3.3657479007685787</v>
      </c>
      <c r="M55" s="19">
        <f>('[1]Short Spot'!M56-'[1]Short Spot'!M55)*100</f>
        <v>3.4608349079938705</v>
      </c>
      <c r="N55" s="19">
        <f>('[1]Short Spot'!N56-'[1]Short Spot'!N55)*100</f>
        <v>3.5440761534075271</v>
      </c>
      <c r="O55" s="19">
        <f>('[1]Short Spot'!O56-'[1]Short Spot'!O55)*100</f>
        <v>3.6173324520217598</v>
      </c>
      <c r="P55" s="19">
        <f>('[1]Short Spot'!P56-'[1]Short Spot'!P55)*100</f>
        <v>3.6819516881375414</v>
      </c>
      <c r="Q55" s="19">
        <f>('[1]Short Spot'!Q56-'[1]Short Spot'!Q55)*100</f>
        <v>3.7389900499249507</v>
      </c>
      <c r="R55" s="19">
        <f>('[1]Short Spot'!R56-'[1]Short Spot'!R55)*100</f>
        <v>3.789297826906779</v>
      </c>
      <c r="S55" s="19">
        <f>('[1]Short Spot'!S56-'[1]Short Spot'!S55)*100</f>
        <v>3.8335766040265895</v>
      </c>
      <c r="T55" s="19">
        <f>('[1]Short Spot'!T56-'[1]Short Spot'!T55)*100</f>
        <v>3.8724183955983982</v>
      </c>
      <c r="U55" s="19">
        <f>('[1]Short Spot'!U56-'[1]Short Spot'!U55)*100</f>
        <v>3.9063343362095715</v>
      </c>
      <c r="V55" s="19">
        <f>('[1]Short Spot'!V56-'[1]Short Spot'!V55)*100</f>
        <v>3.9357736222590312</v>
      </c>
      <c r="W55" s="19">
        <f>('[1]Short Spot'!W56-'[1]Short Spot'!W55)*100</f>
        <v>3.961130752551334</v>
      </c>
      <c r="X55" s="19">
        <f>('[1]Short Spot'!X56-'[1]Short Spot'!X55)*100</f>
        <v>3.9827563520118403</v>
      </c>
      <c r="Y55" s="19">
        <f>('[1]Short Spot'!Y56-'[1]Short Spot'!Y55)*100</f>
        <v>4.0009665084356882</v>
      </c>
      <c r="Z55" s="19">
        <f>('[1]Short Spot'!Z56-'[1]Short Spot'!Z55)*100</f>
        <v>4.0160521280310668</v>
      </c>
      <c r="AA55" s="19">
        <f>('[1]Short Spot'!AA56-'[1]Short Spot'!AA55)*100</f>
        <v>4.0282772791200294</v>
      </c>
      <c r="AB55" s="19">
        <f>('[1]Short Spot'!AB56-'[1]Short Spot'!AB55)*100</f>
        <v>4.0378778500949508</v>
      </c>
      <c r="AC55" s="19">
        <f>('[1]Short Spot'!AC56-'[1]Short Spot'!AC55)*100</f>
        <v>4.0450663732584324</v>
      </c>
      <c r="AD55" s="19">
        <f>('[1]Short Spot'!AD56-'[1]Short Spot'!AD55)*100</f>
        <v>4.0500360517349066</v>
      </c>
      <c r="AE55" s="19">
        <f>('[1]Short Spot'!AE56-'[1]Short Spot'!AE55)*100</f>
        <v>4.0529639810016782</v>
      </c>
      <c r="AF55" s="19">
        <f>('[1]Short Spot'!AF56-'[1]Short Spot'!AF55)*100</f>
        <v>4.0540139455654156</v>
      </c>
      <c r="AG55" s="19">
        <f>('[1]Short Spot'!AG56-'[1]Short Spot'!AG55)*100</f>
        <v>4.053338633743131</v>
      </c>
      <c r="AH55" s="19">
        <f>('[1]Short Spot'!AH56-'[1]Short Spot'!AH55)*100</f>
        <v>4.0510798985250673</v>
      </c>
      <c r="AI55" s="19">
        <f>('[1]Short Spot'!AI56-'[1]Short Spot'!AI55)*100</f>
        <v>4.0473696397171466</v>
      </c>
      <c r="AJ55" s="19">
        <f>('[1]Short Spot'!AJ56-'[1]Short Spot'!AJ55)*100</f>
        <v>4.0423287670226848</v>
      </c>
      <c r="AK55" s="19">
        <f>('[1]Short Spot'!AK56-'[1]Short Spot'!AK55)*100</f>
        <v>4.0360671669164461</v>
      </c>
      <c r="AL55" s="19">
        <f>('[1]Short Spot'!AL56-'[1]Short Spot'!AL55)*100</f>
        <v>4.028685118875952</v>
      </c>
      <c r="AM55" s="19">
        <f>('[1]Short Spot'!AM56-'[1]Short Spot'!AM55)*100</f>
        <v>4.0202745594599243</v>
      </c>
      <c r="AN55" s="19">
        <f>('[1]Short Spot'!AN56-'[1]Short Spot'!AN55)*100</f>
        <v>4.0109201534598071</v>
      </c>
      <c r="AO55" s="19">
        <f>('[1]Short Spot'!AO56-'[1]Short Spot'!AO55)*100</f>
        <v>4.000700308630023</v>
      </c>
      <c r="AP55" s="19">
        <f>('[1]Short Spot'!AP56-'[1]Short Spot'!AP55)*100</f>
        <v>3.9896875924428699</v>
      </c>
      <c r="AQ55" s="19">
        <f>('[1]Short Spot'!AQ56-'[1]Short Spot'!AQ55)*100</f>
        <v>3.9779487811799186</v>
      </c>
      <c r="AR55" s="19">
        <f>('[1]Short Spot'!AR56-'[1]Short Spot'!AR55)*100</f>
        <v>3.9655454774761623</v>
      </c>
      <c r="AS55" s="19">
        <f>('[1]Short Spot'!AS56-'[1]Short Spot'!AS55)*100</f>
        <v>3.952534698236132</v>
      </c>
      <c r="AT55" s="19">
        <f>('[1]Short Spot'!AT56-'[1]Short Spot'!AT55)*100</f>
        <v>3.9389693897179612</v>
      </c>
      <c r="AU55" s="19">
        <f>('[1]Short Spot'!AU56-'[1]Short Spot'!AU55)*100</f>
        <v>3.9248990864262367</v>
      </c>
      <c r="AV55" s="19">
        <f>('[1]Short Spot'!AV56-'[1]Short Spot'!AV55)*100</f>
        <v>3.9103701669539248</v>
      </c>
      <c r="AW55" s="19">
        <f>('[1]Short Spot'!AW56-'[1]Short Spot'!AW55)*100</f>
        <v>3.8954257356377475</v>
      </c>
      <c r="AX55" s="19">
        <f>('[1]Short Spot'!AX56-'[1]Short Spot'!AX55)*100</f>
        <v>3.8801059257894899</v>
      </c>
      <c r="AY55" s="19">
        <f>('[1]Short Spot'!AY56-'[1]Short Spot'!AY55)*100</f>
        <v>3.8644481967977207</v>
      </c>
      <c r="AZ55" s="19">
        <f>('[1]Short Spot'!AZ56-'[1]Short Spot'!AZ55)*100</f>
        <v>3.8484875962775611</v>
      </c>
      <c r="BA55" s="19">
        <f>('[1]Short Spot'!BA56-'[1]Short Spot'!BA55)*100</f>
        <v>3.8322569919719385</v>
      </c>
      <c r="BB55" s="19">
        <f>('[1]Short Spot'!BB56-'[1]Short Spot'!BB55)*100</f>
        <v>3.8157873172063539</v>
      </c>
      <c r="BC55" s="19">
        <f>('[1]Short Spot'!BC56-'[1]Short Spot'!BC55)*100</f>
        <v>3.7991079708858067</v>
      </c>
      <c r="BD55" s="19">
        <f>('[1]Short Spot'!BD56-'[1]Short Spot'!BD55)*100</f>
        <v>3.7822466552530187</v>
      </c>
      <c r="BE55" s="19">
        <f>('[1]Short Spot'!BE56-'[1]Short Spot'!BE55)*100</f>
        <v>3.7652293476303278</v>
      </c>
      <c r="BF55" s="19">
        <f>('[1]Short Spot'!BF56-'[1]Short Spot'!BF55)*100</f>
        <v>3.748080450684288</v>
      </c>
      <c r="BG55" s="19">
        <f>('[1]Short Spot'!BG56-'[1]Short Spot'!BG55)*100</f>
        <v>3.7308229281717509</v>
      </c>
      <c r="BH55" s="19">
        <f>('[1]Short Spot'!BH56-'[1]Short Spot'!BH55)*100</f>
        <v>3.713478426881256</v>
      </c>
      <c r="BI55" s="19">
        <f>('[1]Short Spot'!BI56-'[1]Short Spot'!BI55)*100</f>
        <v>3.6960674089635326</v>
      </c>
    </row>
    <row r="56" spans="1:61" x14ac:dyDescent="0.2">
      <c r="A56" s="18">
        <v>39161</v>
      </c>
      <c r="B56" s="19">
        <f>('[1]Short Spot'!B57-'[1]Short Spot'!B56)*100</f>
        <v>1.4135894678774186</v>
      </c>
      <c r="C56" s="19">
        <f>('[1]Short Spot'!C57-'[1]Short Spot'!C56)*100</f>
        <v>2.2858131993046094</v>
      </c>
      <c r="D56" s="19">
        <f>('[1]Short Spot'!D57-'[1]Short Spot'!D56)*100</f>
        <v>2.9060760956104659</v>
      </c>
      <c r="E56" s="19">
        <f>('[1]Short Spot'!E57-'[1]Short Spot'!E56)*100</f>
        <v>3.4328011614635834</v>
      </c>
      <c r="F56" s="19">
        <f>('[1]Short Spot'!F57-'[1]Short Spot'!F56)*100</f>
        <v>3.8778494955701959</v>
      </c>
      <c r="G56" s="19">
        <f>('[1]Short Spot'!G57-'[1]Short Spot'!G56)*100</f>
        <v>4.2482311938411677</v>
      </c>
      <c r="H56" s="19">
        <f>('[1]Short Spot'!H57-'[1]Short Spot'!H56)*100</f>
        <v>4.5519480168669801</v>
      </c>
      <c r="I56" s="19">
        <f>('[1]Short Spot'!I57-'[1]Short Spot'!I56)*100</f>
        <v>4.7965948566223382</v>
      </c>
      <c r="J56" s="19">
        <f>('[1]Short Spot'!J57-'[1]Short Spot'!J56)*100</f>
        <v>4.98991948001688</v>
      </c>
      <c r="K56" s="19">
        <f>('[1]Short Spot'!K57-'[1]Short Spot'!K56)*100</f>
        <v>5.1394143898368938</v>
      </c>
      <c r="L56" s="19">
        <f>('[1]Short Spot'!L57-'[1]Short Spot'!L56)*100</f>
        <v>5.252239935472236</v>
      </c>
      <c r="M56" s="19">
        <f>('[1]Short Spot'!M57-'[1]Short Spot'!M56)*100</f>
        <v>5.3349245406026924</v>
      </c>
      <c r="N56" s="19">
        <f>('[1]Short Spot'!N57-'[1]Short Spot'!N56)*100</f>
        <v>5.3934271610250661</v>
      </c>
      <c r="O56" s="19">
        <f>('[1]Short Spot'!O57-'[1]Short Spot'!O56)*100</f>
        <v>5.4327538726934854</v>
      </c>
      <c r="P56" s="19">
        <f>('[1]Short Spot'!P57-'[1]Short Spot'!P56)*100</f>
        <v>5.4566786529156808</v>
      </c>
      <c r="Q56" s="19">
        <f>('[1]Short Spot'!Q57-'[1]Short Spot'!Q56)*100</f>
        <v>5.468071607537528</v>
      </c>
      <c r="R56" s="19">
        <f>('[1]Short Spot'!R57-'[1]Short Spot'!R56)*100</f>
        <v>5.4691648154351569</v>
      </c>
      <c r="S56" s="19">
        <f>('[1]Short Spot'!S57-'[1]Short Spot'!S56)*100</f>
        <v>5.4617295582286118</v>
      </c>
      <c r="T56" s="19">
        <f>('[1]Short Spot'!T57-'[1]Short Spot'!T56)*100</f>
        <v>5.4471975847618204</v>
      </c>
      <c r="U56" s="19">
        <f>('[1]Short Spot'!U57-'[1]Short Spot'!U56)*100</f>
        <v>5.4267446547326514</v>
      </c>
      <c r="V56" s="19">
        <f>('[1]Short Spot'!V57-'[1]Short Spot'!V56)*100</f>
        <v>5.4013319829202544</v>
      </c>
      <c r="W56" s="19">
        <f>('[1]Short Spot'!W57-'[1]Short Spot'!W56)*100</f>
        <v>5.3717352387959494</v>
      </c>
      <c r="X56" s="19">
        <f>('[1]Short Spot'!X57-'[1]Short Spot'!X56)*100</f>
        <v>5.3385832215416151</v>
      </c>
      <c r="Y56" s="19">
        <f>('[1]Short Spot'!Y57-'[1]Short Spot'!Y56)*100</f>
        <v>5.3023887718332219</v>
      </c>
      <c r="Z56" s="19">
        <f>('[1]Short Spot'!Z57-'[1]Short Spot'!Z56)*100</f>
        <v>5.2635790948305505</v>
      </c>
      <c r="AA56" s="19">
        <f>('[1]Short Spot'!AA57-'[1]Short Spot'!AA56)*100</f>
        <v>5.2225178648198423</v>
      </c>
      <c r="AB56" s="19">
        <f>('[1]Short Spot'!AB57-'[1]Short Spot'!AB56)*100</f>
        <v>5.1795146416885984</v>
      </c>
      <c r="AC56" s="19">
        <f>('[1]Short Spot'!AC57-'[1]Short Spot'!AC56)*100</f>
        <v>5.134834403085442</v>
      </c>
      <c r="AD56" s="19">
        <f>('[1]Short Spot'!AD57-'[1]Short Spot'!AD56)*100</f>
        <v>5.0887052310129022</v>
      </c>
      <c r="AE56" s="19">
        <f>('[1]Short Spot'!AE57-'[1]Short Spot'!AE56)*100</f>
        <v>5.0413244611040575</v>
      </c>
      <c r="AF56" s="19">
        <f>('[1]Short Spot'!AF57-'[1]Short Spot'!AF56)*100</f>
        <v>4.9928639671166231</v>
      </c>
      <c r="AG56" s="19">
        <f>('[1]Short Spot'!AG57-'[1]Short Spot'!AG56)*100</f>
        <v>4.9434753376504936</v>
      </c>
      <c r="AH56" s="19">
        <f>('[1]Short Spot'!AH57-'[1]Short Spot'!AH56)*100</f>
        <v>4.893292578722086</v>
      </c>
      <c r="AI56" s="19">
        <f>('[1]Short Spot'!AI57-'[1]Short Spot'!AI56)*100</f>
        <v>4.8424344644335093</v>
      </c>
      <c r="AJ56" s="19">
        <f>('[1]Short Spot'!AJ57-'[1]Short Spot'!AJ56)*100</f>
        <v>4.7910063223287835</v>
      </c>
      <c r="AK56" s="19">
        <f>('[1]Short Spot'!AK57-'[1]Short Spot'!AK56)*100</f>
        <v>4.7391015949347803</v>
      </c>
      <c r="AL56" s="19">
        <f>('[1]Short Spot'!AL57-'[1]Short Spot'!AL56)*100</f>
        <v>4.6868034289100358</v>
      </c>
      <c r="AM56" s="19">
        <f>('[1]Short Spot'!AM57-'[1]Short Spot'!AM56)*100</f>
        <v>4.6341860297642867</v>
      </c>
      <c r="AN56" s="19">
        <f>('[1]Short Spot'!AN57-'[1]Short Spot'!AN56)*100</f>
        <v>4.5813158108652274</v>
      </c>
      <c r="AO56" s="19">
        <f>('[1]Short Spot'!AO57-'[1]Short Spot'!AO56)*100</f>
        <v>4.5282526795054068</v>
      </c>
      <c r="AP56" s="19">
        <f>('[1]Short Spot'!AP57-'[1]Short Spot'!AP56)*100</f>
        <v>4.4750514742684544</v>
      </c>
      <c r="AQ56" s="19">
        <f>('[1]Short Spot'!AQ57-'[1]Short Spot'!AQ56)*100</f>
        <v>4.4217624844191228</v>
      </c>
      <c r="AR56" s="19">
        <f>('[1]Short Spot'!AR57-'[1]Short Spot'!AR56)*100</f>
        <v>4.3684319498808577</v>
      </c>
      <c r="AS56" s="19">
        <f>('[1]Short Spot'!AS57-'[1]Short Spot'!AS56)*100</f>
        <v>4.3151025213864713</v>
      </c>
      <c r="AT56" s="19">
        <f>('[1]Short Spot'!AT57-'[1]Short Spot'!AT56)*100</f>
        <v>4.2618136665509176</v>
      </c>
      <c r="AU56" s="19">
        <f>('[1]Short Spot'!AU57-'[1]Short Spot'!AU56)*100</f>
        <v>4.2086022654638455</v>
      </c>
      <c r="AV56" s="19">
        <f>('[1]Short Spot'!AV57-'[1]Short Spot'!AV56)*100</f>
        <v>4.1555028547122674</v>
      </c>
      <c r="AW56" s="19">
        <f>('[1]Short Spot'!AW57-'[1]Short Spot'!AW56)*100</f>
        <v>4.1025474868902734</v>
      </c>
      <c r="AX56" s="19">
        <f>('[1]Short Spot'!AX57-'[1]Short Spot'!AX56)*100</f>
        <v>4.0497659591675728</v>
      </c>
      <c r="AY56" s="19">
        <f>('[1]Short Spot'!AY57-'[1]Short Spot'!AY56)*100</f>
        <v>3.9971860388322789</v>
      </c>
      <c r="AZ56" s="19">
        <f>('[1]Short Spot'!AZ57-'[1]Short Spot'!AZ56)*100</f>
        <v>3.9448336622983859</v>
      </c>
      <c r="BA56" s="19">
        <f>('[1]Short Spot'!BA57-'[1]Short Spot'!BA56)*100</f>
        <v>3.8927331111516139</v>
      </c>
      <c r="BB56" s="19">
        <f>('[1]Short Spot'!BB57-'[1]Short Spot'!BB56)*100</f>
        <v>3.840907213363387</v>
      </c>
      <c r="BC56" s="19">
        <f>('[1]Short Spot'!BC57-'[1]Short Spot'!BC56)*100</f>
        <v>3.7893777063477962</v>
      </c>
      <c r="BD56" s="19">
        <f>('[1]Short Spot'!BD57-'[1]Short Spot'!BD56)*100</f>
        <v>3.7381650438703673</v>
      </c>
      <c r="BE56" s="19">
        <f>('[1]Short Spot'!BE57-'[1]Short Spot'!BE56)*100</f>
        <v>3.6872883493387576</v>
      </c>
      <c r="BF56" s="19">
        <f>('[1]Short Spot'!BF57-'[1]Short Spot'!BF56)*100</f>
        <v>3.6367655318636061</v>
      </c>
      <c r="BG56" s="19">
        <f>('[1]Short Spot'!BG57-'[1]Short Spot'!BG56)*100</f>
        <v>3.5866133909398634</v>
      </c>
      <c r="BH56" s="19">
        <f>('[1]Short Spot'!BH57-'[1]Short Spot'!BH56)*100</f>
        <v>3.5368477104817053</v>
      </c>
      <c r="BI56" s="19">
        <f>('[1]Short Spot'!BI57-'[1]Short Spot'!BI56)*100</f>
        <v>3.4874833651742598</v>
      </c>
    </row>
    <row r="57" spans="1:61" x14ac:dyDescent="0.2">
      <c r="A57" s="18">
        <v>39162</v>
      </c>
      <c r="B57" s="19">
        <f>('[1]Short Spot'!B58-'[1]Short Spot'!B57)*100</f>
        <v>-0.52326057467215747</v>
      </c>
      <c r="C57" s="19">
        <f>('[1]Short Spot'!C58-'[1]Short Spot'!C57)*100</f>
        <v>-0.13456167535128571</v>
      </c>
      <c r="D57" s="19">
        <f>('[1]Short Spot'!D58-'[1]Short Spot'!D57)*100</f>
        <v>9.3557274605693408E-2</v>
      </c>
      <c r="E57" s="19">
        <f>('[1]Short Spot'!E58-'[1]Short Spot'!E57)*100</f>
        <v>0.1639385332847354</v>
      </c>
      <c r="F57" s="19">
        <f>('[1]Short Spot'!F58-'[1]Short Spot'!F57)*100</f>
        <v>0.12457179885645431</v>
      </c>
      <c r="G57" s="19">
        <f>('[1]Short Spot'!G58-'[1]Short Spot'!G57)*100</f>
        <v>2.2414494156475229E-2</v>
      </c>
      <c r="H57" s="19">
        <f>('[1]Short Spot'!H58-'[1]Short Spot'!H57)*100</f>
        <v>-0.10702563152547029</v>
      </c>
      <c r="I57" s="19">
        <f>('[1]Short Spot'!I58-'[1]Short Spot'!I57)*100</f>
        <v>-0.23981676622728543</v>
      </c>
      <c r="J57" s="19">
        <f>('[1]Short Spot'!J58-'[1]Short Spot'!J57)*100</f>
        <v>-0.362779749918829</v>
      </c>
      <c r="K57" s="19">
        <f>('[1]Short Spot'!K58-'[1]Short Spot'!K57)*100</f>
        <v>-0.46928329286135551</v>
      </c>
      <c r="L57" s="19">
        <f>('[1]Short Spot'!L58-'[1]Short Spot'!L57)*100</f>
        <v>-0.55677245672889342</v>
      </c>
      <c r="M57" s="19">
        <f>('[1]Short Spot'!M58-'[1]Short Spot'!M57)*100</f>
        <v>-0.62513668504475817</v>
      </c>
      <c r="N57" s="19">
        <f>('[1]Short Spot'!N58-'[1]Short Spot'!N57)*100</f>
        <v>-0.67632039755975981</v>
      </c>
      <c r="O57" s="19">
        <f>('[1]Short Spot'!O58-'[1]Short Spot'!O57)*100</f>
        <v>-0.7132375824333792</v>
      </c>
      <c r="P57" s="19">
        <f>('[1]Short Spot'!P58-'[1]Short Spot'!P57)*100</f>
        <v>-0.73828409536114137</v>
      </c>
      <c r="Q57" s="19">
        <f>('[1]Short Spot'!Q58-'[1]Short Spot'!Q57)*100</f>
        <v>-0.75343331634485367</v>
      </c>
      <c r="R57" s="19">
        <f>('[1]Short Spot'!R58-'[1]Short Spot'!R57)*100</f>
        <v>-0.76036051015764272</v>
      </c>
      <c r="S57" s="19">
        <f>('[1]Short Spot'!S58-'[1]Short Spot'!S57)*100</f>
        <v>-0.76052563612956092</v>
      </c>
      <c r="T57" s="19">
        <f>('[1]Short Spot'!T58-'[1]Short Spot'!T57)*100</f>
        <v>-0.75522999604338281</v>
      </c>
      <c r="U57" s="19">
        <f>('[1]Short Spot'!U58-'[1]Short Spot'!U57)*100</f>
        <v>-0.74564138558201876</v>
      </c>
      <c r="V57" s="19">
        <f>('[1]Short Spot'!V58-'[1]Short Spot'!V57)*100</f>
        <v>-0.73274091934676377</v>
      </c>
      <c r="W57" s="19">
        <f>('[1]Short Spot'!W58-'[1]Short Spot'!W57)*100</f>
        <v>-0.7173149566794379</v>
      </c>
      <c r="X57" s="19">
        <f>('[1]Short Spot'!X58-'[1]Short Spot'!X57)*100</f>
        <v>-0.69999529419995099</v>
      </c>
      <c r="Y57" s="19">
        <f>('[1]Short Spot'!Y58-'[1]Short Spot'!Y57)*100</f>
        <v>-0.68129105131742307</v>
      </c>
      <c r="Z57" s="19">
        <f>('[1]Short Spot'!Z58-'[1]Short Spot'!Z57)*100</f>
        <v>-0.66160899758838099</v>
      </c>
      <c r="AA57" s="19">
        <f>('[1]Short Spot'!AA58-'[1]Short Spot'!AA57)*100</f>
        <v>-0.64127617059135389</v>
      </c>
      <c r="AB57" s="19">
        <f>('[1]Short Spot'!AB58-'[1]Short Spot'!AB57)*100</f>
        <v>-0.62055920108612384</v>
      </c>
      <c r="AC57" s="19">
        <f>('[1]Short Spot'!AC58-'[1]Short Spot'!AC57)*100</f>
        <v>-0.59967522573005638</v>
      </c>
      <c r="AD57" s="19">
        <f>('[1]Short Spot'!AD58-'[1]Short Spot'!AD57)*100</f>
        <v>-0.57880042054438974</v>
      </c>
      <c r="AE57" s="19">
        <f>('[1]Short Spot'!AE58-'[1]Short Spot'!AE57)*100</f>
        <v>-0.55807682765021127</v>
      </c>
      <c r="AF57" s="19">
        <f>('[1]Short Spot'!AF58-'[1]Short Spot'!AF57)*100</f>
        <v>-0.53761761461625923</v>
      </c>
      <c r="AG57" s="19">
        <f>('[1]Short Spot'!AG58-'[1]Short Spot'!AG57)*100</f>
        <v>-0.51751144091793932</v>
      </c>
      <c r="AH57" s="19">
        <f>('[1]Short Spot'!AH58-'[1]Short Spot'!AH57)*100</f>
        <v>-0.49782747766151658</v>
      </c>
      <c r="AI57" s="19">
        <f>('[1]Short Spot'!AI58-'[1]Short Spot'!AI57)*100</f>
        <v>-0.47861884236510832</v>
      </c>
      <c r="AJ57" s="19">
        <f>('[1]Short Spot'!AJ58-'[1]Short Spot'!AJ57)*100</f>
        <v>-0.45992648934420899</v>
      </c>
      <c r="AK57" s="19">
        <f>('[1]Short Spot'!AK58-'[1]Short Spot'!AK57)*100</f>
        <v>-0.44178173982487579</v>
      </c>
      <c r="AL57" s="19">
        <f>('[1]Short Spot'!AL58-'[1]Short Spot'!AL57)*100</f>
        <v>-0.42420761312289557</v>
      </c>
      <c r="AM57" s="19">
        <f>('[1]Short Spot'!AM58-'[1]Short Spot'!AM57)*100</f>
        <v>-0.40721991899950183</v>
      </c>
      <c r="AN57" s="19">
        <f>('[1]Short Spot'!AN58-'[1]Short Spot'!AN57)*100</f>
        <v>-0.39082817909132928</v>
      </c>
      <c r="AO57" s="19">
        <f>('[1]Short Spot'!AO58-'[1]Short Spot'!AO57)*100</f>
        <v>-0.37503634305364741</v>
      </c>
      <c r="AP57" s="19">
        <f>('[1]Short Spot'!AP58-'[1]Short Spot'!AP57)*100</f>
        <v>-0.35984405543674214</v>
      </c>
      <c r="AQ57" s="19">
        <f>('[1]Short Spot'!AQ58-'[1]Short Spot'!AQ57)*100</f>
        <v>-0.34524785521767853</v>
      </c>
      <c r="AR57" s="19">
        <f>('[1]Short Spot'!AR58-'[1]Short Spot'!AR57)*100</f>
        <v>-0.33124158074588905</v>
      </c>
      <c r="AS57" s="19">
        <f>('[1]Short Spot'!AS58-'[1]Short Spot'!AS57)*100</f>
        <v>-0.31781667663217661</v>
      </c>
      <c r="AT57" s="19">
        <f>('[1]Short Spot'!AT58-'[1]Short Spot'!AT57)*100</f>
        <v>-0.30496245218918361</v>
      </c>
      <c r="AU57" s="19">
        <f>('[1]Short Spot'!AU58-'[1]Short Spot'!AU57)*100</f>
        <v>-0.29266621985657437</v>
      </c>
      <c r="AV57" s="19">
        <f>('[1]Short Spot'!AV58-'[1]Short Spot'!AV57)*100</f>
        <v>-0.28091411540742683</v>
      </c>
      <c r="AW57" s="19">
        <f>('[1]Short Spot'!AW58-'[1]Short Spot'!AW57)*100</f>
        <v>-0.26969178974862729</v>
      </c>
      <c r="AX57" s="19">
        <f>('[1]Short Spot'!AX58-'[1]Short Spot'!AX57)*100</f>
        <v>-0.25898448257875017</v>
      </c>
      <c r="AY57" s="19">
        <f>('[1]Short Spot'!AY58-'[1]Short Spot'!AY57)*100</f>
        <v>-0.24877706351009721</v>
      </c>
      <c r="AZ57" s="19">
        <f>('[1]Short Spot'!AZ58-'[1]Short Spot'!AZ57)*100</f>
        <v>-0.23905406835016407</v>
      </c>
      <c r="BA57" s="19">
        <f>('[1]Short Spot'!BA58-'[1]Short Spot'!BA57)*100</f>
        <v>-0.22979973119960917</v>
      </c>
      <c r="BB57" s="19">
        <f>('[1]Short Spot'!BB58-'[1]Short Spot'!BB57)*100</f>
        <v>-0.22099797482715289</v>
      </c>
      <c r="BC57" s="19">
        <f>('[1]Short Spot'!BC58-'[1]Short Spot'!BC57)*100</f>
        <v>-0.21263241969311508</v>
      </c>
      <c r="BD57" s="19">
        <f>('[1]Short Spot'!BD58-'[1]Short Spot'!BD57)*100</f>
        <v>-0.20468698564721777</v>
      </c>
      <c r="BE57" s="19">
        <f>('[1]Short Spot'!BE58-'[1]Short Spot'!BE57)*100</f>
        <v>-0.19714604866249985</v>
      </c>
      <c r="BF57" s="19">
        <f>('[1]Short Spot'!BF58-'[1]Short Spot'!BF57)*100</f>
        <v>-0.18999440119218391</v>
      </c>
      <c r="BG57" s="19">
        <f>('[1]Short Spot'!BG58-'[1]Short Spot'!BG57)*100</f>
        <v>-0.18321721626728404</v>
      </c>
      <c r="BH57" s="19">
        <f>('[1]Short Spot'!BH58-'[1]Short Spot'!BH57)*100</f>
        <v>-0.17680001524267297</v>
      </c>
      <c r="BI57" s="19">
        <f>('[1]Short Spot'!BI58-'[1]Short Spot'!BI57)*100</f>
        <v>-0.17072861382780857</v>
      </c>
    </row>
    <row r="58" spans="1:61" x14ac:dyDescent="0.2">
      <c r="A58" s="18">
        <v>39163</v>
      </c>
      <c r="B58" s="19">
        <f>('[1]Short Spot'!B59-'[1]Short Spot'!B58)*100</f>
        <v>0.68362348422086328</v>
      </c>
      <c r="C58" s="19">
        <f>('[1]Short Spot'!C59-'[1]Short Spot'!C58)*100</f>
        <v>1.5406548069933912</v>
      </c>
      <c r="D58" s="19">
        <f>('[1]Short Spot'!D59-'[1]Short Spot'!D58)*100</f>
        <v>1.9874139585533079</v>
      </c>
      <c r="E58" s="19">
        <f>('[1]Short Spot'!E59-'[1]Short Spot'!E58)*100</f>
        <v>2.2412579692961287</v>
      </c>
      <c r="F58" s="19">
        <f>('[1]Short Spot'!F59-'[1]Short Spot'!F58)*100</f>
        <v>2.3650643211908573</v>
      </c>
      <c r="G58" s="19">
        <f>('[1]Short Spot'!G59-'[1]Short Spot'!G58)*100</f>
        <v>2.4221198067230887</v>
      </c>
      <c r="H58" s="19">
        <f>('[1]Short Spot'!H59-'[1]Short Spot'!H58)*100</f>
        <v>2.4492624094370363</v>
      </c>
      <c r="I58" s="19">
        <f>('[1]Short Spot'!I59-'[1]Short Spot'!I58)*100</f>
        <v>2.4657408163403005</v>
      </c>
      <c r="J58" s="19">
        <f>('[1]Short Spot'!J59-'[1]Short Spot'!J58)*100</f>
        <v>2.4770390223983085</v>
      </c>
      <c r="K58" s="19">
        <f>('[1]Short Spot'!K59-'[1]Short Spot'!K58)*100</f>
        <v>2.4819777210709937</v>
      </c>
      <c r="L58" s="19">
        <f>('[1]Short Spot'!L59-'[1]Short Spot'!L58)*100</f>
        <v>2.4791102418629585</v>
      </c>
      <c r="M58" s="19">
        <f>('[1]Short Spot'!M59-'[1]Short Spot'!M58)*100</f>
        <v>2.4674729364749126</v>
      </c>
      <c r="N58" s="19">
        <f>('[1]Short Spot'!N59-'[1]Short Spot'!N58)*100</f>
        <v>2.4467332841447309</v>
      </c>
      <c r="O58" s="19">
        <f>('[1]Short Spot'!O59-'[1]Short Spot'!O58)*100</f>
        <v>2.4175263825403803</v>
      </c>
      <c r="P58" s="19">
        <f>('[1]Short Spot'!P59-'[1]Short Spot'!P58)*100</f>
        <v>2.3807941962551205</v>
      </c>
      <c r="Q58" s="19">
        <f>('[1]Short Spot'!Q59-'[1]Short Spot'!Q58)*100</f>
        <v>2.3376315017888061</v>
      </c>
      <c r="R58" s="19">
        <f>('[1]Short Spot'!R59-'[1]Short Spot'!R58)*100</f>
        <v>2.289240988143959</v>
      </c>
      <c r="S58" s="19">
        <f>('[1]Short Spot'!S59-'[1]Short Spot'!S58)*100</f>
        <v>2.2369032811313083</v>
      </c>
      <c r="T58" s="19">
        <f>('[1]Short Spot'!T59-'[1]Short Spot'!T58)*100</f>
        <v>2.1819564186576379</v>
      </c>
      <c r="U58" s="19">
        <f>('[1]Short Spot'!U59-'[1]Short Spot'!U58)*100</f>
        <v>2.1257530200907482</v>
      </c>
      <c r="V58" s="19">
        <f>('[1]Short Spot'!V59-'[1]Short Spot'!V58)*100</f>
        <v>2.0694738193596685</v>
      </c>
      <c r="W58" s="19">
        <f>('[1]Short Spot'!W59-'[1]Short Spot'!W58)*100</f>
        <v>2.0140477063045559</v>
      </c>
      <c r="X58" s="19">
        <f>('[1]Short Spot'!X59-'[1]Short Spot'!X58)*100</f>
        <v>1.960200482928709</v>
      </c>
      <c r="Y58" s="19">
        <f>('[1]Short Spot'!Y59-'[1]Short Spot'!Y58)*100</f>
        <v>1.9084974880667183</v>
      </c>
      <c r="Z58" s="19">
        <f>('[1]Short Spot'!Z59-'[1]Short Spot'!Z58)*100</f>
        <v>1.8593778373054981</v>
      </c>
      <c r="AA58" s="19">
        <f>('[1]Short Spot'!AA59-'[1]Short Spot'!AA58)*100</f>
        <v>1.8131707908958461</v>
      </c>
      <c r="AB58" s="19">
        <f>('[1]Short Spot'!AB59-'[1]Short Spot'!AB58)*100</f>
        <v>1.7701106996827143</v>
      </c>
      <c r="AC58" s="19">
        <f>('[1]Short Spot'!AC59-'[1]Short Spot'!AC58)*100</f>
        <v>1.7303538489886527</v>
      </c>
      <c r="AD58" s="19">
        <f>('[1]Short Spot'!AD59-'[1]Short Spot'!AD58)*100</f>
        <v>1.6939919181871765</v>
      </c>
      <c r="AE58" s="19">
        <f>('[1]Short Spot'!AE59-'[1]Short Spot'!AE58)*100</f>
        <v>1.6610627483219176</v>
      </c>
      <c r="AF58" s="19">
        <f>('[1]Short Spot'!AF59-'[1]Short Spot'!AF58)*100</f>
        <v>1.6315564058177578</v>
      </c>
      <c r="AG58" s="19">
        <f>('[1]Short Spot'!AG59-'[1]Short Spot'!AG58)*100</f>
        <v>1.6053994757435852</v>
      </c>
      <c r="AH58" s="19">
        <f>('[1]Short Spot'!AH59-'[1]Short Spot'!AH58)*100</f>
        <v>1.5824452526602251</v>
      </c>
      <c r="AI58" s="19">
        <f>('[1]Short Spot'!AI59-'[1]Short Spot'!AI58)*100</f>
        <v>1.5624947687696178</v>
      </c>
      <c r="AJ58" s="19">
        <f>('[1]Short Spot'!AJ59-'[1]Short Spot'!AJ58)*100</f>
        <v>1.5453517202742795</v>
      </c>
      <c r="AK58" s="19">
        <f>('[1]Short Spot'!AK59-'[1]Short Spot'!AK58)*100</f>
        <v>1.5308428995525425</v>
      </c>
      <c r="AL58" s="19">
        <f>('[1]Short Spot'!AL59-'[1]Short Spot'!AL58)*100</f>
        <v>1.5188155975690343</v>
      </c>
      <c r="AM58" s="19">
        <f>('[1]Short Spot'!AM59-'[1]Short Spot'!AM58)*100</f>
        <v>1.5091349066906901</v>
      </c>
      <c r="AN58" s="19">
        <f>('[1]Short Spot'!AN59-'[1]Short Spot'!AN58)*100</f>
        <v>1.5016814408248536</v>
      </c>
      <c r="AO58" s="19">
        <f>('[1]Short Spot'!AO59-'[1]Short Spot'!AO58)*100</f>
        <v>1.4963492325361649</v>
      </c>
      <c r="AP58" s="19">
        <f>('[1]Short Spot'!AP59-'[1]Short Spot'!AP58)*100</f>
        <v>1.4930425919970958</v>
      </c>
      <c r="AQ58" s="19">
        <f>('[1]Short Spot'!AQ59-'[1]Short Spot'!AQ58)*100</f>
        <v>1.4916738583631073</v>
      </c>
      <c r="AR58" s="19">
        <f>('[1]Short Spot'!AR59-'[1]Short Spot'!AR58)*100</f>
        <v>1.4921624208840356</v>
      </c>
      <c r="AS58" s="19">
        <f>('[1]Short Spot'!AS59-'[1]Short Spot'!AS58)*100</f>
        <v>1.4944339177567656</v>
      </c>
      <c r="AT58" s="19">
        <f>('[1]Short Spot'!AT59-'[1]Short Spot'!AT58)*100</f>
        <v>1.4984195548575663</v>
      </c>
      <c r="AU58" s="19">
        <f>('[1]Short Spot'!AU59-'[1]Short Spot'!AU58)*100</f>
        <v>1.5040559446455326</v>
      </c>
      <c r="AV58" s="19">
        <f>('[1]Short Spot'!AV59-'[1]Short Spot'!AV58)*100</f>
        <v>1.5112850415151868</v>
      </c>
      <c r="AW58" s="19">
        <f>('[1]Short Spot'!AW59-'[1]Short Spot'!AW58)*100</f>
        <v>1.5200534492170625</v>
      </c>
      <c r="AX58" s="19">
        <f>('[1]Short Spot'!AX59-'[1]Short Spot'!AX58)*100</f>
        <v>1.5303119329501236</v>
      </c>
      <c r="AY58" s="19">
        <f>('[1]Short Spot'!AY59-'[1]Short Spot'!AY58)*100</f>
        <v>1.5420150032183777</v>
      </c>
      <c r="AZ58" s="19">
        <f>('[1]Short Spot'!AZ59-'[1]Short Spot'!AZ58)*100</f>
        <v>1.5551205486429076</v>
      </c>
      <c r="BA58" s="19">
        <f>('[1]Short Spot'!BA59-'[1]Short Spot'!BA58)*100</f>
        <v>1.5695895111440983</v>
      </c>
      <c r="BB58" s="19">
        <f>('[1]Short Spot'!BB59-'[1]Short Spot'!BB58)*100</f>
        <v>1.5853855571623221</v>
      </c>
      <c r="BC58" s="19">
        <f>('[1]Short Spot'!BC59-'[1]Short Spot'!BC58)*100</f>
        <v>1.6024736091413416</v>
      </c>
      <c r="BD58" s="19">
        <f>('[1]Short Spot'!BD59-'[1]Short Spot'!BD58)*100</f>
        <v>1.6208176514735939</v>
      </c>
      <c r="BE58" s="19">
        <f>('[1]Short Spot'!BE59-'[1]Short Spot'!BE58)*100</f>
        <v>1.6403804679129053</v>
      </c>
      <c r="BF58" s="19">
        <f>('[1]Short Spot'!BF59-'[1]Short Spot'!BF58)*100</f>
        <v>1.6611237467014206</v>
      </c>
      <c r="BG58" s="19">
        <f>('[1]Short Spot'!BG59-'[1]Short Spot'!BG58)*100</f>
        <v>1.6830081750102366</v>
      </c>
      <c r="BH58" s="19">
        <f>('[1]Short Spot'!BH59-'[1]Short Spot'!BH58)*100</f>
        <v>1.7059935237751844</v>
      </c>
      <c r="BI58" s="19">
        <f>('[1]Short Spot'!BI59-'[1]Short Spot'!BI58)*100</f>
        <v>1.7300387315912324</v>
      </c>
    </row>
    <row r="59" spans="1:61" x14ac:dyDescent="0.2">
      <c r="A59" s="18">
        <v>39164</v>
      </c>
      <c r="B59" s="19">
        <f>('[1]Short Spot'!B60-'[1]Short Spot'!B59)*100</f>
        <v>1.0547003132076682</v>
      </c>
      <c r="C59" s="19">
        <f>('[1]Short Spot'!C60-'[1]Short Spot'!C59)*100</f>
        <v>0.54598416161795171</v>
      </c>
      <c r="D59" s="19">
        <f>('[1]Short Spot'!D60-'[1]Short Spot'!D59)*100</f>
        <v>8.6727042971013191E-2</v>
      </c>
      <c r="E59" s="19">
        <f>('[1]Short Spot'!E60-'[1]Short Spot'!E59)*100</f>
        <v>-0.14025554911860638</v>
      </c>
      <c r="F59" s="19">
        <f>('[1]Short Spot'!F60-'[1]Short Spot'!F59)*100</f>
        <v>-0.19557057476617956</v>
      </c>
      <c r="G59" s="19">
        <f>('[1]Short Spot'!G60-'[1]Short Spot'!G59)*100</f>
        <v>-0.15245133344361506</v>
      </c>
      <c r="H59" s="19">
        <f>('[1]Short Spot'!H60-'[1]Short Spot'!H59)*100</f>
        <v>-5.7904747836889925E-2</v>
      </c>
      <c r="I59" s="19">
        <f>('[1]Short Spot'!I60-'[1]Short Spot'!I59)*100</f>
        <v>5.8836901330838742E-2</v>
      </c>
      <c r="J59" s="19">
        <f>('[1]Short Spot'!J60-'[1]Short Spot'!J59)*100</f>
        <v>0.18615885200228277</v>
      </c>
      <c r="K59" s="19">
        <f>('[1]Short Spot'!K60-'[1]Short Spot'!K59)*100</f>
        <v>0.31989774950273997</v>
      </c>
      <c r="L59" s="19">
        <f>('[1]Short Spot'!L60-'[1]Short Spot'!L59)*100</f>
        <v>0.45809762249833241</v>
      </c>
      <c r="M59" s="19">
        <f>('[1]Short Spot'!M60-'[1]Short Spot'!M59)*100</f>
        <v>0.59993271144165305</v>
      </c>
      <c r="N59" s="19">
        <f>('[1]Short Spot'!N60-'[1]Short Spot'!N59)*100</f>
        <v>0.74478375810622666</v>
      </c>
      <c r="O59" s="19">
        <f>('[1]Short Spot'!O60-'[1]Short Spot'!O59)*100</f>
        <v>0.89171770364488978</v>
      </c>
      <c r="P59" s="19">
        <f>('[1]Short Spot'!P60-'[1]Short Spot'!P59)*100</f>
        <v>1.0397453747888363</v>
      </c>
      <c r="Q59" s="19">
        <f>('[1]Short Spot'!Q60-'[1]Short Spot'!Q59)*100</f>
        <v>1.1878910815089405</v>
      </c>
      <c r="R59" s="19">
        <f>('[1]Short Spot'!R60-'[1]Short Spot'!R59)*100</f>
        <v>1.3351886918400169</v>
      </c>
      <c r="S59" s="19">
        <f>('[1]Short Spot'!S60-'[1]Short Spot'!S59)*100</f>
        <v>1.4806789768624817</v>
      </c>
      <c r="T59" s="19">
        <f>('[1]Short Spot'!T60-'[1]Short Spot'!T59)*100</f>
        <v>1.6234079011370639</v>
      </c>
      <c r="U59" s="19">
        <f>('[1]Short Spot'!U60-'[1]Short Spot'!U59)*100</f>
        <v>1.7624579875564095</v>
      </c>
      <c r="V59" s="19">
        <f>('[1]Short Spot'!V60-'[1]Short Spot'!V59)*100</f>
        <v>1.8970890058183087</v>
      </c>
      <c r="W59" s="19">
        <f>('[1]Short Spot'!W60-'[1]Short Spot'!W59)*100</f>
        <v>2.0267704249778973</v>
      </c>
      <c r="X59" s="19">
        <f>('[1]Short Spot'!X60-'[1]Short Spot'!X59)*100</f>
        <v>2.1511380925556267</v>
      </c>
      <c r="Y59" s="19">
        <f>('[1]Short Spot'!Y60-'[1]Short Spot'!Y59)*100</f>
        <v>2.2699610198055886</v>
      </c>
      <c r="Z59" s="19">
        <f>('[1]Short Spot'!Z60-'[1]Short Spot'!Z59)*100</f>
        <v>2.3831277995388866</v>
      </c>
      <c r="AA59" s="19">
        <f>('[1]Short Spot'!AA60-'[1]Short Spot'!AA59)*100</f>
        <v>2.490613461309632</v>
      </c>
      <c r="AB59" s="19">
        <f>('[1]Short Spot'!AB60-'[1]Short Spot'!AB59)*100</f>
        <v>2.5924527366653294</v>
      </c>
      <c r="AC59" s="19">
        <f>('[1]Short Spot'!AC60-'[1]Short Spot'!AC59)*100</f>
        <v>2.6887292327674395</v>
      </c>
      <c r="AD59" s="19">
        <f>('[1]Short Spot'!AD60-'[1]Short Spot'!AD59)*100</f>
        <v>2.7795670055613897</v>
      </c>
      <c r="AE59" s="19">
        <f>('[1]Short Spot'!AE60-'[1]Short Spot'!AE59)*100</f>
        <v>2.865123821059079</v>
      </c>
      <c r="AF59" s="19">
        <f>('[1]Short Spot'!AF60-'[1]Short Spot'!AF59)*100</f>
        <v>2.9455894110509639</v>
      </c>
      <c r="AG59" s="19">
        <f>('[1]Short Spot'!AG60-'[1]Short Spot'!AG59)*100</f>
        <v>3.0212033813916683</v>
      </c>
      <c r="AH59" s="19">
        <f>('[1]Short Spot'!AH60-'[1]Short Spot'!AH59)*100</f>
        <v>3.0922620790112099</v>
      </c>
      <c r="AI59" s="19">
        <f>('[1]Short Spot'!AI60-'[1]Short Spot'!AI59)*100</f>
        <v>3.1590986663116105</v>
      </c>
      <c r="AJ59" s="19">
        <f>('[1]Short Spot'!AJ60-'[1]Short Spot'!AJ59)*100</f>
        <v>3.2220282278563772</v>
      </c>
      <c r="AK59" s="19">
        <f>('[1]Short Spot'!AK60-'[1]Short Spot'!AK59)*100</f>
        <v>3.2813286164794064</v>
      </c>
      <c r="AL59" s="19">
        <f>('[1]Short Spot'!AL60-'[1]Short Spot'!AL59)*100</f>
        <v>3.3372449423485939</v>
      </c>
      <c r="AM59" s="19">
        <f>('[1]Short Spot'!AM60-'[1]Short Spot'!AM59)*100</f>
        <v>3.3899938812114172</v>
      </c>
      <c r="AN59" s="19">
        <f>('[1]Short Spot'!AN60-'[1]Short Spot'!AN59)*100</f>
        <v>3.4397673406330043</v>
      </c>
      <c r="AO59" s="19">
        <f>('[1]Short Spot'!AO60-'[1]Short Spot'!AO59)*100</f>
        <v>3.4867363407601992</v>
      </c>
      <c r="AP59" s="19">
        <f>('[1]Short Spot'!AP60-'[1]Short Spot'!AP59)*100</f>
        <v>3.5310541413687169</v>
      </c>
      <c r="AQ59" s="19">
        <f>('[1]Short Spot'!AQ60-'[1]Short Spot'!AQ59)*100</f>
        <v>3.5728577415596874</v>
      </c>
      <c r="AR59" s="19">
        <f>('[1]Short Spot'!AR60-'[1]Short Spot'!AR59)*100</f>
        <v>3.6122697219923339</v>
      </c>
      <c r="AS59" s="19">
        <f>('[1]Short Spot'!AS60-'[1]Short Spot'!AS59)*100</f>
        <v>3.6493998833433849</v>
      </c>
      <c r="AT59" s="19">
        <f>('[1]Short Spot'!AT60-'[1]Short Spot'!AT59)*100</f>
        <v>3.6843467168767852</v>
      </c>
      <c r="AU59" s="19">
        <f>('[1]Short Spot'!AU60-'[1]Short Spot'!AU59)*100</f>
        <v>3.7171995042384331</v>
      </c>
      <c r="AV59" s="19">
        <f>('[1]Short Spot'!AV60-'[1]Short Spot'!AV59)*100</f>
        <v>3.7480389780431445</v>
      </c>
      <c r="AW59" s="19">
        <f>('[1]Short Spot'!AW60-'[1]Short Spot'!AW59)*100</f>
        <v>3.776937277930692</v>
      </c>
      <c r="AX59" s="19">
        <f>('[1]Short Spot'!AX60-'[1]Short Spot'!AX59)*100</f>
        <v>3.8039587932903629</v>
      </c>
      <c r="AY59" s="19">
        <f>('[1]Short Spot'!AY60-'[1]Short Spot'!AY59)*100</f>
        <v>3.8291609382854475</v>
      </c>
      <c r="AZ59" s="19">
        <f>('[1]Short Spot'!AZ60-'[1]Short Spot'!AZ59)*100</f>
        <v>3.8525948356990192</v>
      </c>
      <c r="BA59" s="19">
        <f>('[1]Short Spot'!BA60-'[1]Short Spot'!BA59)*100</f>
        <v>3.8743059218744769</v>
      </c>
      <c r="BB59" s="19">
        <f>('[1]Short Spot'!BB60-'[1]Short Spot'!BB59)*100</f>
        <v>3.8943348267476807</v>
      </c>
      <c r="BC59" s="19">
        <f>('[1]Short Spot'!BC60-'[1]Short Spot'!BC59)*100</f>
        <v>3.9127204096092605</v>
      </c>
      <c r="BD59" s="19">
        <f>('[1]Short Spot'!BD60-'[1]Short Spot'!BD59)*100</f>
        <v>3.9295013654664146</v>
      </c>
      <c r="BE59" s="19">
        <f>('[1]Short Spot'!BE60-'[1]Short Spot'!BE59)*100</f>
        <v>3.9447161956426946</v>
      </c>
      <c r="BF59" s="19">
        <f>('[1]Short Spot'!BF60-'[1]Short Spot'!BF59)*100</f>
        <v>3.9584032246980705</v>
      </c>
      <c r="BG59" s="19">
        <f>('[1]Short Spot'!BG60-'[1]Short Spot'!BG59)*100</f>
        <v>3.9706006156671414</v>
      </c>
      <c r="BH59" s="19">
        <f>('[1]Short Spot'!BH60-'[1]Short Spot'!BH59)*100</f>
        <v>3.9813463837493401</v>
      </c>
      <c r="BI59" s="19">
        <f>('[1]Short Spot'!BI60-'[1]Short Spot'!BI59)*100</f>
        <v>3.9906785726255833</v>
      </c>
    </row>
    <row r="60" spans="1:61" x14ac:dyDescent="0.2">
      <c r="A60" s="18">
        <v>39167</v>
      </c>
      <c r="B60" s="19">
        <f>('[1]Short Spot'!B61-'[1]Short Spot'!B60)*100</f>
        <v>3.575988218535997E-2</v>
      </c>
      <c r="C60" s="19">
        <f>('[1]Short Spot'!C61-'[1]Short Spot'!C60)*100</f>
        <v>1.0005865603083919</v>
      </c>
      <c r="D60" s="19">
        <f>('[1]Short Spot'!D61-'[1]Short Spot'!D60)*100</f>
        <v>1.4304038045530376</v>
      </c>
      <c r="E60" s="19">
        <f>('[1]Short Spot'!E61-'[1]Short Spot'!E60)*100</f>
        <v>1.5184898248982392</v>
      </c>
      <c r="F60" s="19">
        <f>('[1]Short Spot'!F61-'[1]Short Spot'!F60)*100</f>
        <v>1.3964151489957999</v>
      </c>
      <c r="G60" s="19">
        <f>('[1]Short Spot'!G61-'[1]Short Spot'!G60)*100</f>
        <v>1.1990074847053833</v>
      </c>
      <c r="H60" s="19">
        <f>('[1]Short Spot'!H61-'[1]Short Spot'!H60)*100</f>
        <v>0.99954012596485953</v>
      </c>
      <c r="I60" s="19">
        <f>('[1]Short Spot'!I61-'[1]Short Spot'!I60)*100</f>
        <v>0.83364176321651939</v>
      </c>
      <c r="J60" s="19">
        <f>('[1]Short Spot'!J61-'[1]Short Spot'!J60)*100</f>
        <v>0.70854094565726555</v>
      </c>
      <c r="K60" s="19">
        <f>('[1]Short Spot'!K61-'[1]Short Spot'!K60)*100</f>
        <v>0.6178444632348068</v>
      </c>
      <c r="L60" s="19">
        <f>('[1]Short Spot'!L61-'[1]Short Spot'!L60)*100</f>
        <v>0.55360533165211834</v>
      </c>
      <c r="M60" s="19">
        <f>('[1]Short Spot'!M61-'[1]Short Spot'!M60)*100</f>
        <v>0.50913913601515759</v>
      </c>
      <c r="N60" s="19">
        <f>('[1]Short Spot'!N61-'[1]Short Spot'!N60)*100</f>
        <v>0.47926325710445639</v>
      </c>
      <c r="O60" s="19">
        <f>('[1]Short Spot'!O61-'[1]Short Spot'!O60)*100</f>
        <v>0.4604171419248182</v>
      </c>
      <c r="P60" s="19">
        <f>('[1]Short Spot'!P61-'[1]Short Spot'!P60)*100</f>
        <v>0.4499657058913975</v>
      </c>
      <c r="Q60" s="19">
        <f>('[1]Short Spot'!Q61-'[1]Short Spot'!Q60)*100</f>
        <v>0.44591823524848806</v>
      </c>
      <c r="R60" s="19">
        <f>('[1]Short Spot'!R61-'[1]Short Spot'!R60)*100</f>
        <v>0.44673888345378998</v>
      </c>
      <c r="S60" s="19">
        <f>('[1]Short Spot'!S61-'[1]Short Spot'!S60)*100</f>
        <v>0.4512203191741726</v>
      </c>
      <c r="T60" s="19">
        <f>('[1]Short Spot'!T61-'[1]Short Spot'!T60)*100</f>
        <v>0.45839734851744751</v>
      </c>
      <c r="U60" s="19">
        <f>('[1]Short Spot'!U61-'[1]Short Spot'!U60)*100</f>
        <v>0.46749402188632772</v>
      </c>
      <c r="V60" s="19">
        <f>('[1]Short Spot'!V61-'[1]Short Spot'!V60)*100</f>
        <v>0.47789904857360455</v>
      </c>
      <c r="W60" s="19">
        <f>('[1]Short Spot'!W61-'[1]Short Spot'!W60)*100</f>
        <v>0.48913250954285559</v>
      </c>
      <c r="X60" s="19">
        <f>('[1]Short Spot'!X61-'[1]Short Spot'!X60)*100</f>
        <v>0.50081712641842913</v>
      </c>
      <c r="Y60" s="19">
        <f>('[1]Short Spot'!Y61-'[1]Short Spot'!Y60)*100</f>
        <v>0.51265753285383298</v>
      </c>
      <c r="Z60" s="19">
        <f>('[1]Short Spot'!Z61-'[1]Short Spot'!Z60)*100</f>
        <v>0.52442900632865275</v>
      </c>
      <c r="AA60" s="19">
        <f>('[1]Short Spot'!AA61-'[1]Short Spot'!AA60)*100</f>
        <v>0.53596122787205047</v>
      </c>
      <c r="AB60" s="19">
        <f>('[1]Short Spot'!AB61-'[1]Short Spot'!AB60)*100</f>
        <v>0.54712533167995403</v>
      </c>
      <c r="AC60" s="19">
        <f>('[1]Short Spot'!AC61-'[1]Short Spot'!AC60)*100</f>
        <v>0.5578264757278184</v>
      </c>
      <c r="AD60" s="19">
        <f>('[1]Short Spot'!AD61-'[1]Short Spot'!AD60)*100</f>
        <v>0.5679979756017417</v>
      </c>
      <c r="AE60" s="19">
        <f>('[1]Short Spot'!AE61-'[1]Short Spot'!AE60)*100</f>
        <v>0.57759661298719678</v>
      </c>
      <c r="AF60" s="19">
        <f>('[1]Short Spot'!AF61-'[1]Short Spot'!AF60)*100</f>
        <v>0.58659852153191139</v>
      </c>
      <c r="AG60" s="19">
        <f>('[1]Short Spot'!AG61-'[1]Short Spot'!AG60)*100</f>
        <v>0.59499241591938201</v>
      </c>
      <c r="AH60" s="19">
        <f>('[1]Short Spot'!AH61-'[1]Short Spot'!AH60)*100</f>
        <v>0.60277447666337025</v>
      </c>
      <c r="AI60" s="19">
        <f>('[1]Short Spot'!AI61-'[1]Short Spot'!AI60)*100</f>
        <v>0.60994689810671687</v>
      </c>
      <c r="AJ60" s="19">
        <f>('[1]Short Spot'!AJ61-'[1]Short Spot'!AJ60)*100</f>
        <v>0.61651670414004656</v>
      </c>
      <c r="AK60" s="19">
        <f>('[1]Short Spot'!AK61-'[1]Short Spot'!AK60)*100</f>
        <v>0.62249500631006427</v>
      </c>
      <c r="AL60" s="19">
        <f>('[1]Short Spot'!AL61-'[1]Short Spot'!AL60)*100</f>
        <v>0.62789645171710262</v>
      </c>
      <c r="AM60" s="19">
        <f>('[1]Short Spot'!AM61-'[1]Short Spot'!AM60)*100</f>
        <v>0.63273875781186817</v>
      </c>
      <c r="AN60" s="19">
        <f>('[1]Short Spot'!AN61-'[1]Short Spot'!AN60)*100</f>
        <v>0.63704232400585425</v>
      </c>
      <c r="AO60" s="19">
        <f>('[1]Short Spot'!AO61-'[1]Short Spot'!AO60)*100</f>
        <v>0.64082975026718003</v>
      </c>
      <c r="AP60" s="19">
        <f>('[1]Short Spot'!AP61-'[1]Short Spot'!AP60)*100</f>
        <v>0.64412440177763486</v>
      </c>
      <c r="AQ60" s="19">
        <f>('[1]Short Spot'!AQ61-'[1]Short Spot'!AQ60)*100</f>
        <v>0.64694968283784959</v>
      </c>
      <c r="AR60" s="19">
        <f>('[1]Short Spot'!AR61-'[1]Short Spot'!AR60)*100</f>
        <v>0.64932901490362127</v>
      </c>
      <c r="AS60" s="19">
        <f>('[1]Short Spot'!AS61-'[1]Short Spot'!AS60)*100</f>
        <v>0.6512858346369832</v>
      </c>
      <c r="AT60" s="19">
        <f>('[1]Short Spot'!AT61-'[1]Short Spot'!AT60)*100</f>
        <v>0.6528436118408365</v>
      </c>
      <c r="AU60" s="19">
        <f>('[1]Short Spot'!AU61-'[1]Short Spot'!AU60)*100</f>
        <v>0.65402598719552785</v>
      </c>
      <c r="AV60" s="19">
        <f>('[1]Short Spot'!AV61-'[1]Short Spot'!AV60)*100</f>
        <v>0.65485623059702291</v>
      </c>
      <c r="AW60" s="19">
        <f>('[1]Short Spot'!AW61-'[1]Short Spot'!AW60)*100</f>
        <v>0.65535690913014477</v>
      </c>
      <c r="AX60" s="19">
        <f>('[1]Short Spot'!AX61-'[1]Short Spot'!AX60)*100</f>
        <v>0.65554995122543147</v>
      </c>
      <c r="AY60" s="19">
        <f>('[1]Short Spot'!AY61-'[1]Short Spot'!AY60)*100</f>
        <v>0.65545671052458232</v>
      </c>
      <c r="AZ60" s="19">
        <f>('[1]Short Spot'!AZ61-'[1]Short Spot'!AZ60)*100</f>
        <v>0.65509802223173708</v>
      </c>
      <c r="BA60" s="19">
        <f>('[1]Short Spot'!BA61-'[1]Short Spot'!BA60)*100</f>
        <v>0.65449425296408847</v>
      </c>
      <c r="BB60" s="19">
        <f>('[1]Short Spot'!BB61-'[1]Short Spot'!BB60)*100</f>
        <v>0.65366541380740273</v>
      </c>
      <c r="BC60" s="19">
        <f>('[1]Short Spot'!BC61-'[1]Short Spot'!BC60)*100</f>
        <v>0.6526312165954451</v>
      </c>
      <c r="BD60" s="19">
        <f>('[1]Short Spot'!BD61-'[1]Short Spot'!BD60)*100</f>
        <v>0.65141060698934439</v>
      </c>
      <c r="BE60" s="19">
        <f>('[1]Short Spot'!BE61-'[1]Short Spot'!BE60)*100</f>
        <v>0.65002172864909724</v>
      </c>
      <c r="BF60" s="19">
        <f>('[1]Short Spot'!BF61-'[1]Short Spot'!BF60)*100</f>
        <v>0.64848199358289449</v>
      </c>
      <c r="BG60" s="19">
        <f>('[1]Short Spot'!BG61-'[1]Short Spot'!BG60)*100</f>
        <v>0.64680814522137808</v>
      </c>
      <c r="BH60" s="19">
        <f>('[1]Short Spot'!BH61-'[1]Short Spot'!BH60)*100</f>
        <v>0.64501631508626645</v>
      </c>
      <c r="BI60" s="19">
        <f>('[1]Short Spot'!BI61-'[1]Short Spot'!BI60)*100</f>
        <v>0.6431221127569664</v>
      </c>
    </row>
    <row r="61" spans="1:61" x14ac:dyDescent="0.2">
      <c r="A61" s="18">
        <v>39168</v>
      </c>
      <c r="B61" s="19">
        <f>('[1]Short Spot'!B62-'[1]Short Spot'!B61)*100</f>
        <v>3.8505860060134012E-2</v>
      </c>
      <c r="C61" s="19">
        <f>('[1]Short Spot'!C62-'[1]Short Spot'!C61)*100</f>
        <v>0.14052373548816277</v>
      </c>
      <c r="D61" s="19">
        <f>('[1]Short Spot'!D62-'[1]Short Spot'!D61)*100</f>
        <v>0.25712899782162069</v>
      </c>
      <c r="E61" s="19">
        <f>('[1]Short Spot'!E62-'[1]Short Spot'!E61)*100</f>
        <v>0.3746526245691939</v>
      </c>
      <c r="F61" s="19">
        <f>('[1]Short Spot'!F62-'[1]Short Spot'!F61)*100</f>
        <v>0.47485649023286669</v>
      </c>
      <c r="G61" s="19">
        <f>('[1]Short Spot'!G62-'[1]Short Spot'!G61)*100</f>
        <v>0.559431271386579</v>
      </c>
      <c r="H61" s="19">
        <f>('[1]Short Spot'!H62-'[1]Short Spot'!H61)*100</f>
        <v>0.62781277416767978</v>
      </c>
      <c r="I61" s="19">
        <f>('[1]Short Spot'!I62-'[1]Short Spot'!I61)*100</f>
        <v>0.68077400229924478</v>
      </c>
      <c r="J61" s="19">
        <f>('[1]Short Spot'!J62-'[1]Short Spot'!J61)*100</f>
        <v>0.72252946967354958</v>
      </c>
      <c r="K61" s="19">
        <f>('[1]Short Spot'!K62-'[1]Short Spot'!K61)*100</f>
        <v>0.75839524707408401</v>
      </c>
      <c r="L61" s="19">
        <f>('[1]Short Spot'!L62-'[1]Short Spot'!L61)*100</f>
        <v>0.7926182946988547</v>
      </c>
      <c r="M61" s="19">
        <f>('[1]Short Spot'!M62-'[1]Short Spot'!M61)*100</f>
        <v>0.82755596451571378</v>
      </c>
      <c r="N61" s="19">
        <f>('[1]Short Spot'!N62-'[1]Short Spot'!N61)*100</f>
        <v>0.86402361406952011</v>
      </c>
      <c r="O61" s="19">
        <f>('[1]Short Spot'!O62-'[1]Short Spot'!O61)*100</f>
        <v>0.90195392201595226</v>
      </c>
      <c r="P61" s="19">
        <f>('[1]Short Spot'!P62-'[1]Short Spot'!P61)*100</f>
        <v>0.94118088402037614</v>
      </c>
      <c r="Q61" s="19">
        <f>('[1]Short Spot'!Q62-'[1]Short Spot'!Q61)*100</f>
        <v>0.981523797578987</v>
      </c>
      <c r="R61" s="19">
        <f>('[1]Short Spot'!R62-'[1]Short Spot'!R61)*100</f>
        <v>1.0227915850607339</v>
      </c>
      <c r="S61" s="19">
        <f>('[1]Short Spot'!S62-'[1]Short Spot'!S61)*100</f>
        <v>1.0647856756881069</v>
      </c>
      <c r="T61" s="19">
        <f>('[1]Short Spot'!T62-'[1]Short Spot'!T61)*100</f>
        <v>1.1073021034209596</v>
      </c>
      <c r="U61" s="19">
        <f>('[1]Short Spot'!U62-'[1]Short Spot'!U61)*100</f>
        <v>1.150144313925594</v>
      </c>
      <c r="V61" s="19">
        <f>('[1]Short Spot'!V62-'[1]Short Spot'!V61)*100</f>
        <v>1.1931527959388788</v>
      </c>
      <c r="W61" s="19">
        <f>('[1]Short Spot'!W62-'[1]Short Spot'!W61)*100</f>
        <v>1.2362044105191927</v>
      </c>
      <c r="X61" s="19">
        <f>('[1]Short Spot'!X62-'[1]Short Spot'!X61)*100</f>
        <v>1.2792043909773732</v>
      </c>
      <c r="Y61" s="19">
        <f>('[1]Short Spot'!Y62-'[1]Short Spot'!Y61)*100</f>
        <v>1.322081026414601</v>
      </c>
      <c r="Z61" s="19">
        <f>('[1]Short Spot'!Z62-'[1]Short Spot'!Z61)*100</f>
        <v>1.3647830179719378</v>
      </c>
      <c r="AA61" s="19">
        <f>('[1]Short Spot'!AA62-'[1]Short Spot'!AA61)*100</f>
        <v>1.4072676676968321</v>
      </c>
      <c r="AB61" s="19">
        <f>('[1]Short Spot'!AB62-'[1]Short Spot'!AB61)*100</f>
        <v>1.4494958109140477</v>
      </c>
      <c r="AC61" s="19">
        <f>('[1]Short Spot'!AC62-'[1]Short Spot'!AC61)*100</f>
        <v>1.4914311662330704</v>
      </c>
      <c r="AD61" s="19">
        <f>('[1]Short Spot'!AD62-'[1]Short Spot'!AD61)*100</f>
        <v>1.5330398384290511</v>
      </c>
      <c r="AE61" s="19">
        <f>('[1]Short Spot'!AE62-'[1]Short Spot'!AE61)*100</f>
        <v>1.5742899238055053</v>
      </c>
      <c r="AF61" s="19">
        <f>('[1]Short Spot'!AF62-'[1]Short Spot'!AF61)*100</f>
        <v>1.615151607186327</v>
      </c>
      <c r="AG61" s="19">
        <f>('[1]Short Spot'!AG62-'[1]Short Spot'!AG61)*100</f>
        <v>1.6555974832344056</v>
      </c>
      <c r="AH61" s="19">
        <f>('[1]Short Spot'!AH62-'[1]Short Spot'!AH61)*100</f>
        <v>1.6956017732420392</v>
      </c>
      <c r="AI61" s="19">
        <f>('[1]Short Spot'!AI62-'[1]Short Spot'!AI61)*100</f>
        <v>1.7351405172428613</v>
      </c>
      <c r="AJ61" s="19">
        <f>('[1]Short Spot'!AJ62-'[1]Short Spot'!AJ61)*100</f>
        <v>1.7741928201968626</v>
      </c>
      <c r="AK61" s="19">
        <f>('[1]Short Spot'!AK62-'[1]Short Spot'!AK61)*100</f>
        <v>1.8127409204363509</v>
      </c>
      <c r="AL61" s="19">
        <f>('[1]Short Spot'!AL62-'[1]Short Spot'!AL61)*100</f>
        <v>1.8507697728833428</v>
      </c>
      <c r="AM61" s="19">
        <f>('[1]Short Spot'!AM62-'[1]Short Spot'!AM61)*100</f>
        <v>1.8882666916034019</v>
      </c>
      <c r="AN61" s="19">
        <f>('[1]Short Spot'!AN62-'[1]Short Spot'!AN61)*100</f>
        <v>1.9252210585211316</v>
      </c>
      <c r="AO61" s="19">
        <f>('[1]Short Spot'!AO62-'[1]Short Spot'!AO61)*100</f>
        <v>1.9616242904586301</v>
      </c>
      <c r="AP61" s="19">
        <f>('[1]Short Spot'!AP62-'[1]Short Spot'!AP61)*100</f>
        <v>1.9974695791050046</v>
      </c>
      <c r="AQ61" s="19">
        <f>('[1]Short Spot'!AQ62-'[1]Short Spot'!AQ61)*100</f>
        <v>2.0327514666460544</v>
      </c>
      <c r="AR61" s="19">
        <f>('[1]Short Spot'!AR62-'[1]Short Spot'!AR61)*100</f>
        <v>2.0674656798084001</v>
      </c>
      <c r="AS61" s="19">
        <f>('[1]Short Spot'!AS62-'[1]Short Spot'!AS61)*100</f>
        <v>2.1016089952523132</v>
      </c>
      <c r="AT61" s="19">
        <f>('[1]Short Spot'!AT62-'[1]Short Spot'!AT61)*100</f>
        <v>2.1351791490698879</v>
      </c>
      <c r="AU61" s="19">
        <f>('[1]Short Spot'!AU62-'[1]Short Spot'!AU61)*100</f>
        <v>2.1681750165934766</v>
      </c>
      <c r="AV61" s="19">
        <f>('[1]Short Spot'!AV62-'[1]Short Spot'!AV61)*100</f>
        <v>2.2005962913088872</v>
      </c>
      <c r="AW61" s="19">
        <f>('[1]Short Spot'!AW62-'[1]Short Spot'!AW61)*100</f>
        <v>2.2324431384554977</v>
      </c>
      <c r="AX61" s="19">
        <f>('[1]Short Spot'!AX62-'[1]Short Spot'!AX61)*100</f>
        <v>2.2637161416600549</v>
      </c>
      <c r="AY61" s="19">
        <f>('[1]Short Spot'!AY62-'[1]Short Spot'!AY61)*100</f>
        <v>2.2944162610974317</v>
      </c>
      <c r="AZ61" s="19">
        <f>('[1]Short Spot'!AZ62-'[1]Short Spot'!AZ61)*100</f>
        <v>2.3245447965748234</v>
      </c>
      <c r="BA61" s="19">
        <f>('[1]Short Spot'!BA62-'[1]Short Spot'!BA61)*100</f>
        <v>2.3541033548803547</v>
      </c>
      <c r="BB61" s="19">
        <f>('[1]Short Spot'!BB62-'[1]Short Spot'!BB61)*100</f>
        <v>2.3830939296709097</v>
      </c>
      <c r="BC61" s="19">
        <f>('[1]Short Spot'!BC62-'[1]Short Spot'!BC61)*100</f>
        <v>2.4115192043085543</v>
      </c>
      <c r="BD61" s="19">
        <f>('[1]Short Spot'!BD62-'[1]Short Spot'!BD61)*100</f>
        <v>2.4393823024682071</v>
      </c>
      <c r="BE61" s="19">
        <f>('[1]Short Spot'!BE62-'[1]Short Spot'!BE61)*100</f>
        <v>2.4666866803000786</v>
      </c>
      <c r="BF61" s="19">
        <f>('[1]Short Spot'!BF62-'[1]Short Spot'!BF61)*100</f>
        <v>2.4934360972661551</v>
      </c>
      <c r="BG61" s="19">
        <f>('[1]Short Spot'!BG62-'[1]Short Spot'!BG61)*100</f>
        <v>2.5196345899924033</v>
      </c>
      <c r="BH61" s="19">
        <f>('[1]Short Spot'!BH62-'[1]Short Spot'!BH61)*100</f>
        <v>2.5452864488157978</v>
      </c>
      <c r="BI61" s="19">
        <f>('[1]Short Spot'!BI62-'[1]Short Spot'!BI61)*100</f>
        <v>2.5703962615831522</v>
      </c>
    </row>
    <row r="62" spans="1:61" x14ac:dyDescent="0.2">
      <c r="A62" s="18">
        <v>39169</v>
      </c>
      <c r="B62" s="19">
        <f>('[1]Short Spot'!B63-'[1]Short Spot'!B62)*100</f>
        <v>0.17277952042737965</v>
      </c>
      <c r="C62" s="19">
        <f>('[1]Short Spot'!C63-'[1]Short Spot'!C62)*100</f>
        <v>-0.42089710734076746</v>
      </c>
      <c r="D62" s="19">
        <f>('[1]Short Spot'!D63-'[1]Short Spot'!D62)*100</f>
        <v>-0.80826481327038735</v>
      </c>
      <c r="E62" s="19">
        <f>('[1]Short Spot'!E63-'[1]Short Spot'!E62)*100</f>
        <v>-0.98224443514416393</v>
      </c>
      <c r="F62" s="19">
        <f>('[1]Short Spot'!F63-'[1]Short Spot'!F62)*100</f>
        <v>-1.011719329017069</v>
      </c>
      <c r="G62" s="19">
        <f>('[1]Short Spot'!G63-'[1]Short Spot'!G62)*100</f>
        <v>-0.96205408809293402</v>
      </c>
      <c r="H62" s="19">
        <f>('[1]Short Spot'!H63-'[1]Short Spot'!H62)*100</f>
        <v>-0.88195516150806341</v>
      </c>
      <c r="I62" s="19">
        <f>('[1]Short Spot'!I63-'[1]Short Spot'!I62)*100</f>
        <v>-0.80291910742387174</v>
      </c>
      <c r="J62" s="19">
        <f>('[1]Short Spot'!J63-'[1]Short Spot'!J62)*100</f>
        <v>-0.73799535973204655</v>
      </c>
      <c r="K62" s="19">
        <f>('[1]Short Spot'!K63-'[1]Short Spot'!K62)*100</f>
        <v>-0.69171260513236632</v>
      </c>
      <c r="L62" s="19">
        <f>('[1]Short Spot'!L63-'[1]Short Spot'!L62)*100</f>
        <v>-0.66525507751213908</v>
      </c>
      <c r="M62" s="19">
        <f>('[1]Short Spot'!M63-'[1]Short Spot'!M62)*100</f>
        <v>-0.65721613449447602</v>
      </c>
      <c r="N62" s="19">
        <f>('[1]Short Spot'!N63-'[1]Short Spot'!N62)*100</f>
        <v>-0.66434008053750659</v>
      </c>
      <c r="O62" s="19">
        <f>('[1]Short Spot'!O63-'[1]Short Spot'!O62)*100</f>
        <v>-0.68289468854692004</v>
      </c>
      <c r="P62" s="19">
        <f>('[1]Short Spot'!P63-'[1]Short Spot'!P62)*100</f>
        <v>-0.70992374518699108</v>
      </c>
      <c r="Q62" s="19">
        <f>('[1]Short Spot'!Q63-'[1]Short Spot'!Q62)*100</f>
        <v>-0.74311388618433227</v>
      </c>
      <c r="R62" s="19">
        <f>('[1]Short Spot'!R63-'[1]Short Spot'!R62)*100</f>
        <v>-0.78060552317840148</v>
      </c>
      <c r="S62" s="19">
        <f>('[1]Short Spot'!S63-'[1]Short Spot'!S62)*100</f>
        <v>-0.8208667948593984</v>
      </c>
      <c r="T62" s="19">
        <f>('[1]Short Spot'!T63-'[1]Short Spot'!T62)*100</f>
        <v>-0.86260741150114839</v>
      </c>
      <c r="U62" s="19">
        <f>('[1]Short Spot'!U63-'[1]Short Spot'!U62)*100</f>
        <v>-0.90474137934526411</v>
      </c>
      <c r="V62" s="19">
        <f>('[1]Short Spot'!V63-'[1]Short Spot'!V62)*100</f>
        <v>-0.94643675427370511</v>
      </c>
      <c r="W62" s="19">
        <f>('[1]Short Spot'!W63-'[1]Short Spot'!W62)*100</f>
        <v>-0.98710236110735039</v>
      </c>
      <c r="X62" s="19">
        <f>('[1]Short Spot'!X63-'[1]Short Spot'!X62)*100</f>
        <v>-1.0263366358927328</v>
      </c>
      <c r="Y62" s="19">
        <f>('[1]Short Spot'!Y63-'[1]Short Spot'!Y62)*100</f>
        <v>-1.0638863483670491</v>
      </c>
      <c r="Z62" s="19">
        <f>('[1]Short Spot'!Z63-'[1]Short Spot'!Z62)*100</f>
        <v>-1.0995939357038687</v>
      </c>
      <c r="AA62" s="19">
        <f>('[1]Short Spot'!AA63-'[1]Short Spot'!AA62)*100</f>
        <v>-1.133356365165028</v>
      </c>
      <c r="AB62" s="19">
        <f>('[1]Short Spot'!AB63-'[1]Short Spot'!AB62)*100</f>
        <v>-1.1651136797897976</v>
      </c>
      <c r="AC62" s="19">
        <f>('[1]Short Spot'!AC63-'[1]Short Spot'!AC62)*100</f>
        <v>-1.194841315416717</v>
      </c>
      <c r="AD62" s="19">
        <f>('[1]Short Spot'!AD63-'[1]Short Spot'!AD62)*100</f>
        <v>-1.2225439984751674</v>
      </c>
      <c r="AE62" s="19">
        <f>('[1]Short Spot'!AE63-'[1]Short Spot'!AE62)*100</f>
        <v>-1.2482508562150052</v>
      </c>
      <c r="AF62" s="19">
        <f>('[1]Short Spot'!AF63-'[1]Short Spot'!AF62)*100</f>
        <v>-1.2720097736233171</v>
      </c>
      <c r="AG62" s="19">
        <f>('[1]Short Spot'!AG63-'[1]Short Spot'!AG62)*100</f>
        <v>-1.2938778016349239</v>
      </c>
      <c r="AH62" s="19">
        <f>('[1]Short Spot'!AH63-'[1]Short Spot'!AH62)*100</f>
        <v>-1.3139171096773872</v>
      </c>
      <c r="AI62" s="19">
        <f>('[1]Short Spot'!AI63-'[1]Short Spot'!AI62)*100</f>
        <v>-1.3321935423362241</v>
      </c>
      <c r="AJ62" s="19">
        <f>('[1]Short Spot'!AJ63-'[1]Short Spot'!AJ62)*100</f>
        <v>-1.3487744182361538</v>
      </c>
      <c r="AK62" s="19">
        <f>('[1]Short Spot'!AK63-'[1]Short Spot'!AK62)*100</f>
        <v>-1.3637278539951225</v>
      </c>
      <c r="AL62" s="19">
        <f>('[1]Short Spot'!AL63-'[1]Short Spot'!AL62)*100</f>
        <v>-1.3771226521143376</v>
      </c>
      <c r="AM62" s="19">
        <f>('[1]Short Spot'!AM63-'[1]Short Spot'!AM62)*100</f>
        <v>-1.3890282107310803</v>
      </c>
      <c r="AN62" s="19">
        <f>('[1]Short Spot'!AN63-'[1]Short Spot'!AN62)*100</f>
        <v>-1.3995144218524658</v>
      </c>
      <c r="AO62" s="19">
        <f>('[1]Short Spot'!AO63-'[1]Short Spot'!AO62)*100</f>
        <v>-1.4086507351346533</v>
      </c>
      <c r="AP62" s="19">
        <f>('[1]Short Spot'!AP63-'[1]Short Spot'!AP62)*100</f>
        <v>-1.4165045942105436</v>
      </c>
      <c r="AQ62" s="19">
        <f>('[1]Short Spot'!AQ63-'[1]Short Spot'!AQ62)*100</f>
        <v>-1.4231414184348701</v>
      </c>
      <c r="AR62" s="19">
        <f>('[1]Short Spot'!AR63-'[1]Short Spot'!AR62)*100</f>
        <v>-1.4286248413960756</v>
      </c>
      <c r="AS62" s="19">
        <f>('[1]Short Spot'!AS63-'[1]Short Spot'!AS62)*100</f>
        <v>-1.4330169138446536</v>
      </c>
      <c r="AT62" s="19">
        <f>('[1]Short Spot'!AT63-'[1]Short Spot'!AT62)*100</f>
        <v>-1.4363782319157359</v>
      </c>
      <c r="AU62" s="19">
        <f>('[1]Short Spot'!AU63-'[1]Short Spot'!AU62)*100</f>
        <v>-1.4387672573970001</v>
      </c>
      <c r="AV62" s="19">
        <f>('[1]Short Spot'!AV63-'[1]Short Spot'!AV62)*100</f>
        <v>-1.4402396754858771</v>
      </c>
      <c r="AW62" s="19">
        <f>('[1]Short Spot'!AW63-'[1]Short Spot'!AW62)*100</f>
        <v>-1.4408486990474145</v>
      </c>
      <c r="AX62" s="19">
        <f>('[1]Short Spot'!AX63-'[1]Short Spot'!AX62)*100</f>
        <v>-1.4406453240041195</v>
      </c>
      <c r="AY62" s="19">
        <f>('[1]Short Spot'!AY63-'[1]Short Spot'!AY62)*100</f>
        <v>-1.4396785510294663</v>
      </c>
      <c r="AZ62" s="19">
        <f>('[1]Short Spot'!AZ63-'[1]Short Spot'!AZ62)*100</f>
        <v>-1.4379955811600453</v>
      </c>
      <c r="BA62" s="19">
        <f>('[1]Short Spot'!BA63-'[1]Short Spot'!BA62)*100</f>
        <v>-1.435641988801617</v>
      </c>
      <c r="BB62" s="19">
        <f>('[1]Short Spot'!BB63-'[1]Short Spot'!BB62)*100</f>
        <v>-1.4326617223969329</v>
      </c>
      <c r="BC62" s="19">
        <f>('[1]Short Spot'!BC63-'[1]Short Spot'!BC62)*100</f>
        <v>-1.429096655589035</v>
      </c>
      <c r="BD62" s="19">
        <f>('[1]Short Spot'!BD63-'[1]Short Spot'!BD62)*100</f>
        <v>-1.4249867588874032</v>
      </c>
      <c r="BE62" s="19">
        <f>('[1]Short Spot'!BE63-'[1]Short Spot'!BE62)*100</f>
        <v>-1.4203703174692883</v>
      </c>
      <c r="BF62" s="19">
        <f>('[1]Short Spot'!BF63-'[1]Short Spot'!BF62)*100</f>
        <v>-1.4152840790151444</v>
      </c>
      <c r="BG62" s="19">
        <f>('[1]Short Spot'!BG63-'[1]Short Spot'!BG62)*100</f>
        <v>-1.4097633862514947</v>
      </c>
      <c r="BH62" s="19">
        <f>('[1]Short Spot'!BH63-'[1]Short Spot'!BH62)*100</f>
        <v>-1.4038422959262498</v>
      </c>
      <c r="BI62" s="19">
        <f>('[1]Short Spot'!BI63-'[1]Short Spot'!BI62)*100</f>
        <v>-1.3975536164202218</v>
      </c>
    </row>
    <row r="63" spans="1:61" x14ac:dyDescent="0.2">
      <c r="A63" s="18">
        <v>39170</v>
      </c>
      <c r="B63" s="19">
        <f>('[1]Short Spot'!B64-'[1]Short Spot'!B63)*100</f>
        <v>0.2880687494696943</v>
      </c>
      <c r="C63" s="19">
        <f>('[1]Short Spot'!C64-'[1]Short Spot'!C63)*100</f>
        <v>0.95271302859503137</v>
      </c>
      <c r="D63" s="19">
        <f>('[1]Short Spot'!D64-'[1]Short Spot'!D63)*100</f>
        <v>1.2553134607429683</v>
      </c>
      <c r="E63" s="19">
        <f>('[1]Short Spot'!E64-'[1]Short Spot'!E63)*100</f>
        <v>1.3287596410213709</v>
      </c>
      <c r="F63" s="19">
        <f>('[1]Short Spot'!F64-'[1]Short Spot'!F63)*100</f>
        <v>1.2941087801433326</v>
      </c>
      <c r="G63" s="19">
        <f>('[1]Short Spot'!G64-'[1]Short Spot'!G63)*100</f>
        <v>1.2478644980611797</v>
      </c>
      <c r="H63" s="19">
        <f>('[1]Short Spot'!H64-'[1]Short Spot'!H63)*100</f>
        <v>1.2286194835237296</v>
      </c>
      <c r="I63" s="19">
        <f>('[1]Short Spot'!I64-'[1]Short Spot'!I63)*100</f>
        <v>1.2476150010275688</v>
      </c>
      <c r="J63" s="19">
        <f>('[1]Short Spot'!J64-'[1]Short Spot'!J63)*100</f>
        <v>1.3002309070795803</v>
      </c>
      <c r="K63" s="19">
        <f>('[1]Short Spot'!K64-'[1]Short Spot'!K63)*100</f>
        <v>1.3763017028293412</v>
      </c>
      <c r="L63" s="19">
        <f>('[1]Short Spot'!L64-'[1]Short Spot'!L63)*100</f>
        <v>1.4680800894191215</v>
      </c>
      <c r="M63" s="19">
        <f>('[1]Short Spot'!M64-'[1]Short Spot'!M63)*100</f>
        <v>1.5695710147016761</v>
      </c>
      <c r="N63" s="19">
        <f>('[1]Short Spot'!N64-'[1]Short Spot'!N63)*100</f>
        <v>1.6757567843016297</v>
      </c>
      <c r="O63" s="19">
        <f>('[1]Short Spot'!O64-'[1]Short Spot'!O63)*100</f>
        <v>1.7829231780213561</v>
      </c>
      <c r="P63" s="19">
        <f>('[1]Short Spot'!P64-'[1]Short Spot'!P63)*100</f>
        <v>1.888574297012191</v>
      </c>
      <c r="Q63" s="19">
        <f>('[1]Short Spot'!Q64-'[1]Short Spot'!Q63)*100</f>
        <v>1.991025353661513</v>
      </c>
      <c r="R63" s="19">
        <f>('[1]Short Spot'!R64-'[1]Short Spot'!R63)*100</f>
        <v>2.0891640876921969</v>
      </c>
      <c r="S63" s="19">
        <f>('[1]Short Spot'!S64-'[1]Short Spot'!S63)*100</f>
        <v>2.1822917307936507</v>
      </c>
      <c r="T63" s="19">
        <f>('[1]Short Spot'!T64-'[1]Short Spot'!T63)*100</f>
        <v>2.2700142102826781</v>
      </c>
      <c r="U63" s="19">
        <f>('[1]Short Spot'!U64-'[1]Short Spot'!U63)*100</f>
        <v>2.3521619457528509</v>
      </c>
      <c r="V63" s="19">
        <f>('[1]Short Spot'!V64-'[1]Short Spot'!V63)*100</f>
        <v>2.42871525785473</v>
      </c>
      <c r="W63" s="19">
        <f>('[1]Short Spot'!W64-'[1]Short Spot'!W63)*100</f>
        <v>2.4997597504084368</v>
      </c>
      <c r="X63" s="19">
        <f>('[1]Short Spot'!X64-'[1]Short Spot'!X63)*100</f>
        <v>2.5654631192478128</v>
      </c>
      <c r="Y63" s="19">
        <f>('[1]Short Spot'!Y64-'[1]Short Spot'!Y63)*100</f>
        <v>2.6260579713451193</v>
      </c>
      <c r="Z63" s="19">
        <f>('[1]Short Spot'!Z64-'[1]Short Spot'!Z63)*100</f>
        <v>2.6818151206691176</v>
      </c>
      <c r="AA63" s="19">
        <f>('[1]Short Spot'!AA64-'[1]Short Spot'!AA63)*100</f>
        <v>2.7330059476110335</v>
      </c>
      <c r="AB63" s="19">
        <f>('[1]Short Spot'!AB64-'[1]Short Spot'!AB63)*100</f>
        <v>2.7798961252690546</v>
      </c>
      <c r="AC63" s="19">
        <f>('[1]Short Spot'!AC64-'[1]Short Spot'!AC63)*100</f>
        <v>2.8227466297527926</v>
      </c>
      <c r="AD63" s="19">
        <f>('[1]Short Spot'!AD64-'[1]Short Spot'!AD63)*100</f>
        <v>2.8618145500081127</v>
      </c>
      <c r="AE63" s="19">
        <f>('[1]Short Spot'!AE64-'[1]Short Spot'!AE63)*100</f>
        <v>2.8973537345430067</v>
      </c>
      <c r="AF63" s="19">
        <f>('[1]Short Spot'!AF64-'[1]Short Spot'!AF63)*100</f>
        <v>2.9296134883945335</v>
      </c>
      <c r="AG63" s="19">
        <f>('[1]Short Spot'!AG64-'[1]Short Spot'!AG63)*100</f>
        <v>2.9588291000302469</v>
      </c>
      <c r="AH63" s="19">
        <f>('[1]Short Spot'!AH64-'[1]Short Spot'!AH63)*100</f>
        <v>2.9852181731611971</v>
      </c>
      <c r="AI63" s="19">
        <f>('[1]Short Spot'!AI64-'[1]Short Spot'!AI63)*100</f>
        <v>3.0089821876712719</v>
      </c>
      <c r="AJ63" s="19">
        <f>('[1]Short Spot'!AJ64-'[1]Short Spot'!AJ63)*100</f>
        <v>3.0303067586162413</v>
      </c>
      <c r="AK63" s="19">
        <f>('[1]Short Spot'!AK64-'[1]Short Spot'!AK63)*100</f>
        <v>3.0493632808758164</v>
      </c>
      <c r="AL63" s="19">
        <f>('[1]Short Spot'!AL64-'[1]Short Spot'!AL63)*100</f>
        <v>3.0663108461093991</v>
      </c>
      <c r="AM63" s="19">
        <f>('[1]Short Spot'!AM64-'[1]Short Spot'!AM63)*100</f>
        <v>3.0812978616010511</v>
      </c>
      <c r="AN63" s="19">
        <f>('[1]Short Spot'!AN64-'[1]Short Spot'!AN63)*100</f>
        <v>3.0944634192238141</v>
      </c>
      <c r="AO63" s="19">
        <f>('[1]Short Spot'!AO64-'[1]Short Spot'!AO63)*100</f>
        <v>3.1059378319741704</v>
      </c>
      <c r="AP63" s="19">
        <f>('[1]Short Spot'!AP64-'[1]Short Spot'!AP63)*100</f>
        <v>3.1158414659003597</v>
      </c>
      <c r="AQ63" s="19">
        <f>('[1]Short Spot'!AQ64-'[1]Short Spot'!AQ63)*100</f>
        <v>3.1242851270318894</v>
      </c>
      <c r="AR63" s="19">
        <f>('[1]Short Spot'!AR64-'[1]Short Spot'!AR63)*100</f>
        <v>3.1313711621546503</v>
      </c>
      <c r="AS63" s="19">
        <f>('[1]Short Spot'!AS64-'[1]Short Spot'!AS63)*100</f>
        <v>3.1371944200898838</v>
      </c>
      <c r="AT63" s="19">
        <f>('[1]Short Spot'!AT64-'[1]Short Spot'!AT63)*100</f>
        <v>3.1418431150092907</v>
      </c>
      <c r="AU63" s="19">
        <f>('[1]Short Spot'!AU64-'[1]Short Spot'!AU63)*100</f>
        <v>3.1453996450548694</v>
      </c>
      <c r="AV63" s="19">
        <f>('[1]Short Spot'!AV64-'[1]Short Spot'!AV63)*100</f>
        <v>3.1479405479955425</v>
      </c>
      <c r="AW63" s="19">
        <f>('[1]Short Spot'!AW64-'[1]Short Spot'!AW63)*100</f>
        <v>3.149536783588136</v>
      </c>
      <c r="AX63" s="19">
        <f>('[1]Short Spot'!AX64-'[1]Short Spot'!AX63)*100</f>
        <v>3.1502542994572558</v>
      </c>
      <c r="AY63" s="19">
        <f>('[1]Short Spot'!AY64-'[1]Short Spot'!AY63)*100</f>
        <v>3.1501545323081359</v>
      </c>
      <c r="AZ63" s="19">
        <f>('[1]Short Spot'!AZ64-'[1]Short Spot'!AZ63)*100</f>
        <v>3.1492948501726126</v>
      </c>
      <c r="BA63" s="19">
        <f>('[1]Short Spot'!BA64-'[1]Short Spot'!BA63)*100</f>
        <v>3.1477289437389366</v>
      </c>
      <c r="BB63" s="19">
        <f>('[1]Short Spot'!BB64-'[1]Short Spot'!BB63)*100</f>
        <v>3.1455072709992926</v>
      </c>
      <c r="BC63" s="19">
        <f>('[1]Short Spot'!BC64-'[1]Short Spot'!BC63)*100</f>
        <v>3.1426773802210484</v>
      </c>
      <c r="BD63" s="19">
        <f>('[1]Short Spot'!BD64-'[1]Short Spot'!BD63)*100</f>
        <v>3.1392837227321557</v>
      </c>
      <c r="BE63" s="19">
        <f>('[1]Short Spot'!BE64-'[1]Short Spot'!BE63)*100</f>
        <v>3.1353678559570497</v>
      </c>
      <c r="BF63" s="19">
        <f>('[1]Short Spot'!BF64-'[1]Short Spot'!BF63)*100</f>
        <v>3.1309686972675443</v>
      </c>
      <c r="BG63" s="19">
        <f>('[1]Short Spot'!BG64-'[1]Short Spot'!BG63)*100</f>
        <v>3.1261227515733125</v>
      </c>
      <c r="BH63" s="19">
        <f>('[1]Short Spot'!BH64-'[1]Short Spot'!BH63)*100</f>
        <v>3.1208643159380323</v>
      </c>
      <c r="BI63" s="19">
        <f>('[1]Short Spot'!BI64-'[1]Short Spot'!BI63)*100</f>
        <v>3.1152257201543243</v>
      </c>
    </row>
    <row r="64" spans="1:61" x14ac:dyDescent="0.2">
      <c r="A64" s="18">
        <v>39171</v>
      </c>
      <c r="B64" s="19">
        <f>('[1]Short Spot'!B65-'[1]Short Spot'!B64)*100</f>
        <v>1.569519648721851</v>
      </c>
      <c r="C64" s="19">
        <f>('[1]Short Spot'!C65-'[1]Short Spot'!C64)*100</f>
        <v>0.98404922717616472</v>
      </c>
      <c r="D64" s="19">
        <f>('[1]Short Spot'!D65-'[1]Short Spot'!D64)*100</f>
        <v>0.8577230031693972</v>
      </c>
      <c r="E64" s="19">
        <f>('[1]Short Spot'!E65-'[1]Short Spot'!E64)*100</f>
        <v>0.9682070480463878</v>
      </c>
      <c r="F64" s="19">
        <f>('[1]Short Spot'!F65-'[1]Short Spot'!F64)*100</f>
        <v>1.1643484838261386</v>
      </c>
      <c r="G64" s="19">
        <f>('[1]Short Spot'!G65-'[1]Short Spot'!G64)*100</f>
        <v>1.3721878472433779</v>
      </c>
      <c r="H64" s="19">
        <f>('[1]Short Spot'!H65-'[1]Short Spot'!H64)*100</f>
        <v>1.5486389245240595</v>
      </c>
      <c r="I64" s="19">
        <f>('[1]Short Spot'!I65-'[1]Short Spot'!I64)*100</f>
        <v>1.6745887290892547</v>
      </c>
      <c r="J64" s="19">
        <f>('[1]Short Spot'!J65-'[1]Short Spot'!J64)*100</f>
        <v>1.7546899836522911</v>
      </c>
      <c r="K64" s="19">
        <f>('[1]Short Spot'!K65-'[1]Short Spot'!K64)*100</f>
        <v>1.8006032955803164</v>
      </c>
      <c r="L64" s="19">
        <f>('[1]Short Spot'!L65-'[1]Short Spot'!L64)*100</f>
        <v>1.8216209608022282</v>
      </c>
      <c r="M64" s="19">
        <f>('[1]Short Spot'!M65-'[1]Short Spot'!M64)*100</f>
        <v>1.8251221635272152</v>
      </c>
      <c r="N64" s="19">
        <f>('[1]Short Spot'!N65-'[1]Short Spot'!N64)*100</f>
        <v>1.816864760287018</v>
      </c>
      <c r="O64" s="19">
        <f>('[1]Short Spot'!O65-'[1]Short Spot'!O64)*100</f>
        <v>1.800880056048193</v>
      </c>
      <c r="P64" s="19">
        <f>('[1]Short Spot'!P65-'[1]Short Spot'!P64)*100</f>
        <v>1.7799577645697617</v>
      </c>
      <c r="Q64" s="19">
        <f>('[1]Short Spot'!Q65-'[1]Short Spot'!Q64)*100</f>
        <v>1.7560612284675869</v>
      </c>
      <c r="R64" s="19">
        <f>('[1]Short Spot'!R65-'[1]Short Spot'!R64)*100</f>
        <v>1.7305704870904215</v>
      </c>
      <c r="S64" s="19">
        <f>('[1]Short Spot'!S65-'[1]Short Spot'!S64)*100</f>
        <v>1.7044443052037117</v>
      </c>
      <c r="T64" s="19">
        <f>('[1]Short Spot'!T65-'[1]Short Spot'!T64)*100</f>
        <v>1.6783314813787698</v>
      </c>
      <c r="U64" s="19">
        <f>('[1]Short Spot'!U65-'[1]Short Spot'!U64)*100</f>
        <v>1.6526636671944317</v>
      </c>
      <c r="V64" s="19">
        <f>('[1]Short Spot'!V65-'[1]Short Spot'!V64)*100</f>
        <v>1.627730714589859</v>
      </c>
      <c r="W64" s="19">
        <f>('[1]Short Spot'!W65-'[1]Short Spot'!W64)*100</f>
        <v>1.6037136770016502</v>
      </c>
      <c r="X64" s="19">
        <f>('[1]Short Spot'!X65-'[1]Short Spot'!X64)*100</f>
        <v>1.5807082513167536</v>
      </c>
      <c r="Y64" s="19">
        <f>('[1]Short Spot'!Y65-'[1]Short Spot'!Y64)*100</f>
        <v>1.5587473664745666</v>
      </c>
      <c r="Z64" s="19">
        <f>('[1]Short Spot'!Z65-'[1]Short Spot'!Z64)*100</f>
        <v>1.5378451596358644</v>
      </c>
      <c r="AA64" s="19">
        <f>('[1]Short Spot'!AA65-'[1]Short Spot'!AA64)*100</f>
        <v>1.5180071545221274</v>
      </c>
      <c r="AB64" s="19">
        <f>('[1]Short Spot'!AB65-'[1]Short Spot'!AB64)*100</f>
        <v>1.4992280035293071</v>
      </c>
      <c r="AC64" s="19">
        <f>('[1]Short Spot'!AC65-'[1]Short Spot'!AC64)*100</f>
        <v>1.4814934235158006</v>
      </c>
      <c r="AD64" s="19">
        <f>('[1]Short Spot'!AD65-'[1]Short Spot'!AD64)*100</f>
        <v>1.4647817364113358</v>
      </c>
      <c r="AE64" s="19">
        <f>('[1]Short Spot'!AE65-'[1]Short Spot'!AE64)*100</f>
        <v>1.4490651293647794</v>
      </c>
      <c r="AF64" s="19">
        <f>('[1]Short Spot'!AF65-'[1]Short Spot'!AF64)*100</f>
        <v>1.4343119228886536</v>
      </c>
      <c r="AG64" s="19">
        <f>('[1]Short Spot'!AG65-'[1]Short Spot'!AG64)*100</f>
        <v>1.4204882151351406</v>
      </c>
      <c r="AH64" s="19">
        <f>('[1]Short Spot'!AH65-'[1]Short Spot'!AH64)*100</f>
        <v>1.4075571275881771</v>
      </c>
      <c r="AI64" s="19">
        <f>('[1]Short Spot'!AI65-'[1]Short Spot'!AI64)*100</f>
        <v>1.3954802299422475</v>
      </c>
      <c r="AJ64" s="19">
        <f>('[1]Short Spot'!AJ65-'[1]Short Spot'!AJ64)*100</f>
        <v>1.3842199417516632</v>
      </c>
      <c r="AK64" s="19">
        <f>('[1]Short Spot'!AK65-'[1]Short Spot'!AK64)*100</f>
        <v>1.3737398856504157</v>
      </c>
      <c r="AL64" s="19">
        <f>('[1]Short Spot'!AL65-'[1]Short Spot'!AL64)*100</f>
        <v>1.3640047267599265</v>
      </c>
      <c r="AM64" s="19">
        <f>('[1]Short Spot'!AM65-'[1]Short Spot'!AM64)*100</f>
        <v>1.3549800355202812</v>
      </c>
      <c r="AN64" s="19">
        <f>('[1]Short Spot'!AN65-'[1]Short Spot'!AN64)*100</f>
        <v>1.3466322371079364</v>
      </c>
      <c r="AO64" s="19">
        <f>('[1]Short Spot'!AO65-'[1]Short Spot'!AO64)*100</f>
        <v>1.3389292939245401</v>
      </c>
      <c r="AP64" s="19">
        <f>('[1]Short Spot'!AP65-'[1]Short Spot'!AP64)*100</f>
        <v>1.3318404311284837</v>
      </c>
      <c r="AQ64" s="19">
        <f>('[1]Short Spot'!AQ65-'[1]Short Spot'!AQ64)*100</f>
        <v>1.3253355202498263</v>
      </c>
      <c r="AR64" s="19">
        <f>('[1]Short Spot'!AR65-'[1]Short Spot'!AR64)*100</f>
        <v>1.319384994213646</v>
      </c>
      <c r="AS64" s="19">
        <f>('[1]Short Spot'!AS65-'[1]Short Spot'!AS64)*100</f>
        <v>1.3139597835442274</v>
      </c>
      <c r="AT64" s="19">
        <f>('[1]Short Spot'!AT65-'[1]Short Spot'!AT64)*100</f>
        <v>1.3090314257051539</v>
      </c>
      <c r="AU64" s="19">
        <f>('[1]Short Spot'!AU65-'[1]Short Spot'!AU64)*100</f>
        <v>1.3045733339472676</v>
      </c>
      <c r="AV64" s="19">
        <f>('[1]Short Spot'!AV65-'[1]Short Spot'!AV64)*100</f>
        <v>1.3005603606812244</v>
      </c>
      <c r="AW64" s="19">
        <f>('[1]Short Spot'!AW65-'[1]Short Spot'!AW64)*100</f>
        <v>1.2969681184647364</v>
      </c>
      <c r="AX64" s="19">
        <f>('[1]Short Spot'!AX65-'[1]Short Spot'!AX64)*100</f>
        <v>1.2937728980891627</v>
      </c>
      <c r="AY64" s="19">
        <f>('[1]Short Spot'!AY65-'[1]Short Spot'!AY64)*100</f>
        <v>1.290951600756074</v>
      </c>
      <c r="AZ64" s="19">
        <f>('[1]Short Spot'!AZ65-'[1]Short Spot'!AZ64)*100</f>
        <v>1.2884816782339215</v>
      </c>
      <c r="BA64" s="19">
        <f>('[1]Short Spot'!BA65-'[1]Short Spot'!BA64)*100</f>
        <v>1.2863410814800247</v>
      </c>
      <c r="BB64" s="19">
        <f>('[1]Short Spot'!BB65-'[1]Short Spot'!BB64)*100</f>
        <v>1.2845086862958155</v>
      </c>
      <c r="BC64" s="19">
        <f>('[1]Short Spot'!BC65-'[1]Short Spot'!BC64)*100</f>
        <v>1.2829650448398233</v>
      </c>
      <c r="BD64" s="19">
        <f>('[1]Short Spot'!BD65-'[1]Short Spot'!BD64)*100</f>
        <v>1.2816915140391849</v>
      </c>
      <c r="BE64" s="19">
        <f>('[1]Short Spot'!BE65-'[1]Short Spot'!BE64)*100</f>
        <v>1.2806700420654238</v>
      </c>
      <c r="BF64" s="19">
        <f>('[1]Short Spot'!BF65-'[1]Short Spot'!BF64)*100</f>
        <v>1.2798831164711366</v>
      </c>
      <c r="BG64" s="19">
        <f>('[1]Short Spot'!BG65-'[1]Short Spot'!BG64)*100</f>
        <v>1.2793137176910996</v>
      </c>
      <c r="BH64" s="19">
        <f>('[1]Short Spot'!BH65-'[1]Short Spot'!BH64)*100</f>
        <v>1.2789452788050326</v>
      </c>
      <c r="BI64" s="19">
        <f>('[1]Short Spot'!BI65-'[1]Short Spot'!BI64)*100</f>
        <v>1.278761881624213</v>
      </c>
    </row>
    <row r="65" spans="1:61" x14ac:dyDescent="0.2">
      <c r="A65" s="18">
        <v>39174</v>
      </c>
      <c r="B65" s="19">
        <f>('[1]Short Spot'!B66-'[1]Short Spot'!B65)*100</f>
        <v>2.4299458392598616</v>
      </c>
      <c r="C65" s="19">
        <f>('[1]Short Spot'!C66-'[1]Short Spot'!C65)*100</f>
        <v>2.4459312561524449</v>
      </c>
      <c r="D65" s="19">
        <f>('[1]Short Spot'!D66-'[1]Short Spot'!D65)*100</f>
        <v>2.5493700737352576</v>
      </c>
      <c r="E65" s="19">
        <f>('[1]Short Spot'!E66-'[1]Short Spot'!E65)*100</f>
        <v>2.5086250966829482</v>
      </c>
      <c r="F65" s="19">
        <f>('[1]Short Spot'!F66-'[1]Short Spot'!F65)*100</f>
        <v>2.4026754811636408</v>
      </c>
      <c r="G65" s="19">
        <f>('[1]Short Spot'!G66-'[1]Short Spot'!G65)*100</f>
        <v>2.3007197710778193</v>
      </c>
      <c r="H65" s="19">
        <f>('[1]Short Spot'!H66-'[1]Short Spot'!H65)*100</f>
        <v>2.2416401170878508</v>
      </c>
      <c r="I65" s="19">
        <f>('[1]Short Spot'!I66-'[1]Short Spot'!I65)*100</f>
        <v>2.2398754992566161</v>
      </c>
      <c r="J65" s="19">
        <f>('[1]Short Spot'!J66-'[1]Short Spot'!J65)*100</f>
        <v>2.2853475678655144</v>
      </c>
      <c r="K65" s="19">
        <f>('[1]Short Spot'!K66-'[1]Short Spot'!K65)*100</f>
        <v>2.3578022465088111</v>
      </c>
      <c r="L65" s="19">
        <f>('[1]Short Spot'!L66-'[1]Short Spot'!L65)*100</f>
        <v>2.4400259330515262</v>
      </c>
      <c r="M65" s="19">
        <f>('[1]Short Spot'!M66-'[1]Short Spot'!M65)*100</f>
        <v>2.5205008165329446</v>
      </c>
      <c r="N65" s="19">
        <f>('[1]Short Spot'!N66-'[1]Short Spot'!N65)*100</f>
        <v>2.5923164422740896</v>
      </c>
      <c r="O65" s="19">
        <f>('[1]Short Spot'!O66-'[1]Short Spot'!O65)*100</f>
        <v>2.6518878512081123</v>
      </c>
      <c r="P65" s="19">
        <f>('[1]Short Spot'!P66-'[1]Short Spot'!P65)*100</f>
        <v>2.6975617860448331</v>
      </c>
      <c r="Q65" s="19">
        <f>('[1]Short Spot'!Q66-'[1]Short Spot'!Q65)*100</f>
        <v>2.7290065834110422</v>
      </c>
      <c r="R65" s="19">
        <f>('[1]Short Spot'!R66-'[1]Short Spot'!R65)*100</f>
        <v>2.7468234739829178</v>
      </c>
      <c r="S65" s="19">
        <f>('[1]Short Spot'!S66-'[1]Short Spot'!S65)*100</f>
        <v>2.7522874452512447</v>
      </c>
      <c r="T65" s="19">
        <f>('[1]Short Spot'!T66-'[1]Short Spot'!T65)*100</f>
        <v>2.7471647890516593</v>
      </c>
      <c r="U65" s="19">
        <f>('[1]Short Spot'!U66-'[1]Short Spot'!U65)*100</f>
        <v>2.7334090274489853</v>
      </c>
      <c r="V65" s="19">
        <f>('[1]Short Spot'!V66-'[1]Short Spot'!V65)*100</f>
        <v>2.7127350555228524</v>
      </c>
      <c r="W65" s="19">
        <f>('[1]Short Spot'!W66-'[1]Short Spot'!W65)*100</f>
        <v>2.6865853252459715</v>
      </c>
      <c r="X65" s="19">
        <f>('[1]Short Spot'!X66-'[1]Short Spot'!X65)*100</f>
        <v>2.6561885591873668</v>
      </c>
      <c r="Y65" s="19">
        <f>('[1]Short Spot'!Y66-'[1]Short Spot'!Y65)*100</f>
        <v>2.6226028267401169</v>
      </c>
      <c r="Z65" s="19">
        <f>('[1]Short Spot'!Z66-'[1]Short Spot'!Z65)*100</f>
        <v>2.5867205622173373</v>
      </c>
      <c r="AA65" s="19">
        <f>('[1]Short Spot'!AA66-'[1]Short Spot'!AA65)*100</f>
        <v>2.5492608054682897</v>
      </c>
      <c r="AB65" s="19">
        <f>('[1]Short Spot'!AB66-'[1]Short Spot'!AB65)*100</f>
        <v>2.5107962633700076</v>
      </c>
      <c r="AC65" s="19">
        <f>('[1]Short Spot'!AC66-'[1]Short Spot'!AC65)*100</f>
        <v>2.471779440612476</v>
      </c>
      <c r="AD65" s="19">
        <f>('[1]Short Spot'!AD66-'[1]Short Spot'!AD65)*100</f>
        <v>2.4325633642148681</v>
      </c>
      <c r="AE65" s="19">
        <f>('[1]Short Spot'!AE66-'[1]Short Spot'!AE65)*100</f>
        <v>2.3934181932246723</v>
      </c>
      <c r="AF65" s="19">
        <f>('[1]Short Spot'!AF66-'[1]Short Spot'!AF65)*100</f>
        <v>2.3545464988112386</v>
      </c>
      <c r="AG65" s="19">
        <f>('[1]Short Spot'!AG66-'[1]Short Spot'!AG65)*100</f>
        <v>2.3160987507584885</v>
      </c>
      <c r="AH65" s="19">
        <f>('[1]Short Spot'!AH66-'[1]Short Spot'!AH65)*100</f>
        <v>2.2781826416923501</v>
      </c>
      <c r="AI65" s="19">
        <f>('[1]Short Spot'!AI66-'[1]Short Spot'!AI65)*100</f>
        <v>2.2408734214893755</v>
      </c>
      <c r="AJ65" s="19">
        <f>('[1]Short Spot'!AJ66-'[1]Short Spot'!AJ65)*100</f>
        <v>2.2042255746890227</v>
      </c>
      <c r="AK65" s="19">
        <f>('[1]Short Spot'!AK66-'[1]Short Spot'!AK65)*100</f>
        <v>2.1682769903017984</v>
      </c>
      <c r="AL65" s="19">
        <f>('[1]Short Spot'!AL66-'[1]Short Spot'!AL65)*100</f>
        <v>2.1330512068774787</v>
      </c>
      <c r="AM65" s="19">
        <f>('[1]Short Spot'!AM66-'[1]Short Spot'!AM65)*100</f>
        <v>2.0985593007228687</v>
      </c>
      <c r="AN65" s="19">
        <f>('[1]Short Spot'!AN66-'[1]Short Spot'!AN65)*100</f>
        <v>2.06480158021769</v>
      </c>
      <c r="AO65" s="19">
        <f>('[1]Short Spot'!AO66-'[1]Short Spot'!AO65)*100</f>
        <v>2.0317709763827629</v>
      </c>
      <c r="AP65" s="19">
        <f>('[1]Short Spot'!AP66-'[1]Short Spot'!AP65)*100</f>
        <v>1.9994570191735228</v>
      </c>
      <c r="AQ65" s="19">
        <f>('[1]Short Spot'!AQ66-'[1]Short Spot'!AQ65)*100</f>
        <v>1.9678466888112922</v>
      </c>
      <c r="AR65" s="19">
        <f>('[1]Short Spot'!AR66-'[1]Short Spot'!AR65)*100</f>
        <v>1.9369247117408506</v>
      </c>
      <c r="AS65" s="19">
        <f>('[1]Short Spot'!AS66-'[1]Short Spot'!AS65)*100</f>
        <v>1.9066738167413888</v>
      </c>
      <c r="AT65" s="19">
        <f>('[1]Short Spot'!AT66-'[1]Short Spot'!AT65)*100</f>
        <v>1.8770750706937456</v>
      </c>
      <c r="AU65" s="19">
        <f>('[1]Short Spot'!AU66-'[1]Short Spot'!AU65)*100</f>
        <v>1.848109247159524</v>
      </c>
      <c r="AV65" s="19">
        <f>('[1]Short Spot'!AV66-'[1]Short Spot'!AV65)*100</f>
        <v>1.8197577178297841</v>
      </c>
      <c r="AW65" s="19">
        <f>('[1]Short Spot'!AW66-'[1]Short Spot'!AW65)*100</f>
        <v>1.7920023686278874</v>
      </c>
      <c r="AX65" s="19">
        <f>('[1]Short Spot'!AX66-'[1]Short Spot'!AX65)*100</f>
        <v>1.7648255467372032</v>
      </c>
      <c r="AY65" s="19">
        <f>('[1]Short Spot'!AY66-'[1]Short Spot'!AY65)*100</f>
        <v>1.7382100144756052</v>
      </c>
      <c r="AZ65" s="19">
        <f>('[1]Short Spot'!AZ66-'[1]Short Spot'!AZ65)*100</f>
        <v>1.712138908594607</v>
      </c>
      <c r="BA65" s="19">
        <f>('[1]Short Spot'!BA66-'[1]Short Spot'!BA65)*100</f>
        <v>1.6865957057051517</v>
      </c>
      <c r="BB65" s="19">
        <f>('[1]Short Spot'!BB66-'[1]Short Spot'!BB65)*100</f>
        <v>1.6615644433994881</v>
      </c>
      <c r="BC65" s="19">
        <f>('[1]Short Spot'!BC66-'[1]Short Spot'!BC65)*100</f>
        <v>1.6370302820110538</v>
      </c>
      <c r="BD65" s="19">
        <f>('[1]Short Spot'!BD66-'[1]Short Spot'!BD65)*100</f>
        <v>1.6129793583067986</v>
      </c>
      <c r="BE65" s="19">
        <f>('[1]Short Spot'!BE66-'[1]Short Spot'!BE65)*100</f>
        <v>1.5893986688257478</v>
      </c>
      <c r="BF65" s="19">
        <f>('[1]Short Spot'!BF66-'[1]Short Spot'!BF65)*100</f>
        <v>1.5662759944588878</v>
      </c>
      <c r="BG65" s="19">
        <f>('[1]Short Spot'!BG66-'[1]Short Spot'!BG65)*100</f>
        <v>1.5435998328340084</v>
      </c>
      <c r="BH65" s="19">
        <f>('[1]Short Spot'!BH66-'[1]Short Spot'!BH65)*100</f>
        <v>1.5213593386532054</v>
      </c>
      <c r="BI65" s="19">
        <f>('[1]Short Spot'!BI66-'[1]Short Spot'!BI65)*100</f>
        <v>1.4995443642842332</v>
      </c>
    </row>
    <row r="66" spans="1:61" x14ac:dyDescent="0.2">
      <c r="A66" s="18">
        <v>39175</v>
      </c>
      <c r="B66" s="19">
        <f>('[1]Short Spot'!B67-'[1]Short Spot'!B66)*100</f>
        <v>1.3361797371931772</v>
      </c>
      <c r="C66" s="19">
        <f>('[1]Short Spot'!C67-'[1]Short Spot'!C66)*100</f>
        <v>0.86093166483074413</v>
      </c>
      <c r="D66" s="19">
        <f>('[1]Short Spot'!D67-'[1]Short Spot'!D66)*100</f>
        <v>0.7707021756702126</v>
      </c>
      <c r="E66" s="19">
        <f>('[1]Short Spot'!E67-'[1]Short Spot'!E66)*100</f>
        <v>0.81906528547657231</v>
      </c>
      <c r="F66" s="19">
        <f>('[1]Short Spot'!F67-'[1]Short Spot'!F66)*100</f>
        <v>0.91857340749008642</v>
      </c>
      <c r="G66" s="19">
        <f>('[1]Short Spot'!G67-'[1]Short Spot'!G66)*100</f>
        <v>1.0310728850772222</v>
      </c>
      <c r="H66" s="19">
        <f>('[1]Short Spot'!H67-'[1]Short Spot'!H66)*100</f>
        <v>1.1363981096263132</v>
      </c>
      <c r="I66" s="19">
        <f>('[1]Short Spot'!I67-'[1]Short Spot'!I66)*100</f>
        <v>1.2252642404142478</v>
      </c>
      <c r="J66" s="19">
        <f>('[1]Short Spot'!J67-'[1]Short Spot'!J66)*100</f>
        <v>1.29704393628014</v>
      </c>
      <c r="K66" s="19">
        <f>('[1]Short Spot'!K67-'[1]Short Spot'!K66)*100</f>
        <v>1.3556113327023667</v>
      </c>
      <c r="L66" s="19">
        <f>('[1]Short Spot'!L67-'[1]Short Spot'!L66)*100</f>
        <v>1.4060893906926886</v>
      </c>
      <c r="M66" s="19">
        <f>('[1]Short Spot'!M67-'[1]Short Spot'!M66)*100</f>
        <v>1.4522535965418193</v>
      </c>
      <c r="N66" s="19">
        <f>('[1]Short Spot'!N67-'[1]Short Spot'!N66)*100</f>
        <v>1.4964284284866736</v>
      </c>
      <c r="O66" s="19">
        <f>('[1]Short Spot'!O67-'[1]Short Spot'!O66)*100</f>
        <v>1.5398366729423074</v>
      </c>
      <c r="P66" s="19">
        <f>('[1]Short Spot'!P67-'[1]Short Spot'!P66)*100</f>
        <v>1.5832029713666707</v>
      </c>
      <c r="Q66" s="19">
        <f>('[1]Short Spot'!Q67-'[1]Short Spot'!Q66)*100</f>
        <v>1.6269358859480221</v>
      </c>
      <c r="R66" s="19">
        <f>('[1]Short Spot'!R67-'[1]Short Spot'!R66)*100</f>
        <v>1.6712208641203929</v>
      </c>
      <c r="S66" s="19">
        <f>('[1]Short Spot'!S67-'[1]Short Spot'!S66)*100</f>
        <v>1.7160822148848176</v>
      </c>
      <c r="T66" s="19">
        <f>('[1]Short Spot'!T67-'[1]Short Spot'!T66)*100</f>
        <v>1.7614257941358069</v>
      </c>
      <c r="U66" s="19">
        <f>('[1]Short Spot'!U67-'[1]Short Spot'!U66)*100</f>
        <v>1.8070937449226498</v>
      </c>
      <c r="V66" s="19">
        <f>('[1]Short Spot'!V67-'[1]Short Spot'!V66)*100</f>
        <v>1.8529446119199378</v>
      </c>
      <c r="W66" s="19">
        <f>('[1]Short Spot'!W67-'[1]Short Spot'!W66)*100</f>
        <v>1.8988666501692286</v>
      </c>
      <c r="X66" s="19">
        <f>('[1]Short Spot'!X67-'[1]Short Spot'!X66)*100</f>
        <v>1.9447714690310036</v>
      </c>
      <c r="Y66" s="19">
        <f>('[1]Short Spot'!Y67-'[1]Short Spot'!Y66)*100</f>
        <v>1.9905904898627647</v>
      </c>
      <c r="Z66" s="19">
        <f>('[1]Short Spot'!Z67-'[1]Short Spot'!Z66)*100</f>
        <v>2.0362746343866256</v>
      </c>
      <c r="AA66" s="19">
        <f>('[1]Short Spot'!AA67-'[1]Short Spot'!AA66)*100</f>
        <v>2.0817864618028814</v>
      </c>
      <c r="AB66" s="19">
        <f>('[1]Short Spot'!AB67-'[1]Short Spot'!AB66)*100</f>
        <v>2.1270967411897601</v>
      </c>
      <c r="AC66" s="19">
        <f>('[1]Short Spot'!AC67-'[1]Short Spot'!AC66)*100</f>
        <v>2.1721829854522312</v>
      </c>
      <c r="AD66" s="19">
        <f>('[1]Short Spot'!AD67-'[1]Short Spot'!AD66)*100</f>
        <v>2.2170282885928039</v>
      </c>
      <c r="AE66" s="19">
        <f>('[1]Short Spot'!AE67-'[1]Short Spot'!AE66)*100</f>
        <v>2.2616204070925683</v>
      </c>
      <c r="AF66" s="19">
        <f>('[1]Short Spot'!AF67-'[1]Short Spot'!AF66)*100</f>
        <v>2.3059506821362596</v>
      </c>
      <c r="AG66" s="19">
        <f>('[1]Short Spot'!AG67-'[1]Short Spot'!AG66)*100</f>
        <v>2.3500108676092424</v>
      </c>
      <c r="AH66" s="19">
        <f>('[1]Short Spot'!AH67-'[1]Short Spot'!AH66)*100</f>
        <v>2.3937916948820082</v>
      </c>
      <c r="AI66" s="19">
        <f>('[1]Short Spot'!AI67-'[1]Short Spot'!AI66)*100</f>
        <v>2.4372836706623602</v>
      </c>
      <c r="AJ66" s="19">
        <f>('[1]Short Spot'!AJ67-'[1]Short Spot'!AJ66)*100</f>
        <v>2.480477633950251</v>
      </c>
      <c r="AK66" s="19">
        <f>('[1]Short Spot'!AK67-'[1]Short Spot'!AK66)*100</f>
        <v>2.5233646689706291</v>
      </c>
      <c r="AL66" s="19">
        <f>('[1]Short Spot'!AL67-'[1]Short Spot'!AL66)*100</f>
        <v>2.5659360708221612</v>
      </c>
      <c r="AM66" s="19">
        <f>('[1]Short Spot'!AM67-'[1]Short Spot'!AM66)*100</f>
        <v>2.6081833177301839</v>
      </c>
      <c r="AN66" s="19">
        <f>('[1]Short Spot'!AN67-'[1]Short Spot'!AN66)*100</f>
        <v>2.6500980936864593</v>
      </c>
      <c r="AO66" s="19">
        <f>('[1]Short Spot'!AO67-'[1]Short Spot'!AO66)*100</f>
        <v>2.6916726232763644</v>
      </c>
      <c r="AP66" s="19">
        <f>('[1]Short Spot'!AP67-'[1]Short Spot'!AP66)*100</f>
        <v>2.732899429574509</v>
      </c>
      <c r="AQ66" s="19">
        <f>('[1]Short Spot'!AQ67-'[1]Short Spot'!AQ66)*100</f>
        <v>2.7737711011698529</v>
      </c>
      <c r="AR66" s="19">
        <f>('[1]Short Spot'!AR67-'[1]Short Spot'!AR66)*100</f>
        <v>2.814280282786541</v>
      </c>
      <c r="AS66" s="19">
        <f>('[1]Short Spot'!AS67-'[1]Short Spot'!AS66)*100</f>
        <v>2.8544196689037626</v>
      </c>
      <c r="AT66" s="19">
        <f>('[1]Short Spot'!AT67-'[1]Short Spot'!AT66)*100</f>
        <v>2.8941820862663725</v>
      </c>
      <c r="AU66" s="19">
        <f>('[1]Short Spot'!AU67-'[1]Short Spot'!AU66)*100</f>
        <v>2.9335609693462494</v>
      </c>
      <c r="AV66" s="19">
        <f>('[1]Short Spot'!AV67-'[1]Short Spot'!AV66)*100</f>
        <v>2.9725500922783255</v>
      </c>
      <c r="AW66" s="19">
        <f>('[1]Short Spot'!AW67-'[1]Short Spot'!AW66)*100</f>
        <v>3.011143368094249</v>
      </c>
      <c r="AX66" s="19">
        <f>('[1]Short Spot'!AX67-'[1]Short Spot'!AX66)*100</f>
        <v>3.0493348342311322</v>
      </c>
      <c r="AY66" s="19">
        <f>('[1]Short Spot'!AY67-'[1]Short Spot'!AY66)*100</f>
        <v>3.0871186400915462</v>
      </c>
      <c r="AZ66" s="19">
        <f>('[1]Short Spot'!AZ67-'[1]Short Spot'!AZ66)*100</f>
        <v>3.1244890360673239</v>
      </c>
      <c r="BA66" s="19">
        <f>('[1]Short Spot'!BA67-'[1]Short Spot'!BA66)*100</f>
        <v>3.1614403658637436</v>
      </c>
      <c r="BB66" s="19">
        <f>('[1]Short Spot'!BB67-'[1]Short Spot'!BB66)*100</f>
        <v>3.1979672670610526</v>
      </c>
      <c r="BC66" s="19">
        <f>('[1]Short Spot'!BC67-'[1]Short Spot'!BC66)*100</f>
        <v>3.2340648913952386</v>
      </c>
      <c r="BD66" s="19">
        <f>('[1]Short Spot'!BD67-'[1]Short Spot'!BD66)*100</f>
        <v>3.2697285994064629</v>
      </c>
      <c r="BE66" s="19">
        <f>('[1]Short Spot'!BE67-'[1]Short Spot'!BE66)*100</f>
        <v>3.3049539074051282</v>
      </c>
      <c r="BF66" s="19">
        <f>('[1]Short Spot'!BF67-'[1]Short Spot'!BF66)*100</f>
        <v>3.3397364738091184</v>
      </c>
      <c r="BG66" s="19">
        <f>('[1]Short Spot'!BG67-'[1]Short Spot'!BG66)*100</f>
        <v>3.3740720868916441</v>
      </c>
      <c r="BH66" s="19">
        <f>('[1]Short Spot'!BH67-'[1]Short Spot'!BH66)*100</f>
        <v>3.4079566553232077</v>
      </c>
      <c r="BI66" s="19">
        <f>('[1]Short Spot'!BI67-'[1]Short Spot'!BI66)*100</f>
        <v>3.4413863108397003</v>
      </c>
    </row>
    <row r="67" spans="1:61" x14ac:dyDescent="0.2">
      <c r="A67" s="18">
        <v>39176</v>
      </c>
      <c r="B67" s="19">
        <f>('[1]Short Spot'!B68-'[1]Short Spot'!B67)*100</f>
        <v>2.273040011298022E-2</v>
      </c>
      <c r="C67" s="19">
        <f>('[1]Short Spot'!C68-'[1]Short Spot'!C67)*100</f>
        <v>0.47603216319016539</v>
      </c>
      <c r="D67" s="19">
        <f>('[1]Short Spot'!D68-'[1]Short Spot'!D67)*100</f>
        <v>0.38021597092861015</v>
      </c>
      <c r="E67" s="19">
        <f>('[1]Short Spot'!E68-'[1]Short Spot'!E67)*100</f>
        <v>0.12487936097294039</v>
      </c>
      <c r="F67" s="19">
        <f>('[1]Short Spot'!F68-'[1]Short Spot'!F67)*100</f>
        <v>-0.1803374239599087</v>
      </c>
      <c r="G67" s="19">
        <f>('[1]Short Spot'!G68-'[1]Short Spot'!G67)*100</f>
        <v>-0.48623366472853036</v>
      </c>
      <c r="H67" s="19">
        <f>('[1]Short Spot'!H68-'[1]Short Spot'!H67)*100</f>
        <v>-0.76702460090194435</v>
      </c>
      <c r="I67" s="19">
        <f>('[1]Short Spot'!I68-'[1]Short Spot'!I67)*100</f>
        <v>-1.0120564054786563</v>
      </c>
      <c r="J67" s="19">
        <f>('[1]Short Spot'!J68-'[1]Short Spot'!J67)*100</f>
        <v>-1.2230861752218658</v>
      </c>
      <c r="K67" s="19">
        <f>('[1]Short Spot'!K68-'[1]Short Spot'!K67)*100</f>
        <v>-1.4068197979648644</v>
      </c>
      <c r="L67" s="19">
        <f>('[1]Short Spot'!L68-'[1]Short Spot'!L67)*100</f>
        <v>-1.569269329493217</v>
      </c>
      <c r="M67" s="19">
        <f>('[1]Short Spot'!M68-'[1]Short Spot'!M67)*100</f>
        <v>-1.7150691744742375</v>
      </c>
      <c r="N67" s="19">
        <f>('[1]Short Spot'!N68-'[1]Short Spot'!N67)*100</f>
        <v>-1.8472839660128137</v>
      </c>
      <c r="O67" s="19">
        <f>('[1]Short Spot'!O68-'[1]Short Spot'!O67)*100</f>
        <v>-1.9677495891483154</v>
      </c>
      <c r="P67" s="19">
        <f>('[1]Short Spot'!P68-'[1]Short Spot'!P67)*100</f>
        <v>-2.0778600935636327</v>
      </c>
      <c r="Q67" s="19">
        <f>('[1]Short Spot'!Q68-'[1]Short Spot'!Q67)*100</f>
        <v>-2.178746046607305</v>
      </c>
      <c r="R67" s="19">
        <f>('[1]Short Spot'!R68-'[1]Short Spot'!R67)*100</f>
        <v>-2.2713520281349098</v>
      </c>
      <c r="S67" s="19">
        <f>('[1]Short Spot'!S68-'[1]Short Spot'!S67)*100</f>
        <v>-2.3564882937031406</v>
      </c>
      <c r="T67" s="19">
        <f>('[1]Short Spot'!T68-'[1]Short Spot'!T67)*100</f>
        <v>-2.4348669105534348</v>
      </c>
      <c r="U67" s="19">
        <f>('[1]Short Spot'!U68-'[1]Short Spot'!U67)*100</f>
        <v>-2.5071319544792914</v>
      </c>
      <c r="V67" s="19">
        <f>('[1]Short Spot'!V68-'[1]Short Spot'!V67)*100</f>
        <v>-2.5738705366148196</v>
      </c>
      <c r="W67" s="19">
        <f>('[1]Short Spot'!W68-'[1]Short Spot'!W67)*100</f>
        <v>-2.6356215973767583</v>
      </c>
      <c r="X67" s="19">
        <f>('[1]Short Spot'!X68-'[1]Short Spot'!X67)*100</f>
        <v>-2.6928863378028467</v>
      </c>
      <c r="Y67" s="19">
        <f>('[1]Short Spot'!Y68-'[1]Short Spot'!Y67)*100</f>
        <v>-2.7461322125337695</v>
      </c>
      <c r="Z67" s="19">
        <f>('[1]Short Spot'!Z68-'[1]Short Spot'!Z67)*100</f>
        <v>-2.7957736581599058</v>
      </c>
      <c r="AA67" s="19">
        <f>('[1]Short Spot'!AA68-'[1]Short Spot'!AA67)*100</f>
        <v>-2.8421667908926196</v>
      </c>
      <c r="AB67" s="19">
        <f>('[1]Short Spot'!AB68-'[1]Short Spot'!AB67)*100</f>
        <v>-2.885619837763187</v>
      </c>
      <c r="AC67" s="19">
        <f>('[1]Short Spot'!AC68-'[1]Short Spot'!AC67)*100</f>
        <v>-2.9264016882619259</v>
      </c>
      <c r="AD67" s="19">
        <f>('[1]Short Spot'!AD68-'[1]Short Spot'!AD67)*100</f>
        <v>-2.9647486766735121</v>
      </c>
      <c r="AE67" s="19">
        <f>('[1]Short Spot'!AE68-'[1]Short Spot'!AE67)*100</f>
        <v>-3.0008699531702376</v>
      </c>
      <c r="AF67" s="19">
        <f>('[1]Short Spot'!AF68-'[1]Short Spot'!AF67)*100</f>
        <v>-3.0349493901790758</v>
      </c>
      <c r="AG67" s="19">
        <f>('[1]Short Spot'!AG68-'[1]Short Spot'!AG67)*100</f>
        <v>-3.0671440479951073</v>
      </c>
      <c r="AH67" s="19">
        <f>('[1]Short Spot'!AH68-'[1]Short Spot'!AH67)*100</f>
        <v>-3.0975870600091326</v>
      </c>
      <c r="AI67" s="19">
        <f>('[1]Short Spot'!AI68-'[1]Short Spot'!AI67)*100</f>
        <v>-3.1263922528145471</v>
      </c>
      <c r="AJ67" s="19">
        <f>('[1]Short Spot'!AJ68-'[1]Short Spot'!AJ67)*100</f>
        <v>-3.1536592315298151</v>
      </c>
      <c r="AK67" s="19">
        <f>('[1]Short Spot'!AK68-'[1]Short Spot'!AK67)*100</f>
        <v>-3.1794758502567966</v>
      </c>
      <c r="AL67" s="19">
        <f>('[1]Short Spot'!AL68-'[1]Short Spot'!AL67)*100</f>
        <v>-3.2039198013368519</v>
      </c>
      <c r="AM67" s="19">
        <f>('[1]Short Spot'!AM68-'[1]Short Spot'!AM67)*100</f>
        <v>-3.2270599524238719</v>
      </c>
      <c r="AN67" s="19">
        <f>('[1]Short Spot'!AN68-'[1]Short Spot'!AN67)*100</f>
        <v>-3.2489574279549238</v>
      </c>
      <c r="AO67" s="19">
        <f>('[1]Short Spot'!AO68-'[1]Short Spot'!AO67)*100</f>
        <v>-3.2696662694125855</v>
      </c>
      <c r="AP67" s="19">
        <f>('[1]Short Spot'!AP68-'[1]Short Spot'!AP67)*100</f>
        <v>-3.2892345836861736</v>
      </c>
      <c r="AQ67" s="19">
        <f>('[1]Short Spot'!AQ68-'[1]Short Spot'!AQ67)*100</f>
        <v>-3.3077054479708323</v>
      </c>
      <c r="AR67" s="19">
        <f>('[1]Short Spot'!AR68-'[1]Short Spot'!AR67)*100</f>
        <v>-3.325117495799379</v>
      </c>
      <c r="AS67" s="19">
        <f>('[1]Short Spot'!AS68-'[1]Short Spot'!AS67)*100</f>
        <v>-3.3415054220028217</v>
      </c>
      <c r="AT67" s="19">
        <f>('[1]Short Spot'!AT68-'[1]Short Spot'!AT67)*100</f>
        <v>-3.3569003548619136</v>
      </c>
      <c r="AU67" s="19">
        <f>('[1]Short Spot'!AU68-'[1]Short Spot'!AU67)*100</f>
        <v>-3.3713302293109315</v>
      </c>
      <c r="AV67" s="19">
        <f>('[1]Short Spot'!AV68-'[1]Short Spot'!AV67)*100</f>
        <v>-3.3848209232955284</v>
      </c>
      <c r="AW67" s="19">
        <f>('[1]Short Spot'!AW68-'[1]Short Spot'!AW67)*100</f>
        <v>-3.397396690830945</v>
      </c>
      <c r="AX67" s="19">
        <f>('[1]Short Spot'!AX68-'[1]Short Spot'!AX67)*100</f>
        <v>-3.4090803278528981</v>
      </c>
      <c r="AY67" s="19">
        <f>('[1]Short Spot'!AY68-'[1]Short Spot'!AY67)*100</f>
        <v>-3.4198933180258351</v>
      </c>
      <c r="AZ67" s="19">
        <f>('[1]Short Spot'!AZ68-'[1]Short Spot'!AZ67)*100</f>
        <v>-3.4298559613979762</v>
      </c>
      <c r="BA67" s="19">
        <f>('[1]Short Spot'!BA68-'[1]Short Spot'!BA67)*100</f>
        <v>-3.4389874856817215</v>
      </c>
      <c r="BB67" s="19">
        <f>('[1]Short Spot'!BB68-'[1]Short Spot'!BB67)*100</f>
        <v>-3.44730602803347</v>
      </c>
      <c r="BC67" s="19">
        <f>('[1]Short Spot'!BC68-'[1]Short Spot'!BC67)*100</f>
        <v>-3.4548289902380347</v>
      </c>
      <c r="BD67" s="19">
        <f>('[1]Short Spot'!BD68-'[1]Short Spot'!BD67)*100</f>
        <v>-3.4615736009584452</v>
      </c>
      <c r="BE67" s="19">
        <f>('[1]Short Spot'!BE68-'[1]Short Spot'!BE67)*100</f>
        <v>-3.4675569685978402</v>
      </c>
      <c r="BF67" s="19">
        <f>('[1]Short Spot'!BF68-'[1]Short Spot'!BF67)*100</f>
        <v>-3.472796091849073</v>
      </c>
      <c r="BG67" s="19">
        <f>('[1]Short Spot'!BG68-'[1]Short Spot'!BG67)*100</f>
        <v>-3.4773078691517689</v>
      </c>
      <c r="BH67" s="19">
        <f>('[1]Short Spot'!BH68-'[1]Short Spot'!BH67)*100</f>
        <v>-3.4811091054554488</v>
      </c>
      <c r="BI67" s="19">
        <f>('[1]Short Spot'!BI68-'[1]Short Spot'!BI67)*100</f>
        <v>-3.484216466890544</v>
      </c>
    </row>
    <row r="68" spans="1:61" x14ac:dyDescent="0.2">
      <c r="A68" s="18">
        <v>39177</v>
      </c>
      <c r="B68" s="19">
        <f>('[1]Short Spot'!B69-'[1]Short Spot'!B68)*100</f>
        <v>-0.74669568397141006</v>
      </c>
      <c r="C68" s="19">
        <f>('[1]Short Spot'!C69-'[1]Short Spot'!C68)*100</f>
        <v>-1.515234072365601</v>
      </c>
      <c r="D68" s="19">
        <f>('[1]Short Spot'!D69-'[1]Short Spot'!D68)*100</f>
        <v>-1.5128546868727888</v>
      </c>
      <c r="E68" s="19">
        <f>('[1]Short Spot'!E69-'[1]Short Spot'!E68)*100</f>
        <v>-1.406207434689577</v>
      </c>
      <c r="F68" s="19">
        <f>('[1]Short Spot'!F69-'[1]Short Spot'!F68)*100</f>
        <v>-1.3389688273160338</v>
      </c>
      <c r="G68" s="19">
        <f>('[1]Short Spot'!G69-'[1]Short Spot'!G68)*100</f>
        <v>-1.3333725925014583</v>
      </c>
      <c r="H68" s="19">
        <f>('[1]Short Spot'!H69-'[1]Short Spot'!H68)*100</f>
        <v>-1.3710474424543762</v>
      </c>
      <c r="I68" s="19">
        <f>('[1]Short Spot'!I69-'[1]Short Spot'!I68)*100</f>
        <v>-1.4312581691650728</v>
      </c>
      <c r="J68" s="19">
        <f>('[1]Short Spot'!J69-'[1]Short Spot'!J68)*100</f>
        <v>-1.5042139039536551</v>
      </c>
      <c r="K68" s="19">
        <f>('[1]Short Spot'!K69-'[1]Short Spot'!K68)*100</f>
        <v>-1.5863471869296042</v>
      </c>
      <c r="L68" s="19">
        <f>('[1]Short Spot'!L69-'[1]Short Spot'!L68)*100</f>
        <v>-1.6743469021581525</v>
      </c>
      <c r="M68" s="19">
        <f>('[1]Short Spot'!M69-'[1]Short Spot'!M68)*100</f>
        <v>-1.7650486541019639</v>
      </c>
      <c r="N68" s="19">
        <f>('[1]Short Spot'!N69-'[1]Short Spot'!N68)*100</f>
        <v>-1.8553288878574214</v>
      </c>
      <c r="O68" s="19">
        <f>('[1]Short Spot'!O69-'[1]Short Spot'!O68)*100</f>
        <v>-1.9422939371134262</v>
      </c>
      <c r="P68" s="19">
        <f>('[1]Short Spot'!P69-'[1]Short Spot'!P68)*100</f>
        <v>-2.0238743225242217</v>
      </c>
      <c r="Q68" s="19">
        <f>('[1]Short Spot'!Q69-'[1]Short Spot'!Q68)*100</f>
        <v>-2.0987110998673231</v>
      </c>
      <c r="R68" s="19">
        <f>('[1]Short Spot'!R69-'[1]Short Spot'!R68)*100</f>
        <v>-2.1659469092567996</v>
      </c>
      <c r="S68" s="19">
        <f>('[1]Short Spot'!S69-'[1]Short Spot'!S68)*100</f>
        <v>-2.2250866461588359</v>
      </c>
      <c r="T68" s="19">
        <f>('[1]Short Spot'!T69-'[1]Short Spot'!T68)*100</f>
        <v>-2.2759090705260832</v>
      </c>
      <c r="U68" s="19">
        <f>('[1]Short Spot'!U69-'[1]Short Spot'!U68)*100</f>
        <v>-2.3184438557812825</v>
      </c>
      <c r="V68" s="19">
        <f>('[1]Short Spot'!V69-'[1]Short Spot'!V68)*100</f>
        <v>-2.3529035610973636</v>
      </c>
      <c r="W68" s="19">
        <f>('[1]Short Spot'!W69-'[1]Short Spot'!W68)*100</f>
        <v>-2.3796282404436653</v>
      </c>
      <c r="X68" s="19">
        <f>('[1]Short Spot'!X69-'[1]Short Spot'!X68)*100</f>
        <v>-2.3990576308853484</v>
      </c>
      <c r="Y68" s="19">
        <f>('[1]Short Spot'!Y69-'[1]Short Spot'!Y68)*100</f>
        <v>-2.4116905466169847</v>
      </c>
      <c r="Z68" s="19">
        <f>('[1]Short Spot'!Z69-'[1]Short Spot'!Z68)*100</f>
        <v>-2.4180043355577219</v>
      </c>
      <c r="AA68" s="19">
        <f>('[1]Short Spot'!AA69-'[1]Short Spot'!AA68)*100</f>
        <v>-2.4184531932126774</v>
      </c>
      <c r="AB68" s="19">
        <f>('[1]Short Spot'!AB69-'[1]Short Spot'!AB68)*100</f>
        <v>-2.4134759865887645</v>
      </c>
      <c r="AC68" s="19">
        <f>('[1]Short Spot'!AC69-'[1]Short Spot'!AC68)*100</f>
        <v>-2.403498991427</v>
      </c>
      <c r="AD68" s="19">
        <f>('[1]Short Spot'!AD69-'[1]Short Spot'!AD68)*100</f>
        <v>-2.3889380631100465</v>
      </c>
      <c r="AE68" s="19">
        <f>('[1]Short Spot'!AE69-'[1]Short Spot'!AE68)*100</f>
        <v>-2.370199770245307</v>
      </c>
      <c r="AF68" s="19">
        <f>('[1]Short Spot'!AF69-'[1]Short Spot'!AF68)*100</f>
        <v>-2.3476692017771583</v>
      </c>
      <c r="AG68" s="19">
        <f>('[1]Short Spot'!AG69-'[1]Short Spot'!AG68)*100</f>
        <v>-2.3216946052065701</v>
      </c>
      <c r="AH68" s="19">
        <f>('[1]Short Spot'!AH69-'[1]Short Spot'!AH68)*100</f>
        <v>-2.2925914474960507</v>
      </c>
      <c r="AI68" s="19">
        <f>('[1]Short Spot'!AI69-'[1]Short Spot'!AI68)*100</f>
        <v>-2.2606472666717004</v>
      </c>
      <c r="AJ68" s="19">
        <f>('[1]Short Spot'!AJ69-'[1]Short Spot'!AJ68)*100</f>
        <v>-2.2261277132245461</v>
      </c>
      <c r="AK68" s="19">
        <f>('[1]Short Spot'!AK69-'[1]Short Spot'!AK68)*100</f>
        <v>-2.1892801873348411</v>
      </c>
      <c r="AL68" s="19">
        <f>('[1]Short Spot'!AL69-'[1]Short Spot'!AL68)*100</f>
        <v>-2.150336306068823</v>
      </c>
      <c r="AM68" s="19">
        <f>('[1]Short Spot'!AM69-'[1]Short Spot'!AM68)*100</f>
        <v>-2.1095139801047047</v>
      </c>
      <c r="AN68" s="19">
        <f>('[1]Short Spot'!AN69-'[1]Short Spot'!AN68)*100</f>
        <v>-2.0670185261599805</v>
      </c>
      <c r="AO68" s="19">
        <f>('[1]Short Spot'!AO69-'[1]Short Spot'!AO68)*100</f>
        <v>-2.0230391978514284</v>
      </c>
      <c r="AP68" s="19">
        <f>('[1]Short Spot'!AP69-'[1]Short Spot'!AP68)*100</f>
        <v>-1.9777489290246919</v>
      </c>
      <c r="AQ68" s="19">
        <f>('[1]Short Spot'!AQ69-'[1]Short Spot'!AQ68)*100</f>
        <v>-1.9313066585982419</v>
      </c>
      <c r="AR68" s="19">
        <f>('[1]Short Spot'!AR69-'[1]Short Spot'!AR68)*100</f>
        <v>-1.8838589593342725</v>
      </c>
      <c r="AS68" s="19">
        <f>('[1]Short Spot'!AS69-'[1]Short Spot'!AS68)*100</f>
        <v>-1.8355414430496708</v>
      </c>
      <c r="AT68" s="19">
        <f>('[1]Short Spot'!AT69-'[1]Short Spot'!AT68)*100</f>
        <v>-1.7864793082537744</v>
      </c>
      <c r="AU68" s="19">
        <f>('[1]Short Spot'!AU69-'[1]Short Spot'!AU68)*100</f>
        <v>-1.7367862067395379</v>
      </c>
      <c r="AV68" s="19">
        <f>('[1]Short Spot'!AV69-'[1]Short Spot'!AV68)*100</f>
        <v>-1.6865668972431358</v>
      </c>
      <c r="AW68" s="19">
        <f>('[1]Short Spot'!AW69-'[1]Short Spot'!AW68)*100</f>
        <v>-1.635918748168752</v>
      </c>
      <c r="AX68" s="19">
        <f>('[1]Short Spot'!AX69-'[1]Short Spot'!AX68)*100</f>
        <v>-1.5849324917572183</v>
      </c>
      <c r="AY68" s="19">
        <f>('[1]Short Spot'!AY69-'[1]Short Spot'!AY68)*100</f>
        <v>-1.5336928877034417</v>
      </c>
      <c r="AZ68" s="19">
        <f>('[1]Short Spot'!AZ69-'[1]Short Spot'!AZ68)*100</f>
        <v>-1.4822793086977093</v>
      </c>
      <c r="BA68" s="19">
        <f>('[1]Short Spot'!BA69-'[1]Short Spot'!BA68)*100</f>
        <v>-1.430766222802049</v>
      </c>
      <c r="BB68" s="19">
        <f>('[1]Short Spot'!BB69-'[1]Short Spot'!BB68)*100</f>
        <v>-1.379222300466143</v>
      </c>
      <c r="BC68" s="19">
        <f>('[1]Short Spot'!BC69-'[1]Short Spot'!BC68)*100</f>
        <v>-1.327710004845617</v>
      </c>
      <c r="BD68" s="19">
        <f>('[1]Short Spot'!BD69-'[1]Short Spot'!BD68)*100</f>
        <v>-1.2762873249323015</v>
      </c>
      <c r="BE68" s="19">
        <f>('[1]Short Spot'!BE69-'[1]Short Spot'!BE68)*100</f>
        <v>-1.2250082696120046</v>
      </c>
      <c r="BF68" s="19">
        <f>('[1]Short Spot'!BF69-'[1]Short Spot'!BF68)*100</f>
        <v>-1.1739232167964353</v>
      </c>
      <c r="BG68" s="19">
        <f>('[1]Short Spot'!BG69-'[1]Short Spot'!BG68)*100</f>
        <v>-1.1230792264380618</v>
      </c>
      <c r="BH68" s="19">
        <f>('[1]Short Spot'!BH69-'[1]Short Spot'!BH68)*100</f>
        <v>-1.0725202986148652</v>
      </c>
      <c r="BI68" s="19">
        <f>('[1]Short Spot'!BI69-'[1]Short Spot'!BI68)*100</f>
        <v>-1.0222869160723569</v>
      </c>
    </row>
    <row r="69" spans="1:61" x14ac:dyDescent="0.2">
      <c r="A69" s="18">
        <v>39182</v>
      </c>
      <c r="B69" s="19">
        <f>('[1]Short Spot'!B70-'[1]Short Spot'!B69)*100</f>
        <v>-7.0867155795389714</v>
      </c>
      <c r="C69" s="19">
        <f>('[1]Short Spot'!C70-'[1]Short Spot'!C69)*100</f>
        <v>-4.8191701548043753</v>
      </c>
      <c r="D69" s="19">
        <f>('[1]Short Spot'!D70-'[1]Short Spot'!D69)*100</f>
        <v>-3.7451793626379626</v>
      </c>
      <c r="E69" s="19">
        <f>('[1]Short Spot'!E70-'[1]Short Spot'!E69)*100</f>
        <v>-3.1608902685166917</v>
      </c>
      <c r="F69" s="19">
        <f>('[1]Short Spot'!F70-'[1]Short Spot'!F69)*100</f>
        <v>-2.7742208411023483</v>
      </c>
      <c r="G69" s="19">
        <f>('[1]Short Spot'!G70-'[1]Short Spot'!G69)*100</f>
        <v>-2.4576717069279219</v>
      </c>
      <c r="H69" s="19">
        <f>('[1]Short Spot'!H70-'[1]Short Spot'!H69)*100</f>
        <v>-2.1600920605615137</v>
      </c>
      <c r="I69" s="19">
        <f>('[1]Short Spot'!I70-'[1]Short Spot'!I69)*100</f>
        <v>-1.864544407780766</v>
      </c>
      <c r="J69" s="19">
        <f>('[1]Short Spot'!J70-'[1]Short Spot'!J69)*100</f>
        <v>-1.5735162130043889</v>
      </c>
      <c r="K69" s="19">
        <f>('[1]Short Spot'!K70-'[1]Short Spot'!K69)*100</f>
        <v>-1.2922973319698272</v>
      </c>
      <c r="L69" s="19">
        <f>('[1]Short Spot'!L70-'[1]Short Spot'!L69)*100</f>
        <v>-1.0235060434079735</v>
      </c>
      <c r="M69" s="19">
        <f>('[1]Short Spot'!M70-'[1]Short Spot'!M69)*100</f>
        <v>-0.76943692075630565</v>
      </c>
      <c r="N69" s="19">
        <f>('[1]Short Spot'!N70-'[1]Short Spot'!N69)*100</f>
        <v>-0.53191289766783001</v>
      </c>
      <c r="O69" s="19">
        <f>('[1]Short Spot'!O70-'[1]Short Spot'!O69)*100</f>
        <v>-0.31229494995361762</v>
      </c>
      <c r="P69" s="19">
        <f>('[1]Short Spot'!P70-'[1]Short Spot'!P69)*100</f>
        <v>-0.11112070474119662</v>
      </c>
      <c r="Q69" s="19">
        <f>('[1]Short Spot'!Q70-'[1]Short Spot'!Q69)*100</f>
        <v>7.176986528234508E-2</v>
      </c>
      <c r="R69" s="19">
        <f>('[1]Short Spot'!R70-'[1]Short Spot'!R69)*100</f>
        <v>0.23702927950672859</v>
      </c>
      <c r="S69" s="19">
        <f>('[1]Short Spot'!S70-'[1]Short Spot'!S69)*100</f>
        <v>0.38566574604343984</v>
      </c>
      <c r="T69" s="19">
        <f>('[1]Short Spot'!T70-'[1]Short Spot'!T69)*100</f>
        <v>0.5189395619779269</v>
      </c>
      <c r="U69" s="19">
        <f>('[1]Short Spot'!U70-'[1]Short Spot'!U69)*100</f>
        <v>0.63818921568143949</v>
      </c>
      <c r="V69" s="19">
        <f>('[1]Short Spot'!V70-'[1]Short Spot'!V69)*100</f>
        <v>0.74470456572504062</v>
      </c>
      <c r="W69" s="19">
        <f>('[1]Short Spot'!W70-'[1]Short Spot'!W69)*100</f>
        <v>0.83972854571197075</v>
      </c>
      <c r="X69" s="19">
        <f>('[1]Short Spot'!X70-'[1]Short Spot'!X69)*100</f>
        <v>0.92446737054645567</v>
      </c>
      <c r="Y69" s="19">
        <f>('[1]Short Spot'!Y70-'[1]Short Spot'!Y69)*100</f>
        <v>1.0000878077376818</v>
      </c>
      <c r="Z69" s="19">
        <f>('[1]Short Spot'!Z70-'[1]Short Spot'!Z69)*100</f>
        <v>1.0676512599207655</v>
      </c>
      <c r="AA69" s="19">
        <f>('[1]Short Spot'!AA70-'[1]Short Spot'!AA69)*100</f>
        <v>1.128083169036298</v>
      </c>
      <c r="AB69" s="19">
        <f>('[1]Short Spot'!AB70-'[1]Short Spot'!AB69)*100</f>
        <v>1.1821954938069368</v>
      </c>
      <c r="AC69" s="19">
        <f>('[1]Short Spot'!AC70-'[1]Short Spot'!AC69)*100</f>
        <v>1.2307069745975063</v>
      </c>
      <c r="AD69" s="19">
        <f>('[1]Short Spot'!AD70-'[1]Short Spot'!AD69)*100</f>
        <v>1.2742592055457358</v>
      </c>
      <c r="AE69" s="19">
        <f>('[1]Short Spot'!AE70-'[1]Short Spot'!AE69)*100</f>
        <v>1.3134294375601208</v>
      </c>
      <c r="AF69" s="19">
        <f>('[1]Short Spot'!AF70-'[1]Short Spot'!AF69)*100</f>
        <v>1.3487367580832021</v>
      </c>
      <c r="AG69" s="19">
        <f>('[1]Short Spot'!AG70-'[1]Short Spot'!AG69)*100</f>
        <v>1.3806405875893546</v>
      </c>
      <c r="AH69" s="19">
        <f>('[1]Short Spot'!AH70-'[1]Short Spot'!AH69)*100</f>
        <v>1.4095468391960075</v>
      </c>
      <c r="AI69" s="19">
        <f>('[1]Short Spot'!AI70-'[1]Short Spot'!AI69)*100</f>
        <v>1.4358135421031371</v>
      </c>
      <c r="AJ69" s="19">
        <f>('[1]Short Spot'!AJ70-'[1]Short Spot'!AJ69)*100</f>
        <v>1.4597551277081067</v>
      </c>
      <c r="AK69" s="19">
        <f>('[1]Short Spot'!AK70-'[1]Short Spot'!AK69)*100</f>
        <v>1.4816482081368321</v>
      </c>
      <c r="AL69" s="19">
        <f>('[1]Short Spot'!AL70-'[1]Short Spot'!AL69)*100</f>
        <v>1.501736686954569</v>
      </c>
      <c r="AM69" s="19">
        <f>('[1]Short Spot'!AM70-'[1]Short Spot'!AM69)*100</f>
        <v>1.5202360629234413</v>
      </c>
      <c r="AN69" s="19">
        <f>('[1]Short Spot'!AN70-'[1]Short Spot'!AN69)*100</f>
        <v>1.5373371643038425</v>
      </c>
      <c r="AO69" s="19">
        <f>('[1]Short Spot'!AO70-'[1]Short Spot'!AO69)*100</f>
        <v>1.5532091501787804</v>
      </c>
      <c r="AP69" s="19">
        <f>('[1]Short Spot'!AP70-'[1]Short Spot'!AP69)*100</f>
        <v>1.5680011820166762</v>
      </c>
      <c r="AQ69" s="19">
        <f>('[1]Short Spot'!AQ70-'[1]Short Spot'!AQ69)*100</f>
        <v>1.5818445991785168</v>
      </c>
      <c r="AR69" s="19">
        <f>('[1]Short Spot'!AR70-'[1]Short Spot'!AR69)*100</f>
        <v>1.5948549912524257</v>
      </c>
      <c r="AS69" s="19">
        <f>('[1]Short Spot'!AS70-'[1]Short Spot'!AS69)*100</f>
        <v>1.6071339879210278</v>
      </c>
      <c r="AT69" s="19">
        <f>('[1]Short Spot'!AT70-'[1]Short Spot'!AT69)*100</f>
        <v>1.6187710430201285</v>
      </c>
      <c r="AU69" s="19">
        <f>('[1]Short Spot'!AU70-'[1]Short Spot'!AU69)*100</f>
        <v>1.6298455905907616</v>
      </c>
      <c r="AV69" s="19">
        <f>('[1]Short Spot'!AV70-'[1]Short Spot'!AV69)*100</f>
        <v>1.6404280924024128</v>
      </c>
      <c r="AW69" s="19">
        <f>('[1]Short Spot'!AW70-'[1]Short Spot'!AW69)*100</f>
        <v>1.6505809059918164</v>
      </c>
      <c r="AX69" s="19">
        <f>('[1]Short Spot'!AX70-'[1]Short Spot'!AX69)*100</f>
        <v>1.6603591116266969</v>
      </c>
      <c r="AY69" s="19">
        <f>('[1]Short Spot'!AY70-'[1]Short Spot'!AY69)*100</f>
        <v>1.6698112400322707</v>
      </c>
      <c r="AZ69" s="19">
        <f>('[1]Short Spot'!AZ70-'[1]Short Spot'!AZ69)*100</f>
        <v>1.6789799145025874</v>
      </c>
      <c r="BA69" s="19">
        <f>('[1]Short Spot'!BA70-'[1]Short Spot'!BA69)*100</f>
        <v>1.6879024337074</v>
      </c>
      <c r="BB69" s="19">
        <f>('[1]Short Spot'!BB70-'[1]Short Spot'!BB69)*100</f>
        <v>1.6966116666322861</v>
      </c>
      <c r="BC69" s="19">
        <f>('[1]Short Spot'!BC70-'[1]Short Spot'!BC69)*100</f>
        <v>1.705136785858663</v>
      </c>
      <c r="BD69" s="19">
        <f>('[1]Short Spot'!BD70-'[1]Short Spot'!BD69)*100</f>
        <v>1.7135034380375558</v>
      </c>
      <c r="BE69" s="19">
        <f>('[1]Short Spot'!BE70-'[1]Short Spot'!BE69)*100</f>
        <v>1.7217340481253451</v>
      </c>
      <c r="BF69" s="19">
        <f>('[1]Short Spot'!BF70-'[1]Short Spot'!BF69)*100</f>
        <v>1.7298481019887291</v>
      </c>
      <c r="BG69" s="19">
        <f>('[1]Short Spot'!BG70-'[1]Short Spot'!BG69)*100</f>
        <v>1.7378623997738707</v>
      </c>
      <c r="BH69" s="19">
        <f>('[1]Short Spot'!BH70-'[1]Short Spot'!BH69)*100</f>
        <v>1.7457912923389607</v>
      </c>
      <c r="BI69" s="19">
        <f>('[1]Short Spot'!BI70-'[1]Short Spot'!BI69)*100</f>
        <v>1.7536470712797403</v>
      </c>
    </row>
    <row r="70" spans="1:61" x14ac:dyDescent="0.2">
      <c r="A70" s="18">
        <v>39183</v>
      </c>
      <c r="B70" s="19">
        <f>('[1]Short Spot'!B71-'[1]Short Spot'!B70)*100</f>
        <v>-1.4399372529716459E-2</v>
      </c>
      <c r="C70" s="19">
        <f>('[1]Short Spot'!C71-'[1]Short Spot'!C70)*100</f>
        <v>-0.57843955045138173</v>
      </c>
      <c r="D70" s="19">
        <f>('[1]Short Spot'!D71-'[1]Short Spot'!D70)*100</f>
        <v>-0.6647617125948635</v>
      </c>
      <c r="E70" s="19">
        <f>('[1]Short Spot'!E71-'[1]Short Spot'!E70)*100</f>
        <v>-0.49652673411255677</v>
      </c>
      <c r="F70" s="19">
        <f>('[1]Short Spot'!F71-'[1]Short Spot'!F70)*100</f>
        <v>-0.2464418381928013</v>
      </c>
      <c r="G70" s="19">
        <f>('[1]Short Spot'!G71-'[1]Short Spot'!G70)*100</f>
        <v>1.8677730206917431E-3</v>
      </c>
      <c r="H70" s="19">
        <f>('[1]Short Spot'!H71-'[1]Short Spot'!H70)*100</f>
        <v>0.20802995555282422</v>
      </c>
      <c r="I70" s="19">
        <f>('[1]Short Spot'!I71-'[1]Short Spot'!I70)*100</f>
        <v>0.35773704102100012</v>
      </c>
      <c r="J70" s="19">
        <f>('[1]Short Spot'!J71-'[1]Short Spot'!J70)*100</f>
        <v>0.45668744849383103</v>
      </c>
      <c r="K70" s="19">
        <f>('[1]Short Spot'!K71-'[1]Short Spot'!K70)*100</f>
        <v>0.51679744948938122</v>
      </c>
      <c r="L70" s="19">
        <f>('[1]Short Spot'!L71-'[1]Short Spot'!L70)*100</f>
        <v>0.54908644212829927</v>
      </c>
      <c r="M70" s="19">
        <f>('[1]Short Spot'!M71-'[1]Short Spot'!M70)*100</f>
        <v>0.56246969633431121</v>
      </c>
      <c r="N70" s="19">
        <f>('[1]Short Spot'!N71-'[1]Short Spot'!N70)*100</f>
        <v>0.56369425329183542</v>
      </c>
      <c r="O70" s="19">
        <f>('[1]Short Spot'!O71-'[1]Short Spot'!O70)*100</f>
        <v>0.55749973537642106</v>
      </c>
      <c r="P70" s="19">
        <f>('[1]Short Spot'!P71-'[1]Short Spot'!P70)*100</f>
        <v>0.54711422372850649</v>
      </c>
      <c r="Q70" s="19">
        <f>('[1]Short Spot'!Q71-'[1]Short Spot'!Q70)*100</f>
        <v>0.53471246288054886</v>
      </c>
      <c r="R70" s="19">
        <f>('[1]Short Spot'!R71-'[1]Short Spot'!R70)*100</f>
        <v>0.52172566562793676</v>
      </c>
      <c r="S70" s="19">
        <f>('[1]Short Spot'!S71-'[1]Short Spot'!S70)*100</f>
        <v>0.50904804962215167</v>
      </c>
      <c r="T70" s="19">
        <f>('[1]Short Spot'!T71-'[1]Short Spot'!T70)*100</f>
        <v>0.49717912786233498</v>
      </c>
      <c r="U70" s="19">
        <f>('[1]Short Spot'!U71-'[1]Short Spot'!U70)*100</f>
        <v>0.48635971587493998</v>
      </c>
      <c r="V70" s="19">
        <f>('[1]Short Spot'!V71-'[1]Short Spot'!V70)*100</f>
        <v>0.47669281703264232</v>
      </c>
      <c r="W70" s="19">
        <f>('[1]Short Spot'!W71-'[1]Short Spot'!W70)*100</f>
        <v>0.46818343587915479</v>
      </c>
      <c r="X70" s="19">
        <f>('[1]Short Spot'!X71-'[1]Short Spot'!X70)*100</f>
        <v>0.46075992200895755</v>
      </c>
      <c r="Y70" s="19">
        <f>('[1]Short Spot'!Y71-'[1]Short Spot'!Y70)*100</f>
        <v>0.45429965217520518</v>
      </c>
      <c r="Z70" s="19">
        <f>('[1]Short Spot'!Z71-'[1]Short Spot'!Z70)*100</f>
        <v>0.44867755254953678</v>
      </c>
      <c r="AA70" s="19">
        <f>('[1]Short Spot'!AA71-'[1]Short Spot'!AA70)*100</f>
        <v>0.44378165306699913</v>
      </c>
      <c r="AB70" s="19">
        <f>('[1]Short Spot'!AB71-'[1]Short Spot'!AB70)*100</f>
        <v>0.4395108532261105</v>
      </c>
      <c r="AC70" s="19">
        <f>('[1]Short Spot'!AC71-'[1]Short Spot'!AC70)*100</f>
        <v>0.43577298109527263</v>
      </c>
      <c r="AD70" s="19">
        <f>('[1]Short Spot'!AD71-'[1]Short Spot'!AD70)*100</f>
        <v>0.43248325390461417</v>
      </c>
      <c r="AE70" s="19">
        <f>('[1]Short Spot'!AE71-'[1]Short Spot'!AE70)*100</f>
        <v>0.42956326595922079</v>
      </c>
      <c r="AF70" s="19">
        <f>('[1]Short Spot'!AF71-'[1]Short Spot'!AF70)*100</f>
        <v>0.42694306562172102</v>
      </c>
      <c r="AG70" s="19">
        <f>('[1]Short Spot'!AG71-'[1]Short Spot'!AG70)*100</f>
        <v>0.42456272633826231</v>
      </c>
      <c r="AH70" s="19">
        <f>('[1]Short Spot'!AH71-'[1]Short Spot'!AH70)*100</f>
        <v>0.42237091113426217</v>
      </c>
      <c r="AI70" s="19">
        <f>('[1]Short Spot'!AI71-'[1]Short Spot'!AI70)*100</f>
        <v>0.42032421150697274</v>
      </c>
      <c r="AJ70" s="19">
        <f>('[1]Short Spot'!AJ71-'[1]Short Spot'!AJ70)*100</f>
        <v>0.41838641883256145</v>
      </c>
      <c r="AK70" s="19">
        <f>('[1]Short Spot'!AK71-'[1]Short Spot'!AK70)*100</f>
        <v>0.41652753882752691</v>
      </c>
      <c r="AL70" s="19">
        <f>('[1]Short Spot'!AL71-'[1]Short Spot'!AL70)*100</f>
        <v>0.41472295177280571</v>
      </c>
      <c r="AM70" s="19">
        <f>('[1]Short Spot'!AM71-'[1]Short Spot'!AM70)*100</f>
        <v>0.41295270533625583</v>
      </c>
      <c r="AN70" s="19">
        <f>('[1]Short Spot'!AN71-'[1]Short Spot'!AN70)*100</f>
        <v>0.41120104519389855</v>
      </c>
      <c r="AO70" s="19">
        <f>('[1]Short Spot'!AO71-'[1]Short Spot'!AO70)*100</f>
        <v>0.40945610899862928</v>
      </c>
      <c r="AP70" s="19">
        <f>('[1]Short Spot'!AP71-'[1]Short Spot'!AP70)*100</f>
        <v>0.40770883383780543</v>
      </c>
      <c r="AQ70" s="19">
        <f>('[1]Short Spot'!AQ71-'[1]Short Spot'!AQ70)*100</f>
        <v>0.40595247208523588</v>
      </c>
      <c r="AR70" s="19">
        <f>('[1]Short Spot'!AR71-'[1]Short Spot'!AR70)*100</f>
        <v>0.40418232218035754</v>
      </c>
      <c r="AS70" s="19">
        <f>('[1]Short Spot'!AS71-'[1]Short Spot'!AS70)*100</f>
        <v>0.40239549639817795</v>
      </c>
      <c r="AT70" s="19">
        <f>('[1]Short Spot'!AT71-'[1]Short Spot'!AT70)*100</f>
        <v>0.40059085836690045</v>
      </c>
      <c r="AU70" s="19">
        <f>('[1]Short Spot'!AU71-'[1]Short Spot'!AU70)*100</f>
        <v>0.39876877468927319</v>
      </c>
      <c r="AV70" s="19">
        <f>('[1]Short Spot'!AV71-'[1]Short Spot'!AV70)*100</f>
        <v>0.39693025584632835</v>
      </c>
      <c r="AW70" s="19">
        <f>('[1]Short Spot'!AW71-'[1]Short Spot'!AW70)*100</f>
        <v>0.39507678852608308</v>
      </c>
      <c r="AX70" s="19">
        <f>('[1]Short Spot'!AX71-'[1]Short Spot'!AX70)*100</f>
        <v>0.39321028702863359</v>
      </c>
      <c r="AY70" s="19">
        <f>('[1]Short Spot'!AY71-'[1]Short Spot'!AY70)*100</f>
        <v>0.39133305050675915</v>
      </c>
      <c r="AZ70" s="19">
        <f>('[1]Short Spot'!AZ71-'[1]Short Spot'!AZ70)*100</f>
        <v>0.38944772523459292</v>
      </c>
      <c r="BA70" s="19">
        <f>('[1]Short Spot'!BA71-'[1]Short Spot'!BA70)*100</f>
        <v>0.38755728570292192</v>
      </c>
      <c r="BB70" s="19">
        <f>('[1]Short Spot'!BB71-'[1]Short Spot'!BB70)*100</f>
        <v>0.38566519627494245</v>
      </c>
      <c r="BC70" s="19">
        <f>('[1]Short Spot'!BC71-'[1]Short Spot'!BC70)*100</f>
        <v>0.38377506494846614</v>
      </c>
      <c r="BD70" s="19">
        <f>('[1]Short Spot'!BD71-'[1]Short Spot'!BD70)*100</f>
        <v>0.38189028765414079</v>
      </c>
      <c r="BE70" s="19">
        <f>('[1]Short Spot'!BE71-'[1]Short Spot'!BE70)*100</f>
        <v>0.38001405660752496</v>
      </c>
      <c r="BF70" s="19">
        <f>('[1]Short Spot'!BF71-'[1]Short Spot'!BF70)*100</f>
        <v>0.37814937817914895</v>
      </c>
      <c r="BG70" s="19">
        <f>('[1]Short Spot'!BG71-'[1]Short Spot'!BG70)*100</f>
        <v>0.37629908891547714</v>
      </c>
      <c r="BH70" s="19">
        <f>('[1]Short Spot'!BH71-'[1]Short Spot'!BH70)*100</f>
        <v>0.37446587791665209</v>
      </c>
      <c r="BI70" s="19">
        <f>('[1]Short Spot'!BI71-'[1]Short Spot'!BI70)*100</f>
        <v>0.37265236918315736</v>
      </c>
    </row>
    <row r="71" spans="1:61" x14ac:dyDescent="0.2">
      <c r="A71" s="18">
        <v>39184</v>
      </c>
      <c r="B71" s="19">
        <f>('[1]Short Spot'!B72-'[1]Short Spot'!B71)*100</f>
        <v>1.3899145675821956E-2</v>
      </c>
      <c r="C71" s="19">
        <f>('[1]Short Spot'!C72-'[1]Short Spot'!C71)*100</f>
        <v>1.3170407924061323</v>
      </c>
      <c r="D71" s="19">
        <f>('[1]Short Spot'!D72-'[1]Short Spot'!D71)*100</f>
        <v>1.8449155645106963</v>
      </c>
      <c r="E71" s="19">
        <f>('[1]Short Spot'!E72-'[1]Short Spot'!E71)*100</f>
        <v>1.9718590860342999</v>
      </c>
      <c r="F71" s="19">
        <f>('[1]Short Spot'!F72-'[1]Short Spot'!F71)*100</f>
        <v>1.9172610762713482</v>
      </c>
      <c r="G71" s="19">
        <f>('[1]Short Spot'!G72-'[1]Short Spot'!G71)*100</f>
        <v>1.7953570830362864</v>
      </c>
      <c r="H71" s="19">
        <f>('[1]Short Spot'!H72-'[1]Short Spot'!H71)*100</f>
        <v>1.6713602724994558</v>
      </c>
      <c r="I71" s="19">
        <f>('[1]Short Spot'!I72-'[1]Short Spot'!I71)*100</f>
        <v>1.5778346453686254</v>
      </c>
      <c r="J71" s="19">
        <f>('[1]Short Spot'!J72-'[1]Short Spot'!J71)*100</f>
        <v>1.5202953285990972</v>
      </c>
      <c r="K71" s="19">
        <f>('[1]Short Spot'!K72-'[1]Short Spot'!K71)*100</f>
        <v>1.4941111911603855</v>
      </c>
      <c r="L71" s="19">
        <f>('[1]Short Spot'!L72-'[1]Short Spot'!L71)*100</f>
        <v>1.4932442349673281</v>
      </c>
      <c r="M71" s="19">
        <f>('[1]Short Spot'!M72-'[1]Short Spot'!M71)*100</f>
        <v>1.5114645576637109</v>
      </c>
      <c r="N71" s="19">
        <f>('[1]Short Spot'!N72-'[1]Short Spot'!N71)*100</f>
        <v>1.5427548656687051</v>
      </c>
      <c r="O71" s="19">
        <f>('[1]Short Spot'!O72-'[1]Short Spot'!O71)*100</f>
        <v>1.5823797369018067</v>
      </c>
      <c r="P71" s="19">
        <f>('[1]Short Spot'!P72-'[1]Short Spot'!P71)*100</f>
        <v>1.6270460911425921</v>
      </c>
      <c r="Q71" s="19">
        <f>('[1]Short Spot'!Q72-'[1]Short Spot'!Q71)*100</f>
        <v>1.6744412509461348</v>
      </c>
      <c r="R71" s="19">
        <f>('[1]Short Spot'!R72-'[1]Short Spot'!R71)*100</f>
        <v>1.7229445642763963</v>
      </c>
      <c r="S71" s="19">
        <f>('[1]Short Spot'!S72-'[1]Short Spot'!S71)*100</f>
        <v>1.7714351752272428</v>
      </c>
      <c r="T71" s="19">
        <f>('[1]Short Spot'!T72-'[1]Short Spot'!T71)*100</f>
        <v>1.8191566459011099</v>
      </c>
      <c r="U71" s="19">
        <f>('[1]Short Spot'!U72-'[1]Short Spot'!U71)*100</f>
        <v>1.8656077171036678</v>
      </c>
      <c r="V71" s="19">
        <f>('[1]Short Spot'!V72-'[1]Short Spot'!V71)*100</f>
        <v>1.910481291944599</v>
      </c>
      <c r="W71" s="19">
        <f>('[1]Short Spot'!W72-'[1]Short Spot'!W71)*100</f>
        <v>1.9536224048593454</v>
      </c>
      <c r="X71" s="19">
        <f>('[1]Short Spot'!X72-'[1]Short Spot'!X71)*100</f>
        <v>1.9949951661779153</v>
      </c>
      <c r="Y71" s="19">
        <f>('[1]Short Spot'!Y72-'[1]Short Spot'!Y71)*100</f>
        <v>2.0346530250524353</v>
      </c>
      <c r="Z71" s="19">
        <f>('[1]Short Spot'!Z72-'[1]Short Spot'!Z71)*100</f>
        <v>2.0726844179791648</v>
      </c>
      <c r="AA71" s="19">
        <f>('[1]Short Spot'!AA72-'[1]Short Spot'!AA71)*100</f>
        <v>2.109181680732064</v>
      </c>
      <c r="AB71" s="19">
        <f>('[1]Short Spot'!AB72-'[1]Short Spot'!AB71)*100</f>
        <v>2.1442391632028546</v>
      </c>
      <c r="AC71" s="19">
        <f>('[1]Short Spot'!AC72-'[1]Short Spot'!AC71)*100</f>
        <v>2.1779528697378758</v>
      </c>
      <c r="AD71" s="19">
        <f>('[1]Short Spot'!AD72-'[1]Short Spot'!AD71)*100</f>
        <v>2.2104201738860851</v>
      </c>
      <c r="AE71" s="19">
        <f>('[1]Short Spot'!AE72-'[1]Short Spot'!AE71)*100</f>
        <v>2.2417395407969387</v>
      </c>
      <c r="AF71" s="19">
        <f>('[1]Short Spot'!AF72-'[1]Short Spot'!AF71)*100</f>
        <v>2.2720069149457345</v>
      </c>
      <c r="AG71" s="19">
        <f>('[1]Short Spot'!AG72-'[1]Short Spot'!AG71)*100</f>
        <v>2.3013082691863751</v>
      </c>
      <c r="AH71" s="19">
        <f>('[1]Short Spot'!AH72-'[1]Short Spot'!AH71)*100</f>
        <v>2.3297193715757558</v>
      </c>
      <c r="AI71" s="19">
        <f>('[1]Short Spot'!AI72-'[1]Short Spot'!AI71)*100</f>
        <v>2.3573072408911599</v>
      </c>
      <c r="AJ71" s="19">
        <f>('[1]Short Spot'!AJ72-'[1]Short Spot'!AJ71)*100</f>
        <v>2.3841311763795225</v>
      </c>
      <c r="AK71" s="19">
        <f>('[1]Short Spot'!AK72-'[1]Short Spot'!AK71)*100</f>
        <v>2.4102437925987985</v>
      </c>
      <c r="AL71" s="19">
        <f>('[1]Short Spot'!AL72-'[1]Short Spot'!AL71)*100</f>
        <v>2.43569192275368</v>
      </c>
      <c r="AM71" s="19">
        <f>('[1]Short Spot'!AM72-'[1]Short Spot'!AM71)*100</f>
        <v>2.4605173794097546</v>
      </c>
      <c r="AN71" s="19">
        <f>('[1]Short Spot'!AN72-'[1]Short Spot'!AN71)*100</f>
        <v>2.4847577146393185</v>
      </c>
      <c r="AO71" s="19">
        <f>('[1]Short Spot'!AO72-'[1]Short Spot'!AO71)*100</f>
        <v>2.5084467388854392</v>
      </c>
      <c r="AP71" s="19">
        <f>('[1]Short Spot'!AP72-'[1]Short Spot'!AP71)*100</f>
        <v>2.531614187140363</v>
      </c>
      <c r="AQ71" s="19">
        <f>('[1]Short Spot'!AQ72-'[1]Short Spot'!AQ71)*100</f>
        <v>2.5542860571379222</v>
      </c>
      <c r="AR71" s="19">
        <f>('[1]Short Spot'!AR72-'[1]Short Spot'!AR71)*100</f>
        <v>2.576485043918364</v>
      </c>
      <c r="AS71" s="19">
        <f>('[1]Short Spot'!AS72-'[1]Short Spot'!AS71)*100</f>
        <v>2.5982309157175365</v>
      </c>
      <c r="AT71" s="19">
        <f>('[1]Short Spot'!AT72-'[1]Short Spot'!AT71)*100</f>
        <v>2.6195410882061232</v>
      </c>
      <c r="AU71" s="19">
        <f>('[1]Short Spot'!AU72-'[1]Short Spot'!AU71)*100</f>
        <v>2.6404314822912056</v>
      </c>
      <c r="AV71" s="19">
        <f>('[1]Short Spot'!AV72-'[1]Short Spot'!AV71)*100</f>
        <v>2.6609164744018976</v>
      </c>
      <c r="AW71" s="19">
        <f>('[1]Short Spot'!AW72-'[1]Short Spot'!AW71)*100</f>
        <v>2.6810089946987858</v>
      </c>
      <c r="AX71" s="19">
        <f>('[1]Short Spot'!AX72-'[1]Short Spot'!AX71)*100</f>
        <v>2.7007206746540113</v>
      </c>
      <c r="AY71" s="19">
        <f>('[1]Short Spot'!AY72-'[1]Short Spot'!AY71)*100</f>
        <v>2.7200619769186751</v>
      </c>
      <c r="AZ71" s="19">
        <f>('[1]Short Spot'!AZ72-'[1]Short Spot'!AZ71)*100</f>
        <v>2.7390423099138417</v>
      </c>
      <c r="BA71" s="19">
        <f>('[1]Short Spot'!BA72-'[1]Short Spot'!BA71)*100</f>
        <v>2.7576701488366773</v>
      </c>
      <c r="BB71" s="19">
        <f>('[1]Short Spot'!BB72-'[1]Short Spot'!BB71)*100</f>
        <v>2.7759534499787186</v>
      </c>
      <c r="BC71" s="19">
        <f>('[1]Short Spot'!BC72-'[1]Short Spot'!BC71)*100</f>
        <v>2.7938997164547175</v>
      </c>
      <c r="BD71" s="19">
        <f>('[1]Short Spot'!BD72-'[1]Short Spot'!BD71)*100</f>
        <v>2.8115158106932547</v>
      </c>
      <c r="BE71" s="19">
        <f>('[1]Short Spot'!BE72-'[1]Short Spot'!BE71)*100</f>
        <v>2.8288080040934638</v>
      </c>
      <c r="BF71" s="19">
        <f>('[1]Short Spot'!BF72-'[1]Short Spot'!BF71)*100</f>
        <v>2.845782028869337</v>
      </c>
      <c r="BG71" s="19">
        <f>('[1]Short Spot'!BG72-'[1]Short Spot'!BG71)*100</f>
        <v>2.8624431245310333</v>
      </c>
      <c r="BH71" s="19">
        <f>('[1]Short Spot'!BH72-'[1]Short Spot'!BH71)*100</f>
        <v>2.8787960910633181</v>
      </c>
      <c r="BI71" s="19">
        <f>('[1]Short Spot'!BI72-'[1]Short Spot'!BI71)*100</f>
        <v>2.8948454865320272</v>
      </c>
    </row>
    <row r="72" spans="1:61" x14ac:dyDescent="0.2">
      <c r="A72" s="18">
        <v>39185</v>
      </c>
      <c r="B72" s="19">
        <f>('[1]Short Spot'!B73-'[1]Short Spot'!B72)*100</f>
        <v>0.37000127066706412</v>
      </c>
      <c r="C72" s="19">
        <f>('[1]Short Spot'!C73-'[1]Short Spot'!C72)*100</f>
        <v>0.14612417572053005</v>
      </c>
      <c r="D72" s="19">
        <f>('[1]Short Spot'!D73-'[1]Short Spot'!D72)*100</f>
        <v>-9.7804942251578098E-2</v>
      </c>
      <c r="E72" s="19">
        <f>('[1]Short Spot'!E73-'[1]Short Spot'!E72)*100</f>
        <v>-0.180043313989664</v>
      </c>
      <c r="F72" s="19">
        <f>('[1]Short Spot'!F73-'[1]Short Spot'!F72)*100</f>
        <v>-0.15508013379275098</v>
      </c>
      <c r="G72" s="19">
        <f>('[1]Short Spot'!G73-'[1]Short Spot'!G72)*100</f>
        <v>-6.2955830346922426E-2</v>
      </c>
      <c r="H72" s="19">
        <f>('[1]Short Spot'!H73-'[1]Short Spot'!H72)*100</f>
        <v>6.4147996168628652E-2</v>
      </c>
      <c r="I72" s="19">
        <f>('[1]Short Spot'!I73-'[1]Short Spot'!I72)*100</f>
        <v>0.20554507060168703</v>
      </c>
      <c r="J72" s="19">
        <f>('[1]Short Spot'!J73-'[1]Short Spot'!J72)*100</f>
        <v>0.35115558102729594</v>
      </c>
      <c r="K72" s="19">
        <f>('[1]Short Spot'!K73-'[1]Short Spot'!K72)*100</f>
        <v>0.49459277941723556</v>
      </c>
      <c r="L72" s="19">
        <f>('[1]Short Spot'!L73-'[1]Short Spot'!L72)*100</f>
        <v>0.63174042643296957</v>
      </c>
      <c r="M72" s="19">
        <f>('[1]Short Spot'!M73-'[1]Short Spot'!M72)*100</f>
        <v>0.7611050667008179</v>
      </c>
      <c r="N72" s="19">
        <f>('[1]Short Spot'!N73-'[1]Short Spot'!N72)*100</f>
        <v>0.88256072228736215</v>
      </c>
      <c r="O72" s="19">
        <f>('[1]Short Spot'!O73-'[1]Short Spot'!O72)*100</f>
        <v>0.99632471250119536</v>
      </c>
      <c r="P72" s="19">
        <f>('[1]Short Spot'!P73-'[1]Short Spot'!P72)*100</f>
        <v>1.1027629618336476</v>
      </c>
      <c r="Q72" s="19">
        <f>('[1]Short Spot'!Q73-'[1]Short Spot'!Q72)*100</f>
        <v>1.2023707547784923</v>
      </c>
      <c r="R72" s="19">
        <f>('[1]Short Spot'!R73-'[1]Short Spot'!R72)*100</f>
        <v>1.2957347077741765</v>
      </c>
      <c r="S72" s="19">
        <f>('[1]Short Spot'!S73-'[1]Short Spot'!S72)*100</f>
        <v>1.3835073960725808</v>
      </c>
      <c r="T72" s="19">
        <f>('[1]Short Spot'!T73-'[1]Short Spot'!T72)*100</f>
        <v>1.4663684708527747</v>
      </c>
      <c r="U72" s="19">
        <f>('[1]Short Spot'!U73-'[1]Short Spot'!U72)*100</f>
        <v>1.5449106657536404</v>
      </c>
      <c r="V72" s="19">
        <f>('[1]Short Spot'!V73-'[1]Short Spot'!V72)*100</f>
        <v>1.61962572840606</v>
      </c>
      <c r="W72" s="19">
        <f>('[1]Short Spot'!W73-'[1]Short Spot'!W72)*100</f>
        <v>1.6909306101557497</v>
      </c>
      <c r="X72" s="19">
        <f>('[1]Short Spot'!X73-'[1]Short Spot'!X72)*100</f>
        <v>1.7591839040905555</v>
      </c>
      <c r="Y72" s="19">
        <f>('[1]Short Spot'!Y73-'[1]Short Spot'!Y72)*100</f>
        <v>1.8247057425538671</v>
      </c>
      <c r="Z72" s="19">
        <f>('[1]Short Spot'!Z73-'[1]Short Spot'!Z72)*100</f>
        <v>1.887784959795713</v>
      </c>
      <c r="AA72" s="19">
        <f>('[1]Short Spot'!AA73-'[1]Short Spot'!AA72)*100</f>
        <v>1.9486717904055872</v>
      </c>
      <c r="AB72" s="19">
        <f>('[1]Short Spot'!AB73-'[1]Short Spot'!AB72)*100</f>
        <v>2.0075840124855304</v>
      </c>
      <c r="AC72" s="19">
        <f>('[1]Short Spot'!AC73-'[1]Short Spot'!AC72)*100</f>
        <v>2.0647127434501478</v>
      </c>
      <c r="AD72" s="19">
        <f>('[1]Short Spot'!AD73-'[1]Short Spot'!AD72)*100</f>
        <v>2.1202270366983633</v>
      </c>
      <c r="AE72" s="19">
        <f>('[1]Short Spot'!AE73-'[1]Short Spot'!AE72)*100</f>
        <v>2.1742778805512231</v>
      </c>
      <c r="AF72" s="19">
        <f>('[1]Short Spot'!AF73-'[1]Short Spot'!AF72)*100</f>
        <v>2.2270009670800839</v>
      </c>
      <c r="AG72" s="19">
        <f>('[1]Short Spot'!AG73-'[1]Short Spot'!AG72)*100</f>
        <v>2.2785134555824094</v>
      </c>
      <c r="AH72" s="19">
        <f>('[1]Short Spot'!AH73-'[1]Short Spot'!AH72)*100</f>
        <v>2.3289154721130245</v>
      </c>
      <c r="AI72" s="19">
        <f>('[1]Short Spot'!AI73-'[1]Short Spot'!AI72)*100</f>
        <v>2.3782949126896824</v>
      </c>
      <c r="AJ72" s="19">
        <f>('[1]Short Spot'!AJ73-'[1]Short Spot'!AJ72)*100</f>
        <v>2.4267303124141826</v>
      </c>
      <c r="AK72" s="19">
        <f>('[1]Short Spot'!AK73-'[1]Short Spot'!AK72)*100</f>
        <v>2.4742921580516608</v>
      </c>
      <c r="AL72" s="19">
        <f>('[1]Short Spot'!AL73-'[1]Short Spot'!AL72)*100</f>
        <v>2.5210439756438774</v>
      </c>
      <c r="AM72" s="19">
        <f>('[1]Short Spot'!AM73-'[1]Short Spot'!AM72)*100</f>
        <v>2.5670432469506288</v>
      </c>
      <c r="AN72" s="19">
        <f>('[1]Short Spot'!AN73-'[1]Short Spot'!AN72)*100</f>
        <v>2.6123426159870178</v>
      </c>
      <c r="AO72" s="19">
        <f>('[1]Short Spot'!AO73-'[1]Short Spot'!AO72)*100</f>
        <v>2.6569906312096769</v>
      </c>
      <c r="AP72" s="19">
        <f>('[1]Short Spot'!AP73-'[1]Short Spot'!AP72)*100</f>
        <v>2.7010303175742045</v>
      </c>
      <c r="AQ72" s="19">
        <f>('[1]Short Spot'!AQ73-'[1]Short Spot'!AQ72)*100</f>
        <v>2.7444995175110343</v>
      </c>
      <c r="AR72" s="19">
        <f>('[1]Short Spot'!AR73-'[1]Short Spot'!AR72)*100</f>
        <v>2.7874314935455224</v>
      </c>
      <c r="AS72" s="19">
        <f>('[1]Short Spot'!AS73-'[1]Short Spot'!AS72)*100</f>
        <v>2.8298554536331899</v>
      </c>
      <c r="AT72" s="19">
        <f>('[1]Short Spot'!AT73-'[1]Short Spot'!AT72)*100</f>
        <v>2.8717976600797002</v>
      </c>
      <c r="AU72" s="19">
        <f>('[1]Short Spot'!AU73-'[1]Short Spot'!AU72)*100</f>
        <v>2.9132821843641743</v>
      </c>
      <c r="AV72" s="19">
        <f>('[1]Short Spot'!AV73-'[1]Short Spot'!AV72)*100</f>
        <v>2.9543297038287619</v>
      </c>
      <c r="AW72" s="19">
        <f>('[1]Short Spot'!AW73-'[1]Short Spot'!AW72)*100</f>
        <v>2.9949576728078853</v>
      </c>
      <c r="AX72" s="19">
        <f>('[1]Short Spot'!AX73-'[1]Short Spot'!AX72)*100</f>
        <v>3.0351806515048985</v>
      </c>
      <c r="AY72" s="19">
        <f>('[1]Short Spot'!AY73-'[1]Short Spot'!AY72)*100</f>
        <v>3.075010595407246</v>
      </c>
      <c r="AZ72" s="19">
        <f>('[1]Short Spot'!AZ73-'[1]Short Spot'!AZ72)*100</f>
        <v>3.1144571106488605</v>
      </c>
      <c r="BA72" s="19">
        <f>('[1]Short Spot'!BA73-'[1]Short Spot'!BA72)*100</f>
        <v>3.1535277607724232</v>
      </c>
      <c r="BB72" s="19">
        <f>('[1]Short Spot'!BB73-'[1]Short Spot'!BB72)*100</f>
        <v>3.1922292161874033</v>
      </c>
      <c r="BC72" s="19">
        <f>('[1]Short Spot'!BC73-'[1]Short Spot'!BC72)*100</f>
        <v>3.2305670609302339</v>
      </c>
      <c r="BD72" s="19">
        <f>('[1]Short Spot'!BD73-'[1]Short Spot'!BD72)*100</f>
        <v>3.2685452189598507</v>
      </c>
      <c r="BE72" s="19">
        <f>('[1]Short Spot'!BE73-'[1]Short Spot'!BE72)*100</f>
        <v>3.3061660880944643</v>
      </c>
      <c r="BF72" s="19">
        <f>('[1]Short Spot'!BF73-'[1]Short Spot'!BF72)*100</f>
        <v>3.3434306738832298</v>
      </c>
      <c r="BG72" s="19">
        <f>('[1]Short Spot'!BG73-'[1]Short Spot'!BG72)*100</f>
        <v>3.3803387096305926</v>
      </c>
      <c r="BH72" s="19">
        <f>('[1]Short Spot'!BH73-'[1]Short Spot'!BH72)*100</f>
        <v>3.4168888097176442</v>
      </c>
      <c r="BI72" s="19">
        <f>('[1]Short Spot'!BI73-'[1]Short Spot'!BI72)*100</f>
        <v>3.4530790218006757</v>
      </c>
    </row>
    <row r="73" spans="1:61" x14ac:dyDescent="0.2">
      <c r="A73" s="18">
        <v>39188</v>
      </c>
      <c r="B73" s="19">
        <f>('[1]Short Spot'!B74-'[1]Short Spot'!B73)*100</f>
        <v>0.5605659821005915</v>
      </c>
      <c r="C73" s="19">
        <f>('[1]Short Spot'!C74-'[1]Short Spot'!C73)*100</f>
        <v>2.10138309969361</v>
      </c>
      <c r="D73" s="19">
        <f>('[1]Short Spot'!D74-'[1]Short Spot'!D73)*100</f>
        <v>2.3760327614746224</v>
      </c>
      <c r="E73" s="19">
        <f>('[1]Short Spot'!E74-'[1]Short Spot'!E73)*100</f>
        <v>2.2261075683954523</v>
      </c>
      <c r="F73" s="19">
        <f>('[1]Short Spot'!F74-'[1]Short Spot'!F73)*100</f>
        <v>1.9698907689989831</v>
      </c>
      <c r="G73" s="19">
        <f>('[1]Short Spot'!G74-'[1]Short Spot'!G73)*100</f>
        <v>1.7342540958747321</v>
      </c>
      <c r="H73" s="19">
        <f>('[1]Short Spot'!H74-'[1]Short Spot'!H73)*100</f>
        <v>1.5502312301967969</v>
      </c>
      <c r="I73" s="19">
        <f>('[1]Short Spot'!I74-'[1]Short Spot'!I73)*100</f>
        <v>1.4159130500424943</v>
      </c>
      <c r="J73" s="19">
        <f>('[1]Short Spot'!J74-'[1]Short Spot'!J73)*100</f>
        <v>1.319898505188899</v>
      </c>
      <c r="K73" s="19">
        <f>('[1]Short Spot'!K74-'[1]Short Spot'!K73)*100</f>
        <v>1.2494171456991943</v>
      </c>
      <c r="L73" s="19">
        <f>('[1]Short Spot'!L74-'[1]Short Spot'!L73)*100</f>
        <v>1.194208878823666</v>
      </c>
      <c r="M73" s="19">
        <f>('[1]Short Spot'!M74-'[1]Short Spot'!M73)*100</f>
        <v>1.1477395289391623</v>
      </c>
      <c r="N73" s="19">
        <f>('[1]Short Spot'!N74-'[1]Short Spot'!N73)*100</f>
        <v>1.1063872332536029</v>
      </c>
      <c r="O73" s="19">
        <f>('[1]Short Spot'!O74-'[1]Short Spot'!O73)*100</f>
        <v>1.0680304591150325</v>
      </c>
      <c r="P73" s="19">
        <f>('[1]Short Spot'!P74-'[1]Short Spot'!P73)*100</f>
        <v>1.0312567427322783</v>
      </c>
      <c r="Q73" s="19">
        <f>('[1]Short Spot'!Q74-'[1]Short Spot'!Q73)*100</f>
        <v>0.99514600948893417</v>
      </c>
      <c r="R73" s="19">
        <f>('[1]Short Spot'!R74-'[1]Short Spot'!R73)*100</f>
        <v>0.95912575822705293</v>
      </c>
      <c r="S73" s="19">
        <f>('[1]Short Spot'!S74-'[1]Short Spot'!S73)*100</f>
        <v>0.92287450482038125</v>
      </c>
      <c r="T73" s="19">
        <f>('[1]Short Spot'!T74-'[1]Short Spot'!T73)*100</f>
        <v>0.88624238432721825</v>
      </c>
      <c r="U73" s="19">
        <f>('[1]Short Spot'!U74-'[1]Short Spot'!U73)*100</f>
        <v>0.84914329597509663</v>
      </c>
      <c r="V73" s="19">
        <f>('[1]Short Spot'!V74-'[1]Short Spot'!V73)*100</f>
        <v>0.81151268058068382</v>
      </c>
      <c r="W73" s="19">
        <f>('[1]Short Spot'!W74-'[1]Short Spot'!W73)*100</f>
        <v>0.77330284323968712</v>
      </c>
      <c r="X73" s="19">
        <f>('[1]Short Spot'!X74-'[1]Short Spot'!X73)*100</f>
        <v>0.7344793942454686</v>
      </c>
      <c r="Y73" s="19">
        <f>('[1]Short Spot'!Y74-'[1]Short Spot'!Y73)*100</f>
        <v>0.69502260326856913</v>
      </c>
      <c r="Z73" s="19">
        <f>('[1]Short Spot'!Z74-'[1]Short Spot'!Z73)*100</f>
        <v>0.65492834795461974</v>
      </c>
      <c r="AA73" s="19">
        <f>('[1]Short Spot'!AA74-'[1]Short Spot'!AA73)*100</f>
        <v>0.61420273591528129</v>
      </c>
      <c r="AB73" s="19">
        <f>('[1]Short Spot'!AB74-'[1]Short Spot'!AB73)*100</f>
        <v>0.57286000579095386</v>
      </c>
      <c r="AC73" s="19">
        <f>('[1]Short Spot'!AC74-'[1]Short Spot'!AC73)*100</f>
        <v>0.53092107528289745</v>
      </c>
      <c r="AD73" s="19">
        <f>('[1]Short Spot'!AD74-'[1]Short Spot'!AD73)*100</f>
        <v>0.48841238959029809</v>
      </c>
      <c r="AE73" s="19">
        <f>('[1]Short Spot'!AE74-'[1]Short Spot'!AE73)*100</f>
        <v>0.44536501054750488</v>
      </c>
      <c r="AF73" s="19">
        <f>('[1]Short Spot'!AF74-'[1]Short Spot'!AF73)*100</f>
        <v>0.401812263645418</v>
      </c>
      <c r="AG73" s="19">
        <f>('[1]Short Spot'!AG74-'[1]Short Spot'!AG73)*100</f>
        <v>0.35778594497140048</v>
      </c>
      <c r="AH73" s="19">
        <f>('[1]Short Spot'!AH74-'[1]Short Spot'!AH73)*100</f>
        <v>0.31331609481197731</v>
      </c>
      <c r="AI73" s="19">
        <f>('[1]Short Spot'!AI74-'[1]Short Spot'!AI73)*100</f>
        <v>0.26843190741931977</v>
      </c>
      <c r="AJ73" s="19">
        <f>('[1]Short Spot'!AJ74-'[1]Short Spot'!AJ73)*100</f>
        <v>0.22316202436050148</v>
      </c>
      <c r="AK73" s="19">
        <f>('[1]Short Spot'!AK74-'[1]Short Spot'!AK73)*100</f>
        <v>0.17753459922111858</v>
      </c>
      <c r="AL73" s="19">
        <f>('[1]Short Spot'!AL74-'[1]Short Spot'!AL73)*100</f>
        <v>0.1315773635477413</v>
      </c>
      <c r="AM73" s="19">
        <f>('[1]Short Spot'!AM74-'[1]Short Spot'!AM73)*100</f>
        <v>8.531768301498488E-2</v>
      </c>
      <c r="AN73" s="19">
        <f>('[1]Short Spot'!AN74-'[1]Short Spot'!AN73)*100</f>
        <v>3.8782760436451014E-2</v>
      </c>
      <c r="AO73" s="19">
        <f>('[1]Short Spot'!AO74-'[1]Short Spot'!AO73)*100</f>
        <v>-8.0003724123756115E-3</v>
      </c>
      <c r="AP73" s="19">
        <f>('[1]Short Spot'!AP74-'[1]Short Spot'!AP73)*100</f>
        <v>-5.5005442979005892E-2</v>
      </c>
      <c r="AQ73" s="19">
        <f>('[1]Short Spot'!AQ74-'[1]Short Spot'!AQ73)*100</f>
        <v>-0.10220692670372955</v>
      </c>
      <c r="AR73" s="19">
        <f>('[1]Short Spot'!AR74-'[1]Short Spot'!AR73)*100</f>
        <v>-0.14957996004456575</v>
      </c>
      <c r="AS73" s="19">
        <f>('[1]Short Spot'!AS74-'[1]Short Spot'!AS73)*100</f>
        <v>-0.19710026186903207</v>
      </c>
      <c r="AT73" s="19">
        <f>('[1]Short Spot'!AT74-'[1]Short Spot'!AT73)*100</f>
        <v>-0.24474376927017261</v>
      </c>
      <c r="AU73" s="19">
        <f>('[1]Short Spot'!AU74-'[1]Short Spot'!AU73)*100</f>
        <v>-0.29248627213789291</v>
      </c>
      <c r="AV73" s="19">
        <f>('[1]Short Spot'!AV74-'[1]Short Spot'!AV73)*100</f>
        <v>-0.34030375870202079</v>
      </c>
      <c r="AW73" s="19">
        <f>('[1]Short Spot'!AW74-'[1]Short Spot'!AW73)*100</f>
        <v>-0.38817243616788843</v>
      </c>
      <c r="AX73" s="19">
        <f>('[1]Short Spot'!AX74-'[1]Short Spot'!AX73)*100</f>
        <v>-0.43606870836931932</v>
      </c>
      <c r="AY73" s="19">
        <f>('[1]Short Spot'!AY74-'[1]Short Spot'!AY73)*100</f>
        <v>-0.48396915610799951</v>
      </c>
      <c r="AZ73" s="19">
        <f>('[1]Short Spot'!AZ74-'[1]Short Spot'!AZ73)*100</f>
        <v>-0.53185051980202402</v>
      </c>
      <c r="BA73" s="19">
        <f>('[1]Short Spot'!BA74-'[1]Short Spot'!BA73)*100</f>
        <v>-0.57968964924608457</v>
      </c>
      <c r="BB73" s="19">
        <f>('[1]Short Spot'!BB74-'[1]Short Spot'!BB73)*100</f>
        <v>-0.62746319662823069</v>
      </c>
      <c r="BC73" s="19">
        <f>('[1]Short Spot'!BC74-'[1]Short Spot'!BC73)*100</f>
        <v>-0.67514783680291401</v>
      </c>
      <c r="BD73" s="19">
        <f>('[1]Short Spot'!BD74-'[1]Short Spot'!BD73)*100</f>
        <v>-0.72272047829553543</v>
      </c>
      <c r="BE73" s="19">
        <f>('[1]Short Spot'!BE74-'[1]Short Spot'!BE73)*100</f>
        <v>-0.77015824504185204</v>
      </c>
      <c r="BF73" s="19">
        <f>('[1]Short Spot'!BF74-'[1]Short Spot'!BF73)*100</f>
        <v>-0.81743845749180366</v>
      </c>
      <c r="BG73" s="19">
        <f>('[1]Short Spot'!BG74-'[1]Short Spot'!BG73)*100</f>
        <v>-0.86453861566893053</v>
      </c>
      <c r="BH73" s="19">
        <f>('[1]Short Spot'!BH74-'[1]Short Spot'!BH73)*100</f>
        <v>-0.91143636637918135</v>
      </c>
      <c r="BI73" s="19">
        <f>('[1]Short Spot'!BI74-'[1]Short Spot'!BI73)*100</f>
        <v>-0.9581093886547265</v>
      </c>
    </row>
    <row r="74" spans="1:61" x14ac:dyDescent="0.2">
      <c r="A74" s="18">
        <v>39189</v>
      </c>
      <c r="B74" s="19">
        <f>('[1]Short Spot'!B75-'[1]Short Spot'!B74)*100</f>
        <v>2.1732407659637687</v>
      </c>
      <c r="C74" s="19">
        <f>('[1]Short Spot'!C75-'[1]Short Spot'!C74)*100</f>
        <v>4.0967795150225861</v>
      </c>
      <c r="D74" s="19">
        <f>('[1]Short Spot'!D75-'[1]Short Spot'!D74)*100</f>
        <v>5.3505457371721299</v>
      </c>
      <c r="E74" s="19">
        <f>('[1]Short Spot'!E75-'[1]Short Spot'!E74)*100</f>
        <v>6.1987212550221216</v>
      </c>
      <c r="F74" s="19">
        <f>('[1]Short Spot'!F75-'[1]Short Spot'!F74)*100</f>
        <v>6.7245455265775966</v>
      </c>
      <c r="G74" s="19">
        <f>('[1]Short Spot'!G75-'[1]Short Spot'!G74)*100</f>
        <v>6.9972016641774104</v>
      </c>
      <c r="H74" s="19">
        <f>('[1]Short Spot'!H75-'[1]Short Spot'!H74)*100</f>
        <v>7.0818368849033142</v>
      </c>
      <c r="I74" s="19">
        <f>('[1]Short Spot'!I75-'[1]Short Spot'!I74)*100</f>
        <v>7.0349130917938929</v>
      </c>
      <c r="J74" s="19">
        <f>('[1]Short Spot'!J75-'[1]Short Spot'!J74)*100</f>
        <v>6.9012738294000009</v>
      </c>
      <c r="K74" s="19">
        <f>('[1]Short Spot'!K75-'[1]Short Spot'!K74)*100</f>
        <v>6.7144763179663336</v>
      </c>
      <c r="L74" s="19">
        <f>('[1]Short Spot'!L75-'[1]Short Spot'!L74)*100</f>
        <v>6.4977548211950342</v>
      </c>
      <c r="M74" s="19">
        <f>('[1]Short Spot'!M75-'[1]Short Spot'!M74)*100</f>
        <v>6.2663323876412491</v>
      </c>
      <c r="N74" s="19">
        <f>('[1]Short Spot'!N75-'[1]Short Spot'!N74)*100</f>
        <v>6.0307138369362079</v>
      </c>
      <c r="O74" s="19">
        <f>('[1]Short Spot'!O75-'[1]Short Spot'!O74)*100</f>
        <v>5.7981007864487566</v>
      </c>
      <c r="P74" s="19">
        <f>('[1]Short Spot'!P75-'[1]Short Spot'!P74)*100</f>
        <v>5.5730909474077883</v>
      </c>
      <c r="Q74" s="19">
        <f>('[1]Short Spot'!Q75-'[1]Short Spot'!Q74)*100</f>
        <v>5.3584540896813415</v>
      </c>
      <c r="R74" s="19">
        <f>('[1]Short Spot'!R75-'[1]Short Spot'!R74)*100</f>
        <v>5.1556696715502781</v>
      </c>
      <c r="S74" s="19">
        <f>('[1]Short Spot'!S75-'[1]Short Spot'!S74)*100</f>
        <v>4.9652852533452752</v>
      </c>
      <c r="T74" s="19">
        <f>('[1]Short Spot'!T75-'[1]Short Spot'!T74)*100</f>
        <v>4.7871790064785813</v>
      </c>
      <c r="U74" s="19">
        <f>('[1]Short Spot'!U75-'[1]Short Spot'!U74)*100</f>
        <v>4.6208778492102809</v>
      </c>
      <c r="V74" s="19">
        <f>('[1]Short Spot'!V75-'[1]Short Spot'!V74)*100</f>
        <v>4.4657628127136917</v>
      </c>
      <c r="W74" s="19">
        <f>('[1]Short Spot'!W75-'[1]Short Spot'!W74)*100</f>
        <v>4.3211103838819653</v>
      </c>
      <c r="X74" s="19">
        <f>('[1]Short Spot'!X75-'[1]Short Spot'!X74)*100</f>
        <v>4.1861156827836865</v>
      </c>
      <c r="Y74" s="19">
        <f>('[1]Short Spot'!Y75-'[1]Short Spot'!Y74)*100</f>
        <v>4.0599414606600881</v>
      </c>
      <c r="Z74" s="19">
        <f>('[1]Short Spot'!Z75-'[1]Short Spot'!Z74)*100</f>
        <v>3.9418147686445693</v>
      </c>
      <c r="AA74" s="19">
        <f>('[1]Short Spot'!AA75-'[1]Short Spot'!AA74)*100</f>
        <v>3.8310418158747694</v>
      </c>
      <c r="AB74" s="19">
        <f>('[1]Short Spot'!AB75-'[1]Short Spot'!AB74)*100</f>
        <v>3.7269935824705946</v>
      </c>
      <c r="AC74" s="19">
        <f>('[1]Short Spot'!AC75-'[1]Short Spot'!AC74)*100</f>
        <v>3.6290942532857251</v>
      </c>
      <c r="AD74" s="19">
        <f>('[1]Short Spot'!AD75-'[1]Short Spot'!AD74)*100</f>
        <v>3.5368120446787721</v>
      </c>
      <c r="AE74" s="19">
        <f>('[1]Short Spot'!AE75-'[1]Short Spot'!AE74)*100</f>
        <v>3.4496528518206837</v>
      </c>
      <c r="AF74" s="19">
        <f>('[1]Short Spot'!AF75-'[1]Short Spot'!AF74)*100</f>
        <v>3.3671649425397021</v>
      </c>
      <c r="AG74" s="19">
        <f>('[1]Short Spot'!AG75-'[1]Short Spot'!AG74)*100</f>
        <v>3.2889427656309422</v>
      </c>
      <c r="AH74" s="19">
        <f>('[1]Short Spot'!AH75-'[1]Short Spot'!AH74)*100</f>
        <v>3.2146213651003563</v>
      </c>
      <c r="AI74" s="19">
        <f>('[1]Short Spot'!AI75-'[1]Short Spot'!AI74)*100</f>
        <v>3.1438730005216797</v>
      </c>
      <c r="AJ74" s="19">
        <f>('[1]Short Spot'!AJ75-'[1]Short Spot'!AJ74)*100</f>
        <v>3.0764031267482395</v>
      </c>
      <c r="AK74" s="19">
        <f>('[1]Short Spot'!AK75-'[1]Short Spot'!AK74)*100</f>
        <v>3.0119458204985072</v>
      </c>
      <c r="AL74" s="19">
        <f>('[1]Short Spot'!AL75-'[1]Short Spot'!AL74)*100</f>
        <v>2.9502599125386553</v>
      </c>
      <c r="AM74" s="19">
        <f>('[1]Short Spot'!AM75-'[1]Short Spot'!AM74)*100</f>
        <v>2.891125732001143</v>
      </c>
      <c r="AN74" s="19">
        <f>('[1]Short Spot'!AN75-'[1]Short Spot'!AN74)*100</f>
        <v>2.8343428698200057</v>
      </c>
      <c r="AO74" s="19">
        <f>('[1]Short Spot'!AO75-'[1]Short Spot'!AO74)*100</f>
        <v>2.7797298078387378</v>
      </c>
      <c r="AP74" s="19">
        <f>('[1]Short Spot'!AP75-'[1]Short Spot'!AP74)*100</f>
        <v>2.7271222958295205</v>
      </c>
      <c r="AQ74" s="19">
        <f>('[1]Short Spot'!AQ75-'[1]Short Spot'!AQ74)*100</f>
        <v>2.676371283693868</v>
      </c>
      <c r="AR74" s="19">
        <f>('[1]Short Spot'!AR75-'[1]Short Spot'!AR74)*100</f>
        <v>2.6273411540054248</v>
      </c>
      <c r="AS74" s="19">
        <f>('[1]Short Spot'!AS75-'[1]Short Spot'!AS74)*100</f>
        <v>2.5799082009475782</v>
      </c>
      <c r="AT74" s="19">
        <f>('[1]Short Spot'!AT75-'[1]Short Spot'!AT74)*100</f>
        <v>2.5339597419002935</v>
      </c>
      <c r="AU74" s="19">
        <f>('[1]Short Spot'!AU75-'[1]Short Spot'!AU74)*100</f>
        <v>2.4893937231324159</v>
      </c>
      <c r="AV74" s="19">
        <f>('[1]Short Spot'!AV75-'[1]Short Spot'!AV74)*100</f>
        <v>2.4461174816426734</v>
      </c>
      <c r="AW74" s="19">
        <f>('[1]Short Spot'!AW75-'[1]Short Spot'!AW74)*100</f>
        <v>2.4040467369166763</v>
      </c>
      <c r="AX74" s="19">
        <f>('[1]Short Spot'!AX75-'[1]Short Spot'!AX74)*100</f>
        <v>2.3631047355705093</v>
      </c>
      <c r="AY74" s="19">
        <f>('[1]Short Spot'!AY75-'[1]Short Spot'!AY74)*100</f>
        <v>2.3232214986380839</v>
      </c>
      <c r="AZ74" s="19">
        <f>('[1]Short Spot'!AZ75-'[1]Short Spot'!AZ74)*100</f>
        <v>2.2843331574120107</v>
      </c>
      <c r="BA74" s="19">
        <f>('[1]Short Spot'!BA75-'[1]Short Spot'!BA74)*100</f>
        <v>2.246381408967757</v>
      </c>
      <c r="BB74" s="19">
        <f>('[1]Short Spot'!BB75-'[1]Short Spot'!BB74)*100</f>
        <v>2.209313366284249</v>
      </c>
      <c r="BC74" s="19">
        <f>('[1]Short Spot'!BC75-'[1]Short Spot'!BC74)*100</f>
        <v>2.1730809667372064</v>
      </c>
      <c r="BD74" s="19">
        <f>('[1]Short Spot'!BD75-'[1]Short Spot'!BD74)*100</f>
        <v>2.137640357952364</v>
      </c>
      <c r="BE74" s="19">
        <f>('[1]Short Spot'!BE75-'[1]Short Spot'!BE74)*100</f>
        <v>2.1029515201123061</v>
      </c>
      <c r="BF74" s="19">
        <f>('[1]Short Spot'!BF75-'[1]Short Spot'!BF74)*100</f>
        <v>2.0689779297661914</v>
      </c>
      <c r="BG74" s="19">
        <f>('[1]Short Spot'!BG75-'[1]Short Spot'!BG74)*100</f>
        <v>2.0356862584191227</v>
      </c>
      <c r="BH74" s="19">
        <f>('[1]Short Spot'!BH75-'[1]Short Spot'!BH74)*100</f>
        <v>2.003046121964136</v>
      </c>
      <c r="BI74" s="19">
        <f>('[1]Short Spot'!BI75-'[1]Short Spot'!BI74)*100</f>
        <v>1.9710299474997584</v>
      </c>
    </row>
    <row r="75" spans="1:61" x14ac:dyDescent="0.2">
      <c r="A75" s="18">
        <v>39190</v>
      </c>
      <c r="B75" s="19">
        <f>('[1]Short Spot'!B76-'[1]Short Spot'!B75)*100</f>
        <v>1.3798673936081585</v>
      </c>
      <c r="C75" s="19">
        <f>('[1]Short Spot'!C76-'[1]Short Spot'!C75)*100</f>
        <v>1.8478602254998755</v>
      </c>
      <c r="D75" s="19">
        <f>('[1]Short Spot'!D76-'[1]Short Spot'!D75)*100</f>
        <v>1.2555791571194241</v>
      </c>
      <c r="E75" s="19">
        <f>('[1]Short Spot'!E76-'[1]Short Spot'!E75)*100</f>
        <v>0.52972769203760706</v>
      </c>
      <c r="F75" s="19">
        <f>('[1]Short Spot'!F76-'[1]Short Spot'!F75)*100</f>
        <v>-0.129553055721221</v>
      </c>
      <c r="G75" s="19">
        <f>('[1]Short Spot'!G76-'[1]Short Spot'!G75)*100</f>
        <v>-0.67319242520991196</v>
      </c>
      <c r="H75" s="19">
        <f>('[1]Short Spot'!H76-'[1]Short Spot'!H75)*100</f>
        <v>-1.097703455607757</v>
      </c>
      <c r="I75" s="19">
        <f>('[1]Short Spot'!I76-'[1]Short Spot'!I75)*100</f>
        <v>-1.4197880895586046</v>
      </c>
      <c r="J75" s="19">
        <f>('[1]Short Spot'!J76-'[1]Short Spot'!J75)*100</f>
        <v>-1.6662684176298015</v>
      </c>
      <c r="K75" s="19">
        <f>('[1]Short Spot'!K76-'[1]Short Spot'!K75)*100</f>
        <v>-1.8619024589816568</v>
      </c>
      <c r="L75" s="19">
        <f>('[1]Short Spot'!L76-'[1]Short Spot'!L75)*100</f>
        <v>-2.0244242853202365</v>
      </c>
      <c r="M75" s="19">
        <f>('[1]Short Spot'!M76-'[1]Short Spot'!M75)*100</f>
        <v>-2.1646673300295127</v>
      </c>
      <c r="N75" s="19">
        <f>('[1]Short Spot'!N76-'[1]Short Spot'!N75)*100</f>
        <v>-2.2890628441020411</v>
      </c>
      <c r="O75" s="19">
        <f>('[1]Short Spot'!O76-'[1]Short Spot'!O75)*100</f>
        <v>-2.4016082896397783</v>
      </c>
      <c r="P75" s="19">
        <f>('[1]Short Spot'!P76-'[1]Short Spot'!P75)*100</f>
        <v>-2.5050184632943839</v>
      </c>
      <c r="Q75" s="19">
        <f>('[1]Short Spot'!Q76-'[1]Short Spot'!Q75)*100</f>
        <v>-2.6011579647919447</v>
      </c>
      <c r="R75" s="19">
        <f>('[1]Short Spot'!R76-'[1]Short Spot'!R75)*100</f>
        <v>-2.6912912548825219</v>
      </c>
      <c r="S75" s="19">
        <f>('[1]Short Spot'!S76-'[1]Short Spot'!S75)*100</f>
        <v>-2.7762493906798191</v>
      </c>
      <c r="T75" s="19">
        <f>('[1]Short Spot'!T76-'[1]Short Spot'!T75)*100</f>
        <v>-2.8565633693101944</v>
      </c>
      <c r="U75" s="19">
        <f>('[1]Short Spot'!U76-'[1]Short Spot'!U75)*100</f>
        <v>-2.932632755824649</v>
      </c>
      <c r="V75" s="19">
        <f>('[1]Short Spot'!V76-'[1]Short Spot'!V75)*100</f>
        <v>-3.0048020992948565</v>
      </c>
      <c r="W75" s="19">
        <f>('[1]Short Spot'!W76-'[1]Short Spot'!W75)*100</f>
        <v>-3.0733745246198652</v>
      </c>
      <c r="X75" s="19">
        <f>('[1]Short Spot'!X76-'[1]Short Spot'!X75)*100</f>
        <v>-3.1386204517933614</v>
      </c>
      <c r="Y75" s="19">
        <f>('[1]Short Spot'!Y76-'[1]Short Spot'!Y75)*100</f>
        <v>-3.20077638080285</v>
      </c>
      <c r="Z75" s="19">
        <f>('[1]Short Spot'!Z76-'[1]Short Spot'!Z75)*100</f>
        <v>-3.2600450859622043</v>
      </c>
      <c r="AA75" s="19">
        <f>('[1]Short Spot'!AA76-'[1]Short Spot'!AA75)*100</f>
        <v>-3.3166056821952949</v>
      </c>
      <c r="AB75" s="19">
        <f>('[1]Short Spot'!AB76-'[1]Short Spot'!AB75)*100</f>
        <v>-3.3706182461340717</v>
      </c>
      <c r="AC75" s="19">
        <f>('[1]Short Spot'!AC76-'[1]Short Spot'!AC75)*100</f>
        <v>-3.4222272158120681</v>
      </c>
      <c r="AD75" s="19">
        <f>('[1]Short Spot'!AD76-'[1]Short Spot'!AD75)*100</f>
        <v>-3.4715640869759312</v>
      </c>
      <c r="AE75" s="19">
        <f>('[1]Short Spot'!AE76-'[1]Short Spot'!AE75)*100</f>
        <v>-3.5187492599812131</v>
      </c>
      <c r="AF75" s="19">
        <f>('[1]Short Spot'!AF76-'[1]Short Spot'!AF75)*100</f>
        <v>-3.5638928293456829</v>
      </c>
      <c r="AG75" s="19">
        <f>('[1]Short Spot'!AG76-'[1]Short Spot'!AG75)*100</f>
        <v>-3.607097212753807</v>
      </c>
      <c r="AH75" s="19">
        <f>('[1]Short Spot'!AH76-'[1]Short Spot'!AH75)*100</f>
        <v>-3.6484582625907258</v>
      </c>
      <c r="AI75" s="19">
        <f>('[1]Short Spot'!AI76-'[1]Short Spot'!AI75)*100</f>
        <v>-3.6880646760765856</v>
      </c>
      <c r="AJ75" s="19">
        <f>('[1]Short Spot'!AJ76-'[1]Short Spot'!AJ75)*100</f>
        <v>-3.7259984997778162</v>
      </c>
      <c r="AK75" s="19">
        <f>('[1]Short Spot'!AK76-'[1]Short Spot'!AK75)*100</f>
        <v>-3.7623360579656762</v>
      </c>
      <c r="AL75" s="19">
        <f>('[1]Short Spot'!AL76-'[1]Short Spot'!AL75)*100</f>
        <v>-3.797148725899735</v>
      </c>
      <c r="AM75" s="19">
        <f>('[1]Short Spot'!AM76-'[1]Short Spot'!AM75)*100</f>
        <v>-3.8305035788939179</v>
      </c>
      <c r="AN75" s="19">
        <f>('[1]Short Spot'!AN76-'[1]Short Spot'!AN75)*100</f>
        <v>-3.8624635934116469</v>
      </c>
      <c r="AO75" s="19">
        <f>('[1]Short Spot'!AO76-'[1]Short Spot'!AO75)*100</f>
        <v>-3.8930874342512745</v>
      </c>
      <c r="AP75" s="19">
        <f>('[1]Short Spot'!AP76-'[1]Short Spot'!AP75)*100</f>
        <v>-3.9224301709852583</v>
      </c>
      <c r="AQ75" s="19">
        <f>('[1]Short Spot'!AQ76-'[1]Short Spot'!AQ75)*100</f>
        <v>-3.9505437558355894</v>
      </c>
      <c r="AR75" s="19">
        <f>('[1]Short Spot'!AR76-'[1]Short Spot'!AR75)*100</f>
        <v>-3.9774773861557478</v>
      </c>
      <c r="AS75" s="19">
        <f>('[1]Short Spot'!AS76-'[1]Short Spot'!AS75)*100</f>
        <v>-4.0032778103768152</v>
      </c>
      <c r="AT75" s="19">
        <f>('[1]Short Spot'!AT76-'[1]Short Spot'!AT75)*100</f>
        <v>-4.0279891971685799</v>
      </c>
      <c r="AU75" s="19">
        <f>('[1]Short Spot'!AU76-'[1]Short Spot'!AU75)*100</f>
        <v>-4.0516529333232576</v>
      </c>
      <c r="AV75" s="19">
        <f>('[1]Short Spot'!AV76-'[1]Short Spot'!AV75)*100</f>
        <v>-4.0743081866224884</v>
      </c>
      <c r="AW75" s="19">
        <f>('[1]Short Spot'!AW76-'[1]Short Spot'!AW75)*100</f>
        <v>-4.0959921678407341</v>
      </c>
      <c r="AX75" s="19">
        <f>('[1]Short Spot'!AX76-'[1]Short Spot'!AX75)*100</f>
        <v>-4.1167403304402939</v>
      </c>
      <c r="AY75" s="19">
        <f>('[1]Short Spot'!AY76-'[1]Short Spot'!AY75)*100</f>
        <v>-4.1365865463028229</v>
      </c>
      <c r="AZ75" s="19">
        <f>('[1]Short Spot'!AZ76-'[1]Short Spot'!AZ75)*100</f>
        <v>-4.1555632607849446</v>
      </c>
      <c r="BA75" s="19">
        <f>('[1]Short Spot'!BA76-'[1]Short Spot'!BA75)*100</f>
        <v>-4.1737015798122279</v>
      </c>
      <c r="BB75" s="19">
        <f>('[1]Short Spot'!BB76-'[1]Short Spot'!BB75)*100</f>
        <v>-4.1910310032838183</v>
      </c>
      <c r="BC75" s="19">
        <f>('[1]Short Spot'!BC76-'[1]Short Spot'!BC75)*100</f>
        <v>-4.2075796717159442</v>
      </c>
      <c r="BD75" s="19">
        <f>('[1]Short Spot'!BD76-'[1]Short Spot'!BD75)*100</f>
        <v>-4.2233746533520744</v>
      </c>
      <c r="BE75" s="19">
        <f>('[1]Short Spot'!BE76-'[1]Short Spot'!BE75)*100</f>
        <v>-4.2384420411043067</v>
      </c>
      <c r="BF75" s="19">
        <f>('[1]Short Spot'!BF76-'[1]Short Spot'!BF75)*100</f>
        <v>-4.2528070381094629</v>
      </c>
      <c r="BG75" s="19">
        <f>('[1]Short Spot'!BG76-'[1]Short Spot'!BG75)*100</f>
        <v>-4.2664940344327995</v>
      </c>
      <c r="BH75" s="19">
        <f>('[1]Short Spot'!BH76-'[1]Short Spot'!BH75)*100</f>
        <v>-4.2795266519144448</v>
      </c>
      <c r="BI75" s="19">
        <f>('[1]Short Spot'!BI76-'[1]Short Spot'!BI75)*100</f>
        <v>-4.291927669386908</v>
      </c>
    </row>
    <row r="76" spans="1:61" x14ac:dyDescent="0.2">
      <c r="A76" s="18">
        <v>39191</v>
      </c>
      <c r="B76" s="19">
        <f>('[1]Short Spot'!B77-'[1]Short Spot'!B76)*100</f>
        <v>-0.36276374235653108</v>
      </c>
      <c r="C76" s="19">
        <f>('[1]Short Spot'!C77-'[1]Short Spot'!C76)*100</f>
        <v>-0.32248488111337181</v>
      </c>
      <c r="D76" s="19">
        <f>('[1]Short Spot'!D77-'[1]Short Spot'!D76)*100</f>
        <v>-0.24971926498871255</v>
      </c>
      <c r="E76" s="19">
        <f>('[1]Short Spot'!E77-'[1]Short Spot'!E76)*100</f>
        <v>-0.17195426962564042</v>
      </c>
      <c r="F76" s="19">
        <f>('[1]Short Spot'!F77-'[1]Short Spot'!F76)*100</f>
        <v>-9.8349104750816707E-2</v>
      </c>
      <c r="G76" s="19">
        <f>('[1]Short Spot'!G77-'[1]Short Spot'!G76)*100</f>
        <v>-3.3306277865019496E-2</v>
      </c>
      <c r="H76" s="19">
        <f>('[1]Short Spot'!H77-'[1]Short Spot'!H76)*100</f>
        <v>2.0803814568104428E-2</v>
      </c>
      <c r="I76" s="19">
        <f>('[1]Short Spot'!I77-'[1]Short Spot'!I76)*100</f>
        <v>6.6971148506400624E-2</v>
      </c>
      <c r="J76" s="19">
        <f>('[1]Short Spot'!J77-'[1]Short Spot'!J76)*100</f>
        <v>0.11351747583008276</v>
      </c>
      <c r="K76" s="19">
        <f>('[1]Short Spot'!K77-'[1]Short Spot'!K76)*100</f>
        <v>0.16704398351672367</v>
      </c>
      <c r="L76" s="19">
        <f>('[1]Short Spot'!L77-'[1]Short Spot'!L76)*100</f>
        <v>0.23044219687200496</v>
      </c>
      <c r="M76" s="19">
        <f>('[1]Short Spot'!M77-'[1]Short Spot'!M76)*100</f>
        <v>0.30311993006826299</v>
      </c>
      <c r="N76" s="19">
        <f>('[1]Short Spot'!N77-'[1]Short Spot'!N76)*100</f>
        <v>0.38187622960412781</v>
      </c>
      <c r="O76" s="19">
        <f>('[1]Short Spot'!O77-'[1]Short Spot'!O76)*100</f>
        <v>0.46326419234050675</v>
      </c>
      <c r="P76" s="19">
        <f>('[1]Short Spot'!P77-'[1]Short Spot'!P76)*100</f>
        <v>0.54484157656631282</v>
      </c>
      <c r="Q76" s="19">
        <f>('[1]Short Spot'!Q77-'[1]Short Spot'!Q76)*100</f>
        <v>0.62490185485737371</v>
      </c>
      <c r="R76" s="19">
        <f>('[1]Short Spot'!R77-'[1]Short Spot'!R76)*100</f>
        <v>0.70225780443315955</v>
      </c>
      <c r="S76" s="19">
        <f>('[1]Short Spot'!S77-'[1]Short Spot'!S76)*100</f>
        <v>0.77609722388904956</v>
      </c>
      <c r="T76" s="19">
        <f>('[1]Short Spot'!T77-'[1]Short Spot'!T76)*100</f>
        <v>0.84588411537991348</v>
      </c>
      <c r="U76" s="19">
        <f>('[1]Short Spot'!U77-'[1]Short Spot'!U76)*100</f>
        <v>0.91131963414490258</v>
      </c>
      <c r="V76" s="19">
        <f>('[1]Short Spot'!V77-'[1]Short Spot'!V76)*100</f>
        <v>0.97231899863734483</v>
      </c>
      <c r="W76" s="19">
        <f>('[1]Short Spot'!W77-'[1]Short Spot'!W76)*100</f>
        <v>1.0289654099683077</v>
      </c>
      <c r="X76" s="19">
        <f>('[1]Short Spot'!X77-'[1]Short Spot'!X76)*100</f>
        <v>1.0814734654140956</v>
      </c>
      <c r="Y76" s="19">
        <f>('[1]Short Spot'!Y77-'[1]Short Spot'!Y76)*100</f>
        <v>1.130144346437767</v>
      </c>
      <c r="Z76" s="19">
        <f>('[1]Short Spot'!Z77-'[1]Short Spot'!Z76)*100</f>
        <v>1.1752844636920834</v>
      </c>
      <c r="AA76" s="19">
        <f>('[1]Short Spot'!AA77-'[1]Short Spot'!AA76)*100</f>
        <v>1.2171801220085321</v>
      </c>
      <c r="AB76" s="19">
        <f>('[1]Short Spot'!AB77-'[1]Short Spot'!AB76)*100</f>
        <v>1.2561008232872872</v>
      </c>
      <c r="AC76" s="19">
        <f>('[1]Short Spot'!AC77-'[1]Short Spot'!AC76)*100</f>
        <v>1.2923022670196183</v>
      </c>
      <c r="AD76" s="19">
        <f>('[1]Short Spot'!AD77-'[1]Short Spot'!AD76)*100</f>
        <v>1.3260287300152385</v>
      </c>
      <c r="AE76" s="19">
        <f>('[1]Short Spot'!AE77-'[1]Short Spot'!AE76)*100</f>
        <v>1.3575146074990663</v>
      </c>
      <c r="AF76" s="19">
        <f>('[1]Short Spot'!AF77-'[1]Short Spot'!AF76)*100</f>
        <v>1.3869797065508394</v>
      </c>
      <c r="AG76" s="19">
        <f>('[1]Short Spot'!AG77-'[1]Short Spot'!AG76)*100</f>
        <v>1.4146235997998247</v>
      </c>
      <c r="AH76" s="19">
        <f>('[1]Short Spot'!AH77-'[1]Short Spot'!AH76)*100</f>
        <v>1.4406276217834524</v>
      </c>
      <c r="AI76" s="19">
        <f>('[1]Short Spot'!AI77-'[1]Short Spot'!AI76)*100</f>
        <v>1.4651560117183493</v>
      </c>
      <c r="AJ76" s="19">
        <f>('[1]Short Spot'!AJ77-'[1]Short Spot'!AJ76)*100</f>
        <v>1.488357165392884</v>
      </c>
      <c r="AK76" s="19">
        <f>('[1]Short Spot'!AK77-'[1]Short Spot'!AK76)*100</f>
        <v>1.5103657692240979</v>
      </c>
      <c r="AL76" s="19">
        <f>('[1]Short Spot'!AL77-'[1]Short Spot'!AL76)*100</f>
        <v>1.5313046528754093</v>
      </c>
      <c r="AM76" s="19">
        <f>('[1]Short Spot'!AM77-'[1]Short Spot'!AM76)*100</f>
        <v>1.5512863513067465</v>
      </c>
      <c r="AN76" s="19">
        <f>('[1]Short Spot'!AN77-'[1]Short Spot'!AN76)*100</f>
        <v>1.5704142983453018</v>
      </c>
      <c r="AO76" s="19">
        <f>('[1]Short Spot'!AO77-'[1]Short Spot'!AO76)*100</f>
        <v>1.5887821393172352</v>
      </c>
      <c r="AP76" s="19">
        <f>('[1]Short Spot'!AP77-'[1]Short Spot'!AP76)*100</f>
        <v>1.6064733848539348</v>
      </c>
      <c r="AQ76" s="19">
        <f>('[1]Short Spot'!AQ77-'[1]Short Spot'!AQ76)*100</f>
        <v>1.6235625257361441</v>
      </c>
      <c r="AR76" s="19">
        <f>('[1]Short Spot'!AR77-'[1]Short Spot'!AR76)*100</f>
        <v>1.6401160817116178</v>
      </c>
      <c r="AS76" s="19">
        <f>('[1]Short Spot'!AS77-'[1]Short Spot'!AS76)*100</f>
        <v>1.6561935152798135</v>
      </c>
      <c r="AT76" s="19">
        <f>('[1]Short Spot'!AT77-'[1]Short Spot'!AT76)*100</f>
        <v>1.6718482475079455</v>
      </c>
      <c r="AU76" s="19">
        <f>('[1]Short Spot'!AU77-'[1]Short Spot'!AU76)*100</f>
        <v>1.6871280237516828</v>
      </c>
      <c r="AV76" s="19">
        <f>('[1]Short Spot'!AV77-'[1]Short Spot'!AV76)*100</f>
        <v>1.7020749435468829</v>
      </c>
      <c r="AW76" s="19">
        <f>('[1]Short Spot'!AW77-'[1]Short Spot'!AW76)*100</f>
        <v>1.716726015413883</v>
      </c>
      <c r="AX76" s="19">
        <f>('[1]Short Spot'!AX77-'[1]Short Spot'!AX76)*100</f>
        <v>1.7311136763501267</v>
      </c>
      <c r="AY76" s="19">
        <f>('[1]Short Spot'!AY77-'[1]Short Spot'!AY76)*100</f>
        <v>1.7452662489819915</v>
      </c>
      <c r="AZ76" s="19">
        <f>('[1]Short Spot'!AZ77-'[1]Short Spot'!AZ76)*100</f>
        <v>1.7592083449339491</v>
      </c>
      <c r="BA76" s="19">
        <f>('[1]Short Spot'!BA77-'[1]Short Spot'!BA76)*100</f>
        <v>1.7729612777663384</v>
      </c>
      <c r="BB76" s="19">
        <f>('[1]Short Spot'!BB77-'[1]Short Spot'!BB76)*100</f>
        <v>1.7865437487161628</v>
      </c>
      <c r="BC76" s="19">
        <f>('[1]Short Spot'!BC77-'[1]Short Spot'!BC76)*100</f>
        <v>1.7999719291484695</v>
      </c>
      <c r="BD76" s="19">
        <f>('[1]Short Spot'!BD77-'[1]Short Spot'!BD76)*100</f>
        <v>1.813259530618172</v>
      </c>
      <c r="BE76" s="19">
        <f>('[1]Short Spot'!BE77-'[1]Short Spot'!BE76)*100</f>
        <v>1.8264180237249406</v>
      </c>
      <c r="BF76" s="19">
        <f>('[1]Short Spot'!BF77-'[1]Short Spot'!BF76)*100</f>
        <v>1.8394568346882245</v>
      </c>
      <c r="BG76" s="19">
        <f>('[1]Short Spot'!BG77-'[1]Short Spot'!BG76)*100</f>
        <v>1.8523835215868978</v>
      </c>
      <c r="BH76" s="19">
        <f>('[1]Short Spot'!BH77-'[1]Short Spot'!BH76)*100</f>
        <v>1.8652039638515916</v>
      </c>
      <c r="BI76" s="19">
        <f>('[1]Short Spot'!BI77-'[1]Short Spot'!BI76)*100</f>
        <v>1.8779227097541984</v>
      </c>
    </row>
    <row r="77" spans="1:61" x14ac:dyDescent="0.2">
      <c r="A77" s="18">
        <v>39192</v>
      </c>
      <c r="B77" s="19">
        <f>('[1]Short Spot'!B78-'[1]Short Spot'!B77)*100</f>
        <v>0.44585092529203507</v>
      </c>
      <c r="C77" s="19">
        <f>('[1]Short Spot'!C78-'[1]Short Spot'!C77)*100</f>
        <v>0.35314115203437524</v>
      </c>
      <c r="D77" s="19">
        <f>('[1]Short Spot'!D78-'[1]Short Spot'!D77)*100</f>
        <v>0.30169474989003575</v>
      </c>
      <c r="E77" s="19">
        <f>('[1]Short Spot'!E78-'[1]Short Spot'!E77)*100</f>
        <v>0.29143205209054557</v>
      </c>
      <c r="F77" s="19">
        <f>('[1]Short Spot'!F78-'[1]Short Spot'!F77)*100</f>
        <v>0.31864281390321381</v>
      </c>
      <c r="G77" s="19">
        <f>('[1]Short Spot'!G78-'[1]Short Spot'!G77)*100</f>
        <v>0.37355145892963293</v>
      </c>
      <c r="H77" s="19">
        <f>('[1]Short Spot'!H78-'[1]Short Spot'!H77)*100</f>
        <v>0.44460666051513442</v>
      </c>
      <c r="I77" s="19">
        <f>('[1]Short Spot'!I78-'[1]Short Spot'!I77)*100</f>
        <v>0.52069392679401361</v>
      </c>
      <c r="J77" s="19">
        <f>('[1]Short Spot'!J78-'[1]Short Spot'!J77)*100</f>
        <v>0.59122470648107495</v>
      </c>
      <c r="K77" s="19">
        <f>('[1]Short Spot'!K78-'[1]Short Spot'!K77)*100</f>
        <v>0.65037563577989843</v>
      </c>
      <c r="L77" s="19">
        <f>('[1]Short Spot'!L78-'[1]Short Spot'!L77)*100</f>
        <v>0.69634032034855409</v>
      </c>
      <c r="M77" s="19">
        <f>('[1]Short Spot'!M78-'[1]Short Spot'!M77)*100</f>
        <v>0.72954672147025335</v>
      </c>
      <c r="N77" s="19">
        <f>('[1]Short Spot'!N78-'[1]Short Spot'!N77)*100</f>
        <v>0.75200170335074645</v>
      </c>
      <c r="O77" s="19">
        <f>('[1]Short Spot'!O78-'[1]Short Spot'!O77)*100</f>
        <v>0.76596271142292949</v>
      </c>
      <c r="P77" s="19">
        <f>('[1]Short Spot'!P78-'[1]Short Spot'!P77)*100</f>
        <v>0.77324047409712549</v>
      </c>
      <c r="Q77" s="19">
        <f>('[1]Short Spot'!Q78-'[1]Short Spot'!Q77)*100</f>
        <v>0.7753092498935743</v>
      </c>
      <c r="R77" s="19">
        <f>('[1]Short Spot'!R78-'[1]Short Spot'!R77)*100</f>
        <v>0.77340580703681994</v>
      </c>
      <c r="S77" s="19">
        <f>('[1]Short Spot'!S78-'[1]Short Spot'!S77)*100</f>
        <v>0.76859505889004254</v>
      </c>
      <c r="T77" s="19">
        <f>('[1]Short Spot'!T78-'[1]Short Spot'!T77)*100</f>
        <v>0.76177358246543037</v>
      </c>
      <c r="U77" s="19">
        <f>('[1]Short Spot'!U78-'[1]Short Spot'!U77)*100</f>
        <v>0.75360662305463677</v>
      </c>
      <c r="V77" s="19">
        <f>('[1]Short Spot'!V78-'[1]Short Spot'!V77)*100</f>
        <v>0.74457305680626362</v>
      </c>
      <c r="W77" s="19">
        <f>('[1]Short Spot'!W78-'[1]Short Spot'!W77)*100</f>
        <v>0.73501004957039484</v>
      </c>
      <c r="X77" s="19">
        <f>('[1]Short Spot'!X78-'[1]Short Spot'!X77)*100</f>
        <v>0.72514508853700477</v>
      </c>
      <c r="Y77" s="19">
        <f>('[1]Short Spot'!Y78-'[1]Short Spot'!Y77)*100</f>
        <v>0.71514163450387969</v>
      </c>
      <c r="Z77" s="19">
        <f>('[1]Short Spot'!Z78-'[1]Short Spot'!Z77)*100</f>
        <v>0.70512712925063781</v>
      </c>
      <c r="AA77" s="19">
        <f>('[1]Short Spot'!AA78-'[1]Short Spot'!AA77)*100</f>
        <v>0.6951929605423679</v>
      </c>
      <c r="AB77" s="19">
        <f>('[1]Short Spot'!AB78-'[1]Short Spot'!AB77)*100</f>
        <v>0.68540083949235608</v>
      </c>
      <c r="AC77" s="19">
        <f>('[1]Short Spot'!AC78-'[1]Short Spot'!AC77)*100</f>
        <v>0.67578809996504674</v>
      </c>
      <c r="AD77" s="19">
        <f>('[1]Short Spot'!AD78-'[1]Short Spot'!AD77)*100</f>
        <v>0.66637190186460415</v>
      </c>
      <c r="AE77" s="19">
        <f>('[1]Short Spot'!AE78-'[1]Short Spot'!AE77)*100</f>
        <v>0.65715378334445518</v>
      </c>
      <c r="AF77" s="19">
        <f>('[1]Short Spot'!AF78-'[1]Short Spot'!AF77)*100</f>
        <v>0.64812622319161406</v>
      </c>
      <c r="AG77" s="19">
        <f>('[1]Short Spot'!AG78-'[1]Short Spot'!AG77)*100</f>
        <v>0.63927318412515532</v>
      </c>
      <c r="AH77" s="19">
        <f>('[1]Short Spot'!AH78-'[1]Short Spot'!AH77)*100</f>
        <v>0.63057257582910253</v>
      </c>
      <c r="AI77" s="19">
        <f>('[1]Short Spot'!AI78-'[1]Short Spot'!AI77)*100</f>
        <v>0.62200181580225333</v>
      </c>
      <c r="AJ77" s="19">
        <f>('[1]Short Spot'!AJ78-'[1]Short Spot'!AJ77)*100</f>
        <v>0.61353898579090682</v>
      </c>
      <c r="AK77" s="19">
        <f>('[1]Short Spot'!AK78-'[1]Short Spot'!AK77)*100</f>
        <v>0.60516271355330886</v>
      </c>
      <c r="AL77" s="19">
        <f>('[1]Short Spot'!AL78-'[1]Short Spot'!AL77)*100</f>
        <v>0.59685209907449632</v>
      </c>
      <c r="AM77" s="19">
        <f>('[1]Short Spot'!AM78-'[1]Short Spot'!AM77)*100</f>
        <v>0.58858666906660417</v>
      </c>
      <c r="AN77" s="19">
        <f>('[1]Short Spot'!AN78-'[1]Short Spot'!AN77)*100</f>
        <v>0.58034738218495363</v>
      </c>
      <c r="AO77" s="19">
        <f>('[1]Short Spot'!AO78-'[1]Short Spot'!AO77)*100</f>
        <v>0.57211772118765936</v>
      </c>
      <c r="AP77" s="19">
        <f>('[1]Short Spot'!AP78-'[1]Short Spot'!AP77)*100</f>
        <v>0.56388256804140724</v>
      </c>
      <c r="AQ77" s="19">
        <f>('[1]Short Spot'!AQ78-'[1]Short Spot'!AQ77)*100</f>
        <v>0.55562793878873862</v>
      </c>
      <c r="AR77" s="19">
        <f>('[1]Short Spot'!AR78-'[1]Short Spot'!AR77)*100</f>
        <v>0.54734085167931212</v>
      </c>
      <c r="AS77" s="19">
        <f>('[1]Short Spot'!AS78-'[1]Short Spot'!AS77)*100</f>
        <v>0.53900925762553342</v>
      </c>
      <c r="AT77" s="19">
        <f>('[1]Short Spot'!AT78-'[1]Short Spot'!AT77)*100</f>
        <v>0.53062322803700823</v>
      </c>
      <c r="AU77" s="19">
        <f>('[1]Short Spot'!AU78-'[1]Short Spot'!AU77)*100</f>
        <v>0.52217543863930516</v>
      </c>
      <c r="AV77" s="19">
        <f>('[1]Short Spot'!AV78-'[1]Short Spot'!AV77)*100</f>
        <v>0.51365993806484767</v>
      </c>
      <c r="AW77" s="19">
        <f>('[1]Short Spot'!AW78-'[1]Short Spot'!AW77)*100</f>
        <v>0.50507194474205264</v>
      </c>
      <c r="AX77" s="19">
        <f>('[1]Short Spot'!AX78-'[1]Short Spot'!AX77)*100</f>
        <v>0.49640772752619355</v>
      </c>
      <c r="AY77" s="19">
        <f>('[1]Short Spot'!AY78-'[1]Short Spot'!AY77)*100</f>
        <v>0.48766450065835798</v>
      </c>
      <c r="AZ77" s="19">
        <f>('[1]Short Spot'!AZ78-'[1]Short Spot'!AZ77)*100</f>
        <v>0.47884033107958857</v>
      </c>
      <c r="BA77" s="19">
        <f>('[1]Short Spot'!BA78-'[1]Short Spot'!BA77)*100</f>
        <v>0.46993427038053426</v>
      </c>
      <c r="BB77" s="19">
        <f>('[1]Short Spot'!BB78-'[1]Short Spot'!BB77)*100</f>
        <v>0.46094735364690109</v>
      </c>
      <c r="BC77" s="19">
        <f>('[1]Short Spot'!BC78-'[1]Short Spot'!BC77)*100</f>
        <v>0.45188175974022471</v>
      </c>
      <c r="BD77" s="19">
        <f>('[1]Short Spot'!BD78-'[1]Short Spot'!BD77)*100</f>
        <v>0.44274028454704961</v>
      </c>
      <c r="BE77" s="19">
        <f>('[1]Short Spot'!BE78-'[1]Short Spot'!BE77)*100</f>
        <v>0.43352628510051616</v>
      </c>
      <c r="BF77" s="19">
        <f>('[1]Short Spot'!BF78-'[1]Short Spot'!BF77)*100</f>
        <v>0.4242436303592001</v>
      </c>
      <c r="BG77" s="19">
        <f>('[1]Short Spot'!BG78-'[1]Short Spot'!BG77)*100</f>
        <v>0.41489665707414858</v>
      </c>
      <c r="BH77" s="19">
        <f>('[1]Short Spot'!BH78-'[1]Short Spot'!BH77)*100</f>
        <v>0.40549023357918657</v>
      </c>
      <c r="BI77" s="19">
        <f>('[1]Short Spot'!BI78-'[1]Short Spot'!BI77)*100</f>
        <v>0.39603013007658561</v>
      </c>
    </row>
    <row r="78" spans="1:61" x14ac:dyDescent="0.2">
      <c r="A78" s="18">
        <v>39195</v>
      </c>
      <c r="B78" s="19">
        <f>('[1]Short Spot'!B79-'[1]Short Spot'!B78)*100</f>
        <v>0.2411833242933703</v>
      </c>
      <c r="C78" s="19">
        <f>('[1]Short Spot'!C79-'[1]Short Spot'!C78)*100</f>
        <v>0.4603534187974212</v>
      </c>
      <c r="D78" s="19">
        <f>('[1]Short Spot'!D79-'[1]Short Spot'!D78)*100</f>
        <v>0.36416041728815074</v>
      </c>
      <c r="E78" s="19">
        <f>('[1]Short Spot'!E79-'[1]Short Spot'!E78)*100</f>
        <v>0.26325551747747866</v>
      </c>
      <c r="F78" s="19">
        <f>('[1]Short Spot'!F79-'[1]Short Spot'!F78)*100</f>
        <v>0.15594326534156266</v>
      </c>
      <c r="G78" s="19">
        <f>('[1]Short Spot'!G79-'[1]Short Spot'!G78)*100</f>
        <v>3.9011920210452189E-2</v>
      </c>
      <c r="H78" s="19">
        <f>('[1]Short Spot'!H79-'[1]Short Spot'!H78)*100</f>
        <v>-8.6989800414016827E-2</v>
      </c>
      <c r="I78" s="19">
        <f>('[1]Short Spot'!I79-'[1]Short Spot'!I78)*100</f>
        <v>-0.21849600060468433</v>
      </c>
      <c r="J78" s="19">
        <f>('[1]Short Spot'!J79-'[1]Short Spot'!J78)*100</f>
        <v>-0.348092914441267</v>
      </c>
      <c r="K78" s="19">
        <f>('[1]Short Spot'!K79-'[1]Short Spot'!K78)*100</f>
        <v>-0.46900213116378708</v>
      </c>
      <c r="L78" s="19">
        <f>('[1]Short Spot'!L79-'[1]Short Spot'!L78)*100</f>
        <v>-0.57736141498896387</v>
      </c>
      <c r="M78" s="19">
        <f>('[1]Short Spot'!M79-'[1]Short Spot'!M78)*100</f>
        <v>-0.67227456153062803</v>
      </c>
      <c r="N78" s="19">
        <f>('[1]Short Spot'!N79-'[1]Short Spot'!N78)*100</f>
        <v>-0.75425624943026293</v>
      </c>
      <c r="O78" s="19">
        <f>('[1]Short Spot'!O79-'[1]Short Spot'!O78)*100</f>
        <v>-0.82450019836262101</v>
      </c>
      <c r="P78" s="19">
        <f>('[1]Short Spot'!P79-'[1]Short Spot'!P78)*100</f>
        <v>-0.8842520212462901</v>
      </c>
      <c r="Q78" s="19">
        <f>('[1]Short Spot'!Q79-'[1]Short Spot'!Q78)*100</f>
        <v>-0.93471868783732148</v>
      </c>
      <c r="R78" s="19">
        <f>('[1]Short Spot'!R79-'[1]Short Spot'!R78)*100</f>
        <v>-0.97707988505195686</v>
      </c>
      <c r="S78" s="19">
        <f>('[1]Short Spot'!S79-'[1]Short Spot'!S78)*100</f>
        <v>-1.0124956368705362</v>
      </c>
      <c r="T78" s="19">
        <f>('[1]Short Spot'!T79-'[1]Short Spot'!T78)*100</f>
        <v>-1.0420931686090817</v>
      </c>
      <c r="U78" s="19">
        <f>('[1]Short Spot'!U79-'[1]Short Spot'!U78)*100</f>
        <v>-1.0668670292291793</v>
      </c>
      <c r="V78" s="19">
        <f>('[1]Short Spot'!V79-'[1]Short Spot'!V78)*100</f>
        <v>-1.0876493251522845</v>
      </c>
      <c r="W78" s="19">
        <f>('[1]Short Spot'!W79-'[1]Short Spot'!W78)*100</f>
        <v>-1.1051443373472303</v>
      </c>
      <c r="X78" s="19">
        <f>('[1]Short Spot'!X79-'[1]Short Spot'!X78)*100</f>
        <v>-1.1199555157064722</v>
      </c>
      <c r="Y78" s="19">
        <f>('[1]Short Spot'!Y79-'[1]Short Spot'!Y78)*100</f>
        <v>-1.1325914011438343</v>
      </c>
      <c r="Z78" s="19">
        <f>('[1]Short Spot'!Z79-'[1]Short Spot'!Z78)*100</f>
        <v>-1.1434674028834024</v>
      </c>
      <c r="AA78" s="19">
        <f>('[1]Short Spot'!AA79-'[1]Short Spot'!AA78)*100</f>
        <v>-1.1529233452790777</v>
      </c>
      <c r="AB78" s="19">
        <f>('[1]Short Spot'!AB79-'[1]Short Spot'!AB78)*100</f>
        <v>-1.1612375192529001</v>
      </c>
      <c r="AC78" s="19">
        <f>('[1]Short Spot'!AC79-'[1]Short Spot'!AC78)*100</f>
        <v>-1.16863767040849</v>
      </c>
      <c r="AD78" s="19">
        <f>('[1]Short Spot'!AD79-'[1]Short Spot'!AD78)*100</f>
        <v>-1.1753097130424273</v>
      </c>
      <c r="AE78" s="19">
        <f>('[1]Short Spot'!AE79-'[1]Short Spot'!AE78)*100</f>
        <v>-1.1814038489682765</v>
      </c>
      <c r="AF78" s="19">
        <f>('[1]Short Spot'!AF79-'[1]Short Spot'!AF78)*100</f>
        <v>-1.187036423693133</v>
      </c>
      <c r="AG78" s="19">
        <f>('[1]Short Spot'!AG79-'[1]Short Spot'!AG78)*100</f>
        <v>-1.1922938055294985</v>
      </c>
      <c r="AH78" s="19">
        <f>('[1]Short Spot'!AH79-'[1]Short Spot'!AH78)*100</f>
        <v>-1.1972385509573691</v>
      </c>
      <c r="AI78" s="19">
        <f>('[1]Short Spot'!AI79-'[1]Short Spot'!AI78)*100</f>
        <v>-1.2019195341038014</v>
      </c>
      <c r="AJ78" s="19">
        <f>('[1]Short Spot'!AJ79-'[1]Short Spot'!AJ78)*100</f>
        <v>-1.2063768611634273</v>
      </c>
      <c r="AK78" s="19">
        <f>('[1]Short Spot'!AK79-'[1]Short Spot'!AK78)*100</f>
        <v>-1.210643164017533</v>
      </c>
      <c r="AL78" s="19">
        <f>('[1]Short Spot'!AL79-'[1]Short Spot'!AL78)*100</f>
        <v>-1.2147446102765969</v>
      </c>
      <c r="AM78" s="19">
        <f>('[1]Short Spot'!AM79-'[1]Short Spot'!AM78)*100</f>
        <v>-1.2187017471473105</v>
      </c>
      <c r="AN78" s="19">
        <f>('[1]Short Spot'!AN79-'[1]Short Spot'!AN78)*100</f>
        <v>-1.2225301878407535</v>
      </c>
      <c r="AO78" s="19">
        <f>('[1]Short Spot'!AO79-'[1]Short Spot'!AO78)*100</f>
        <v>-1.226242199063865</v>
      </c>
      <c r="AP78" s="19">
        <f>('[1]Short Spot'!AP79-'[1]Short Spot'!AP78)*100</f>
        <v>-1.2298479180467226</v>
      </c>
      <c r="AQ78" s="19">
        <f>('[1]Short Spot'!AQ79-'[1]Short Spot'!AQ78)*100</f>
        <v>-1.2333556416197489</v>
      </c>
      <c r="AR78" s="19">
        <f>('[1]Short Spot'!AR79-'[1]Short Spot'!AR78)*100</f>
        <v>-1.2367720402121307</v>
      </c>
      <c r="AS78" s="19">
        <f>('[1]Short Spot'!AS79-'[1]Short Spot'!AS78)*100</f>
        <v>-1.2401023232853525</v>
      </c>
      <c r="AT78" s="19">
        <f>('[1]Short Spot'!AT79-'[1]Short Spot'!AT78)*100</f>
        <v>-1.2433501106159817</v>
      </c>
      <c r="AU78" s="19">
        <f>('[1]Short Spot'!AU79-'[1]Short Spot'!AU78)*100</f>
        <v>-1.2465179430121154</v>
      </c>
      <c r="AV78" s="19">
        <f>('[1]Short Spot'!AV79-'[1]Short Spot'!AV78)*100</f>
        <v>-1.2496078575719771</v>
      </c>
      <c r="AW78" s="19">
        <f>('[1]Short Spot'!AW79-'[1]Short Spot'!AW78)*100</f>
        <v>-1.2526214555877324</v>
      </c>
      <c r="AX78" s="19">
        <f>('[1]Short Spot'!AX79-'[1]Short Spot'!AX78)*100</f>
        <v>-1.2555599470158718</v>
      </c>
      <c r="AY78" s="19">
        <f>('[1]Short Spot'!AY79-'[1]Short Spot'!AY78)*100</f>
        <v>-1.2584241896104409</v>
      </c>
      <c r="AZ78" s="19">
        <f>('[1]Short Spot'!AZ79-'[1]Short Spot'!AZ78)*100</f>
        <v>-1.2612147234531079</v>
      </c>
      <c r="BA78" s="19">
        <f>('[1]Short Spot'!BA79-'[1]Short Spot'!BA78)*100</f>
        <v>-1.2639317213865908</v>
      </c>
      <c r="BB78" s="19">
        <f>('[1]Short Spot'!BB79-'[1]Short Spot'!BB78)*100</f>
        <v>-1.2665747799358584</v>
      </c>
      <c r="BC78" s="19">
        <f>('[1]Short Spot'!BC79-'[1]Short Spot'!BC78)*100</f>
        <v>-1.2691433538260632</v>
      </c>
      <c r="BD78" s="19">
        <f>('[1]Short Spot'!BD79-'[1]Short Spot'!BD78)*100</f>
        <v>-1.2716369013689999</v>
      </c>
      <c r="BE78" s="19">
        <f>('[1]Short Spot'!BE79-'[1]Short Spot'!BE78)*100</f>
        <v>-1.2740548841722266</v>
      </c>
      <c r="BF78" s="19">
        <f>('[1]Short Spot'!BF79-'[1]Short Spot'!BF78)*100</f>
        <v>-1.2763967668516507</v>
      </c>
      <c r="BG78" s="19">
        <f>('[1]Short Spot'!BG79-'[1]Short Spot'!BG78)*100</f>
        <v>-1.2786620167712925</v>
      </c>
      <c r="BH78" s="19">
        <f>('[1]Short Spot'!BH79-'[1]Short Spot'!BH78)*100</f>
        <v>-1.2808500663436639</v>
      </c>
      <c r="BI78" s="19">
        <f>('[1]Short Spot'!BI79-'[1]Short Spot'!BI78)*100</f>
        <v>-1.2829602363463088</v>
      </c>
    </row>
    <row r="79" spans="1:61" x14ac:dyDescent="0.2">
      <c r="A79" s="18">
        <v>39196</v>
      </c>
      <c r="B79" s="19">
        <f>('[1]Short Spot'!B80-'[1]Short Spot'!B79)*100</f>
        <v>0.13888665858505789</v>
      </c>
      <c r="C79" s="19">
        <f>('[1]Short Spot'!C80-'[1]Short Spot'!C79)*100</f>
        <v>0.28318841479659795</v>
      </c>
      <c r="D79" s="19">
        <f>('[1]Short Spot'!D80-'[1]Short Spot'!D79)*100</f>
        <v>0.23616020278645067</v>
      </c>
      <c r="E79" s="19">
        <f>('[1]Short Spot'!E80-'[1]Short Spot'!E79)*100</f>
        <v>0.15561760841071859</v>
      </c>
      <c r="F79" s="19">
        <f>('[1]Short Spot'!F80-'[1]Short Spot'!F79)*100</f>
        <v>8.1621220738270495E-2</v>
      </c>
      <c r="G79" s="19">
        <f>('[1]Short Spot'!G80-'[1]Short Spot'!G79)*100</f>
        <v>2.731660618771059E-2</v>
      </c>
      <c r="H79" s="19">
        <f>('[1]Short Spot'!H80-'[1]Short Spot'!H79)*100</f>
        <v>-2.6581458627106258E-3</v>
      </c>
      <c r="I79" s="19">
        <f>('[1]Short Spot'!I80-'[1]Short Spot'!I79)*100</f>
        <v>-9.6853558573251064E-3</v>
      </c>
      <c r="J79" s="19">
        <f>('[1]Short Spot'!J80-'[1]Short Spot'!J79)*100</f>
        <v>4.1730458653077562E-4</v>
      </c>
      <c r="K79" s="19">
        <f>('[1]Short Spot'!K80-'[1]Short Spot'!K79)*100</f>
        <v>2.1688005303399649E-2</v>
      </c>
      <c r="L79" s="19">
        <f>('[1]Short Spot'!L80-'[1]Short Spot'!L79)*100</f>
        <v>4.9403652950008592E-2</v>
      </c>
      <c r="M79" s="19">
        <f>('[1]Short Spot'!M80-'[1]Short Spot'!M79)*100</f>
        <v>8.0374392259319194E-2</v>
      </c>
      <c r="N79" s="19">
        <f>('[1]Short Spot'!N80-'[1]Short Spot'!N79)*100</f>
        <v>0.11255512088927944</v>
      </c>
      <c r="O79" s="19">
        <f>('[1]Short Spot'!O80-'[1]Short Spot'!O79)*100</f>
        <v>0.14461762744986117</v>
      </c>
      <c r="P79" s="19">
        <f>('[1]Short Spot'!P80-'[1]Short Spot'!P79)*100</f>
        <v>0.1756926777468415</v>
      </c>
      <c r="Q79" s="19">
        <f>('[1]Short Spot'!Q80-'[1]Short Spot'!Q79)*100</f>
        <v>0.20522485389795619</v>
      </c>
      <c r="R79" s="19">
        <f>('[1]Short Spot'!R80-'[1]Short Spot'!R79)*100</f>
        <v>0.23288025541550184</v>
      </c>
      <c r="S79" s="19">
        <f>('[1]Short Spot'!S80-'[1]Short Spot'!S79)*100</f>
        <v>0.25848474805583166</v>
      </c>
      <c r="T79" s="19">
        <f>('[1]Short Spot'!T80-'[1]Short Spot'!T79)*100</f>
        <v>0.28196989243003401</v>
      </c>
      <c r="U79" s="19">
        <f>('[1]Short Spot'!U80-'[1]Short Spot'!U79)*100</f>
        <v>0.30332811376974078</v>
      </c>
      <c r="V79" s="19">
        <f>('[1]Short Spot'!V80-'[1]Short Spot'!V79)*100</f>
        <v>0.32260125534078199</v>
      </c>
      <c r="W79" s="19">
        <f>('[1]Short Spot'!W80-'[1]Short Spot'!W79)*100</f>
        <v>0.33986991095256158</v>
      </c>
      <c r="X79" s="19">
        <f>('[1]Short Spot'!X80-'[1]Short Spot'!X79)*100</f>
        <v>0.35524532554731536</v>
      </c>
      <c r="Y79" s="19">
        <f>('[1]Short Spot'!Y80-'[1]Short Spot'!Y79)*100</f>
        <v>0.36885988057910879</v>
      </c>
      <c r="Z79" s="19">
        <f>('[1]Short Spot'!Z80-'[1]Short Spot'!Z79)*100</f>
        <v>0.38084280345591637</v>
      </c>
      <c r="AA79" s="19">
        <f>('[1]Short Spot'!AA80-'[1]Short Spot'!AA79)*100</f>
        <v>0.39131337455842186</v>
      </c>
      <c r="AB79" s="19">
        <f>('[1]Short Spot'!AB80-'[1]Short Spot'!AB79)*100</f>
        <v>0.4003827009645633</v>
      </c>
      <c r="AC79" s="19">
        <f>('[1]Short Spot'!AC80-'[1]Short Spot'!AC79)*100</f>
        <v>0.40815517596737294</v>
      </c>
      <c r="AD79" s="19">
        <f>('[1]Short Spot'!AD80-'[1]Short Spot'!AD79)*100</f>
        <v>0.41472963771669313</v>
      </c>
      <c r="AE79" s="19">
        <f>('[1]Short Spot'!AE80-'[1]Short Spot'!AE79)*100</f>
        <v>0.42020034587775257</v>
      </c>
      <c r="AF79" s="19">
        <f>('[1]Short Spot'!AF80-'[1]Short Spot'!AF79)*100</f>
        <v>0.42465555267297006</v>
      </c>
      <c r="AG79" s="19">
        <f>('[1]Short Spot'!AG80-'[1]Short Spot'!AG79)*100</f>
        <v>0.42817555000489449</v>
      </c>
      <c r="AH79" s="19">
        <f>('[1]Short Spot'!AH80-'[1]Short Spot'!AH79)*100</f>
        <v>0.4308336978398053</v>
      </c>
      <c r="AI79" s="19">
        <f>('[1]Short Spot'!AI80-'[1]Short Spot'!AI79)*100</f>
        <v>0.43269727130734736</v>
      </c>
      <c r="AJ79" s="19">
        <f>('[1]Short Spot'!AJ80-'[1]Short Spot'!AJ79)*100</f>
        <v>0.43382808747063351</v>
      </c>
      <c r="AK79" s="19">
        <f>('[1]Short Spot'!AK80-'[1]Short Spot'!AK79)*100</f>
        <v>0.43428325196162021</v>
      </c>
      <c r="AL79" s="19">
        <f>('[1]Short Spot'!AL80-'[1]Short Spot'!AL79)*100</f>
        <v>0.43411579565946212</v>
      </c>
      <c r="AM79" s="19">
        <f>('[1]Short Spot'!AM80-'[1]Short Spot'!AM79)*100</f>
        <v>0.43337522133990447</v>
      </c>
      <c r="AN79" s="19">
        <f>('[1]Short Spot'!AN80-'[1]Short Spot'!AN79)*100</f>
        <v>0.43210826111810263</v>
      </c>
      <c r="AO79" s="19">
        <f>('[1]Short Spot'!AO80-'[1]Short Spot'!AO79)*100</f>
        <v>0.43035922662966186</v>
      </c>
      <c r="AP79" s="19">
        <f>('[1]Short Spot'!AP80-'[1]Short Spot'!AP79)*100</f>
        <v>0.42816992947329879</v>
      </c>
      <c r="AQ79" s="19">
        <f>('[1]Short Spot'!AQ80-'[1]Short Spot'!AQ79)*100</f>
        <v>0.4255799571089014</v>
      </c>
      <c r="AR79" s="19">
        <f>('[1]Short Spot'!AR80-'[1]Short Spot'!AR79)*100</f>
        <v>0.42262693147829822</v>
      </c>
      <c r="AS79" s="19">
        <f>('[1]Short Spot'!AS80-'[1]Short Spot'!AS79)*100</f>
        <v>0.41934675262647048</v>
      </c>
      <c r="AT79" s="19">
        <f>('[1]Short Spot'!AT80-'[1]Short Spot'!AT79)*100</f>
        <v>0.41577395781047244</v>
      </c>
      <c r="AU79" s="19">
        <f>('[1]Short Spot'!AU80-'[1]Short Spot'!AU79)*100</f>
        <v>0.41194120193885908</v>
      </c>
      <c r="AV79" s="19">
        <f>('[1]Short Spot'!AV80-'[1]Short Spot'!AV79)*100</f>
        <v>0.40787894583820261</v>
      </c>
      <c r="AW79" s="19">
        <f>('[1]Short Spot'!AW80-'[1]Short Spot'!AW79)*100</f>
        <v>0.4036156720213846</v>
      </c>
      <c r="AX79" s="19">
        <f>('[1]Short Spot'!AX80-'[1]Short Spot'!AX79)*100</f>
        <v>0.39917808655784981</v>
      </c>
      <c r="AY79" s="19">
        <f>('[1]Short Spot'!AY80-'[1]Short Spot'!AY79)*100</f>
        <v>0.39459129671683968</v>
      </c>
      <c r="AZ79" s="19">
        <f>('[1]Short Spot'!AZ80-'[1]Short Spot'!AZ79)*100</f>
        <v>0.38987896771391917</v>
      </c>
      <c r="BA79" s="19">
        <f>('[1]Short Spot'!BA80-'[1]Short Spot'!BA79)*100</f>
        <v>0.38506353735936472</v>
      </c>
      <c r="BB79" s="19">
        <f>('[1]Short Spot'!BB80-'[1]Short Spot'!BB79)*100</f>
        <v>0.38016642910134735</v>
      </c>
      <c r="BC79" s="19">
        <f>('[1]Short Spot'!BC80-'[1]Short Spot'!BC79)*100</f>
        <v>0.37520762359859461</v>
      </c>
      <c r="BD79" s="19">
        <f>('[1]Short Spot'!BD80-'[1]Short Spot'!BD79)*100</f>
        <v>0.37020565815142348</v>
      </c>
      <c r="BE79" s="19">
        <f>('[1]Short Spot'!BE80-'[1]Short Spot'!BE79)*100</f>
        <v>0.36517775556799137</v>
      </c>
      <c r="BF79" s="19">
        <f>('[1]Short Spot'!BF80-'[1]Short Spot'!BF79)*100</f>
        <v>0.36013993947117129</v>
      </c>
      <c r="BG79" s="19">
        <f>('[1]Short Spot'!BG80-'[1]Short Spot'!BG79)*100</f>
        <v>0.35510713767630264</v>
      </c>
      <c r="BH79" s="19">
        <f>('[1]Short Spot'!BH80-'[1]Short Spot'!BH79)*100</f>
        <v>0.35009330876398792</v>
      </c>
      <c r="BI79" s="19">
        <f>('[1]Short Spot'!BI80-'[1]Short Spot'!BI79)*100</f>
        <v>0.34511152581631066</v>
      </c>
    </row>
    <row r="80" spans="1:61" x14ac:dyDescent="0.2">
      <c r="A80" s="18">
        <v>39197</v>
      </c>
      <c r="B80" s="19">
        <f>('[1]Short Spot'!B81-'[1]Short Spot'!B80)*100</f>
        <v>2.0573698046953304</v>
      </c>
      <c r="C80" s="19">
        <f>('[1]Short Spot'!C81-'[1]Short Spot'!C80)*100</f>
        <v>1.4919514132908596</v>
      </c>
      <c r="D80" s="19">
        <f>('[1]Short Spot'!D81-'[1]Short Spot'!D80)*100</f>
        <v>1.4043708226431306</v>
      </c>
      <c r="E80" s="19">
        <f>('[1]Short Spot'!E81-'[1]Short Spot'!E80)*100</f>
        <v>1.4509928270515005</v>
      </c>
      <c r="F80" s="19">
        <f>('[1]Short Spot'!F81-'[1]Short Spot'!F80)*100</f>
        <v>1.5326119025796281</v>
      </c>
      <c r="G80" s="19">
        <f>('[1]Short Spot'!G81-'[1]Short Spot'!G80)*100</f>
        <v>1.6117629724528015</v>
      </c>
      <c r="H80" s="19">
        <f>('[1]Short Spot'!H81-'[1]Short Spot'!H80)*100</f>
        <v>1.6711295431561801</v>
      </c>
      <c r="I80" s="19">
        <f>('[1]Short Spot'!I81-'[1]Short Spot'!I80)*100</f>
        <v>1.7058990066109558</v>
      </c>
      <c r="J80" s="19">
        <f>('[1]Short Spot'!J81-'[1]Short Spot'!J80)*100</f>
        <v>1.7201260353059133</v>
      </c>
      <c r="K80" s="19">
        <f>('[1]Short Spot'!K81-'[1]Short Spot'!K80)*100</f>
        <v>1.7196843427894848</v>
      </c>
      <c r="L80" s="19">
        <f>('[1]Short Spot'!L81-'[1]Short Spot'!L80)*100</f>
        <v>1.7094400039023405</v>
      </c>
      <c r="M80" s="19">
        <f>('[1]Short Spot'!M81-'[1]Short Spot'!M80)*100</f>
        <v>1.6925627570910429</v>
      </c>
      <c r="N80" s="19">
        <f>('[1]Short Spot'!N81-'[1]Short Spot'!N80)*100</f>
        <v>1.6712642770012387</v>
      </c>
      <c r="O80" s="19">
        <f>('[1]Short Spot'!O81-'[1]Short Spot'!O80)*100</f>
        <v>1.6471029681750515</v>
      </c>
      <c r="P80" s="19">
        <f>('[1]Short Spot'!P81-'[1]Short Spot'!P80)*100</f>
        <v>1.6211531578541383</v>
      </c>
      <c r="Q80" s="19">
        <f>('[1]Short Spot'!Q81-'[1]Short Spot'!Q80)*100</f>
        <v>1.5941518543781896</v>
      </c>
      <c r="R80" s="19">
        <f>('[1]Short Spot'!R81-'[1]Short Spot'!R80)*100</f>
        <v>1.5665979586217738</v>
      </c>
      <c r="S80" s="19">
        <f>('[1]Short Spot'!S81-'[1]Short Spot'!S80)*100</f>
        <v>1.5388182009569817</v>
      </c>
      <c r="T80" s="19">
        <f>('[1]Short Spot'!T81-'[1]Short Spot'!T80)*100</f>
        <v>1.5110095900046971</v>
      </c>
      <c r="U80" s="19">
        <f>('[1]Short Spot'!U81-'[1]Short Spot'!U80)*100</f>
        <v>1.4832891861472852</v>
      </c>
      <c r="V80" s="19">
        <f>('[1]Short Spot'!V81-'[1]Short Spot'!V80)*100</f>
        <v>1.4557298879707581</v>
      </c>
      <c r="W80" s="19">
        <f>('[1]Short Spot'!W81-'[1]Short Spot'!W80)*100</f>
        <v>1.428371224503433</v>
      </c>
      <c r="X80" s="19">
        <f>('[1]Short Spot'!X81-'[1]Short Spot'!X80)*100</f>
        <v>1.4012274895002008</v>
      </c>
      <c r="Y80" s="19">
        <f>('[1]Short Spot'!Y81-'[1]Short Spot'!Y80)*100</f>
        <v>1.3743038964372012</v>
      </c>
      <c r="Z80" s="19">
        <f>('[1]Short Spot'!Z81-'[1]Short Spot'!Z80)*100</f>
        <v>1.3476045816853244</v>
      </c>
      <c r="AA80" s="19">
        <f>('[1]Short Spot'!AA81-'[1]Short Spot'!AA80)*100</f>
        <v>1.3211310621790595</v>
      </c>
      <c r="AB80" s="19">
        <f>('[1]Short Spot'!AB81-'[1]Short Spot'!AB80)*100</f>
        <v>1.2948826852430706</v>
      </c>
      <c r="AC80" s="19">
        <f>('[1]Short Spot'!AC81-'[1]Short Spot'!AC80)*100</f>
        <v>1.2688570160223733</v>
      </c>
      <c r="AD80" s="19">
        <f>('[1]Short Spot'!AD81-'[1]Short Spot'!AD80)*100</f>
        <v>1.243050147256497</v>
      </c>
      <c r="AE80" s="19">
        <f>('[1]Short Spot'!AE81-'[1]Short Spot'!AE80)*100</f>
        <v>1.2174578950730819</v>
      </c>
      <c r="AF80" s="19">
        <f>('[1]Short Spot'!AF81-'[1]Short Spot'!AF80)*100</f>
        <v>1.1920792817426751</v>
      </c>
      <c r="AG80" s="19">
        <f>('[1]Short Spot'!AG81-'[1]Short Spot'!AG80)*100</f>
        <v>1.1669168923181594</v>
      </c>
      <c r="AH80" s="19">
        <f>('[1]Short Spot'!AH81-'[1]Short Spot'!AH80)*100</f>
        <v>1.1419757277174369</v>
      </c>
      <c r="AI80" s="19">
        <f>('[1]Short Spot'!AI81-'[1]Short Spot'!AI80)*100</f>
        <v>1.1172607120402134</v>
      </c>
      <c r="AJ80" s="19">
        <f>('[1]Short Spot'!AJ81-'[1]Short Spot'!AJ80)*100</f>
        <v>1.0927758263334475</v>
      </c>
      <c r="AK80" s="19">
        <f>('[1]Short Spot'!AK81-'[1]Short Spot'!AK80)*100</f>
        <v>1.0685242212367108</v>
      </c>
      <c r="AL80" s="19">
        <f>('[1]Short Spot'!AL81-'[1]Short Spot'!AL80)*100</f>
        <v>1.0445083292009549</v>
      </c>
      <c r="AM80" s="19">
        <f>('[1]Short Spot'!AM81-'[1]Short Spot'!AM80)*100</f>
        <v>1.0207299744923404</v>
      </c>
      <c r="AN80" s="19">
        <f>('[1]Short Spot'!AN81-'[1]Short Spot'!AN80)*100</f>
        <v>0.99719097148591729</v>
      </c>
      <c r="AO80" s="19">
        <f>('[1]Short Spot'!AO81-'[1]Short Spot'!AO80)*100</f>
        <v>0.97389372569915977</v>
      </c>
      <c r="AP80" s="19">
        <f>('[1]Short Spot'!AP81-'[1]Short Spot'!AP80)*100</f>
        <v>0.95084101034714763</v>
      </c>
      <c r="AQ80" s="19">
        <f>('[1]Short Spot'!AQ81-'[1]Short Spot'!AQ80)*100</f>
        <v>0.92803590747418951</v>
      </c>
      <c r="AR80" s="19">
        <f>('[1]Short Spot'!AR81-'[1]Short Spot'!AR80)*100</f>
        <v>0.9054817720436148</v>
      </c>
      <c r="AS80" s="19">
        <f>('[1]Short Spot'!AS81-'[1]Short Spot'!AS80)*100</f>
        <v>0.88318222722501005</v>
      </c>
      <c r="AT80" s="19">
        <f>('[1]Short Spot'!AT81-'[1]Short Spot'!AT80)*100</f>
        <v>0.86114143964675094</v>
      </c>
      <c r="AU80" s="19">
        <f>('[1]Short Spot'!AU81-'[1]Short Spot'!AU80)*100</f>
        <v>0.83936373735937764</v>
      </c>
      <c r="AV80" s="19">
        <f>('[1]Short Spot'!AV81-'[1]Short Spot'!AV80)*100</f>
        <v>0.81785321594001203</v>
      </c>
      <c r="AW80" s="19">
        <f>('[1]Short Spot'!AW81-'[1]Short Spot'!AW80)*100</f>
        <v>0.79661375364405984</v>
      </c>
      <c r="AX80" s="19">
        <f>('[1]Short Spot'!AX81-'[1]Short Spot'!AX80)*100</f>
        <v>0.77564903358071646</v>
      </c>
      <c r="AY80" s="19">
        <f>('[1]Short Spot'!AY81-'[1]Short Spot'!AY80)*100</f>
        <v>0.75496256322766797</v>
      </c>
      <c r="AZ80" s="19">
        <f>('[1]Short Spot'!AZ81-'[1]Short Spot'!AZ80)*100</f>
        <v>0.73455769164922913</v>
      </c>
      <c r="BA80" s="19">
        <f>('[1]Short Spot'!BA81-'[1]Short Spot'!BA80)*100</f>
        <v>0.71443772129518024</v>
      </c>
      <c r="BB80" s="19">
        <f>('[1]Short Spot'!BB81-'[1]Short Spot'!BB80)*100</f>
        <v>0.69460614827008271</v>
      </c>
      <c r="BC80" s="19">
        <f>('[1]Short Spot'!BC81-'[1]Short Spot'!BC80)*100</f>
        <v>0.67506628276348124</v>
      </c>
      <c r="BD80" s="19">
        <f>('[1]Short Spot'!BD81-'[1]Short Spot'!BD80)*100</f>
        <v>0.65582116301579063</v>
      </c>
      <c r="BE80" s="19">
        <f>('[1]Short Spot'!BE81-'[1]Short Spot'!BE80)*100</f>
        <v>0.63687357959851809</v>
      </c>
      <c r="BF80" s="19">
        <f>('[1]Short Spot'!BF81-'[1]Short Spot'!BF80)*100</f>
        <v>0.618226097140262</v>
      </c>
      <c r="BG80" s="19">
        <f>('[1]Short Spot'!BG81-'[1]Short Spot'!BG80)*100</f>
        <v>0.59988107380730682</v>
      </c>
      <c r="BH80" s="19">
        <f>('[1]Short Spot'!BH81-'[1]Short Spot'!BH80)*100</f>
        <v>0.58184073039937445</v>
      </c>
      <c r="BI80" s="19">
        <f>('[1]Short Spot'!BI81-'[1]Short Spot'!BI80)*100</f>
        <v>0.56410730539075971</v>
      </c>
    </row>
    <row r="81" spans="1:61" x14ac:dyDescent="0.2">
      <c r="A81" s="18">
        <v>39198</v>
      </c>
      <c r="B81" s="19">
        <f>('[1]Short Spot'!B82-'[1]Short Spot'!B81)*100</f>
        <v>0.86238178659954201</v>
      </c>
      <c r="C81" s="19">
        <f>('[1]Short Spot'!C82-'[1]Short Spot'!C81)*100</f>
        <v>0.74410395509021399</v>
      </c>
      <c r="D81" s="19">
        <f>('[1]Short Spot'!D82-'[1]Short Spot'!D81)*100</f>
        <v>0.64756172772142406</v>
      </c>
      <c r="E81" s="19">
        <f>('[1]Short Spot'!E82-'[1]Short Spot'!E81)*100</f>
        <v>0.58756983638890148</v>
      </c>
      <c r="F81" s="19">
        <f>('[1]Short Spot'!F82-'[1]Short Spot'!F81)*100</f>
        <v>0.55921316285463263</v>
      </c>
      <c r="G81" s="19">
        <f>('[1]Short Spot'!G82-'[1]Short Spot'!G81)*100</f>
        <v>0.55746889169245861</v>
      </c>
      <c r="H81" s="19">
        <f>('[1]Short Spot'!H82-'[1]Short Spot'!H81)*100</f>
        <v>0.57768864334262204</v>
      </c>
      <c r="I81" s="19">
        <f>('[1]Short Spot'!I82-'[1]Short Spot'!I81)*100</f>
        <v>0.61563687681527313</v>
      </c>
      <c r="J81" s="19">
        <f>('[1]Short Spot'!J82-'[1]Short Spot'!J81)*100</f>
        <v>0.6671829385108019</v>
      </c>
      <c r="K81" s="19">
        <f>('[1]Short Spot'!K82-'[1]Short Spot'!K81)*100</f>
        <v>0.7278709246149262</v>
      </c>
      <c r="L81" s="19">
        <f>('[1]Short Spot'!L82-'[1]Short Spot'!L81)*100</f>
        <v>0.79382319773504406</v>
      </c>
      <c r="M81" s="19">
        <f>('[1]Short Spot'!M82-'[1]Short Spot'!M81)*100</f>
        <v>0.86192622472909264</v>
      </c>
      <c r="N81" s="19">
        <f>('[1]Short Spot'!N82-'[1]Short Spot'!N81)*100</f>
        <v>0.92964890394133803</v>
      </c>
      <c r="O81" s="19">
        <f>('[1]Short Spot'!O82-'[1]Short Spot'!O81)*100</f>
        <v>0.9953798445208939</v>
      </c>
      <c r="P81" s="19">
        <f>('[1]Short Spot'!P82-'[1]Short Spot'!P81)*100</f>
        <v>1.0582076142681807</v>
      </c>
      <c r="Q81" s="19">
        <f>('[1]Short Spot'!Q82-'[1]Short Spot'!Q81)*100</f>
        <v>1.1176417267932948</v>
      </c>
      <c r="R81" s="19">
        <f>('[1]Short Spot'!R82-'[1]Short Spot'!R81)*100</f>
        <v>1.1734888094371954</v>
      </c>
      <c r="S81" s="19">
        <f>('[1]Short Spot'!S82-'[1]Short Spot'!S81)*100</f>
        <v>1.2257695857103457</v>
      </c>
      <c r="T81" s="19">
        <f>('[1]Short Spot'!T82-'[1]Short Spot'!T81)*100</f>
        <v>1.274637205656326</v>
      </c>
      <c r="U81" s="19">
        <f>('[1]Short Spot'!U82-'[1]Short Spot'!U81)*100</f>
        <v>1.3202895151030347</v>
      </c>
      <c r="V81" s="19">
        <f>('[1]Short Spot'!V82-'[1]Short Spot'!V81)*100</f>
        <v>1.3629486916195255</v>
      </c>
      <c r="W81" s="19">
        <f>('[1]Short Spot'!W82-'[1]Short Spot'!W81)*100</f>
        <v>1.4028559200012225</v>
      </c>
      <c r="X81" s="19">
        <f>('[1]Short Spot'!X82-'[1]Short Spot'!X81)*100</f>
        <v>1.4402674782044933</v>
      </c>
      <c r="Y81" s="19">
        <f>('[1]Short Spot'!Y82-'[1]Short Spot'!Y81)*100</f>
        <v>1.4754441434724264</v>
      </c>
      <c r="Z81" s="19">
        <f>('[1]Short Spot'!Z82-'[1]Short Spot'!Z81)*100</f>
        <v>1.5086250974210458</v>
      </c>
      <c r="AA81" s="19">
        <f>('[1]Short Spot'!AA82-'[1]Short Spot'!AA81)*100</f>
        <v>1.5400250571914853</v>
      </c>
      <c r="AB81" s="19">
        <f>('[1]Short Spot'!AB82-'[1]Short Spot'!AB81)*100</f>
        <v>1.5698387727148599</v>
      </c>
      <c r="AC81" s="19">
        <f>('[1]Short Spot'!AC82-'[1]Short Spot'!AC81)*100</f>
        <v>1.5982445922868571</v>
      </c>
      <c r="AD81" s="19">
        <f>('[1]Short Spot'!AD82-'[1]Short Spot'!AD81)*100</f>
        <v>1.6254072936510156</v>
      </c>
      <c r="AE81" s="19">
        <f>('[1]Short Spot'!AE82-'[1]Short Spot'!AE81)*100</f>
        <v>1.6514805957734247</v>
      </c>
      <c r="AF81" s="19">
        <f>('[1]Short Spot'!AF82-'[1]Short Spot'!AF81)*100</f>
        <v>1.6766077958792813</v>
      </c>
      <c r="AG81" s="19">
        <f>('[1]Short Spot'!AG82-'[1]Short Spot'!AG81)*100</f>
        <v>1.7009213955656577</v>
      </c>
      <c r="AH81" s="19">
        <f>('[1]Short Spot'!AH82-'[1]Short Spot'!AH81)*100</f>
        <v>1.7245430341787049</v>
      </c>
      <c r="AI81" s="19">
        <f>('[1]Short Spot'!AI82-'[1]Short Spot'!AI81)*100</f>
        <v>1.7475804698895203</v>
      </c>
      <c r="AJ81" s="19">
        <f>('[1]Short Spot'!AJ82-'[1]Short Spot'!AJ81)*100</f>
        <v>1.7701280349273318</v>
      </c>
      <c r="AK81" s="19">
        <f>('[1]Short Spot'!AK82-'[1]Short Spot'!AK81)*100</f>
        <v>1.7922684792130106</v>
      </c>
      <c r="AL81" s="19">
        <f>('[1]Short Spot'!AL82-'[1]Short Spot'!AL81)*100</f>
        <v>1.8140745355352372</v>
      </c>
      <c r="AM81" s="19">
        <f>('[1]Short Spot'!AM82-'[1]Short Spot'!AM81)*100</f>
        <v>1.8356102504597516</v>
      </c>
      <c r="AN81" s="19">
        <f>('[1]Short Spot'!AN82-'[1]Short Spot'!AN81)*100</f>
        <v>1.8569321864775112</v>
      </c>
      <c r="AO81" s="19">
        <f>('[1]Short Spot'!AO82-'[1]Short Spot'!AO81)*100</f>
        <v>1.8780895800875719</v>
      </c>
      <c r="AP81" s="19">
        <f>('[1]Short Spot'!AP82-'[1]Short Spot'!AP81)*100</f>
        <v>1.8991246494389991</v>
      </c>
      <c r="AQ81" s="19">
        <f>('[1]Short Spot'!AQ82-'[1]Short Spot'!AQ81)*100</f>
        <v>1.9200734117267082</v>
      </c>
      <c r="AR81" s="19">
        <f>('[1]Short Spot'!AR82-'[1]Short Spot'!AR81)*100</f>
        <v>1.940966404231137</v>
      </c>
      <c r="AS81" s="19">
        <f>('[1]Short Spot'!AS82-'[1]Short Spot'!AS81)*100</f>
        <v>1.9618293398814934</v>
      </c>
      <c r="AT81" s="19">
        <f>('[1]Short Spot'!AT82-'[1]Short Spot'!AT81)*100</f>
        <v>1.9826840397942469</v>
      </c>
      <c r="AU81" s="19">
        <f>('[1]Short Spot'!AU82-'[1]Short Spot'!AU81)*100</f>
        <v>2.0035487099208105</v>
      </c>
      <c r="AV81" s="19">
        <f>('[1]Short Spot'!AV82-'[1]Short Spot'!AV81)*100</f>
        <v>2.02443802128629</v>
      </c>
      <c r="AW81" s="19">
        <f>('[1]Short Spot'!AW82-'[1]Short Spot'!AW81)*100</f>
        <v>2.0453634715449809</v>
      </c>
      <c r="AX81" s="19">
        <f>('[1]Short Spot'!AX82-'[1]Short Spot'!AX81)*100</f>
        <v>2.0663337087938771</v>
      </c>
      <c r="AY81" s="19">
        <f>('[1]Short Spot'!AY82-'[1]Short Spot'!AY81)*100</f>
        <v>2.0873548165282862</v>
      </c>
      <c r="AZ81" s="19">
        <f>('[1]Short Spot'!AZ82-'[1]Short Spot'!AZ81)*100</f>
        <v>2.1084305650787449</v>
      </c>
      <c r="BA81" s="19">
        <f>('[1]Short Spot'!BA82-'[1]Short Spot'!BA81)*100</f>
        <v>2.1295627587414323</v>
      </c>
      <c r="BB81" s="19">
        <f>('[1]Short Spot'!BB82-'[1]Short Spot'!BB81)*100</f>
        <v>2.150751822768715</v>
      </c>
      <c r="BC81" s="19">
        <f>('[1]Short Spot'!BC82-'[1]Short Spot'!BC81)*100</f>
        <v>2.1719967249805627</v>
      </c>
      <c r="BD81" s="19">
        <f>('[1]Short Spot'!BD82-'[1]Short Spot'!BD81)*100</f>
        <v>2.1932950283959585</v>
      </c>
      <c r="BE81" s="19">
        <f>('[1]Short Spot'!BE82-'[1]Short Spot'!BE81)*100</f>
        <v>2.2146430166621656</v>
      </c>
      <c r="BF81" s="19">
        <f>('[1]Short Spot'!BF82-'[1]Short Spot'!BF81)*100</f>
        <v>2.2360358062803343</v>
      </c>
      <c r="BG81" s="19">
        <f>('[1]Short Spot'!BG82-'[1]Short Spot'!BG81)*100</f>
        <v>2.2574674472385148</v>
      </c>
      <c r="BH81" s="19">
        <f>('[1]Short Spot'!BH82-'[1]Short Spot'!BH81)*100</f>
        <v>2.2789310730299661</v>
      </c>
      <c r="BI81" s="19">
        <f>('[1]Short Spot'!BI82-'[1]Short Spot'!BI81)*100</f>
        <v>2.3004191396086782</v>
      </c>
    </row>
    <row r="82" spans="1:61" x14ac:dyDescent="0.2">
      <c r="A82" s="18">
        <v>39199</v>
      </c>
      <c r="B82" s="19">
        <f>('[1]Short Spot'!B83-'[1]Short Spot'!B82)*100</f>
        <v>2.2556098714118455</v>
      </c>
      <c r="C82" s="19">
        <f>('[1]Short Spot'!C83-'[1]Short Spot'!C82)*100</f>
        <v>1.0524120105834811</v>
      </c>
      <c r="D82" s="19">
        <f>('[1]Short Spot'!D83-'[1]Short Spot'!D82)*100</f>
        <v>0.63316941694964157</v>
      </c>
      <c r="E82" s="19">
        <f>('[1]Short Spot'!E83-'[1]Short Spot'!E82)*100</f>
        <v>0.47355002281381786</v>
      </c>
      <c r="F82" s="19">
        <f>('[1]Short Spot'!F83-'[1]Short Spot'!F82)*100</f>
        <v>0.43754831815192574</v>
      </c>
      <c r="G82" s="19">
        <f>('[1]Short Spot'!G83-'[1]Short Spot'!G82)*100</f>
        <v>0.46260752186144671</v>
      </c>
      <c r="H82" s="19">
        <f>('[1]Short Spot'!H83-'[1]Short Spot'!H82)*100</f>
        <v>0.50907531850805654</v>
      </c>
      <c r="I82" s="19">
        <f>('[1]Short Spot'!I83-'[1]Short Spot'!I82)*100</f>
        <v>0.55476534409484302</v>
      </c>
      <c r="J82" s="19">
        <f>('[1]Short Spot'!J83-'[1]Short Spot'!J82)*100</f>
        <v>0.59225589336850959</v>
      </c>
      <c r="K82" s="19">
        <f>('[1]Short Spot'!K83-'[1]Short Spot'!K82)*100</f>
        <v>0.62104683239647684</v>
      </c>
      <c r="L82" s="19">
        <f>('[1]Short Spot'!L83-'[1]Short Spot'!L82)*100</f>
        <v>0.6430795783262333</v>
      </c>
      <c r="M82" s="19">
        <f>('[1]Short Spot'!M83-'[1]Short Spot'!M82)*100</f>
        <v>0.6605206983453904</v>
      </c>
      <c r="N82" s="19">
        <f>('[1]Short Spot'!N83-'[1]Short Spot'!N82)*100</f>
        <v>0.67510828417072233</v>
      </c>
      <c r="O82" s="19">
        <f>('[1]Short Spot'!O83-'[1]Short Spot'!O82)*100</f>
        <v>0.68797333288825868</v>
      </c>
      <c r="P82" s="19">
        <f>('[1]Short Spot'!P83-'[1]Short Spot'!P82)*100</f>
        <v>0.69988954742967735</v>
      </c>
      <c r="Q82" s="19">
        <f>('[1]Short Spot'!Q83-'[1]Short Spot'!Q82)*100</f>
        <v>0.71142545346285502</v>
      </c>
      <c r="R82" s="19">
        <f>('[1]Short Spot'!R83-'[1]Short Spot'!R82)*100</f>
        <v>0.7230047654846139</v>
      </c>
      <c r="S82" s="19">
        <f>('[1]Short Spot'!S83-'[1]Short Spot'!S82)*100</f>
        <v>0.73494489624454928</v>
      </c>
      <c r="T82" s="19">
        <f>('[1]Short Spot'!T83-'[1]Short Spot'!T82)*100</f>
        <v>0.74744710697336458</v>
      </c>
      <c r="U82" s="19">
        <f>('[1]Short Spot'!U83-'[1]Short Spot'!U82)*100</f>
        <v>0.7606108711017967</v>
      </c>
      <c r="V82" s="19">
        <f>('[1]Short Spot'!V83-'[1]Short Spot'!V82)*100</f>
        <v>0.774482094018758</v>
      </c>
      <c r="W82" s="19">
        <f>('[1]Short Spot'!W83-'[1]Short Spot'!W82)*100</f>
        <v>0.78906643824954159</v>
      </c>
      <c r="X82" s="19">
        <f>('[1]Short Spot'!X83-'[1]Short Spot'!X82)*100</f>
        <v>0.80434122261161534</v>
      </c>
      <c r="Y82" s="19">
        <f>('[1]Short Spot'!Y83-'[1]Short Spot'!Y82)*100</f>
        <v>0.82028356545782444</v>
      </c>
      <c r="Z82" s="19">
        <f>('[1]Short Spot'!Z83-'[1]Short Spot'!Z82)*100</f>
        <v>0.83686774129985153</v>
      </c>
      <c r="AA82" s="19">
        <f>('[1]Short Spot'!AA83-'[1]Short Spot'!AA82)*100</f>
        <v>0.85405906400426446</v>
      </c>
      <c r="AB82" s="19">
        <f>('[1]Short Spot'!AB83-'[1]Short Spot'!AB82)*100</f>
        <v>0.87181551365809185</v>
      </c>
      <c r="AC82" s="19">
        <f>('[1]Short Spot'!AC83-'[1]Short Spot'!AC82)*100</f>
        <v>0.89008904617271511</v>
      </c>
      <c r="AD82" s="19">
        <f>('[1]Short Spot'!AD83-'[1]Short Spot'!AD82)*100</f>
        <v>0.90882666394564993</v>
      </c>
      <c r="AE82" s="19">
        <f>('[1]Short Spot'!AE83-'[1]Short Spot'!AE82)*100</f>
        <v>0.92797517658631534</v>
      </c>
      <c r="AF82" s="19">
        <f>('[1]Short Spot'!AF83-'[1]Short Spot'!AF82)*100</f>
        <v>0.94749168750540846</v>
      </c>
      <c r="AG82" s="19">
        <f>('[1]Short Spot'!AG83-'[1]Short Spot'!AG82)*100</f>
        <v>0.96734343680449086</v>
      </c>
      <c r="AH82" s="19">
        <f>('[1]Short Spot'!AH83-'[1]Short Spot'!AH82)*100</f>
        <v>0.98750421755600115</v>
      </c>
      <c r="AI82" s="19">
        <f>('[1]Short Spot'!AI83-'[1]Short Spot'!AI82)*100</f>
        <v>1.0079492881287955</v>
      </c>
      <c r="AJ82" s="19">
        <f>('[1]Short Spot'!AJ83-'[1]Short Spot'!AJ82)*100</f>
        <v>1.0286541854451769</v>
      </c>
      <c r="AK82" s="19">
        <f>('[1]Short Spot'!AK83-'[1]Short Spot'!AK82)*100</f>
        <v>1.0495946812841161</v>
      </c>
      <c r="AL82" s="19">
        <f>('[1]Short Spot'!AL83-'[1]Short Spot'!AL82)*100</f>
        <v>1.0707467505446822</v>
      </c>
      <c r="AM82" s="19">
        <f>('[1]Short Spot'!AM83-'[1]Short Spot'!AM82)*100</f>
        <v>1.0920866226007853</v>
      </c>
      <c r="AN82" s="19">
        <f>('[1]Short Spot'!AN83-'[1]Short Spot'!AN82)*100</f>
        <v>1.1135921784491742</v>
      </c>
      <c r="AO82" s="19">
        <f>('[1]Short Spot'!AO83-'[1]Short Spot'!AO82)*100</f>
        <v>1.1352433275122031</v>
      </c>
      <c r="AP82" s="19">
        <f>('[1]Short Spot'!AP83-'[1]Short Spot'!AP82)*100</f>
        <v>1.1570210460616792</v>
      </c>
      <c r="AQ82" s="19">
        <f>('[1]Short Spot'!AQ83-'[1]Short Spot'!AQ82)*100</f>
        <v>1.1789072226203956</v>
      </c>
      <c r="AR82" s="19">
        <f>('[1]Short Spot'!AR83-'[1]Short Spot'!AR82)*100</f>
        <v>1.2008845518856504</v>
      </c>
      <c r="AS82" s="19">
        <f>('[1]Short Spot'!AS83-'[1]Short Spot'!AS82)*100</f>
        <v>1.222936574053346</v>
      </c>
      <c r="AT82" s="19">
        <f>('[1]Short Spot'!AT83-'[1]Short Spot'!AT82)*100</f>
        <v>1.2450487464029436</v>
      </c>
      <c r="AU82" s="19">
        <f>('[1]Short Spot'!AU83-'[1]Short Spot'!AU82)*100</f>
        <v>1.2672075162651453</v>
      </c>
      <c r="AV82" s="19">
        <f>('[1]Short Spot'!AV83-'[1]Short Spot'!AV82)*100</f>
        <v>1.2893993829262484</v>
      </c>
      <c r="AW82" s="19">
        <f>('[1]Short Spot'!AW83-'[1]Short Spot'!AW82)*100</f>
        <v>1.3116108807970761</v>
      </c>
      <c r="AX82" s="19">
        <f>('[1]Short Spot'!AX83-'[1]Short Spot'!AX82)*100</f>
        <v>1.3338285758286439</v>
      </c>
      <c r="AY82" s="19">
        <f>('[1]Short Spot'!AY83-'[1]Short Spot'!AY82)*100</f>
        <v>1.3560390623581497</v>
      </c>
      <c r="AZ82" s="19">
        <f>('[1]Short Spot'!AZ83-'[1]Short Spot'!AZ82)*100</f>
        <v>1.3782289607159548</v>
      </c>
      <c r="BA82" s="19">
        <f>('[1]Short Spot'!BA83-'[1]Short Spot'!BA82)*100</f>
        <v>1.4003853309112024</v>
      </c>
      <c r="BB82" s="19">
        <f>('[1]Short Spot'!BB83-'[1]Short Spot'!BB82)*100</f>
        <v>1.4224964580583865</v>
      </c>
      <c r="BC82" s="19">
        <f>('[1]Short Spot'!BC83-'[1]Short Spot'!BC82)*100</f>
        <v>1.4445508008281038</v>
      </c>
      <c r="BD82" s="19">
        <f>('[1]Short Spot'!BD83-'[1]Short Spot'!BD82)*100</f>
        <v>1.4665367616554015</v>
      </c>
      <c r="BE82" s="19">
        <f>('[1]Short Spot'!BE83-'[1]Short Spot'!BE82)*100</f>
        <v>1.4884426917613602</v>
      </c>
      <c r="BF82" s="19">
        <f>('[1]Short Spot'!BF83-'[1]Short Spot'!BF82)*100</f>
        <v>1.510256895644968</v>
      </c>
      <c r="BG82" s="19">
        <f>('[1]Short Spot'!BG83-'[1]Short Spot'!BG82)*100</f>
        <v>1.5319676355164624</v>
      </c>
      <c r="BH82" s="19">
        <f>('[1]Short Spot'!BH83-'[1]Short Spot'!BH82)*100</f>
        <v>1.5535633570593177</v>
      </c>
      <c r="BI82" s="19">
        <f>('[1]Short Spot'!BI83-'[1]Short Spot'!BI82)*100</f>
        <v>1.5750331644391657</v>
      </c>
    </row>
    <row r="83" spans="1:61" x14ac:dyDescent="0.2">
      <c r="A83" s="18">
        <v>39202</v>
      </c>
      <c r="B83" s="19">
        <f>('[1]Short Spot'!B84-'[1]Short Spot'!B83)*100</f>
        <v>2.089307702500065</v>
      </c>
      <c r="C83" s="19">
        <f>('[1]Short Spot'!C84-'[1]Short Spot'!C83)*100</f>
        <v>1.2956275497674419</v>
      </c>
      <c r="D83" s="19">
        <f>('[1]Short Spot'!D84-'[1]Short Spot'!D83)*100</f>
        <v>0.74024063394340089</v>
      </c>
      <c r="E83" s="19">
        <f>('[1]Short Spot'!E84-'[1]Short Spot'!E83)*100</f>
        <v>0.24098073717810919</v>
      </c>
      <c r="F83" s="19">
        <f>('[1]Short Spot'!F84-'[1]Short Spot'!F83)*100</f>
        <v>-0.18644429404544027</v>
      </c>
      <c r="G83" s="19">
        <f>('[1]Short Spot'!G84-'[1]Short Spot'!G83)*100</f>
        <v>-0.53644667329857398</v>
      </c>
      <c r="H83" s="19">
        <f>('[1]Short Spot'!H84-'[1]Short Spot'!H83)*100</f>
        <v>-0.81079833861306128</v>
      </c>
      <c r="I83" s="19">
        <f>('[1]Short Spot'!I84-'[1]Short Spot'!I83)*100</f>
        <v>-1.0247292216356563</v>
      </c>
      <c r="J83" s="19">
        <f>('[1]Short Spot'!J84-'[1]Short Spot'!J83)*100</f>
        <v>-1.203117318323077</v>
      </c>
      <c r="K83" s="19">
        <f>('[1]Short Spot'!K84-'[1]Short Spot'!K83)*100</f>
        <v>-1.365109069662207</v>
      </c>
      <c r="L83" s="19">
        <f>('[1]Short Spot'!L84-'[1]Short Spot'!L83)*100</f>
        <v>-1.522451650839951</v>
      </c>
      <c r="M83" s="19">
        <f>('[1]Short Spot'!M84-'[1]Short Spot'!M83)*100</f>
        <v>-1.6798252777322276</v>
      </c>
      <c r="N83" s="19">
        <f>('[1]Short Spot'!N84-'[1]Short Spot'!N83)*100</f>
        <v>-1.8372617169626793</v>
      </c>
      <c r="O83" s="19">
        <f>('[1]Short Spot'!O84-'[1]Short Spot'!O83)*100</f>
        <v>-1.9932862783951677</v>
      </c>
      <c r="P83" s="19">
        <f>('[1]Short Spot'!P84-'[1]Short Spot'!P83)*100</f>
        <v>-2.1466659657432885</v>
      </c>
      <c r="Q83" s="19">
        <f>('[1]Short Spot'!Q84-'[1]Short Spot'!Q83)*100</f>
        <v>-2.2964182028884395</v>
      </c>
      <c r="R83" s="19">
        <f>('[1]Short Spot'!R84-'[1]Short Spot'!R83)*100</f>
        <v>-2.4417371763400197</v>
      </c>
      <c r="S83" s="19">
        <f>('[1]Short Spot'!S84-'[1]Short Spot'!S83)*100</f>
        <v>-2.5819468836633774</v>
      </c>
      <c r="T83" s="19">
        <f>('[1]Short Spot'!T84-'[1]Short Spot'!T83)*100</f>
        <v>-2.7165400610614121</v>
      </c>
      <c r="U83" s="19">
        <f>('[1]Short Spot'!U84-'[1]Short Spot'!U83)*100</f>
        <v>-2.8452775397802554</v>
      </c>
      <c r="V83" s="19">
        <f>('[1]Short Spot'!V84-'[1]Short Spot'!V83)*100</f>
        <v>-2.9681519550672775</v>
      </c>
      <c r="W83" s="19">
        <f>('[1]Short Spot'!W84-'[1]Short Spot'!W83)*100</f>
        <v>-3.0853350563600834</v>
      </c>
      <c r="X83" s="19">
        <f>('[1]Short Spot'!X84-'[1]Short Spot'!X83)*100</f>
        <v>-3.1971341558604038</v>
      </c>
      <c r="Y83" s="19">
        <f>('[1]Short Spot'!Y84-'[1]Short Spot'!Y83)*100</f>
        <v>-3.303908634413677</v>
      </c>
      <c r="Z83" s="19">
        <f>('[1]Short Spot'!Z84-'[1]Short Spot'!Z83)*100</f>
        <v>-3.4060034248233784</v>
      </c>
      <c r="AA83" s="19">
        <f>('[1]Short Spot'!AA84-'[1]Short Spot'!AA83)*100</f>
        <v>-3.5037469147281008</v>
      </c>
      <c r="AB83" s="19">
        <f>('[1]Short Spot'!AB84-'[1]Short Spot'!AB83)*100</f>
        <v>-3.5974540129833699</v>
      </c>
      <c r="AC83" s="19">
        <f>('[1]Short Spot'!AC84-'[1]Short Spot'!AC83)*100</f>
        <v>-3.6874285565871467</v>
      </c>
      <c r="AD83" s="19">
        <f>('[1]Short Spot'!AD84-'[1]Short Spot'!AD83)*100</f>
        <v>-3.7739651847891409</v>
      </c>
      <c r="AE83" s="19">
        <f>('[1]Short Spot'!AE84-'[1]Short Spot'!AE83)*100</f>
        <v>-3.8573469707741559</v>
      </c>
      <c r="AF83" s="19">
        <f>('[1]Short Spot'!AF84-'[1]Short Spot'!AF83)*100</f>
        <v>-3.9378348229860194</v>
      </c>
      <c r="AG83" s="19">
        <f>('[1]Short Spot'!AG84-'[1]Short Spot'!AG83)*100</f>
        <v>-4.0156668622631564</v>
      </c>
      <c r="AH83" s="19">
        <f>('[1]Short Spot'!AH84-'[1]Short Spot'!AH83)*100</f>
        <v>-4.0910604444371224</v>
      </c>
      <c r="AI83" s="19">
        <f>('[1]Short Spot'!AI84-'[1]Short Spot'!AI83)*100</f>
        <v>-4.1642119518678022</v>
      </c>
      <c r="AJ83" s="19">
        <f>('[1]Short Spot'!AJ84-'[1]Short Spot'!AJ83)*100</f>
        <v>-4.235298967409129</v>
      </c>
      <c r="AK83" s="19">
        <f>('[1]Short Spot'!AK84-'[1]Short Spot'!AK83)*100</f>
        <v>-4.3044828801233059</v>
      </c>
      <c r="AL83" s="19">
        <f>('[1]Short Spot'!AL84-'[1]Short Spot'!AL83)*100</f>
        <v>-4.3719110736309297</v>
      </c>
      <c r="AM83" s="19">
        <f>('[1]Short Spot'!AM84-'[1]Short Spot'!AM83)*100</f>
        <v>-4.4377187053669331</v>
      </c>
      <c r="AN83" s="19">
        <f>('[1]Short Spot'!AN84-'[1]Short Spot'!AN83)*100</f>
        <v>-4.5020288126965902</v>
      </c>
      <c r="AO83" s="19">
        <f>('[1]Short Spot'!AO84-'[1]Short Spot'!AO83)*100</f>
        <v>-4.5649517291746378</v>
      </c>
      <c r="AP83" s="19">
        <f>('[1]Short Spot'!AP84-'[1]Short Spot'!AP83)*100</f>
        <v>-4.6265864195964568</v>
      </c>
      <c r="AQ83" s="19">
        <f>('[1]Short Spot'!AQ84-'[1]Short Spot'!AQ83)*100</f>
        <v>-4.6870218372298211</v>
      </c>
      <c r="AR83" s="19">
        <f>('[1]Short Spot'!AR84-'[1]Short Spot'!AR83)*100</f>
        <v>-4.7463380879452011</v>
      </c>
      <c r="AS83" s="19">
        <f>('[1]Short Spot'!AS84-'[1]Short Spot'!AS83)*100</f>
        <v>-4.8046073561978098</v>
      </c>
      <c r="AT83" s="19">
        <f>('[1]Short Spot'!AT84-'[1]Short Spot'!AT83)*100</f>
        <v>-4.8618938890465202</v>
      </c>
      <c r="AU83" s="19">
        <f>('[1]Short Spot'!AU84-'[1]Short Spot'!AU83)*100</f>
        <v>-4.918254340351158</v>
      </c>
      <c r="AV83" s="19">
        <f>('[1]Short Spot'!AV84-'[1]Short Spot'!AV83)*100</f>
        <v>-4.9737386860549293</v>
      </c>
      <c r="AW83" s="19">
        <f>('[1]Short Spot'!AW84-'[1]Short Spot'!AW83)*100</f>
        <v>-5.028390921432635</v>
      </c>
      <c r="AX83" s="19">
        <f>('[1]Short Spot'!AX84-'[1]Short Spot'!AX83)*100</f>
        <v>-5.0822496713634813</v>
      </c>
      <c r="AY83" s="19">
        <f>('[1]Short Spot'!AY84-'[1]Short Spot'!AY83)*100</f>
        <v>-5.1353487273699372</v>
      </c>
      <c r="AZ83" s="19">
        <f>('[1]Short Spot'!AZ84-'[1]Short Spot'!AZ83)*100</f>
        <v>-5.187717520987789</v>
      </c>
      <c r="BA83" s="19">
        <f>('[1]Short Spot'!BA84-'[1]Short Spot'!BA83)*100</f>
        <v>-5.239381378346053</v>
      </c>
      <c r="BB83" s="19">
        <f>('[1]Short Spot'!BB84-'[1]Short Spot'!BB83)*100</f>
        <v>-5.2903616592284486</v>
      </c>
      <c r="BC83" s="19">
        <f>('[1]Short Spot'!BC84-'[1]Short Spot'!BC83)*100</f>
        <v>-5.3406764410087959</v>
      </c>
      <c r="BD83" s="19">
        <f>('[1]Short Spot'!BD84-'[1]Short Spot'!BD83)*100</f>
        <v>-5.3903408735970437</v>
      </c>
      <c r="BE83" s="19">
        <f>('[1]Short Spot'!BE84-'[1]Short Spot'!BE83)*100</f>
        <v>-5.4393674408216519</v>
      </c>
      <c r="BF83" s="19">
        <f>('[1]Short Spot'!BF84-'[1]Short Spot'!BF83)*100</f>
        <v>-5.4877661942952294</v>
      </c>
      <c r="BG83" s="19">
        <f>('[1]Short Spot'!BG84-'[1]Short Spot'!BG83)*100</f>
        <v>-5.5355449627179532</v>
      </c>
      <c r="BH83" s="19">
        <f>('[1]Short Spot'!BH84-'[1]Short Spot'!BH83)*100</f>
        <v>-5.5827094793607479</v>
      </c>
      <c r="BI83" s="19">
        <f>('[1]Short Spot'!BI84-'[1]Short Spot'!BI83)*100</f>
        <v>-5.6292635692209103</v>
      </c>
    </row>
    <row r="84" spans="1:61" x14ac:dyDescent="0.2">
      <c r="A84" s="18">
        <v>39203</v>
      </c>
      <c r="B84" s="19">
        <f>('[1]Short Spot'!B85-'[1]Short Spot'!B84)*100</f>
        <v>1.1104363804327555</v>
      </c>
      <c r="C84" s="19">
        <f>('[1]Short Spot'!C85-'[1]Short Spot'!C84)*100</f>
        <v>1.8181413317197581E-2</v>
      </c>
      <c r="D84" s="19">
        <f>('[1]Short Spot'!D85-'[1]Short Spot'!D84)*100</f>
        <v>0.10102686498667524</v>
      </c>
      <c r="E84" s="19">
        <f>('[1]Short Spot'!E85-'[1]Short Spot'!E84)*100</f>
        <v>0.40527726984320722</v>
      </c>
      <c r="F84" s="19">
        <f>('[1]Short Spot'!F85-'[1]Short Spot'!F84)*100</f>
        <v>0.73866595440073013</v>
      </c>
      <c r="G84" s="19">
        <f>('[1]Short Spot'!G85-'[1]Short Spot'!G84)*100</f>
        <v>1.0450105535722898</v>
      </c>
      <c r="H84" s="19">
        <f>('[1]Short Spot'!H85-'[1]Short Spot'!H84)*100</f>
        <v>1.3082841757070973</v>
      </c>
      <c r="I84" s="19">
        <f>('[1]Short Spot'!I85-'[1]Short Spot'!I84)*100</f>
        <v>1.5332906968708926</v>
      </c>
      <c r="J84" s="19">
        <f>('[1]Short Spot'!J85-'[1]Short Spot'!J84)*100</f>
        <v>1.7344196388432209</v>
      </c>
      <c r="K84" s="19">
        <f>('[1]Short Spot'!K85-'[1]Short Spot'!K84)*100</f>
        <v>1.9226041113235226</v>
      </c>
      <c r="L84" s="19">
        <f>('[1]Short Spot'!L85-'[1]Short Spot'!L84)*100</f>
        <v>2.1041996588254008</v>
      </c>
      <c r="M84" s="19">
        <f>('[1]Short Spot'!M85-'[1]Short Spot'!M84)*100</f>
        <v>2.2811584065391521</v>
      </c>
      <c r="N84" s="19">
        <f>('[1]Short Spot'!N85-'[1]Short Spot'!N84)*100</f>
        <v>2.4521329232846334</v>
      </c>
      <c r="O84" s="19">
        <f>('[1]Short Spot'!O85-'[1]Short Spot'!O84)*100</f>
        <v>2.6148689401669145</v>
      </c>
      <c r="P84" s="19">
        <f>('[1]Short Spot'!P85-'[1]Short Spot'!P84)*100</f>
        <v>2.7678102996608445</v>
      </c>
      <c r="Q84" s="19">
        <f>('[1]Short Spot'!Q85-'[1]Short Spot'!Q84)*100</f>
        <v>2.9100028571265035</v>
      </c>
      <c r="R84" s="19">
        <f>('[1]Short Spot'!R85-'[1]Short Spot'!R84)*100</f>
        <v>3.0409174183141374</v>
      </c>
      <c r="S84" s="19">
        <f>('[1]Short Spot'!S85-'[1]Short Spot'!S84)*100</f>
        <v>3.1603311148148627</v>
      </c>
      <c r="T84" s="19">
        <f>('[1]Short Spot'!T85-'[1]Short Spot'!T84)*100</f>
        <v>3.268257005663866</v>
      </c>
      <c r="U84" s="19">
        <f>('[1]Short Spot'!U85-'[1]Short Spot'!U84)*100</f>
        <v>3.3649465934471934</v>
      </c>
      <c r="V84" s="19">
        <f>('[1]Short Spot'!V85-'[1]Short Spot'!V84)*100</f>
        <v>3.450858203665419</v>
      </c>
      <c r="W84" s="19">
        <f>('[1]Short Spot'!W85-'[1]Short Spot'!W84)*100</f>
        <v>3.526610336325664</v>
      </c>
      <c r="X84" s="19">
        <f>('[1]Short Spot'!X85-'[1]Short Spot'!X84)*100</f>
        <v>3.5929435257967768</v>
      </c>
      <c r="Y84" s="19">
        <f>('[1]Short Spot'!Y85-'[1]Short Spot'!Y84)*100</f>
        <v>3.6506337318158444</v>
      </c>
      <c r="Z84" s="19">
        <f>('[1]Short Spot'!Z85-'[1]Short Spot'!Z84)*100</f>
        <v>3.7004009317205266</v>
      </c>
      <c r="AA84" s="19">
        <f>('[1]Short Spot'!AA85-'[1]Short Spot'!AA84)*100</f>
        <v>3.7429084899641474</v>
      </c>
      <c r="AB84" s="19">
        <f>('[1]Short Spot'!AB85-'[1]Short Spot'!AB84)*100</f>
        <v>3.7787736400269445</v>
      </c>
      <c r="AC84" s="19">
        <f>('[1]Short Spot'!AC85-'[1]Short Spot'!AC84)*100</f>
        <v>3.808575722087415</v>
      </c>
      <c r="AD84" s="19">
        <f>('[1]Short Spot'!AD85-'[1]Short Spot'!AD84)*100</f>
        <v>3.8328627086056777</v>
      </c>
      <c r="AE84" s="19">
        <f>('[1]Short Spot'!AE85-'[1]Short Spot'!AE84)*100</f>
        <v>3.8521524147212993</v>
      </c>
      <c r="AF84" s="19">
        <f>('[1]Short Spot'!AF85-'[1]Short Spot'!AF84)*100</f>
        <v>3.8669185407607998</v>
      </c>
      <c r="AG84" s="19">
        <f>('[1]Short Spot'!AG85-'[1]Short Spot'!AG84)*100</f>
        <v>3.8775883709297965</v>
      </c>
      <c r="AH84" s="19">
        <f>('[1]Short Spot'!AH85-'[1]Short Spot'!AH84)*100</f>
        <v>3.884547920632464</v>
      </c>
      <c r="AI84" s="19">
        <f>('[1]Short Spot'!AI85-'[1]Short Spot'!AI84)*100</f>
        <v>3.8881449469267082</v>
      </c>
      <c r="AJ84" s="19">
        <f>('[1]Short Spot'!AJ85-'[1]Short Spot'!AJ84)*100</f>
        <v>3.8886938016247541</v>
      </c>
      <c r="AK84" s="19">
        <f>('[1]Short Spot'!AK85-'[1]Short Spot'!AK84)*100</f>
        <v>3.8864800692009815</v>
      </c>
      <c r="AL84" s="19">
        <f>('[1]Short Spot'!AL85-'[1]Short Spot'!AL84)*100</f>
        <v>3.8817644542694651</v>
      </c>
      <c r="AM84" s="19">
        <f>('[1]Short Spot'!AM85-'[1]Short Spot'!AM84)*100</f>
        <v>3.8747860536502365</v>
      </c>
      <c r="AN84" s="19">
        <f>('[1]Short Spot'!AN85-'[1]Short Spot'!AN84)*100</f>
        <v>3.8657641136786935</v>
      </c>
      <c r="AO84" s="19">
        <f>('[1]Short Spot'!AO85-'[1]Short Spot'!AO84)*100</f>
        <v>3.8548974041241024</v>
      </c>
      <c r="AP84" s="19">
        <f>('[1]Short Spot'!AP85-'[1]Short Spot'!AP84)*100</f>
        <v>3.8423657850173321</v>
      </c>
      <c r="AQ84" s="19">
        <f>('[1]Short Spot'!AQ85-'[1]Short Spot'!AQ84)*100</f>
        <v>3.8283324503756155</v>
      </c>
      <c r="AR84" s="19">
        <f>('[1]Short Spot'!AR85-'[1]Short Spot'!AR84)*100</f>
        <v>3.8129458661105176</v>
      </c>
      <c r="AS84" s="19">
        <f>('[1]Short Spot'!AS85-'[1]Short Spot'!AS84)*100</f>
        <v>3.7963414968599452</v>
      </c>
      <c r="AT84" s="19">
        <f>('[1]Short Spot'!AT85-'[1]Short Spot'!AT84)*100</f>
        <v>3.778643371777779</v>
      </c>
      <c r="AU84" s="19">
        <f>('[1]Short Spot'!AU85-'[1]Short Spot'!AU84)*100</f>
        <v>3.7599645554868388</v>
      </c>
      <c r="AV84" s="19">
        <f>('[1]Short Spot'!AV85-'[1]Short Spot'!AV84)*100</f>
        <v>3.740408009721552</v>
      </c>
      <c r="AW84" s="19">
        <f>('[1]Short Spot'!AW85-'[1]Short Spot'!AW84)*100</f>
        <v>3.720067644448477</v>
      </c>
      <c r="AX84" s="19">
        <f>('[1]Short Spot'!AX85-'[1]Short Spot'!AX84)*100</f>
        <v>3.6990292415172377</v>
      </c>
      <c r="AY84" s="19">
        <f>('[1]Short Spot'!AY85-'[1]Short Spot'!AY84)*100</f>
        <v>3.6773712674709635</v>
      </c>
      <c r="AZ84" s="19">
        <f>('[1]Short Spot'!AZ85-'[1]Short Spot'!AZ84)*100</f>
        <v>3.6551655915626036</v>
      </c>
      <c r="BA84" s="19">
        <f>('[1]Short Spot'!BA85-'[1]Short Spot'!BA84)*100</f>
        <v>3.632478283157603</v>
      </c>
      <c r="BB84" s="19">
        <f>('[1]Short Spot'!BB85-'[1]Short Spot'!BB84)*100</f>
        <v>3.6093702999409949</v>
      </c>
      <c r="BC84" s="19">
        <f>('[1]Short Spot'!BC85-'[1]Short Spot'!BC84)*100</f>
        <v>3.5858975887446576</v>
      </c>
      <c r="BD84" s="19">
        <f>('[1]Short Spot'!BD85-'[1]Short Spot'!BD84)*100</f>
        <v>3.562111488455777</v>
      </c>
      <c r="BE84" s="19">
        <f>('[1]Short Spot'!BE85-'[1]Short Spot'!BE84)*100</f>
        <v>3.5380591414418738</v>
      </c>
      <c r="BF84" s="19">
        <f>('[1]Short Spot'!BF85-'[1]Short Spot'!BF84)*100</f>
        <v>3.5137838616656758</v>
      </c>
      <c r="BG84" s="19">
        <f>('[1]Short Spot'!BG85-'[1]Short Spot'!BG84)*100</f>
        <v>3.4893254653313832</v>
      </c>
      <c r="BH84" s="19">
        <f>('[1]Short Spot'!BH85-'[1]Short Spot'!BH84)*100</f>
        <v>3.4647206601838398</v>
      </c>
      <c r="BI84" s="19">
        <f>('[1]Short Spot'!BI85-'[1]Short Spot'!BI84)*100</f>
        <v>3.44000344408526</v>
      </c>
    </row>
    <row r="85" spans="1:61" x14ac:dyDescent="0.2">
      <c r="A85" s="18">
        <v>39204</v>
      </c>
      <c r="B85" s="19">
        <f>('[1]Short Spot'!B86-'[1]Short Spot'!B85)*100</f>
        <v>2.0926086114079645</v>
      </c>
      <c r="C85" s="19">
        <f>('[1]Short Spot'!C86-'[1]Short Spot'!C85)*100</f>
        <v>1.7351447582442781</v>
      </c>
      <c r="D85" s="19">
        <f>('[1]Short Spot'!D86-'[1]Short Spot'!D85)*100</f>
        <v>1.6347586579378515</v>
      </c>
      <c r="E85" s="19">
        <f>('[1]Short Spot'!E86-'[1]Short Spot'!E85)*100</f>
        <v>1.6042589501293669</v>
      </c>
      <c r="F85" s="19">
        <f>('[1]Short Spot'!F86-'[1]Short Spot'!F85)*100</f>
        <v>1.6176338519310107</v>
      </c>
      <c r="G85" s="19">
        <f>('[1]Short Spot'!G86-'[1]Short Spot'!G85)*100</f>
        <v>1.6593446490721142</v>
      </c>
      <c r="H85" s="19">
        <f>('[1]Short Spot'!H86-'[1]Short Spot'!H85)*100</f>
        <v>1.7155345168859526</v>
      </c>
      <c r="I85" s="19">
        <f>('[1]Short Spot'!I86-'[1]Short Spot'!I85)*100</f>
        <v>1.7740278489698724</v>
      </c>
      <c r="J85" s="19">
        <f>('[1]Short Spot'!J86-'[1]Short Spot'!J85)*100</f>
        <v>1.8259222242308581</v>
      </c>
      <c r="K85" s="19">
        <f>('[1]Short Spot'!K86-'[1]Short Spot'!K85)*100</f>
        <v>1.8663878331079964</v>
      </c>
      <c r="L85" s="19">
        <f>('[1]Short Spot'!L86-'[1]Short Spot'!L85)*100</f>
        <v>1.8941492920868441</v>
      </c>
      <c r="M85" s="19">
        <f>('[1]Short Spot'!M86-'[1]Short Spot'!M85)*100</f>
        <v>1.9106075058319405</v>
      </c>
      <c r="N85" s="19">
        <f>('[1]Short Spot'!N86-'[1]Short Spot'!N85)*100</f>
        <v>1.9186004897239428</v>
      </c>
      <c r="O85" s="19">
        <f>('[1]Short Spot'!O86-'[1]Short Spot'!O85)*100</f>
        <v>1.9210640425798786</v>
      </c>
      <c r="P85" s="19">
        <f>('[1]Short Spot'!P86-'[1]Short Spot'!P85)*100</f>
        <v>1.9201986796664627</v>
      </c>
      <c r="Q85" s="19">
        <f>('[1]Short Spot'!Q86-'[1]Short Spot'!Q85)*100</f>
        <v>1.9176244070104431</v>
      </c>
      <c r="R85" s="19">
        <f>('[1]Short Spot'!R86-'[1]Short Spot'!R85)*100</f>
        <v>1.9145514593377655</v>
      </c>
      <c r="S85" s="19">
        <f>('[1]Short Spot'!S86-'[1]Short Spot'!S85)*100</f>
        <v>1.9118920805594186</v>
      </c>
      <c r="T85" s="19">
        <f>('[1]Short Spot'!T86-'[1]Short Spot'!T85)*100</f>
        <v>1.9102997232130825</v>
      </c>
      <c r="U85" s="19">
        <f>('[1]Short Spot'!U86-'[1]Short Spot'!U85)*100</f>
        <v>1.9101892189525849</v>
      </c>
      <c r="V85" s="19">
        <f>('[1]Short Spot'!V86-'[1]Short Spot'!V85)*100</f>
        <v>1.9117928172297738</v>
      </c>
      <c r="W85" s="19">
        <f>('[1]Short Spot'!W86-'[1]Short Spot'!W85)*100</f>
        <v>1.9152018310625962</v>
      </c>
      <c r="X85" s="19">
        <f>('[1]Short Spot'!X86-'[1]Short Spot'!X85)*100</f>
        <v>1.9204011241666485</v>
      </c>
      <c r="Y85" s="19">
        <f>('[1]Short Spot'!Y86-'[1]Short Spot'!Y85)*100</f>
        <v>1.9273263051213796</v>
      </c>
      <c r="Z85" s="19">
        <f>('[1]Short Spot'!Z86-'[1]Short Spot'!Z85)*100</f>
        <v>1.9359013485028775</v>
      </c>
      <c r="AA85" s="19">
        <f>('[1]Short Spot'!AA86-'[1]Short Spot'!AA85)*100</f>
        <v>1.9460423069957322</v>
      </c>
      <c r="AB85" s="19">
        <f>('[1]Short Spot'!AB86-'[1]Short Spot'!AB85)*100</f>
        <v>1.9576587781052979</v>
      </c>
      <c r="AC85" s="19">
        <f>('[1]Short Spot'!AC86-'[1]Short Spot'!AC85)*100</f>
        <v>1.9706550568698411</v>
      </c>
      <c r="AD85" s="19">
        <f>('[1]Short Spot'!AD86-'[1]Short Spot'!AD85)*100</f>
        <v>1.9849310853247815</v>
      </c>
      <c r="AE85" s="19">
        <f>('[1]Short Spot'!AE86-'[1]Short Spot'!AE85)*100</f>
        <v>2.0003851617865109</v>
      </c>
      <c r="AF85" s="19">
        <f>('[1]Short Spot'!AF86-'[1]Short Spot'!AF85)*100</f>
        <v>2.0169184269207996</v>
      </c>
      <c r="AG85" s="19">
        <f>('[1]Short Spot'!AG86-'[1]Short Spot'!AG85)*100</f>
        <v>2.0344350645335574</v>
      </c>
      <c r="AH85" s="19">
        <f>('[1]Short Spot'!AH86-'[1]Short Spot'!AH85)*100</f>
        <v>2.0528433148627734</v>
      </c>
      <c r="AI85" s="19">
        <f>('[1]Short Spot'!AI86-'[1]Short Spot'!AI85)*100</f>
        <v>2.0720579149288376</v>
      </c>
      <c r="AJ85" s="19">
        <f>('[1]Short Spot'!AJ86-'[1]Short Spot'!AJ85)*100</f>
        <v>2.0919998240941595</v>
      </c>
      <c r="AK85" s="19">
        <f>('[1]Short Spot'!AK86-'[1]Short Spot'!AK85)*100</f>
        <v>2.1125953623053029</v>
      </c>
      <c r="AL85" s="19">
        <f>('[1]Short Spot'!AL86-'[1]Short Spot'!AL85)*100</f>
        <v>2.1337754856896929</v>
      </c>
      <c r="AM85" s="19">
        <f>('[1]Short Spot'!AM86-'[1]Short Spot'!AM85)*100</f>
        <v>2.155475239076754</v>
      </c>
      <c r="AN85" s="19">
        <f>('[1]Short Spot'!AN86-'[1]Short Spot'!AN85)*100</f>
        <v>2.1776341534054389</v>
      </c>
      <c r="AO85" s="19">
        <f>('[1]Short Spot'!AO86-'[1]Short Spot'!AO85)*100</f>
        <v>2.2001964638225679</v>
      </c>
      <c r="AP85" s="19">
        <f>('[1]Short Spot'!AP86-'[1]Short Spot'!AP85)*100</f>
        <v>2.2231104739325325</v>
      </c>
      <c r="AQ85" s="19">
        <f>('[1]Short Spot'!AQ86-'[1]Short Spot'!AQ85)*100</f>
        <v>2.2463280686955578</v>
      </c>
      <c r="AR85" s="19">
        <f>('[1]Short Spot'!AR86-'[1]Short Spot'!AR85)*100</f>
        <v>2.2698042979916622</v>
      </c>
      <c r="AS85" s="19">
        <f>('[1]Short Spot'!AS86-'[1]Short Spot'!AS85)*100</f>
        <v>2.2934971012683825</v>
      </c>
      <c r="AT85" s="19">
        <f>('[1]Short Spot'!AT86-'[1]Short Spot'!AT85)*100</f>
        <v>2.3173675646953384</v>
      </c>
      <c r="AU85" s="19">
        <f>('[1]Short Spot'!AU86-'[1]Short Spot'!AU85)*100</f>
        <v>2.341379484293693</v>
      </c>
      <c r="AV85" s="19">
        <f>('[1]Short Spot'!AV86-'[1]Short Spot'!AV85)*100</f>
        <v>2.3654988997974691</v>
      </c>
      <c r="AW85" s="19">
        <f>('[1]Short Spot'!AW86-'[1]Short Spot'!AW85)*100</f>
        <v>2.3896938602454121</v>
      </c>
      <c r="AX85" s="19">
        <f>('[1]Short Spot'!AX86-'[1]Short Spot'!AX85)*100</f>
        <v>2.4139342189491764</v>
      </c>
      <c r="AY85" s="19">
        <f>('[1]Short Spot'!AY86-'[1]Short Spot'!AY85)*100</f>
        <v>2.4381914530662741</v>
      </c>
      <c r="AZ85" s="19">
        <f>('[1]Short Spot'!AZ86-'[1]Short Spot'!AZ85)*100</f>
        <v>2.4624385057688158</v>
      </c>
      <c r="BA85" s="19">
        <f>('[1]Short Spot'!BA86-'[1]Short Spot'!BA85)*100</f>
        <v>2.4866498609382504</v>
      </c>
      <c r="BB85" s="19">
        <f>('[1]Short Spot'!BB86-'[1]Short Spot'!BB85)*100</f>
        <v>2.5108017478243205</v>
      </c>
      <c r="BC85" s="19">
        <f>('[1]Short Spot'!BC86-'[1]Short Spot'!BC85)*100</f>
        <v>2.5348717450797587</v>
      </c>
      <c r="BD85" s="19">
        <f>('[1]Short Spot'!BD86-'[1]Short Spot'!BD85)*100</f>
        <v>2.5588386174305811</v>
      </c>
      <c r="BE85" s="19">
        <f>('[1]Short Spot'!BE86-'[1]Short Spot'!BE85)*100</f>
        <v>2.5826822097770652</v>
      </c>
      <c r="BF85" s="19">
        <f>('[1]Short Spot'!BF86-'[1]Short Spot'!BF85)*100</f>
        <v>2.6063833524415436</v>
      </c>
      <c r="BG85" s="19">
        <f>('[1]Short Spot'!BG86-'[1]Short Spot'!BG85)*100</f>
        <v>2.6299237771549855</v>
      </c>
      <c r="BH85" s="19">
        <f>('[1]Short Spot'!BH86-'[1]Short Spot'!BH85)*100</f>
        <v>2.6532861491967097</v>
      </c>
      <c r="BI85" s="19">
        <f>('[1]Short Spot'!BI86-'[1]Short Spot'!BI85)*100</f>
        <v>2.6764541617030346</v>
      </c>
    </row>
    <row r="86" spans="1:61" x14ac:dyDescent="0.2">
      <c r="A86" s="18">
        <v>39205</v>
      </c>
      <c r="B86" s="19">
        <f>('[1]Short Spot'!B87-'[1]Short Spot'!B86)*100</f>
        <v>0.50656204232284452</v>
      </c>
      <c r="C86" s="19">
        <f>('[1]Short Spot'!C87-'[1]Short Spot'!C86)*100</f>
        <v>0.35853580702820409</v>
      </c>
      <c r="D86" s="19">
        <f>('[1]Short Spot'!D87-'[1]Short Spot'!D86)*100</f>
        <v>0.3792352671469601</v>
      </c>
      <c r="E86" s="19">
        <f>('[1]Short Spot'!E87-'[1]Short Spot'!E86)*100</f>
        <v>0.48537813629323523</v>
      </c>
      <c r="F86" s="19">
        <f>('[1]Short Spot'!F87-'[1]Short Spot'!F86)*100</f>
        <v>0.60837301559963919</v>
      </c>
      <c r="G86" s="19">
        <f>('[1]Short Spot'!G87-'[1]Short Spot'!G86)*100</f>
        <v>0.72215692279211652</v>
      </c>
      <c r="H86" s="19">
        <f>('[1]Short Spot'!H87-'[1]Short Spot'!H86)*100</f>
        <v>0.81730280375413855</v>
      </c>
      <c r="I86" s="19">
        <f>('[1]Short Spot'!I87-'[1]Short Spot'!I86)*100</f>
        <v>0.89746358492091005</v>
      </c>
      <c r="J86" s="19">
        <f>('[1]Short Spot'!J87-'[1]Short Spot'!J86)*100</f>
        <v>0.97305870838546582</v>
      </c>
      <c r="K86" s="19">
        <f>('[1]Short Spot'!K87-'[1]Short Spot'!K86)*100</f>
        <v>1.0504135804989545</v>
      </c>
      <c r="L86" s="19">
        <f>('[1]Short Spot'!L87-'[1]Short Spot'!L86)*100</f>
        <v>1.1318661954529574</v>
      </c>
      <c r="M86" s="19">
        <f>('[1]Short Spot'!M87-'[1]Short Spot'!M86)*100</f>
        <v>1.2167882214602521</v>
      </c>
      <c r="N86" s="19">
        <f>('[1]Short Spot'!N87-'[1]Short Spot'!N86)*100</f>
        <v>1.3027700273787524</v>
      </c>
      <c r="O86" s="19">
        <f>('[1]Short Spot'!O87-'[1]Short Spot'!O86)*100</f>
        <v>1.3876102416500835</v>
      </c>
      <c r="P86" s="19">
        <f>('[1]Short Spot'!P87-'[1]Short Spot'!P86)*100</f>
        <v>1.469924346439111</v>
      </c>
      <c r="Q86" s="19">
        <f>('[1]Short Spot'!Q87-'[1]Short Spot'!Q86)*100</f>
        <v>1.5488456988093979</v>
      </c>
      <c r="R86" s="19">
        <f>('[1]Short Spot'!R87-'[1]Short Spot'!R86)*100</f>
        <v>1.62387313825052</v>
      </c>
      <c r="S86" s="19">
        <f>('[1]Short Spot'!S87-'[1]Short Spot'!S86)*100</f>
        <v>1.6947674918702305</v>
      </c>
      <c r="T86" s="19">
        <f>('[1]Short Spot'!T87-'[1]Short Spot'!T86)*100</f>
        <v>1.7614577316974689</v>
      </c>
      <c r="U86" s="19">
        <f>('[1]Short Spot'!U87-'[1]Short Spot'!U86)*100</f>
        <v>1.8239897942272876</v>
      </c>
      <c r="V86" s="19">
        <f>('[1]Short Spot'!V87-'[1]Short Spot'!V86)*100</f>
        <v>1.8825059773080355</v>
      </c>
      <c r="W86" s="19">
        <f>('[1]Short Spot'!W87-'[1]Short Spot'!W86)*100</f>
        <v>1.9372231913790117</v>
      </c>
      <c r="X86" s="19">
        <f>('[1]Short Spot'!X87-'[1]Short Spot'!X86)*100</f>
        <v>1.988415546143063</v>
      </c>
      <c r="Y86" s="19">
        <f>('[1]Short Spot'!Y87-'[1]Short Spot'!Y86)*100</f>
        <v>2.0363753624544678</v>
      </c>
      <c r="Z86" s="19">
        <f>('[1]Short Spot'!Z87-'[1]Short Spot'!Z86)*100</f>
        <v>2.0813718176835749</v>
      </c>
      <c r="AA86" s="19">
        <f>('[1]Short Spot'!AA87-'[1]Short Spot'!AA86)*100</f>
        <v>2.1236505661408778</v>
      </c>
      <c r="AB86" s="19">
        <f>('[1]Short Spot'!AB87-'[1]Short Spot'!AB86)*100</f>
        <v>2.1634380951522481</v>
      </c>
      <c r="AC86" s="19">
        <f>('[1]Short Spot'!AC87-'[1]Short Spot'!AC86)*100</f>
        <v>2.2009451477357445</v>
      </c>
      <c r="AD86" s="19">
        <f>('[1]Short Spot'!AD87-'[1]Short Spot'!AD86)*100</f>
        <v>2.2363694491628117</v>
      </c>
      <c r="AE86" s="19">
        <f>('[1]Short Spot'!AE87-'[1]Short Spot'!AE86)*100</f>
        <v>2.2698968305840062</v>
      </c>
      <c r="AF86" s="19">
        <f>('[1]Short Spot'!AF87-'[1]Short Spot'!AF86)*100</f>
        <v>2.3016970126510827</v>
      </c>
      <c r="AG86" s="19">
        <f>('[1]Short Spot'!AG87-'[1]Short Spot'!AG86)*100</f>
        <v>2.3319229512549278</v>
      </c>
      <c r="AH86" s="19">
        <f>('[1]Short Spot'!AH87-'[1]Short Spot'!AH86)*100</f>
        <v>2.3607125540429763</v>
      </c>
      <c r="AI86" s="19">
        <f>('[1]Short Spot'!AI87-'[1]Short Spot'!AI86)*100</f>
        <v>2.3881897467260771</v>
      </c>
      <c r="AJ86" s="19">
        <f>('[1]Short Spot'!AJ87-'[1]Short Spot'!AJ86)*100</f>
        <v>2.4144662895106528</v>
      </c>
      <c r="AK86" s="19">
        <f>('[1]Short Spot'!AK87-'[1]Short Spot'!AK86)*100</f>
        <v>2.4396434666592803</v>
      </c>
      <c r="AL86" s="19">
        <f>('[1]Short Spot'!AL87-'[1]Short Spot'!AL86)*100</f>
        <v>2.4638135021588958</v>
      </c>
      <c r="AM86" s="19">
        <f>('[1]Short Spot'!AM87-'[1]Short Spot'!AM86)*100</f>
        <v>2.487060771836358</v>
      </c>
      <c r="AN86" s="19">
        <f>('[1]Short Spot'!AN87-'[1]Short Spot'!AN86)*100</f>
        <v>2.5094624248051645</v>
      </c>
      <c r="AO86" s="19">
        <f>('[1]Short Spot'!AO87-'[1]Short Spot'!AO86)*100</f>
        <v>2.5310876851381003</v>
      </c>
      <c r="AP86" s="19">
        <f>('[1]Short Spot'!AP87-'[1]Short Spot'!AP86)*100</f>
        <v>2.5519983252705103</v>
      </c>
      <c r="AQ86" s="19">
        <f>('[1]Short Spot'!AQ87-'[1]Short Spot'!AQ86)*100</f>
        <v>2.5722495502631837</v>
      </c>
      <c r="AR86" s="19">
        <f>('[1]Short Spot'!AR87-'[1]Short Spot'!AR86)*100</f>
        <v>2.5918907614508768</v>
      </c>
      <c r="AS86" s="19">
        <f>('[1]Short Spot'!AS87-'[1]Short Spot'!AS86)*100</f>
        <v>2.6109663041452791</v>
      </c>
      <c r="AT86" s="19">
        <f>('[1]Short Spot'!AT87-'[1]Short Spot'!AT86)*100</f>
        <v>2.6295164866374066</v>
      </c>
      <c r="AU86" s="19">
        <f>('[1]Short Spot'!AU87-'[1]Short Spot'!AU86)*100</f>
        <v>2.6475777196386829</v>
      </c>
      <c r="AV86" s="19">
        <f>('[1]Short Spot'!AV87-'[1]Short Spot'!AV86)*100</f>
        <v>2.6651827408586293</v>
      </c>
      <c r="AW86" s="19">
        <f>('[1]Short Spot'!AW87-'[1]Short Spot'!AW86)*100</f>
        <v>2.6823609972256079</v>
      </c>
      <c r="AX86" s="19">
        <f>('[1]Short Spot'!AX87-'[1]Short Spot'!AX86)*100</f>
        <v>2.699138980682303</v>
      </c>
      <c r="AY86" s="19">
        <f>('[1]Short Spot'!AY87-'[1]Short Spot'!AY86)*100</f>
        <v>2.715540523683746</v>
      </c>
      <c r="AZ86" s="19">
        <f>('[1]Short Spot'!AZ87-'[1]Short Spot'!AZ86)*100</f>
        <v>2.7315870619621485</v>
      </c>
      <c r="BA86" s="19">
        <f>('[1]Short Spot'!BA87-'[1]Short Spot'!BA86)*100</f>
        <v>2.747298079175664</v>
      </c>
      <c r="BB86" s="19">
        <f>('[1]Short Spot'!BB87-'[1]Short Spot'!BB86)*100</f>
        <v>2.7626915221717674</v>
      </c>
      <c r="BC86" s="19">
        <f>('[1]Short Spot'!BC87-'[1]Short Spot'!BC86)*100</f>
        <v>2.7777836469697448</v>
      </c>
      <c r="BD86" s="19">
        <f>('[1]Short Spot'!BD87-'[1]Short Spot'!BD86)*100</f>
        <v>2.7925891341805453</v>
      </c>
      <c r="BE86" s="19">
        <f>('[1]Short Spot'!BE87-'[1]Short Spot'!BE86)*100</f>
        <v>2.8071212296683079</v>
      </c>
      <c r="BF86" s="19">
        <f>('[1]Short Spot'!BF87-'[1]Short Spot'!BF86)*100</f>
        <v>2.8213918704056873</v>
      </c>
      <c r="BG86" s="19">
        <f>('[1]Short Spot'!BG87-'[1]Short Spot'!BG86)*100</f>
        <v>2.8354117985788463</v>
      </c>
      <c r="BH86" s="19">
        <f>('[1]Short Spot'!BH87-'[1]Short Spot'!BH86)*100</f>
        <v>2.8491907560600715</v>
      </c>
      <c r="BI86" s="19">
        <f>('[1]Short Spot'!BI87-'[1]Short Spot'!BI86)*100</f>
        <v>2.8627376179157338</v>
      </c>
    </row>
    <row r="87" spans="1:61" x14ac:dyDescent="0.2">
      <c r="A87" s="18">
        <v>39206</v>
      </c>
      <c r="B87" s="19">
        <f>('[1]Short Spot'!B88-'[1]Short Spot'!B87)*100</f>
        <v>3.0283234143947624</v>
      </c>
      <c r="C87" s="19">
        <f>('[1]Short Spot'!C88-'[1]Short Spot'!C87)*100</f>
        <v>2.0327991477988583</v>
      </c>
      <c r="D87" s="19">
        <f>('[1]Short Spot'!D88-'[1]Short Spot'!D87)*100</f>
        <v>1.4556270767763557</v>
      </c>
      <c r="E87" s="19">
        <f>('[1]Short Spot'!E88-'[1]Short Spot'!E87)*100</f>
        <v>1.054470276401176</v>
      </c>
      <c r="F87" s="19">
        <f>('[1]Short Spot'!F88-'[1]Short Spot'!F87)*100</f>
        <v>0.76122252445784966</v>
      </c>
      <c r="G87" s="19">
        <f>('[1]Short Spot'!G88-'[1]Short Spot'!G87)*100</f>
        <v>0.54171532751920992</v>
      </c>
      <c r="H87" s="19">
        <f>('[1]Short Spot'!H88-'[1]Short Spot'!H87)*100</f>
        <v>0.37380594987475035</v>
      </c>
      <c r="I87" s="19">
        <f>('[1]Short Spot'!I88-'[1]Short Spot'!I87)*100</f>
        <v>0.24146554082626892</v>
      </c>
      <c r="J87" s="19">
        <f>('[1]Short Spot'!J88-'[1]Short Spot'!J87)*100</f>
        <v>0.13157282945766013</v>
      </c>
      <c r="K87" s="19">
        <f>('[1]Short Spot'!K88-'[1]Short Spot'!K87)*100</f>
        <v>3.3032260168575078E-2</v>
      </c>
      <c r="L87" s="19">
        <f>('[1]Short Spot'!L88-'[1]Short Spot'!L87)*100</f>
        <v>-6.0844787317648752E-2</v>
      </c>
      <c r="M87" s="19">
        <f>('[1]Short Spot'!M88-'[1]Short Spot'!M87)*100</f>
        <v>-0.15196704295030727</v>
      </c>
      <c r="N87" s="19">
        <f>('[1]Short Spot'!N88-'[1]Short Spot'!N87)*100</f>
        <v>-0.24031453183148699</v>
      </c>
      <c r="O87" s="19">
        <f>('[1]Short Spot'!O88-'[1]Short Spot'!O87)*100</f>
        <v>-0.32537557404204165</v>
      </c>
      <c r="P87" s="19">
        <f>('[1]Short Spot'!P88-'[1]Short Spot'!P87)*100</f>
        <v>-0.40678597953807127</v>
      </c>
      <c r="Q87" s="19">
        <f>('[1]Short Spot'!Q88-'[1]Short Spot'!Q87)*100</f>
        <v>-0.48429806467664704</v>
      </c>
      <c r="R87" s="19">
        <f>('[1]Short Spot'!R88-'[1]Short Spot'!R87)*100</f>
        <v>-0.55774633713330246</v>
      </c>
      <c r="S87" s="19">
        <f>('[1]Short Spot'!S88-'[1]Short Spot'!S87)*100</f>
        <v>-0.62703633188609942</v>
      </c>
      <c r="T87" s="19">
        <f>('[1]Short Spot'!T88-'[1]Short Spot'!T87)*100</f>
        <v>-0.69222849498746797</v>
      </c>
      <c r="U87" s="19">
        <f>('[1]Short Spot'!U88-'[1]Short Spot'!U87)*100</f>
        <v>-0.75350742097137768</v>
      </c>
      <c r="V87" s="19">
        <f>('[1]Short Spot'!V88-'[1]Short Spot'!V87)*100</f>
        <v>-0.81112217347527604</v>
      </c>
      <c r="W87" s="19">
        <f>('[1]Short Spot'!W88-'[1]Short Spot'!W87)*100</f>
        <v>-0.86537133430377722</v>
      </c>
      <c r="X87" s="19">
        <f>('[1]Short Spot'!X88-'[1]Short Spot'!X87)*100</f>
        <v>-0.91657968967195913</v>
      </c>
      <c r="Y87" s="19">
        <f>('[1]Short Spot'!Y88-'[1]Short Spot'!Y87)*100</f>
        <v>-0.96503720766323298</v>
      </c>
      <c r="Z87" s="19">
        <f>('[1]Short Spot'!Z88-'[1]Short Spot'!Z87)*100</f>
        <v>-1.0109955966195905</v>
      </c>
      <c r="AA87" s="19">
        <f>('[1]Short Spot'!AA88-'[1]Short Spot'!AA87)*100</f>
        <v>-1.0546786721332246</v>
      </c>
      <c r="AB87" s="19">
        <f>('[1]Short Spot'!AB88-'[1]Short Spot'!AB87)*100</f>
        <v>-1.0962875223703428</v>
      </c>
      <c r="AC87" s="19">
        <f>('[1]Short Spot'!AC88-'[1]Short Spot'!AC87)*100</f>
        <v>-1.1360045665412599</v>
      </c>
      <c r="AD87" s="19">
        <f>('[1]Short Spot'!AD88-'[1]Short Spot'!AD87)*100</f>
        <v>-1.1739965867865187</v>
      </c>
      <c r="AE87" s="19">
        <f>('[1]Short Spot'!AE88-'[1]Short Spot'!AE87)*100</f>
        <v>-1.2104141101388244</v>
      </c>
      <c r="AF87" s="19">
        <f>('[1]Short Spot'!AF88-'[1]Short Spot'!AF87)*100</f>
        <v>-1.2453947900057827</v>
      </c>
      <c r="AG87" s="19">
        <f>('[1]Short Spot'!AG88-'[1]Short Spot'!AG87)*100</f>
        <v>-1.2790683432169381</v>
      </c>
      <c r="AH87" s="19">
        <f>('[1]Short Spot'!AH88-'[1]Short Spot'!AH87)*100</f>
        <v>-1.3115544299980186</v>
      </c>
      <c r="AI87" s="19">
        <f>('[1]Short Spot'!AI88-'[1]Short Spot'!AI87)*100</f>
        <v>-1.3429591633702387</v>
      </c>
      <c r="AJ87" s="19">
        <f>('[1]Short Spot'!AJ88-'[1]Short Spot'!AJ87)*100</f>
        <v>-1.3733762978382913</v>
      </c>
      <c r="AK87" s="19">
        <f>('[1]Short Spot'!AK88-'[1]Short Spot'!AK87)*100</f>
        <v>-1.4028889450945492</v>
      </c>
      <c r="AL87" s="19">
        <f>('[1]Short Spot'!AL88-'[1]Short Spot'!AL87)*100</f>
        <v>-1.4315710122382086</v>
      </c>
      <c r="AM87" s="19">
        <f>('[1]Short Spot'!AM88-'[1]Short Spot'!AM87)*100</f>
        <v>-1.4594881446584829</v>
      </c>
      <c r="AN87" s="19">
        <f>('[1]Short Spot'!AN88-'[1]Short Spot'!AN87)*100</f>
        <v>-1.4866971968094056</v>
      </c>
      <c r="AO87" s="19">
        <f>('[1]Short Spot'!AO88-'[1]Short Spot'!AO87)*100</f>
        <v>-1.5132483146821585</v>
      </c>
      <c r="AP87" s="19">
        <f>('[1]Short Spot'!AP88-'[1]Short Spot'!AP87)*100</f>
        <v>-1.5391865001721072</v>
      </c>
      <c r="AQ87" s="19">
        <f>('[1]Short Spot'!AQ88-'[1]Short Spot'!AQ87)*100</f>
        <v>-1.5645522267415224</v>
      </c>
      <c r="AR87" s="19">
        <f>('[1]Short Spot'!AR88-'[1]Short Spot'!AR87)*100</f>
        <v>-1.589381965982728</v>
      </c>
      <c r="AS87" s="19">
        <f>('[1]Short Spot'!AS88-'[1]Short Spot'!AS87)*100</f>
        <v>-1.6137081537360487</v>
      </c>
      <c r="AT87" s="19">
        <f>('[1]Short Spot'!AT88-'[1]Short Spot'!AT87)*100</f>
        <v>-1.6375576625523358</v>
      </c>
      <c r="AU87" s="19">
        <f>('[1]Short Spot'!AU88-'[1]Short Spot'!AU87)*100</f>
        <v>-1.6609536224692967</v>
      </c>
      <c r="AV87" s="19">
        <f>('[1]Short Spot'!AV88-'[1]Short Spot'!AV87)*100</f>
        <v>-1.6839164191627454</v>
      </c>
      <c r="AW87" s="19">
        <f>('[1]Short Spot'!AW88-'[1]Short Spot'!AW87)*100</f>
        <v>-1.7064639800656423</v>
      </c>
      <c r="AX87" s="19">
        <f>('[1]Short Spot'!AX88-'[1]Short Spot'!AX87)*100</f>
        <v>-1.7286120252115289</v>
      </c>
      <c r="AY87" s="19">
        <f>('[1]Short Spot'!AY88-'[1]Short Spot'!AY87)*100</f>
        <v>-1.7503742879739548</v>
      </c>
      <c r="AZ87" s="19">
        <f>('[1]Short Spot'!AZ88-'[1]Short Spot'!AZ87)*100</f>
        <v>-1.771762690993306</v>
      </c>
      <c r="BA87" s="19">
        <f>('[1]Short Spot'!BA88-'[1]Short Spot'!BA87)*100</f>
        <v>-1.7927865707252799</v>
      </c>
      <c r="BB87" s="19">
        <f>('[1]Short Spot'!BB88-'[1]Short Spot'!BB87)*100</f>
        <v>-1.8134524398124796</v>
      </c>
      <c r="BC87" s="19">
        <f>('[1]Short Spot'!BC88-'[1]Short Spot'!BC87)*100</f>
        <v>-1.8337655064328828</v>
      </c>
      <c r="BD87" s="19">
        <f>('[1]Short Spot'!BD88-'[1]Short Spot'!BD87)*100</f>
        <v>-1.8537299044051103</v>
      </c>
      <c r="BE87" s="19">
        <f>('[1]Short Spot'!BE88-'[1]Short Spot'!BE87)*100</f>
        <v>-1.8733487891134715</v>
      </c>
      <c r="BF87" s="19">
        <f>('[1]Short Spot'!BF88-'[1]Short Spot'!BF87)*100</f>
        <v>-1.892624423335576</v>
      </c>
      <c r="BG87" s="19">
        <f>('[1]Short Spot'!BG88-'[1]Short Spot'!BG87)*100</f>
        <v>-1.9115582435394352</v>
      </c>
      <c r="BH87" s="19">
        <f>('[1]Short Spot'!BH88-'[1]Short Spot'!BH87)*100</f>
        <v>-1.9301505067496727</v>
      </c>
      <c r="BI87" s="19">
        <f>('[1]Short Spot'!BI88-'[1]Short Spot'!BI87)*100</f>
        <v>-1.9484002894016861</v>
      </c>
    </row>
    <row r="88" spans="1:61" x14ac:dyDescent="0.2">
      <c r="A88" s="18">
        <v>39210</v>
      </c>
      <c r="B88" s="19">
        <f>('[1]Short Spot'!B89-'[1]Short Spot'!B88)*100</f>
        <v>3.8689242984978556</v>
      </c>
      <c r="C88" s="19">
        <f>('[1]Short Spot'!C89-'[1]Short Spot'!C88)*100</f>
        <v>2.5749051721887461</v>
      </c>
      <c r="D88" s="19">
        <f>('[1]Short Spot'!D89-'[1]Short Spot'!D88)*100</f>
        <v>1.9900950944543361</v>
      </c>
      <c r="E88" s="19">
        <f>('[1]Short Spot'!E89-'[1]Short Spot'!E88)*100</f>
        <v>1.5534363397532225</v>
      </c>
      <c r="F88" s="19">
        <f>('[1]Short Spot'!F89-'[1]Short Spot'!F88)*100</f>
        <v>1.1972303188592548</v>
      </c>
      <c r="G88" s="19">
        <f>('[1]Short Spot'!G89-'[1]Short Spot'!G88)*100</f>
        <v>0.90516358035062083</v>
      </c>
      <c r="H88" s="19">
        <f>('[1]Short Spot'!H89-'[1]Short Spot'!H88)*100</f>
        <v>0.67050207102585802</v>
      </c>
      <c r="I88" s="19">
        <f>('[1]Short Spot'!I89-'[1]Short Spot'!I88)*100</f>
        <v>0.48408866331799416</v>
      </c>
      <c r="J88" s="19">
        <f>('[1]Short Spot'!J89-'[1]Short Spot'!J88)*100</f>
        <v>0.33406006128320342</v>
      </c>
      <c r="K88" s="19">
        <f>('[1]Short Spot'!K89-'[1]Short Spot'!K88)*100</f>
        <v>0.21144734114768582</v>
      </c>
      <c r="L88" s="19">
        <f>('[1]Short Spot'!L89-'[1]Short Spot'!L88)*100</f>
        <v>0.10937331436595699</v>
      </c>
      <c r="M88" s="19">
        <f>('[1]Short Spot'!M89-'[1]Short Spot'!M88)*100</f>
        <v>2.3022416153573033E-2</v>
      </c>
      <c r="N88" s="19">
        <f>('[1]Short Spot'!N89-'[1]Short Spot'!N88)*100</f>
        <v>-5.0599610427148889E-2</v>
      </c>
      <c r="O88" s="19">
        <f>('[1]Short Spot'!O89-'[1]Short Spot'!O88)*100</f>
        <v>-0.11381614153078701</v>
      </c>
      <c r="P88" s="19">
        <f>('[1]Short Spot'!P89-'[1]Short Spot'!P88)*100</f>
        <v>-0.16849863075298899</v>
      </c>
      <c r="Q88" s="19">
        <f>('[1]Short Spot'!Q89-'[1]Short Spot'!Q88)*100</f>
        <v>-0.21612958351466816</v>
      </c>
      <c r="R88" s="19">
        <f>('[1]Short Spot'!R89-'[1]Short Spot'!R88)*100</f>
        <v>-0.257916925732804</v>
      </c>
      <c r="S88" s="19">
        <f>('[1]Short Spot'!S89-'[1]Short Spot'!S88)*100</f>
        <v>-0.29487291416065986</v>
      </c>
      <c r="T88" s="19">
        <f>('[1]Short Spot'!T89-'[1]Short Spot'!T88)*100</f>
        <v>-0.32786835637557132</v>
      </c>
      <c r="U88" s="19">
        <f>('[1]Short Spot'!U89-'[1]Short Spot'!U88)*100</f>
        <v>-0.35763333112468487</v>
      </c>
      <c r="V88" s="19">
        <f>('[1]Short Spot'!V89-'[1]Short Spot'!V88)*100</f>
        <v>-0.38477952477720123</v>
      </c>
      <c r="W88" s="19">
        <f>('[1]Short Spot'!W89-'[1]Short Spot'!W88)*100</f>
        <v>-0.40982710921859677</v>
      </c>
      <c r="X88" s="19">
        <f>('[1]Short Spot'!X89-'[1]Short Spot'!X88)*100</f>
        <v>-0.43321968031504454</v>
      </c>
      <c r="Y88" s="19">
        <f>('[1]Short Spot'!Y89-'[1]Short Spot'!Y88)*100</f>
        <v>-0.45532145145381619</v>
      </c>
      <c r="Z88" s="19">
        <f>('[1]Short Spot'!Z89-'[1]Short Spot'!Z88)*100</f>
        <v>-0.47642943518271252</v>
      </c>
      <c r="AA88" s="19">
        <f>('[1]Short Spot'!AA89-'[1]Short Spot'!AA88)*100</f>
        <v>-0.49678698080741768</v>
      </c>
      <c r="AB88" s="19">
        <f>('[1]Short Spot'!AB89-'[1]Short Spot'!AB88)*100</f>
        <v>-0.51659371202763538</v>
      </c>
      <c r="AC88" s="19">
        <f>('[1]Short Spot'!AC89-'[1]Short Spot'!AC88)*100</f>
        <v>-0.53601333508188631</v>
      </c>
      <c r="AD88" s="19">
        <f>('[1]Short Spot'!AD89-'[1]Short Spot'!AD88)*100</f>
        <v>-0.55517977543342312</v>
      </c>
      <c r="AE88" s="19">
        <f>('[1]Short Spot'!AE89-'[1]Short Spot'!AE88)*100</f>
        <v>-0.57420182269876108</v>
      </c>
      <c r="AF88" s="19">
        <f>('[1]Short Spot'!AF89-'[1]Short Spot'!AF88)*100</f>
        <v>-0.59316870659431586</v>
      </c>
      <c r="AG88" s="19">
        <f>('[1]Short Spot'!AG89-'[1]Short Spot'!AG88)*100</f>
        <v>-0.61215406649131054</v>
      </c>
      <c r="AH88" s="19">
        <f>('[1]Short Spot'!AH89-'[1]Short Spot'!AH88)*100</f>
        <v>-0.63121784843698237</v>
      </c>
      <c r="AI88" s="19">
        <f>('[1]Short Spot'!AI89-'[1]Short Spot'!AI88)*100</f>
        <v>-0.65040792313446616</v>
      </c>
      <c r="AJ88" s="19">
        <f>('[1]Short Spot'!AJ89-'[1]Short Spot'!AJ88)*100</f>
        <v>-0.66976179275091141</v>
      </c>
      <c r="AK88" s="19">
        <f>('[1]Short Spot'!AK89-'[1]Short Spot'!AK88)*100</f>
        <v>-0.68930803101920901</v>
      </c>
      <c r="AL88" s="19">
        <f>('[1]Short Spot'!AL89-'[1]Short Spot'!AL88)*100</f>
        <v>-0.70906748978210032</v>
      </c>
      <c r="AM88" s="19">
        <f>('[1]Short Spot'!AM89-'[1]Short Spot'!AM88)*100</f>
        <v>-0.72905426637435156</v>
      </c>
      <c r="AN88" s="19">
        <f>('[1]Short Spot'!AN89-'[1]Short Spot'!AN88)*100</f>
        <v>-0.74927674193006055</v>
      </c>
      <c r="AO88" s="19">
        <f>('[1]Short Spot'!AO89-'[1]Short Spot'!AO88)*100</f>
        <v>-0.76973926183683261</v>
      </c>
      <c r="AP88" s="19">
        <f>('[1]Short Spot'!AP89-'[1]Short Spot'!AP88)*100</f>
        <v>-0.7904428568352273</v>
      </c>
      <c r="AQ88" s="19">
        <f>('[1]Short Spot'!AQ89-'[1]Short Spot'!AQ88)*100</f>
        <v>-0.81138563775331463</v>
      </c>
      <c r="AR88" s="19">
        <f>('[1]Short Spot'!AR89-'[1]Short Spot'!AR88)*100</f>
        <v>-0.83256313502850787</v>
      </c>
      <c r="AS88" s="19">
        <f>('[1]Short Spot'!AS89-'[1]Short Spot'!AS88)*100</f>
        <v>-0.85396846476717414</v>
      </c>
      <c r="AT88" s="19">
        <f>('[1]Short Spot'!AT89-'[1]Short Spot'!AT88)*100</f>
        <v>-0.87559242873878063</v>
      </c>
      <c r="AU88" s="19">
        <f>('[1]Short Spot'!AU89-'[1]Short Spot'!AU88)*100</f>
        <v>-0.89742439809503693</v>
      </c>
      <c r="AV88" s="19">
        <f>('[1]Short Spot'!AV89-'[1]Short Spot'!AV88)*100</f>
        <v>-0.91945260733341527</v>
      </c>
      <c r="AW88" s="19">
        <f>('[1]Short Spot'!AW89-'[1]Short Spot'!AW88)*100</f>
        <v>-0.94166427270012676</v>
      </c>
      <c r="AX88" s="19">
        <f>('[1]Short Spot'!AX89-'[1]Short Spot'!AX88)*100</f>
        <v>-0.96404569609234159</v>
      </c>
      <c r="AY88" s="19">
        <f>('[1]Short Spot'!AY89-'[1]Short Spot'!AY88)*100</f>
        <v>-0.98658235649287107</v>
      </c>
      <c r="AZ88" s="19">
        <f>('[1]Short Spot'!AZ89-'[1]Short Spot'!AZ88)*100</f>
        <v>-1.0092589830362542</v>
      </c>
      <c r="BA88" s="19">
        <f>('[1]Short Spot'!BA89-'[1]Short Spot'!BA88)*100</f>
        <v>-1.0320594646988646</v>
      </c>
      <c r="BB88" s="19">
        <f>('[1]Short Spot'!BB89-'[1]Short Spot'!BB88)*100</f>
        <v>-1.0549672282269995</v>
      </c>
      <c r="BC88" s="19">
        <f>('[1]Short Spot'!BC89-'[1]Short Spot'!BC88)*100</f>
        <v>-1.0779657090846939</v>
      </c>
      <c r="BD88" s="19">
        <f>('[1]Short Spot'!BD89-'[1]Short Spot'!BD88)*100</f>
        <v>-1.1010383712964256</v>
      </c>
      <c r="BE88" s="19">
        <f>('[1]Short Spot'!BE89-'[1]Short Spot'!BE88)*100</f>
        <v>-1.1241687048964444</v>
      </c>
      <c r="BF88" s="19">
        <f>('[1]Short Spot'!BF89-'[1]Short Spot'!BF88)*100</f>
        <v>-1.1473402236483743</v>
      </c>
      <c r="BG88" s="19">
        <f>('[1]Short Spot'!BG89-'[1]Short Spot'!BG88)*100</f>
        <v>-1.1705364590790523</v>
      </c>
      <c r="BH88" s="19">
        <f>('[1]Short Spot'!BH89-'[1]Short Spot'!BH88)*100</f>
        <v>-1.1937408992551468</v>
      </c>
      <c r="BI88" s="19">
        <f>('[1]Short Spot'!BI89-'[1]Short Spot'!BI88)*100</f>
        <v>-1.2169371744755075</v>
      </c>
    </row>
    <row r="89" spans="1:61" x14ac:dyDescent="0.2">
      <c r="A89" s="18">
        <v>39211</v>
      </c>
      <c r="B89" s="19">
        <f>('[1]Short Spot'!B90-'[1]Short Spot'!B89)*100</f>
        <v>0.89612491614232681</v>
      </c>
      <c r="C89" s="19">
        <f>('[1]Short Spot'!C90-'[1]Short Spot'!C89)*100</f>
        <v>0.68999045131237224</v>
      </c>
      <c r="D89" s="19">
        <f>('[1]Short Spot'!D90-'[1]Short Spot'!D89)*100</f>
        <v>0.5086735198907455</v>
      </c>
      <c r="E89" s="19">
        <f>('[1]Short Spot'!E90-'[1]Short Spot'!E89)*100</f>
        <v>0.28108217485174336</v>
      </c>
      <c r="F89" s="19">
        <f>('[1]Short Spot'!F90-'[1]Short Spot'!F89)*100</f>
        <v>4.6525126636254299E-2</v>
      </c>
      <c r="G89" s="19">
        <f>('[1]Short Spot'!G90-'[1]Short Spot'!G89)*100</f>
        <v>-0.1714352351801729</v>
      </c>
      <c r="H89" s="19">
        <f>('[1]Short Spot'!H90-'[1]Short Spot'!H89)*100</f>
        <v>-0.35777967907657526</v>
      </c>
      <c r="I89" s="19">
        <f>('[1]Short Spot'!I90-'[1]Short Spot'!I89)*100</f>
        <v>-0.5081789649153734</v>
      </c>
      <c r="J89" s="19">
        <f>('[1]Short Spot'!J90-'[1]Short Spot'!J89)*100</f>
        <v>-0.62656940688405882</v>
      </c>
      <c r="K89" s="19">
        <f>('[1]Short Spot'!K90-'[1]Short Spot'!K89)*100</f>
        <v>-0.71804881910502161</v>
      </c>
      <c r="L89" s="19">
        <f>('[1]Short Spot'!L90-'[1]Short Spot'!L89)*100</f>
        <v>-0.78819935309395461</v>
      </c>
      <c r="M89" s="19">
        <f>('[1]Short Spot'!M90-'[1]Short Spot'!M89)*100</f>
        <v>-0.84181488473236143</v>
      </c>
      <c r="N89" s="19">
        <f>('[1]Short Spot'!N90-'[1]Short Spot'!N89)*100</f>
        <v>-0.88225177424341439</v>
      </c>
      <c r="O89" s="19">
        <f>('[1]Short Spot'!O90-'[1]Short Spot'!O89)*100</f>
        <v>-0.91195365353939906</v>
      </c>
      <c r="P89" s="19">
        <f>('[1]Short Spot'!P90-'[1]Short Spot'!P89)*100</f>
        <v>-0.93281937560654171</v>
      </c>
      <c r="Q89" s="19">
        <f>('[1]Short Spot'!Q90-'[1]Short Spot'!Q89)*100</f>
        <v>-0.946379227110139</v>
      </c>
      <c r="R89" s="19">
        <f>('[1]Short Spot'!R90-'[1]Short Spot'!R89)*100</f>
        <v>-0.95390333025822116</v>
      </c>
      <c r="S89" s="19">
        <f>('[1]Short Spot'!S90-'[1]Short Spot'!S89)*100</f>
        <v>-0.95647585258555878</v>
      </c>
      <c r="T89" s="19">
        <f>('[1]Short Spot'!T90-'[1]Short Spot'!T89)*100</f>
        <v>-0.95503301689694453</v>
      </c>
      <c r="U89" s="19">
        <f>('[1]Short Spot'!U90-'[1]Short Spot'!U89)*100</f>
        <v>-0.9503509639768204</v>
      </c>
      <c r="V89" s="19">
        <f>('[1]Short Spot'!V90-'[1]Short Spot'!V89)*100</f>
        <v>-0.94307220111193857</v>
      </c>
      <c r="W89" s="19">
        <f>('[1]Short Spot'!W90-'[1]Short Spot'!W89)*100</f>
        <v>-0.93373594956469574</v>
      </c>
      <c r="X89" s="19">
        <f>('[1]Short Spot'!X90-'[1]Short Spot'!X89)*100</f>
        <v>-0.92279527460741306</v>
      </c>
      <c r="Y89" s="19">
        <f>('[1]Short Spot'!Y90-'[1]Short Spot'!Y89)*100</f>
        <v>-0.9106181346438369</v>
      </c>
      <c r="Z89" s="19">
        <f>('[1]Short Spot'!Z90-'[1]Short Spot'!Z89)*100</f>
        <v>-0.89750305202960234</v>
      </c>
      <c r="AA89" s="19">
        <f>('[1]Short Spot'!AA90-'[1]Short Spot'!AA89)*100</f>
        <v>-0.88369317863481456</v>
      </c>
      <c r="AB89" s="19">
        <f>('[1]Short Spot'!AB90-'[1]Short Spot'!AB89)*100</f>
        <v>-0.8693865496375075</v>
      </c>
      <c r="AC89" s="19">
        <f>('[1]Short Spot'!AC90-'[1]Short Spot'!AC89)*100</f>
        <v>-0.85474414007569166</v>
      </c>
      <c r="AD89" s="19">
        <f>('[1]Short Spot'!AD90-'[1]Short Spot'!AD89)*100</f>
        <v>-0.83989620325066738</v>
      </c>
      <c r="AE89" s="19">
        <f>('[1]Short Spot'!AE90-'[1]Short Spot'!AE89)*100</f>
        <v>-0.82494745766998889</v>
      </c>
      <c r="AF89" s="19">
        <f>('[1]Short Spot'!AF90-'[1]Short Spot'!AF89)*100</f>
        <v>-0.80998343475906509</v>
      </c>
      <c r="AG89" s="19">
        <f>('[1]Short Spot'!AG90-'[1]Short Spot'!AG89)*100</f>
        <v>-0.79507450233249344</v>
      </c>
      <c r="AH89" s="19">
        <f>('[1]Short Spot'!AH90-'[1]Short Spot'!AH89)*100</f>
        <v>-0.78027845076009683</v>
      </c>
      <c r="AI89" s="19">
        <f>('[1]Short Spot'!AI90-'[1]Short Spot'!AI89)*100</f>
        <v>-0.76564284287243822</v>
      </c>
      <c r="AJ89" s="19">
        <f>('[1]Short Spot'!AJ90-'[1]Short Spot'!AJ89)*100</f>
        <v>-0.75120655539375747</v>
      </c>
      <c r="AK89" s="19">
        <f>('[1]Short Spot'!AK90-'[1]Short Spot'!AK89)*100</f>
        <v>-0.73700098535853797</v>
      </c>
      <c r="AL89" s="19">
        <f>('[1]Short Spot'!AL90-'[1]Short Spot'!AL89)*100</f>
        <v>-0.72305106087870996</v>
      </c>
      <c r="AM89" s="19">
        <f>('[1]Short Spot'!AM90-'[1]Short Spot'!AM89)*100</f>
        <v>-0.70937605084804289</v>
      </c>
      <c r="AN89" s="19">
        <f>('[1]Short Spot'!AN90-'[1]Short Spot'!AN89)*100</f>
        <v>-0.69599058038054551</v>
      </c>
      <c r="AO89" s="19">
        <f>('[1]Short Spot'!AO90-'[1]Short Spot'!AO89)*100</f>
        <v>-0.68290622526196998</v>
      </c>
      <c r="AP89" s="19">
        <f>('[1]Short Spot'!AP90-'[1]Short Spot'!AP89)*100</f>
        <v>-0.670132089714226</v>
      </c>
      <c r="AQ89" s="19">
        <f>('[1]Short Spot'!AQ90-'[1]Short Spot'!AQ89)*100</f>
        <v>-0.65767510067056278</v>
      </c>
      <c r="AR89" s="19">
        <f>('[1]Short Spot'!AR90-'[1]Short Spot'!AR89)*100</f>
        <v>-0.64554026092205063</v>
      </c>
      <c r="AS89" s="19">
        <f>('[1]Short Spot'!AS90-'[1]Short Spot'!AS89)*100</f>
        <v>-0.63373073245553968</v>
      </c>
      <c r="AT89" s="19">
        <f>('[1]Short Spot'!AT90-'[1]Short Spot'!AT89)*100</f>
        <v>-0.62224790831670873</v>
      </c>
      <c r="AU89" s="19">
        <f>('[1]Short Spot'!AU90-'[1]Short Spot'!AU89)*100</f>
        <v>-0.61109223311381911</v>
      </c>
      <c r="AV89" s="19">
        <f>('[1]Short Spot'!AV90-'[1]Short Spot'!AV89)*100</f>
        <v>-0.60026342914660802</v>
      </c>
      <c r="AW89" s="19">
        <f>('[1]Short Spot'!AW90-'[1]Short Spot'!AW89)*100</f>
        <v>-0.58976057164654705</v>
      </c>
      <c r="AX89" s="19">
        <f>('[1]Short Spot'!AX90-'[1]Short Spot'!AX89)*100</f>
        <v>-0.57958215480411468</v>
      </c>
      <c r="AY89" s="19">
        <f>('[1]Short Spot'!AY90-'[1]Short Spot'!AY89)*100</f>
        <v>-0.56972614987307324</v>
      </c>
      <c r="AZ89" s="19">
        <f>('[1]Short Spot'!AZ90-'[1]Short Spot'!AZ89)*100</f>
        <v>-0.56019004621221669</v>
      </c>
      <c r="BA89" s="19">
        <f>('[1]Short Spot'!BA90-'[1]Short Spot'!BA89)*100</f>
        <v>-0.55097064562898979</v>
      </c>
      <c r="BB89" s="19">
        <f>('[1]Short Spot'!BB90-'[1]Short Spot'!BB89)*100</f>
        <v>-0.54206415632664928</v>
      </c>
      <c r="BC89" s="19">
        <f>('[1]Short Spot'!BC90-'[1]Short Spot'!BC89)*100</f>
        <v>-0.53346654814134808</v>
      </c>
      <c r="BD89" s="19">
        <f>('[1]Short Spot'!BD90-'[1]Short Spot'!BD89)*100</f>
        <v>-0.52517358939345726</v>
      </c>
      <c r="BE89" s="19">
        <f>('[1]Short Spot'!BE90-'[1]Short Spot'!BE89)*100</f>
        <v>-0.51718086488046211</v>
      </c>
      <c r="BF89" s="19">
        <f>('[1]Short Spot'!BF90-'[1]Short Spot'!BF89)*100</f>
        <v>-0.50948379197475191</v>
      </c>
      <c r="BG89" s="19">
        <f>('[1]Short Spot'!BG90-'[1]Short Spot'!BG89)*100</f>
        <v>-0.50207762923770716</v>
      </c>
      <c r="BH89" s="19">
        <f>('[1]Short Spot'!BH90-'[1]Short Spot'!BH89)*100</f>
        <v>-0.49495734509665823</v>
      </c>
      <c r="BI89" s="19">
        <f>('[1]Short Spot'!BI90-'[1]Short Spot'!BI89)*100</f>
        <v>-0.48811757362381414</v>
      </c>
    </row>
    <row r="90" spans="1:61" x14ac:dyDescent="0.2">
      <c r="A90" s="18">
        <v>39212</v>
      </c>
      <c r="B90" s="19">
        <f>('[1]Short Spot'!B91-'[1]Short Spot'!B90)*100</f>
        <v>8.4186797051710727E-2</v>
      </c>
      <c r="C90" s="19">
        <f>('[1]Short Spot'!C91-'[1]Short Spot'!C90)*100</f>
        <v>-1.0473503957087793</v>
      </c>
      <c r="D90" s="19">
        <f>('[1]Short Spot'!D91-'[1]Short Spot'!D90)*100</f>
        <v>-1.3162603448598986</v>
      </c>
      <c r="E90" s="19">
        <f>('[1]Short Spot'!E91-'[1]Short Spot'!E90)*100</f>
        <v>-1.3786047645321986</v>
      </c>
      <c r="F90" s="19">
        <f>('[1]Short Spot'!F91-'[1]Short Spot'!F90)*100</f>
        <v>-1.3388714460226936</v>
      </c>
      <c r="G90" s="19">
        <f>('[1]Short Spot'!G91-'[1]Short Spot'!G90)*100</f>
        <v>-1.2399780700214968</v>
      </c>
      <c r="H90" s="19">
        <f>('[1]Short Spot'!H91-'[1]Short Spot'!H90)*100</f>
        <v>-1.1097324526102348</v>
      </c>
      <c r="I90" s="19">
        <f>('[1]Short Spot'!I91-'[1]Short Spot'!I90)*100</f>
        <v>-0.96745742108241828</v>
      </c>
      <c r="J90" s="19">
        <f>('[1]Short Spot'!J91-'[1]Short Spot'!J90)*100</f>
        <v>-0.8245932417291435</v>
      </c>
      <c r="K90" s="19">
        <f>('[1]Short Spot'!K91-'[1]Short Spot'!K90)*100</f>
        <v>-0.68649558067219729</v>
      </c>
      <c r="L90" s="19">
        <f>('[1]Short Spot'!L91-'[1]Short Spot'!L90)*100</f>
        <v>-0.55513587869686631</v>
      </c>
      <c r="M90" s="19">
        <f>('[1]Short Spot'!M91-'[1]Short Spot'!M90)*100</f>
        <v>-0.43128363846474116</v>
      </c>
      <c r="N90" s="19">
        <f>('[1]Short Spot'!N91-'[1]Short Spot'!N90)*100</f>
        <v>-0.31548439406341444</v>
      </c>
      <c r="O90" s="19">
        <f>('[1]Short Spot'!O91-'[1]Short Spot'!O90)*100</f>
        <v>-0.20771511996988679</v>
      </c>
      <c r="P90" s="19">
        <f>('[1]Short Spot'!P91-'[1]Short Spot'!P90)*100</f>
        <v>-0.10767916013580958</v>
      </c>
      <c r="Q90" s="19">
        <f>('[1]Short Spot'!Q91-'[1]Short Spot'!Q90)*100</f>
        <v>-1.4982553643783092E-2</v>
      </c>
      <c r="R90" s="19">
        <f>('[1]Short Spot'!R91-'[1]Short Spot'!R90)*100</f>
        <v>7.0837317235561414E-2</v>
      </c>
      <c r="S90" s="19">
        <f>('[1]Short Spot'!S91-'[1]Short Spot'!S90)*100</f>
        <v>0.15028694583865132</v>
      </c>
      <c r="T90" s="19">
        <f>('[1]Short Spot'!T91-'[1]Short Spot'!T90)*100</f>
        <v>0.22386655358337393</v>
      </c>
      <c r="U90" s="19">
        <f>('[1]Short Spot'!U91-'[1]Short Spot'!U90)*100</f>
        <v>0.29206019551386575</v>
      </c>
      <c r="V90" s="19">
        <f>('[1]Short Spot'!V91-'[1]Short Spot'!V90)*100</f>
        <v>0.35534322186876466</v>
      </c>
      <c r="W90" s="19">
        <f>('[1]Short Spot'!W91-'[1]Short Spot'!W90)*100</f>
        <v>0.41418427435404581</v>
      </c>
      <c r="X90" s="19">
        <f>('[1]Short Spot'!X91-'[1]Short Spot'!X90)*100</f>
        <v>0.46904498199973332</v>
      </c>
      <c r="Y90" s="19">
        <f>('[1]Short Spot'!Y91-'[1]Short Spot'!Y90)*100</f>
        <v>0.52035335794968773</v>
      </c>
      <c r="Z90" s="19">
        <f>('[1]Short Spot'!Z91-'[1]Short Spot'!Z90)*100</f>
        <v>0.56848416201384921</v>
      </c>
      <c r="AA90" s="19">
        <f>('[1]Short Spot'!AA91-'[1]Short Spot'!AA90)*100</f>
        <v>0.61376725583368597</v>
      </c>
      <c r="AB90" s="19">
        <f>('[1]Short Spot'!AB91-'[1]Short Spot'!AB90)*100</f>
        <v>0.65649591735690294</v>
      </c>
      <c r="AC90" s="19">
        <f>('[1]Short Spot'!AC91-'[1]Short Spot'!AC90)*100</f>
        <v>0.69693337364009622</v>
      </c>
      <c r="AD90" s="19">
        <f>('[1]Short Spot'!AD91-'[1]Short Spot'!AD90)*100</f>
        <v>0.73531793842560589</v>
      </c>
      <c r="AE90" s="19">
        <f>('[1]Short Spot'!AE91-'[1]Short Spot'!AE90)*100</f>
        <v>0.77186419874646361</v>
      </c>
      <c r="AF90" s="19">
        <f>('[1]Short Spot'!AF91-'[1]Short Spot'!AF90)*100</f>
        <v>0.80675932935276862</v>
      </c>
      <c r="AG90" s="19">
        <f>('[1]Short Spot'!AG91-'[1]Short Spot'!AG90)*100</f>
        <v>0.84016551692904784</v>
      </c>
      <c r="AH90" s="19">
        <f>('[1]Short Spot'!AH91-'[1]Short Spot'!AH90)*100</f>
        <v>0.87222478704127582</v>
      </c>
      <c r="AI90" s="19">
        <f>('[1]Short Spot'!AI91-'[1]Short Spot'!AI90)*100</f>
        <v>0.90306287723631584</v>
      </c>
      <c r="AJ90" s="19">
        <f>('[1]Short Spot'!AJ91-'[1]Short Spot'!AJ90)*100</f>
        <v>0.93279162745831812</v>
      </c>
      <c r="AK90" s="19">
        <f>('[1]Short Spot'!AK91-'[1]Short Spot'!AK90)*100</f>
        <v>0.9615109102701247</v>
      </c>
      <c r="AL90" s="19">
        <f>('[1]Short Spot'!AL91-'[1]Short Spot'!AL90)*100</f>
        <v>0.98931024806505619</v>
      </c>
      <c r="AM90" s="19">
        <f>('[1]Short Spot'!AM91-'[1]Short Spot'!AM90)*100</f>
        <v>1.0162702191098383</v>
      </c>
      <c r="AN90" s="19">
        <f>('[1]Short Spot'!AN91-'[1]Short Spot'!AN90)*100</f>
        <v>1.0424633419011897</v>
      </c>
      <c r="AO90" s="19">
        <f>('[1]Short Spot'!AO91-'[1]Short Spot'!AO90)*100</f>
        <v>1.0679541892099742</v>
      </c>
      <c r="AP90" s="19">
        <f>('[1]Short Spot'!AP91-'[1]Short Spot'!AP90)*100</f>
        <v>1.0928001888296457</v>
      </c>
      <c r="AQ90" s="19">
        <f>('[1]Short Spot'!AQ91-'[1]Short Spot'!AQ90)*100</f>
        <v>1.1170524741618948</v>
      </c>
      <c r="AR90" s="19">
        <f>('[1]Short Spot'!AR91-'[1]Short Spot'!AR90)*100</f>
        <v>1.1407566162197291</v>
      </c>
      <c r="AS90" s="19">
        <f>('[1]Short Spot'!AS91-'[1]Short Spot'!AS90)*100</f>
        <v>1.163953401974549</v>
      </c>
      <c r="AT90" s="19">
        <f>('[1]Short Spot'!AT91-'[1]Short Spot'!AT90)*100</f>
        <v>1.1866794866101316</v>
      </c>
      <c r="AU90" s="19">
        <f>('[1]Short Spot'!AU91-'[1]Short Spot'!AU90)*100</f>
        <v>1.2089672412213481</v>
      </c>
      <c r="AV90" s="19">
        <f>('[1]Short Spot'!AV91-'[1]Short Spot'!AV90)*100</f>
        <v>1.2308450997128517</v>
      </c>
      <c r="AW90" s="19">
        <f>('[1]Short Spot'!AW91-'[1]Short Spot'!AW90)*100</f>
        <v>1.2523379689231895</v>
      </c>
      <c r="AX90" s="19">
        <f>('[1]Short Spot'!AX91-'[1]Short Spot'!AX90)*100</f>
        <v>1.2734675885291757</v>
      </c>
      <c r="AY90" s="19">
        <f>('[1]Short Spot'!AY91-'[1]Short Spot'!AY90)*100</f>
        <v>1.2942528477624116</v>
      </c>
      <c r="AZ90" s="19">
        <f>('[1]Short Spot'!AZ91-'[1]Short Spot'!AZ90)*100</f>
        <v>1.3147100775889875</v>
      </c>
      <c r="BA90" s="19">
        <f>('[1]Short Spot'!BA91-'[1]Short Spot'!BA90)*100</f>
        <v>1.3348535720205668</v>
      </c>
      <c r="BB90" s="19">
        <f>('[1]Short Spot'!BB91-'[1]Short Spot'!BB90)*100</f>
        <v>1.3546957713379548</v>
      </c>
      <c r="BC90" s="19">
        <f>('[1]Short Spot'!BC91-'[1]Short Spot'!BC90)*100</f>
        <v>1.3742471598312989</v>
      </c>
      <c r="BD90" s="19">
        <f>('[1]Short Spot'!BD91-'[1]Short Spot'!BD90)*100</f>
        <v>1.3935164313267023</v>
      </c>
      <c r="BE90" s="19">
        <f>('[1]Short Spot'!BE91-'[1]Short Spot'!BE90)*100</f>
        <v>1.4125106490495476</v>
      </c>
      <c r="BF90" s="19">
        <f>('[1]Short Spot'!BF91-'[1]Short Spot'!BF90)*100</f>
        <v>1.431235388658969</v>
      </c>
      <c r="BG90" s="19">
        <f>('[1]Short Spot'!BG91-'[1]Short Spot'!BG90)*100</f>
        <v>1.4496948734121773</v>
      </c>
      <c r="BH90" s="19">
        <f>('[1]Short Spot'!BH91-'[1]Short Spot'!BH90)*100</f>
        <v>1.467892227575085</v>
      </c>
      <c r="BI90" s="19">
        <f>('[1]Short Spot'!BI91-'[1]Short Spot'!BI90)*100</f>
        <v>1.4858295884801365</v>
      </c>
    </row>
    <row r="91" spans="1:61" x14ac:dyDescent="0.2">
      <c r="A91" s="18">
        <v>39213</v>
      </c>
      <c r="B91" s="19">
        <f>('[1]Short Spot'!B92-'[1]Short Spot'!B91)*100</f>
        <v>-2.0261638317493613</v>
      </c>
      <c r="C91" s="19">
        <f>('[1]Short Spot'!C92-'[1]Short Spot'!C91)*100</f>
        <v>-1.05187874097048</v>
      </c>
      <c r="D91" s="19">
        <f>('[1]Short Spot'!D92-'[1]Short Spot'!D91)*100</f>
        <v>-0.97977364429473468</v>
      </c>
      <c r="E91" s="19">
        <f>('[1]Short Spot'!E92-'[1]Short Spot'!E91)*100</f>
        <v>-1.0742896885123976</v>
      </c>
      <c r="F91" s="19">
        <f>('[1]Short Spot'!F92-'[1]Short Spot'!F91)*100</f>
        <v>-1.2155062081247614</v>
      </c>
      <c r="G91" s="19">
        <f>('[1]Short Spot'!G92-'[1]Short Spot'!G91)*100</f>
        <v>-1.362244067499585</v>
      </c>
      <c r="H91" s="19">
        <f>('[1]Short Spot'!H92-'[1]Short Spot'!H91)*100</f>
        <v>-1.4935884427977442</v>
      </c>
      <c r="I91" s="19">
        <f>('[1]Short Spot'!I92-'[1]Short Spot'!I91)*100</f>
        <v>-1.5995165725716021</v>
      </c>
      <c r="J91" s="19">
        <f>('[1]Short Spot'!J92-'[1]Short Spot'!J91)*100</f>
        <v>-1.6763578928815193</v>
      </c>
      <c r="K91" s="19">
        <f>('[1]Short Spot'!K92-'[1]Short Spot'!K91)*100</f>
        <v>-1.7236971905281173</v>
      </c>
      <c r="L91" s="19">
        <f>('[1]Short Spot'!L92-'[1]Short Spot'!L91)*100</f>
        <v>-1.7451494064282258</v>
      </c>
      <c r="M91" s="19">
        <f>('[1]Short Spot'!M92-'[1]Short Spot'!M91)*100</f>
        <v>-1.7463052929325151</v>
      </c>
      <c r="N91" s="19">
        <f>('[1]Short Spot'!N92-'[1]Short Spot'!N91)*100</f>
        <v>-1.7326421779131351</v>
      </c>
      <c r="O91" s="19">
        <f>('[1]Short Spot'!O92-'[1]Short Spot'!O91)*100</f>
        <v>-1.7090202768891949</v>
      </c>
      <c r="P91" s="19">
        <f>('[1]Short Spot'!P92-'[1]Short Spot'!P91)*100</f>
        <v>-1.6790550899793644</v>
      </c>
      <c r="Q91" s="19">
        <f>('[1]Short Spot'!Q92-'[1]Short Spot'!Q91)*100</f>
        <v>-1.6453786746108534</v>
      </c>
      <c r="R91" s="19">
        <f>('[1]Short Spot'!R92-'[1]Short Spot'!R91)*100</f>
        <v>-1.6099288688249835</v>
      </c>
      <c r="S91" s="19">
        <f>('[1]Short Spot'!S92-'[1]Short Spot'!S91)*100</f>
        <v>-1.5741551429630185</v>
      </c>
      <c r="T91" s="19">
        <f>('[1]Short Spot'!T92-'[1]Short Spot'!T91)*100</f>
        <v>-1.5391691157020659</v>
      </c>
      <c r="U91" s="19">
        <f>('[1]Short Spot'!U92-'[1]Short Spot'!U91)*100</f>
        <v>-1.5057563398091389</v>
      </c>
      <c r="V91" s="19">
        <f>('[1]Short Spot'!V92-'[1]Short Spot'!V91)*100</f>
        <v>-1.47443505829008</v>
      </c>
      <c r="W91" s="19">
        <f>('[1]Short Spot'!W92-'[1]Short Spot'!W91)*100</f>
        <v>-1.445516866850749</v>
      </c>
      <c r="X91" s="19">
        <f>('[1]Short Spot'!X92-'[1]Short Spot'!X91)*100</f>
        <v>-1.4191492223572411</v>
      </c>
      <c r="Y91" s="19">
        <f>('[1]Short Spot'!Y92-'[1]Short Spot'!Y91)*100</f>
        <v>-1.3953804836511985</v>
      </c>
      <c r="Z91" s="19">
        <f>('[1]Short Spot'!Z92-'[1]Short Spot'!Z91)*100</f>
        <v>-1.3742164816924252</v>
      </c>
      <c r="AA91" s="19">
        <f>('[1]Short Spot'!AA92-'[1]Short Spot'!AA91)*100</f>
        <v>-1.355631338425578</v>
      </c>
      <c r="AB91" s="19">
        <f>('[1]Short Spot'!AB92-'[1]Short Spot'!AB91)*100</f>
        <v>-1.339573338819644</v>
      </c>
      <c r="AC91" s="19">
        <f>('[1]Short Spot'!AC92-'[1]Short Spot'!AC91)*100</f>
        <v>-1.3259695446134145</v>
      </c>
      <c r="AD91" s="19">
        <f>('[1]Short Spot'!AD92-'[1]Short Spot'!AD91)*100</f>
        <v>-1.3147292459542825</v>
      </c>
      <c r="AE91" s="19">
        <f>('[1]Short Spot'!AE92-'[1]Short Spot'!AE91)*100</f>
        <v>-1.3057459339581357</v>
      </c>
      <c r="AF91" s="19">
        <f>('[1]Short Spot'!AF92-'[1]Short Spot'!AF91)*100</f>
        <v>-1.2989022399523265</v>
      </c>
      <c r="AG91" s="19">
        <f>('[1]Short Spot'!AG92-'[1]Short Spot'!AG91)*100</f>
        <v>-1.2940736078284054</v>
      </c>
      <c r="AH91" s="19">
        <f>('[1]Short Spot'!AH92-'[1]Short Spot'!AH91)*100</f>
        <v>-1.2911362787925817</v>
      </c>
      <c r="AI91" s="19">
        <f>('[1]Short Spot'!AI92-'[1]Short Spot'!AI91)*100</f>
        <v>-1.2899734606039992</v>
      </c>
      <c r="AJ91" s="19">
        <f>('[1]Short Spot'!AJ92-'[1]Short Spot'!AJ91)*100</f>
        <v>-1.2904748519065201</v>
      </c>
      <c r="AK91" s="19">
        <f>('[1]Short Spot'!AK92-'[1]Short Spot'!AK91)*100</f>
        <v>-1.2925357407160831</v>
      </c>
      <c r="AL91" s="19">
        <f>('[1]Short Spot'!AL92-'[1]Short Spot'!AL91)*100</f>
        <v>-1.2960562490779814</v>
      </c>
      <c r="AM91" s="19">
        <f>('[1]Short Spot'!AM92-'[1]Short Spot'!AM91)*100</f>
        <v>-1.3009405368449301</v>
      </c>
      <c r="AN91" s="19">
        <f>('[1]Short Spot'!AN92-'[1]Short Spot'!AN91)*100</f>
        <v>-1.3070968636009539</v>
      </c>
      <c r="AO91" s="19">
        <f>('[1]Short Spot'!AO92-'[1]Short Spot'!AO91)*100</f>
        <v>-1.3144391287842616</v>
      </c>
      <c r="AP91" s="19">
        <f>('[1]Short Spot'!AP92-'[1]Short Spot'!AP91)*100</f>
        <v>-1.3228865234278686</v>
      </c>
      <c r="AQ91" s="19">
        <f>('[1]Short Spot'!AQ92-'[1]Short Spot'!AQ91)*100</f>
        <v>-1.3323629002072401</v>
      </c>
      <c r="AR91" s="19">
        <f>('[1]Short Spot'!AR92-'[1]Short Spot'!AR91)*100</f>
        <v>-1.3427962298027118</v>
      </c>
      <c r="AS91" s="19">
        <f>('[1]Short Spot'!AS92-'[1]Short Spot'!AS91)*100</f>
        <v>-1.3541176315703396</v>
      </c>
      <c r="AT91" s="19">
        <f>('[1]Short Spot'!AT92-'[1]Short Spot'!AT91)*100</f>
        <v>-1.3662607815686734</v>
      </c>
      <c r="AU91" s="19">
        <f>('[1]Short Spot'!AU92-'[1]Short Spot'!AU91)*100</f>
        <v>-1.3791633116201574</v>
      </c>
      <c r="AV91" s="19">
        <f>('[1]Short Spot'!AV92-'[1]Short Spot'!AV91)*100</f>
        <v>-1.3927666364700109</v>
      </c>
      <c r="AW91" s="19">
        <f>('[1]Short Spot'!AW92-'[1]Short Spot'!AW91)*100</f>
        <v>-1.4070155597302403</v>
      </c>
      <c r="AX91" s="19">
        <f>('[1]Short Spot'!AX92-'[1]Short Spot'!AX91)*100</f>
        <v>-1.4218579280777632</v>
      </c>
      <c r="AY91" s="19">
        <f>('[1]Short Spot'!AY92-'[1]Short Spot'!AY91)*100</f>
        <v>-1.4372443269477841</v>
      </c>
      <c r="AZ91" s="19">
        <f>('[1]Short Spot'!AZ92-'[1]Short Spot'!AZ91)*100</f>
        <v>-1.4531277575712487</v>
      </c>
      <c r="BA91" s="19">
        <f>('[1]Short Spot'!BA92-'[1]Short Spot'!BA91)*100</f>
        <v>-1.4694625821247698</v>
      </c>
      <c r="BB91" s="19">
        <f>('[1]Short Spot'!BB92-'[1]Short Spot'!BB91)*100</f>
        <v>-1.4862046976067411</v>
      </c>
      <c r="BC91" s="19">
        <f>('[1]Short Spot'!BC92-'[1]Short Spot'!BC91)*100</f>
        <v>-1.5033121818579964</v>
      </c>
      <c r="BD91" s="19">
        <f>('[1]Short Spot'!BD92-'[1]Short Spot'!BD91)*100</f>
        <v>-1.5207451198493871</v>
      </c>
      <c r="BE91" s="19">
        <f>('[1]Short Spot'!BE92-'[1]Short Spot'!BE91)*100</f>
        <v>-1.5384654244734897</v>
      </c>
      <c r="BF91" s="19">
        <f>('[1]Short Spot'!BF92-'[1]Short Spot'!BF91)*100</f>
        <v>-1.5564366762001569</v>
      </c>
      <c r="BG91" s="19">
        <f>('[1]Short Spot'!BG92-'[1]Short Spot'!BG91)*100</f>
        <v>-1.5746239510685989</v>
      </c>
      <c r="BH91" s="19">
        <f>('[1]Short Spot'!BH92-'[1]Short Spot'!BH91)*100</f>
        <v>-1.5929933147005748</v>
      </c>
      <c r="BI91" s="19">
        <f>('[1]Short Spot'!BI92-'[1]Short Spot'!BI91)*100</f>
        <v>-1.6115118950852825</v>
      </c>
    </row>
    <row r="92" spans="1:61" x14ac:dyDescent="0.2">
      <c r="A92" s="18">
        <v>39216</v>
      </c>
      <c r="B92" s="19">
        <f>('[1]Short Spot'!B93-'[1]Short Spot'!B92)*100</f>
        <v>0.9175581947205913</v>
      </c>
      <c r="C92" s="19">
        <f>('[1]Short Spot'!C93-'[1]Short Spot'!C92)*100</f>
        <v>0.43920722748698182</v>
      </c>
      <c r="D92" s="19">
        <f>('[1]Short Spot'!D93-'[1]Short Spot'!D92)*100</f>
        <v>0.56371097840779427</v>
      </c>
      <c r="E92" s="19">
        <f>('[1]Short Spot'!E93-'[1]Short Spot'!E92)*100</f>
        <v>0.80284109809651838</v>
      </c>
      <c r="F92" s="19">
        <f>('[1]Short Spot'!F93-'[1]Short Spot'!F92)*100</f>
        <v>1.0591067009900534</v>
      </c>
      <c r="G92" s="19">
        <f>('[1]Short Spot'!G93-'[1]Short Spot'!G92)*100</f>
        <v>1.3049179516881892</v>
      </c>
      <c r="H92" s="19">
        <f>('[1]Short Spot'!H93-'[1]Short Spot'!H92)*100</f>
        <v>1.5323184449423266</v>
      </c>
      <c r="I92" s="19">
        <f>('[1]Short Spot'!I93-'[1]Short Spot'!I92)*100</f>
        <v>1.7394509747228781</v>
      </c>
      <c r="J92" s="19">
        <f>('[1]Short Spot'!J93-'[1]Short Spot'!J92)*100</f>
        <v>1.926599328310008</v>
      </c>
      <c r="K92" s="19">
        <f>('[1]Short Spot'!K93-'[1]Short Spot'!K92)*100</f>
        <v>2.0948258757091054</v>
      </c>
      <c r="L92" s="19">
        <f>('[1]Short Spot'!L93-'[1]Short Spot'!L92)*100</f>
        <v>2.2457390798660271</v>
      </c>
      <c r="M92" s="19">
        <f>('[1]Short Spot'!M93-'[1]Short Spot'!M92)*100</f>
        <v>2.381440562142334</v>
      </c>
      <c r="N92" s="19">
        <f>('[1]Short Spot'!N93-'[1]Short Spot'!N92)*100</f>
        <v>2.5041706377193051</v>
      </c>
      <c r="O92" s="19">
        <f>('[1]Short Spot'!O93-'[1]Short Spot'!O92)*100</f>
        <v>2.6158355587869941</v>
      </c>
      <c r="P92" s="19">
        <f>('[1]Short Spot'!P93-'[1]Short Spot'!P92)*100</f>
        <v>2.717944294237995</v>
      </c>
      <c r="Q92" s="19">
        <f>('[1]Short Spot'!Q93-'[1]Short Spot'!Q92)*100</f>
        <v>2.8117476413043185</v>
      </c>
      <c r="R92" s="19">
        <f>('[1]Short Spot'!R93-'[1]Short Spot'!R92)*100</f>
        <v>2.8983141626017783</v>
      </c>
      <c r="S92" s="19">
        <f>('[1]Short Spot'!S93-'[1]Short Spot'!S92)*100</f>
        <v>2.9785707616793999</v>
      </c>
      <c r="T92" s="19">
        <f>('[1]Short Spot'!T93-'[1]Short Spot'!T92)*100</f>
        <v>3.0532888627569754</v>
      </c>
      <c r="U92" s="19">
        <f>('[1]Short Spot'!U93-'[1]Short Spot'!U92)*100</f>
        <v>3.1231078441826376</v>
      </c>
      <c r="V92" s="19">
        <f>('[1]Short Spot'!V93-'[1]Short Spot'!V92)*100</f>
        <v>3.188568447569029</v>
      </c>
      <c r="W92" s="19">
        <f>('[1]Short Spot'!W93-'[1]Short Spot'!W92)*100</f>
        <v>3.2501352458250032</v>
      </c>
      <c r="X92" s="19">
        <f>('[1]Short Spot'!X93-'[1]Short Spot'!X92)*100</f>
        <v>3.3082147408655338</v>
      </c>
      <c r="Y92" s="19">
        <f>('[1]Short Spot'!Y93-'[1]Short Spot'!Y92)*100</f>
        <v>3.3631616063172665</v>
      </c>
      <c r="Z92" s="19">
        <f>('[1]Short Spot'!Z93-'[1]Short Spot'!Z92)*100</f>
        <v>3.4152811014101836</v>
      </c>
      <c r="AA92" s="19">
        <f>('[1]Short Spot'!AA93-'[1]Short Spot'!AA92)*100</f>
        <v>3.4648380712084759</v>
      </c>
      <c r="AB92" s="19">
        <f>('[1]Short Spot'!AB93-'[1]Short Spot'!AB92)*100</f>
        <v>3.5120644307148119</v>
      </c>
      <c r="AC92" s="19">
        <f>('[1]Short Spot'!AC93-'[1]Short Spot'!AC92)*100</f>
        <v>3.5571650452392412</v>
      </c>
      <c r="AD92" s="19">
        <f>('[1]Short Spot'!AD93-'[1]Short Spot'!AD92)*100</f>
        <v>3.600322492557595</v>
      </c>
      <c r="AE92" s="19">
        <f>('[1]Short Spot'!AE93-'[1]Short Spot'!AE92)*100</f>
        <v>3.6417013437075596</v>
      </c>
      <c r="AF92" s="19">
        <f>('[1]Short Spot'!AF93-'[1]Short Spot'!AF92)*100</f>
        <v>3.6814506479031728</v>
      </c>
      <c r="AG92" s="19">
        <f>('[1]Short Spot'!AG93-'[1]Short Spot'!AG92)*100</f>
        <v>3.7197057124921606</v>
      </c>
      <c r="AH92" s="19">
        <f>('[1]Short Spot'!AH93-'[1]Short Spot'!AH92)*100</f>
        <v>3.7565877086356281</v>
      </c>
      <c r="AI92" s="19">
        <f>('[1]Short Spot'!AI93-'[1]Short Spot'!AI92)*100</f>
        <v>3.7922040688279424</v>
      </c>
      <c r="AJ92" s="19">
        <f>('[1]Short Spot'!AJ93-'[1]Short Spot'!AJ92)*100</f>
        <v>3.8266503636392279</v>
      </c>
      <c r="AK92" s="19">
        <f>('[1]Short Spot'!AK93-'[1]Short Spot'!AK92)*100</f>
        <v>3.8600119492052443</v>
      </c>
      <c r="AL92" s="19">
        <f>('[1]Short Spot'!AL93-'[1]Short Spot'!AL92)*100</f>
        <v>3.8923653476276243</v>
      </c>
      <c r="AM92" s="19">
        <f>('[1]Short Spot'!AM93-'[1]Short Spot'!AM92)*100</f>
        <v>3.9237795062470049</v>
      </c>
      <c r="AN92" s="19">
        <f>('[1]Short Spot'!AN93-'[1]Short Spot'!AN92)*100</f>
        <v>3.9543168883289681</v>
      </c>
      <c r="AO92" s="19">
        <f>('[1]Short Spot'!AO93-'[1]Short Spot'!AO92)*100</f>
        <v>3.984033954727817</v>
      </c>
      <c r="AP92" s="19">
        <f>('[1]Short Spot'!AP93-'[1]Short Spot'!AP92)*100</f>
        <v>4.0129818333200618</v>
      </c>
      <c r="AQ92" s="19">
        <f>('[1]Short Spot'!AQ93-'[1]Short Spot'!AQ92)*100</f>
        <v>4.0412069538835027</v>
      </c>
      <c r="AR92" s="19">
        <f>('[1]Short Spot'!AR93-'[1]Short Spot'!AR92)*100</f>
        <v>4.0687515956673082</v>
      </c>
      <c r="AS92" s="19">
        <f>('[1]Short Spot'!AS93-'[1]Short Spot'!AS92)*100</f>
        <v>4.0956544900425662</v>
      </c>
      <c r="AT92" s="19">
        <f>('[1]Short Spot'!AT93-'[1]Short Spot'!AT92)*100</f>
        <v>4.1219509343108029</v>
      </c>
      <c r="AU92" s="19">
        <f>('[1]Short Spot'!AU93-'[1]Short Spot'!AU92)*100</f>
        <v>4.1476724629030848</v>
      </c>
      <c r="AV92" s="19">
        <f>('[1]Short Spot'!AV93-'[1]Short Spot'!AV92)*100</f>
        <v>4.1728471787575216</v>
      </c>
      <c r="AW92" s="19">
        <f>('[1]Short Spot'!AW93-'[1]Short Spot'!AW92)*100</f>
        <v>4.1975001107646293</v>
      </c>
      <c r="AX92" s="19">
        <f>('[1]Short Spot'!AX93-'[1]Short Spot'!AX92)*100</f>
        <v>4.2216535274469891</v>
      </c>
      <c r="AY92" s="19">
        <f>('[1]Short Spot'!AY93-'[1]Short Spot'!AY92)*100</f>
        <v>4.2453272129955089</v>
      </c>
      <c r="AZ92" s="19">
        <f>('[1]Short Spot'!AZ93-'[1]Short Spot'!AZ92)*100</f>
        <v>4.2685387353759374</v>
      </c>
      <c r="BA92" s="19">
        <f>('[1]Short Spot'!BA93-'[1]Short Spot'!BA92)*100</f>
        <v>4.2913039316958113</v>
      </c>
      <c r="BB92" s="19">
        <f>('[1]Short Spot'!BB93-'[1]Short Spot'!BB92)*100</f>
        <v>4.3136368997240382</v>
      </c>
      <c r="BC92" s="19">
        <f>('[1]Short Spot'!BC93-'[1]Short Spot'!BC92)*100</f>
        <v>4.3355499175182111</v>
      </c>
      <c r="BD92" s="19">
        <f>('[1]Short Spot'!BD93-'[1]Short Spot'!BD92)*100</f>
        <v>4.357053603956107</v>
      </c>
      <c r="BE92" s="19">
        <f>('[1]Short Spot'!BE93-'[1]Short Spot'!BE92)*100</f>
        <v>4.3781570668764758</v>
      </c>
      <c r="BF92" s="19">
        <f>('[1]Short Spot'!BF93-'[1]Short Spot'!BF92)*100</f>
        <v>4.3988680356259913</v>
      </c>
      <c r="BG92" s="19">
        <f>('[1]Short Spot'!BG93-'[1]Short Spot'!BG92)*100</f>
        <v>4.4191929925052165</v>
      </c>
      <c r="BH92" s="19">
        <f>('[1]Short Spot'!BH93-'[1]Short Spot'!BH92)*100</f>
        <v>4.439137406627669</v>
      </c>
      <c r="BI92" s="19">
        <f>('[1]Short Spot'!BI93-'[1]Short Spot'!BI92)*100</f>
        <v>4.4587057424640975</v>
      </c>
    </row>
    <row r="93" spans="1:61" x14ac:dyDescent="0.2">
      <c r="A93" s="18">
        <v>39217</v>
      </c>
      <c r="B93" s="19">
        <f>('[1]Short Spot'!B94-'[1]Short Spot'!B93)*100</f>
        <v>-0.23810547956637507</v>
      </c>
      <c r="C93" s="19">
        <f>('[1]Short Spot'!C94-'[1]Short Spot'!C93)*100</f>
        <v>-0.41830981825050628</v>
      </c>
      <c r="D93" s="19">
        <f>('[1]Short Spot'!D94-'[1]Short Spot'!D93)*100</f>
        <v>-0.64210530477417649</v>
      </c>
      <c r="E93" s="19">
        <f>('[1]Short Spot'!E94-'[1]Short Spot'!E93)*100</f>
        <v>-0.88465051777797399</v>
      </c>
      <c r="F93" s="19">
        <f>('[1]Short Spot'!F94-'[1]Short Spot'!F93)*100</f>
        <v>-1.119224636857119</v>
      </c>
      <c r="G93" s="19">
        <f>('[1]Short Spot'!G94-'[1]Short Spot'!G93)*100</f>
        <v>-1.3293822423058543</v>
      </c>
      <c r="H93" s="19">
        <f>('[1]Short Spot'!H94-'[1]Short Spot'!H93)*100</f>
        <v>-1.5034447252091354</v>
      </c>
      <c r="I93" s="19">
        <f>('[1]Short Spot'!I94-'[1]Short Spot'!I93)*100</f>
        <v>-1.6387379602167407</v>
      </c>
      <c r="J93" s="19">
        <f>('[1]Short Spot'!J94-'[1]Short Spot'!J93)*100</f>
        <v>-1.7391029257336932</v>
      </c>
      <c r="K93" s="19">
        <f>('[1]Short Spot'!K94-'[1]Short Spot'!K93)*100</f>
        <v>-1.8096559257825717</v>
      </c>
      <c r="L93" s="19">
        <f>('[1]Short Spot'!L94-'[1]Short Spot'!L93)*100</f>
        <v>-1.85649781728916</v>
      </c>
      <c r="M93" s="19">
        <f>('[1]Short Spot'!M94-'[1]Short Spot'!M93)*100</f>
        <v>-1.8844783456682279</v>
      </c>
      <c r="N93" s="19">
        <f>('[1]Short Spot'!N94-'[1]Short Spot'!N93)*100</f>
        <v>-1.8966280107942879</v>
      </c>
      <c r="O93" s="19">
        <f>('[1]Short Spot'!O94-'[1]Short Spot'!O93)*100</f>
        <v>-1.8950991070320278</v>
      </c>
      <c r="P93" s="19">
        <f>('[1]Short Spot'!P94-'[1]Short Spot'!P93)*100</f>
        <v>-1.8817734684339449</v>
      </c>
      <c r="Q93" s="19">
        <f>('[1]Short Spot'!Q94-'[1]Short Spot'!Q93)*100</f>
        <v>-1.8583765034263955</v>
      </c>
      <c r="R93" s="19">
        <f>('[1]Short Spot'!R94-'[1]Short Spot'!R93)*100</f>
        <v>-1.8265232038727319</v>
      </c>
      <c r="S93" s="19">
        <f>('[1]Short Spot'!S94-'[1]Short Spot'!S93)*100</f>
        <v>-1.7877448832926746</v>
      </c>
      <c r="T93" s="19">
        <f>('[1]Short Spot'!T94-'[1]Short Spot'!T93)*100</f>
        <v>-1.7434350734221837</v>
      </c>
      <c r="U93" s="19">
        <f>('[1]Short Spot'!U94-'[1]Short Spot'!U93)*100</f>
        <v>-1.6947942630804569</v>
      </c>
      <c r="V93" s="19">
        <f>('[1]Short Spot'!V94-'[1]Short Spot'!V93)*100</f>
        <v>-1.6428667726719581</v>
      </c>
      <c r="W93" s="19">
        <f>('[1]Short Spot'!W94-'[1]Short Spot'!W93)*100</f>
        <v>-1.5885760818545869</v>
      </c>
      <c r="X93" s="19">
        <f>('[1]Short Spot'!X94-'[1]Short Spot'!X93)*100</f>
        <v>-1.532733155704058</v>
      </c>
      <c r="Y93" s="19">
        <f>('[1]Short Spot'!Y94-'[1]Short Spot'!Y93)*100</f>
        <v>-1.4760024867342736</v>
      </c>
      <c r="Z93" s="19">
        <f>('[1]Short Spot'!Z94-'[1]Short Spot'!Z93)*100</f>
        <v>-1.4189122874749494</v>
      </c>
      <c r="AA93" s="19">
        <f>('[1]Short Spot'!AA94-'[1]Short Spot'!AA93)*100</f>
        <v>-1.3618804972942655</v>
      </c>
      <c r="AB93" s="19">
        <f>('[1]Short Spot'!AB94-'[1]Short Spot'!AB93)*100</f>
        <v>-1.3052352033533055</v>
      </c>
      <c r="AC93" s="19">
        <f>('[1]Short Spot'!AC94-'[1]Short Spot'!AC93)*100</f>
        <v>-1.2492306856441537</v>
      </c>
      <c r="AD93" s="19">
        <f>('[1]Short Spot'!AD94-'[1]Short Spot'!AD93)*100</f>
        <v>-1.1940601294445408</v>
      </c>
      <c r="AE93" s="19">
        <f>('[1]Short Spot'!AE94-'[1]Short Spot'!AE93)*100</f>
        <v>-1.1398668442005544</v>
      </c>
      <c r="AF93" s="19">
        <f>('[1]Short Spot'!AF94-'[1]Short Spot'!AF93)*100</f>
        <v>-1.0867548630315582</v>
      </c>
      <c r="AG93" s="19">
        <f>('[1]Short Spot'!AG94-'[1]Short Spot'!AG93)*100</f>
        <v>-1.0347963574243835</v>
      </c>
      <c r="AH93" s="19">
        <f>('[1]Short Spot'!AH94-'[1]Short Spot'!AH93)*100</f>
        <v>-0.98404119891988273</v>
      </c>
      <c r="AI93" s="19">
        <f>('[1]Short Spot'!AI94-'[1]Short Spot'!AI93)*100</f>
        <v>-0.93452327684522274</v>
      </c>
      <c r="AJ93" s="19">
        <f>('[1]Short Spot'!AJ94-'[1]Short Spot'!AJ93)*100</f>
        <v>-0.88626292493145797</v>
      </c>
      <c r="AK93" s="19">
        <f>('[1]Short Spot'!AK94-'[1]Short Spot'!AK93)*100</f>
        <v>-0.83926880403639714</v>
      </c>
      <c r="AL93" s="19">
        <f>('[1]Short Spot'!AL94-'[1]Short Spot'!AL93)*100</f>
        <v>-0.79353947946305681</v>
      </c>
      <c r="AM93" s="19">
        <f>('[1]Short Spot'!AM94-'[1]Short Spot'!AM93)*100</f>
        <v>-0.74906494411841607</v>
      </c>
      <c r="AN93" s="19">
        <f>('[1]Short Spot'!AN94-'[1]Short Spot'!AN93)*100</f>
        <v>-0.70582975883404231</v>
      </c>
      <c r="AO93" s="19">
        <f>('[1]Short Spot'!AO94-'[1]Short Spot'!AO93)*100</f>
        <v>-0.66381558664350138</v>
      </c>
      <c r="AP93" s="19">
        <f>('[1]Short Spot'!AP94-'[1]Short Spot'!AP93)*100</f>
        <v>-0.62300168893942853</v>
      </c>
      <c r="AQ93" s="19">
        <f>('[1]Short Spot'!AQ94-'[1]Short Spot'!AQ93)*100</f>
        <v>-0.58336521138340203</v>
      </c>
      <c r="AR93" s="19">
        <f>('[1]Short Spot'!AR94-'[1]Short Spot'!AR93)*100</f>
        <v>-0.54488142832100905</v>
      </c>
      <c r="AS93" s="19">
        <f>('[1]Short Spot'!AS94-'[1]Short Spot'!AS93)*100</f>
        <v>-0.50752393837187881</v>
      </c>
      <c r="AT93" s="19">
        <f>('[1]Short Spot'!AT94-'[1]Short Spot'!AT93)*100</f>
        <v>-0.47126574004110466</v>
      </c>
      <c r="AU93" s="19">
        <f>('[1]Short Spot'!AU94-'[1]Short Spot'!AU93)*100</f>
        <v>-0.43608026948609435</v>
      </c>
      <c r="AV93" s="19">
        <f>('[1]Short Spot'!AV94-'[1]Short Spot'!AV93)*100</f>
        <v>-0.40194142313048076</v>
      </c>
      <c r="AW93" s="19">
        <f>('[1]Short Spot'!AW94-'[1]Short Spot'!AW93)*100</f>
        <v>-0.36882350972051725</v>
      </c>
      <c r="AX93" s="19">
        <f>('[1]Short Spot'!AX94-'[1]Short Spot'!AX93)*100</f>
        <v>-0.33670120825064487</v>
      </c>
      <c r="AY93" s="19">
        <f>('[1]Short Spot'!AY94-'[1]Short Spot'!AY93)*100</f>
        <v>-0.30554953093897552</v>
      </c>
      <c r="AZ93" s="19">
        <f>('[1]Short Spot'!AZ94-'[1]Short Spot'!AZ93)*100</f>
        <v>-0.27534376698445939</v>
      </c>
      <c r="BA93" s="19">
        <f>('[1]Short Spot'!BA94-'[1]Short Spot'!BA93)*100</f>
        <v>-0.24605933348222919</v>
      </c>
      <c r="BB93" s="19">
        <f>('[1]Short Spot'!BB94-'[1]Short Spot'!BB93)*100</f>
        <v>-0.21767225598754436</v>
      </c>
      <c r="BC93" s="19">
        <f>('[1]Short Spot'!BC94-'[1]Short Spot'!BC93)*100</f>
        <v>-0.19015940204560877</v>
      </c>
      <c r="BD93" s="19">
        <f>('[1]Short Spot'!BD94-'[1]Short Spot'!BD93)*100</f>
        <v>-0.16349840852871722</v>
      </c>
      <c r="BE93" s="19">
        <f>('[1]Short Spot'!BE94-'[1]Short Spot'!BE93)*100</f>
        <v>-0.13766761294791152</v>
      </c>
      <c r="BF93" s="19">
        <f>('[1]Short Spot'!BF94-'[1]Short Spot'!BF93)*100</f>
        <v>-0.1126459919921885</v>
      </c>
      <c r="BG93" s="19">
        <f>('[1]Short Spot'!BG94-'[1]Short Spot'!BG93)*100</f>
        <v>-8.8413092188233122E-2</v>
      </c>
      <c r="BH93" s="19">
        <f>('[1]Short Spot'!BH94-'[1]Short Spot'!BH93)*100</f>
        <v>-6.4948859325841823E-2</v>
      </c>
      <c r="BI93" s="19">
        <f>('[1]Short Spot'!BI94-'[1]Short Spot'!BI93)*100</f>
        <v>-4.2233703016947288E-2</v>
      </c>
    </row>
    <row r="94" spans="1:61" x14ac:dyDescent="0.2">
      <c r="A94" s="18">
        <v>39218</v>
      </c>
      <c r="B94" s="19">
        <f>('[1]Short Spot'!B95-'[1]Short Spot'!B94)*100</f>
        <v>-0.41103700880640304</v>
      </c>
      <c r="C94" s="19">
        <f>('[1]Short Spot'!C95-'[1]Short Spot'!C94)*100</f>
        <v>-0.41834821079396178</v>
      </c>
      <c r="D94" s="19">
        <f>('[1]Short Spot'!D95-'[1]Short Spot'!D94)*100</f>
        <v>-0.50853457656305778</v>
      </c>
      <c r="E94" s="19">
        <f>('[1]Short Spot'!E95-'[1]Short Spot'!E94)*100</f>
        <v>-0.62654395540624463</v>
      </c>
      <c r="F94" s="19">
        <f>('[1]Short Spot'!F95-'[1]Short Spot'!F94)*100</f>
        <v>-0.73807371753966677</v>
      </c>
      <c r="G94" s="19">
        <f>('[1]Short Spot'!G95-'[1]Short Spot'!G94)*100</f>
        <v>-0.82760853749004326</v>
      </c>
      <c r="H94" s="19">
        <f>('[1]Short Spot'!H95-'[1]Short Spot'!H94)*100</f>
        <v>-0.88648070130101786</v>
      </c>
      <c r="I94" s="19">
        <f>('[1]Short Spot'!I95-'[1]Short Spot'!I94)*100</f>
        <v>-0.91047679458675645</v>
      </c>
      <c r="J94" s="19">
        <f>('[1]Short Spot'!J95-'[1]Short Spot'!J94)*100</f>
        <v>-0.89983215032258812</v>
      </c>
      <c r="K94" s="19">
        <f>('[1]Short Spot'!K95-'[1]Short Spot'!K94)*100</f>
        <v>-0.85785479216538008</v>
      </c>
      <c r="L94" s="19">
        <f>('[1]Short Spot'!L95-'[1]Short Spot'!L94)*100</f>
        <v>-0.78942581740442108</v>
      </c>
      <c r="M94" s="19">
        <f>('[1]Short Spot'!M95-'[1]Short Spot'!M94)*100</f>
        <v>-0.69962055162315906</v>
      </c>
      <c r="N94" s="19">
        <f>('[1]Short Spot'!N95-'[1]Short Spot'!N94)*100</f>
        <v>-0.59322146316391766</v>
      </c>
      <c r="O94" s="19">
        <f>('[1]Short Spot'!O95-'[1]Short Spot'!O94)*100</f>
        <v>-0.47445838153734599</v>
      </c>
      <c r="P94" s="19">
        <f>('[1]Short Spot'!P95-'[1]Short Spot'!P94)*100</f>
        <v>-0.34683057817153085</v>
      </c>
      <c r="Q94" s="19">
        <f>('[1]Short Spot'!Q95-'[1]Short Spot'!Q94)*100</f>
        <v>-0.21330113471424994</v>
      </c>
      <c r="R94" s="19">
        <f>('[1]Short Spot'!R95-'[1]Short Spot'!R94)*100</f>
        <v>-7.6454648471457887E-2</v>
      </c>
      <c r="S94" s="19">
        <f>('[1]Short Spot'!S95-'[1]Short Spot'!S94)*100</f>
        <v>6.1411805726940827E-2</v>
      </c>
      <c r="T94" s="19">
        <f>('[1]Short Spot'!T95-'[1]Short Spot'!T94)*100</f>
        <v>0.19835624762434279</v>
      </c>
      <c r="U94" s="19">
        <f>('[1]Short Spot'!U95-'[1]Short Spot'!U94)*100</f>
        <v>0.33283199725282486</v>
      </c>
      <c r="V94" s="19">
        <f>('[1]Short Spot'!V95-'[1]Short Spot'!V94)*100</f>
        <v>0.46360364670476883</v>
      </c>
      <c r="W94" s="19">
        <f>('[1]Short Spot'!W95-'[1]Short Spot'!W94)*100</f>
        <v>0.58967651301049528</v>
      </c>
      <c r="X94" s="19">
        <f>('[1]Short Spot'!X95-'[1]Short Spot'!X94)*100</f>
        <v>0.71025732715188639</v>
      </c>
      <c r="Y94" s="19">
        <f>('[1]Short Spot'!Y95-'[1]Short Spot'!Y94)*100</f>
        <v>0.82474276720905237</v>
      </c>
      <c r="Z94" s="19">
        <f>('[1]Short Spot'!Z95-'[1]Short Spot'!Z94)*100</f>
        <v>0.93268708398603906</v>
      </c>
      <c r="AA94" s="19">
        <f>('[1]Short Spot'!AA95-'[1]Short Spot'!AA94)*100</f>
        <v>1.0337716293046917</v>
      </c>
      <c r="AB94" s="19">
        <f>('[1]Short Spot'!AB95-'[1]Short Spot'!AB94)*100</f>
        <v>1.127781318777199</v>
      </c>
      <c r="AC94" s="19">
        <f>('[1]Short Spot'!AC95-'[1]Short Spot'!AC94)*100</f>
        <v>1.2145861382729883</v>
      </c>
      <c r="AD94" s="19">
        <f>('[1]Short Spot'!AD95-'[1]Short Spot'!AD94)*100</f>
        <v>1.2941264957784249</v>
      </c>
      <c r="AE94" s="19">
        <f>('[1]Short Spot'!AE95-'[1]Short Spot'!AE94)*100</f>
        <v>1.3664006581977084</v>
      </c>
      <c r="AF94" s="19">
        <f>('[1]Short Spot'!AF95-'[1]Short Spot'!AF94)*100</f>
        <v>1.4314533920593675</v>
      </c>
      <c r="AG94" s="19">
        <f>('[1]Short Spot'!AG95-'[1]Short Spot'!AG94)*100</f>
        <v>1.4893681123587577</v>
      </c>
      <c r="AH94" s="19">
        <f>('[1]Short Spot'!AH95-'[1]Short Spot'!AH94)*100</f>
        <v>1.5402607789264167</v>
      </c>
      <c r="AI94" s="19">
        <f>('[1]Short Spot'!AI95-'[1]Short Spot'!AI94)*100</f>
        <v>1.5842754838613082</v>
      </c>
      <c r="AJ94" s="19">
        <f>('[1]Short Spot'!AJ95-'[1]Short Spot'!AJ94)*100</f>
        <v>1.6215804972335768</v>
      </c>
      <c r="AK94" s="19">
        <f>('[1]Short Spot'!AK95-'[1]Short Spot'!AK94)*100</f>
        <v>1.6523649090335546</v>
      </c>
      <c r="AL94" s="19">
        <f>('[1]Short Spot'!AL95-'[1]Short Spot'!AL94)*100</f>
        <v>1.6768358159767516</v>
      </c>
      <c r="AM94" s="19">
        <f>('[1]Short Spot'!AM95-'[1]Short Spot'!AM94)*100</f>
        <v>1.6952161633646767</v>
      </c>
      <c r="AN94" s="19">
        <f>('[1]Short Spot'!AN95-'[1]Short Spot'!AN94)*100</f>
        <v>1.7077436417752168</v>
      </c>
      <c r="AO94" s="19">
        <f>('[1]Short Spot'!AO95-'[1]Short Spot'!AO94)*100</f>
        <v>1.714669191438567</v>
      </c>
      <c r="AP94" s="19">
        <f>('[1]Short Spot'!AP95-'[1]Short Spot'!AP94)*100</f>
        <v>1.7162553813572679</v>
      </c>
      <c r="AQ94" s="19">
        <f>('[1]Short Spot'!AQ95-'[1]Short Spot'!AQ94)*100</f>
        <v>1.7127750249278151</v>
      </c>
      <c r="AR94" s="19">
        <f>('[1]Short Spot'!AR95-'[1]Short Spot'!AR94)*100</f>
        <v>1.7045101456396594</v>
      </c>
      <c r="AS94" s="19">
        <f>('[1]Short Spot'!AS95-'[1]Short Spot'!AS94)*100</f>
        <v>1.691750510759249</v>
      </c>
      <c r="AT94" s="19">
        <f>('[1]Short Spot'!AT95-'[1]Short Spot'!AT94)*100</f>
        <v>1.6747833564701331</v>
      </c>
      <c r="AU94" s="19">
        <f>('[1]Short Spot'!AU95-'[1]Short Spot'!AU94)*100</f>
        <v>1.6538877979725086</v>
      </c>
      <c r="AV94" s="19">
        <f>('[1]Short Spot'!AV95-'[1]Short Spot'!AV94)*100</f>
        <v>1.6293354721818254</v>
      </c>
      <c r="AW94" s="19">
        <f>('[1]Short Spot'!AW95-'[1]Short Spot'!AW94)*100</f>
        <v>1.6013913167178373</v>
      </c>
      <c r="AX94" s="19">
        <f>('[1]Short Spot'!AX95-'[1]Short Spot'!AX94)*100</f>
        <v>1.5703142535044456</v>
      </c>
      <c r="AY94" s="19">
        <f>('[1]Short Spot'!AY95-'[1]Short Spot'!AY94)*100</f>
        <v>1.53635779034067</v>
      </c>
      <c r="AZ94" s="19">
        <f>('[1]Short Spot'!AZ95-'[1]Short Spot'!AZ94)*100</f>
        <v>1.4997704513679544</v>
      </c>
      <c r="BA94" s="19">
        <f>('[1]Short Spot'!BA95-'[1]Short Spot'!BA94)*100</f>
        <v>1.4607928558863392</v>
      </c>
      <c r="BB94" s="19">
        <f>('[1]Short Spot'!BB95-'[1]Short Spot'!BB94)*100</f>
        <v>1.4196515151355449</v>
      </c>
      <c r="BC94" s="19">
        <f>('[1]Short Spot'!BC95-'[1]Short Spot'!BC94)*100</f>
        <v>1.3765586237962424</v>
      </c>
      <c r="BD94" s="19">
        <f>('[1]Short Spot'!BD95-'[1]Short Spot'!BD94)*100</f>
        <v>1.3317133556839167</v>
      </c>
      <c r="BE94" s="19">
        <f>('[1]Short Spot'!BE95-'[1]Short Spot'!BE94)*100</f>
        <v>1.2853030263269005</v>
      </c>
      <c r="BF94" s="19">
        <f>('[1]Short Spot'!BF95-'[1]Short Spot'!BF94)*100</f>
        <v>1.2375041331657677</v>
      </c>
      <c r="BG94" s="19">
        <f>('[1]Short Spot'!BG95-'[1]Short Spot'!BG94)*100</f>
        <v>1.1884832798064515</v>
      </c>
      <c r="BH94" s="19">
        <f>('[1]Short Spot'!BH95-'[1]Short Spot'!BH94)*100</f>
        <v>1.1383975176912031</v>
      </c>
      <c r="BI94" s="19">
        <f>('[1]Short Spot'!BI95-'[1]Short Spot'!BI94)*100</f>
        <v>1.0873939602702443</v>
      </c>
    </row>
    <row r="95" spans="1:61" x14ac:dyDescent="0.2">
      <c r="A95" s="18">
        <v>39219</v>
      </c>
      <c r="B95" s="19">
        <f>('[1]Short Spot'!B96-'[1]Short Spot'!B95)*100</f>
        <v>0.63779637800314148</v>
      </c>
      <c r="C95" s="19">
        <f>('[1]Short Spot'!C96-'[1]Short Spot'!C95)*100</f>
        <v>0.81463293875359</v>
      </c>
      <c r="D95" s="19">
        <f>('[1]Short Spot'!D96-'[1]Short Spot'!D95)*100</f>
        <v>0.97261930732628343</v>
      </c>
      <c r="E95" s="19">
        <f>('[1]Short Spot'!E96-'[1]Short Spot'!E95)*100</f>
        <v>1.1632612379958829</v>
      </c>
      <c r="F95" s="19">
        <f>('[1]Short Spot'!F96-'[1]Short Spot'!F95)*100</f>
        <v>1.3848478512058726</v>
      </c>
      <c r="G95" s="19">
        <f>('[1]Short Spot'!G96-'[1]Short Spot'!G95)*100</f>
        <v>1.623968936946163</v>
      </c>
      <c r="H95" s="19">
        <f>('[1]Short Spot'!H96-'[1]Short Spot'!H95)*100</f>
        <v>1.8641262034783779</v>
      </c>
      <c r="I95" s="19">
        <f>('[1]Short Spot'!I96-'[1]Short Spot'!I95)*100</f>
        <v>2.0900702702576268</v>
      </c>
      <c r="J95" s="19">
        <f>('[1]Short Spot'!J96-'[1]Short Spot'!J95)*100</f>
        <v>2.2922226824804603</v>
      </c>
      <c r="K95" s="19">
        <f>('[1]Short Spot'!K96-'[1]Short Spot'!K95)*100</f>
        <v>2.4665787929348149</v>
      </c>
      <c r="L95" s="19">
        <f>('[1]Short Spot'!L96-'[1]Short Spot'!L95)*100</f>
        <v>2.6129993420950015</v>
      </c>
      <c r="M95" s="19">
        <f>('[1]Short Spot'!M96-'[1]Short Spot'!M95)*100</f>
        <v>2.7336717667858501</v>
      </c>
      <c r="N95" s="19">
        <f>('[1]Short Spot'!N96-'[1]Short Spot'!N95)*100</f>
        <v>2.831658036905349</v>
      </c>
      <c r="O95" s="19">
        <f>('[1]Short Spot'!O96-'[1]Short Spot'!O95)*100</f>
        <v>2.9104257975546943</v>
      </c>
      <c r="P95" s="19">
        <f>('[1]Short Spot'!P96-'[1]Short Spot'!P95)*100</f>
        <v>2.9730180515993965</v>
      </c>
      <c r="Q95" s="19">
        <f>('[1]Short Spot'!Q96-'[1]Short Spot'!Q95)*100</f>
        <v>3.0220399966076172</v>
      </c>
      <c r="R95" s="19">
        <f>('[1]Short Spot'!R96-'[1]Short Spot'!R95)*100</f>
        <v>3.0597877488686365</v>
      </c>
      <c r="S95" s="19">
        <f>('[1]Short Spot'!S96-'[1]Short Spot'!S95)*100</f>
        <v>3.0883099833706851</v>
      </c>
      <c r="T95" s="19">
        <f>('[1]Short Spot'!T96-'[1]Short Spot'!T95)*100</f>
        <v>3.109329697544716</v>
      </c>
      <c r="U95" s="19">
        <f>('[1]Short Spot'!U96-'[1]Short Spot'!U95)*100</f>
        <v>3.1242410652861707</v>
      </c>
      <c r="V95" s="19">
        <f>('[1]Short Spot'!V96-'[1]Short Spot'!V95)*100</f>
        <v>3.1341843262616464</v>
      </c>
      <c r="W95" s="19">
        <f>('[1]Short Spot'!W96-'[1]Short Spot'!W95)*100</f>
        <v>3.1401036363913448</v>
      </c>
      <c r="X95" s="19">
        <f>('[1]Short Spot'!X96-'[1]Short Spot'!X95)*100</f>
        <v>3.1427902311169653</v>
      </c>
      <c r="Y95" s="19">
        <f>('[1]Short Spot'!Y96-'[1]Short Spot'!Y95)*100</f>
        <v>3.1428981376426357</v>
      </c>
      <c r="Z95" s="19">
        <f>('[1]Short Spot'!Z96-'[1]Short Spot'!Z95)*100</f>
        <v>3.140959179823799</v>
      </c>
      <c r="AA95" s="19">
        <f>('[1]Short Spot'!AA96-'[1]Short Spot'!AA95)*100</f>
        <v>3.1374059960530332</v>
      </c>
      <c r="AB95" s="19">
        <f>('[1]Short Spot'!AB96-'[1]Short Spot'!AB95)*100</f>
        <v>3.1325904069382737</v>
      </c>
      <c r="AC95" s="19">
        <f>('[1]Short Spot'!AC96-'[1]Short Spot'!AC95)*100</f>
        <v>3.1267978470512325</v>
      </c>
      <c r="AD95" s="19">
        <f>('[1]Short Spot'!AD96-'[1]Short Spot'!AD95)*100</f>
        <v>3.1202588526062058</v>
      </c>
      <c r="AE95" s="19">
        <f>('[1]Short Spot'!AE96-'[1]Short Spot'!AE95)*100</f>
        <v>3.1131577694083035</v>
      </c>
      <c r="AF95" s="19">
        <f>('[1]Short Spot'!AF96-'[1]Short Spot'!AF95)*100</f>
        <v>3.1056388241838206</v>
      </c>
      <c r="AG95" s="19">
        <f>('[1]Short Spot'!AG96-'[1]Short Spot'!AG95)*100</f>
        <v>3.0978126507151593</v>
      </c>
      <c r="AH95" s="19">
        <f>('[1]Short Spot'!AH96-'[1]Short Spot'!AH95)*100</f>
        <v>3.0897655458722362</v>
      </c>
      <c r="AI95" s="19">
        <f>('[1]Short Spot'!AI96-'[1]Short Spot'!AI95)*100</f>
        <v>3.0815661242029613</v>
      </c>
      <c r="AJ95" s="19">
        <f>('[1]Short Spot'!AJ96-'[1]Short Spot'!AJ95)*100</f>
        <v>3.0732680246139843</v>
      </c>
      <c r="AK95" s="19">
        <f>('[1]Short Spot'!AK96-'[1]Short Spot'!AK95)*100</f>
        <v>3.064911990319974</v>
      </c>
      <c r="AL95" s="19">
        <f>('[1]Short Spot'!AL96-'[1]Short Spot'!AL95)*100</f>
        <v>3.0565276123147633</v>
      </c>
      <c r="AM95" s="19">
        <f>('[1]Short Spot'!AM96-'[1]Short Spot'!AM95)*100</f>
        <v>3.0481352531135819</v>
      </c>
      <c r="AN95" s="19">
        <f>('[1]Short Spot'!AN96-'[1]Short Spot'!AN95)*100</f>
        <v>3.0397494498232369</v>
      </c>
      <c r="AO95" s="19">
        <f>('[1]Short Spot'!AO96-'[1]Short Spot'!AO95)*100</f>
        <v>3.0313807206646004</v>
      </c>
      <c r="AP95" s="19">
        <f>('[1]Short Spot'!AP96-'[1]Short Spot'!AP95)*100</f>
        <v>3.0230360813928492</v>
      </c>
      <c r="AQ95" s="19">
        <f>('[1]Short Spot'!AQ96-'[1]Short Spot'!AQ95)*100</f>
        <v>3.01471946225913</v>
      </c>
      <c r="AR95" s="19">
        <f>('[1]Short Spot'!AR96-'[1]Short Spot'!AR95)*100</f>
        <v>3.0064321686736228</v>
      </c>
      <c r="AS95" s="19">
        <f>('[1]Short Spot'!AS96-'[1]Short Spot'!AS95)*100</f>
        <v>2.9981740207450258</v>
      </c>
      <c r="AT95" s="19">
        <f>('[1]Short Spot'!AT96-'[1]Short Spot'!AT95)*100</f>
        <v>2.9899441678208127</v>
      </c>
      <c r="AU95" s="19">
        <f>('[1]Short Spot'!AU96-'[1]Short Spot'!AU95)*100</f>
        <v>2.981741200088095</v>
      </c>
      <c r="AV95" s="19">
        <f>('[1]Short Spot'!AV96-'[1]Short Spot'!AV95)*100</f>
        <v>2.9735632080571506</v>
      </c>
      <c r="AW95" s="19">
        <f>('[1]Short Spot'!AW96-'[1]Short Spot'!AW95)*100</f>
        <v>2.9654078346119661</v>
      </c>
      <c r="AX95" s="19">
        <f>('[1]Short Spot'!AX96-'[1]Short Spot'!AX95)*100</f>
        <v>2.9572723206864993</v>
      </c>
      <c r="AY95" s="19">
        <f>('[1]Short Spot'!AY96-'[1]Short Spot'!AY95)*100</f>
        <v>2.949153545458838</v>
      </c>
      <c r="AZ95" s="19">
        <f>('[1]Short Spot'!AZ96-'[1]Short Spot'!AZ95)*100</f>
        <v>2.9410480825562857</v>
      </c>
      <c r="BA95" s="19">
        <f>('[1]Short Spot'!BA96-'[1]Short Spot'!BA95)*100</f>
        <v>2.9329525529031564</v>
      </c>
      <c r="BB95" s="19">
        <f>('[1]Short Spot'!BB96-'[1]Short Spot'!BB95)*100</f>
        <v>2.9248639689144262</v>
      </c>
      <c r="BC95" s="19">
        <f>('[1]Short Spot'!BC96-'[1]Short Spot'!BC95)*100</f>
        <v>2.9167797149225905</v>
      </c>
      <c r="BD95" s="19">
        <f>('[1]Short Spot'!BD96-'[1]Short Spot'!BD95)*100</f>
        <v>2.9086975129445136</v>
      </c>
      <c r="BE95" s="19">
        <f>('[1]Short Spot'!BE96-'[1]Short Spot'!BE95)*100</f>
        <v>2.900615392530792</v>
      </c>
      <c r="BF95" s="19">
        <f>('[1]Short Spot'!BF96-'[1]Short Spot'!BF95)*100</f>
        <v>2.8925316637903542</v>
      </c>
      <c r="BG95" s="19">
        <f>('[1]Short Spot'!BG96-'[1]Short Spot'!BG95)*100</f>
        <v>2.8844449099410419</v>
      </c>
      <c r="BH95" s="19">
        <f>('[1]Short Spot'!BH96-'[1]Short Spot'!BH95)*100</f>
        <v>2.8763541197261766</v>
      </c>
      <c r="BI95" s="19">
        <f>('[1]Short Spot'!BI96-'[1]Short Spot'!BI95)*100</f>
        <v>2.8682586700592871</v>
      </c>
    </row>
    <row r="96" spans="1:61" x14ac:dyDescent="0.2">
      <c r="A96" s="18">
        <v>39220</v>
      </c>
      <c r="B96" s="19">
        <f>('[1]Short Spot'!B97-'[1]Short Spot'!B96)*100</f>
        <v>-0.26064129528560187</v>
      </c>
      <c r="C96" s="19">
        <f>('[1]Short Spot'!C97-'[1]Short Spot'!C96)*100</f>
        <v>-0.24942609145988115</v>
      </c>
      <c r="D96" s="19">
        <f>('[1]Short Spot'!D97-'[1]Short Spot'!D96)*100</f>
        <v>-0.34508533012802545</v>
      </c>
      <c r="E96" s="19">
        <f>('[1]Short Spot'!E97-'[1]Short Spot'!E96)*100</f>
        <v>-0.42554806832200143</v>
      </c>
      <c r="F96" s="19">
        <f>('[1]Short Spot'!F97-'[1]Short Spot'!F96)*100</f>
        <v>-0.46878189485859423</v>
      </c>
      <c r="G96" s="19">
        <f>('[1]Short Spot'!G97-'[1]Short Spot'!G96)*100</f>
        <v>-0.47918654532015381</v>
      </c>
      <c r="H96" s="19">
        <f>('[1]Short Spot'!H97-'[1]Short Spot'!H96)*100</f>
        <v>-0.4695076754805072</v>
      </c>
      <c r="I96" s="19">
        <f>('[1]Short Spot'!I97-'[1]Short Spot'!I96)*100</f>
        <v>-0.45070283815418222</v>
      </c>
      <c r="J96" s="19">
        <f>('[1]Short Spot'!J97-'[1]Short Spot'!J96)*100</f>
        <v>-0.42838100931597012</v>
      </c>
      <c r="K96" s="19">
        <f>('[1]Short Spot'!K97-'[1]Short Spot'!K96)*100</f>
        <v>-0.40680482689134934</v>
      </c>
      <c r="L96" s="19">
        <f>('[1]Short Spot'!L97-'[1]Short Spot'!L96)*100</f>
        <v>-0.38699861944104796</v>
      </c>
      <c r="M96" s="19">
        <f>('[1]Short Spot'!M97-'[1]Short Spot'!M96)*100</f>
        <v>-0.3681704885482695</v>
      </c>
      <c r="N96" s="19">
        <f>('[1]Short Spot'!N97-'[1]Short Spot'!N96)*100</f>
        <v>-0.34989589942675536</v>
      </c>
      <c r="O96" s="19">
        <f>('[1]Short Spot'!O97-'[1]Short Spot'!O96)*100</f>
        <v>-0.33211604765774894</v>
      </c>
      <c r="P96" s="19">
        <f>('[1]Short Spot'!P97-'[1]Short Spot'!P96)*100</f>
        <v>-0.31480998731403531</v>
      </c>
      <c r="Q96" s="19">
        <f>('[1]Short Spot'!Q97-'[1]Short Spot'!Q96)*100</f>
        <v>-0.29791972246746568</v>
      </c>
      <c r="R96" s="19">
        <f>('[1]Short Spot'!R97-'[1]Short Spot'!R96)*100</f>
        <v>-0.2813612043834901</v>
      </c>
      <c r="S96" s="19">
        <f>('[1]Short Spot'!S97-'[1]Short Spot'!S96)*100</f>
        <v>-0.26505795750129124</v>
      </c>
      <c r="T96" s="19">
        <f>('[1]Short Spot'!T97-'[1]Short Spot'!T96)*100</f>
        <v>-0.24898356752673934</v>
      </c>
      <c r="U96" s="19">
        <f>('[1]Short Spot'!U97-'[1]Short Spot'!U96)*100</f>
        <v>-0.23311782732218234</v>
      </c>
      <c r="V96" s="19">
        <f>('[1]Short Spot'!V97-'[1]Short Spot'!V96)*100</f>
        <v>-0.21743945138048559</v>
      </c>
      <c r="W96" s="19">
        <f>('[1]Short Spot'!W97-'[1]Short Spot'!W96)*100</f>
        <v>-0.20192551006763537</v>
      </c>
      <c r="X96" s="19">
        <f>('[1]Short Spot'!X97-'[1]Short Spot'!X96)*100</f>
        <v>-0.18653463281639304</v>
      </c>
      <c r="Y96" s="19">
        <f>('[1]Short Spot'!Y97-'[1]Short Spot'!Y96)*100</f>
        <v>-0.1712113858268971</v>
      </c>
      <c r="Z96" s="19">
        <f>('[1]Short Spot'!Z97-'[1]Short Spot'!Z96)*100</f>
        <v>-0.1559055579313906</v>
      </c>
      <c r="AA96" s="19">
        <f>('[1]Short Spot'!AA97-'[1]Short Spot'!AA96)*100</f>
        <v>-0.1405718951787982</v>
      </c>
      <c r="AB96" s="19">
        <f>('[1]Short Spot'!AB97-'[1]Short Spot'!AB96)*100</f>
        <v>-0.12516918283003164</v>
      </c>
      <c r="AC96" s="19">
        <f>('[1]Short Spot'!AC97-'[1]Short Spot'!AC96)*100</f>
        <v>-0.10965952407264723</v>
      </c>
      <c r="AD96" s="19">
        <f>('[1]Short Spot'!AD97-'[1]Short Spot'!AD96)*100</f>
        <v>-9.4007712075594441E-2</v>
      </c>
      <c r="AE96" s="19">
        <f>('[1]Short Spot'!AE97-'[1]Short Spot'!AE96)*100</f>
        <v>-7.8182723080555405E-2</v>
      </c>
      <c r="AF96" s="19">
        <f>('[1]Short Spot'!AF97-'[1]Short Spot'!AF96)*100</f>
        <v>-6.2161018477180363E-2</v>
      </c>
      <c r="AG96" s="19">
        <f>('[1]Short Spot'!AG97-'[1]Short Spot'!AG96)*100</f>
        <v>-4.5926381376126812E-2</v>
      </c>
      <c r="AH96" s="19">
        <f>('[1]Short Spot'!AH97-'[1]Short Spot'!AH96)*100</f>
        <v>-2.9468993621506456E-2</v>
      </c>
      <c r="AI96" s="19">
        <f>('[1]Short Spot'!AI97-'[1]Short Spot'!AI96)*100</f>
        <v>-1.2783749608580308E-2</v>
      </c>
      <c r="AJ96" s="19">
        <f>('[1]Short Spot'!AJ97-'[1]Short Spot'!AJ96)*100</f>
        <v>4.1305006531544564E-3</v>
      </c>
      <c r="AK96" s="19">
        <f>('[1]Short Spot'!AK97-'[1]Short Spot'!AK96)*100</f>
        <v>2.1271500931518972E-2</v>
      </c>
      <c r="AL96" s="19">
        <f>('[1]Short Spot'!AL97-'[1]Short Spot'!AL96)*100</f>
        <v>3.8634054083797054E-2</v>
      </c>
      <c r="AM96" s="19">
        <f>('[1]Short Spot'!AM97-'[1]Short Spot'!AM96)*100</f>
        <v>5.6210962135505582E-2</v>
      </c>
      <c r="AN96" s="19">
        <f>('[1]Short Spot'!AN97-'[1]Short Spot'!AN96)*100</f>
        <v>7.3993953143336455E-2</v>
      </c>
      <c r="AO96" s="19">
        <f>('[1]Short Spot'!AO97-'[1]Short Spot'!AO96)*100</f>
        <v>9.1973111998111534E-2</v>
      </c>
      <c r="AP96" s="19">
        <f>('[1]Short Spot'!AP97-'[1]Short Spot'!AP96)*100</f>
        <v>0.11013698368582681</v>
      </c>
      <c r="AQ96" s="19">
        <f>('[1]Short Spot'!AQ97-'[1]Short Spot'!AQ96)*100</f>
        <v>0.12847275668788072</v>
      </c>
      <c r="AR96" s="19">
        <f>('[1]Short Spot'!AR97-'[1]Short Spot'!AR96)*100</f>
        <v>0.14696659487976049</v>
      </c>
      <c r="AS96" s="19">
        <f>('[1]Short Spot'!AS97-'[1]Short Spot'!AS96)*100</f>
        <v>0.16560443649655809</v>
      </c>
      <c r="AT96" s="19">
        <f>('[1]Short Spot'!AT97-'[1]Short Spot'!AT96)*100</f>
        <v>0.18437207031718472</v>
      </c>
      <c r="AU96" s="19">
        <f>('[1]Short Spot'!AU97-'[1]Short Spot'!AU96)*100</f>
        <v>0.20325510558683035</v>
      </c>
      <c r="AV96" s="19">
        <f>('[1]Short Spot'!AV97-'[1]Short Spot'!AV96)*100</f>
        <v>0.22223899111750711</v>
      </c>
      <c r="AW96" s="19">
        <f>('[1]Short Spot'!AW97-'[1]Short Spot'!AW96)*100</f>
        <v>0.24130903199850451</v>
      </c>
      <c r="AX96" s="19">
        <f>('[1]Short Spot'!AX97-'[1]Short Spot'!AX96)*100</f>
        <v>0.26045040426261323</v>
      </c>
      <c r="AY96" s="19">
        <f>('[1]Short Spot'!AY97-'[1]Short Spot'!AY96)*100</f>
        <v>0.27964816779224577</v>
      </c>
      <c r="AZ96" s="19">
        <f>('[1]Short Spot'!AZ97-'[1]Short Spot'!AZ96)*100</f>
        <v>0.29888733612599694</v>
      </c>
      <c r="BA96" s="19">
        <f>('[1]Short Spot'!BA97-'[1]Short Spot'!BA96)*100</f>
        <v>0.31815334001983331</v>
      </c>
      <c r="BB96" s="19">
        <f>('[1]Short Spot'!BB97-'[1]Short Spot'!BB96)*100</f>
        <v>0.33743198332043534</v>
      </c>
      <c r="BC96" s="19">
        <f>('[1]Short Spot'!BC97-'[1]Short Spot'!BC96)*100</f>
        <v>0.35670927446780354</v>
      </c>
      <c r="BD96" s="19">
        <f>('[1]Short Spot'!BD97-'[1]Short Spot'!BD96)*100</f>
        <v>0.37597140706866483</v>
      </c>
      <c r="BE96" s="19">
        <f>('[1]Short Spot'!BE97-'[1]Short Spot'!BE96)*100</f>
        <v>0.39520474336312006</v>
      </c>
      <c r="BF96" s="19">
        <f>('[1]Short Spot'!BF97-'[1]Short Spot'!BF96)*100</f>
        <v>0.41439579943265414</v>
      </c>
      <c r="BG96" s="19">
        <f>('[1]Short Spot'!BG97-'[1]Short Spot'!BG96)*100</f>
        <v>0.43353129345584662</v>
      </c>
      <c r="BH96" s="19">
        <f>('[1]Short Spot'!BH97-'[1]Short Spot'!BH96)*100</f>
        <v>0.45259852318331184</v>
      </c>
      <c r="BI96" s="19">
        <f>('[1]Short Spot'!BI97-'[1]Short Spot'!BI96)*100</f>
        <v>0.47158517448275816</v>
      </c>
    </row>
    <row r="97" spans="1:61" x14ac:dyDescent="0.2">
      <c r="A97" s="18">
        <v>39223</v>
      </c>
      <c r="B97" s="19">
        <f>('[1]Short Spot'!B98-'[1]Short Spot'!B97)*100</f>
        <v>0.17529081986431549</v>
      </c>
      <c r="C97" s="19">
        <f>('[1]Short Spot'!C98-'[1]Short Spot'!C97)*100</f>
        <v>0.37429837625184703</v>
      </c>
      <c r="D97" s="19">
        <f>('[1]Short Spot'!D98-'[1]Short Spot'!D97)*100</f>
        <v>0.65408939965774238</v>
      </c>
      <c r="E97" s="19">
        <f>('[1]Short Spot'!E98-'[1]Short Spot'!E97)*100</f>
        <v>0.90579669170898214</v>
      </c>
      <c r="F97" s="19">
        <f>('[1]Short Spot'!F98-'[1]Short Spot'!F97)*100</f>
        <v>1.1023117461078868</v>
      </c>
      <c r="G97" s="19">
        <f>('[1]Short Spot'!G98-'[1]Short Spot'!G97)*100</f>
        <v>1.2459788794044968</v>
      </c>
      <c r="H97" s="19">
        <f>('[1]Short Spot'!H98-'[1]Short Spot'!H97)*100</f>
        <v>1.3488127246171544</v>
      </c>
      <c r="I97" s="19">
        <f>('[1]Short Spot'!I98-'[1]Short Spot'!I97)*100</f>
        <v>1.4253933270406804</v>
      </c>
      <c r="J97" s="19">
        <f>('[1]Short Spot'!J98-'[1]Short Spot'!J97)*100</f>
        <v>1.4856282567650148</v>
      </c>
      <c r="K97" s="19">
        <f>('[1]Short Spot'!K98-'[1]Short Spot'!K97)*100</f>
        <v>1.5342007669004509</v>
      </c>
      <c r="L97" s="19">
        <f>('[1]Short Spot'!L98-'[1]Short Spot'!L97)*100</f>
        <v>1.5737125115721007</v>
      </c>
      <c r="M97" s="19">
        <f>('[1]Short Spot'!M98-'[1]Short Spot'!M97)*100</f>
        <v>1.6063042719801857</v>
      </c>
      <c r="N97" s="19">
        <f>('[1]Short Spot'!N98-'[1]Short Spot'!N97)*100</f>
        <v>1.6337448384227571</v>
      </c>
      <c r="O97" s="19">
        <f>('[1]Short Spot'!O98-'[1]Short Spot'!O97)*100</f>
        <v>1.6572354410083534</v>
      </c>
      <c r="P97" s="19">
        <f>('[1]Short Spot'!P98-'[1]Short Spot'!P97)*100</f>
        <v>1.6775532599428544</v>
      </c>
      <c r="Q97" s="19">
        <f>('[1]Short Spot'!Q98-'[1]Short Spot'!Q97)*100</f>
        <v>1.6952166167633287</v>
      </c>
      <c r="R97" s="19">
        <f>('[1]Short Spot'!R98-'[1]Short Spot'!R97)*100</f>
        <v>1.7105610363278956</v>
      </c>
      <c r="S97" s="19">
        <f>('[1]Short Spot'!S98-'[1]Short Spot'!S97)*100</f>
        <v>1.7237864795427882</v>
      </c>
      <c r="T97" s="19">
        <f>('[1]Short Spot'!T98-'[1]Short Spot'!T97)*100</f>
        <v>1.7350129874851739</v>
      </c>
      <c r="U97" s="19">
        <f>('[1]Short Spot'!U98-'[1]Short Spot'!U97)*100</f>
        <v>1.7443289330858036</v>
      </c>
      <c r="V97" s="19">
        <f>('[1]Short Spot'!V98-'[1]Short Spot'!V97)*100</f>
        <v>1.751800707091089</v>
      </c>
      <c r="W97" s="19">
        <f>('[1]Short Spot'!W98-'[1]Short Spot'!W97)*100</f>
        <v>1.7574782482475904</v>
      </c>
      <c r="X97" s="19">
        <f>('[1]Short Spot'!X98-'[1]Short Spot'!X97)*100</f>
        <v>1.7614118719857075</v>
      </c>
      <c r="Y97" s="19">
        <f>('[1]Short Spot'!Y98-'[1]Short Spot'!Y97)*100</f>
        <v>1.7636684837628813</v>
      </c>
      <c r="Z97" s="19">
        <f>('[1]Short Spot'!Z98-'[1]Short Spot'!Z97)*100</f>
        <v>1.7643278250374372</v>
      </c>
      <c r="AA97" s="19">
        <f>('[1]Short Spot'!AA98-'[1]Short Spot'!AA97)*100</f>
        <v>1.7634798802860452</v>
      </c>
      <c r="AB97" s="19">
        <f>('[1]Short Spot'!AB98-'[1]Short Spot'!AB97)*100</f>
        <v>1.761222980146826</v>
      </c>
      <c r="AC97" s="19">
        <f>('[1]Short Spot'!AC98-'[1]Short Spot'!AC97)*100</f>
        <v>1.7576623110370448</v>
      </c>
      <c r="AD97" s="19">
        <f>('[1]Short Spot'!AD98-'[1]Short Spot'!AD97)*100</f>
        <v>1.7529082442019117</v>
      </c>
      <c r="AE97" s="19">
        <f>('[1]Short Spot'!AE98-'[1]Short Spot'!AE97)*100</f>
        <v>1.7470703134772947</v>
      </c>
      <c r="AF97" s="19">
        <f>('[1]Short Spot'!AF98-'[1]Short Spot'!AF97)*100</f>
        <v>1.7402524054562107</v>
      </c>
      <c r="AG97" s="19">
        <f>('[1]Short Spot'!AG98-'[1]Short Spot'!AG97)*100</f>
        <v>1.7325525490744731</v>
      </c>
      <c r="AH97" s="19">
        <f>('[1]Short Spot'!AH98-'[1]Short Spot'!AH97)*100</f>
        <v>1.7240615069389342</v>
      </c>
      <c r="AI97" s="19">
        <f>('[1]Short Spot'!AI98-'[1]Short Spot'!AI97)*100</f>
        <v>1.7148630368837736</v>
      </c>
      <c r="AJ97" s="19">
        <f>('[1]Short Spot'!AJ98-'[1]Short Spot'!AJ97)*100</f>
        <v>1.7050348843875796</v>
      </c>
      <c r="AK97" s="19">
        <f>('[1]Short Spot'!AK98-'[1]Short Spot'!AK97)*100</f>
        <v>1.6946496176220016</v>
      </c>
      <c r="AL97" s="19">
        <f>('[1]Short Spot'!AL98-'[1]Short Spot'!AL97)*100</f>
        <v>1.6837753283136081</v>
      </c>
      <c r="AM97" s="19">
        <f>('[1]Short Spot'!AM98-'[1]Short Spot'!AM97)*100</f>
        <v>1.6724759692011482</v>
      </c>
      <c r="AN97" s="19">
        <f>('[1]Short Spot'!AN98-'[1]Short Spot'!AN97)*100</f>
        <v>1.6608100736129394</v>
      </c>
      <c r="AO97" s="19">
        <f>('[1]Short Spot'!AO98-'[1]Short Spot'!AO97)*100</f>
        <v>1.6488302713183245</v>
      </c>
      <c r="AP97" s="19">
        <f>('[1]Short Spot'!AP98-'[1]Short Spot'!AP97)*100</f>
        <v>1.6365839578415198</v>
      </c>
      <c r="AQ97" s="19">
        <f>('[1]Short Spot'!AQ98-'[1]Short Spot'!AQ97)*100</f>
        <v>1.6241139176844221</v>
      </c>
      <c r="AR97" s="19">
        <f>('[1]Short Spot'!AR98-'[1]Short Spot'!AR97)*100</f>
        <v>1.6114588717094591</v>
      </c>
      <c r="AS97" s="19">
        <f>('[1]Short Spot'!AS98-'[1]Short Spot'!AS97)*100</f>
        <v>1.5986537408121393</v>
      </c>
      <c r="AT97" s="19">
        <f>('[1]Short Spot'!AT98-'[1]Short Spot'!AT97)*100</f>
        <v>1.5857297676562965</v>
      </c>
      <c r="AU97" s="19">
        <f>('[1]Short Spot'!AU98-'[1]Short Spot'!AU97)*100</f>
        <v>1.5727148858671214</v>
      </c>
      <c r="AV97" s="19">
        <f>('[1]Short Spot'!AV98-'[1]Short Spot'!AV97)*100</f>
        <v>1.5596340720565927</v>
      </c>
      <c r="AW97" s="19">
        <f>('[1]Short Spot'!AW98-'[1]Short Spot'!AW97)*100</f>
        <v>1.5465096538452627</v>
      </c>
      <c r="AX97" s="19">
        <f>('[1]Short Spot'!AX98-'[1]Short Spot'!AX97)*100</f>
        <v>1.5333615801679912</v>
      </c>
      <c r="AY97" s="19">
        <f>('[1]Short Spot'!AY98-'[1]Short Spot'!AY97)*100</f>
        <v>1.5202076591417146</v>
      </c>
      <c r="AZ97" s="19">
        <f>('[1]Short Spot'!AZ98-'[1]Short Spot'!AZ97)*100</f>
        <v>1.5070637890842065</v>
      </c>
      <c r="BA97" s="19">
        <f>('[1]Short Spot'!BA98-'[1]Short Spot'!BA97)*100</f>
        <v>1.4939442316906693</v>
      </c>
      <c r="BB97" s="19">
        <f>('[1]Short Spot'!BB98-'[1]Short Spot'!BB97)*100</f>
        <v>1.4808616544261355</v>
      </c>
      <c r="BC97" s="19">
        <f>('[1]Short Spot'!BC98-'[1]Short Spot'!BC97)*100</f>
        <v>1.4678272257162561</v>
      </c>
      <c r="BD97" s="19">
        <f>('[1]Short Spot'!BD98-'[1]Short Spot'!BD97)*100</f>
        <v>1.4548507511345399</v>
      </c>
      <c r="BE97" s="19">
        <f>('[1]Short Spot'!BE98-'[1]Short Spot'!BE97)*100</f>
        <v>1.4419407950862606</v>
      </c>
      <c r="BF97" s="19">
        <f>('[1]Short Spot'!BF98-'[1]Short Spot'!BF97)*100</f>
        <v>1.4291047896827003</v>
      </c>
      <c r="BG97" s="19">
        <f>('[1]Short Spot'!BG98-'[1]Short Spot'!BG97)*100</f>
        <v>1.416349155046781</v>
      </c>
      <c r="BH97" s="19">
        <f>('[1]Short Spot'!BH98-'[1]Short Spot'!BH97)*100</f>
        <v>1.4036794684444409</v>
      </c>
      <c r="BI97" s="19">
        <f>('[1]Short Spot'!BI98-'[1]Short Spot'!BI97)*100</f>
        <v>1.3911004108076774</v>
      </c>
    </row>
    <row r="98" spans="1:61" x14ac:dyDescent="0.2">
      <c r="A98" s="18">
        <v>39224</v>
      </c>
      <c r="B98" s="19">
        <f>('[1]Short Spot'!B99-'[1]Short Spot'!B98)*100</f>
        <v>0.62106371235648439</v>
      </c>
      <c r="C98" s="19">
        <f>('[1]Short Spot'!C99-'[1]Short Spot'!C98)*100</f>
        <v>0.60297862436495819</v>
      </c>
      <c r="D98" s="19">
        <f>('[1]Short Spot'!D99-'[1]Short Spot'!D98)*100</f>
        <v>0.7182492606852442</v>
      </c>
      <c r="E98" s="19">
        <f>('[1]Short Spot'!E99-'[1]Short Spot'!E98)*100</f>
        <v>0.83295333996353804</v>
      </c>
      <c r="F98" s="19">
        <f>('[1]Short Spot'!F99-'[1]Short Spot'!F98)*100</f>
        <v>0.92593812730656921</v>
      </c>
      <c r="G98" s="19">
        <f>('[1]Short Spot'!G99-'[1]Short Spot'!G98)*100</f>
        <v>0.99469655080843822</v>
      </c>
      <c r="H98" s="19">
        <f>('[1]Short Spot'!H99-'[1]Short Spot'!H98)*100</f>
        <v>1.0422201831381095</v>
      </c>
      <c r="I98" s="19">
        <f>('[1]Short Spot'!I99-'[1]Short Spot'!I98)*100</f>
        <v>1.0747138222351182</v>
      </c>
      <c r="J98" s="19">
        <f>('[1]Short Spot'!J99-'[1]Short Spot'!J98)*100</f>
        <v>1.097129127323182</v>
      </c>
      <c r="K98" s="19">
        <f>('[1]Short Spot'!K99-'[1]Short Spot'!K98)*100</f>
        <v>1.1123156025695025</v>
      </c>
      <c r="L98" s="19">
        <f>('[1]Short Spot'!L99-'[1]Short Spot'!L98)*100</f>
        <v>1.1234973500251044</v>
      </c>
      <c r="M98" s="19">
        <f>('[1]Short Spot'!M99-'[1]Short Spot'!M98)*100</f>
        <v>1.1331383937544182</v>
      </c>
      <c r="N98" s="19">
        <f>('[1]Short Spot'!N99-'[1]Short Spot'!N98)*100</f>
        <v>1.1423480090681615</v>
      </c>
      <c r="O98" s="19">
        <f>('[1]Short Spot'!O99-'[1]Short Spot'!O98)*100</f>
        <v>1.151528647932043</v>
      </c>
      <c r="P98" s="19">
        <f>('[1]Short Spot'!P99-'[1]Short Spot'!P98)*100</f>
        <v>1.1607882304093486</v>
      </c>
      <c r="Q98" s="19">
        <f>('[1]Short Spot'!Q99-'[1]Short Spot'!Q98)*100</f>
        <v>1.170048740806795</v>
      </c>
      <c r="R98" s="19">
        <f>('[1]Short Spot'!R99-'[1]Short Spot'!R98)*100</f>
        <v>1.1791008561293559</v>
      </c>
      <c r="S98" s="19">
        <f>('[1]Short Spot'!S99-'[1]Short Spot'!S98)*100</f>
        <v>1.1876500499045761</v>
      </c>
      <c r="T98" s="19">
        <f>('[1]Short Spot'!T99-'[1]Short Spot'!T98)*100</f>
        <v>1.1954176042717535</v>
      </c>
      <c r="U98" s="19">
        <f>('[1]Short Spot'!U99-'[1]Short Spot'!U98)*100</f>
        <v>1.2021904732929301</v>
      </c>
      <c r="V98" s="19">
        <f>('[1]Short Spot'!V99-'[1]Short Spot'!V98)*100</f>
        <v>1.2078082484453745</v>
      </c>
      <c r="W98" s="19">
        <f>('[1]Short Spot'!W99-'[1]Short Spot'!W98)*100</f>
        <v>1.2121517285615724</v>
      </c>
      <c r="X98" s="19">
        <f>('[1]Short Spot'!X99-'[1]Short Spot'!X98)*100</f>
        <v>1.2151423111039783</v>
      </c>
      <c r="Y98" s="19">
        <f>('[1]Short Spot'!Y99-'[1]Short Spot'!Y98)*100</f>
        <v>1.2167354094910543</v>
      </c>
      <c r="Z98" s="19">
        <f>('[1]Short Spot'!Z99-'[1]Short Spot'!Z98)*100</f>
        <v>1.2169093260204988</v>
      </c>
      <c r="AA98" s="19">
        <f>('[1]Short Spot'!AA99-'[1]Short Spot'!AA98)*100</f>
        <v>1.2156607181180057</v>
      </c>
      <c r="AB98" s="19">
        <f>('[1]Short Spot'!AB99-'[1]Short Spot'!AB98)*100</f>
        <v>1.2130011992411482</v>
      </c>
      <c r="AC98" s="19">
        <f>('[1]Short Spot'!AC99-'[1]Short Spot'!AC98)*100</f>
        <v>1.2089546681533392</v>
      </c>
      <c r="AD98" s="19">
        <f>('[1]Short Spot'!AD99-'[1]Short Spot'!AD98)*100</f>
        <v>1.2035548223879644</v>
      </c>
      <c r="AE98" s="19">
        <f>('[1]Short Spot'!AE99-'[1]Short Spot'!AE98)*100</f>
        <v>1.1968402180429827</v>
      </c>
      <c r="AF98" s="19">
        <f>('[1]Short Spot'!AF99-'[1]Short Spot'!AF98)*100</f>
        <v>1.1888506672698362</v>
      </c>
      <c r="AG98" s="19">
        <f>('[1]Short Spot'!AG99-'[1]Short Spot'!AG98)*100</f>
        <v>1.1796266533216304</v>
      </c>
      <c r="AH98" s="19">
        <f>('[1]Short Spot'!AH99-'[1]Short Spot'!AH98)*100</f>
        <v>1.1692092464029358</v>
      </c>
      <c r="AI98" s="19">
        <f>('[1]Short Spot'!AI99-'[1]Short Spot'!AI98)*100</f>
        <v>1.1576403330707308</v>
      </c>
      <c r="AJ98" s="19">
        <f>('[1]Short Spot'!AJ99-'[1]Short Spot'!AJ98)*100</f>
        <v>1.1449625230588012</v>
      </c>
      <c r="AK98" s="19">
        <f>('[1]Short Spot'!AK99-'[1]Short Spot'!AK98)*100</f>
        <v>1.1312190488368401</v>
      </c>
      <c r="AL98" s="19">
        <f>('[1]Short Spot'!AL99-'[1]Short Spot'!AL98)*100</f>
        <v>1.1164536836179906</v>
      </c>
      <c r="AM98" s="19">
        <f>('[1]Short Spot'!AM99-'[1]Short Spot'!AM98)*100</f>
        <v>1.1007106241893716</v>
      </c>
      <c r="AN98" s="19">
        <f>('[1]Short Spot'!AN99-'[1]Short Spot'!AN98)*100</f>
        <v>1.0840336773908277</v>
      </c>
      <c r="AO98" s="19">
        <f>('[1]Short Spot'!AO99-'[1]Short Spot'!AO98)*100</f>
        <v>1.0664657389114041</v>
      </c>
      <c r="AP98" s="19">
        <f>('[1]Short Spot'!AP99-'[1]Short Spot'!AP98)*100</f>
        <v>1.0480488780523878</v>
      </c>
      <c r="AQ98" s="19">
        <f>('[1]Short Spot'!AQ99-'[1]Short Spot'!AQ98)*100</f>
        <v>1.0288244362534726</v>
      </c>
      <c r="AR98" s="19">
        <f>('[1]Short Spot'!AR99-'[1]Short Spot'!AR98)*100</f>
        <v>1.0088331027570341</v>
      </c>
      <c r="AS98" s="19">
        <f>('[1]Short Spot'!AS99-'[1]Short Spot'!AS98)*100</f>
        <v>0.9881146785347461</v>
      </c>
      <c r="AT98" s="19">
        <f>('[1]Short Spot'!AT99-'[1]Short Spot'!AT98)*100</f>
        <v>0.96670783280234929</v>
      </c>
      <c r="AU98" s="19">
        <f>('[1]Short Spot'!AU99-'[1]Short Spot'!AU98)*100</f>
        <v>0.94465019782088433</v>
      </c>
      <c r="AV98" s="19">
        <f>('[1]Short Spot'!AV99-'[1]Short Spot'!AV98)*100</f>
        <v>0.92197847921129394</v>
      </c>
      <c r="AW98" s="19">
        <f>('[1]Short Spot'!AW99-'[1]Short Spot'!AW98)*100</f>
        <v>0.89872855247969952</v>
      </c>
      <c r="AX98" s="19">
        <f>('[1]Short Spot'!AX99-'[1]Short Spot'!AX98)*100</f>
        <v>0.87493554772262172</v>
      </c>
      <c r="AY98" s="19">
        <f>('[1]Short Spot'!AY99-'[1]Short Spot'!AY98)*100</f>
        <v>0.85063392416815375</v>
      </c>
      <c r="AZ98" s="19">
        <f>('[1]Short Spot'!AZ99-'[1]Short Spot'!AZ98)*100</f>
        <v>0.82585754542705558</v>
      </c>
      <c r="BA98" s="19">
        <f>('[1]Short Spot'!BA99-'[1]Short Spot'!BA98)*100</f>
        <v>0.80063962779899356</v>
      </c>
      <c r="BB98" s="19">
        <f>('[1]Short Spot'!BB99-'[1]Short Spot'!BB98)*100</f>
        <v>0.77501245307081135</v>
      </c>
      <c r="BC98" s="19">
        <f>('[1]Short Spot'!BC99-'[1]Short Spot'!BC98)*100</f>
        <v>0.74900738072978257</v>
      </c>
      <c r="BD98" s="19">
        <f>('[1]Short Spot'!BD99-'[1]Short Spot'!BD98)*100</f>
        <v>0.72265493176981721</v>
      </c>
      <c r="BE98" s="19">
        <f>('[1]Short Spot'!BE99-'[1]Short Spot'!BE98)*100</f>
        <v>0.69598486355646472</v>
      </c>
      <c r="BF98" s="19">
        <f>('[1]Short Spot'!BF99-'[1]Short Spot'!BF98)*100</f>
        <v>0.66902623681190931</v>
      </c>
      <c r="BG98" s="19">
        <f>('[1]Short Spot'!BG99-'[1]Short Spot'!BG98)*100</f>
        <v>0.64180749882520871</v>
      </c>
      <c r="BH98" s="19">
        <f>('[1]Short Spot'!BH99-'[1]Short Spot'!BH98)*100</f>
        <v>0.61435659165818279</v>
      </c>
      <c r="BI98" s="19">
        <f>('[1]Short Spot'!BI99-'[1]Short Spot'!BI98)*100</f>
        <v>0.58670084135696854</v>
      </c>
    </row>
    <row r="99" spans="1:61" x14ac:dyDescent="0.2">
      <c r="A99" s="18">
        <v>39225</v>
      </c>
      <c r="B99" s="19">
        <f>('[1]Short Spot'!B100-'[1]Short Spot'!B99)*100</f>
        <v>0.74892476308265898</v>
      </c>
      <c r="C99" s="19">
        <f>('[1]Short Spot'!C100-'[1]Short Spot'!C99)*100</f>
        <v>1.7981353725323501</v>
      </c>
      <c r="D99" s="19">
        <f>('[1]Short Spot'!D100-'[1]Short Spot'!D99)*100</f>
        <v>2.2853157876598473</v>
      </c>
      <c r="E99" s="19">
        <f>('[1]Short Spot'!E100-'[1]Short Spot'!E99)*100</f>
        <v>2.5471851043713301</v>
      </c>
      <c r="F99" s="19">
        <f>('[1]Short Spot'!F100-'[1]Short Spot'!F99)*100</f>
        <v>2.7130866298740841</v>
      </c>
      <c r="G99" s="19">
        <f>('[1]Short Spot'!G100-'[1]Short Spot'!G99)*100</f>
        <v>2.8408785207532539</v>
      </c>
      <c r="H99" s="19">
        <f>('[1]Short Spot'!H100-'[1]Short Spot'!H99)*100</f>
        <v>2.9639297008468013</v>
      </c>
      <c r="I99" s="19">
        <f>('[1]Short Spot'!I100-'[1]Short Spot'!I99)*100</f>
        <v>3.1004729819424703</v>
      </c>
      <c r="J99" s="19">
        <f>('[1]Short Spot'!J100-'[1]Short Spot'!J99)*100</f>
        <v>3.2537136997609295</v>
      </c>
      <c r="K99" s="19">
        <f>('[1]Short Spot'!K100-'[1]Short Spot'!K99)*100</f>
        <v>3.4180597334326102</v>
      </c>
      <c r="L99" s="19">
        <f>('[1]Short Spot'!L100-'[1]Short Spot'!L99)*100</f>
        <v>3.5870875579855799</v>
      </c>
      <c r="M99" s="19">
        <f>('[1]Short Spot'!M100-'[1]Short Spot'!M99)*100</f>
        <v>3.7566024701237488</v>
      </c>
      <c r="N99" s="19">
        <f>('[1]Short Spot'!N100-'[1]Short Spot'!N99)*100</f>
        <v>3.9234790786955465</v>
      </c>
      <c r="O99" s="19">
        <f>('[1]Short Spot'!O100-'[1]Short Spot'!O99)*100</f>
        <v>4.0854578778802164</v>
      </c>
      <c r="P99" s="19">
        <f>('[1]Short Spot'!P100-'[1]Short Spot'!P99)*100</f>
        <v>4.2410444845026873</v>
      </c>
      <c r="Q99" s="19">
        <f>('[1]Short Spot'!Q100-'[1]Short Spot'!Q99)*100</f>
        <v>4.3892881398693184</v>
      </c>
      <c r="R99" s="19">
        <f>('[1]Short Spot'!R100-'[1]Short Spot'!R99)*100</f>
        <v>4.5296216893069285</v>
      </c>
      <c r="S99" s="19">
        <f>('[1]Short Spot'!S100-'[1]Short Spot'!S99)*100</f>
        <v>4.6617483942259952</v>
      </c>
      <c r="T99" s="19">
        <f>('[1]Short Spot'!T100-'[1]Short Spot'!T99)*100</f>
        <v>4.7855717769188288</v>
      </c>
      <c r="U99" s="19">
        <f>('[1]Short Spot'!U100-'[1]Short Spot'!U99)*100</f>
        <v>4.9011583572371897</v>
      </c>
      <c r="V99" s="19">
        <f>('[1]Short Spot'!V100-'[1]Short Spot'!V99)*100</f>
        <v>5.0086998611112321</v>
      </c>
      <c r="W99" s="19">
        <f>('[1]Short Spot'!W100-'[1]Short Spot'!W99)*100</f>
        <v>5.1084849438092661</v>
      </c>
      <c r="X99" s="19">
        <f>('[1]Short Spot'!X100-'[1]Short Spot'!X99)*100</f>
        <v>5.200870260185031</v>
      </c>
      <c r="Y99" s="19">
        <f>('[1]Short Spot'!Y100-'[1]Short Spot'!Y99)*100</f>
        <v>5.2862327248825558</v>
      </c>
      <c r="Z99" s="19">
        <f>('[1]Short Spot'!Z100-'[1]Short Spot'!Z99)*100</f>
        <v>5.3649533308940178</v>
      </c>
      <c r="AA99" s="19">
        <f>('[1]Short Spot'!AA100-'[1]Short Spot'!AA99)*100</f>
        <v>5.4374162226707767</v>
      </c>
      <c r="AB99" s="19">
        <f>('[1]Short Spot'!AB100-'[1]Short Spot'!AB99)*100</f>
        <v>5.5040081125198093</v>
      </c>
      <c r="AC99" s="19">
        <f>('[1]Short Spot'!AC100-'[1]Short Spot'!AC99)*100</f>
        <v>5.5651178216882258</v>
      </c>
      <c r="AD99" s="19">
        <f>('[1]Short Spot'!AD100-'[1]Short Spot'!AD99)*100</f>
        <v>5.6211332043332618</v>
      </c>
      <c r="AE99" s="19">
        <f>('[1]Short Spot'!AE100-'[1]Short Spot'!AE99)*100</f>
        <v>5.6724207585027386</v>
      </c>
      <c r="AF99" s="19">
        <f>('[1]Short Spot'!AF100-'[1]Short Spot'!AF99)*100</f>
        <v>5.7193137668733129</v>
      </c>
      <c r="AG99" s="19">
        <f>('[1]Short Spot'!AG100-'[1]Short Spot'!AG99)*100</f>
        <v>5.7621160058864085</v>
      </c>
      <c r="AH99" s="19">
        <f>('[1]Short Spot'!AH100-'[1]Short Spot'!AH99)*100</f>
        <v>5.8011049406935022</v>
      </c>
      <c r="AI99" s="19">
        <f>('[1]Short Spot'!AI100-'[1]Short Spot'!AI99)*100</f>
        <v>5.8365353757779737</v>
      </c>
      <c r="AJ99" s="19">
        <f>('[1]Short Spot'!AJ100-'[1]Short Spot'!AJ99)*100</f>
        <v>5.8686427011336306</v>
      </c>
      <c r="AK99" s="19">
        <f>('[1]Short Spot'!AK100-'[1]Short Spot'!AK99)*100</f>
        <v>5.8976455887221668</v>
      </c>
      <c r="AL99" s="19">
        <f>('[1]Short Spot'!AL100-'[1]Short Spot'!AL99)*100</f>
        <v>5.9237482496119043</v>
      </c>
      <c r="AM99" s="19">
        <f>('[1]Short Spot'!AM100-'[1]Short Spot'!AM99)*100</f>
        <v>5.9471416874393945</v>
      </c>
      <c r="AN99" s="19">
        <f>('[1]Short Spot'!AN100-'[1]Short Spot'!AN99)*100</f>
        <v>5.9680024957263988</v>
      </c>
      <c r="AO99" s="19">
        <f>('[1]Short Spot'!AO100-'[1]Short Spot'!AO99)*100</f>
        <v>5.9864932994238451</v>
      </c>
      <c r="AP99" s="19">
        <f>('[1]Short Spot'!AP100-'[1]Short Spot'!AP99)*100</f>
        <v>6.0027644205406183</v>
      </c>
      <c r="AQ99" s="19">
        <f>('[1]Short Spot'!AQ100-'[1]Short Spot'!AQ99)*100</f>
        <v>6.0169553428891298</v>
      </c>
      <c r="AR99" s="19">
        <f>('[1]Short Spot'!AR100-'[1]Short Spot'!AR99)*100</f>
        <v>6.0291958848936567</v>
      </c>
      <c r="AS99" s="19">
        <f>('[1]Short Spot'!AS100-'[1]Short Spot'!AS99)*100</f>
        <v>6.0396065706247448</v>
      </c>
      <c r="AT99" s="19">
        <f>('[1]Short Spot'!AT100-'[1]Short Spot'!AT99)*100</f>
        <v>6.0482991095036631</v>
      </c>
      <c r="AU99" s="19">
        <f>('[1]Short Spot'!AU100-'[1]Short Spot'!AU99)*100</f>
        <v>6.0553773215518802</v>
      </c>
      <c r="AV99" s="19">
        <f>('[1]Short Spot'!AV100-'[1]Short Spot'!AV99)*100</f>
        <v>6.0609379766884075</v>
      </c>
      <c r="AW99" s="19">
        <f>('[1]Short Spot'!AW100-'[1]Short Spot'!AW99)*100</f>
        <v>6.0650715291157731</v>
      </c>
      <c r="AX99" s="19">
        <f>('[1]Short Spot'!AX100-'[1]Short Spot'!AX99)*100</f>
        <v>6.0678627617808623</v>
      </c>
      <c r="AY99" s="19">
        <f>('[1]Short Spot'!AY100-'[1]Short Spot'!AY99)*100</f>
        <v>6.0693913535005528</v>
      </c>
      <c r="AZ99" s="19">
        <f>('[1]Short Spot'!AZ100-'[1]Short Spot'!AZ99)*100</f>
        <v>6.0697323788461155</v>
      </c>
      <c r="BA99" s="19">
        <f>('[1]Short Spot'!BA100-'[1]Short Spot'!BA99)*100</f>
        <v>6.0689565187074024</v>
      </c>
      <c r="BB99" s="19">
        <f>('[1]Short Spot'!BB100-'[1]Short Spot'!BB99)*100</f>
        <v>6.0671300235064507</v>
      </c>
      <c r="BC99" s="19">
        <f>('[1]Short Spot'!BC100-'[1]Short Spot'!BC99)*100</f>
        <v>6.0643150479323893</v>
      </c>
      <c r="BD99" s="19">
        <f>('[1]Short Spot'!BD100-'[1]Short Spot'!BD99)*100</f>
        <v>6.0605700232692961</v>
      </c>
      <c r="BE99" s="19">
        <f>('[1]Short Spot'!BE100-'[1]Short Spot'!BE99)*100</f>
        <v>6.0559499898428903</v>
      </c>
      <c r="BF99" s="19">
        <f>('[1]Short Spot'!BF100-'[1]Short Spot'!BF99)*100</f>
        <v>6.0505068944724627</v>
      </c>
      <c r="BG99" s="19">
        <f>('[1]Short Spot'!BG100-'[1]Short Spot'!BG99)*100</f>
        <v>6.0442898822111069</v>
      </c>
      <c r="BH99" s="19">
        <f>('[1]Short Spot'!BH100-'[1]Short Spot'!BH99)*100</f>
        <v>6.0373455848672819</v>
      </c>
      <c r="BI99" s="19">
        <f>('[1]Short Spot'!BI100-'[1]Short Spot'!BI99)*100</f>
        <v>6.0297181782014597</v>
      </c>
    </row>
    <row r="100" spans="1:61" x14ac:dyDescent="0.2">
      <c r="A100" s="18">
        <v>39226</v>
      </c>
      <c r="B100" s="19">
        <f>('[1]Short Spot'!B101-'[1]Short Spot'!B100)*100</f>
        <v>0.36755352464963309</v>
      </c>
      <c r="C100" s="19">
        <f>('[1]Short Spot'!C101-'[1]Short Spot'!C100)*100</f>
        <v>0.63868111193965404</v>
      </c>
      <c r="D100" s="19">
        <f>('[1]Short Spot'!D101-'[1]Short Spot'!D100)*100</f>
        <v>0.81098586883454615</v>
      </c>
      <c r="E100" s="19">
        <f>('[1]Short Spot'!E101-'[1]Short Spot'!E100)*100</f>
        <v>0.88347090575471299</v>
      </c>
      <c r="F100" s="19">
        <f>('[1]Short Spot'!F101-'[1]Short Spot'!F100)*100</f>
        <v>0.87361046450507018</v>
      </c>
      <c r="G100" s="19">
        <f>('[1]Short Spot'!G101-'[1]Short Spot'!G100)*100</f>
        <v>0.80398921389788214</v>
      </c>
      <c r="H100" s="19">
        <f>('[1]Short Spot'!H101-'[1]Short Spot'!H100)*100</f>
        <v>0.69890565611752109</v>
      </c>
      <c r="I100" s="19">
        <f>('[1]Short Spot'!I101-'[1]Short Spot'!I100)*100</f>
        <v>0.58192514200401391</v>
      </c>
      <c r="J100" s="19">
        <f>('[1]Short Spot'!J101-'[1]Short Spot'!J100)*100</f>
        <v>0.46766321391595866</v>
      </c>
      <c r="K100" s="19">
        <f>('[1]Short Spot'!K101-'[1]Short Spot'!K100)*100</f>
        <v>0.36364523809933047</v>
      </c>
      <c r="L100" s="19">
        <f>('[1]Short Spot'!L101-'[1]Short Spot'!L100)*100</f>
        <v>0.27251729813961845</v>
      </c>
      <c r="M100" s="19">
        <f>('[1]Short Spot'!M101-'[1]Short Spot'!M100)*100</f>
        <v>0.19402376193289328</v>
      </c>
      <c r="N100" s="19">
        <f>('[1]Short Spot'!N101-'[1]Short Spot'!N100)*100</f>
        <v>0.12665954688495518</v>
      </c>
      <c r="O100" s="19">
        <f>('[1]Short Spot'!O101-'[1]Short Spot'!O100)*100</f>
        <v>6.8984707234154286E-2</v>
      </c>
      <c r="P100" s="19">
        <f>('[1]Short Spot'!P101-'[1]Short Spot'!P100)*100</f>
        <v>1.9780880725317473E-2</v>
      </c>
      <c r="Q100" s="19">
        <f>('[1]Short Spot'!Q101-'[1]Short Spot'!Q100)*100</f>
        <v>-2.2106310595582102E-2</v>
      </c>
      <c r="R100" s="19">
        <f>('[1]Short Spot'!R101-'[1]Short Spot'!R100)*100</f>
        <v>-5.7786185744745922E-2</v>
      </c>
      <c r="S100" s="19">
        <f>('[1]Short Spot'!S101-'[1]Short Spot'!S100)*100</f>
        <v>-8.8319607386289078E-2</v>
      </c>
      <c r="T100" s="19">
        <f>('[1]Short Spot'!T101-'[1]Short Spot'!T100)*100</f>
        <v>-0.11464259835971546</v>
      </c>
      <c r="U100" s="19">
        <f>('[1]Short Spot'!U101-'[1]Short Spot'!U100)*100</f>
        <v>-0.13754901878408887</v>
      </c>
      <c r="V100" s="19">
        <f>('[1]Short Spot'!V101-'[1]Short Spot'!V100)*100</f>
        <v>-0.15772271352281209</v>
      </c>
      <c r="W100" s="19">
        <f>('[1]Short Spot'!W101-'[1]Short Spot'!W100)*100</f>
        <v>-0.17576145145472566</v>
      </c>
      <c r="X100" s="19">
        <f>('[1]Short Spot'!X101-'[1]Short Spot'!X100)*100</f>
        <v>-0.19217462265901375</v>
      </c>
      <c r="Y100" s="19">
        <f>('[1]Short Spot'!Y101-'[1]Short Spot'!Y100)*100</f>
        <v>-0.20737510639330381</v>
      </c>
      <c r="Z100" s="19">
        <f>('[1]Short Spot'!Z101-'[1]Short Spot'!Z100)*100</f>
        <v>-0.2216966610993687</v>
      </c>
      <c r="AA100" s="19">
        <f>('[1]Short Spot'!AA101-'[1]Short Spot'!AA100)*100</f>
        <v>-0.23540919005853311</v>
      </c>
      <c r="AB100" s="19">
        <f>('[1]Short Spot'!AB101-'[1]Short Spot'!AB100)*100</f>
        <v>-0.24873056642231717</v>
      </c>
      <c r="AC100" s="19">
        <f>('[1]Short Spot'!AC101-'[1]Short Spot'!AC100)*100</f>
        <v>-0.26183592488200347</v>
      </c>
      <c r="AD100" s="19">
        <f>('[1]Short Spot'!AD101-'[1]Short Spot'!AD100)*100</f>
        <v>-0.27486526750282181</v>
      </c>
      <c r="AE100" s="19">
        <f>('[1]Short Spot'!AE101-'[1]Short Spot'!AE100)*100</f>
        <v>-0.2879291868155498</v>
      </c>
      <c r="AF100" s="19">
        <f>('[1]Short Spot'!AF101-'[1]Short Spot'!AF100)*100</f>
        <v>-0.30111245611568194</v>
      </c>
      <c r="AG100" s="19">
        <f>('[1]Short Spot'!AG101-'[1]Short Spot'!AG100)*100</f>
        <v>-0.31447893318352627</v>
      </c>
      <c r="AH100" s="19">
        <f>('[1]Short Spot'!AH101-'[1]Short Spot'!AH100)*100</f>
        <v>-0.32807740311797673</v>
      </c>
      <c r="AI100" s="19">
        <f>('[1]Short Spot'!AI101-'[1]Short Spot'!AI100)*100</f>
        <v>-0.34194447432707165</v>
      </c>
      <c r="AJ100" s="19">
        <f>('[1]Short Spot'!AJ101-'[1]Short Spot'!AJ100)*100</f>
        <v>-0.35610631710039087</v>
      </c>
      <c r="AK100" s="19">
        <f>('[1]Short Spot'!AK101-'[1]Short Spot'!AK100)*100</f>
        <v>-0.37058011334831775</v>
      </c>
      <c r="AL100" s="19">
        <f>('[1]Short Spot'!AL101-'[1]Short Spot'!AL100)*100</f>
        <v>-0.38537527248845294</v>
      </c>
      <c r="AM100" s="19">
        <f>('[1]Short Spot'!AM101-'[1]Short Spot'!AM100)*100</f>
        <v>-0.40049479727564119</v>
      </c>
      <c r="AN100" s="19">
        <f>('[1]Short Spot'!AN101-'[1]Short Spot'!AN100)*100</f>
        <v>-0.41593755625584095</v>
      </c>
      <c r="AO100" s="19">
        <f>('[1]Short Spot'!AO101-'[1]Short Spot'!AO100)*100</f>
        <v>-0.43169944616803235</v>
      </c>
      <c r="AP100" s="19">
        <f>('[1]Short Spot'!AP101-'[1]Short Spot'!AP100)*100</f>
        <v>-0.44777377040379207</v>
      </c>
      <c r="AQ100" s="19">
        <f>('[1]Short Spot'!AQ101-'[1]Short Spot'!AQ100)*100</f>
        <v>-0.46415154765861999</v>
      </c>
      <c r="AR100" s="19">
        <f>('[1]Short Spot'!AR101-'[1]Short Spot'!AR100)*100</f>
        <v>-0.48082185765352392</v>
      </c>
      <c r="AS100" s="19">
        <f>('[1]Short Spot'!AS101-'[1]Short Spot'!AS100)*100</f>
        <v>-0.49777264738839477</v>
      </c>
      <c r="AT100" s="19">
        <f>('[1]Short Spot'!AT101-'[1]Short Spot'!AT100)*100</f>
        <v>-0.5149912640875165</v>
      </c>
      <c r="AU100" s="19">
        <f>('[1]Short Spot'!AU101-'[1]Short Spot'!AU100)*100</f>
        <v>-0.53246454169810775</v>
      </c>
      <c r="AV100" s="19">
        <f>('[1]Short Spot'!AV101-'[1]Short Spot'!AV100)*100</f>
        <v>-0.55017885549455414</v>
      </c>
      <c r="AW100" s="19">
        <f>('[1]Short Spot'!AW101-'[1]Short Spot'!AW100)*100</f>
        <v>-0.56812016985698932</v>
      </c>
      <c r="AX100" s="19">
        <f>('[1]Short Spot'!AX101-'[1]Short Spot'!AX100)*100</f>
        <v>-0.58627408019926719</v>
      </c>
      <c r="AY100" s="19">
        <f>('[1]Short Spot'!AY101-'[1]Short Spot'!AY100)*100</f>
        <v>-0.60462584986531454</v>
      </c>
      <c r="AZ100" s="19">
        <f>('[1]Short Spot'!AZ101-'[1]Short Spot'!AZ100)*100</f>
        <v>-0.62316044239745239</v>
      </c>
      <c r="BA100" s="19">
        <f>('[1]Short Spot'!BA101-'[1]Short Spot'!BA100)*100</f>
        <v>-0.64186274564361767</v>
      </c>
      <c r="BB100" s="19">
        <f>('[1]Short Spot'!BB101-'[1]Short Spot'!BB100)*100</f>
        <v>-0.66071794282391849</v>
      </c>
      <c r="BC100" s="19">
        <f>('[1]Short Spot'!BC101-'[1]Short Spot'!BC100)*100</f>
        <v>-0.67971154178101401</v>
      </c>
      <c r="BD100" s="19">
        <f>('[1]Short Spot'!BD101-'[1]Short Spot'!BD100)*100</f>
        <v>-0.69882934547074171</v>
      </c>
      <c r="BE100" s="19">
        <f>('[1]Short Spot'!BE101-'[1]Short Spot'!BE100)*100</f>
        <v>-0.7180574256126171</v>
      </c>
      <c r="BF100" s="19">
        <f>('[1]Short Spot'!BF101-'[1]Short Spot'!BF100)*100</f>
        <v>-0.73738209911349273</v>
      </c>
      <c r="BG100" s="19">
        <f>('[1]Short Spot'!BG101-'[1]Short Spot'!BG100)*100</f>
        <v>-0.75678988231180355</v>
      </c>
      <c r="BH100" s="19">
        <f>('[1]Short Spot'!BH101-'[1]Short Spot'!BH100)*100</f>
        <v>-0.77626745452334944</v>
      </c>
      <c r="BI100" s="19">
        <f>('[1]Short Spot'!BI101-'[1]Short Spot'!BI100)*100</f>
        <v>-0.7958018209925477</v>
      </c>
    </row>
    <row r="101" spans="1:61" x14ac:dyDescent="0.2">
      <c r="A101" s="18">
        <v>39227</v>
      </c>
      <c r="B101" s="19">
        <f>('[1]Short Spot'!B102-'[1]Short Spot'!B101)*100</f>
        <v>4.2155676857458246E-2</v>
      </c>
      <c r="C101" s="19">
        <f>('[1]Short Spot'!C102-'[1]Short Spot'!C101)*100</f>
        <v>-0.26336172227363619</v>
      </c>
      <c r="D101" s="19">
        <f>('[1]Short Spot'!D102-'[1]Short Spot'!D101)*100</f>
        <v>3.1152255000499451E-2</v>
      </c>
      <c r="E101" s="19">
        <f>('[1]Short Spot'!E102-'[1]Short Spot'!E101)*100</f>
        <v>0.47685259478269515</v>
      </c>
      <c r="F101" s="19">
        <f>('[1]Short Spot'!F102-'[1]Short Spot'!F101)*100</f>
        <v>0.92858310419750012</v>
      </c>
      <c r="G101" s="19">
        <f>('[1]Short Spot'!G102-'[1]Short Spot'!G101)*100</f>
        <v>1.3323959577069111</v>
      </c>
      <c r="H101" s="19">
        <f>('[1]Short Spot'!H102-'[1]Short Spot'!H101)*100</f>
        <v>1.665135658197503</v>
      </c>
      <c r="I101" s="19">
        <f>('[1]Short Spot'!I102-'[1]Short Spot'!I101)*100</f>
        <v>1.9231779645500602</v>
      </c>
      <c r="J101" s="19">
        <f>('[1]Short Spot'!J102-'[1]Short Spot'!J101)*100</f>
        <v>2.1137849019541299</v>
      </c>
      <c r="K101" s="19">
        <f>('[1]Short Spot'!K102-'[1]Short Spot'!K101)*100</f>
        <v>2.2484329693614136</v>
      </c>
      <c r="L101" s="19">
        <f>('[1]Short Spot'!L102-'[1]Short Spot'!L101)*100</f>
        <v>2.3387103105884322</v>
      </c>
      <c r="M101" s="19">
        <f>('[1]Short Spot'!M102-'[1]Short Spot'!M101)*100</f>
        <v>2.3940802833261721</v>
      </c>
      <c r="N101" s="19">
        <f>('[1]Short Spot'!N102-'[1]Short Spot'!N101)*100</f>
        <v>2.4225297728547091</v>
      </c>
      <c r="O101" s="19">
        <f>('[1]Short Spot'!O102-'[1]Short Spot'!O101)*100</f>
        <v>2.4305060892097607</v>
      </c>
      <c r="P101" s="19">
        <f>('[1]Short Spot'!P102-'[1]Short Spot'!P101)*100</f>
        <v>2.4229897123042576</v>
      </c>
      <c r="Q101" s="19">
        <f>('[1]Short Spot'!Q102-'[1]Short Spot'!Q101)*100</f>
        <v>2.4039407099315291</v>
      </c>
      <c r="R101" s="19">
        <f>('[1]Short Spot'!R102-'[1]Short Spot'!R101)*100</f>
        <v>2.3765970847619222</v>
      </c>
      <c r="S101" s="19">
        <f>('[1]Short Spot'!S102-'[1]Short Spot'!S101)*100</f>
        <v>2.3435922414018151</v>
      </c>
      <c r="T101" s="19">
        <f>('[1]Short Spot'!T102-'[1]Short Spot'!T101)*100</f>
        <v>2.3069538906849374</v>
      </c>
      <c r="U101" s="19">
        <f>('[1]Short Spot'!U102-'[1]Short Spot'!U101)*100</f>
        <v>2.2682357379821383</v>
      </c>
      <c r="V101" s="19">
        <f>('[1]Short Spot'!V102-'[1]Short Spot'!V101)*100</f>
        <v>2.228631393606495</v>
      </c>
      <c r="W101" s="19">
        <f>('[1]Short Spot'!W102-'[1]Short Spot'!W101)*100</f>
        <v>2.1890599223564067</v>
      </c>
      <c r="X101" s="19">
        <f>('[1]Short Spot'!X102-'[1]Short Spot'!X101)*100</f>
        <v>2.1502513899458009</v>
      </c>
      <c r="Y101" s="19">
        <f>('[1]Short Spot'!Y102-'[1]Short Spot'!Y101)*100</f>
        <v>2.112765620450574</v>
      </c>
      <c r="Z101" s="19">
        <f>('[1]Short Spot'!Z102-'[1]Short Spot'!Z101)*100</f>
        <v>2.0770092216650937</v>
      </c>
      <c r="AA101" s="19">
        <f>('[1]Short Spot'!AA102-'[1]Short Spot'!AA101)*100</f>
        <v>2.0432648959796573</v>
      </c>
      <c r="AB101" s="19">
        <f>('[1]Short Spot'!AB102-'[1]Short Spot'!AB101)*100</f>
        <v>2.0117143858256803</v>
      </c>
      <c r="AC101" s="19">
        <f>('[1]Short Spot'!AC102-'[1]Short Spot'!AC101)*100</f>
        <v>1.9824564995262861</v>
      </c>
      <c r="AD101" s="19">
        <f>('[1]Short Spot'!AD102-'[1]Short Spot'!AD101)*100</f>
        <v>1.9555229348580561</v>
      </c>
      <c r="AE101" s="19">
        <f>('[1]Short Spot'!AE102-'[1]Short Spot'!AE101)*100</f>
        <v>1.9309030272927963</v>
      </c>
      <c r="AF101" s="19">
        <f>('[1]Short Spot'!AF102-'[1]Short Spot'!AF101)*100</f>
        <v>1.9085612346435354</v>
      </c>
      <c r="AG101" s="19">
        <f>('[1]Short Spot'!AG102-'[1]Short Spot'!AG101)*100</f>
        <v>1.8884422210536655</v>
      </c>
      <c r="AH101" s="19">
        <f>('[1]Short Spot'!AH102-'[1]Short Spot'!AH101)*100</f>
        <v>1.8704786929852446</v>
      </c>
      <c r="AI101" s="19">
        <f>('[1]Short Spot'!AI102-'[1]Short Spot'!AI101)*100</f>
        <v>1.854595769445222</v>
      </c>
      <c r="AJ101" s="19">
        <f>('[1]Short Spot'!AJ102-'[1]Short Spot'!AJ101)*100</f>
        <v>1.8407121337954635</v>
      </c>
      <c r="AK101" s="19">
        <f>('[1]Short Spot'!AK102-'[1]Short Spot'!AK101)*100</f>
        <v>1.8287409275925981</v>
      </c>
      <c r="AL101" s="19">
        <f>('[1]Short Spot'!AL102-'[1]Short Spot'!AL101)*100</f>
        <v>1.8185905411861825</v>
      </c>
      <c r="AM101" s="19">
        <f>('[1]Short Spot'!AM102-'[1]Short Spot'!AM101)*100</f>
        <v>1.8101669971958501</v>
      </c>
      <c r="AN101" s="19">
        <f>('[1]Short Spot'!AN102-'[1]Short Spot'!AN101)*100</f>
        <v>1.8033780427652246</v>
      </c>
      <c r="AO101" s="19">
        <f>('[1]Short Spot'!AO102-'[1]Short Spot'!AO101)*100</f>
        <v>1.7981337386848928</v>
      </c>
      <c r="AP101" s="19">
        <f>('[1]Short Spot'!AP102-'[1]Short Spot'!AP101)*100</f>
        <v>1.7943461756893875</v>
      </c>
      <c r="AQ101" s="19">
        <f>('[1]Short Spot'!AQ102-'[1]Short Spot'!AQ101)*100</f>
        <v>1.7919292381626484</v>
      </c>
      <c r="AR101" s="19">
        <f>('[1]Short Spot'!AR102-'[1]Short Spot'!AR101)*100</f>
        <v>1.7907990124962581</v>
      </c>
      <c r="AS101" s="19">
        <f>('[1]Short Spot'!AS102-'[1]Short Spot'!AS101)*100</f>
        <v>1.7908754977154828</v>
      </c>
      <c r="AT101" s="19">
        <f>('[1]Short Spot'!AT102-'[1]Short Spot'!AT101)*100</f>
        <v>1.7920827823990848</v>
      </c>
      <c r="AU101" s="19">
        <f>('[1]Short Spot'!AU102-'[1]Short Spot'!AU101)*100</f>
        <v>1.794348601263529</v>
      </c>
      <c r="AV101" s="19">
        <f>('[1]Short Spot'!AV102-'[1]Short Spot'!AV101)*100</f>
        <v>1.7976039472760164</v>
      </c>
      <c r="AW101" s="19">
        <f>('[1]Short Spot'!AW102-'[1]Short Spot'!AW101)*100</f>
        <v>1.8017827322535318</v>
      </c>
      <c r="AX101" s="19">
        <f>('[1]Short Spot'!AX102-'[1]Short Spot'!AX101)*100</f>
        <v>1.8068214890218925</v>
      </c>
      <c r="AY101" s="19">
        <f>('[1]Short Spot'!AY102-'[1]Short Spot'!AY101)*100</f>
        <v>1.8126591093517774</v>
      </c>
      <c r="AZ101" s="19">
        <f>('[1]Short Spot'!AZ102-'[1]Short Spot'!AZ101)*100</f>
        <v>1.819236829850901</v>
      </c>
      <c r="BA101" s="19">
        <f>('[1]Short Spot'!BA102-'[1]Short Spot'!BA101)*100</f>
        <v>1.8264991201514924</v>
      </c>
      <c r="BB101" s="19">
        <f>('[1]Short Spot'!BB102-'[1]Short Spot'!BB101)*100</f>
        <v>1.8343937415118639</v>
      </c>
      <c r="BC101" s="19">
        <f>('[1]Short Spot'!BC102-'[1]Short Spot'!BC101)*100</f>
        <v>1.8428714037439953</v>
      </c>
      <c r="BD101" s="19">
        <f>('[1]Short Spot'!BD102-'[1]Short Spot'!BD101)*100</f>
        <v>1.8518854971633303</v>
      </c>
      <c r="BE101" s="19">
        <f>('[1]Short Spot'!BE102-'[1]Short Spot'!BE101)*100</f>
        <v>1.8613918532578211</v>
      </c>
      <c r="BF101" s="19">
        <f>('[1]Short Spot'!BF102-'[1]Short Spot'!BF101)*100</f>
        <v>1.8713485306304456</v>
      </c>
      <c r="BG101" s="19">
        <f>('[1]Short Spot'!BG102-'[1]Short Spot'!BG101)*100</f>
        <v>1.8817158182391935</v>
      </c>
      <c r="BH101" s="19">
        <f>('[1]Short Spot'!BH102-'[1]Short Spot'!BH101)*100</f>
        <v>1.8924566748620641</v>
      </c>
      <c r="BI101" s="19">
        <f>('[1]Short Spot'!BI102-'[1]Short Spot'!BI101)*100</f>
        <v>1.9035363094120683</v>
      </c>
    </row>
    <row r="102" spans="1:61" x14ac:dyDescent="0.2">
      <c r="A102" s="18">
        <v>39231</v>
      </c>
      <c r="B102" s="19">
        <f>('[1]Short Spot'!B103-'[1]Short Spot'!B102)*100</f>
        <v>0.10464886935288575</v>
      </c>
      <c r="C102" s="19">
        <f>('[1]Short Spot'!C103-'[1]Short Spot'!C102)*100</f>
        <v>0.28639296165886563</v>
      </c>
      <c r="D102" s="19">
        <f>('[1]Short Spot'!D103-'[1]Short Spot'!D102)*100</f>
        <v>0.63398239429846015</v>
      </c>
      <c r="E102" s="19">
        <f>('[1]Short Spot'!E103-'[1]Short Spot'!E102)*100</f>
        <v>0.91259083028303323</v>
      </c>
      <c r="F102" s="19">
        <f>('[1]Short Spot'!F103-'[1]Short Spot'!F102)*100</f>
        <v>1.0795082066227479</v>
      </c>
      <c r="G102" s="19">
        <f>('[1]Short Spot'!G103-'[1]Short Spot'!G102)*100</f>
        <v>1.1470937891475685</v>
      </c>
      <c r="H102" s="19">
        <f>('[1]Short Spot'!H103-'[1]Short Spot'!H102)*100</f>
        <v>1.1453836780600746</v>
      </c>
      <c r="I102" s="19">
        <f>('[1]Short Spot'!I103-'[1]Short Spot'!I102)*100</f>
        <v>1.1064396269687471</v>
      </c>
      <c r="J102" s="19">
        <f>('[1]Short Spot'!J103-'[1]Short Spot'!J102)*100</f>
        <v>1.0524538928438076</v>
      </c>
      <c r="K102" s="19">
        <f>('[1]Short Spot'!K103-'[1]Short Spot'!K102)*100</f>
        <v>0.99828618701254257</v>
      </c>
      <c r="L102" s="19">
        <f>('[1]Short Spot'!L103-'[1]Short Spot'!L102)*100</f>
        <v>0.951271525849684</v>
      </c>
      <c r="M102" s="19">
        <f>('[1]Short Spot'!M103-'[1]Short Spot'!M102)*100</f>
        <v>0.91383035841534621</v>
      </c>
      <c r="N102" s="19">
        <f>('[1]Short Spot'!N103-'[1]Short Spot'!N102)*100</f>
        <v>0.88584829671356502</v>
      </c>
      <c r="O102" s="19">
        <f>('[1]Short Spot'!O103-'[1]Short Spot'!O102)*100</f>
        <v>0.86586458864363891</v>
      </c>
      <c r="P102" s="19">
        <f>('[1]Short Spot'!P103-'[1]Short Spot'!P102)*100</f>
        <v>0.85233593106153194</v>
      </c>
      <c r="Q102" s="19">
        <f>('[1]Short Spot'!Q103-'[1]Short Spot'!Q102)*100</f>
        <v>0.84381437819045502</v>
      </c>
      <c r="R102" s="19">
        <f>('[1]Short Spot'!R103-'[1]Short Spot'!R102)*100</f>
        <v>0.8389197719377961</v>
      </c>
      <c r="S102" s="19">
        <f>('[1]Short Spot'!S103-'[1]Short Spot'!S102)*100</f>
        <v>0.83637181506386327</v>
      </c>
      <c r="T102" s="19">
        <f>('[1]Short Spot'!T103-'[1]Short Spot'!T102)*100</f>
        <v>0.83512826395528705</v>
      </c>
      <c r="U102" s="19">
        <f>('[1]Short Spot'!U103-'[1]Short Spot'!U102)*100</f>
        <v>0.83438224299969832</v>
      </c>
      <c r="V102" s="19">
        <f>('[1]Short Spot'!V103-'[1]Short Spot'!V102)*100</f>
        <v>0.83350705032421146</v>
      </c>
      <c r="W102" s="19">
        <f>('[1]Short Spot'!W103-'[1]Short Spot'!W102)*100</f>
        <v>0.83201691948557865</v>
      </c>
      <c r="X102" s="19">
        <f>('[1]Short Spot'!X103-'[1]Short Spot'!X102)*100</f>
        <v>0.82955096452268506</v>
      </c>
      <c r="Y102" s="19">
        <f>('[1]Short Spot'!Y103-'[1]Short Spot'!Y102)*100</f>
        <v>0.82585237126320266</v>
      </c>
      <c r="Z102" s="19">
        <f>('[1]Short Spot'!Z103-'[1]Short Spot'!Z102)*100</f>
        <v>0.82074563311840265</v>
      </c>
      <c r="AA102" s="19">
        <f>('[1]Short Spot'!AA103-'[1]Short Spot'!AA102)*100</f>
        <v>0.81412090400689863</v>
      </c>
      <c r="AB102" s="19">
        <f>('[1]Short Spot'!AB103-'[1]Short Spot'!AB102)*100</f>
        <v>0.80592183900281</v>
      </c>
      <c r="AC102" s="19">
        <f>('[1]Short Spot'!AC103-'[1]Short Spot'!AC102)*100</f>
        <v>0.79613604080730482</v>
      </c>
      <c r="AD102" s="19">
        <f>('[1]Short Spot'!AD103-'[1]Short Spot'!AD102)*100</f>
        <v>0.7847879830058524</v>
      </c>
      <c r="AE102" s="19">
        <f>('[1]Short Spot'!AE103-'[1]Short Spot'!AE102)*100</f>
        <v>0.77193572055884729</v>
      </c>
      <c r="AF102" s="19">
        <f>('[1]Short Spot'!AF103-'[1]Short Spot'!AF102)*100</f>
        <v>0.75766676587534221</v>
      </c>
      <c r="AG102" s="19">
        <f>('[1]Short Spot'!AG103-'[1]Short Spot'!AG102)*100</f>
        <v>0.74208750627953179</v>
      </c>
      <c r="AH102" s="19">
        <f>('[1]Short Spot'!AH103-'[1]Short Spot'!AH102)*100</f>
        <v>0.72531372092239366</v>
      </c>
      <c r="AI102" s="19">
        <f>('[1]Short Spot'!AI103-'[1]Short Spot'!AI102)*100</f>
        <v>0.70746900461537976</v>
      </c>
      <c r="AJ102" s="19">
        <f>('[1]Short Spot'!AJ103-'[1]Short Spot'!AJ102)*100</f>
        <v>0.68868366732273145</v>
      </c>
      <c r="AK102" s="19">
        <f>('[1]Short Spot'!AK103-'[1]Short Spot'!AK102)*100</f>
        <v>0.66909380150201869</v>
      </c>
      <c r="AL102" s="19">
        <f>('[1]Short Spot'!AL103-'[1]Short Spot'!AL102)*100</f>
        <v>0.64884038690617984</v>
      </c>
      <c r="AM102" s="19">
        <f>('[1]Short Spot'!AM103-'[1]Short Spot'!AM102)*100</f>
        <v>0.62806489820053102</v>
      </c>
      <c r="AN102" s="19">
        <f>('[1]Short Spot'!AN103-'[1]Short Spot'!AN102)*100</f>
        <v>0.60690116761081825</v>
      </c>
      <c r="AO102" s="19">
        <f>('[1]Short Spot'!AO103-'[1]Short Spot'!AO102)*100</f>
        <v>0.58547437389240287</v>
      </c>
      <c r="AP102" s="19">
        <f>('[1]Short Spot'!AP103-'[1]Short Spot'!AP102)*100</f>
        <v>0.56390208367869121</v>
      </c>
      <c r="AQ102" s="19">
        <f>('[1]Short Spot'!AQ103-'[1]Short Spot'!AQ102)*100</f>
        <v>0.54229515045607357</v>
      </c>
      <c r="AR102" s="19">
        <f>('[1]Short Spot'!AR103-'[1]Short Spot'!AR102)*100</f>
        <v>0.52075744484358921</v>
      </c>
      <c r="AS102" s="19">
        <f>('[1]Short Spot'!AS103-'[1]Short Spot'!AS102)*100</f>
        <v>0.49938267921989521</v>
      </c>
      <c r="AT102" s="19">
        <f>('[1]Short Spot'!AT103-'[1]Short Spot'!AT102)*100</f>
        <v>0.47825391028295527</v>
      </c>
      <c r="AU102" s="19">
        <f>('[1]Short Spot'!AU103-'[1]Short Spot'!AU102)*100</f>
        <v>0.4574446616400607</v>
      </c>
      <c r="AV102" s="19">
        <f>('[1]Short Spot'!AV103-'[1]Short Spot'!AV102)*100</f>
        <v>0.43701993796672056</v>
      </c>
      <c r="AW102" s="19">
        <f>('[1]Short Spot'!AW103-'[1]Short Spot'!AW102)*100</f>
        <v>0.41703711239575725</v>
      </c>
      <c r="AX102" s="19">
        <f>('[1]Short Spot'!AX103-'[1]Short Spot'!AX102)*100</f>
        <v>0.39754670524487778</v>
      </c>
      <c r="AY102" s="19">
        <f>('[1]Short Spot'!AY103-'[1]Short Spot'!AY102)*100</f>
        <v>0.37859306935299486</v>
      </c>
      <c r="AZ102" s="19">
        <f>('[1]Short Spot'!AZ103-'[1]Short Spot'!AZ102)*100</f>
        <v>0.36021497167810779</v>
      </c>
      <c r="BA102" s="19">
        <f>('[1]Short Spot'!BA103-'[1]Short Spot'!BA102)*100</f>
        <v>0.34244570255115292</v>
      </c>
      <c r="BB102" s="19">
        <f>('[1]Short Spot'!BB103-'[1]Short Spot'!BB102)*100</f>
        <v>0.3253131226180983</v>
      </c>
      <c r="BC102" s="19">
        <f>('[1]Short Spot'!BC103-'[1]Short Spot'!BC102)*100</f>
        <v>0.30884012357370594</v>
      </c>
      <c r="BD102" s="19">
        <f>('[1]Short Spot'!BD103-'[1]Short Spot'!BD102)*100</f>
        <v>0.29304507988383577</v>
      </c>
      <c r="BE102" s="19">
        <f>('[1]Short Spot'!BE103-'[1]Short Spot'!BE102)*100</f>
        <v>0.27794225211046353</v>
      </c>
      <c r="BF102" s="19">
        <f>('[1]Short Spot'!BF103-'[1]Short Spot'!BF102)*100</f>
        <v>0.26354214789758856</v>
      </c>
      <c r="BG102" s="19">
        <f>('[1]Short Spot'!BG103-'[1]Short Spot'!BG102)*100</f>
        <v>0.2498519052215542</v>
      </c>
      <c r="BH102" s="19">
        <f>('[1]Short Spot'!BH103-'[1]Short Spot'!BH102)*100</f>
        <v>0.23687570577957118</v>
      </c>
      <c r="BI102" s="19">
        <f>('[1]Short Spot'!BI103-'[1]Short Spot'!BI102)*100</f>
        <v>0.22461493925387543</v>
      </c>
    </row>
    <row r="103" spans="1:61" x14ac:dyDescent="0.2">
      <c r="A103" s="18">
        <v>39232</v>
      </c>
      <c r="B103" s="19">
        <f>('[1]Short Spot'!B104-'[1]Short Spot'!B103)*100</f>
        <v>0.2793286830318209</v>
      </c>
      <c r="C103" s="19">
        <f>('[1]Short Spot'!C104-'[1]Short Spot'!C103)*100</f>
        <v>0.29771330334966706</v>
      </c>
      <c r="D103" s="19">
        <f>('[1]Short Spot'!D104-'[1]Short Spot'!D103)*100</f>
        <v>0.42483218926196997</v>
      </c>
      <c r="E103" s="19">
        <f>('[1]Short Spot'!E104-'[1]Short Spot'!E103)*100</f>
        <v>0.51204962432436218</v>
      </c>
      <c r="F103" s="19">
        <f>('[1]Short Spot'!F104-'[1]Short Spot'!F103)*100</f>
        <v>0.54138628317828008</v>
      </c>
      <c r="G103" s="19">
        <f>('[1]Short Spot'!G104-'[1]Short Spot'!G103)*100</f>
        <v>0.5234817988769791</v>
      </c>
      <c r="H103" s="19">
        <f>('[1]Short Spot'!H104-'[1]Short Spot'!H103)*100</f>
        <v>0.47726665278782221</v>
      </c>
      <c r="I103" s="19">
        <f>('[1]Short Spot'!I104-'[1]Short Spot'!I103)*100</f>
        <v>0.4188444475840214</v>
      </c>
      <c r="J103" s="19">
        <f>('[1]Short Spot'!J104-'[1]Short Spot'!J103)*100</f>
        <v>0.35732276841082822</v>
      </c>
      <c r="K103" s="19">
        <f>('[1]Short Spot'!K104-'[1]Short Spot'!K103)*100</f>
        <v>0.29787134137304605</v>
      </c>
      <c r="L103" s="19">
        <f>('[1]Short Spot'!L104-'[1]Short Spot'!L103)*100</f>
        <v>0.24253945507348718</v>
      </c>
      <c r="M103" s="19">
        <f>('[1]Short Spot'!M104-'[1]Short Spot'!M103)*100</f>
        <v>0.19198976795653522</v>
      </c>
      <c r="N103" s="19">
        <f>('[1]Short Spot'!N104-'[1]Short Spot'!N103)*100</f>
        <v>0.14638236693231832</v>
      </c>
      <c r="O103" s="19">
        <f>('[1]Short Spot'!O104-'[1]Short Spot'!O103)*100</f>
        <v>0.10562272586884802</v>
      </c>
      <c r="P103" s="19">
        <f>('[1]Short Spot'!P104-'[1]Short Spot'!P103)*100</f>
        <v>6.951437500930524E-2</v>
      </c>
      <c r="Q103" s="19">
        <f>('[1]Short Spot'!Q104-'[1]Short Spot'!Q103)*100</f>
        <v>3.7797110932924483E-2</v>
      </c>
      <c r="R103" s="19">
        <f>('[1]Short Spot'!R104-'[1]Short Spot'!R103)*100</f>
        <v>1.0165509811521645E-2</v>
      </c>
      <c r="S103" s="19">
        <f>('[1]Short Spot'!S104-'[1]Short Spot'!S103)*100</f>
        <v>-1.3713999624354045E-2</v>
      </c>
      <c r="T103" s="19">
        <f>('[1]Short Spot'!T104-'[1]Short Spot'!T103)*100</f>
        <v>-3.4165255159468444E-2</v>
      </c>
      <c r="U103" s="19">
        <f>('[1]Short Spot'!U104-'[1]Short Spot'!U103)*100</f>
        <v>-5.1490968224676692E-2</v>
      </c>
      <c r="V103" s="19">
        <f>('[1]Short Spot'!V104-'[1]Short Spot'!V103)*100</f>
        <v>-6.5977497379421379E-2</v>
      </c>
      <c r="W103" s="19">
        <f>('[1]Short Spot'!W104-'[1]Short Spot'!W103)*100</f>
        <v>-7.7896268627686283E-2</v>
      </c>
      <c r="X103" s="19">
        <f>('[1]Short Spot'!X104-'[1]Short Spot'!X103)*100</f>
        <v>-8.7487269070063434E-2</v>
      </c>
      <c r="Y103" s="19">
        <f>('[1]Short Spot'!Y104-'[1]Short Spot'!Y103)*100</f>
        <v>-9.4955514952488329E-2</v>
      </c>
      <c r="Z103" s="19">
        <f>('[1]Short Spot'!Z104-'[1]Short Spot'!Z103)*100</f>
        <v>-0.10047931882040118</v>
      </c>
      <c r="AA103" s="19">
        <f>('[1]Short Spot'!AA104-'[1]Short Spot'!AA103)*100</f>
        <v>-0.10421543114338405</v>
      </c>
      <c r="AB103" s="19">
        <f>('[1]Short Spot'!AB104-'[1]Short Spot'!AB103)*100</f>
        <v>-0.10630303329328683</v>
      </c>
      <c r="AC103" s="19">
        <f>('[1]Short Spot'!AC104-'[1]Short Spot'!AC103)*100</f>
        <v>-0.10686687232386305</v>
      </c>
      <c r="AD103" s="19">
        <f>('[1]Short Spot'!AD104-'[1]Short Spot'!AD103)*100</f>
        <v>-0.10601895028994335</v>
      </c>
      <c r="AE103" s="19">
        <f>('[1]Short Spot'!AE104-'[1]Short Spot'!AE103)*100</f>
        <v>-0.10385694229313458</v>
      </c>
      <c r="AF103" s="19">
        <f>('[1]Short Spot'!AF104-'[1]Short Spot'!AF103)*100</f>
        <v>-0.10046481920165107</v>
      </c>
      <c r="AG103" s="19">
        <f>('[1]Short Spot'!AG104-'[1]Short Spot'!AG103)*100</f>
        <v>-9.5916611113633365E-2</v>
      </c>
      <c r="AH103" s="19">
        <f>('[1]Short Spot'!AH104-'[1]Short Spot'!AH103)*100</f>
        <v>-9.0279364773504511E-2</v>
      </c>
      <c r="AI103" s="19">
        <f>('[1]Short Spot'!AI104-'[1]Short Spot'!AI103)*100</f>
        <v>-8.3614184941183112E-2</v>
      </c>
      <c r="AJ103" s="19">
        <f>('[1]Short Spot'!AJ104-'[1]Short Spot'!AJ103)*100</f>
        <v>-7.597708206352749E-2</v>
      </c>
      <c r="AK103" s="19">
        <f>('[1]Short Spot'!AK104-'[1]Short Spot'!AK103)*100</f>
        <v>-6.7419679818403466E-2</v>
      </c>
      <c r="AL103" s="19">
        <f>('[1]Short Spot'!AL104-'[1]Short Spot'!AL103)*100</f>
        <v>-5.7989826338911143E-2</v>
      </c>
      <c r="AM103" s="19">
        <f>('[1]Short Spot'!AM104-'[1]Short Spot'!AM103)*100</f>
        <v>-4.7732281747236982E-2</v>
      </c>
      <c r="AN103" s="19">
        <f>('[1]Short Spot'!AN104-'[1]Short Spot'!AN103)*100</f>
        <v>-3.6689244851384473E-2</v>
      </c>
      <c r="AO103" s="19">
        <f>('[1]Short Spot'!AO104-'[1]Short Spot'!AO103)*100</f>
        <v>-2.4900666765770296E-2</v>
      </c>
      <c r="AP103" s="19">
        <f>('[1]Short Spot'!AP104-'[1]Short Spot'!AP103)*100</f>
        <v>-1.2404524918885329E-2</v>
      </c>
      <c r="AQ103" s="19">
        <f>('[1]Short Spot'!AQ104-'[1]Short Spot'!AQ103)*100</f>
        <v>7.6294129334186778E-4</v>
      </c>
      <c r="AR103" s="19">
        <f>('[1]Short Spot'!AR104-'[1]Short Spot'!AR103)*100</f>
        <v>1.4566993157671959E-2</v>
      </c>
      <c r="AS103" s="19">
        <f>('[1]Short Spot'!AS104-'[1]Short Spot'!AS103)*100</f>
        <v>2.8974148989835413E-2</v>
      </c>
      <c r="AT103" s="19">
        <f>('[1]Short Spot'!AT104-'[1]Short Spot'!AT103)*100</f>
        <v>4.3952034014616004E-2</v>
      </c>
      <c r="AU103" s="19">
        <f>('[1]Short Spot'!AU104-'[1]Short Spot'!AU103)*100</f>
        <v>5.9469260513367317E-2</v>
      </c>
      <c r="AV103" s="19">
        <f>('[1]Short Spot'!AV104-'[1]Short Spot'!AV103)*100</f>
        <v>7.5495322816898636E-2</v>
      </c>
      <c r="AW103" s="19">
        <f>('[1]Short Spot'!AW104-'[1]Short Spot'!AW103)*100</f>
        <v>9.2000505425904322E-2</v>
      </c>
      <c r="AX103" s="19">
        <f>('[1]Short Spot'!AX104-'[1]Short Spot'!AX103)*100</f>
        <v>0.10895580238097224</v>
      </c>
      <c r="AY103" s="19">
        <f>('[1]Short Spot'!AY104-'[1]Short Spot'!AY103)*100</f>
        <v>0.12633284643088771</v>
      </c>
      <c r="AZ103" s="19">
        <f>('[1]Short Spot'!AZ104-'[1]Short Spot'!AZ103)*100</f>
        <v>0.14410389545078672</v>
      </c>
      <c r="BA103" s="19">
        <f>('[1]Short Spot'!BA104-'[1]Short Spot'!BA103)*100</f>
        <v>0.1622418748920218</v>
      </c>
      <c r="BB103" s="19">
        <f>('[1]Short Spot'!BB104-'[1]Short Spot'!BB103)*100</f>
        <v>0.18072025300712724</v>
      </c>
      <c r="BC103" s="19">
        <f>('[1]Short Spot'!BC104-'[1]Short Spot'!BC103)*100</f>
        <v>0.19951297628395537</v>
      </c>
      <c r="BD103" s="19">
        <f>('[1]Short Spot'!BD104-'[1]Short Spot'!BD103)*100</f>
        <v>0.21859442596987577</v>
      </c>
      <c r="BE103" s="19">
        <f>('[1]Short Spot'!BE104-'[1]Short Spot'!BE103)*100</f>
        <v>0.23793937925331576</v>
      </c>
      <c r="BF103" s="19">
        <f>('[1]Short Spot'!BF104-'[1]Short Spot'!BF103)*100</f>
        <v>0.25752297474692654</v>
      </c>
      <c r="BG103" s="19">
        <f>('[1]Short Spot'!BG104-'[1]Short Spot'!BG103)*100</f>
        <v>0.2773207388115928</v>
      </c>
      <c r="BH103" s="19">
        <f>('[1]Short Spot'!BH104-'[1]Short Spot'!BH103)*100</f>
        <v>0.29730862606207609</v>
      </c>
      <c r="BI103" s="19">
        <f>('[1]Short Spot'!BI104-'[1]Short Spot'!BI103)*100</f>
        <v>0.31746286603677731</v>
      </c>
    </row>
    <row r="104" spans="1:61" x14ac:dyDescent="0.2">
      <c r="A104" s="18">
        <v>39233</v>
      </c>
      <c r="B104" s="19">
        <f>('[1]Short Spot'!B105-'[1]Short Spot'!B104)*100</f>
        <v>-0.3964913900434297</v>
      </c>
      <c r="C104" s="19">
        <f>('[1]Short Spot'!C105-'[1]Short Spot'!C104)*100</f>
        <v>-0.23628899008514281</v>
      </c>
      <c r="D104" s="19">
        <f>('[1]Short Spot'!D105-'[1]Short Spot'!D104)*100</f>
        <v>-0.1144560434327424</v>
      </c>
      <c r="E104" s="19">
        <f>('[1]Short Spot'!E105-'[1]Short Spot'!E104)*100</f>
        <v>1.3311324086018317E-2</v>
      </c>
      <c r="F104" s="19">
        <f>('[1]Short Spot'!F105-'[1]Short Spot'!F104)*100</f>
        <v>0.14027141380035246</v>
      </c>
      <c r="G104" s="19">
        <f>('[1]Short Spot'!G105-'[1]Short Spot'!G104)*100</f>
        <v>0.26527167723173761</v>
      </c>
      <c r="H104" s="19">
        <f>('[1]Short Spot'!H105-'[1]Short Spot'!H104)*100</f>
        <v>0.38966336870593921</v>
      </c>
      <c r="I104" s="19">
        <f>('[1]Short Spot'!I105-'[1]Short Spot'!I104)*100</f>
        <v>0.51317996764561613</v>
      </c>
      <c r="J104" s="19">
        <f>('[1]Short Spot'!J105-'[1]Short Spot'!J104)*100</f>
        <v>0.63707904637686497</v>
      </c>
      <c r="K104" s="19">
        <f>('[1]Short Spot'!K105-'[1]Short Spot'!K104)*100</f>
        <v>0.76366945942654141</v>
      </c>
      <c r="L104" s="19">
        <f>('[1]Short Spot'!L105-'[1]Short Spot'!L104)*100</f>
        <v>0.89185728010754417</v>
      </c>
      <c r="M104" s="19">
        <f>('[1]Short Spot'!M105-'[1]Short Spot'!M104)*100</f>
        <v>1.0191308905446839</v>
      </c>
      <c r="N104" s="19">
        <f>('[1]Short Spot'!N105-'[1]Short Spot'!N104)*100</f>
        <v>1.1426791487608057</v>
      </c>
      <c r="O104" s="19">
        <f>('[1]Short Spot'!O105-'[1]Short Spot'!O104)*100</f>
        <v>1.2602752824266261</v>
      </c>
      <c r="P104" s="19">
        <f>('[1]Short Spot'!P105-'[1]Short Spot'!P104)*100</f>
        <v>1.3705043610454659</v>
      </c>
      <c r="Q104" s="19">
        <f>('[1]Short Spot'!Q105-'[1]Short Spot'!Q104)*100</f>
        <v>1.4724982202908521</v>
      </c>
      <c r="R104" s="19">
        <f>('[1]Short Spot'!R105-'[1]Short Spot'!R104)*100</f>
        <v>1.5657745231074216</v>
      </c>
      <c r="S104" s="19">
        <f>('[1]Short Spot'!S105-'[1]Short Spot'!S104)*100</f>
        <v>1.6501393755459226</v>
      </c>
      <c r="T104" s="19">
        <f>('[1]Short Spot'!T105-'[1]Short Spot'!T104)*100</f>
        <v>1.7256506514144121</v>
      </c>
      <c r="U104" s="19">
        <f>('[1]Short Spot'!U105-'[1]Short Spot'!U104)*100</f>
        <v>1.7925694344856247</v>
      </c>
      <c r="V104" s="19">
        <f>('[1]Short Spot'!V105-'[1]Short Spot'!V104)*100</f>
        <v>1.8513118309054555</v>
      </c>
      <c r="W104" s="19">
        <f>('[1]Short Spot'!W105-'[1]Short Spot'!W104)*100</f>
        <v>1.9024119345957935</v>
      </c>
      <c r="X104" s="19">
        <f>('[1]Short Spot'!X105-'[1]Short Spot'!X104)*100</f>
        <v>1.9464530557734783</v>
      </c>
      <c r="Y104" s="19">
        <f>('[1]Short Spot'!Y105-'[1]Short Spot'!Y104)*100</f>
        <v>1.9839905507565092</v>
      </c>
      <c r="Z104" s="19">
        <f>('[1]Short Spot'!Z105-'[1]Short Spot'!Z104)*100</f>
        <v>2.015547234476589</v>
      </c>
      <c r="AA104" s="19">
        <f>('[1]Short Spot'!AA105-'[1]Short Spot'!AA104)*100</f>
        <v>2.0416196346432436</v>
      </c>
      <c r="AB104" s="19">
        <f>('[1]Short Spot'!AB105-'[1]Short Spot'!AB104)*100</f>
        <v>2.0626828597478664</v>
      </c>
      <c r="AC104" s="19">
        <f>('[1]Short Spot'!AC105-'[1]Short Spot'!AC104)*100</f>
        <v>2.0791943988435868</v>
      </c>
      <c r="AD104" s="19">
        <f>('[1]Short Spot'!AD105-'[1]Short Spot'!AD104)*100</f>
        <v>2.0915931258076448</v>
      </c>
      <c r="AE104" s="19">
        <f>('[1]Short Spot'!AE105-'[1]Short Spot'!AE104)*100</f>
        <v>2.1002868024667443</v>
      </c>
      <c r="AF104" s="19">
        <f>('[1]Short Spot'!AF105-'[1]Short Spot'!AF104)*100</f>
        <v>2.1056502144455536</v>
      </c>
      <c r="AG104" s="19">
        <f>('[1]Short Spot'!AG105-'[1]Short Spot'!AG104)*100</f>
        <v>2.1080250135112166</v>
      </c>
      <c r="AH104" s="19">
        <f>('[1]Short Spot'!AH105-'[1]Short Spot'!AH104)*100</f>
        <v>2.1077187319371582</v>
      </c>
      <c r="AI104" s="19">
        <f>('[1]Short Spot'!AI105-'[1]Short Spot'!AI104)*100</f>
        <v>2.1050091736923626</v>
      </c>
      <c r="AJ104" s="19">
        <f>('[1]Short Spot'!AJ105-'[1]Short Spot'!AJ104)*100</f>
        <v>2.1001486619325327</v>
      </c>
      <c r="AK104" s="19">
        <f>('[1]Short Spot'!AK105-'[1]Short Spot'!AK104)*100</f>
        <v>2.0933675780016259</v>
      </c>
      <c r="AL104" s="19">
        <f>('[1]Short Spot'!AL105-'[1]Short Spot'!AL104)*100</f>
        <v>2.0848771831618151</v>
      </c>
      <c r="AM104" s="19">
        <f>('[1]Short Spot'!AM105-'[1]Short Spot'!AM104)*100</f>
        <v>2.0748699958661021</v>
      </c>
      <c r="AN104" s="19">
        <f>('[1]Short Spot'!AN105-'[1]Short Spot'!AN104)*100</f>
        <v>2.063519564718419</v>
      </c>
      <c r="AO104" s="19">
        <f>('[1]Short Spot'!AO105-'[1]Short Spot'!AO104)*100</f>
        <v>2.0509825273814286</v>
      </c>
      <c r="AP104" s="19">
        <f>('[1]Short Spot'!AP105-'[1]Short Spot'!AP104)*100</f>
        <v>2.0374006728913763</v>
      </c>
      <c r="AQ104" s="19">
        <f>('[1]Short Spot'!AQ105-'[1]Short Spot'!AQ104)*100</f>
        <v>2.0229027064759819</v>
      </c>
      <c r="AR104" s="19">
        <f>('[1]Short Spot'!AR105-'[1]Short Spot'!AR104)*100</f>
        <v>2.0076055788145197</v>
      </c>
      <c r="AS104" s="19">
        <f>('[1]Short Spot'!AS105-'[1]Short Spot'!AS104)*100</f>
        <v>1.991615286255044</v>
      </c>
      <c r="AT104" s="19">
        <f>('[1]Short Spot'!AT105-'[1]Short Spot'!AT104)*100</f>
        <v>1.975027927097095</v>
      </c>
      <c r="AU104" s="19">
        <f>('[1]Short Spot'!AU105-'[1]Short Spot'!AU104)*100</f>
        <v>1.9579307758612607</v>
      </c>
      <c r="AV104" s="19">
        <f>('[1]Short Spot'!AV105-'[1]Short Spot'!AV104)*100</f>
        <v>1.9404032219910938</v>
      </c>
      <c r="AW104" s="19">
        <f>('[1]Short Spot'!AW105-'[1]Short Spot'!AW104)*100</f>
        <v>1.9225175912128911</v>
      </c>
      <c r="AX104" s="19">
        <f>('[1]Short Spot'!AX105-'[1]Short Spot'!AX104)*100</f>
        <v>1.904339866325433</v>
      </c>
      <c r="AY104" s="19">
        <f>('[1]Short Spot'!AY105-'[1]Short Spot'!AY104)*100</f>
        <v>1.8859303216474999</v>
      </c>
      <c r="AZ104" s="19">
        <f>('[1]Short Spot'!AZ105-'[1]Short Spot'!AZ104)*100</f>
        <v>1.8673440715570422</v>
      </c>
      <c r="BA104" s="19">
        <f>('[1]Short Spot'!BA105-'[1]Short Spot'!BA104)*100</f>
        <v>1.8486312730876975</v>
      </c>
      <c r="BB104" s="19">
        <f>('[1]Short Spot'!BB105-'[1]Short Spot'!BB104)*100</f>
        <v>1.8298372853780442</v>
      </c>
      <c r="BC104" s="19">
        <f>('[1]Short Spot'!BC105-'[1]Short Spot'!BC104)*100</f>
        <v>1.8110030897886986</v>
      </c>
      <c r="BD104" s="19">
        <f>('[1]Short Spot'!BD105-'[1]Short Spot'!BD104)*100</f>
        <v>1.792165687882008</v>
      </c>
      <c r="BE104" s="19">
        <f>('[1]Short Spot'!BE105-'[1]Short Spot'!BE104)*100</f>
        <v>1.7733584567619864</v>
      </c>
      <c r="BF104" s="19">
        <f>('[1]Short Spot'!BF105-'[1]Short Spot'!BF104)*100</f>
        <v>1.7546114673191227</v>
      </c>
      <c r="BG104" s="19">
        <f>('[1]Short Spot'!BG105-'[1]Short Spot'!BG104)*100</f>
        <v>1.7359517986441197</v>
      </c>
      <c r="BH104" s="19">
        <f>('[1]Short Spot'!BH105-'[1]Short Spot'!BH104)*100</f>
        <v>1.7174036713788254</v>
      </c>
      <c r="BI104" s="19">
        <f>('[1]Short Spot'!BI105-'[1]Short Spot'!BI104)*100</f>
        <v>1.6989884571998459</v>
      </c>
    </row>
    <row r="105" spans="1:61" x14ac:dyDescent="0.2">
      <c r="A105" s="18">
        <v>39234</v>
      </c>
      <c r="B105" s="19">
        <f>('[1]Short Spot'!B106-'[1]Short Spot'!B105)*100</f>
        <v>0.18769004270122736</v>
      </c>
      <c r="C105" s="19">
        <f>('[1]Short Spot'!C106-'[1]Short Spot'!C105)*100</f>
        <v>0.82907877548290543</v>
      </c>
      <c r="D105" s="19">
        <f>('[1]Short Spot'!D106-'[1]Short Spot'!D105)*100</f>
        <v>1.1855934848889582</v>
      </c>
      <c r="E105" s="19">
        <f>('[1]Short Spot'!E106-'[1]Short Spot'!E105)*100</f>
        <v>1.5203627129944053</v>
      </c>
      <c r="F105" s="19">
        <f>('[1]Short Spot'!F106-'[1]Short Spot'!F105)*100</f>
        <v>1.8330100646936742</v>
      </c>
      <c r="G105" s="19">
        <f>('[1]Short Spot'!G106-'[1]Short Spot'!G105)*100</f>
        <v>2.1188604729831084</v>
      </c>
      <c r="H105" s="19">
        <f>('[1]Short Spot'!H106-'[1]Short Spot'!H105)*100</f>
        <v>2.3774707563070763</v>
      </c>
      <c r="I105" s="19">
        <f>('[1]Short Spot'!I106-'[1]Short Spot'!I105)*100</f>
        <v>2.6100843777294713</v>
      </c>
      <c r="J105" s="19">
        <f>('[1]Short Spot'!J106-'[1]Short Spot'!J105)*100</f>
        <v>2.8182504131129882</v>
      </c>
      <c r="K105" s="19">
        <f>('[1]Short Spot'!K106-'[1]Short Spot'!K105)*100</f>
        <v>3.003918091805069</v>
      </c>
      <c r="L105" s="19">
        <f>('[1]Short Spot'!L106-'[1]Short Spot'!L105)*100</f>
        <v>3.169482854023542</v>
      </c>
      <c r="M105" s="19">
        <f>('[1]Short Spot'!M106-'[1]Short Spot'!M105)*100</f>
        <v>3.3170306677178907</v>
      </c>
      <c r="N105" s="19">
        <f>('[1]Short Spot'!N106-'[1]Short Spot'!N105)*100</f>
        <v>3.4481863106031518</v>
      </c>
      <c r="O105" s="19">
        <f>('[1]Short Spot'!O106-'[1]Short Spot'!O105)*100</f>
        <v>3.5642593475449402</v>
      </c>
      <c r="P105" s="19">
        <f>('[1]Short Spot'!P106-'[1]Short Spot'!P105)*100</f>
        <v>3.6665150577722905</v>
      </c>
      <c r="Q105" s="19">
        <f>('[1]Short Spot'!Q106-'[1]Short Spot'!Q105)*100</f>
        <v>3.7562317657880762</v>
      </c>
      <c r="R105" s="19">
        <f>('[1]Short Spot'!R106-'[1]Short Spot'!R105)*100</f>
        <v>3.8346934352434303</v>
      </c>
      <c r="S105" s="19">
        <f>('[1]Short Spot'!S106-'[1]Short Spot'!S105)*100</f>
        <v>3.9031196787886913</v>
      </c>
      <c r="T105" s="19">
        <f>('[1]Short Spot'!T106-'[1]Short Spot'!T105)*100</f>
        <v>3.9625988523639855</v>
      </c>
      <c r="U105" s="19">
        <f>('[1]Short Spot'!U106-'[1]Short Spot'!U105)*100</f>
        <v>4.01411540142389</v>
      </c>
      <c r="V105" s="19">
        <f>('[1]Short Spot'!V106-'[1]Short Spot'!V105)*100</f>
        <v>4.0585747673771877</v>
      </c>
      <c r="W105" s="19">
        <f>('[1]Short Spot'!W106-'[1]Short Spot'!W105)*100</f>
        <v>4.0968222951702771</v>
      </c>
      <c r="X105" s="19">
        <f>('[1]Short Spot'!X106-'[1]Short Spot'!X105)*100</f>
        <v>4.1296313749872304</v>
      </c>
      <c r="Y105" s="19">
        <f>('[1]Short Spot'!Y106-'[1]Short Spot'!Y105)*100</f>
        <v>4.1576632961051629</v>
      </c>
      <c r="Z105" s="19">
        <f>('[1]Short Spot'!Z106-'[1]Short Spot'!Z105)*100</f>
        <v>4.1814803208179541</v>
      </c>
      <c r="AA105" s="19">
        <f>('[1]Short Spot'!AA106-'[1]Short Spot'!AA105)*100</f>
        <v>4.2015647269508349</v>
      </c>
      <c r="AB105" s="19">
        <f>('[1]Short Spot'!AB106-'[1]Short Spot'!AB105)*100</f>
        <v>4.2183336197985533</v>
      </c>
      <c r="AC105" s="19">
        <f>('[1]Short Spot'!AC106-'[1]Short Spot'!AC105)*100</f>
        <v>4.2321505325732645</v>
      </c>
      <c r="AD105" s="19">
        <f>('[1]Short Spot'!AD106-'[1]Short Spot'!AD105)*100</f>
        <v>4.2433335942289041</v>
      </c>
      <c r="AE105" s="19">
        <f>('[1]Short Spot'!AE106-'[1]Short Spot'!AE105)*100</f>
        <v>4.2521632011295551</v>
      </c>
      <c r="AF105" s="19">
        <f>('[1]Short Spot'!AF106-'[1]Short Spot'!AF105)*100</f>
        <v>4.25888883615686</v>
      </c>
      <c r="AG105" s="19">
        <f>('[1]Short Spot'!AG106-'[1]Short Spot'!AG105)*100</f>
        <v>4.2637296812007897</v>
      </c>
      <c r="AH105" s="19">
        <f>('[1]Short Spot'!AH106-'[1]Short Spot'!AH105)*100</f>
        <v>4.2668787673378894</v>
      </c>
      <c r="AI105" s="19">
        <f>('[1]Short Spot'!AI106-'[1]Short Spot'!AI105)*100</f>
        <v>4.2685075187288923</v>
      </c>
      <c r="AJ105" s="19">
        <f>('[1]Short Spot'!AJ106-'[1]Short Spot'!AJ105)*100</f>
        <v>4.2687688404939195</v>
      </c>
      <c r="AK105" s="19">
        <f>('[1]Short Spot'!AK106-'[1]Short Spot'!AK105)*100</f>
        <v>4.2677996908017768</v>
      </c>
      <c r="AL105" s="19">
        <f>('[1]Short Spot'!AL106-'[1]Short Spot'!AL105)*100</f>
        <v>4.2657231275883944</v>
      </c>
      <c r="AM105" s="19">
        <f>('[1]Short Spot'!AM106-'[1]Short Spot'!AM105)*100</f>
        <v>4.2626498112238842</v>
      </c>
      <c r="AN105" s="19">
        <f>('[1]Short Spot'!AN106-'[1]Short Spot'!AN105)*100</f>
        <v>4.2586801624218573</v>
      </c>
      <c r="AO105" s="19">
        <f>('[1]Short Spot'!AO106-'[1]Short Spot'!AO105)*100</f>
        <v>4.2539058423498588</v>
      </c>
      <c r="AP105" s="19">
        <f>('[1]Short Spot'!AP106-'[1]Short Spot'!AP105)*100</f>
        <v>4.2484108209714933</v>
      </c>
      <c r="AQ105" s="19">
        <f>('[1]Short Spot'!AQ106-'[1]Short Spot'!AQ105)*100</f>
        <v>4.2422722793444834</v>
      </c>
      <c r="AR105" s="19">
        <f>('[1]Short Spot'!AR106-'[1]Short Spot'!AR105)*100</f>
        <v>4.235560924630466</v>
      </c>
      <c r="AS105" s="19">
        <f>('[1]Short Spot'!AS106-'[1]Short Spot'!AS105)*100</f>
        <v>4.2283408121134514</v>
      </c>
      <c r="AT105" s="19">
        <f>('[1]Short Spot'!AT106-'[1]Short Spot'!AT105)*100</f>
        <v>4.2206699237619105</v>
      </c>
      <c r="AU105" s="19">
        <f>('[1]Short Spot'!AU106-'[1]Short Spot'!AU105)*100</f>
        <v>4.2126008296302864</v>
      </c>
      <c r="AV105" s="19">
        <f>('[1]Short Spot'!AV106-'[1]Short Spot'!AV105)*100</f>
        <v>4.2041812635937426</v>
      </c>
      <c r="AW105" s="19">
        <f>('[1]Short Spot'!AW106-'[1]Short Spot'!AW105)*100</f>
        <v>4.1954546271180782</v>
      </c>
      <c r="AX105" s="19">
        <f>('[1]Short Spot'!AX106-'[1]Short Spot'!AX105)*100</f>
        <v>4.1864604313407661</v>
      </c>
      <c r="AY105" s="19">
        <f>('[1]Short Spot'!AY106-'[1]Short Spot'!AY105)*100</f>
        <v>4.177234687264697</v>
      </c>
      <c r="AZ105" s="19">
        <f>('[1]Short Spot'!AZ106-'[1]Short Spot'!AZ105)*100</f>
        <v>4.1678103242196229</v>
      </c>
      <c r="BA105" s="19">
        <f>('[1]Short Spot'!BA106-'[1]Short Spot'!BA105)*100</f>
        <v>4.1582172986490917</v>
      </c>
      <c r="BB105" s="19">
        <f>('[1]Short Spot'!BB106-'[1]Short Spot'!BB105)*100</f>
        <v>4.1484824874109094</v>
      </c>
      <c r="BC105" s="19">
        <f>('[1]Short Spot'!BC106-'[1]Short Spot'!BC105)*100</f>
        <v>4.1386299393861847</v>
      </c>
      <c r="BD105" s="19">
        <f>('[1]Short Spot'!BD106-'[1]Short Spot'!BD105)*100</f>
        <v>4.1286811325684347</v>
      </c>
      <c r="BE105" s="19">
        <f>('[1]Short Spot'!BE106-'[1]Short Spot'!BE105)*100</f>
        <v>4.1186552036060142</v>
      </c>
      <c r="BF105" s="19">
        <f>('[1]Short Spot'!BF106-'[1]Short Spot'!BF105)*100</f>
        <v>4.1085691554655135</v>
      </c>
      <c r="BG105" s="19">
        <f>('[1]Short Spot'!BG106-'[1]Short Spot'!BG105)*100</f>
        <v>4.0984382407706299</v>
      </c>
      <c r="BH105" s="19">
        <f>('[1]Short Spot'!BH106-'[1]Short Spot'!BH105)*100</f>
        <v>4.0882762562352681</v>
      </c>
      <c r="BI105" s="19">
        <f>('[1]Short Spot'!BI106-'[1]Short Spot'!BI105)*100</f>
        <v>4.0780953370513018</v>
      </c>
    </row>
    <row r="106" spans="1:61" x14ac:dyDescent="0.2">
      <c r="A106" s="18">
        <v>39237</v>
      </c>
      <c r="B106" s="19">
        <f>('[1]Short Spot'!B107-'[1]Short Spot'!B106)*100</f>
        <v>0.86506839658273549</v>
      </c>
      <c r="C106" s="19">
        <f>('[1]Short Spot'!C107-'[1]Short Spot'!C106)*100</f>
        <v>1.4593605002885646</v>
      </c>
      <c r="D106" s="19">
        <f>('[1]Short Spot'!D107-'[1]Short Spot'!D106)*100</f>
        <v>1.4363750343465931</v>
      </c>
      <c r="E106" s="19">
        <f>('[1]Short Spot'!E107-'[1]Short Spot'!E106)*100</f>
        <v>1.3142838168554327</v>
      </c>
      <c r="F106" s="19">
        <f>('[1]Short Spot'!F107-'[1]Short Spot'!F106)*100</f>
        <v>1.2173583834615087</v>
      </c>
      <c r="G106" s="19">
        <f>('[1]Short Spot'!G107-'[1]Short Spot'!G106)*100</f>
        <v>1.1749532431776899</v>
      </c>
      <c r="H106" s="19">
        <f>('[1]Short Spot'!H107-'[1]Short Spot'!H106)*100</f>
        <v>1.1830671996323261</v>
      </c>
      <c r="I106" s="19">
        <f>('[1]Short Spot'!I107-'[1]Short Spot'!I106)*100</f>
        <v>1.2214280831564395</v>
      </c>
      <c r="J106" s="19">
        <f>('[1]Short Spot'!J107-'[1]Short Spot'!J106)*100</f>
        <v>1.2742296665118502</v>
      </c>
      <c r="K106" s="19">
        <f>('[1]Short Spot'!K107-'[1]Short Spot'!K106)*100</f>
        <v>1.3306130637388947</v>
      </c>
      <c r="L106" s="19">
        <f>('[1]Short Spot'!L107-'[1]Short Spot'!L106)*100</f>
        <v>1.3826744648689271</v>
      </c>
      <c r="M106" s="19">
        <f>('[1]Short Spot'!M107-'[1]Short Spot'!M106)*100</f>
        <v>1.4270288801463415</v>
      </c>
      <c r="N106" s="19">
        <f>('[1]Short Spot'!N107-'[1]Short Spot'!N106)*100</f>
        <v>1.4632906275599211</v>
      </c>
      <c r="O106" s="19">
        <f>('[1]Short Spot'!O107-'[1]Short Spot'!O106)*100</f>
        <v>1.4921649369380674</v>
      </c>
      <c r="P106" s="19">
        <f>('[1]Short Spot'!P107-'[1]Short Spot'!P106)*100</f>
        <v>1.5144189994610535</v>
      </c>
      <c r="Q106" s="19">
        <f>('[1]Short Spot'!Q107-'[1]Short Spot'!Q106)*100</f>
        <v>1.53082325516678</v>
      </c>
      <c r="R106" s="19">
        <f>('[1]Short Spot'!R107-'[1]Short Spot'!R106)*100</f>
        <v>1.5421470087954248</v>
      </c>
      <c r="S106" s="19">
        <f>('[1]Short Spot'!S107-'[1]Short Spot'!S106)*100</f>
        <v>1.5490937513262359</v>
      </c>
      <c r="T106" s="19">
        <f>('[1]Short Spot'!T107-'[1]Short Spot'!T106)*100</f>
        <v>1.5522291963100621</v>
      </c>
      <c r="U106" s="19">
        <f>('[1]Short Spot'!U107-'[1]Short Spot'!U106)*100</f>
        <v>1.5520043432738717</v>
      </c>
      <c r="V106" s="19">
        <f>('[1]Short Spot'!V107-'[1]Short Spot'!V106)*100</f>
        <v>1.5487828145701599</v>
      </c>
      <c r="W106" s="19">
        <f>('[1]Short Spot'!W107-'[1]Short Spot'!W106)*100</f>
        <v>1.5428631200616216</v>
      </c>
      <c r="X106" s="19">
        <f>('[1]Short Spot'!X107-'[1]Short Spot'!X106)*100</f>
        <v>1.534505795883323</v>
      </c>
      <c r="Y106" s="19">
        <f>('[1]Short Spot'!Y107-'[1]Short Spot'!Y106)*100</f>
        <v>1.523945521988157</v>
      </c>
      <c r="Z106" s="19">
        <f>('[1]Short Spot'!Z107-'[1]Short Spot'!Z106)*100</f>
        <v>1.5113957696642366</v>
      </c>
      <c r="AA106" s="19">
        <f>('[1]Short Spot'!AA107-'[1]Short Spot'!AA106)*100</f>
        <v>1.4970528801239169</v>
      </c>
      <c r="AB106" s="19">
        <f>('[1]Short Spot'!AB107-'[1]Short Spot'!AB106)*100</f>
        <v>1.4810992367404907</v>
      </c>
      <c r="AC106" s="19">
        <f>('[1]Short Spot'!AC107-'[1]Short Spot'!AC106)*100</f>
        <v>1.463705724474007</v>
      </c>
      <c r="AD106" s="19">
        <f>('[1]Short Spot'!AD107-'[1]Short Spot'!AD106)*100</f>
        <v>1.4450323359031181</v>
      </c>
      <c r="AE106" s="19">
        <f>('[1]Short Spot'!AE107-'[1]Short Spot'!AE106)*100</f>
        <v>1.4252272445403058</v>
      </c>
      <c r="AF106" s="19">
        <f>('[1]Short Spot'!AF107-'[1]Short Spot'!AF106)*100</f>
        <v>1.4044278513319242</v>
      </c>
      <c r="AG106" s="19">
        <f>('[1]Short Spot'!AG107-'[1]Short Spot'!AG106)*100</f>
        <v>1.3827596946669907</v>
      </c>
      <c r="AH106" s="19">
        <f>('[1]Short Spot'!AH107-'[1]Short Spot'!AH106)*100</f>
        <v>1.3603369428131451</v>
      </c>
      <c r="AI106" s="19">
        <f>('[1]Short Spot'!AI107-'[1]Short Spot'!AI106)*100</f>
        <v>1.3372641570701838</v>
      </c>
      <c r="AJ106" s="19">
        <f>('[1]Short Spot'!AJ107-'[1]Short Spot'!AJ106)*100</f>
        <v>1.3136376642250092</v>
      </c>
      <c r="AK106" s="19">
        <f>('[1]Short Spot'!AK107-'[1]Short Spot'!AK106)*100</f>
        <v>1.2895467002347338</v>
      </c>
      <c r="AL106" s="19">
        <f>('[1]Short Spot'!AL107-'[1]Short Spot'!AL106)*100</f>
        <v>1.2650742164433737</v>
      </c>
      <c r="AM106" s="19">
        <f>('[1]Short Spot'!AM107-'[1]Short Spot'!AM106)*100</f>
        <v>1.2402964422098428</v>
      </c>
      <c r="AN106" s="19">
        <f>('[1]Short Spot'!AN107-'[1]Short Spot'!AN106)*100</f>
        <v>1.2152828009030614</v>
      </c>
      <c r="AO106" s="19">
        <f>('[1]Short Spot'!AO107-'[1]Short Spot'!AO106)*100</f>
        <v>1.1900967132222995</v>
      </c>
      <c r="AP106" s="19">
        <f>('[1]Short Spot'!AP107-'[1]Short Spot'!AP106)*100</f>
        <v>1.1647963292331198</v>
      </c>
      <c r="AQ106" s="19">
        <f>('[1]Short Spot'!AQ107-'[1]Short Spot'!AQ106)*100</f>
        <v>1.1394351461665231</v>
      </c>
      <c r="AR106" s="19">
        <f>('[1]Short Spot'!AR107-'[1]Short Spot'!AR106)*100</f>
        <v>1.1140622763730512</v>
      </c>
      <c r="AS106" s="19">
        <f>('[1]Short Spot'!AS107-'[1]Short Spot'!AS106)*100</f>
        <v>1.0887224784259075</v>
      </c>
      <c r="AT106" s="19">
        <f>('[1]Short Spot'!AT107-'[1]Short Spot'!AT106)*100</f>
        <v>1.0634565686763686</v>
      </c>
      <c r="AU106" s="19">
        <f>('[1]Short Spot'!AU107-'[1]Short Spot'!AU106)*100</f>
        <v>1.0383018502194474</v>
      </c>
      <c r="AV106" s="19">
        <f>('[1]Short Spot'!AV107-'[1]Short Spot'!AV106)*100</f>
        <v>1.0132924866435467</v>
      </c>
      <c r="AW106" s="19">
        <f>('[1]Short Spot'!AW107-'[1]Short Spot'!AW106)*100</f>
        <v>0.98845982906299312</v>
      </c>
      <c r="AX106" s="19">
        <f>('[1]Short Spot'!AX107-'[1]Short Spot'!AX106)*100</f>
        <v>0.96383270310536062</v>
      </c>
      <c r="AY106" s="19">
        <f>('[1]Short Spot'!AY107-'[1]Short Spot'!AY106)*100</f>
        <v>0.93943766185216049</v>
      </c>
      <c r="AZ106" s="19">
        <f>('[1]Short Spot'!AZ107-'[1]Short Spot'!AZ106)*100</f>
        <v>0.91529917018595697</v>
      </c>
      <c r="BA106" s="19">
        <f>('[1]Short Spot'!BA107-'[1]Short Spot'!BA106)*100</f>
        <v>0.89143946422973741</v>
      </c>
      <c r="BB106" s="19">
        <f>('[1]Short Spot'!BB107-'[1]Short Spot'!BB106)*100</f>
        <v>0.86787852494918383</v>
      </c>
      <c r="BC106" s="19">
        <f>('[1]Short Spot'!BC107-'[1]Short Spot'!BC106)*100</f>
        <v>0.84463427595053986</v>
      </c>
      <c r="BD106" s="19">
        <f>('[1]Short Spot'!BD107-'[1]Short Spot'!BD106)*100</f>
        <v>0.82172277051233422</v>
      </c>
      <c r="BE106" s="19">
        <f>('[1]Short Spot'!BE107-'[1]Short Spot'!BE106)*100</f>
        <v>0.79915835858033191</v>
      </c>
      <c r="BF106" s="19">
        <f>('[1]Short Spot'!BF107-'[1]Short Spot'!BF106)*100</f>
        <v>0.77695383725737699</v>
      </c>
      <c r="BG106" s="19">
        <f>('[1]Short Spot'!BG107-'[1]Short Spot'!BG106)*100</f>
        <v>0.75512059754538896</v>
      </c>
      <c r="BH106" s="19">
        <f>('[1]Short Spot'!BH107-'[1]Short Spot'!BH106)*100</f>
        <v>0.73366852143630368</v>
      </c>
      <c r="BI106" s="19">
        <f>('[1]Short Spot'!BI107-'[1]Short Spot'!BI106)*100</f>
        <v>0.71260588771870914</v>
      </c>
    </row>
    <row r="107" spans="1:61" x14ac:dyDescent="0.2">
      <c r="A107" s="18">
        <v>39238</v>
      </c>
      <c r="B107" s="19">
        <f>('[1]Short Spot'!B108-'[1]Short Spot'!B107)*100</f>
        <v>0.54958705311918266</v>
      </c>
      <c r="C107" s="19">
        <f>('[1]Short Spot'!C108-'[1]Short Spot'!C107)*100</f>
        <v>0.27627383093573599</v>
      </c>
      <c r="D107" s="19">
        <f>('[1]Short Spot'!D108-'[1]Short Spot'!D107)*100</f>
        <v>-0.13698689513628182</v>
      </c>
      <c r="E107" s="19">
        <f>('[1]Short Spot'!E108-'[1]Short Spot'!E107)*100</f>
        <v>-0.50047649773921066</v>
      </c>
      <c r="F107" s="19">
        <f>('[1]Short Spot'!F108-'[1]Short Spot'!F107)*100</f>
        <v>-0.74766893327362638</v>
      </c>
      <c r="G107" s="19">
        <f>('[1]Short Spot'!G108-'[1]Short Spot'!G107)*100</f>
        <v>-0.88601829427927825</v>
      </c>
      <c r="H107" s="19">
        <f>('[1]Short Spot'!H108-'[1]Short Spot'!H107)*100</f>
        <v>-0.94995760513825189</v>
      </c>
      <c r="I107" s="19">
        <f>('[1]Short Spot'!I108-'[1]Short Spot'!I107)*100</f>
        <v>-0.97883119769814897</v>
      </c>
      <c r="J107" s="19">
        <f>('[1]Short Spot'!J108-'[1]Short Spot'!J107)*100</f>
        <v>-0.99549967328185218</v>
      </c>
      <c r="K107" s="19">
        <f>('[1]Short Spot'!K108-'[1]Short Spot'!K107)*100</f>
        <v>-1.0110830735763798</v>
      </c>
      <c r="L107" s="19">
        <f>('[1]Short Spot'!L108-'[1]Short Spot'!L107)*100</f>
        <v>-1.0290817944387243</v>
      </c>
      <c r="M107" s="19">
        <f>('[1]Short Spot'!M108-'[1]Short Spot'!M107)*100</f>
        <v>-1.0490660532045837</v>
      </c>
      <c r="N107" s="19">
        <f>('[1]Short Spot'!N108-'[1]Short Spot'!N107)*100</f>
        <v>-1.0685789647665977</v>
      </c>
      <c r="O107" s="19">
        <f>('[1]Short Spot'!O108-'[1]Short Spot'!O107)*100</f>
        <v>-1.0849128142570663</v>
      </c>
      <c r="P107" s="19">
        <f>('[1]Short Spot'!P108-'[1]Short Spot'!P107)*100</f>
        <v>-1.0962478570794687</v>
      </c>
      <c r="Q107" s="19">
        <f>('[1]Short Spot'!Q108-'[1]Short Spot'!Q107)*100</f>
        <v>-1.1014736975041295</v>
      </c>
      <c r="R107" s="19">
        <f>('[1]Short Spot'!R108-'[1]Short Spot'!R107)*100</f>
        <v>-1.0999827971236442</v>
      </c>
      <c r="S107" s="19">
        <f>('[1]Short Spot'!S108-'[1]Short Spot'!S107)*100</f>
        <v>-1.091551875490282</v>
      </c>
      <c r="T107" s="19">
        <f>('[1]Short Spot'!T108-'[1]Short Spot'!T107)*100</f>
        <v>-1.076247692314336</v>
      </c>
      <c r="U107" s="19">
        <f>('[1]Short Spot'!U108-'[1]Short Spot'!U107)*100</f>
        <v>-1.054350303056939</v>
      </c>
      <c r="V107" s="19">
        <f>('[1]Short Spot'!V108-'[1]Short Spot'!V107)*100</f>
        <v>-1.0263022273592881</v>
      </c>
      <c r="W107" s="19">
        <f>('[1]Short Spot'!W108-'[1]Short Spot'!W107)*100</f>
        <v>-0.99266176110317517</v>
      </c>
      <c r="X107" s="19">
        <f>('[1]Short Spot'!X108-'[1]Short Spot'!X107)*100</f>
        <v>-0.95400358089605675</v>
      </c>
      <c r="Y107" s="19">
        <f>('[1]Short Spot'!Y108-'[1]Short Spot'!Y107)*100</f>
        <v>-0.91086130032982382</v>
      </c>
      <c r="Z107" s="19">
        <f>('[1]Short Spot'!Z108-'[1]Short Spot'!Z107)*100</f>
        <v>-0.86373262435630593</v>
      </c>
      <c r="AA107" s="19">
        <f>('[1]Short Spot'!AA108-'[1]Short Spot'!AA107)*100</f>
        <v>-0.81308625479348251</v>
      </c>
      <c r="AB107" s="19">
        <f>('[1]Short Spot'!AB108-'[1]Short Spot'!AB107)*100</f>
        <v>-0.75936726127681098</v>
      </c>
      <c r="AC107" s="19">
        <f>('[1]Short Spot'!AC108-'[1]Short Spot'!AC107)*100</f>
        <v>-0.70300120441659786</v>
      </c>
      <c r="AD107" s="19">
        <f>('[1]Short Spot'!AD108-'[1]Short Spot'!AD107)*100</f>
        <v>-0.64439081583058666</v>
      </c>
      <c r="AE107" s="19">
        <f>('[1]Short Spot'!AE108-'[1]Short Spot'!AE107)*100</f>
        <v>-0.58390074037664164</v>
      </c>
      <c r="AF107" s="19">
        <f>('[1]Short Spot'!AF108-'[1]Short Spot'!AF107)*100</f>
        <v>-0.5218577333694796</v>
      </c>
      <c r="AG107" s="19">
        <f>('[1]Short Spot'!AG108-'[1]Short Spot'!AG107)*100</f>
        <v>-0.45855432672032848</v>
      </c>
      <c r="AH107" s="19">
        <f>('[1]Short Spot'!AH108-'[1]Short Spot'!AH107)*100</f>
        <v>-0.39425021542545124</v>
      </c>
      <c r="AI107" s="19">
        <f>('[1]Short Spot'!AI108-'[1]Short Spot'!AI107)*100</f>
        <v>-0.32917653825768056</v>
      </c>
      <c r="AJ107" s="19">
        <f>('[1]Short Spot'!AJ108-'[1]Short Spot'!AJ107)*100</f>
        <v>-0.2635399572225694</v>
      </c>
      <c r="AK107" s="19">
        <f>('[1]Short Spot'!AK108-'[1]Short Spot'!AK107)*100</f>
        <v>-0.19752605711103044</v>
      </c>
      <c r="AL107" s="19">
        <f>('[1]Short Spot'!AL108-'[1]Short Spot'!AL107)*100</f>
        <v>-0.13130206562346203</v>
      </c>
      <c r="AM107" s="19">
        <f>('[1]Short Spot'!AM108-'[1]Short Spot'!AM107)*100</f>
        <v>-6.5017548966750383E-2</v>
      </c>
      <c r="AN107" s="19">
        <f>('[1]Short Spot'!AN108-'[1]Short Spot'!AN107)*100</f>
        <v>1.1952352732436111E-3</v>
      </c>
      <c r="AO107" s="19">
        <f>('[1]Short Spot'!AO108-'[1]Short Spot'!AO107)*100</f>
        <v>6.7219369856363897E-2</v>
      </c>
      <c r="AP107" s="19">
        <f>('[1]Short Spot'!AP108-'[1]Short Spot'!AP107)*100</f>
        <v>0.13295140711244713</v>
      </c>
      <c r="AQ107" s="19">
        <f>('[1]Short Spot'!AQ108-'[1]Short Spot'!AQ107)*100</f>
        <v>0.1982997602770098</v>
      </c>
      <c r="AR107" s="19">
        <f>('[1]Short Spot'!AR108-'[1]Short Spot'!AR107)*100</f>
        <v>0.26318329241865612</v>
      </c>
      <c r="AS107" s="19">
        <f>('[1]Short Spot'!AS108-'[1]Short Spot'!AS107)*100</f>
        <v>0.32753024199063674</v>
      </c>
      <c r="AT107" s="19">
        <f>('[1]Short Spot'!AT108-'[1]Short Spot'!AT107)*100</f>
        <v>0.39127725415664116</v>
      </c>
      <c r="AU107" s="19">
        <f>('[1]Short Spot'!AU108-'[1]Short Spot'!AU107)*100</f>
        <v>0.45436846819679744</v>
      </c>
      <c r="AV107" s="19">
        <f>('[1]Short Spot'!AV108-'[1]Short Spot'!AV107)*100</f>
        <v>0.51675472026238012</v>
      </c>
      <c r="AW107" s="19">
        <f>('[1]Short Spot'!AW108-'[1]Short Spot'!AW107)*100</f>
        <v>0.57839284578475869</v>
      </c>
      <c r="AX107" s="19">
        <f>('[1]Short Spot'!AX108-'[1]Short Spot'!AX107)*100</f>
        <v>0.63924506730401731</v>
      </c>
      <c r="AY107" s="19">
        <f>('[1]Short Spot'!AY108-'[1]Short Spot'!AY107)*100</f>
        <v>0.69927845635238128</v>
      </c>
      <c r="AZ107" s="19">
        <f>('[1]Short Spot'!AZ108-'[1]Short Spot'!AZ107)*100</f>
        <v>0.75846445400316043</v>
      </c>
      <c r="BA107" s="19">
        <f>('[1]Short Spot'!BA108-'[1]Short Spot'!BA107)*100</f>
        <v>0.81677828828938814</v>
      </c>
      <c r="BB107" s="19">
        <f>('[1]Short Spot'!BB108-'[1]Short Spot'!BB107)*100</f>
        <v>0.87419848495784436</v>
      </c>
      <c r="BC107" s="19">
        <f>('[1]Short Spot'!BC108-'[1]Short Spot'!BC107)*100</f>
        <v>0.93070655573814776</v>
      </c>
      <c r="BD107" s="19">
        <f>('[1]Short Spot'!BD108-'[1]Short Spot'!BD107)*100</f>
        <v>0.98628672688949592</v>
      </c>
      <c r="BE107" s="19">
        <f>('[1]Short Spot'!BE108-'[1]Short Spot'!BE107)*100</f>
        <v>1.040925696831696</v>
      </c>
      <c r="BF107" s="19">
        <f>('[1]Short Spot'!BF108-'[1]Short Spot'!BF107)*100</f>
        <v>1.0946124209547214</v>
      </c>
      <c r="BG107" s="19">
        <f>('[1]Short Spot'!BG108-'[1]Short Spot'!BG107)*100</f>
        <v>1.1473379857430466</v>
      </c>
      <c r="BH107" s="19">
        <f>('[1]Short Spot'!BH108-'[1]Short Spot'!BH107)*100</f>
        <v>1.199095437231712</v>
      </c>
      <c r="BI107" s="19">
        <f>('[1]Short Spot'!BI108-'[1]Short Spot'!BI107)*100</f>
        <v>1.2498795157347864</v>
      </c>
    </row>
    <row r="108" spans="1:61" x14ac:dyDescent="0.2">
      <c r="A108" s="18">
        <v>39239</v>
      </c>
      <c r="B108" s="19">
        <f>('[1]Short Spot'!B109-'[1]Short Spot'!B108)*100</f>
        <v>0.57775117393363828</v>
      </c>
      <c r="C108" s="19">
        <f>('[1]Short Spot'!C109-'[1]Short Spot'!C108)*100</f>
        <v>0.11068574755048743</v>
      </c>
      <c r="D108" s="19">
        <f>('[1]Short Spot'!D109-'[1]Short Spot'!D108)*100</f>
        <v>-0.32862221219511767</v>
      </c>
      <c r="E108" s="19">
        <f>('[1]Short Spot'!E109-'[1]Short Spot'!E108)*100</f>
        <v>-0.70783892164465456</v>
      </c>
      <c r="F108" s="19">
        <f>('[1]Short Spot'!F109-'[1]Short Spot'!F108)*100</f>
        <v>-1.0483139048173662</v>
      </c>
      <c r="G108" s="19">
        <f>('[1]Short Spot'!G109-'[1]Short Spot'!G108)*100</f>
        <v>-1.3666205528674702</v>
      </c>
      <c r="H108" s="19">
        <f>('[1]Short Spot'!H109-'[1]Short Spot'!H108)*100</f>
        <v>-1.6766575012226781</v>
      </c>
      <c r="I108" s="19">
        <f>('[1]Short Spot'!I109-'[1]Short Spot'!I108)*100</f>
        <v>-1.9883402948751794</v>
      </c>
      <c r="J108" s="19">
        <f>('[1]Short Spot'!J109-'[1]Short Spot'!J108)*100</f>
        <v>-2.3036571402594852</v>
      </c>
      <c r="K108" s="19">
        <f>('[1]Short Spot'!K109-'[1]Short Spot'!K108)*100</f>
        <v>-2.6203445328995656</v>
      </c>
      <c r="L108" s="19">
        <f>('[1]Short Spot'!L109-'[1]Short Spot'!L108)*100</f>
        <v>-2.9348804509193194</v>
      </c>
      <c r="M108" s="19">
        <f>('[1]Short Spot'!M109-'[1]Short Spot'!M108)*100</f>
        <v>-3.2422046163835816</v>
      </c>
      <c r="N108" s="19">
        <f>('[1]Short Spot'!N109-'[1]Short Spot'!N108)*100</f>
        <v>-3.5362685010538186</v>
      </c>
      <c r="O108" s="19">
        <f>('[1]Short Spot'!O109-'[1]Short Spot'!O108)*100</f>
        <v>-3.8119305359071376</v>
      </c>
      <c r="P108" s="19">
        <f>('[1]Short Spot'!P109-'[1]Short Spot'!P108)*100</f>
        <v>-4.0662002793483865</v>
      </c>
      <c r="Q108" s="19">
        <f>('[1]Short Spot'!Q109-'[1]Short Spot'!Q108)*100</f>
        <v>-4.2977110928681839</v>
      </c>
      <c r="R108" s="19">
        <f>('[1]Short Spot'!R109-'[1]Short Spot'!R108)*100</f>
        <v>-4.5062408123634157</v>
      </c>
      <c r="S108" s="19">
        <f>('[1]Short Spot'!S109-'[1]Short Spot'!S108)*100</f>
        <v>-4.6923338007001547</v>
      </c>
      <c r="T108" s="19">
        <f>('[1]Short Spot'!T109-'[1]Short Spot'!T108)*100</f>
        <v>-4.8569853814031561</v>
      </c>
      <c r="U108" s="19">
        <f>('[1]Short Spot'!U109-'[1]Short Spot'!U108)*100</f>
        <v>-5.0015070697638109</v>
      </c>
      <c r="V108" s="19">
        <f>('[1]Short Spot'!V109-'[1]Short Spot'!V108)*100</f>
        <v>-5.1274512420342866</v>
      </c>
      <c r="W108" s="19">
        <f>('[1]Short Spot'!W109-'[1]Short Spot'!W108)*100</f>
        <v>-5.2365311288837368</v>
      </c>
      <c r="X108" s="19">
        <f>('[1]Short Spot'!X109-'[1]Short Spot'!X108)*100</f>
        <v>-5.3304016912024466</v>
      </c>
      <c r="Y108" s="19">
        <f>('[1]Short Spot'!Y109-'[1]Short Spot'!Y108)*100</f>
        <v>-5.4105405678521734</v>
      </c>
      <c r="Z108" s="19">
        <f>('[1]Short Spot'!Z109-'[1]Short Spot'!Z108)*100</f>
        <v>-5.4782761470293373</v>
      </c>
      <c r="AA108" s="19">
        <f>('[1]Short Spot'!AA109-'[1]Short Spot'!AA108)*100</f>
        <v>-5.5348162683164226</v>
      </c>
      <c r="AB108" s="19">
        <f>('[1]Short Spot'!AB109-'[1]Short Spot'!AB108)*100</f>
        <v>-5.5812705464992618</v>
      </c>
      <c r="AC108" s="19">
        <f>('[1]Short Spot'!AC109-'[1]Short Spot'!AC108)*100</f>
        <v>-5.6186676414256453</v>
      </c>
      <c r="AD108" s="19">
        <f>('[1]Short Spot'!AD109-'[1]Short Spot'!AD108)*100</f>
        <v>-5.6479559039066096</v>
      </c>
      <c r="AE108" s="19">
        <f>('[1]Short Spot'!AE109-'[1]Short Spot'!AE108)*100</f>
        <v>-5.6699840475256558</v>
      </c>
      <c r="AF108" s="19">
        <f>('[1]Short Spot'!AF109-'[1]Short Spot'!AF108)*100</f>
        <v>-5.6855083213212865</v>
      </c>
      <c r="AG108" s="19">
        <f>('[1]Short Spot'!AG109-'[1]Short Spot'!AG108)*100</f>
        <v>-5.6952035341867102</v>
      </c>
      <c r="AH108" s="19">
        <f>('[1]Short Spot'!AH109-'[1]Short Spot'!AH108)*100</f>
        <v>-5.6996709467274087</v>
      </c>
      <c r="AI108" s="19">
        <f>('[1]Short Spot'!AI109-'[1]Short Spot'!AI108)*100</f>
        <v>-5.6994485641033599</v>
      </c>
      <c r="AJ108" s="19">
        <f>('[1]Short Spot'!AJ109-'[1]Short Spot'!AJ108)*100</f>
        <v>-5.6950201725219252</v>
      </c>
      <c r="AK108" s="19">
        <f>('[1]Short Spot'!AK109-'[1]Short Spot'!AK108)*100</f>
        <v>-5.6868228696483669</v>
      </c>
      <c r="AL108" s="19">
        <f>('[1]Short Spot'!AL109-'[1]Short Spot'!AL108)*100</f>
        <v>-5.6752530689647251</v>
      </c>
      <c r="AM108" s="19">
        <f>('[1]Short Spot'!AM109-'[1]Short Spot'!AM108)*100</f>
        <v>-5.6606688344951195</v>
      </c>
      <c r="AN108" s="19">
        <f>('[1]Short Spot'!AN109-'[1]Short Spot'!AN108)*100</f>
        <v>-5.6433920289455486</v>
      </c>
      <c r="AO108" s="19">
        <f>('[1]Short Spot'!AO109-'[1]Short Spot'!AO108)*100</f>
        <v>-5.6237126129273562</v>
      </c>
      <c r="AP108" s="19">
        <f>('[1]Short Spot'!AP109-'[1]Short Spot'!AP108)*100</f>
        <v>-5.6018925354555549</v>
      </c>
      <c r="AQ108" s="19">
        <f>('[1]Short Spot'!AQ109-'[1]Short Spot'!AQ108)*100</f>
        <v>-5.5781690681373952</v>
      </c>
      <c r="AR108" s="19">
        <f>('[1]Short Spot'!AR109-'[1]Short Spot'!AR108)*100</f>
        <v>-5.5527575115501548</v>
      </c>
      <c r="AS108" s="19">
        <f>('[1]Short Spot'!AS109-'[1]Short Spot'!AS108)*100</f>
        <v>-5.52585320333705</v>
      </c>
      <c r="AT108" s="19">
        <f>('[1]Short Spot'!AT109-'[1]Short Spot'!AT108)*100</f>
        <v>-5.497633592332285</v>
      </c>
      <c r="AU108" s="19">
        <f>('[1]Short Spot'!AU109-'[1]Short Spot'!AU108)*100</f>
        <v>-5.4682601818873522</v>
      </c>
      <c r="AV108" s="19">
        <f>('[1]Short Spot'!AV109-'[1]Short Spot'!AV108)*100</f>
        <v>-5.437880226199443</v>
      </c>
      <c r="AW108" s="19">
        <f>('[1]Short Spot'!AW109-'[1]Short Spot'!AW108)*100</f>
        <v>-5.4066282145983635</v>
      </c>
      <c r="AX108" s="19">
        <f>('[1]Short Spot'!AX109-'[1]Short Spot'!AX108)*100</f>
        <v>-5.3746271740839902</v>
      </c>
      <c r="AY108" s="19">
        <f>('[1]Short Spot'!AY109-'[1]Short Spot'!AY108)*100</f>
        <v>-5.341989813810688</v>
      </c>
      <c r="AZ108" s="19">
        <f>('[1]Short Spot'!AZ109-'[1]Short Spot'!AZ108)*100</f>
        <v>-5.3088193991840171</v>
      </c>
      <c r="BA108" s="19">
        <f>('[1]Short Spot'!BA109-'[1]Short Spot'!BA108)*100</f>
        <v>-5.2752102861643557</v>
      </c>
      <c r="BB108" s="19">
        <f>('[1]Short Spot'!BB109-'[1]Short Spot'!BB108)*100</f>
        <v>-5.2412486656142399</v>
      </c>
      <c r="BC108" s="19">
        <f>('[1]Short Spot'!BC109-'[1]Short Spot'!BC108)*100</f>
        <v>-5.2070133198313329</v>
      </c>
      <c r="BD108" s="19">
        <f>('[1]Short Spot'!BD109-'[1]Short Spot'!BD108)*100</f>
        <v>-5.1725762960539434</v>
      </c>
      <c r="BE108" s="19">
        <f>('[1]Short Spot'!BE109-'[1]Short Spot'!BE108)*100</f>
        <v>-5.1380035078058661</v>
      </c>
      <c r="BF108" s="19">
        <f>('[1]Short Spot'!BF109-'[1]Short Spot'!BF108)*100</f>
        <v>-5.1033552703828811</v>
      </c>
      <c r="BG108" s="19">
        <f>('[1]Short Spot'!BG109-'[1]Short Spot'!BG108)*100</f>
        <v>-5.0686866596579172</v>
      </c>
      <c r="BH108" s="19">
        <f>('[1]Short Spot'!BH109-'[1]Short Spot'!BH108)*100</f>
        <v>-5.034047768309069</v>
      </c>
      <c r="BI108" s="19">
        <f>('[1]Short Spot'!BI109-'[1]Short Spot'!BI108)*100</f>
        <v>-4.9994841477256635</v>
      </c>
    </row>
    <row r="109" spans="1:61" x14ac:dyDescent="0.2">
      <c r="A109" s="18">
        <v>39240</v>
      </c>
      <c r="B109" s="19">
        <f>('[1]Short Spot'!B110-'[1]Short Spot'!B109)*100</f>
        <v>1.6709548643989436</v>
      </c>
      <c r="C109" s="19">
        <f>('[1]Short Spot'!C110-'[1]Short Spot'!C109)*100</f>
        <v>1.5876422152895309</v>
      </c>
      <c r="D109" s="19">
        <f>('[1]Short Spot'!D110-'[1]Short Spot'!D109)*100</f>
        <v>1.5886475231890351</v>
      </c>
      <c r="E109" s="19">
        <f>('[1]Short Spot'!E110-'[1]Short Spot'!E109)*100</f>
        <v>1.5467771361064031</v>
      </c>
      <c r="F109" s="19">
        <f>('[1]Short Spot'!F110-'[1]Short Spot'!F109)*100</f>
        <v>1.4952493917513188</v>
      </c>
      <c r="G109" s="19">
        <f>('[1]Short Spot'!G110-'[1]Short Spot'!G109)*100</f>
        <v>1.4560414671171529</v>
      </c>
      <c r="H109" s="19">
        <f>('[1]Short Spot'!H110-'[1]Short Spot'!H109)*100</f>
        <v>1.4425931211508924</v>
      </c>
      <c r="I109" s="19">
        <f>('[1]Short Spot'!I110-'[1]Short Spot'!I109)*100</f>
        <v>1.4591953754384157</v>
      </c>
      <c r="J109" s="19">
        <f>('[1]Short Spot'!J110-'[1]Short Spot'!J109)*100</f>
        <v>1.504937201837464</v>
      </c>
      <c r="K109" s="19">
        <f>('[1]Short Spot'!K110-'[1]Short Spot'!K109)*100</f>
        <v>1.5765075754205604</v>
      </c>
      <c r="L109" s="19">
        <f>('[1]Short Spot'!L110-'[1]Short Spot'!L109)*100</f>
        <v>1.6697158230803311</v>
      </c>
      <c r="M109" s="19">
        <f>('[1]Short Spot'!M110-'[1]Short Spot'!M109)*100</f>
        <v>1.7798277676268626</v>
      </c>
      <c r="N109" s="19">
        <f>('[1]Short Spot'!N110-'[1]Short Spot'!N109)*100</f>
        <v>1.9018378440891048</v>
      </c>
      <c r="O109" s="19">
        <f>('[1]Short Spot'!O110-'[1]Short Spot'!O109)*100</f>
        <v>2.0317067056706328</v>
      </c>
      <c r="P109" s="19">
        <f>('[1]Short Spot'!P110-'[1]Short Spot'!P109)*100</f>
        <v>2.1664677864123405</v>
      </c>
      <c r="Q109" s="19">
        <f>('[1]Short Spot'!Q110-'[1]Short Spot'!Q109)*100</f>
        <v>2.3038304852931901</v>
      </c>
      <c r="R109" s="19">
        <f>('[1]Short Spot'!R110-'[1]Short Spot'!R109)*100</f>
        <v>2.4419837260754029</v>
      </c>
      <c r="S109" s="19">
        <f>('[1]Short Spot'!S110-'[1]Short Spot'!S109)*100</f>
        <v>2.5795236299416935</v>
      </c>
      <c r="T109" s="19">
        <f>('[1]Short Spot'!T110-'[1]Short Spot'!T109)*100</f>
        <v>2.7154473752959873</v>
      </c>
      <c r="U109" s="19">
        <f>('[1]Short Spot'!U110-'[1]Short Spot'!U109)*100</f>
        <v>2.8490700407796332</v>
      </c>
      <c r="V109" s="19">
        <f>('[1]Short Spot'!V110-'[1]Short Spot'!V109)*100</f>
        <v>2.9799489400256896</v>
      </c>
      <c r="W109" s="19">
        <f>('[1]Short Spot'!W110-'[1]Short Spot'!W109)*100</f>
        <v>3.1078298033377472</v>
      </c>
      <c r="X109" s="19">
        <f>('[1]Short Spot'!X110-'[1]Short Spot'!X109)*100</f>
        <v>3.2325820167613095</v>
      </c>
      <c r="Y109" s="19">
        <f>('[1]Short Spot'!Y110-'[1]Short Spot'!Y109)*100</f>
        <v>3.3541353120512873</v>
      </c>
      <c r="Z109" s="19">
        <f>('[1]Short Spot'!Z110-'[1]Short Spot'!Z109)*100</f>
        <v>3.472463601613196</v>
      </c>
      <c r="AA109" s="19">
        <f>('[1]Short Spot'!AA110-'[1]Short Spot'!AA109)*100</f>
        <v>3.5875764822240974</v>
      </c>
      <c r="AB109" s="19">
        <f>('[1]Short Spot'!AB110-'[1]Short Spot'!AB109)*100</f>
        <v>3.6995126268158707</v>
      </c>
      <c r="AC109" s="19">
        <f>('[1]Short Spot'!AC110-'[1]Short Spot'!AC109)*100</f>
        <v>3.8083345551724435</v>
      </c>
      <c r="AD109" s="19">
        <f>('[1]Short Spot'!AD110-'[1]Short Spot'!AD109)*100</f>
        <v>3.9141210610392108</v>
      </c>
      <c r="AE109" s="19">
        <f>('[1]Short Spot'!AE110-'[1]Short Spot'!AE109)*100</f>
        <v>4.0169542713793582</v>
      </c>
      <c r="AF109" s="19">
        <f>('[1]Short Spot'!AF110-'[1]Short Spot'!AF109)*100</f>
        <v>4.116915747496197</v>
      </c>
      <c r="AG109" s="19">
        <f>('[1]Short Spot'!AG110-'[1]Short Spot'!AG109)*100</f>
        <v>4.2140866000722532</v>
      </c>
      <c r="AH109" s="19">
        <f>('[1]Short Spot'!AH110-'[1]Short Spot'!AH109)*100</f>
        <v>4.3085487214246321</v>
      </c>
      <c r="AI109" s="19">
        <f>('[1]Short Spot'!AI110-'[1]Short Spot'!AI109)*100</f>
        <v>4.4003848762536713</v>
      </c>
      <c r="AJ109" s="19">
        <f>('[1]Short Spot'!AJ110-'[1]Short Spot'!AJ109)*100</f>
        <v>4.4896785770164982</v>
      </c>
      <c r="AK109" s="19">
        <f>('[1]Short Spot'!AK110-'[1]Short Spot'!AK109)*100</f>
        <v>4.5765139800568733</v>
      </c>
      <c r="AL109" s="19">
        <f>('[1]Short Spot'!AL110-'[1]Short Spot'!AL109)*100</f>
        <v>4.6609755935034691</v>
      </c>
      <c r="AM109" s="19">
        <f>('[1]Short Spot'!AM110-'[1]Short Spot'!AM109)*100</f>
        <v>4.7431466110833043</v>
      </c>
      <c r="AN109" s="19">
        <f>('[1]Short Spot'!AN110-'[1]Short Spot'!AN109)*100</f>
        <v>4.8231078353466295</v>
      </c>
      <c r="AO109" s="19">
        <f>('[1]Short Spot'!AO110-'[1]Short Spot'!AO109)*100</f>
        <v>4.9009378973310369</v>
      </c>
      <c r="AP109" s="19">
        <f>('[1]Short Spot'!AP110-'[1]Short Spot'!AP109)*100</f>
        <v>4.976713521379672</v>
      </c>
      <c r="AQ109" s="19">
        <f>('[1]Short Spot'!AQ110-'[1]Short Spot'!AQ109)*100</f>
        <v>5.0505097102397478</v>
      </c>
      <c r="AR109" s="19">
        <f>('[1]Short Spot'!AR110-'[1]Short Spot'!AR109)*100</f>
        <v>5.1223989265369418</v>
      </c>
      <c r="AS109" s="19">
        <f>('[1]Short Spot'!AS110-'[1]Short Spot'!AS109)*100</f>
        <v>5.1924496708626755</v>
      </c>
      <c r="AT109" s="19">
        <f>('[1]Short Spot'!AT110-'[1]Short Spot'!AT109)*100</f>
        <v>5.2607266269134811</v>
      </c>
      <c r="AU109" s="19">
        <f>('[1]Short Spot'!AU110-'[1]Short Spot'!AU109)*100</f>
        <v>5.327291076067997</v>
      </c>
      <c r="AV109" s="19">
        <f>('[1]Short Spot'!AV110-'[1]Short Spot'!AV109)*100</f>
        <v>5.3922012593346835</v>
      </c>
      <c r="AW109" s="19">
        <f>('[1]Short Spot'!AW110-'[1]Short Spot'!AW109)*100</f>
        <v>5.455512694057596</v>
      </c>
      <c r="AX109" s="19">
        <f>('[1]Short Spot'!AX110-'[1]Short Spot'!AX109)*100</f>
        <v>5.5172784518410012</v>
      </c>
      <c r="AY109" s="19">
        <f>('[1]Short Spot'!AY110-'[1]Short Spot'!AY109)*100</f>
        <v>5.5775494021832905</v>
      </c>
      <c r="AZ109" s="19">
        <f>('[1]Short Spot'!AZ110-'[1]Short Spot'!AZ109)*100</f>
        <v>5.6363742127350847</v>
      </c>
      <c r="BA109" s="19">
        <f>('[1]Short Spot'!BA110-'[1]Short Spot'!BA109)*100</f>
        <v>5.6937986694491904</v>
      </c>
      <c r="BB109" s="19">
        <f>('[1]Short Spot'!BB110-'[1]Short Spot'!BB109)*100</f>
        <v>5.7498655577909119</v>
      </c>
      <c r="BC109" s="19">
        <f>('[1]Short Spot'!BC110-'[1]Short Spot'!BC109)*100</f>
        <v>5.8046149311222983</v>
      </c>
      <c r="BD109" s="19">
        <f>('[1]Short Spot'!BD110-'[1]Short Spot'!BD109)*100</f>
        <v>5.8580843590749332</v>
      </c>
      <c r="BE109" s="19">
        <f>('[1]Short Spot'!BE110-'[1]Short Spot'!BE109)*100</f>
        <v>5.9103091493115656</v>
      </c>
      <c r="BF109" s="19">
        <f>('[1]Short Spot'!BF110-'[1]Short Spot'!BF109)*100</f>
        <v>5.9613225480514842</v>
      </c>
      <c r="BG109" s="19">
        <f>('[1]Short Spot'!BG110-'[1]Short Spot'!BG109)*100</f>
        <v>6.0111559288294814</v>
      </c>
      <c r="BH109" s="19">
        <f>('[1]Short Spot'!BH110-'[1]Short Spot'!BH109)*100</f>
        <v>6.0598387241419971</v>
      </c>
      <c r="BI109" s="19">
        <f>('[1]Short Spot'!BI110-'[1]Short Spot'!BI109)*100</f>
        <v>6.107398407495257</v>
      </c>
    </row>
    <row r="110" spans="1:61" x14ac:dyDescent="0.2">
      <c r="A110" s="18">
        <v>39241</v>
      </c>
      <c r="B110" s="19">
        <f>('[1]Short Spot'!B111-'[1]Short Spot'!B110)*100</f>
        <v>-3.1204288130526336</v>
      </c>
      <c r="C110" s="19">
        <f>('[1]Short Spot'!C111-'[1]Short Spot'!C110)*100</f>
        <v>-3.4443462581791984</v>
      </c>
      <c r="D110" s="19">
        <f>('[1]Short Spot'!D111-'[1]Short Spot'!D110)*100</f>
        <v>-3.0768548127777073</v>
      </c>
      <c r="E110" s="19">
        <f>('[1]Short Spot'!E111-'[1]Short Spot'!E110)*100</f>
        <v>-2.4983823457684018</v>
      </c>
      <c r="F110" s="19">
        <f>('[1]Short Spot'!F111-'[1]Short Spot'!F110)*100</f>
        <v>-1.8889686104472503</v>
      </c>
      <c r="G110" s="19">
        <f>('[1]Short Spot'!G111-'[1]Short Spot'!G110)*100</f>
        <v>-1.3124130668697553</v>
      </c>
      <c r="H110" s="19">
        <f>('[1]Short Spot'!H111-'[1]Short Spot'!H110)*100</f>
        <v>-0.7933036345729505</v>
      </c>
      <c r="I110" s="19">
        <f>('[1]Short Spot'!I111-'[1]Short Spot'!I110)*100</f>
        <v>-0.34079844758512223</v>
      </c>
      <c r="J110" s="19">
        <f>('[1]Short Spot'!J111-'[1]Short Spot'!J110)*100</f>
        <v>4.7738162436594678E-2</v>
      </c>
      <c r="K110" s="19">
        <f>('[1]Short Spot'!K111-'[1]Short Spot'!K110)*100</f>
        <v>0.38040349720818156</v>
      </c>
      <c r="L110" s="19">
        <f>('[1]Short Spot'!L111-'[1]Short Spot'!L110)*100</f>
        <v>0.66485102175493083</v>
      </c>
      <c r="M110" s="19">
        <f>('[1]Short Spot'!M111-'[1]Short Spot'!M110)*100</f>
        <v>0.90830858837858131</v>
      </c>
      <c r="N110" s="19">
        <f>('[1]Short Spot'!N111-'[1]Short Spot'!N110)*100</f>
        <v>1.1178545460226452</v>
      </c>
      <c r="O110" s="19">
        <f>('[1]Short Spot'!O111-'[1]Short Spot'!O110)*100</f>
        <v>1.2995627407635268</v>
      </c>
      <c r="P110" s="19">
        <f>('[1]Short Spot'!P111-'[1]Short Spot'!P110)*100</f>
        <v>1.4582290686576016</v>
      </c>
      <c r="Q110" s="19">
        <f>('[1]Short Spot'!Q111-'[1]Short Spot'!Q110)*100</f>
        <v>1.5977610723432178</v>
      </c>
      <c r="R110" s="19">
        <f>('[1]Short Spot'!R111-'[1]Short Spot'!R110)*100</f>
        <v>1.7214264373307309</v>
      </c>
      <c r="S110" s="19">
        <f>('[1]Short Spot'!S111-'[1]Short Spot'!S110)*100</f>
        <v>1.8319020646753614</v>
      </c>
      <c r="T110" s="19">
        <f>('[1]Short Spot'!T111-'[1]Short Spot'!T110)*100</f>
        <v>1.9313212045264372</v>
      </c>
      <c r="U110" s="19">
        <f>('[1]Short Spot'!U111-'[1]Short Spot'!U110)*100</f>
        <v>2.021403477290562</v>
      </c>
      <c r="V110" s="19">
        <f>('[1]Short Spot'!V111-'[1]Short Spot'!V110)*100</f>
        <v>2.1035534391351973</v>
      </c>
      <c r="W110" s="19">
        <f>('[1]Short Spot'!W111-'[1]Short Spot'!W110)*100</f>
        <v>2.1789490612170503</v>
      </c>
      <c r="X110" s="19">
        <f>('[1]Short Spot'!X111-'[1]Short Spot'!X110)*100</f>
        <v>2.2486035386969583</v>
      </c>
      <c r="Y110" s="19">
        <f>('[1]Short Spot'!Y111-'[1]Short Spot'!Y110)*100</f>
        <v>2.3133569903680318</v>
      </c>
      <c r="Z110" s="19">
        <f>('[1]Short Spot'!Z111-'[1]Short Spot'!Z110)*100</f>
        <v>2.3739049953292124</v>
      </c>
      <c r="AA110" s="19">
        <f>('[1]Short Spot'!AA111-'[1]Short Spot'!AA110)*100</f>
        <v>2.4308263890813642</v>
      </c>
      <c r="AB110" s="19">
        <f>('[1]Short Spot'!AB111-'[1]Short Spot'!AB110)*100</f>
        <v>2.4846048827111389</v>
      </c>
      <c r="AC110" s="19">
        <f>('[1]Short Spot'!AC111-'[1]Short Spot'!AC110)*100</f>
        <v>2.5356462530766954</v>
      </c>
      <c r="AD110" s="19">
        <f>('[1]Short Spot'!AD111-'[1]Short Spot'!AD110)*100</f>
        <v>2.5842941642661543</v>
      </c>
      <c r="AE110" s="19">
        <f>('[1]Short Spot'!AE111-'[1]Short Spot'!AE110)*100</f>
        <v>2.6308404862263934</v>
      </c>
      <c r="AF110" s="19">
        <f>('[1]Short Spot'!AF111-'[1]Short Spot'!AF110)*100</f>
        <v>2.6755317808284218</v>
      </c>
      <c r="AG110" s="19">
        <f>('[1]Short Spot'!AG111-'[1]Short Spot'!AG110)*100</f>
        <v>2.7185760572688622</v>
      </c>
      <c r="AH110" s="19">
        <f>('[1]Short Spot'!AH111-'[1]Short Spot'!AH110)*100</f>
        <v>2.760151297996849</v>
      </c>
      <c r="AI110" s="19">
        <f>('[1]Short Spot'!AI111-'[1]Short Spot'!AI110)*100</f>
        <v>2.8004103080904841</v>
      </c>
      <c r="AJ110" s="19">
        <f>('[1]Short Spot'!AJ111-'[1]Short Spot'!AJ110)*100</f>
        <v>2.8394843120229218</v>
      </c>
      <c r="AK110" s="19">
        <f>('[1]Short Spot'!AK111-'[1]Short Spot'!AK110)*100</f>
        <v>2.8774859508088113</v>
      </c>
      <c r="AL110" s="19">
        <f>('[1]Short Spot'!AL111-'[1]Short Spot'!AL110)*100</f>
        <v>2.914511816174592</v>
      </c>
      <c r="AM110" s="19">
        <f>('[1]Short Spot'!AM111-'[1]Short Spot'!AM110)*100</f>
        <v>2.9506451953998258</v>
      </c>
      <c r="AN110" s="19">
        <f>('[1]Short Spot'!AN111-'[1]Short Spot'!AN110)*100</f>
        <v>2.9859584984934351</v>
      </c>
      <c r="AO110" s="19">
        <f>('[1]Short Spot'!AO111-'[1]Short Spot'!AO110)*100</f>
        <v>3.0205146823597318</v>
      </c>
      <c r="AP110" s="19">
        <f>('[1]Short Spot'!AP111-'[1]Short Spot'!AP110)*100</f>
        <v>3.0543684036162588</v>
      </c>
      <c r="AQ110" s="19">
        <f>('[1]Short Spot'!AQ111-'[1]Short Spot'!AQ110)*100</f>
        <v>3.0875669701385</v>
      </c>
      <c r="AR110" s="19">
        <f>('[1]Short Spot'!AR111-'[1]Short Spot'!AR110)*100</f>
        <v>3.1201510962385548</v>
      </c>
      <c r="AS110" s="19">
        <f>('[1]Short Spot'!AS111-'[1]Short Spot'!AS110)*100</f>
        <v>3.1521562151597848</v>
      </c>
      <c r="AT110" s="19">
        <f>('[1]Short Spot'!AT111-'[1]Short Spot'!AT110)*100</f>
        <v>3.1836133062808081</v>
      </c>
      <c r="AU110" s="19">
        <f>('[1]Short Spot'!AU111-'[1]Short Spot'!AU110)*100</f>
        <v>3.2145493805986192</v>
      </c>
      <c r="AV110" s="19">
        <f>('[1]Short Spot'!AV111-'[1]Short Spot'!AV110)*100</f>
        <v>3.2449879028984441</v>
      </c>
      <c r="AW110" s="19">
        <f>('[1]Short Spot'!AW111-'[1]Short Spot'!AW110)*100</f>
        <v>3.2749491611496317</v>
      </c>
      <c r="AX110" s="19">
        <f>('[1]Short Spot'!AX111-'[1]Short Spot'!AX110)*100</f>
        <v>3.3044505906712374</v>
      </c>
      <c r="AY110" s="19">
        <f>('[1]Short Spot'!AY111-'[1]Short Spot'!AY110)*100</f>
        <v>3.3335070645557963</v>
      </c>
      <c r="AZ110" s="19">
        <f>('[1]Short Spot'!AZ111-'[1]Short Spot'!AZ110)*100</f>
        <v>3.3621312966626071</v>
      </c>
      <c r="BA110" s="19">
        <f>('[1]Short Spot'!BA111-'[1]Short Spot'!BA110)*100</f>
        <v>3.3903342113211998</v>
      </c>
      <c r="BB110" s="19">
        <f>('[1]Short Spot'!BB111-'[1]Short Spot'!BB110)*100</f>
        <v>3.4181250686337705</v>
      </c>
      <c r="BC110" s="19">
        <f>('[1]Short Spot'!BC111-'[1]Short Spot'!BC110)*100</f>
        <v>3.4455116147907638</v>
      </c>
      <c r="BD110" s="19">
        <f>('[1]Short Spot'!BD111-'[1]Short Spot'!BD110)*100</f>
        <v>3.4725002196988264</v>
      </c>
      <c r="BE110" s="19">
        <f>('[1]Short Spot'!BE111-'[1]Short Spot'!BE110)*100</f>
        <v>3.4990959998648208</v>
      </c>
      <c r="BF110" s="19">
        <f>('[1]Short Spot'!BF111-'[1]Short Spot'!BF110)*100</f>
        <v>3.5253029406665526</v>
      </c>
      <c r="BG110" s="19">
        <f>('[1]Short Spot'!BG111-'[1]Short Spot'!BG110)*100</f>
        <v>3.5511242542371591</v>
      </c>
      <c r="BH110" s="19">
        <f>('[1]Short Spot'!BH111-'[1]Short Spot'!BH110)*100</f>
        <v>3.5765624559762621</v>
      </c>
      <c r="BI110" s="19">
        <f>('[1]Short Spot'!BI111-'[1]Short Spot'!BI110)*100</f>
        <v>3.6016191834167266</v>
      </c>
    </row>
    <row r="111" spans="1:61" x14ac:dyDescent="0.2">
      <c r="A111" s="18">
        <v>39244</v>
      </c>
      <c r="B111" s="19">
        <f>('[1]Short Spot'!B112-'[1]Short Spot'!B111)*100</f>
        <v>0.41792885530700374</v>
      </c>
      <c r="C111" s="19">
        <f>('[1]Short Spot'!C112-'[1]Short Spot'!C111)*100</f>
        <v>0.55719971464416318</v>
      </c>
      <c r="D111" s="19">
        <f>('[1]Short Spot'!D112-'[1]Short Spot'!D111)*100</f>
        <v>0.45711341541432304</v>
      </c>
      <c r="E111" s="19">
        <f>('[1]Short Spot'!E112-'[1]Short Spot'!E111)*100</f>
        <v>0.27222198283336496</v>
      </c>
      <c r="F111" s="19">
        <f>('[1]Short Spot'!F112-'[1]Short Spot'!F111)*100</f>
        <v>7.5542444333187575E-2</v>
      </c>
      <c r="G111" s="19">
        <f>('[1]Short Spot'!G112-'[1]Short Spot'!G111)*100</f>
        <v>-0.10245573818412623</v>
      </c>
      <c r="H111" s="19">
        <f>('[1]Short Spot'!H112-'[1]Short Spot'!H111)*100</f>
        <v>-0.25113656410731267</v>
      </c>
      <c r="I111" s="19">
        <f>('[1]Short Spot'!I112-'[1]Short Spot'!I111)*100</f>
        <v>-0.37280216129529364</v>
      </c>
      <c r="J111" s="19">
        <f>('[1]Short Spot'!J112-'[1]Short Spot'!J111)*100</f>
        <v>-0.46973065581994433</v>
      </c>
      <c r="K111" s="19">
        <f>('[1]Short Spot'!K112-'[1]Short Spot'!K111)*100</f>
        <v>-0.54488005830428676</v>
      </c>
      <c r="L111" s="19">
        <f>('[1]Short Spot'!L112-'[1]Short Spot'!L111)*100</f>
        <v>-0.60284412292368472</v>
      </c>
      <c r="M111" s="19">
        <f>('[1]Short Spot'!M112-'[1]Short Spot'!M111)*100</f>
        <v>-0.64667439770147439</v>
      </c>
      <c r="N111" s="19">
        <f>('[1]Short Spot'!N112-'[1]Short Spot'!N111)*100</f>
        <v>-0.67836053861842771</v>
      </c>
      <c r="O111" s="19">
        <f>('[1]Short Spot'!O112-'[1]Short Spot'!O111)*100</f>
        <v>-0.69966371127945237</v>
      </c>
      <c r="P111" s="19">
        <f>('[1]Short Spot'!P112-'[1]Short Spot'!P111)*100</f>
        <v>-0.71223558241024776</v>
      </c>
      <c r="Q111" s="19">
        <f>('[1]Short Spot'!Q112-'[1]Short Spot'!Q111)*100</f>
        <v>-0.71760204899300462</v>
      </c>
      <c r="R111" s="19">
        <f>('[1]Short Spot'!R112-'[1]Short Spot'!R111)*100</f>
        <v>-0.71719404643619811</v>
      </c>
      <c r="S111" s="19">
        <f>('[1]Short Spot'!S112-'[1]Short Spot'!S111)*100</f>
        <v>-0.71227963206901279</v>
      </c>
      <c r="T111" s="19">
        <f>('[1]Short Spot'!T112-'[1]Short Spot'!T111)*100</f>
        <v>-0.70389186993562447</v>
      </c>
      <c r="U111" s="19">
        <f>('[1]Short Spot'!U112-'[1]Short Spot'!U111)*100</f>
        <v>-0.69287411943372845</v>
      </c>
      <c r="V111" s="19">
        <f>('[1]Short Spot'!V112-'[1]Short Spot'!V111)*100</f>
        <v>-0.67992513737378246</v>
      </c>
      <c r="W111" s="19">
        <f>('[1]Short Spot'!W112-'[1]Short Spot'!W111)*100</f>
        <v>-0.66562146572550773</v>
      </c>
      <c r="X111" s="19">
        <f>('[1]Short Spot'!X112-'[1]Short Spot'!X111)*100</f>
        <v>-0.65041980624860329</v>
      </c>
      <c r="Y111" s="19">
        <f>('[1]Short Spot'!Y112-'[1]Short Spot'!Y111)*100</f>
        <v>-0.63468385013276674</v>
      </c>
      <c r="Z111" s="19">
        <f>('[1]Short Spot'!Z112-'[1]Short Spot'!Z111)*100</f>
        <v>-0.61870397258498855</v>
      </c>
      <c r="AA111" s="19">
        <f>('[1]Short Spot'!AA112-'[1]Short Spot'!AA111)*100</f>
        <v>-0.6027113320588029</v>
      </c>
      <c r="AB111" s="19">
        <f>('[1]Short Spot'!AB112-'[1]Short Spot'!AB111)*100</f>
        <v>-0.58688883631825561</v>
      </c>
      <c r="AC111" s="19">
        <f>('[1]Short Spot'!AC112-'[1]Short Spot'!AC111)*100</f>
        <v>-0.57137978871670825</v>
      </c>
      <c r="AD111" s="19">
        <f>('[1]Short Spot'!AD112-'[1]Short Spot'!AD111)*100</f>
        <v>-0.55629689079630396</v>
      </c>
      <c r="AE111" s="19">
        <f>('[1]Short Spot'!AE112-'[1]Short Spot'!AE111)*100</f>
        <v>-0.54173262070493777</v>
      </c>
      <c r="AF111" s="19">
        <f>('[1]Short Spot'!AF112-'[1]Short Spot'!AF111)*100</f>
        <v>-0.52776381124548521</v>
      </c>
      <c r="AG111" s="19">
        <f>('[1]Short Spot'!AG112-'[1]Short Spot'!AG111)*100</f>
        <v>-0.51445274101737937</v>
      </c>
      <c r="AH111" s="19">
        <f>('[1]Short Spot'!AH112-'[1]Short Spot'!AH111)*100</f>
        <v>-0.50184763305560764</v>
      </c>
      <c r="AI111" s="19">
        <f>('[1]Short Spot'!AI112-'[1]Short Spot'!AI111)*100</f>
        <v>-0.48998457224520564</v>
      </c>
      <c r="AJ111" s="19">
        <f>('[1]Short Spot'!AJ112-'[1]Short Spot'!AJ111)*100</f>
        <v>-0.47888923934173988</v>
      </c>
      <c r="AK111" s="19">
        <f>('[1]Short Spot'!AK112-'[1]Short Spot'!AK111)*100</f>
        <v>-0.46857835625928601</v>
      </c>
      <c r="AL111" s="19">
        <f>('[1]Short Spot'!AL112-'[1]Short Spot'!AL111)*100</f>
        <v>-0.45906101506352215</v>
      </c>
      <c r="AM111" s="19">
        <f>('[1]Short Spot'!AM112-'[1]Short Spot'!AM111)*100</f>
        <v>-0.45034023618830687</v>
      </c>
      <c r="AN111" s="19">
        <f>('[1]Short Spot'!AN112-'[1]Short Spot'!AN111)*100</f>
        <v>-0.44241400936710917</v>
      </c>
      <c r="AO111" s="19">
        <f>('[1]Short Spot'!AO112-'[1]Short Spot'!AO111)*100</f>
        <v>-0.43527592880945321</v>
      </c>
      <c r="AP111" s="19">
        <f>('[1]Short Spot'!AP112-'[1]Short Spot'!AP111)*100</f>
        <v>-0.42891572924030896</v>
      </c>
      <c r="AQ111" s="19">
        <f>('[1]Short Spot'!AQ112-'[1]Short Spot'!AQ111)*100</f>
        <v>-0.42331979205467718</v>
      </c>
      <c r="AR111" s="19">
        <f>('[1]Short Spot'!AR112-'[1]Short Spot'!AR111)*100</f>
        <v>-0.41847211755356994</v>
      </c>
      <c r="AS111" s="19">
        <f>('[1]Short Spot'!AS112-'[1]Short Spot'!AS111)*100</f>
        <v>-0.41435517518264575</v>
      </c>
      <c r="AT111" s="19">
        <f>('[1]Short Spot'!AT112-'[1]Short Spot'!AT111)*100</f>
        <v>-0.41095011405198889</v>
      </c>
      <c r="AU111" s="19">
        <f>('[1]Short Spot'!AU112-'[1]Short Spot'!AU111)*100</f>
        <v>-0.40823690633278176</v>
      </c>
      <c r="AV111" s="19">
        <f>('[1]Short Spot'!AV112-'[1]Short Spot'!AV111)*100</f>
        <v>-0.40619447246443841</v>
      </c>
      <c r="AW111" s="19">
        <f>('[1]Short Spot'!AW112-'[1]Short Spot'!AW111)*100</f>
        <v>-0.4048007907088369</v>
      </c>
      <c r="AX111" s="19">
        <f>('[1]Short Spot'!AX112-'[1]Short Spot'!AX111)*100</f>
        <v>-0.4040329932924358</v>
      </c>
      <c r="AY111" s="19">
        <f>('[1]Short Spot'!AY112-'[1]Short Spot'!AY111)*100</f>
        <v>-0.40386745221070441</v>
      </c>
      <c r="AZ111" s="19">
        <f>('[1]Short Spot'!AZ112-'[1]Short Spot'!AZ111)*100</f>
        <v>-0.40427999159975414</v>
      </c>
      <c r="BA111" s="19">
        <f>('[1]Short Spot'!BA112-'[1]Short Spot'!BA111)*100</f>
        <v>-0.40524638429069171</v>
      </c>
      <c r="BB111" s="19">
        <f>('[1]Short Spot'!BB112-'[1]Short Spot'!BB111)*100</f>
        <v>-0.40674250766121745</v>
      </c>
      <c r="BC111" s="19">
        <f>('[1]Short Spot'!BC112-'[1]Short Spot'!BC111)*100</f>
        <v>-0.40874433597020143</v>
      </c>
      <c r="BD111" s="19">
        <f>('[1]Short Spot'!BD112-'[1]Short Spot'!BD111)*100</f>
        <v>-0.41122793154988457</v>
      </c>
      <c r="BE111" s="19">
        <f>('[1]Short Spot'!BE112-'[1]Short Spot'!BE111)*100</f>
        <v>-0.41416943694292385</v>
      </c>
      <c r="BF111" s="19">
        <f>('[1]Short Spot'!BF112-'[1]Short Spot'!BF111)*100</f>
        <v>-0.41754506379207967</v>
      </c>
      <c r="BG111" s="19">
        <f>('[1]Short Spot'!BG112-'[1]Short Spot'!BG111)*100</f>
        <v>-0.42133108024540178</v>
      </c>
      <c r="BH111" s="19">
        <f>('[1]Short Spot'!BH112-'[1]Short Spot'!BH111)*100</f>
        <v>-0.42550402766048379</v>
      </c>
      <c r="BI111" s="19">
        <f>('[1]Short Spot'!BI112-'[1]Short Spot'!BI111)*100</f>
        <v>-0.43004082757160944</v>
      </c>
    </row>
    <row r="112" spans="1:61" x14ac:dyDescent="0.2">
      <c r="A112" s="18">
        <v>39245</v>
      </c>
      <c r="B112" s="19">
        <f>('[1]Short Spot'!B113-'[1]Short Spot'!B112)*100</f>
        <v>1.259966175217464</v>
      </c>
      <c r="C112" s="19">
        <f>('[1]Short Spot'!C113-'[1]Short Spot'!C112)*100</f>
        <v>1.6894867759865484</v>
      </c>
      <c r="D112" s="19">
        <f>('[1]Short Spot'!D113-'[1]Short Spot'!D112)*100</f>
        <v>1.6256527823330202</v>
      </c>
      <c r="E112" s="19">
        <f>('[1]Short Spot'!E113-'[1]Short Spot'!E112)*100</f>
        <v>1.5176470005358489</v>
      </c>
      <c r="F112" s="19">
        <f>('[1]Short Spot'!F113-'[1]Short Spot'!F112)*100</f>
        <v>1.4810702204798964</v>
      </c>
      <c r="G112" s="19">
        <f>('[1]Short Spot'!G113-'[1]Short Spot'!G112)*100</f>
        <v>1.53358550392797</v>
      </c>
      <c r="H112" s="19">
        <f>('[1]Short Spot'!H113-'[1]Short Spot'!H112)*100</f>
        <v>1.660941547775785</v>
      </c>
      <c r="I112" s="19">
        <f>('[1]Short Spot'!I113-'[1]Short Spot'!I112)*100</f>
        <v>1.8426567597794374</v>
      </c>
      <c r="J112" s="19">
        <f>('[1]Short Spot'!J113-'[1]Short Spot'!J112)*100</f>
        <v>2.06262644184525</v>
      </c>
      <c r="K112" s="19">
        <f>('[1]Short Spot'!K113-'[1]Short Spot'!K112)*100</f>
        <v>2.3073910485575055</v>
      </c>
      <c r="L112" s="19">
        <f>('[1]Short Spot'!L113-'[1]Short Spot'!L112)*100</f>
        <v>2.5662745678859622</v>
      </c>
      <c r="M112" s="19">
        <f>('[1]Short Spot'!M113-'[1]Short Spot'!M112)*100</f>
        <v>2.8312141276762404</v>
      </c>
      <c r="N112" s="19">
        <f>('[1]Short Spot'!N113-'[1]Short Spot'!N112)*100</f>
        <v>3.0957889477216227</v>
      </c>
      <c r="O112" s="19">
        <f>('[1]Short Spot'!O113-'[1]Short Spot'!O112)*100</f>
        <v>3.3551469874648632</v>
      </c>
      <c r="P112" s="19">
        <f>('[1]Short Spot'!P113-'[1]Short Spot'!P112)*100</f>
        <v>3.6059965475337741</v>
      </c>
      <c r="Q112" s="19">
        <f>('[1]Short Spot'!Q113-'[1]Short Spot'!Q112)*100</f>
        <v>3.8461668721761377</v>
      </c>
      <c r="R112" s="19">
        <f>('[1]Short Spot'!R113-'[1]Short Spot'!R112)*100</f>
        <v>4.0742800617816322</v>
      </c>
      <c r="S112" s="19">
        <f>('[1]Short Spot'!S113-'[1]Short Spot'!S112)*100</f>
        <v>4.2895619742029822</v>
      </c>
      <c r="T112" s="19">
        <f>('[1]Short Spot'!T113-'[1]Short Spot'!T112)*100</f>
        <v>4.4917239293725153</v>
      </c>
      <c r="U112" s="19">
        <f>('[1]Short Spot'!U113-'[1]Short Spot'!U112)*100</f>
        <v>4.680846223898083</v>
      </c>
      <c r="V112" s="19">
        <f>('[1]Short Spot'!V113-'[1]Short Spot'!V112)*100</f>
        <v>4.8572903096002484</v>
      </c>
      <c r="W112" s="19">
        <f>('[1]Short Spot'!W113-'[1]Short Spot'!W112)*100</f>
        <v>5.0216217161344723</v>
      </c>
      <c r="X112" s="19">
        <f>('[1]Short Spot'!X113-'[1]Short Spot'!X112)*100</f>
        <v>5.174471498801303</v>
      </c>
      <c r="Y112" s="19">
        <f>('[1]Short Spot'!Y113-'[1]Short Spot'!Y112)*100</f>
        <v>5.3164601801759304</v>
      </c>
      <c r="Z112" s="19">
        <f>('[1]Short Spot'!Z113-'[1]Short Spot'!Z112)*100</f>
        <v>5.44819685564919</v>
      </c>
      <c r="AA112" s="19">
        <f>('[1]Short Spot'!AA113-'[1]Short Spot'!AA112)*100</f>
        <v>5.5702813909621618</v>
      </c>
      <c r="AB112" s="19">
        <f>('[1]Short Spot'!AB113-'[1]Short Spot'!AB112)*100</f>
        <v>5.6833061314010891</v>
      </c>
      <c r="AC112" s="19">
        <f>('[1]Short Spot'!AC113-'[1]Short Spot'!AC112)*100</f>
        <v>5.7878566326150072</v>
      </c>
      <c r="AD112" s="19">
        <f>('[1]Short Spot'!AD113-'[1]Short Spot'!AD112)*100</f>
        <v>5.8844982394676393</v>
      </c>
      <c r="AE112" s="19">
        <f>('[1]Short Spot'!AE113-'[1]Short Spot'!AE112)*100</f>
        <v>5.9737550429437292</v>
      </c>
      <c r="AF112" s="19">
        <f>('[1]Short Spot'!AF113-'[1]Short Spot'!AF112)*100</f>
        <v>6.0561110929315376</v>
      </c>
      <c r="AG112" s="19">
        <f>('[1]Short Spot'!AG113-'[1]Short Spot'!AG112)*100</f>
        <v>6.1320113542413957</v>
      </c>
      <c r="AH112" s="19">
        <f>('[1]Short Spot'!AH113-'[1]Short Spot'!AH112)*100</f>
        <v>6.2018652504980842</v>
      </c>
      <c r="AI112" s="19">
        <f>('[1]Short Spot'!AI113-'[1]Short Spot'!AI112)*100</f>
        <v>6.2660518444679347</v>
      </c>
      <c r="AJ112" s="19">
        <f>('[1]Short Spot'!AJ113-'[1]Short Spot'!AJ112)*100</f>
        <v>6.3249241753241314</v>
      </c>
      <c r="AK112" s="19">
        <f>('[1]Short Spot'!AK113-'[1]Short Spot'!AK112)*100</f>
        <v>6.3788128710045022</v>
      </c>
      <c r="AL112" s="19">
        <f>('[1]Short Spot'!AL113-'[1]Short Spot'!AL112)*100</f>
        <v>6.4280282519075804</v>
      </c>
      <c r="AM112" s="19">
        <f>('[1]Short Spot'!AM113-'[1]Short Spot'!AM112)*100</f>
        <v>6.4728583168545129</v>
      </c>
      <c r="AN112" s="19">
        <f>('[1]Short Spot'!AN113-'[1]Short Spot'!AN112)*100</f>
        <v>6.513569113751938</v>
      </c>
      <c r="AO112" s="19">
        <f>('[1]Short Spot'!AO113-'[1]Short Spot'!AO112)*100</f>
        <v>6.5504073950203079</v>
      </c>
      <c r="AP112" s="19">
        <f>('[1]Short Spot'!AP113-'[1]Short Spot'!AP112)*100</f>
        <v>6.5836029707017296</v>
      </c>
      <c r="AQ112" s="19">
        <f>('[1]Short Spot'!AQ113-'[1]Short Spot'!AQ112)*100</f>
        <v>6.6133706284317029</v>
      </c>
      <c r="AR112" s="19">
        <f>('[1]Short Spot'!AR113-'[1]Short Spot'!AR112)*100</f>
        <v>6.6399106531061847</v>
      </c>
      <c r="AS112" s="19">
        <f>('[1]Short Spot'!AS113-'[1]Short Spot'!AS112)*100</f>
        <v>6.6634091714001364</v>
      </c>
      <c r="AT112" s="19">
        <f>('[1]Short Spot'!AT113-'[1]Short Spot'!AT112)*100</f>
        <v>6.6840396050402262</v>
      </c>
      <c r="AU112" s="19">
        <f>('[1]Short Spot'!AU113-'[1]Short Spot'!AU112)*100</f>
        <v>6.701964051846776</v>
      </c>
      <c r="AV112" s="19">
        <f>('[1]Short Spot'!AV113-'[1]Short Spot'!AV112)*100</f>
        <v>6.7173344904055021</v>
      </c>
      <c r="AW112" s="19">
        <f>('[1]Short Spot'!AW113-'[1]Short Spot'!AW112)*100</f>
        <v>6.7302938341535778</v>
      </c>
      <c r="AX112" s="19">
        <f>('[1]Short Spot'!AX113-'[1]Short Spot'!AX112)*100</f>
        <v>6.7409768563960526</v>
      </c>
      <c r="AY112" s="19">
        <f>('[1]Short Spot'!AY113-'[1]Short Spot'!AY112)*100</f>
        <v>6.7495109972401046</v>
      </c>
      <c r="AZ112" s="19">
        <f>('[1]Short Spot'!AZ113-'[1]Short Spot'!AZ112)*100</f>
        <v>6.7560167244973712</v>
      </c>
      <c r="BA112" s="19">
        <f>('[1]Short Spot'!BA113-'[1]Short Spot'!BA112)*100</f>
        <v>6.7606073066315275</v>
      </c>
      <c r="BB112" s="19">
        <f>('[1]Short Spot'!BB113-'[1]Short Spot'!BB112)*100</f>
        <v>6.7633892472557022</v>
      </c>
      <c r="BC112" s="19">
        <f>('[1]Short Spot'!BC113-'[1]Short Spot'!BC112)*100</f>
        <v>6.7644629095164888</v>
      </c>
      <c r="BD112" s="19">
        <f>('[1]Short Spot'!BD113-'[1]Short Spot'!BD112)*100</f>
        <v>6.763923074317546</v>
      </c>
      <c r="BE112" s="19">
        <f>('[1]Short Spot'!BE113-'[1]Short Spot'!BE112)*100</f>
        <v>6.7618594387339748</v>
      </c>
      <c r="BF112" s="19">
        <f>('[1]Short Spot'!BF113-'[1]Short Spot'!BF112)*100</f>
        <v>6.7583570646541524</v>
      </c>
      <c r="BG112" s="19">
        <f>('[1]Short Spot'!BG113-'[1]Short Spot'!BG112)*100</f>
        <v>6.7534967109483368</v>
      </c>
      <c r="BH112" s="19">
        <f>('[1]Short Spot'!BH113-'[1]Short Spot'!BH112)*100</f>
        <v>6.7473548251618887</v>
      </c>
      <c r="BI112" s="19">
        <f>('[1]Short Spot'!BI113-'[1]Short Spot'!BI112)*100</f>
        <v>6.7400037492884479</v>
      </c>
    </row>
    <row r="113" spans="1:61" x14ac:dyDescent="0.2">
      <c r="A113" s="18">
        <v>39246</v>
      </c>
      <c r="B113" s="19">
        <f>('[1]Short Spot'!B114-'[1]Short Spot'!B113)*100</f>
        <v>0.11124472942682928</v>
      </c>
      <c r="C113" s="19">
        <f>('[1]Short Spot'!C114-'[1]Short Spot'!C113)*100</f>
        <v>0.5192549615922637</v>
      </c>
      <c r="D113" s="19">
        <f>('[1]Short Spot'!D114-'[1]Short Spot'!D113)*100</f>
        <v>0.79744601858129371</v>
      </c>
      <c r="E113" s="19">
        <f>('[1]Short Spot'!E114-'[1]Short Spot'!E113)*100</f>
        <v>0.97120156146814907</v>
      </c>
      <c r="F113" s="19">
        <f>('[1]Short Spot'!F114-'[1]Short Spot'!F113)*100</f>
        <v>1.051808698685619</v>
      </c>
      <c r="G113" s="19">
        <f>('[1]Short Spot'!G114-'[1]Short Spot'!G113)*100</f>
        <v>1.0593102325017867</v>
      </c>
      <c r="H113" s="19">
        <f>('[1]Short Spot'!H114-'[1]Short Spot'!H113)*100</f>
        <v>1.018614952513186</v>
      </c>
      <c r="I113" s="19">
        <f>('[1]Short Spot'!I114-'[1]Short Spot'!I113)*100</f>
        <v>0.95450300903534568</v>
      </c>
      <c r="J113" s="19">
        <f>('[1]Short Spot'!J114-'[1]Short Spot'!J113)*100</f>
        <v>0.88084654320415012</v>
      </c>
      <c r="K113" s="19">
        <f>('[1]Short Spot'!K114-'[1]Short Spot'!K113)*100</f>
        <v>0.8040321045850618</v>
      </c>
      <c r="L113" s="19">
        <f>('[1]Short Spot'!L114-'[1]Short Spot'!L113)*100</f>
        <v>0.72763937247017907</v>
      </c>
      <c r="M113" s="19">
        <f>('[1]Short Spot'!M114-'[1]Short Spot'!M113)*100</f>
        <v>0.65530744988224754</v>
      </c>
      <c r="N113" s="19">
        <f>('[1]Short Spot'!N114-'[1]Short Spot'!N113)*100</f>
        <v>0.59074115082129453</v>
      </c>
      <c r="O113" s="19">
        <f>('[1]Short Spot'!O114-'[1]Short Spot'!O113)*100</f>
        <v>0.53687722821420536</v>
      </c>
      <c r="P113" s="19">
        <f>('[1]Short Spot'!P114-'[1]Short Spot'!P113)*100</f>
        <v>0.49532787063597539</v>
      </c>
      <c r="Q113" s="19">
        <f>('[1]Short Spot'!Q114-'[1]Short Spot'!Q113)*100</f>
        <v>0.46671849674071453</v>
      </c>
      <c r="R113" s="19">
        <f>('[1]Short Spot'!R114-'[1]Short Spot'!R113)*100</f>
        <v>0.45098307308473196</v>
      </c>
      <c r="S113" s="19">
        <f>('[1]Short Spot'!S114-'[1]Short Spot'!S113)*100</f>
        <v>0.44761573356497664</v>
      </c>
      <c r="T113" s="19">
        <f>('[1]Short Spot'!T114-'[1]Short Spot'!T113)*100</f>
        <v>0.45584733159493851</v>
      </c>
      <c r="U113" s="19">
        <f>('[1]Short Spot'!U114-'[1]Short Spot'!U113)*100</f>
        <v>0.4747169815450647</v>
      </c>
      <c r="V113" s="19">
        <f>('[1]Short Spot'!V114-'[1]Short Spot'!V113)*100</f>
        <v>0.50311792760000529</v>
      </c>
      <c r="W113" s="19">
        <f>('[1]Short Spot'!W114-'[1]Short Spot'!W113)*100</f>
        <v>0.53986852579859246</v>
      </c>
      <c r="X113" s="19">
        <f>('[1]Short Spot'!X114-'[1]Short Spot'!X113)*100</f>
        <v>0.58387088490068351</v>
      </c>
      <c r="Y113" s="19">
        <f>('[1]Short Spot'!Y114-'[1]Short Spot'!Y113)*100</f>
        <v>0.63414960875363136</v>
      </c>
      <c r="Z113" s="19">
        <f>('[1]Short Spot'!Z114-'[1]Short Spot'!Z113)*100</f>
        <v>0.68982831465511651</v>
      </c>
      <c r="AA113" s="19">
        <f>('[1]Short Spot'!AA114-'[1]Short Spot'!AA113)*100</f>
        <v>0.75011059230680743</v>
      </c>
      <c r="AB113" s="19">
        <f>('[1]Short Spot'!AB114-'[1]Short Spot'!AB113)*100</f>
        <v>0.81426519410880971</v>
      </c>
      <c r="AC113" s="19">
        <f>('[1]Short Spot'!AC114-'[1]Short Spot'!AC113)*100</f>
        <v>0.88161502029828753</v>
      </c>
      <c r="AD113" s="19">
        <f>('[1]Short Spot'!AD114-'[1]Short Spot'!AD113)*100</f>
        <v>0.95154046098908651</v>
      </c>
      <c r="AE113" s="19">
        <f>('[1]Short Spot'!AE114-'[1]Short Spot'!AE113)*100</f>
        <v>1.0234890902498961</v>
      </c>
      <c r="AF113" s="19">
        <f>('[1]Short Spot'!AF114-'[1]Short Spot'!AF113)*100</f>
        <v>1.0969686593471195</v>
      </c>
      <c r="AG113" s="19">
        <f>('[1]Short Spot'!AG114-'[1]Short Spot'!AG113)*100</f>
        <v>1.1715437514563831</v>
      </c>
      <c r="AH113" s="19">
        <f>('[1]Short Spot'!AH114-'[1]Short Spot'!AH113)*100</f>
        <v>1.246831379881197</v>
      </c>
      <c r="AI113" s="19">
        <f>('[1]Short Spot'!AI114-'[1]Short Spot'!AI113)*100</f>
        <v>1.3224934980483383</v>
      </c>
      <c r="AJ113" s="19">
        <f>('[1]Short Spot'!AJ114-'[1]Short Spot'!AJ113)*100</f>
        <v>1.3982305794905336</v>
      </c>
      <c r="AK113" s="19">
        <f>('[1]Short Spot'!AK114-'[1]Short Spot'!AK113)*100</f>
        <v>1.4737762684324807</v>
      </c>
      <c r="AL113" s="19">
        <f>('[1]Short Spot'!AL114-'[1]Short Spot'!AL113)*100</f>
        <v>1.5488935095069323</v>
      </c>
      <c r="AM113" s="19">
        <f>('[1]Short Spot'!AM114-'[1]Short Spot'!AM113)*100</f>
        <v>1.6233741822114567</v>
      </c>
      <c r="AN113" s="19">
        <f>('[1]Short Spot'!AN114-'[1]Short Spot'!AN113)*100</f>
        <v>1.6970374317558878</v>
      </c>
      <c r="AO113" s="19">
        <f>('[1]Short Spot'!AO114-'[1]Short Spot'!AO113)*100</f>
        <v>1.7697263453070988</v>
      </c>
      <c r="AP113" s="19">
        <f>('[1]Short Spot'!AP114-'[1]Short Spot'!AP113)*100</f>
        <v>1.8413050322378055</v>
      </c>
      <c r="AQ113" s="19">
        <f>('[1]Short Spot'!AQ114-'[1]Short Spot'!AQ113)*100</f>
        <v>1.9116560882083355</v>
      </c>
      <c r="AR113" s="19">
        <f>('[1]Short Spot'!AR114-'[1]Short Spot'!AR113)*100</f>
        <v>1.9806783639259251</v>
      </c>
      <c r="AS113" s="19">
        <f>('[1]Short Spot'!AS114-'[1]Short Spot'!AS113)*100</f>
        <v>2.0482853639308019</v>
      </c>
      <c r="AT113" s="19">
        <f>('[1]Short Spot'!AT114-'[1]Short Spot'!AT113)*100</f>
        <v>2.1144036997782223</v>
      </c>
      <c r="AU113" s="19">
        <f>('[1]Short Spot'!AU114-'[1]Short Spot'!AU113)*100</f>
        <v>2.1789716654217806</v>
      </c>
      <c r="AV113" s="19">
        <f>('[1]Short Spot'!AV114-'[1]Short Spot'!AV113)*100</f>
        <v>2.241937994403731</v>
      </c>
      <c r="AW113" s="19">
        <f>('[1]Short Spot'!AW114-'[1]Short Spot'!AW113)*100</f>
        <v>2.3032607723988185</v>
      </c>
      <c r="AX113" s="19">
        <f>('[1]Short Spot'!AX114-'[1]Short Spot'!AX113)*100</f>
        <v>2.3629064829144397</v>
      </c>
      <c r="AY113" s="19">
        <f>('[1]Short Spot'!AY114-'[1]Short Spot'!AY113)*100</f>
        <v>2.4208491637984331</v>
      </c>
      <c r="AZ113" s="19">
        <f>('[1]Short Spot'!AZ114-'[1]Short Spot'!AZ113)*100</f>
        <v>2.477069527248954</v>
      </c>
      <c r="BA113" s="19">
        <f>('[1]Short Spot'!BA114-'[1]Short Spot'!BA113)*100</f>
        <v>2.5315540161627403</v>
      </c>
      <c r="BB113" s="19">
        <f>('[1]Short Spot'!BB114-'[1]Short Spot'!BB113)*100</f>
        <v>2.5842941930732444</v>
      </c>
      <c r="BC113" s="19">
        <f>('[1]Short Spot'!BC114-'[1]Short Spot'!BC113)*100</f>
        <v>2.6352862657553544</v>
      </c>
      <c r="BD113" s="19">
        <f>('[1]Short Spot'!BD114-'[1]Short Spot'!BD113)*100</f>
        <v>2.6845306649315503</v>
      </c>
      <c r="BE113" s="19">
        <f>('[1]Short Spot'!BE114-'[1]Short Spot'!BE113)*100</f>
        <v>2.7320316672220457</v>
      </c>
      <c r="BF113" s="19">
        <f>('[1]Short Spot'!BF114-'[1]Short Spot'!BF113)*100</f>
        <v>2.7777970611980507</v>
      </c>
      <c r="BG113" s="19">
        <f>('[1]Short Spot'!BG114-'[1]Short Spot'!BG113)*100</f>
        <v>2.8218378064189586</v>
      </c>
      <c r="BH113" s="19">
        <f>('[1]Short Spot'!BH114-'[1]Short Spot'!BH113)*100</f>
        <v>2.8641674916972448</v>
      </c>
      <c r="BI113" s="19">
        <f>('[1]Short Spot'!BI114-'[1]Short Spot'!BI113)*100</f>
        <v>2.9048020029973642</v>
      </c>
    </row>
    <row r="114" spans="1:61" x14ac:dyDescent="0.2">
      <c r="A114" s="18">
        <v>39247</v>
      </c>
      <c r="B114" s="19">
        <f>('[1]Short Spot'!B115-'[1]Short Spot'!B114)*100</f>
        <v>-0.81323120038687691</v>
      </c>
      <c r="C114" s="19">
        <f>('[1]Short Spot'!C115-'[1]Short Spot'!C114)*100</f>
        <v>-0.94880852154677342</v>
      </c>
      <c r="D114" s="19">
        <f>('[1]Short Spot'!D115-'[1]Short Spot'!D114)*100</f>
        <v>-1.4946171940903419</v>
      </c>
      <c r="E114" s="19">
        <f>('[1]Short Spot'!E115-'[1]Short Spot'!E114)*100</f>
        <v>-2.1066969553826809</v>
      </c>
      <c r="F114" s="19">
        <f>('[1]Short Spot'!F115-'[1]Short Spot'!F114)*100</f>
        <v>-2.6561895402107183</v>
      </c>
      <c r="G114" s="19">
        <f>('[1]Short Spot'!G115-'[1]Short Spot'!G114)*100</f>
        <v>-3.1204207436066334</v>
      </c>
      <c r="H114" s="19">
        <f>('[1]Short Spot'!H115-'[1]Short Spot'!H114)*100</f>
        <v>-3.512172508528888</v>
      </c>
      <c r="I114" s="19">
        <f>('[1]Short Spot'!I115-'[1]Short Spot'!I114)*100</f>
        <v>-3.8482195573859457</v>
      </c>
      <c r="J114" s="19">
        <f>('[1]Short Spot'!J115-'[1]Short Spot'!J114)*100</f>
        <v>-4.1417984452853496</v>
      </c>
      <c r="K114" s="19">
        <f>('[1]Short Spot'!K115-'[1]Short Spot'!K114)*100</f>
        <v>-4.4026885693696727</v>
      </c>
      <c r="L114" s="19">
        <f>('[1]Short Spot'!L115-'[1]Short Spot'!L114)*100</f>
        <v>-4.634961856836739</v>
      </c>
      <c r="M114" s="19">
        <f>('[1]Short Spot'!M115-'[1]Short Spot'!M114)*100</f>
        <v>-4.8410005237771614</v>
      </c>
      <c r="N114" s="19">
        <f>('[1]Short Spot'!N115-'[1]Short Spot'!N114)*100</f>
        <v>-5.0225098849392857</v>
      </c>
      <c r="O114" s="19">
        <f>('[1]Short Spot'!O115-'[1]Short Spot'!O114)*100</f>
        <v>-5.1803744235487059</v>
      </c>
      <c r="P114" s="19">
        <f>('[1]Short Spot'!P115-'[1]Short Spot'!P114)*100</f>
        <v>-5.3154568522922219</v>
      </c>
      <c r="Q114" s="19">
        <f>('[1]Short Spot'!Q115-'[1]Short Spot'!Q114)*100</f>
        <v>-5.4287839105737312</v>
      </c>
      <c r="R114" s="19">
        <f>('[1]Short Spot'!R115-'[1]Short Spot'!R114)*100</f>
        <v>-5.5215014652515215</v>
      </c>
      <c r="S114" s="19">
        <f>('[1]Short Spot'!S115-'[1]Short Spot'!S114)*100</f>
        <v>-5.5948638686329488</v>
      </c>
      <c r="T114" s="19">
        <f>('[1]Short Spot'!T115-'[1]Short Spot'!T114)*100</f>
        <v>-5.650219754861574</v>
      </c>
      <c r="U114" s="19">
        <f>('[1]Short Spot'!U115-'[1]Short Spot'!U114)*100</f>
        <v>-5.6889890532708876</v>
      </c>
      <c r="V114" s="19">
        <f>('[1]Short Spot'!V115-'[1]Short Spot'!V114)*100</f>
        <v>-5.7126456794576619</v>
      </c>
      <c r="W114" s="19">
        <f>('[1]Short Spot'!W115-'[1]Short Spot'!W114)*100</f>
        <v>-5.7226667734284753</v>
      </c>
      <c r="X114" s="19">
        <f>('[1]Short Spot'!X115-'[1]Short Spot'!X114)*100</f>
        <v>-5.7204104036538972</v>
      </c>
      <c r="Y114" s="19">
        <f>('[1]Short Spot'!Y115-'[1]Short Spot'!Y114)*100</f>
        <v>-5.7071019108718701</v>
      </c>
      <c r="Z114" s="19">
        <f>('[1]Short Spot'!Z115-'[1]Short Spot'!Z114)*100</f>
        <v>-5.6838602531270155</v>
      </c>
      <c r="AA114" s="19">
        <f>('[1]Short Spot'!AA115-'[1]Short Spot'!AA114)*100</f>
        <v>-5.6517184639804263</v>
      </c>
      <c r="AB114" s="19">
        <f>('[1]Short Spot'!AB115-'[1]Short Spot'!AB114)*100</f>
        <v>-5.6116395644519201</v>
      </c>
      <c r="AC114" s="19">
        <f>('[1]Short Spot'!AC115-'[1]Short Spot'!AC114)*100</f>
        <v>-5.5645277868225484</v>
      </c>
      <c r="AD114" s="19">
        <f>('[1]Short Spot'!AD115-'[1]Short Spot'!AD114)*100</f>
        <v>-5.5112170901516322</v>
      </c>
      <c r="AE114" s="19">
        <f>('[1]Short Spot'!AE115-'[1]Short Spot'!AE114)*100</f>
        <v>-5.4524538772229292</v>
      </c>
      <c r="AF114" s="19">
        <f>('[1]Short Spot'!AF115-'[1]Short Spot'!AF114)*100</f>
        <v>-5.3889063348293575</v>
      </c>
      <c r="AG114" s="19">
        <f>('[1]Short Spot'!AG115-'[1]Short Spot'!AG114)*100</f>
        <v>-5.3211709912319272</v>
      </c>
      <c r="AH114" s="19">
        <f>('[1]Short Spot'!AH115-'[1]Short Spot'!AH114)*100</f>
        <v>-5.2497800846595055</v>
      </c>
      <c r="AI114" s="19">
        <f>('[1]Short Spot'!AI115-'[1]Short Spot'!AI114)*100</f>
        <v>-5.1752108632343585</v>
      </c>
      <c r="AJ114" s="19">
        <f>('[1]Short Spot'!AJ115-'[1]Short Spot'!AJ114)*100</f>
        <v>-5.0978934407022614</v>
      </c>
      <c r="AK114" s="19">
        <f>('[1]Short Spot'!AK115-'[1]Short Spot'!AK114)*100</f>
        <v>-5.0182173393876539</v>
      </c>
      <c r="AL114" s="19">
        <f>('[1]Short Spot'!AL115-'[1]Short Spot'!AL114)*100</f>
        <v>-4.936535893847438</v>
      </c>
      <c r="AM114" s="19">
        <f>('[1]Short Spot'!AM115-'[1]Short Spot'!AM114)*100</f>
        <v>-4.8531659489261081</v>
      </c>
      <c r="AN114" s="19">
        <f>('[1]Short Spot'!AN115-'[1]Short Spot'!AN114)*100</f>
        <v>-4.7683900161637816</v>
      </c>
      <c r="AO114" s="19">
        <f>('[1]Short Spot'!AO115-'[1]Short Spot'!AO114)*100</f>
        <v>-4.6824604848925588</v>
      </c>
      <c r="AP114" s="19">
        <f>('[1]Short Spot'!AP115-'[1]Short Spot'!AP114)*100</f>
        <v>-4.5956032956757653</v>
      </c>
      <c r="AQ114" s="19">
        <f>('[1]Short Spot'!AQ115-'[1]Short Spot'!AQ114)*100</f>
        <v>-4.5080211237031875</v>
      </c>
      <c r="AR114" s="19">
        <f>('[1]Short Spot'!AR115-'[1]Short Spot'!AR114)*100</f>
        <v>-4.419896142016988</v>
      </c>
      <c r="AS114" s="19">
        <f>('[1]Short Spot'!AS115-'[1]Short Spot'!AS114)*100</f>
        <v>-4.3313920895136526</v>
      </c>
      <c r="AT114" s="19">
        <f>('[1]Short Spot'!AT115-'[1]Short Spot'!AT114)*100</f>
        <v>-4.2426562448734551</v>
      </c>
      <c r="AU114" s="19">
        <f>('[1]Short Spot'!AU115-'[1]Short Spot'!AU114)*100</f>
        <v>-4.1538212156959631</v>
      </c>
      <c r="AV114" s="19">
        <f>('[1]Short Spot'!AV115-'[1]Short Spot'!AV114)*100</f>
        <v>-4.0650064992527213</v>
      </c>
      <c r="AW114" s="19">
        <f>('[1]Short Spot'!AW115-'[1]Short Spot'!AW114)*100</f>
        <v>-3.9763198481474582</v>
      </c>
      <c r="AX114" s="19">
        <f>('[1]Short Spot'!AX115-'[1]Short Spot'!AX114)*100</f>
        <v>-3.8878584687505935</v>
      </c>
      <c r="AY114" s="19">
        <f>('[1]Short Spot'!AY115-'[1]Short Spot'!AY114)*100</f>
        <v>-3.7997100773768722</v>
      </c>
      <c r="AZ114" s="19">
        <f>('[1]Short Spot'!AZ115-'[1]Short Spot'!AZ114)*100</f>
        <v>-3.7119538641159799</v>
      </c>
      <c r="BA114" s="19">
        <f>('[1]Short Spot'!BA115-'[1]Short Spot'!BA114)*100</f>
        <v>-3.6246613595982247</v>
      </c>
      <c r="BB114" s="19">
        <f>('[1]Short Spot'!BB115-'[1]Short Spot'!BB114)*100</f>
        <v>-3.5378971625078748</v>
      </c>
      <c r="BC114" s="19">
        <f>('[1]Short Spot'!BC115-'[1]Short Spot'!BC114)*100</f>
        <v>-3.4517195813667634</v>
      </c>
      <c r="BD114" s="19">
        <f>('[1]Short Spot'!BD115-'[1]Short Spot'!BD114)*100</f>
        <v>-3.3661812063671803</v>
      </c>
      <c r="BE114" s="19">
        <f>('[1]Short Spot'!BE115-'[1]Short Spot'!BE114)*100</f>
        <v>-3.2813294199365295</v>
      </c>
      <c r="BF114" s="19">
        <f>('[1]Short Spot'!BF115-'[1]Short Spot'!BF114)*100</f>
        <v>-3.1972068484654059</v>
      </c>
      <c r="BG114" s="19">
        <f>('[1]Short Spot'!BG115-'[1]Short Spot'!BG114)*100</f>
        <v>-3.1138517609606176</v>
      </c>
      <c r="BH114" s="19">
        <f>('[1]Short Spot'!BH115-'[1]Short Spot'!BH114)*100</f>
        <v>-3.0312985883772292</v>
      </c>
      <c r="BI114" s="19">
        <f>('[1]Short Spot'!BI115-'[1]Short Spot'!BI114)*100</f>
        <v>-2.9495783179712909</v>
      </c>
    </row>
    <row r="115" spans="1:61" x14ac:dyDescent="0.2">
      <c r="A115" s="18">
        <v>39248</v>
      </c>
      <c r="B115" s="19">
        <f>('[1]Short Spot'!B116-'[1]Short Spot'!B115)*100</f>
        <v>0.27393206784900315</v>
      </c>
      <c r="C115" s="19">
        <f>('[1]Short Spot'!C116-'[1]Short Spot'!C115)*100</f>
        <v>9.7276818653746489E-2</v>
      </c>
      <c r="D115" s="19">
        <f>('[1]Short Spot'!D116-'[1]Short Spot'!D115)*100</f>
        <v>0.17065537917497764</v>
      </c>
      <c r="E115" s="19">
        <f>('[1]Short Spot'!E116-'[1]Short Spot'!E115)*100</f>
        <v>0.29198973978097342</v>
      </c>
      <c r="F115" s="19">
        <f>('[1]Short Spot'!F116-'[1]Short Spot'!F115)*100</f>
        <v>0.38706470656117986</v>
      </c>
      <c r="G115" s="19">
        <f>('[1]Short Spot'!G116-'[1]Short Spot'!G115)*100</f>
        <v>0.43891914437121926</v>
      </c>
      <c r="H115" s="19">
        <f>('[1]Short Spot'!H116-'[1]Short Spot'!H115)*100</f>
        <v>0.45529504627435102</v>
      </c>
      <c r="I115" s="19">
        <f>('[1]Short Spot'!I116-'[1]Short Spot'!I115)*100</f>
        <v>0.45742801919450571</v>
      </c>
      <c r="J115" s="19">
        <f>('[1]Short Spot'!J116-'[1]Short Spot'!J115)*100</f>
        <v>0.45381474102699215</v>
      </c>
      <c r="K115" s="19">
        <f>('[1]Short Spot'!K116-'[1]Short Spot'!K115)*100</f>
        <v>0.44562815053268423</v>
      </c>
      <c r="L115" s="19">
        <f>('[1]Short Spot'!L116-'[1]Short Spot'!L115)*100</f>
        <v>0.43523099433713242</v>
      </c>
      <c r="M115" s="19">
        <f>('[1]Short Spot'!M116-'[1]Short Spot'!M115)*100</f>
        <v>0.4248233974010418</v>
      </c>
      <c r="N115" s="19">
        <f>('[1]Short Spot'!N116-'[1]Short Spot'!N115)*100</f>
        <v>0.41611952958575671</v>
      </c>
      <c r="O115" s="19">
        <f>('[1]Short Spot'!O116-'[1]Short Spot'!O115)*100</f>
        <v>0.41004059126263925</v>
      </c>
      <c r="P115" s="19">
        <f>('[1]Short Spot'!P116-'[1]Short Spot'!P115)*100</f>
        <v>0.40693380688141545</v>
      </c>
      <c r="Q115" s="19">
        <f>('[1]Short Spot'!Q116-'[1]Short Spot'!Q115)*100</f>
        <v>0.40681446552106593</v>
      </c>
      <c r="R115" s="19">
        <f>('[1]Short Spot'!R116-'[1]Short Spot'!R115)*100</f>
        <v>0.40946763785596474</v>
      </c>
      <c r="S115" s="19">
        <f>('[1]Short Spot'!S116-'[1]Short Spot'!S115)*100</f>
        <v>0.41455995393340217</v>
      </c>
      <c r="T115" s="19">
        <f>('[1]Short Spot'!T116-'[1]Short Spot'!T115)*100</f>
        <v>0.42171666696413368</v>
      </c>
      <c r="U115" s="19">
        <f>('[1]Short Spot'!U116-'[1]Short Spot'!U115)*100</f>
        <v>0.43053578640996903</v>
      </c>
      <c r="V115" s="19">
        <f>('[1]Short Spot'!V116-'[1]Short Spot'!V115)*100</f>
        <v>0.44059593760810145</v>
      </c>
      <c r="W115" s="19">
        <f>('[1]Short Spot'!W116-'[1]Short Spot'!W115)*100</f>
        <v>0.45151883481358013</v>
      </c>
      <c r="X115" s="19">
        <f>('[1]Short Spot'!X116-'[1]Short Spot'!X115)*100</f>
        <v>0.46302766240424731</v>
      </c>
      <c r="Y115" s="19">
        <f>('[1]Short Spot'!Y116-'[1]Short Spot'!Y115)*100</f>
        <v>0.47490068456914614</v>
      </c>
      <c r="Z115" s="19">
        <f>('[1]Short Spot'!Z116-'[1]Short Spot'!Z115)*100</f>
        <v>0.48695751711322899</v>
      </c>
      <c r="AA115" s="19">
        <f>('[1]Short Spot'!AA116-'[1]Short Spot'!AA115)*100</f>
        <v>0.49905117522390796</v>
      </c>
      <c r="AB115" s="19">
        <f>('[1]Short Spot'!AB116-'[1]Short Spot'!AB115)*100</f>
        <v>0.51106188840002176</v>
      </c>
      <c r="AC115" s="19">
        <f>('[1]Short Spot'!AC116-'[1]Short Spot'!AC115)*100</f>
        <v>0.52289361606945306</v>
      </c>
      <c r="AD115" s="19">
        <f>('[1]Short Spot'!AD116-'[1]Short Spot'!AD115)*100</f>
        <v>0.53447974519622576</v>
      </c>
      <c r="AE115" s="19">
        <f>('[1]Short Spot'!AE116-'[1]Short Spot'!AE115)*100</f>
        <v>0.54578116976990998</v>
      </c>
      <c r="AF115" s="19">
        <f>('[1]Short Spot'!AF116-'[1]Short Spot'!AF115)*100</f>
        <v>0.55677817315640254</v>
      </c>
      <c r="AG115" s="19">
        <f>('[1]Short Spot'!AG116-'[1]Short Spot'!AG115)*100</f>
        <v>0.56745958566422061</v>
      </c>
      <c r="AH115" s="19">
        <f>('[1]Short Spot'!AH116-'[1]Short Spot'!AH115)*100</f>
        <v>0.57781933007170494</v>
      </c>
      <c r="AI115" s="19">
        <f>('[1]Short Spot'!AI116-'[1]Short Spot'!AI115)*100</f>
        <v>0.58785568441734881</v>
      </c>
      <c r="AJ115" s="19">
        <f>('[1]Short Spot'!AJ116-'[1]Short Spot'!AJ115)*100</f>
        <v>0.59757065981873581</v>
      </c>
      <c r="AK115" s="19">
        <f>('[1]Short Spot'!AK116-'[1]Short Spot'!AK115)*100</f>
        <v>0.60696948258716077</v>
      </c>
      <c r="AL115" s="19">
        <f>('[1]Short Spot'!AL116-'[1]Short Spot'!AL115)*100</f>
        <v>0.61606000423086726</v>
      </c>
      <c r="AM115" s="19">
        <f>('[1]Short Spot'!AM116-'[1]Short Spot'!AM115)*100</f>
        <v>0.62485142065398236</v>
      </c>
      <c r="AN115" s="19">
        <f>('[1]Short Spot'!AN116-'[1]Short Spot'!AN115)*100</f>
        <v>0.63335357016089944</v>
      </c>
      <c r="AO115" s="19">
        <f>('[1]Short Spot'!AO116-'[1]Short Spot'!AO115)*100</f>
        <v>0.64157683407053412</v>
      </c>
      <c r="AP115" s="19">
        <f>('[1]Short Spot'!AP116-'[1]Short Spot'!AP115)*100</f>
        <v>0.64953207049187611</v>
      </c>
      <c r="AQ115" s="19">
        <f>('[1]Short Spot'!AQ116-'[1]Short Spot'!AQ115)*100</f>
        <v>0.65723037320823963</v>
      </c>
      <c r="AR115" s="19">
        <f>('[1]Short Spot'!AR116-'[1]Short Spot'!AR115)*100</f>
        <v>0.66468230844733966</v>
      </c>
      <c r="AS115" s="19">
        <f>('[1]Short Spot'!AS116-'[1]Short Spot'!AS115)*100</f>
        <v>0.67189818182509242</v>
      </c>
      <c r="AT115" s="19">
        <f>('[1]Short Spot'!AT116-'[1]Short Spot'!AT115)*100</f>
        <v>0.67888819852779392</v>
      </c>
      <c r="AU115" s="19">
        <f>('[1]Short Spot'!AU116-'[1]Short Spot'!AU115)*100</f>
        <v>0.68566247423040849</v>
      </c>
      <c r="AV115" s="19">
        <f>('[1]Short Spot'!AV116-'[1]Short Spot'!AV115)*100</f>
        <v>0.69223104461935137</v>
      </c>
      <c r="AW115" s="19">
        <f>('[1]Short Spot'!AW116-'[1]Short Spot'!AW115)*100</f>
        <v>0.69860387372546739</v>
      </c>
      <c r="AX115" s="19">
        <f>('[1]Short Spot'!AX116-'[1]Short Spot'!AX115)*100</f>
        <v>0.70479086123489409</v>
      </c>
      <c r="AY115" s="19">
        <f>('[1]Short Spot'!AY116-'[1]Short Spot'!AY115)*100</f>
        <v>0.71080183807898933</v>
      </c>
      <c r="AZ115" s="19">
        <f>('[1]Short Spot'!AZ116-'[1]Short Spot'!AZ115)*100</f>
        <v>0.71664638413562187</v>
      </c>
      <c r="BA115" s="19">
        <f>('[1]Short Spot'!BA116-'[1]Short Spot'!BA115)*100</f>
        <v>0.72233361295124254</v>
      </c>
      <c r="BB115" s="19">
        <f>('[1]Short Spot'!BB116-'[1]Short Spot'!BB115)*100</f>
        <v>0.72787219160233008</v>
      </c>
      <c r="BC115" s="19">
        <f>('[1]Short Spot'!BC116-'[1]Short Spot'!BC115)*100</f>
        <v>0.73327038218398144</v>
      </c>
      <c r="BD115" s="19">
        <f>('[1]Short Spot'!BD116-'[1]Short Spot'!BD115)*100</f>
        <v>0.73853607862579551</v>
      </c>
      <c r="BE115" s="19">
        <f>('[1]Short Spot'!BE116-'[1]Short Spot'!BE115)*100</f>
        <v>0.74367683956477748</v>
      </c>
      <c r="BF115" s="19">
        <f>('[1]Short Spot'!BF116-'[1]Short Spot'!BF115)*100</f>
        <v>0.74869994091537606</v>
      </c>
      <c r="BG115" s="19">
        <f>('[1]Short Spot'!BG116-'[1]Short Spot'!BG115)*100</f>
        <v>0.75361253598220657</v>
      </c>
      <c r="BH115" s="19">
        <f>('[1]Short Spot'!BH116-'[1]Short Spot'!BH115)*100</f>
        <v>0.75842143161501951</v>
      </c>
      <c r="BI115" s="19">
        <f>('[1]Short Spot'!BI116-'[1]Short Spot'!BI115)*100</f>
        <v>0.76313297237273758</v>
      </c>
    </row>
    <row r="116" spans="1:61" x14ac:dyDescent="0.2">
      <c r="A116" s="18">
        <v>39251</v>
      </c>
      <c r="B116" s="19">
        <f>('[1]Short Spot'!B117-'[1]Short Spot'!B116)*100</f>
        <v>0.39637751052206127</v>
      </c>
      <c r="C116" s="19">
        <f>('[1]Short Spot'!C117-'[1]Short Spot'!C116)*100</f>
        <v>0.5949269912902011</v>
      </c>
      <c r="D116" s="19">
        <f>('[1]Short Spot'!D117-'[1]Short Spot'!D116)*100</f>
        <v>0.59510477742898971</v>
      </c>
      <c r="E116" s="19">
        <f>('[1]Short Spot'!E117-'[1]Short Spot'!E116)*100</f>
        <v>0.5414659057352722</v>
      </c>
      <c r="F116" s="19">
        <f>('[1]Short Spot'!F117-'[1]Short Spot'!F116)*100</f>
        <v>0.45138919208183026</v>
      </c>
      <c r="G116" s="19">
        <f>('[1]Short Spot'!G117-'[1]Short Spot'!G116)*100</f>
        <v>0.34135024906793987</v>
      </c>
      <c r="H116" s="19">
        <f>('[1]Short Spot'!H117-'[1]Short Spot'!H116)*100</f>
        <v>0.23156796123080525</v>
      </c>
      <c r="I116" s="19">
        <f>('[1]Short Spot'!I117-'[1]Short Spot'!I116)*100</f>
        <v>0.13949040304570559</v>
      </c>
      <c r="J116" s="19">
        <f>('[1]Short Spot'!J117-'[1]Short Spot'!J116)*100</f>
        <v>7.2298850569652018E-2</v>
      </c>
      <c r="K116" s="19">
        <f>('[1]Short Spot'!K117-'[1]Short Spot'!K116)*100</f>
        <v>3.0627833048413322E-2</v>
      </c>
      <c r="L116" s="19">
        <f>('[1]Short Spot'!L117-'[1]Short Spot'!L116)*100</f>
        <v>1.2311349340166089E-2</v>
      </c>
      <c r="M116" s="19">
        <f>('[1]Short Spot'!M117-'[1]Short Spot'!M116)*100</f>
        <v>1.4319119946026859E-2</v>
      </c>
      <c r="N116" s="19">
        <f>('[1]Short Spot'!N117-'[1]Short Spot'!N116)*100</f>
        <v>3.2960553931538072E-2</v>
      </c>
      <c r="O116" s="19">
        <f>('[1]Short Spot'!O117-'[1]Short Spot'!O116)*100</f>
        <v>6.4381709203598092E-2</v>
      </c>
      <c r="P116" s="19">
        <f>('[1]Short Spot'!P117-'[1]Short Spot'!P116)*100</f>
        <v>0.10535722403854919</v>
      </c>
      <c r="Q116" s="19">
        <f>('[1]Short Spot'!Q117-'[1]Short Spot'!Q116)*100</f>
        <v>0.15322583981145499</v>
      </c>
      <c r="R116" s="19">
        <f>('[1]Short Spot'!R117-'[1]Short Spot'!R116)*100</f>
        <v>0.20574834653919183</v>
      </c>
      <c r="S116" s="19">
        <f>('[1]Short Spot'!S117-'[1]Short Spot'!S116)*100</f>
        <v>0.26113762543484853</v>
      </c>
      <c r="T116" s="19">
        <f>('[1]Short Spot'!T117-'[1]Short Spot'!T116)*100</f>
        <v>0.31803241783352476</v>
      </c>
      <c r="U116" s="19">
        <f>('[1]Short Spot'!U117-'[1]Short Spot'!U116)*100</f>
        <v>0.37539533047334928</v>
      </c>
      <c r="V116" s="19">
        <f>('[1]Short Spot'!V117-'[1]Short Spot'!V116)*100</f>
        <v>0.43243637991636774</v>
      </c>
      <c r="W116" s="19">
        <f>('[1]Short Spot'!W117-'[1]Short Spot'!W116)*100</f>
        <v>0.4885718332991118</v>
      </c>
      <c r="X116" s="19">
        <f>('[1]Short Spot'!X117-'[1]Short Spot'!X116)*100</f>
        <v>0.54337758835689698</v>
      </c>
      <c r="Y116" s="19">
        <f>('[1]Short Spot'!Y117-'[1]Short Spot'!Y116)*100</f>
        <v>0.59653933007561832</v>
      </c>
      <c r="Z116" s="19">
        <f>('[1]Short Spot'!Z117-'[1]Short Spot'!Z116)*100</f>
        <v>0.64782978267512448</v>
      </c>
      <c r="AA116" s="19">
        <f>('[1]Short Spot'!AA117-'[1]Short Spot'!AA116)*100</f>
        <v>0.69709197129350642</v>
      </c>
      <c r="AB116" s="19">
        <f>('[1]Short Spot'!AB117-'[1]Short Spot'!AB116)*100</f>
        <v>0.74422620329990252</v>
      </c>
      <c r="AC116" s="19">
        <f>('[1]Short Spot'!AC117-'[1]Short Spot'!AC116)*100</f>
        <v>0.78917993774139106</v>
      </c>
      <c r="AD116" s="19">
        <f>('[1]Short Spot'!AD117-'[1]Short Spot'!AD116)*100</f>
        <v>0.83193711291720263</v>
      </c>
      <c r="AE116" s="19">
        <f>('[1]Short Spot'!AE117-'[1]Short Spot'!AE116)*100</f>
        <v>0.87250637714548773</v>
      </c>
      <c r="AF116" s="19">
        <f>('[1]Short Spot'!AF117-'[1]Short Spot'!AF116)*100</f>
        <v>0.91091464001742395</v>
      </c>
      <c r="AG116" s="19">
        <f>('[1]Short Spot'!AG117-'[1]Short Spot'!AG116)*100</f>
        <v>0.94720034758370986</v>
      </c>
      <c r="AH116" s="19">
        <f>('[1]Short Spot'!AH117-'[1]Short Spot'!AH116)*100</f>
        <v>0.98141079376912188</v>
      </c>
      <c r="AI116" s="19">
        <f>('[1]Short Spot'!AI117-'[1]Short Spot'!AI116)*100</f>
        <v>1.0136008247801698</v>
      </c>
      <c r="AJ116" s="19">
        <f>('[1]Short Spot'!AJ117-'[1]Short Spot'!AJ116)*100</f>
        <v>1.0438317602081248</v>
      </c>
      <c r="AK116" s="19">
        <f>('[1]Short Spot'!AK117-'[1]Short Spot'!AK116)*100</f>
        <v>1.0721704860953807</v>
      </c>
      <c r="AL116" s="19">
        <f>('[1]Short Spot'!AL117-'[1]Short Spot'!AL116)*100</f>
        <v>1.0986879112625303</v>
      </c>
      <c r="AM116" s="19">
        <f>('[1]Short Spot'!AM117-'[1]Short Spot'!AM116)*100</f>
        <v>1.1234558045069676</v>
      </c>
      <c r="AN116" s="19">
        <f>('[1]Short Spot'!AN117-'[1]Short Spot'!AN116)*100</f>
        <v>1.1465457277897606</v>
      </c>
      <c r="AO116" s="19">
        <f>('[1]Short Spot'!AO117-'[1]Short Spot'!AO116)*100</f>
        <v>1.1680290457715792</v>
      </c>
      <c r="AP116" s="19">
        <f>('[1]Short Spot'!AP117-'[1]Short Spot'!AP116)*100</f>
        <v>1.1879769498571946</v>
      </c>
      <c r="AQ116" s="19">
        <f>('[1]Short Spot'!AQ117-'[1]Short Spot'!AQ116)*100</f>
        <v>1.206460236845075</v>
      </c>
      <c r="AR116" s="19">
        <f>('[1]Short Spot'!AR117-'[1]Short Spot'!AR116)*100</f>
        <v>1.2235476836564452</v>
      </c>
      <c r="AS116" s="19">
        <f>('[1]Short Spot'!AS117-'[1]Short Spot'!AS116)*100</f>
        <v>1.2393051868470728</v>
      </c>
      <c r="AT116" s="19">
        <f>('[1]Short Spot'!AT117-'[1]Short Spot'!AT116)*100</f>
        <v>1.25379603684177</v>
      </c>
      <c r="AU116" s="19">
        <f>('[1]Short Spot'!AU117-'[1]Short Spot'!AU116)*100</f>
        <v>1.2670812012104626</v>
      </c>
      <c r="AV116" s="19">
        <f>('[1]Short Spot'!AV117-'[1]Short Spot'!AV116)*100</f>
        <v>1.2792195717797661</v>
      </c>
      <c r="AW116" s="19">
        <f>('[1]Short Spot'!AW117-'[1]Short Spot'!AW116)*100</f>
        <v>1.2902681808569127</v>
      </c>
      <c r="AX116" s="19">
        <f>('[1]Short Spot'!AX117-'[1]Short Spot'!AX116)*100</f>
        <v>1.30028239097566</v>
      </c>
      <c r="AY116" s="19">
        <f>('[1]Short Spot'!AY117-'[1]Short Spot'!AY116)*100</f>
        <v>1.3093160280284621</v>
      </c>
      <c r="AZ116" s="19">
        <f>('[1]Short Spot'!AZ117-'[1]Short Spot'!AZ116)*100</f>
        <v>1.3174209014059635</v>
      </c>
      <c r="BA116" s="19">
        <f>('[1]Short Spot'!BA117-'[1]Short Spot'!BA116)*100</f>
        <v>1.3246460946009009</v>
      </c>
      <c r="BB116" s="19">
        <f>('[1]Short Spot'!BB117-'[1]Short Spot'!BB116)*100</f>
        <v>1.3310380926065513</v>
      </c>
      <c r="BC116" s="19">
        <f>('[1]Short Spot'!BC117-'[1]Short Spot'!BC116)*100</f>
        <v>1.3366410224743497</v>
      </c>
      <c r="BD116" s="19">
        <f>('[1]Short Spot'!BD117-'[1]Short Spot'!BD116)*100</f>
        <v>1.3414968676721095</v>
      </c>
      <c r="BE116" s="19">
        <f>('[1]Short Spot'!BE117-'[1]Short Spot'!BE116)*100</f>
        <v>1.3456456594747479</v>
      </c>
      <c r="BF116" s="19">
        <f>('[1]Short Spot'!BF117-'[1]Short Spot'!BF116)*100</f>
        <v>1.3491256524873485</v>
      </c>
      <c r="BG116" s="19">
        <f>('[1]Short Spot'!BG117-'[1]Short Spot'!BG116)*100</f>
        <v>1.3519734196447253</v>
      </c>
      <c r="BH116" s="19">
        <f>('[1]Short Spot'!BH117-'[1]Short Spot'!BH116)*100</f>
        <v>1.3542237658067613</v>
      </c>
      <c r="BI116" s="19">
        <f>('[1]Short Spot'!BI117-'[1]Short Spot'!BI116)*100</f>
        <v>1.355909813123013</v>
      </c>
    </row>
    <row r="117" spans="1:61" x14ac:dyDescent="0.2">
      <c r="A117" s="18">
        <v>39252</v>
      </c>
      <c r="B117" s="19">
        <f>('[1]Short Spot'!B118-'[1]Short Spot'!B117)*100</f>
        <v>-6.5404091304710477E-2</v>
      </c>
      <c r="C117" s="19">
        <f>('[1]Short Spot'!C118-'[1]Short Spot'!C117)*100</f>
        <v>6.3945856632408038E-2</v>
      </c>
      <c r="D117" s="19">
        <f>('[1]Short Spot'!D118-'[1]Short Spot'!D117)*100</f>
        <v>1.2141963261580457E-2</v>
      </c>
      <c r="E117" s="19">
        <f>('[1]Short Spot'!E118-'[1]Short Spot'!E117)*100</f>
        <v>-0.10836946577370554</v>
      </c>
      <c r="F117" s="19">
        <f>('[1]Short Spot'!F118-'[1]Short Spot'!F117)*100</f>
        <v>-0.25066865187755027</v>
      </c>
      <c r="G117" s="19">
        <f>('[1]Short Spot'!G118-'[1]Short Spot'!G117)*100</f>
        <v>-0.39861737031845479</v>
      </c>
      <c r="H117" s="19">
        <f>('[1]Short Spot'!H118-'[1]Short Spot'!H117)*100</f>
        <v>-0.54630792855778765</v>
      </c>
      <c r="I117" s="19">
        <f>('[1]Short Spot'!I118-'[1]Short Spot'!I117)*100</f>
        <v>-0.69179350097110515</v>
      </c>
      <c r="J117" s="19">
        <f>('[1]Short Spot'!J118-'[1]Short Spot'!J117)*100</f>
        <v>-0.83567255487171366</v>
      </c>
      <c r="K117" s="19">
        <f>('[1]Short Spot'!K118-'[1]Short Spot'!K117)*100</f>
        <v>-0.9793576743600596</v>
      </c>
      <c r="L117" s="19">
        <f>('[1]Short Spot'!L118-'[1]Short Spot'!L117)*100</f>
        <v>-1.122638692087552</v>
      </c>
      <c r="M117" s="19">
        <f>('[1]Short Spot'!M118-'[1]Short Spot'!M117)*100</f>
        <v>-1.2636678000413681</v>
      </c>
      <c r="N117" s="19">
        <f>('[1]Short Spot'!N118-'[1]Short Spot'!N117)*100</f>
        <v>-1.3996652098725804</v>
      </c>
      <c r="O117" s="19">
        <f>('[1]Short Spot'!O118-'[1]Short Spot'!O117)*100</f>
        <v>-1.5280533653720951</v>
      </c>
      <c r="P117" s="19">
        <f>('[1]Short Spot'!P118-'[1]Short Spot'!P117)*100</f>
        <v>-1.6471930894226716</v>
      </c>
      <c r="Q117" s="19">
        <f>('[1]Short Spot'!Q118-'[1]Short Spot'!Q117)*100</f>
        <v>-1.7561656294097006</v>
      </c>
      <c r="R117" s="19">
        <f>('[1]Short Spot'!R118-'[1]Short Spot'!R117)*100</f>
        <v>-1.8545654977627279</v>
      </c>
      <c r="S117" s="19">
        <f>('[1]Short Spot'!S118-'[1]Short Spot'!S117)*100</f>
        <v>-1.9423927396971408</v>
      </c>
      <c r="T117" s="19">
        <f>('[1]Short Spot'!T118-'[1]Short Spot'!T117)*100</f>
        <v>-2.0199707201037143</v>
      </c>
      <c r="U117" s="19">
        <f>('[1]Short Spot'!U118-'[1]Short Spot'!U117)*100</f>
        <v>-2.0878666400505175</v>
      </c>
      <c r="V117" s="19">
        <f>('[1]Short Spot'!V118-'[1]Short Spot'!V117)*100</f>
        <v>-2.1468319829010873</v>
      </c>
      <c r="W117" s="19">
        <f>('[1]Short Spot'!W118-'[1]Short Spot'!W117)*100</f>
        <v>-2.1976999625646698</v>
      </c>
      <c r="X117" s="19">
        <f>('[1]Short Spot'!X118-'[1]Short Spot'!X117)*100</f>
        <v>-2.2412466356685812</v>
      </c>
      <c r="Y117" s="19">
        <f>('[1]Short Spot'!Y118-'[1]Short Spot'!Y117)*100</f>
        <v>-2.27818130237738</v>
      </c>
      <c r="Z117" s="19">
        <f>('[1]Short Spot'!Z118-'[1]Short Spot'!Z117)*100</f>
        <v>-2.3091600903411447</v>
      </c>
      <c r="AA117" s="19">
        <f>('[1]Short Spot'!AA118-'[1]Short Spot'!AA117)*100</f>
        <v>-2.3347961801782446</v>
      </c>
      <c r="AB117" s="19">
        <f>('[1]Short Spot'!AB118-'[1]Short Spot'!AB117)*100</f>
        <v>-2.3556677586294761</v>
      </c>
      <c r="AC117" s="19">
        <f>('[1]Short Spot'!AC118-'[1]Short Spot'!AC117)*100</f>
        <v>-2.3723220391832278</v>
      </c>
      <c r="AD117" s="19">
        <f>('[1]Short Spot'!AD118-'[1]Short Spot'!AD117)*100</f>
        <v>-2.3852603205422263</v>
      </c>
      <c r="AE117" s="19">
        <f>('[1]Short Spot'!AE118-'[1]Short Spot'!AE117)*100</f>
        <v>-2.3949286794680447</v>
      </c>
      <c r="AF117" s="19">
        <f>('[1]Short Spot'!AF118-'[1]Short Spot'!AF117)*100</f>
        <v>-2.4017250863319184</v>
      </c>
      <c r="AG117" s="19">
        <f>('[1]Short Spot'!AG118-'[1]Short Spot'!AG117)*100</f>
        <v>-2.4060032440879731</v>
      </c>
      <c r="AH117" s="19">
        <f>('[1]Short Spot'!AH118-'[1]Short Spot'!AH117)*100</f>
        <v>-2.4080774003606642</v>
      </c>
      <c r="AI117" s="19">
        <f>('[1]Short Spot'!AI118-'[1]Short Spot'!AI117)*100</f>
        <v>-2.4082280956378099</v>
      </c>
      <c r="AJ117" s="19">
        <f>('[1]Short Spot'!AJ118-'[1]Short Spot'!AJ117)*100</f>
        <v>-2.4067069785743911</v>
      </c>
      <c r="AK117" s="19">
        <f>('[1]Short Spot'!AK118-'[1]Short Spot'!AK117)*100</f>
        <v>-2.4037408089702339</v>
      </c>
      <c r="AL117" s="19">
        <f>('[1]Short Spot'!AL118-'[1]Short Spot'!AL117)*100</f>
        <v>-2.399533967749079</v>
      </c>
      <c r="AM117" s="19">
        <f>('[1]Short Spot'!AM118-'[1]Short Spot'!AM117)*100</f>
        <v>-2.3942687112575634</v>
      </c>
      <c r="AN117" s="19">
        <f>('[1]Short Spot'!AN118-'[1]Short Spot'!AN117)*100</f>
        <v>-2.3881070806093696</v>
      </c>
      <c r="AO117" s="19">
        <f>('[1]Short Spot'!AO118-'[1]Short Spot'!AO117)*100</f>
        <v>-2.3811934145490987</v>
      </c>
      <c r="AP117" s="19">
        <f>('[1]Short Spot'!AP118-'[1]Short Spot'!AP117)*100</f>
        <v>-2.3736565083345873</v>
      </c>
      <c r="AQ117" s="19">
        <f>('[1]Short Spot'!AQ118-'[1]Short Spot'!AQ117)*100</f>
        <v>-2.3656115096356345</v>
      </c>
      <c r="AR117" s="19">
        <f>('[1]Short Spot'!AR118-'[1]Short Spot'!AR117)*100</f>
        <v>-2.3571613050145324</v>
      </c>
      <c r="AS117" s="19">
        <f>('[1]Short Spot'!AS118-'[1]Short Spot'!AS117)*100</f>
        <v>-2.3483973905089606</v>
      </c>
      <c r="AT117" s="19">
        <f>('[1]Short Spot'!AT118-'[1]Short Spot'!AT117)*100</f>
        <v>-2.3394010671747623</v>
      </c>
      <c r="AU117" s="19">
        <f>('[1]Short Spot'!AU118-'[1]Short Spot'!AU117)*100</f>
        <v>-2.330244549237559</v>
      </c>
      <c r="AV117" s="19">
        <f>('[1]Short Spot'!AV118-'[1]Short Spot'!AV117)*100</f>
        <v>-2.3209919307759286</v>
      </c>
      <c r="AW117" s="19">
        <f>('[1]Short Spot'!AW118-'[1]Short Spot'!AW117)*100</f>
        <v>-2.3117000315711067</v>
      </c>
      <c r="AX117" s="19">
        <f>('[1]Short Spot'!AX118-'[1]Short Spot'!AX117)*100</f>
        <v>-2.3024191393809623</v>
      </c>
      <c r="AY117" s="19">
        <f>('[1]Short Spot'!AY118-'[1]Short Spot'!AY117)*100</f>
        <v>-2.2931936720705259</v>
      </c>
      <c r="AZ117" s="19">
        <f>('[1]Short Spot'!AZ118-'[1]Short Spot'!AZ117)*100</f>
        <v>-2.2840628071731039</v>
      </c>
      <c r="BA117" s="19">
        <f>('[1]Short Spot'!BA118-'[1]Short Spot'!BA117)*100</f>
        <v>-2.2750609582137926</v>
      </c>
      <c r="BB117" s="19">
        <f>('[1]Short Spot'!BB118-'[1]Short Spot'!BB117)*100</f>
        <v>-2.2662182013904797</v>
      </c>
      <c r="BC117" s="19">
        <f>('[1]Short Spot'!BC118-'[1]Short Spot'!BC117)*100</f>
        <v>-2.2575606770995904</v>
      </c>
      <c r="BD117" s="19">
        <f>('[1]Short Spot'!BD118-'[1]Short Spot'!BD117)*100</f>
        <v>-2.2491109477353</v>
      </c>
      <c r="BE117" s="19">
        <f>('[1]Short Spot'!BE118-'[1]Short Spot'!BE117)*100</f>
        <v>-2.2408883171538996</v>
      </c>
      <c r="BF117" s="19">
        <f>('[1]Short Spot'!BF118-'[1]Short Spot'!BF117)*100</f>
        <v>-2.2329091043186367</v>
      </c>
      <c r="BG117" s="19">
        <f>('[1]Short Spot'!BG118-'[1]Short Spot'!BG117)*100</f>
        <v>-2.2251868199631097</v>
      </c>
      <c r="BH117" s="19">
        <f>('[1]Short Spot'!BH118-'[1]Short Spot'!BH117)*100</f>
        <v>-2.2177324214621486</v>
      </c>
      <c r="BI117" s="19">
        <f>('[1]Short Spot'!BI118-'[1]Short Spot'!BI117)*100</f>
        <v>-2.2105545509848668</v>
      </c>
    </row>
    <row r="118" spans="1:61" x14ac:dyDescent="0.2">
      <c r="A118" s="18">
        <v>39253</v>
      </c>
      <c r="B118" s="19">
        <f>('[1]Short Spot'!B119-'[1]Short Spot'!B118)*100</f>
        <v>3.247563268555087</v>
      </c>
      <c r="C118" s="19">
        <f>('[1]Short Spot'!C119-'[1]Short Spot'!C118)*100</f>
        <v>4.5043450475893643</v>
      </c>
      <c r="D118" s="19">
        <f>('[1]Short Spot'!D119-'[1]Short Spot'!D118)*100</f>
        <v>4.8234169166926577</v>
      </c>
      <c r="E118" s="19">
        <f>('[1]Short Spot'!E119-'[1]Short Spot'!E118)*100</f>
        <v>4.8973476863167775</v>
      </c>
      <c r="F118" s="19">
        <f>('[1]Short Spot'!F119-'[1]Short Spot'!F118)*100</f>
        <v>4.8402471665799141</v>
      </c>
      <c r="G118" s="19">
        <f>('[1]Short Spot'!G119-'[1]Short Spot'!G118)*100</f>
        <v>4.7070020933150936</v>
      </c>
      <c r="H118" s="19">
        <f>('[1]Short Spot'!H119-'[1]Short Spot'!H118)*100</f>
        <v>4.5424807202337547</v>
      </c>
      <c r="I118" s="19">
        <f>('[1]Short Spot'!I119-'[1]Short Spot'!I118)*100</f>
        <v>4.3827114443415027</v>
      </c>
      <c r="J118" s="19">
        <f>('[1]Short Spot'!J119-'[1]Short Spot'!J118)*100</f>
        <v>4.2459616529813893</v>
      </c>
      <c r="K118" s="19">
        <f>('[1]Short Spot'!K119-'[1]Short Spot'!K118)*100</f>
        <v>4.1394633473230691</v>
      </c>
      <c r="L118" s="19">
        <f>('[1]Short Spot'!L119-'[1]Short Spot'!L118)*100</f>
        <v>4.06373941238245</v>
      </c>
      <c r="M118" s="19">
        <f>('[1]Short Spot'!M119-'[1]Short Spot'!M118)*100</f>
        <v>4.0157082432108027</v>
      </c>
      <c r="N118" s="19">
        <f>('[1]Short Spot'!N119-'[1]Short Spot'!N118)*100</f>
        <v>3.9902114681973799</v>
      </c>
      <c r="O118" s="19">
        <f>('[1]Short Spot'!O119-'[1]Short Spot'!O118)*100</f>
        <v>3.9818466720124235</v>
      </c>
      <c r="P118" s="19">
        <f>('[1]Short Spot'!P119-'[1]Short Spot'!P118)*100</f>
        <v>3.9861427528865789</v>
      </c>
      <c r="Q118" s="19">
        <f>('[1]Short Spot'!Q119-'[1]Short Spot'!Q118)*100</f>
        <v>3.9993715173824107</v>
      </c>
      <c r="R118" s="19">
        <f>('[1]Short Spot'!R119-'[1]Short Spot'!R118)*100</f>
        <v>4.0183865462339874</v>
      </c>
      <c r="S118" s="19">
        <f>('[1]Short Spot'!S119-'[1]Short Spot'!S118)*100</f>
        <v>4.0407476857115654</v>
      </c>
      <c r="T118" s="19">
        <f>('[1]Short Spot'!T119-'[1]Short Spot'!T118)*100</f>
        <v>4.0646851760199887</v>
      </c>
      <c r="U118" s="19">
        <f>('[1]Short Spot'!U119-'[1]Short Spot'!U118)*100</f>
        <v>4.0889373884897218</v>
      </c>
      <c r="V118" s="19">
        <f>('[1]Short Spot'!V119-'[1]Short Spot'!V118)*100</f>
        <v>4.1126306942021351</v>
      </c>
      <c r="W118" s="19">
        <f>('[1]Short Spot'!W119-'[1]Short Spot'!W118)*100</f>
        <v>4.1351946154451369</v>
      </c>
      <c r="X118" s="19">
        <f>('[1]Short Spot'!X119-'[1]Short Spot'!X118)*100</f>
        <v>4.15625025729085</v>
      </c>
      <c r="Y118" s="19">
        <f>('[1]Short Spot'!Y119-'[1]Short Spot'!Y118)*100</f>
        <v>4.1755409550580325</v>
      </c>
      <c r="Z118" s="19">
        <f>('[1]Short Spot'!Z119-'[1]Short Spot'!Z118)*100</f>
        <v>4.1929070965146309</v>
      </c>
      <c r="AA118" s="19">
        <f>('[1]Short Spot'!AA119-'[1]Short Spot'!AA118)*100</f>
        <v>4.2082674579447144</v>
      </c>
      <c r="AB118" s="19">
        <f>('[1]Short Spot'!AB119-'[1]Short Spot'!AB118)*100</f>
        <v>4.2216046877619817</v>
      </c>
      <c r="AC118" s="19">
        <f>('[1]Short Spot'!AC119-'[1]Short Spot'!AC118)*100</f>
        <v>4.2329531708611867</v>
      </c>
      <c r="AD118" s="19">
        <f>('[1]Short Spot'!AD119-'[1]Short Spot'!AD118)*100</f>
        <v>4.2423779098859526</v>
      </c>
      <c r="AE118" s="19">
        <f>('[1]Short Spot'!AE119-'[1]Short Spot'!AE118)*100</f>
        <v>4.2499546053026194</v>
      </c>
      <c r="AF118" s="19">
        <f>('[1]Short Spot'!AF119-'[1]Short Spot'!AF118)*100</f>
        <v>4.2557650240192757</v>
      </c>
      <c r="AG118" s="19">
        <f>('[1]Short Spot'!AG119-'[1]Short Spot'!AG118)*100</f>
        <v>4.2598935813635386</v>
      </c>
      <c r="AH118" s="19">
        <f>('[1]Short Spot'!AH119-'[1]Short Spot'!AH118)*100</f>
        <v>4.2624266012488476</v>
      </c>
      <c r="AI118" s="19">
        <f>('[1]Short Spot'!AI119-'[1]Short Spot'!AI118)*100</f>
        <v>4.2634520476159565</v>
      </c>
      <c r="AJ118" s="19">
        <f>('[1]Short Spot'!AJ119-'[1]Short Spot'!AJ118)*100</f>
        <v>4.263059290142035</v>
      </c>
      <c r="AK118" s="19">
        <f>('[1]Short Spot'!AK119-'[1]Short Spot'!AK118)*100</f>
        <v>4.2613388895785143</v>
      </c>
      <c r="AL118" s="19">
        <f>('[1]Short Spot'!AL119-'[1]Short Spot'!AL118)*100</f>
        <v>4.2583811296461604</v>
      </c>
      <c r="AM118" s="19">
        <f>('[1]Short Spot'!AM119-'[1]Short Spot'!AM118)*100</f>
        <v>4.2542723439839669</v>
      </c>
      <c r="AN118" s="19">
        <f>('[1]Short Spot'!AN119-'[1]Short Spot'!AN118)*100</f>
        <v>4.2490942714822566</v>
      </c>
      <c r="AO118" s="19">
        <f>('[1]Short Spot'!AO119-'[1]Short Spot'!AO118)*100</f>
        <v>4.2429246171049151</v>
      </c>
      <c r="AP118" s="19">
        <f>('[1]Short Spot'!AP119-'[1]Short Spot'!AP118)*100</f>
        <v>4.2358375436521101</v>
      </c>
      <c r="AQ118" s="19">
        <f>('[1]Short Spot'!AQ119-'[1]Short Spot'!AQ118)*100</f>
        <v>4.227903829952151</v>
      </c>
      <c r="AR118" s="19">
        <f>('[1]Short Spot'!AR119-'[1]Short Spot'!AR118)*100</f>
        <v>4.2191898935827865</v>
      </c>
      <c r="AS118" s="19">
        <f>('[1]Short Spot'!AS119-'[1]Short Spot'!AS118)*100</f>
        <v>4.2097576346272092</v>
      </c>
      <c r="AT118" s="19">
        <f>('[1]Short Spot'!AT119-'[1]Short Spot'!AT118)*100</f>
        <v>4.1996649306877742</v>
      </c>
      <c r="AU118" s="19">
        <f>('[1]Short Spot'!AU119-'[1]Short Spot'!AU118)*100</f>
        <v>4.188966074113587</v>
      </c>
      <c r="AV118" s="19">
        <f>('[1]Short Spot'!AV119-'[1]Short Spot'!AV118)*100</f>
        <v>4.1777121534091854</v>
      </c>
      <c r="AW118" s="19">
        <f>('[1]Short Spot'!AW119-'[1]Short Spot'!AW118)*100</f>
        <v>4.1659513869690024</v>
      </c>
      <c r="AX118" s="19">
        <f>('[1]Short Spot'!AX119-'[1]Short Spot'!AX118)*100</f>
        <v>4.1537294159456728</v>
      </c>
      <c r="AY118" s="19">
        <f>('[1]Short Spot'!AY119-'[1]Short Spot'!AY118)*100</f>
        <v>4.1410895271873471</v>
      </c>
      <c r="AZ118" s="19">
        <f>('[1]Short Spot'!AZ119-'[1]Short Spot'!AZ118)*100</f>
        <v>4.1280724378838229</v>
      </c>
      <c r="BA118" s="19">
        <f>('[1]Short Spot'!BA119-'[1]Short Spot'!BA118)*100</f>
        <v>4.1147160660352178</v>
      </c>
      <c r="BB118" s="19">
        <f>('[1]Short Spot'!BB119-'[1]Short Spot'!BB118)*100</f>
        <v>4.1010557509982171</v>
      </c>
      <c r="BC118" s="19">
        <f>('[1]Short Spot'!BC119-'[1]Short Spot'!BC118)*100</f>
        <v>4.0871244922845662</v>
      </c>
      <c r="BD118" s="19">
        <f>('[1]Short Spot'!BD119-'[1]Short Spot'!BD118)*100</f>
        <v>4.0729531622726078</v>
      </c>
      <c r="BE118" s="19">
        <f>('[1]Short Spot'!BE119-'[1]Short Spot'!BE118)*100</f>
        <v>4.0585706961310919</v>
      </c>
      <c r="BF118" s="19">
        <f>('[1]Short Spot'!BF119-'[1]Short Spot'!BF118)*100</f>
        <v>4.044004269496515</v>
      </c>
      <c r="BG118" s="19">
        <f>('[1]Short Spot'!BG119-'[1]Short Spot'!BG118)*100</f>
        <v>4.0292794365992535</v>
      </c>
      <c r="BH118" s="19">
        <f>('[1]Short Spot'!BH119-'[1]Short Spot'!BH118)*100</f>
        <v>4.0144201242588551</v>
      </c>
      <c r="BI118" s="19">
        <f>('[1]Short Spot'!BI119-'[1]Short Spot'!BI118)*100</f>
        <v>3.9994487282766222</v>
      </c>
    </row>
    <row r="119" spans="1:61" x14ac:dyDescent="0.2">
      <c r="A119" s="18">
        <v>39254</v>
      </c>
      <c r="B119" s="19">
        <f>('[1]Short Spot'!B120-'[1]Short Spot'!B119)*100</f>
        <v>3.5537355333757681</v>
      </c>
      <c r="C119" s="19">
        <f>('[1]Short Spot'!C120-'[1]Short Spot'!C119)*100</f>
        <v>4.4114714367418983</v>
      </c>
      <c r="D119" s="19">
        <f>('[1]Short Spot'!D120-'[1]Short Spot'!D119)*100</f>
        <v>4.1685127936915478</v>
      </c>
      <c r="E119" s="19">
        <f>('[1]Short Spot'!E120-'[1]Short Spot'!E119)*100</f>
        <v>3.8658931788596362</v>
      </c>
      <c r="F119" s="19">
        <f>('[1]Short Spot'!F120-'[1]Short Spot'!F119)*100</f>
        <v>3.6625320993592503</v>
      </c>
      <c r="G119" s="19">
        <f>('[1]Short Spot'!G120-'[1]Short Spot'!G119)*100</f>
        <v>3.5583480902259268</v>
      </c>
      <c r="H119" s="19">
        <f>('[1]Short Spot'!H120-'[1]Short Spot'!H119)*100</f>
        <v>3.5138482948879002</v>
      </c>
      <c r="I119" s="19">
        <f>('[1]Short Spot'!I120-'[1]Short Spot'!I119)*100</f>
        <v>3.4935048166534699</v>
      </c>
      <c r="J119" s="19">
        <f>('[1]Short Spot'!J120-'[1]Short Spot'!J119)*100</f>
        <v>3.4717298628703652</v>
      </c>
      <c r="K119" s="19">
        <f>('[1]Short Spot'!K120-'[1]Short Spot'!K119)*100</f>
        <v>3.4331108883058903</v>
      </c>
      <c r="L119" s="19">
        <f>('[1]Short Spot'!L120-'[1]Short Spot'!L119)*100</f>
        <v>3.3742067594284109</v>
      </c>
      <c r="M119" s="19">
        <f>('[1]Short Spot'!M120-'[1]Short Spot'!M119)*100</f>
        <v>3.2968595344588181</v>
      </c>
      <c r="N119" s="19">
        <f>('[1]Short Spot'!N120-'[1]Short Spot'!N119)*100</f>
        <v>3.2060278763198724</v>
      </c>
      <c r="O119" s="19">
        <f>('[1]Short Spot'!O120-'[1]Short Spot'!O119)*100</f>
        <v>3.1076871457432098</v>
      </c>
      <c r="P119" s="19">
        <f>('[1]Short Spot'!P120-'[1]Short Spot'!P119)*100</f>
        <v>3.006446795487161</v>
      </c>
      <c r="Q119" s="19">
        <f>('[1]Short Spot'!Q120-'[1]Short Spot'!Q119)*100</f>
        <v>2.9056357930012489</v>
      </c>
      <c r="R119" s="19">
        <f>('[1]Short Spot'!R120-'[1]Short Spot'!R119)*100</f>
        <v>2.8076557843082384</v>
      </c>
      <c r="S119" s="19">
        <f>('[1]Short Spot'!S120-'[1]Short Spot'!S119)*100</f>
        <v>2.7141007301910491</v>
      </c>
      <c r="T119" s="19">
        <f>('[1]Short Spot'!T120-'[1]Short Spot'!T119)*100</f>
        <v>2.6258876266462394</v>
      </c>
      <c r="U119" s="19">
        <f>('[1]Short Spot'!U120-'[1]Short Spot'!U119)*100</f>
        <v>2.5434222612293667</v>
      </c>
      <c r="V119" s="19">
        <f>('[1]Short Spot'!V120-'[1]Short Spot'!V119)*100</f>
        <v>2.4667233855169002</v>
      </c>
      <c r="W119" s="19">
        <f>('[1]Short Spot'!W120-'[1]Short Spot'!W119)*100</f>
        <v>2.3955834111100138</v>
      </c>
      <c r="X119" s="19">
        <f>('[1]Short Spot'!X120-'[1]Short Spot'!X119)*100</f>
        <v>2.3297397431197631</v>
      </c>
      <c r="Y119" s="19">
        <f>('[1]Short Spot'!Y120-'[1]Short Spot'!Y119)*100</f>
        <v>2.268903058736349</v>
      </c>
      <c r="Z119" s="19">
        <f>('[1]Short Spot'!Z120-'[1]Short Spot'!Z119)*100</f>
        <v>2.2127624188231998</v>
      </c>
      <c r="AA119" s="19">
        <f>('[1]Short Spot'!AA120-'[1]Short Spot'!AA119)*100</f>
        <v>2.1609894249022155</v>
      </c>
      <c r="AB119" s="19">
        <f>('[1]Short Spot'!AB120-'[1]Short Spot'!AB119)*100</f>
        <v>2.1132414524673848</v>
      </c>
      <c r="AC119" s="19">
        <f>('[1]Short Spot'!AC120-'[1]Short Spot'!AC119)*100</f>
        <v>2.0691668827526932</v>
      </c>
      <c r="AD119" s="19">
        <f>('[1]Short Spot'!AD120-'[1]Short Spot'!AD119)*100</f>
        <v>2.0284263970969718</v>
      </c>
      <c r="AE119" s="19">
        <f>('[1]Short Spot'!AE120-'[1]Short Spot'!AE119)*100</f>
        <v>1.9907047025371938</v>
      </c>
      <c r="AF119" s="19">
        <f>('[1]Short Spot'!AF120-'[1]Short Spot'!AF119)*100</f>
        <v>1.9557091582683483</v>
      </c>
      <c r="AG119" s="19">
        <f>('[1]Short Spot'!AG120-'[1]Short Spot'!AG119)*100</f>
        <v>1.9231727573989055</v>
      </c>
      <c r="AH119" s="19">
        <f>('[1]Short Spot'!AH120-'[1]Short Spot'!AH119)*100</f>
        <v>1.8928527140266382</v>
      </c>
      <c r="AI119" s="19">
        <f>('[1]Short Spot'!AI120-'[1]Short Spot'!AI119)*100</f>
        <v>1.8645269443697821</v>
      </c>
      <c r="AJ119" s="19">
        <f>('[1]Short Spot'!AJ120-'[1]Short Spot'!AJ119)*100</f>
        <v>1.8379911093222567</v>
      </c>
      <c r="AK119" s="19">
        <f>('[1]Short Spot'!AK120-'[1]Short Spot'!AK119)*100</f>
        <v>1.8130561722195182</v>
      </c>
      <c r="AL119" s="19">
        <f>('[1]Short Spot'!AL120-'[1]Short Spot'!AL119)*100</f>
        <v>1.7895476998000426</v>
      </c>
      <c r="AM119" s="19">
        <f>('[1]Short Spot'!AM120-'[1]Short Spot'!AM119)*100</f>
        <v>1.767307675033436</v>
      </c>
      <c r="AN119" s="19">
        <f>('[1]Short Spot'!AN120-'[1]Short Spot'!AN119)*100</f>
        <v>1.7461935057416333</v>
      </c>
      <c r="AO119" s="19">
        <f>('[1]Short Spot'!AO120-'[1]Short Spot'!AO119)*100</f>
        <v>1.7260761082848575</v>
      </c>
      <c r="AP119" s="19">
        <f>('[1]Short Spot'!AP120-'[1]Short Spot'!AP119)*100</f>
        <v>1.7068382599351395</v>
      </c>
      <c r="AQ119" s="19">
        <f>('[1]Short Spot'!AQ120-'[1]Short Spot'!AQ119)*100</f>
        <v>1.6883732345043256</v>
      </c>
      <c r="AR119" s="19">
        <f>('[1]Short Spot'!AR120-'[1]Short Spot'!AR119)*100</f>
        <v>1.6705845385878604</v>
      </c>
      <c r="AS119" s="19">
        <f>('[1]Short Spot'!AS120-'[1]Short Spot'!AS119)*100</f>
        <v>1.6533857659824847</v>
      </c>
      <c r="AT119" s="19">
        <f>('[1]Short Spot'!AT120-'[1]Short Spot'!AT119)*100</f>
        <v>1.6366995618845692</v>
      </c>
      <c r="AU119" s="19">
        <f>('[1]Short Spot'!AU120-'[1]Short Spot'!AU119)*100</f>
        <v>1.6204566390423558</v>
      </c>
      <c r="AV119" s="19">
        <f>('[1]Short Spot'!AV120-'[1]Short Spot'!AV119)*100</f>
        <v>1.6045949195067521</v>
      </c>
      <c r="AW119" s="19">
        <f>('[1]Short Spot'!AW120-'[1]Short Spot'!AW119)*100</f>
        <v>1.589058783661379</v>
      </c>
      <c r="AX119" s="19">
        <f>('[1]Short Spot'!AX120-'[1]Short Spot'!AX119)*100</f>
        <v>1.5737984112092818</v>
      </c>
      <c r="AY119" s="19">
        <f>('[1]Short Spot'!AY120-'[1]Short Spot'!AY119)*100</f>
        <v>1.5587691971103546</v>
      </c>
      <c r="AZ119" s="19">
        <f>('[1]Short Spot'!AZ120-'[1]Short Spot'!AZ119)*100</f>
        <v>1.5439313286033318</v>
      </c>
      <c r="BA119" s="19">
        <f>('[1]Short Spot'!BA120-'[1]Short Spot'!BA119)*100</f>
        <v>1.5292495646495929</v>
      </c>
      <c r="BB119" s="19">
        <f>('[1]Short Spot'!BB120-'[1]Short Spot'!BB119)*100</f>
        <v>1.5146928539219395</v>
      </c>
      <c r="BC119" s="19">
        <f>('[1]Short Spot'!BC120-'[1]Short Spot'!BC119)*100</f>
        <v>1.5002339468958681</v>
      </c>
      <c r="BD119" s="19">
        <f>('[1]Short Spot'!BD120-'[1]Short Spot'!BD119)*100</f>
        <v>1.4858490502330568</v>
      </c>
      <c r="BE119" s="19">
        <f>('[1]Short Spot'!BE120-'[1]Short Spot'!BE119)*100</f>
        <v>1.471517518191412</v>
      </c>
      <c r="BF119" s="19">
        <f>('[1]Short Spot'!BF120-'[1]Short Spot'!BF119)*100</f>
        <v>1.4572215880057193</v>
      </c>
      <c r="BG119" s="19">
        <f>('[1]Short Spot'!BG120-'[1]Short Spot'!BG119)*100</f>
        <v>1.4429461635464769</v>
      </c>
      <c r="BH119" s="19">
        <f>('[1]Short Spot'!BH120-'[1]Short Spot'!BH119)*100</f>
        <v>1.4286785113730716</v>
      </c>
      <c r="BI119" s="19">
        <f>('[1]Short Spot'!BI120-'[1]Short Spot'!BI119)*100</f>
        <v>1.4144080366997436</v>
      </c>
    </row>
    <row r="120" spans="1:61" x14ac:dyDescent="0.2">
      <c r="A120" s="18">
        <v>39255</v>
      </c>
      <c r="B120" s="19">
        <f>('[1]Short Spot'!B121-'[1]Short Spot'!B120)*100</f>
        <v>0.91043887837489734</v>
      </c>
      <c r="C120" s="19">
        <f>('[1]Short Spot'!C121-'[1]Short Spot'!C120)*100</f>
        <v>0.66298668522808413</v>
      </c>
      <c r="D120" s="19">
        <f>('[1]Short Spot'!D121-'[1]Short Spot'!D120)*100</f>
        <v>0.43981368470111804</v>
      </c>
      <c r="E120" s="19">
        <f>('[1]Short Spot'!E121-'[1]Short Spot'!E120)*100</f>
        <v>0.30323406523731222</v>
      </c>
      <c r="F120" s="19">
        <f>('[1]Short Spot'!F121-'[1]Short Spot'!F120)*100</f>
        <v>0.24639502066099439</v>
      </c>
      <c r="G120" s="19">
        <f>('[1]Short Spot'!G121-'[1]Short Spot'!G120)*100</f>
        <v>0.2460235894677254</v>
      </c>
      <c r="H120" s="19">
        <f>('[1]Short Spot'!H121-'[1]Short Spot'!H120)*100</f>
        <v>0.27644882929651615</v>
      </c>
      <c r="I120" s="19">
        <f>('[1]Short Spot'!I121-'[1]Short Spot'!I120)*100</f>
        <v>0.31992950375183682</v>
      </c>
      <c r="J120" s="19">
        <f>('[1]Short Spot'!J121-'[1]Short Spot'!J120)*100</f>
        <v>0.36756343455301987</v>
      </c>
      <c r="K120" s="19">
        <f>('[1]Short Spot'!K121-'[1]Short Spot'!K120)*100</f>
        <v>0.41531738501010551</v>
      </c>
      <c r="L120" s="19">
        <f>('[1]Short Spot'!L121-'[1]Short Spot'!L120)*100</f>
        <v>0.4616414008482117</v>
      </c>
      <c r="M120" s="19">
        <f>('[1]Short Spot'!M121-'[1]Short Spot'!M120)*100</f>
        <v>0.50600501605053694</v>
      </c>
      <c r="N120" s="19">
        <f>('[1]Short Spot'!N121-'[1]Short Spot'!N120)*100</f>
        <v>0.54833094713950814</v>
      </c>
      <c r="O120" s="19">
        <f>('[1]Short Spot'!O121-'[1]Short Spot'!O120)*100</f>
        <v>0.58844878233728082</v>
      </c>
      <c r="P120" s="19">
        <f>('[1]Short Spot'!P121-'[1]Short Spot'!P120)*100</f>
        <v>0.62625782944989439</v>
      </c>
      <c r="Q120" s="19">
        <f>('[1]Short Spot'!Q121-'[1]Short Spot'!Q120)*100</f>
        <v>0.66179689449628043</v>
      </c>
      <c r="R120" s="19">
        <f>('[1]Short Spot'!R121-'[1]Short Spot'!R120)*100</f>
        <v>0.6952058303897779</v>
      </c>
      <c r="S120" s="19">
        <f>('[1]Short Spot'!S121-'[1]Short Spot'!S120)*100</f>
        <v>0.72665976473178517</v>
      </c>
      <c r="T120" s="19">
        <f>('[1]Short Spot'!T121-'[1]Short Spot'!T120)*100</f>
        <v>0.75632338181366165</v>
      </c>
      <c r="U120" s="19">
        <f>('[1]Short Spot'!U121-'[1]Short Spot'!U120)*100</f>
        <v>0.78435155163019132</v>
      </c>
      <c r="V120" s="19">
        <f>('[1]Short Spot'!V121-'[1]Short Spot'!V120)*100</f>
        <v>0.8108977972382192</v>
      </c>
      <c r="W120" s="19">
        <f>('[1]Short Spot'!W121-'[1]Short Spot'!W120)*100</f>
        <v>0.83617850170423225</v>
      </c>
      <c r="X120" s="19">
        <f>('[1]Short Spot'!X121-'[1]Short Spot'!X120)*100</f>
        <v>0.86041810138057784</v>
      </c>
      <c r="Y120" s="19">
        <f>('[1]Short Spot'!Y121-'[1]Short Spot'!Y120)*100</f>
        <v>0.88379358683079445</v>
      </c>
      <c r="Z120" s="19">
        <f>('[1]Short Spot'!Z121-'[1]Short Spot'!Z120)*100</f>
        <v>0.90644295045398948</v>
      </c>
      <c r="AA120" s="19">
        <f>('[1]Short Spot'!AA121-'[1]Short Spot'!AA120)*100</f>
        <v>0.92847268613178713</v>
      </c>
      <c r="AB120" s="19">
        <f>('[1]Short Spot'!AB121-'[1]Short Spot'!AB120)*100</f>
        <v>0.94996362638992693</v>
      </c>
      <c r="AC120" s="19">
        <f>('[1]Short Spot'!AC121-'[1]Short Spot'!AC120)*100</f>
        <v>0.97097865748274614</v>
      </c>
      <c r="AD120" s="19">
        <f>('[1]Short Spot'!AD121-'[1]Short Spot'!AD120)*100</f>
        <v>0.99157166674714858</v>
      </c>
      <c r="AE120" s="19">
        <f>('[1]Short Spot'!AE121-'[1]Short Spot'!AE120)*100</f>
        <v>1.0117825278188164</v>
      </c>
      <c r="AF120" s="19">
        <f>('[1]Short Spot'!AF121-'[1]Short Spot'!AF120)*100</f>
        <v>1.0316388697847678</v>
      </c>
      <c r="AG120" s="19">
        <f>('[1]Short Spot'!AG121-'[1]Short Spot'!AG120)*100</f>
        <v>1.0511628468290013</v>
      </c>
      <c r="AH120" s="19">
        <f>('[1]Short Spot'!AH121-'[1]Short Spot'!AH120)*100</f>
        <v>1.0703740311886811</v>
      </c>
      <c r="AI120" s="19">
        <f>('[1]Short Spot'!AI121-'[1]Short Spot'!AI120)*100</f>
        <v>1.0892898279410979</v>
      </c>
      <c r="AJ120" s="19">
        <f>('[1]Short Spot'!AJ121-'[1]Short Spot'!AJ120)*100</f>
        <v>1.107925784598951</v>
      </c>
      <c r="AK120" s="19">
        <f>('[1]Short Spot'!AK121-'[1]Short Spot'!AK120)*100</f>
        <v>1.1262958577168192</v>
      </c>
      <c r="AL120" s="19">
        <f>('[1]Short Spot'!AL121-'[1]Short Spot'!AL120)*100</f>
        <v>1.1444127878636579</v>
      </c>
      <c r="AM120" s="19">
        <f>('[1]Short Spot'!AM121-'[1]Short Spot'!AM120)*100</f>
        <v>1.1622883950074936</v>
      </c>
      <c r="AN120" s="19">
        <f>('[1]Short Spot'!AN121-'[1]Short Spot'!AN120)*100</f>
        <v>1.1799336680162753</v>
      </c>
      <c r="AO120" s="19">
        <f>('[1]Short Spot'!AO121-'[1]Short Spot'!AO120)*100</f>
        <v>1.1973588671000179</v>
      </c>
      <c r="AP120" s="19">
        <f>('[1]Short Spot'!AP121-'[1]Short Spot'!AP120)*100</f>
        <v>1.2145736100214855</v>
      </c>
      <c r="AQ120" s="19">
        <f>('[1]Short Spot'!AQ121-'[1]Short Spot'!AQ120)*100</f>
        <v>1.2315864988864611</v>
      </c>
      <c r="AR120" s="19">
        <f>('[1]Short Spot'!AR121-'[1]Short Spot'!AR120)*100</f>
        <v>1.2484044325426602</v>
      </c>
      <c r="AS120" s="19">
        <f>('[1]Short Spot'!AS121-'[1]Short Spot'!AS120)*100</f>
        <v>1.2650332290532695</v>
      </c>
      <c r="AT120" s="19">
        <f>('[1]Short Spot'!AT121-'[1]Short Spot'!AT120)*100</f>
        <v>1.2814778294999662</v>
      </c>
      <c r="AU120" s="19">
        <f>('[1]Short Spot'!AU121-'[1]Short Spot'!AU120)*100</f>
        <v>1.2977423933079102</v>
      </c>
      <c r="AV120" s="19">
        <f>('[1]Short Spot'!AV121-'[1]Short Spot'!AV120)*100</f>
        <v>1.3138303813996721</v>
      </c>
      <c r="AW120" s="19">
        <f>('[1]Short Spot'!AW121-'[1]Short Spot'!AW120)*100</f>
        <v>1.3297446289569415</v>
      </c>
      <c r="AX120" s="19">
        <f>('[1]Short Spot'!AX121-'[1]Short Spot'!AX120)*100</f>
        <v>1.3454874092706071</v>
      </c>
      <c r="AY120" s="19">
        <f>('[1]Short Spot'!AY121-'[1]Short Spot'!AY120)*100</f>
        <v>1.3610604420645878</v>
      </c>
      <c r="AZ120" s="19">
        <f>('[1]Short Spot'!AZ121-'[1]Short Spot'!AZ120)*100</f>
        <v>1.3764647994444879</v>
      </c>
      <c r="BA120" s="19">
        <f>('[1]Short Spot'!BA121-'[1]Short Spot'!BA120)*100</f>
        <v>1.3917011520276468</v>
      </c>
      <c r="BB120" s="19">
        <f>('[1]Short Spot'!BB121-'[1]Short Spot'!BB120)*100</f>
        <v>1.4067698710885423</v>
      </c>
      <c r="BC120" s="19">
        <f>('[1]Short Spot'!BC121-'[1]Short Spot'!BC120)*100</f>
        <v>1.4216710562864776</v>
      </c>
      <c r="BD120" s="19">
        <f>('[1]Short Spot'!BD121-'[1]Short Spot'!BD120)*100</f>
        <v>1.4364045603571185</v>
      </c>
      <c r="BE120" s="19">
        <f>('[1]Short Spot'!BE121-'[1]Short Spot'!BE120)*100</f>
        <v>1.4509700111599244</v>
      </c>
      <c r="BF120" s="19">
        <f>('[1]Short Spot'!BF121-'[1]Short Spot'!BF120)*100</f>
        <v>1.4653668772809603</v>
      </c>
      <c r="BG120" s="19">
        <f>('[1]Short Spot'!BG121-'[1]Short Spot'!BG120)*100</f>
        <v>1.4795946182748487</v>
      </c>
      <c r="BH120" s="19">
        <f>('[1]Short Spot'!BH121-'[1]Short Spot'!BH120)*100</f>
        <v>1.4936525062051231</v>
      </c>
      <c r="BI120" s="19">
        <f>('[1]Short Spot'!BI121-'[1]Short Spot'!BI120)*100</f>
        <v>1.5075395807762959</v>
      </c>
    </row>
    <row r="121" spans="1:61" x14ac:dyDescent="0.2">
      <c r="A121" s="18">
        <v>39258</v>
      </c>
      <c r="B121" s="19">
        <f>('[1]Short Spot'!B122-'[1]Short Spot'!B121)*100</f>
        <v>0.46437090489499511</v>
      </c>
      <c r="C121" s="19">
        <f>('[1]Short Spot'!C122-'[1]Short Spot'!C121)*100</f>
        <v>-9.6607980867524645E-3</v>
      </c>
      <c r="D121" s="19">
        <f>('[1]Short Spot'!D122-'[1]Short Spot'!D121)*100</f>
        <v>-0.17204304238909174</v>
      </c>
      <c r="E121" s="19">
        <f>('[1]Short Spot'!E122-'[1]Short Spot'!E121)*100</f>
        <v>-0.25457143339711052</v>
      </c>
      <c r="F121" s="19">
        <f>('[1]Short Spot'!F122-'[1]Short Spot'!F121)*100</f>
        <v>-0.32545208418985894</v>
      </c>
      <c r="G121" s="19">
        <f>('[1]Short Spot'!G122-'[1]Short Spot'!G121)*100</f>
        <v>-0.4064920275531847</v>
      </c>
      <c r="H121" s="19">
        <f>('[1]Short Spot'!H122-'[1]Short Spot'!H121)*100</f>
        <v>-0.50522525996807843</v>
      </c>
      <c r="I121" s="19">
        <f>('[1]Short Spot'!I122-'[1]Short Spot'!I121)*100</f>
        <v>-0.62342938908308554</v>
      </c>
      <c r="J121" s="19">
        <f>('[1]Short Spot'!J122-'[1]Short Spot'!J121)*100</f>
        <v>-0.75672066283782868</v>
      </c>
      <c r="K121" s="19">
        <f>('[1]Short Spot'!K122-'[1]Short Spot'!K121)*100</f>
        <v>-0.89866605969612934</v>
      </c>
      <c r="L121" s="19">
        <f>('[1]Short Spot'!L122-'[1]Short Spot'!L121)*100</f>
        <v>-1.0436113233699196</v>
      </c>
      <c r="M121" s="19">
        <f>('[1]Short Spot'!M122-'[1]Short Spot'!M121)*100</f>
        <v>-1.1869427950171207</v>
      </c>
      <c r="N121" s="19">
        <f>('[1]Short Spot'!N122-'[1]Short Spot'!N121)*100</f>
        <v>-1.3250206680386789</v>
      </c>
      <c r="O121" s="19">
        <f>('[1]Short Spot'!O122-'[1]Short Spot'!O121)*100</f>
        <v>-1.4556135226071021</v>
      </c>
      <c r="P121" s="19">
        <f>('[1]Short Spot'!P122-'[1]Short Spot'!P121)*100</f>
        <v>-1.5776764944203769</v>
      </c>
      <c r="Q121" s="19">
        <f>('[1]Short Spot'!Q122-'[1]Short Spot'!Q121)*100</f>
        <v>-1.6909322636338153</v>
      </c>
      <c r="R121" s="19">
        <f>('[1]Short Spot'!R122-'[1]Short Spot'!R121)*100</f>
        <v>-1.7955995010022541</v>
      </c>
      <c r="S121" s="19">
        <f>('[1]Short Spot'!S122-'[1]Short Spot'!S121)*100</f>
        <v>-1.8921131391934409</v>
      </c>
      <c r="T121" s="19">
        <f>('[1]Short Spot'!T122-'[1]Short Spot'!T121)*100</f>
        <v>-1.9810200019272806</v>
      </c>
      <c r="U121" s="19">
        <f>('[1]Short Spot'!U122-'[1]Short Spot'!U121)*100</f>
        <v>-2.0629501797016836</v>
      </c>
      <c r="V121" s="19">
        <f>('[1]Short Spot'!V122-'[1]Short Spot'!V121)*100</f>
        <v>-2.1385926984803127</v>
      </c>
      <c r="W121" s="19">
        <f>('[1]Short Spot'!W122-'[1]Short Spot'!W121)*100</f>
        <v>-2.2086120007393184</v>
      </c>
      <c r="X121" s="19">
        <f>('[1]Short Spot'!X122-'[1]Short Spot'!X121)*100</f>
        <v>-2.2735837013666327</v>
      </c>
      <c r="Y121" s="19">
        <f>('[1]Short Spot'!Y122-'[1]Short Spot'!Y121)*100</f>
        <v>-2.3340126548952789</v>
      </c>
      <c r="Z121" s="19">
        <f>('[1]Short Spot'!Z122-'[1]Short Spot'!Z121)*100</f>
        <v>-2.3903472558580496</v>
      </c>
      <c r="AA121" s="19">
        <f>('[1]Short Spot'!AA122-'[1]Short Spot'!AA121)*100</f>
        <v>-2.4429902964788752</v>
      </c>
      <c r="AB121" s="19">
        <f>('[1]Short Spot'!AB122-'[1]Short Spot'!AB121)*100</f>
        <v>-2.4923074059572947</v>
      </c>
      <c r="AC121" s="19">
        <f>('[1]Short Spot'!AC122-'[1]Short Spot'!AC121)*100</f>
        <v>-2.5386310472430118</v>
      </c>
      <c r="AD121" s="19">
        <f>('[1]Short Spot'!AD122-'[1]Short Spot'!AD121)*100</f>
        <v>-2.5822557877829944</v>
      </c>
      <c r="AE121" s="19">
        <f>('[1]Short Spot'!AE122-'[1]Short Spot'!AE121)*100</f>
        <v>-2.6234413136255519</v>
      </c>
      <c r="AF121" s="19">
        <f>('[1]Short Spot'!AF122-'[1]Short Spot'!AF121)*100</f>
        <v>-2.6624173730986023</v>
      </c>
      <c r="AG121" s="19">
        <f>('[1]Short Spot'!AG122-'[1]Short Spot'!AG121)*100</f>
        <v>-2.6993861615960846</v>
      </c>
      <c r="AH121" s="19">
        <f>('[1]Short Spot'!AH122-'[1]Short Spot'!AH121)*100</f>
        <v>-2.7345258159971131</v>
      </c>
      <c r="AI121" s="19">
        <f>('[1]Short Spot'!AI122-'[1]Short Spot'!AI121)*100</f>
        <v>-2.7679939467439851</v>
      </c>
      <c r="AJ121" s="19">
        <f>('[1]Short Spot'!AJ122-'[1]Short Spot'!AJ121)*100</f>
        <v>-2.7999305701924548</v>
      </c>
      <c r="AK121" s="19">
        <f>('[1]Short Spot'!AK122-'[1]Short Spot'!AK121)*100</f>
        <v>-2.8304605326528787</v>
      </c>
      <c r="AL121" s="19">
        <f>('[1]Short Spot'!AL122-'[1]Short Spot'!AL121)*100</f>
        <v>-2.8596950344992322</v>
      </c>
      <c r="AM121" s="19">
        <f>('[1]Short Spot'!AM122-'[1]Short Spot'!AM121)*100</f>
        <v>-2.8877324921117165</v>
      </c>
      <c r="AN121" s="19">
        <f>('[1]Short Spot'!AN122-'[1]Short Spot'!AN121)*100</f>
        <v>-2.9146600050783178</v>
      </c>
      <c r="AO121" s="19">
        <f>('[1]Short Spot'!AO122-'[1]Short Spot'!AO121)*100</f>
        <v>-2.9405547705336765</v>
      </c>
      <c r="AP121" s="19">
        <f>('[1]Short Spot'!AP122-'[1]Short Spot'!AP121)*100</f>
        <v>-2.9654852928380215</v>
      </c>
      <c r="AQ121" s="19">
        <f>('[1]Short Spot'!AQ122-'[1]Short Spot'!AQ121)*100</f>
        <v>-2.9895126501652491</v>
      </c>
      <c r="AR121" s="19">
        <f>('[1]Short Spot'!AR122-'[1]Short Spot'!AR121)*100</f>
        <v>-3.0126918621957266</v>
      </c>
      <c r="AS121" s="19">
        <f>('[1]Short Spot'!AS122-'[1]Short Spot'!AS121)*100</f>
        <v>-3.0350725508554</v>
      </c>
      <c r="AT121" s="19">
        <f>('[1]Short Spot'!AT122-'[1]Short Spot'!AT121)*100</f>
        <v>-3.0566995216614323</v>
      </c>
      <c r="AU121" s="19">
        <f>('[1]Short Spot'!AU122-'[1]Short Spot'!AU121)*100</f>
        <v>-3.0776132872453843</v>
      </c>
      <c r="AV121" s="19">
        <f>('[1]Short Spot'!AV122-'[1]Short Spot'!AV121)*100</f>
        <v>-3.0978505240423893</v>
      </c>
      <c r="AW121" s="19">
        <f>('[1]Short Spot'!AW122-'[1]Short Spot'!AW121)*100</f>
        <v>-3.1174444718959471</v>
      </c>
      <c r="AX121" s="19">
        <f>('[1]Short Spot'!AX122-'[1]Short Spot'!AX121)*100</f>
        <v>-3.1364252847298602</v>
      </c>
      <c r="AY121" s="19">
        <f>('[1]Short Spot'!AY122-'[1]Short Spot'!AY121)*100</f>
        <v>-3.154820359827859</v>
      </c>
      <c r="AZ121" s="19">
        <f>('[1]Short Spot'!AZ122-'[1]Short Spot'!AZ121)*100</f>
        <v>-3.1726546674504696</v>
      </c>
      <c r="BA121" s="19">
        <f>('[1]Short Spot'!BA122-'[1]Short Spot'!BA121)*100</f>
        <v>-3.1899509333435105</v>
      </c>
      <c r="BB121" s="19">
        <f>('[1]Short Spot'!BB122-'[1]Short Spot'!BB121)*100</f>
        <v>-3.2067298342070671</v>
      </c>
      <c r="BC121" s="19">
        <f>('[1]Short Spot'!BC122-'[1]Short Spot'!BC121)*100</f>
        <v>-3.2230101874210604</v>
      </c>
      <c r="BD121" s="19">
        <f>('[1]Short Spot'!BD122-'[1]Short Spot'!BD121)*100</f>
        <v>-3.2388091200754587</v>
      </c>
      <c r="BE121" s="19">
        <f>('[1]Short Spot'!BE122-'[1]Short Spot'!BE121)*100</f>
        <v>-3.2541422198880454</v>
      </c>
      <c r="BF121" s="19">
        <f>('[1]Short Spot'!BF122-'[1]Short Spot'!BF121)*100</f>
        <v>-3.2690236563857056</v>
      </c>
      <c r="BG121" s="19">
        <f>('[1]Short Spot'!BG122-'[1]Short Spot'!BG121)*100</f>
        <v>-3.283466304350835</v>
      </c>
      <c r="BH121" s="19">
        <f>('[1]Short Spot'!BH122-'[1]Short Spot'!BH121)*100</f>
        <v>-3.2974819531931487</v>
      </c>
      <c r="BI121" s="19">
        <f>('[1]Short Spot'!BI122-'[1]Short Spot'!BI121)*100</f>
        <v>-3.3110814166660951</v>
      </c>
    </row>
    <row r="122" spans="1:61" x14ac:dyDescent="0.2">
      <c r="A122" s="18">
        <v>39259</v>
      </c>
      <c r="B122" s="19">
        <f>('[1]Short Spot'!B123-'[1]Short Spot'!B122)*100</f>
        <v>0.88288564840288686</v>
      </c>
      <c r="C122" s="19">
        <f>('[1]Short Spot'!C123-'[1]Short Spot'!C122)*100</f>
        <v>0.4233341225180709</v>
      </c>
      <c r="D122" s="19">
        <f>('[1]Short Spot'!D123-'[1]Short Spot'!D122)*100</f>
        <v>0.26637375233056204</v>
      </c>
      <c r="E122" s="19">
        <f>('[1]Short Spot'!E123-'[1]Short Spot'!E122)*100</f>
        <v>0.12220769513735519</v>
      </c>
      <c r="F122" s="19">
        <f>('[1]Short Spot'!F123-'[1]Short Spot'!F122)*100</f>
        <v>-6.030134774617224E-2</v>
      </c>
      <c r="G122" s="19">
        <f>('[1]Short Spot'!G123-'[1]Short Spot'!G122)*100</f>
        <v>-0.27228824863980705</v>
      </c>
      <c r="H122" s="19">
        <f>('[1]Short Spot'!H123-'[1]Short Spot'!H122)*100</f>
        <v>-0.48792789401304049</v>
      </c>
      <c r="I122" s="19">
        <f>('[1]Short Spot'!I123-'[1]Short Spot'!I122)*100</f>
        <v>-0.68859579350055711</v>
      </c>
      <c r="J122" s="19">
        <f>('[1]Short Spot'!J123-'[1]Short Spot'!J122)*100</f>
        <v>-0.86841849829575324</v>
      </c>
      <c r="K122" s="19">
        <f>('[1]Short Spot'!K123-'[1]Short Spot'!K122)*100</f>
        <v>-1.028173131112986</v>
      </c>
      <c r="L122" s="19">
        <f>('[1]Short Spot'!L123-'[1]Short Spot'!L122)*100</f>
        <v>-1.1705742847240685</v>
      </c>
      <c r="M122" s="19">
        <f>('[1]Short Spot'!M123-'[1]Short Spot'!M122)*100</f>
        <v>-1.2980656396766932</v>
      </c>
      <c r="N122" s="19">
        <f>('[1]Short Spot'!N123-'[1]Short Spot'!N122)*100</f>
        <v>-1.4127902303068929</v>
      </c>
      <c r="O122" s="19">
        <f>('[1]Short Spot'!O123-'[1]Short Spot'!O122)*100</f>
        <v>-1.5165247466351062</v>
      </c>
      <c r="P122" s="19">
        <f>('[1]Short Spot'!P123-'[1]Short Spot'!P122)*100</f>
        <v>-1.610628103266798</v>
      </c>
      <c r="Q122" s="19">
        <f>('[1]Short Spot'!Q123-'[1]Short Spot'!Q122)*100</f>
        <v>-1.696155555909229</v>
      </c>
      <c r="R122" s="19">
        <f>('[1]Short Spot'!R123-'[1]Short Spot'!R122)*100</f>
        <v>-1.773950201730301</v>
      </c>
      <c r="S122" s="19">
        <f>('[1]Short Spot'!S123-'[1]Short Spot'!S122)*100</f>
        <v>-1.8447328759084058</v>
      </c>
      <c r="T122" s="19">
        <f>('[1]Short Spot'!T123-'[1]Short Spot'!T122)*100</f>
        <v>-1.9091535900219725</v>
      </c>
      <c r="U122" s="19">
        <f>('[1]Short Spot'!U123-'[1]Short Spot'!U122)*100</f>
        <v>-1.9678098734685179</v>
      </c>
      <c r="V122" s="19">
        <f>('[1]Short Spot'!V123-'[1]Short Spot'!V122)*100</f>
        <v>-2.0212550432662013</v>
      </c>
      <c r="W122" s="19">
        <f>('[1]Short Spot'!W123-'[1]Short Spot'!W122)*100</f>
        <v>-2.0699644733343625</v>
      </c>
      <c r="X122" s="19">
        <f>('[1]Short Spot'!X123-'[1]Short Spot'!X122)*100</f>
        <v>-2.1143396705594952</v>
      </c>
      <c r="Y122" s="19">
        <f>('[1]Short Spot'!Y123-'[1]Short Spot'!Y122)*100</f>
        <v>-2.154734264346736</v>
      </c>
      <c r="Z122" s="19">
        <f>('[1]Short Spot'!Z123-'[1]Short Spot'!Z122)*100</f>
        <v>-2.1914637177402163</v>
      </c>
      <c r="AA122" s="19">
        <f>('[1]Short Spot'!AA123-'[1]Short Spot'!AA122)*100</f>
        <v>-2.2248126671080115</v>
      </c>
      <c r="AB122" s="19">
        <f>('[1]Short Spot'!AB123-'[1]Short Spot'!AB122)*100</f>
        <v>-2.2550406212254792</v>
      </c>
      <c r="AC122" s="19">
        <f>('[1]Short Spot'!AC123-'[1]Short Spot'!AC122)*100</f>
        <v>-2.2823840221989578</v>
      </c>
      <c r="AD122" s="19">
        <f>('[1]Short Spot'!AD123-'[1]Short Spot'!AD122)*100</f>
        <v>-2.3070530850471727</v>
      </c>
      <c r="AE122" s="19">
        <f>('[1]Short Spot'!AE123-'[1]Short Spot'!AE122)*100</f>
        <v>-2.3292355277848564</v>
      </c>
      <c r="AF122" s="19">
        <f>('[1]Short Spot'!AF123-'[1]Short Spot'!AF122)*100</f>
        <v>-2.3491006878922249</v>
      </c>
      <c r="AG122" s="19">
        <f>('[1]Short Spot'!AG123-'[1]Short Spot'!AG122)*100</f>
        <v>-2.3668023798289362</v>
      </c>
      <c r="AH122" s="19">
        <f>('[1]Short Spot'!AH123-'[1]Short Spot'!AH122)*100</f>
        <v>-2.3824811213716934</v>
      </c>
      <c r="AI122" s="19">
        <f>('[1]Short Spot'!AI123-'[1]Short Spot'!AI122)*100</f>
        <v>-2.396266086839649</v>
      </c>
      <c r="AJ122" s="19">
        <f>('[1]Short Spot'!AJ123-'[1]Short Spot'!AJ122)*100</f>
        <v>-2.4082767275878325</v>
      </c>
      <c r="AK122" s="19">
        <f>('[1]Short Spot'!AK123-'[1]Short Spot'!AK122)*100</f>
        <v>-2.418624094338373</v>
      </c>
      <c r="AL122" s="19">
        <f>('[1]Short Spot'!AL123-'[1]Short Spot'!AL122)*100</f>
        <v>-2.4274113512046114</v>
      </c>
      <c r="AM122" s="19">
        <f>('[1]Short Spot'!AM123-'[1]Short Spot'!AM122)*100</f>
        <v>-2.4347338446898625</v>
      </c>
      <c r="AN122" s="19">
        <f>('[1]Short Spot'!AN123-'[1]Short Spot'!AN122)*100</f>
        <v>-2.440679956545555</v>
      </c>
      <c r="AO122" s="19">
        <f>('[1]Short Spot'!AO123-'[1]Short Spot'!AO122)*100</f>
        <v>-2.4453319744224267</v>
      </c>
      <c r="AP122" s="19">
        <f>('[1]Short Spot'!AP123-'[1]Short Spot'!AP122)*100</f>
        <v>-2.4487668370912985</v>
      </c>
      <c r="AQ122" s="19">
        <f>('[1]Short Spot'!AQ123-'[1]Short Spot'!AQ122)*100</f>
        <v>-2.4510567979022291</v>
      </c>
      <c r="AR122" s="19">
        <f>('[1]Short Spot'!AR123-'[1]Short Spot'!AR122)*100</f>
        <v>-2.4522694632251429</v>
      </c>
      <c r="AS122" s="19">
        <f>('[1]Short Spot'!AS123-'[1]Short Spot'!AS122)*100</f>
        <v>-2.4524678037032288</v>
      </c>
      <c r="AT122" s="19">
        <f>('[1]Short Spot'!AT123-'[1]Short Spot'!AT122)*100</f>
        <v>-2.4517106386755749</v>
      </c>
      <c r="AU122" s="19">
        <f>('[1]Short Spot'!AU123-'[1]Short Spot'!AU122)*100</f>
        <v>-2.4500530874062676</v>
      </c>
      <c r="AV122" s="19">
        <f>('[1]Short Spot'!AV123-'[1]Short Spot'!AV122)*100</f>
        <v>-2.4475469627096125</v>
      </c>
      <c r="AW122" s="19">
        <f>('[1]Short Spot'!AW123-'[1]Short Spot'!AW122)*100</f>
        <v>-2.4442411153716037</v>
      </c>
      <c r="AX122" s="19">
        <f>('[1]Short Spot'!AX123-'[1]Short Spot'!AX122)*100</f>
        <v>-2.4401817364004152</v>
      </c>
      <c r="AY122" s="19">
        <f>('[1]Short Spot'!AY123-'[1]Short Spot'!AY122)*100</f>
        <v>-2.4354126198100623</v>
      </c>
      <c r="AZ122" s="19">
        <f>('[1]Short Spot'!AZ123-'[1]Short Spot'!AZ122)*100</f>
        <v>-2.4299752263083896</v>
      </c>
      <c r="BA122" s="19">
        <f>('[1]Short Spot'!BA123-'[1]Short Spot'!BA122)*100</f>
        <v>-2.4239086632053208</v>
      </c>
      <c r="BB122" s="19">
        <f>('[1]Short Spot'!BB123-'[1]Short Spot'!BB122)*100</f>
        <v>-2.4172498778775697</v>
      </c>
      <c r="BC122" s="19">
        <f>('[1]Short Spot'!BC123-'[1]Short Spot'!BC122)*100</f>
        <v>-2.410033857762528</v>
      </c>
      <c r="BD122" s="19">
        <f>('[1]Short Spot'!BD123-'[1]Short Spot'!BD122)*100</f>
        <v>-2.402293808533873</v>
      </c>
      <c r="BE122" s="19">
        <f>('[1]Short Spot'!BE123-'[1]Short Spot'!BE122)*100</f>
        <v>-2.3940613131855137</v>
      </c>
      <c r="BF122" s="19">
        <f>('[1]Short Spot'!BF123-'[1]Short Spot'!BF122)*100</f>
        <v>-2.3853664672470742</v>
      </c>
      <c r="BG122" s="19">
        <f>('[1]Short Spot'!BG123-'[1]Short Spot'!BG122)*100</f>
        <v>-2.3762380761837676</v>
      </c>
      <c r="BH122" s="19">
        <f>('[1]Short Spot'!BH123-'[1]Short Spot'!BH122)*100</f>
        <v>-2.3667039140133461</v>
      </c>
      <c r="BI122" s="19">
        <f>('[1]Short Spot'!BI123-'[1]Short Spot'!BI122)*100</f>
        <v>-2.3567908297755125</v>
      </c>
    </row>
    <row r="123" spans="1:61" x14ac:dyDescent="0.2">
      <c r="A123" s="18">
        <v>39260</v>
      </c>
      <c r="B123" s="19">
        <f>('[1]Short Spot'!B124-'[1]Short Spot'!B123)*100</f>
        <v>0.76500829597119235</v>
      </c>
      <c r="C123" s="19">
        <f>('[1]Short Spot'!C124-'[1]Short Spot'!C123)*100</f>
        <v>0.31478899156649476</v>
      </c>
      <c r="D123" s="19">
        <f>('[1]Short Spot'!D124-'[1]Short Spot'!D123)*100</f>
        <v>0.37808357659425695</v>
      </c>
      <c r="E123" s="19">
        <f>('[1]Short Spot'!E124-'[1]Short Spot'!E123)*100</f>
        <v>0.35237207212182042</v>
      </c>
      <c r="F123" s="19">
        <f>('[1]Short Spot'!F124-'[1]Short Spot'!F123)*100</f>
        <v>0.17278627084555964</v>
      </c>
      <c r="G123" s="19">
        <f>('[1]Short Spot'!G124-'[1]Short Spot'!G123)*100</f>
        <v>-0.11760065225621119</v>
      </c>
      <c r="H123" s="19">
        <f>('[1]Short Spot'!H124-'[1]Short Spot'!H123)*100</f>
        <v>-0.45299825530582538</v>
      </c>
      <c r="I123" s="19">
        <f>('[1]Short Spot'!I124-'[1]Short Spot'!I123)*100</f>
        <v>-0.78897596795926006</v>
      </c>
      <c r="J123" s="19">
        <f>('[1]Short Spot'!J124-'[1]Short Spot'!J123)*100</f>
        <v>-1.1062919456144016</v>
      </c>
      <c r="K123" s="19">
        <f>('[1]Short Spot'!K124-'[1]Short Spot'!K123)*100</f>
        <v>-1.3993441361317416</v>
      </c>
      <c r="L123" s="19">
        <f>('[1]Short Spot'!L124-'[1]Short Spot'!L123)*100</f>
        <v>-1.6680691554634919</v>
      </c>
      <c r="M123" s="19">
        <f>('[1]Short Spot'!M124-'[1]Short Spot'!M123)*100</f>
        <v>-1.9132358864670351</v>
      </c>
      <c r="N123" s="19">
        <f>('[1]Short Spot'!N124-'[1]Short Spot'!N123)*100</f>
        <v>-2.1359090747536058</v>
      </c>
      <c r="O123" s="19">
        <f>('[1]Short Spot'!O124-'[1]Short Spot'!O123)*100</f>
        <v>-2.3373773658707186</v>
      </c>
      <c r="P123" s="19">
        <f>('[1]Short Spot'!P124-'[1]Short Spot'!P123)*100</f>
        <v>-2.5191124667698794</v>
      </c>
      <c r="Q123" s="19">
        <f>('[1]Short Spot'!Q124-'[1]Short Spot'!Q123)*100</f>
        <v>-2.6827143691756206</v>
      </c>
      <c r="R123" s="19">
        <f>('[1]Short Spot'!R124-'[1]Short Spot'!R123)*100</f>
        <v>-2.829835067626707</v>
      </c>
      <c r="S123" s="19">
        <f>('[1]Short Spot'!S124-'[1]Short Spot'!S123)*100</f>
        <v>-2.9620733409349675</v>
      </c>
      <c r="T123" s="19">
        <f>('[1]Short Spot'!T124-'[1]Short Spot'!T123)*100</f>
        <v>-3.0809670894584862</v>
      </c>
      <c r="U123" s="19">
        <f>('[1]Short Spot'!U124-'[1]Short Spot'!U123)*100</f>
        <v>-3.1880085248646495</v>
      </c>
      <c r="V123" s="19">
        <f>('[1]Short Spot'!V124-'[1]Short Spot'!V123)*100</f>
        <v>-3.2846474064309739</v>
      </c>
      <c r="W123" s="19">
        <f>('[1]Short Spot'!W124-'[1]Short Spot'!W123)*100</f>
        <v>-3.3721991127394269</v>
      </c>
      <c r="X123" s="19">
        <f>('[1]Short Spot'!X124-'[1]Short Spot'!X123)*100</f>
        <v>-3.4517778191063719</v>
      </c>
      <c r="Y123" s="19">
        <f>('[1]Short Spot'!Y124-'[1]Short Spot'!Y123)*100</f>
        <v>-3.5243353496944074</v>
      </c>
      <c r="Z123" s="19">
        <f>('[1]Short Spot'!Z124-'[1]Short Spot'!Z123)*100</f>
        <v>-3.5906937299357011</v>
      </c>
      <c r="AA123" s="19">
        <f>('[1]Short Spot'!AA124-'[1]Short Spot'!AA123)*100</f>
        <v>-3.6515701478267992</v>
      </c>
      <c r="AB123" s="19">
        <f>('[1]Short Spot'!AB124-'[1]Short Spot'!AB123)*100</f>
        <v>-3.7075963486834951</v>
      </c>
      <c r="AC123" s="19">
        <f>('[1]Short Spot'!AC124-'[1]Short Spot'!AC123)*100</f>
        <v>-3.7593291431985421</v>
      </c>
      <c r="AD123" s="19">
        <f>('[1]Short Spot'!AD124-'[1]Short Spot'!AD123)*100</f>
        <v>-3.8072456482191264</v>
      </c>
      <c r="AE123" s="19">
        <f>('[1]Short Spot'!AE124-'[1]Short Spot'!AE123)*100</f>
        <v>-3.8517505820075293</v>
      </c>
      <c r="AF123" s="19">
        <f>('[1]Short Spot'!AF124-'[1]Short Spot'!AF123)*100</f>
        <v>-3.8931900398694985</v>
      </c>
      <c r="AG123" s="19">
        <f>('[1]Short Spot'!AG124-'[1]Short Spot'!AG123)*100</f>
        <v>-3.9318638656332894</v>
      </c>
      <c r="AH123" s="19">
        <f>('[1]Short Spot'!AH124-'[1]Short Spot'!AH123)*100</f>
        <v>-3.9680331477915054</v>
      </c>
      <c r="AI123" s="19">
        <f>('[1]Short Spot'!AI124-'[1]Short Spot'!AI123)*100</f>
        <v>-4.0019259185608114</v>
      </c>
      <c r="AJ123" s="19">
        <f>('[1]Short Spot'!AJ124-'[1]Short Spot'!AJ123)*100</f>
        <v>-4.0337418762071309</v>
      </c>
      <c r="AK123" s="19">
        <f>('[1]Short Spot'!AK124-'[1]Short Spot'!AK123)*100</f>
        <v>-4.063656305804475</v>
      </c>
      <c r="AL123" s="19">
        <f>('[1]Short Spot'!AL124-'[1]Short Spot'!AL123)*100</f>
        <v>-4.0918232297459056</v>
      </c>
      <c r="AM123" s="19">
        <f>('[1]Short Spot'!AM124-'[1]Short Spot'!AM123)*100</f>
        <v>-4.1183781683903575</v>
      </c>
      <c r="AN123" s="19">
        <f>('[1]Short Spot'!AN124-'[1]Short Spot'!AN123)*100</f>
        <v>-4.1434405514835682</v>
      </c>
      <c r="AO123" s="19">
        <f>('[1]Short Spot'!AO124-'[1]Short Spot'!AO123)*100</f>
        <v>-4.1671157299607131</v>
      </c>
      <c r="AP123" s="19">
        <f>('[1]Short Spot'!AP124-'[1]Short Spot'!AP123)*100</f>
        <v>-4.1894966971458558</v>
      </c>
      <c r="AQ123" s="19">
        <f>('[1]Short Spot'!AQ124-'[1]Short Spot'!AQ123)*100</f>
        <v>-4.2106659061902363</v>
      </c>
      <c r="AR123" s="19">
        <f>('[1]Short Spot'!AR124-'[1]Short Spot'!AR123)*100</f>
        <v>-4.2306973148906302</v>
      </c>
      <c r="AS123" s="19">
        <f>('[1]Short Spot'!AS124-'[1]Short Spot'!AS123)*100</f>
        <v>-4.2496574613440252</v>
      </c>
      <c r="AT123" s="19">
        <f>('[1]Short Spot'!AT124-'[1]Short Spot'!AT123)*100</f>
        <v>-4.2676062782188495</v>
      </c>
      <c r="AU123" s="19">
        <f>('[1]Short Spot'!AU124-'[1]Short Spot'!AU123)*100</f>
        <v>-4.2845978107361127</v>
      </c>
      <c r="AV123" s="19">
        <f>('[1]Short Spot'!AV124-'[1]Short Spot'!AV123)*100</f>
        <v>-4.3006808429937315</v>
      </c>
      <c r="AW123" s="19">
        <f>('[1]Short Spot'!AW124-'[1]Short Spot'!AW123)*100</f>
        <v>-4.3158994460000599</v>
      </c>
      <c r="AX123" s="19">
        <f>('[1]Short Spot'!AX124-'[1]Short Spot'!AX123)*100</f>
        <v>-4.3302934586164632</v>
      </c>
      <c r="AY123" s="19">
        <f>('[1]Short Spot'!AY124-'[1]Short Spot'!AY123)*100</f>
        <v>-4.3438989613457935</v>
      </c>
      <c r="AZ123" s="19">
        <f>('[1]Short Spot'!AZ124-'[1]Short Spot'!AZ123)*100</f>
        <v>-4.3567489241714163</v>
      </c>
      <c r="BA123" s="19">
        <f>('[1]Short Spot'!BA124-'[1]Short Spot'!BA123)*100</f>
        <v>-4.3688736398317829</v>
      </c>
      <c r="BB123" s="19">
        <f>('[1]Short Spot'!BB124-'[1]Short Spot'!BB123)*100</f>
        <v>-4.380300976675322</v>
      </c>
      <c r="BC123" s="19">
        <f>('[1]Short Spot'!BC124-'[1]Short Spot'!BC123)*100</f>
        <v>-4.3910566031430065</v>
      </c>
      <c r="BD123" s="19">
        <f>('[1]Short Spot'!BD124-'[1]Short Spot'!BD123)*100</f>
        <v>-4.4011641877589547</v>
      </c>
      <c r="BE123" s="19">
        <f>('[1]Short Spot'!BE124-'[1]Short Spot'!BE123)*100</f>
        <v>-4.410645577680139</v>
      </c>
      <c r="BF123" s="19">
        <f>('[1]Short Spot'!BF124-'[1]Short Spot'!BF123)*100</f>
        <v>-4.4195209379412681</v>
      </c>
      <c r="BG123" s="19">
        <f>('[1]Short Spot'!BG124-'[1]Short Spot'!BG123)*100</f>
        <v>-4.4278088563565632</v>
      </c>
      <c r="BH123" s="19">
        <f>('[1]Short Spot'!BH124-'[1]Short Spot'!BH123)*100</f>
        <v>-4.43552652754855</v>
      </c>
      <c r="BI123" s="19">
        <f>('[1]Short Spot'!BI124-'[1]Short Spot'!BI123)*100</f>
        <v>-4.4426898804299064</v>
      </c>
    </row>
    <row r="124" spans="1:61" x14ac:dyDescent="0.2">
      <c r="A124" s="18">
        <v>39261</v>
      </c>
      <c r="B124" s="19">
        <f>('[1]Short Spot'!B125-'[1]Short Spot'!B124)*100</f>
        <v>1.7488193883943737</v>
      </c>
      <c r="C124" s="19">
        <f>('[1]Short Spot'!C125-'[1]Short Spot'!C124)*100</f>
        <v>1.7518163290505484</v>
      </c>
      <c r="D124" s="19">
        <f>('[1]Short Spot'!D125-'[1]Short Spot'!D124)*100</f>
        <v>1.6838194767204939</v>
      </c>
      <c r="E124" s="19">
        <f>('[1]Short Spot'!E125-'[1]Short Spot'!E124)*100</f>
        <v>1.611728278559621</v>
      </c>
      <c r="F124" s="19">
        <f>('[1]Short Spot'!F125-'[1]Short Spot'!F124)*100</f>
        <v>1.5138984555895796</v>
      </c>
      <c r="G124" s="19">
        <f>('[1]Short Spot'!G125-'[1]Short Spot'!G124)*100</f>
        <v>1.4028496050783268</v>
      </c>
      <c r="H124" s="19">
        <f>('[1]Short Spot'!H125-'[1]Short Spot'!H124)*100</f>
        <v>1.3042052373112512</v>
      </c>
      <c r="I124" s="19">
        <f>('[1]Short Spot'!I125-'[1]Short Spot'!I124)*100</f>
        <v>1.2358638571217107</v>
      </c>
      <c r="J124" s="19">
        <f>('[1]Short Spot'!J125-'[1]Short Spot'!J124)*100</f>
        <v>1.2012693813907127</v>
      </c>
      <c r="K124" s="19">
        <f>('[1]Short Spot'!K125-'[1]Short Spot'!K124)*100</f>
        <v>1.1967819325694684</v>
      </c>
      <c r="L124" s="19">
        <f>('[1]Short Spot'!L125-'[1]Short Spot'!L124)*100</f>
        <v>1.2165936851718406</v>
      </c>
      <c r="M124" s="19">
        <f>('[1]Short Spot'!M125-'[1]Short Spot'!M124)*100</f>
        <v>1.2540341723534354</v>
      </c>
      <c r="N124" s="19">
        <f>('[1]Short Spot'!N125-'[1]Short Spot'!N124)*100</f>
        <v>1.3021679201131064</v>
      </c>
      <c r="O124" s="19">
        <f>('[1]Short Spot'!O125-'[1]Short Spot'!O124)*100</f>
        <v>1.3555886854908827</v>
      </c>
      <c r="P124" s="19">
        <f>('[1]Short Spot'!P125-'[1]Short Spot'!P124)*100</f>
        <v>1.4106639734752235</v>
      </c>
      <c r="Q124" s="19">
        <f>('[1]Short Spot'!Q125-'[1]Short Spot'!Q124)*100</f>
        <v>1.4649168596405637</v>
      </c>
      <c r="R124" s="19">
        <f>('[1]Short Spot'!R125-'[1]Short Spot'!R124)*100</f>
        <v>1.516700514117808</v>
      </c>
      <c r="S124" s="19">
        <f>('[1]Short Spot'!S125-'[1]Short Spot'!S124)*100</f>
        <v>1.5649787074313082</v>
      </c>
      <c r="T124" s="19">
        <f>('[1]Short Spot'!T125-'[1]Short Spot'!T124)*100</f>
        <v>1.6091594496356443</v>
      </c>
      <c r="U124" s="19">
        <f>('[1]Short Spot'!U125-'[1]Short Spot'!U124)*100</f>
        <v>1.6489835922047114</v>
      </c>
      <c r="V124" s="19">
        <f>('[1]Short Spot'!V125-'[1]Short Spot'!V124)*100</f>
        <v>1.6844482048449017</v>
      </c>
      <c r="W124" s="19">
        <f>('[1]Short Spot'!W125-'[1]Short Spot'!W124)*100</f>
        <v>1.7157303615687347</v>
      </c>
      <c r="X124" s="19">
        <f>('[1]Short Spot'!X125-'[1]Short Spot'!X124)*100</f>
        <v>1.743055666313964</v>
      </c>
      <c r="Y124" s="19">
        <f>('[1]Short Spot'!Y125-'[1]Short Spot'!Y124)*100</f>
        <v>1.7666621211017919</v>
      </c>
      <c r="Z124" s="19">
        <f>('[1]Short Spot'!Z125-'[1]Short Spot'!Z124)*100</f>
        <v>1.7867975685363469</v>
      </c>
      <c r="AA124" s="19">
        <f>('[1]Short Spot'!AA125-'[1]Short Spot'!AA124)*100</f>
        <v>1.8037177993842413</v>
      </c>
      <c r="AB124" s="19">
        <f>('[1]Short Spot'!AB125-'[1]Short Spot'!AB124)*100</f>
        <v>1.817685092410759</v>
      </c>
      <c r="AC124" s="19">
        <f>('[1]Short Spot'!AC125-'[1]Short Spot'!AC124)*100</f>
        <v>1.8289649391928897</v>
      </c>
      <c r="AD124" s="19">
        <f>('[1]Short Spot'!AD125-'[1]Short Spot'!AD124)*100</f>
        <v>1.837806912033102</v>
      </c>
      <c r="AE124" s="19">
        <f>('[1]Short Spot'!AE125-'[1]Short Spot'!AE124)*100</f>
        <v>1.8444337806797328</v>
      </c>
      <c r="AF124" s="19">
        <f>('[1]Short Spot'!AF125-'[1]Short Spot'!AF124)*100</f>
        <v>1.8490442211748892</v>
      </c>
      <c r="AG124" s="19">
        <f>('[1]Short Spot'!AG125-'[1]Short Spot'!AG124)*100</f>
        <v>1.8518157890971665</v>
      </c>
      <c r="AH124" s="19">
        <f>('[1]Short Spot'!AH125-'[1]Short Spot'!AH124)*100</f>
        <v>1.852908138418119</v>
      </c>
      <c r="AI124" s="19">
        <f>('[1]Short Spot'!AI125-'[1]Short Spot'!AI124)*100</f>
        <v>1.8524656555340968</v>
      </c>
      <c r="AJ124" s="19">
        <f>('[1]Short Spot'!AJ125-'[1]Short Spot'!AJ124)*100</f>
        <v>1.8506196403482278</v>
      </c>
      <c r="AK124" s="19">
        <f>('[1]Short Spot'!AK125-'[1]Short Spot'!AK124)*100</f>
        <v>1.8474900973646236</v>
      </c>
      <c r="AL124" s="19">
        <f>('[1]Short Spot'!AL125-'[1]Short Spot'!AL124)*100</f>
        <v>1.8431865027425332</v>
      </c>
      <c r="AM124" s="19">
        <f>('[1]Short Spot'!AM125-'[1]Short Spot'!AM124)*100</f>
        <v>1.8378077999491538</v>
      </c>
      <c r="AN124" s="19">
        <f>('[1]Short Spot'!AN125-'[1]Short Spot'!AN124)*100</f>
        <v>1.8314434854098671</v>
      </c>
      <c r="AO124" s="19">
        <f>('[1]Short Spot'!AO125-'[1]Short Spot'!AO124)*100</f>
        <v>1.8241747888432691</v>
      </c>
      <c r="AP124" s="19">
        <f>('[1]Short Spot'!AP125-'[1]Short Spot'!AP124)*100</f>
        <v>1.816075676698059</v>
      </c>
      <c r="AQ124" s="19">
        <f>('[1]Short Spot'!AQ125-'[1]Short Spot'!AQ124)*100</f>
        <v>1.8072135211602003</v>
      </c>
      <c r="AR124" s="19">
        <f>('[1]Short Spot'!AR125-'[1]Short Spot'!AR124)*100</f>
        <v>1.7976497685040727</v>
      </c>
      <c r="AS124" s="19">
        <f>('[1]Short Spot'!AS125-'[1]Short Spot'!AS124)*100</f>
        <v>1.7874408277129383</v>
      </c>
      <c r="AT124" s="19">
        <f>('[1]Short Spot'!AT125-'[1]Short Spot'!AT124)*100</f>
        <v>1.7766386469034501</v>
      </c>
      <c r="AU124" s="19">
        <f>('[1]Short Spot'!AU125-'[1]Short Spot'!AU124)*100</f>
        <v>1.7652911982017017</v>
      </c>
      <c r="AV124" s="19">
        <f>('[1]Short Spot'!AV125-'[1]Short Spot'!AV124)*100</f>
        <v>1.7534429007215024</v>
      </c>
      <c r="AW124" s="19">
        <f>('[1]Short Spot'!AW125-'[1]Short Spot'!AW124)*100</f>
        <v>1.7411349906696572</v>
      </c>
      <c r="AX124" s="19">
        <f>('[1]Short Spot'!AX125-'[1]Short Spot'!AX124)*100</f>
        <v>1.7284058460929508</v>
      </c>
      <c r="AY124" s="19">
        <f>('[1]Short Spot'!AY125-'[1]Short Spot'!AY124)*100</f>
        <v>1.7152912290391065</v>
      </c>
      <c r="AZ124" s="19">
        <f>('[1]Short Spot'!AZ125-'[1]Short Spot'!AZ124)*100</f>
        <v>1.7018243706558245</v>
      </c>
      <c r="BA124" s="19">
        <f>('[1]Short Spot'!BA125-'[1]Short Spot'!BA124)*100</f>
        <v>1.6880361833137236</v>
      </c>
      <c r="BB124" s="19">
        <f>('[1]Short Spot'!BB125-'[1]Short Spot'!BB124)*100</f>
        <v>1.6739554862279071</v>
      </c>
      <c r="BC124" s="19">
        <f>('[1]Short Spot'!BC125-'[1]Short Spot'!BC124)*100</f>
        <v>1.6596091992700401</v>
      </c>
      <c r="BD124" s="19">
        <f>('[1]Short Spot'!BD125-'[1]Short Spot'!BD124)*100</f>
        <v>1.6450225156352083</v>
      </c>
      <c r="BE124" s="19">
        <f>('[1]Short Spot'!BE125-'[1]Short Spot'!BE124)*100</f>
        <v>1.6302190560381291</v>
      </c>
      <c r="BF124" s="19">
        <f>('[1]Short Spot'!BF125-'[1]Short Spot'!BF124)*100</f>
        <v>1.6152210131356703</v>
      </c>
      <c r="BG124" s="19">
        <f>('[1]Short Spot'!BG125-'[1]Short Spot'!BG124)*100</f>
        <v>1.600049197118647</v>
      </c>
      <c r="BH124" s="19">
        <f>('[1]Short Spot'!BH125-'[1]Short Spot'!BH124)*100</f>
        <v>1.5847230188714256</v>
      </c>
      <c r="BI124" s="19">
        <f>('[1]Short Spot'!BI125-'[1]Short Spot'!BI124)*100</f>
        <v>1.5692605915645252</v>
      </c>
    </row>
    <row r="125" spans="1:61" x14ac:dyDescent="0.2">
      <c r="A125" s="18">
        <v>39262</v>
      </c>
      <c r="B125" s="19">
        <f>('[1]Short Spot'!B126-'[1]Short Spot'!B125)*100</f>
        <v>9.7897918958135044</v>
      </c>
      <c r="C125" s="19">
        <f>('[1]Short Spot'!C126-'[1]Short Spot'!C125)*100</f>
        <v>5.3729254065911114</v>
      </c>
      <c r="D125" s="19">
        <f>('[1]Short Spot'!D126-'[1]Short Spot'!D125)*100</f>
        <v>3.7048076566541965</v>
      </c>
      <c r="E125" s="19">
        <f>('[1]Short Spot'!E126-'[1]Short Spot'!E125)*100</f>
        <v>2.8488737143554488</v>
      </c>
      <c r="F125" s="19">
        <f>('[1]Short Spot'!F126-'[1]Short Spot'!F125)*100</f>
        <v>2.4017100142743608</v>
      </c>
      <c r="G125" s="19">
        <f>('[1]Short Spot'!G126-'[1]Short Spot'!G125)*100</f>
        <v>2.197695148970169</v>
      </c>
      <c r="H125" s="19">
        <f>('[1]Short Spot'!H126-'[1]Short Spot'!H125)*100</f>
        <v>2.1365093485348652</v>
      </c>
      <c r="I125" s="19">
        <f>('[1]Short Spot'!I126-'[1]Short Spot'!I125)*100</f>
        <v>2.1526820386976731</v>
      </c>
      <c r="J125" s="19">
        <f>('[1]Short Spot'!J126-'[1]Short Spot'!J125)*100</f>
        <v>2.2061046679327845</v>
      </c>
      <c r="K125" s="19">
        <f>('[1]Short Spot'!K126-'[1]Short Spot'!K125)*100</f>
        <v>2.273636955597258</v>
      </c>
      <c r="L125" s="19">
        <f>('[1]Short Spot'!L126-'[1]Short Spot'!L125)*100</f>
        <v>2.3436928381086908</v>
      </c>
      <c r="M125" s="19">
        <f>('[1]Short Spot'!M126-'[1]Short Spot'!M125)*100</f>
        <v>2.4109033462271334</v>
      </c>
      <c r="N125" s="19">
        <f>('[1]Short Spot'!N126-'[1]Short Spot'!N125)*100</f>
        <v>2.4737024494079662</v>
      </c>
      <c r="O125" s="19">
        <f>('[1]Short Spot'!O126-'[1]Short Spot'!O125)*100</f>
        <v>2.5319055433246085</v>
      </c>
      <c r="P125" s="19">
        <f>('[1]Short Spot'!P126-'[1]Short Spot'!P125)*100</f>
        <v>2.5855954317028029</v>
      </c>
      <c r="Q125" s="19">
        <f>('[1]Short Spot'!Q126-'[1]Short Spot'!Q125)*100</f>
        <v>2.6350427691238743</v>
      </c>
      <c r="R125" s="19">
        <f>('[1]Short Spot'!R126-'[1]Short Spot'!R125)*100</f>
        <v>2.6806374580689685</v>
      </c>
      <c r="S125" s="19">
        <f>('[1]Short Spot'!S126-'[1]Short Spot'!S125)*100</f>
        <v>2.7227478349058032</v>
      </c>
      <c r="T125" s="19">
        <f>('[1]Short Spot'!T126-'[1]Short Spot'!T125)*100</f>
        <v>2.7616768559295402</v>
      </c>
      <c r="U125" s="19">
        <f>('[1]Short Spot'!U126-'[1]Short Spot'!U125)*100</f>
        <v>2.7976775496336259</v>
      </c>
      <c r="V125" s="19">
        <f>('[1]Short Spot'!V126-'[1]Short Spot'!V125)*100</f>
        <v>2.8309832660166734</v>
      </c>
      <c r="W125" s="19">
        <f>('[1]Short Spot'!W126-'[1]Short Spot'!W125)*100</f>
        <v>2.8618965965322651</v>
      </c>
      <c r="X125" s="19">
        <f>('[1]Short Spot'!X126-'[1]Short Spot'!X125)*100</f>
        <v>2.8907037811325864</v>
      </c>
      <c r="Y125" s="19">
        <f>('[1]Short Spot'!Y126-'[1]Short Spot'!Y125)*100</f>
        <v>2.9176405806053296</v>
      </c>
      <c r="Z125" s="19">
        <f>('[1]Short Spot'!Z126-'[1]Short Spot'!Z125)*100</f>
        <v>2.94290230344183</v>
      </c>
      <c r="AA125" s="19">
        <f>('[1]Short Spot'!AA126-'[1]Short Spot'!AA125)*100</f>
        <v>2.9666515851260122</v>
      </c>
      <c r="AB125" s="19">
        <f>('[1]Short Spot'!AB126-'[1]Short Spot'!AB125)*100</f>
        <v>2.9890245568415352</v>
      </c>
      <c r="AC125" s="19">
        <f>('[1]Short Spot'!AC126-'[1]Short Spot'!AC125)*100</f>
        <v>3.0101425909555779</v>
      </c>
      <c r="AD125" s="19">
        <f>('[1]Short Spot'!AD126-'[1]Short Spot'!AD125)*100</f>
        <v>3.0301226268381498</v>
      </c>
      <c r="AE125" s="19">
        <f>('[1]Short Spot'!AE126-'[1]Short Spot'!AE125)*100</f>
        <v>3.0490720695042661</v>
      </c>
      <c r="AF125" s="19">
        <f>('[1]Short Spot'!AF126-'[1]Short Spot'!AF125)*100</f>
        <v>3.067086236601746</v>
      </c>
      <c r="AG125" s="19">
        <f>('[1]Short Spot'!AG126-'[1]Short Spot'!AG125)*100</f>
        <v>3.0842477597467166</v>
      </c>
      <c r="AH125" s="19">
        <f>('[1]Short Spot'!AH126-'[1]Short Spot'!AH125)*100</f>
        <v>3.100628612866263</v>
      </c>
      <c r="AI125" s="19">
        <f>('[1]Short Spot'!AI126-'[1]Short Spot'!AI125)*100</f>
        <v>3.1162916818695763</v>
      </c>
      <c r="AJ125" s="19">
        <f>('[1]Short Spot'!AJ126-'[1]Short Spot'!AJ125)*100</f>
        <v>3.131292062937252</v>
      </c>
      <c r="AK125" s="19">
        <f>('[1]Short Spot'!AK126-'[1]Short Spot'!AK125)*100</f>
        <v>3.1456781794143573</v>
      </c>
      <c r="AL125" s="19">
        <f>('[1]Short Spot'!AL126-'[1]Short Spot'!AL125)*100</f>
        <v>3.1594929128338833</v>
      </c>
      <c r="AM125" s="19">
        <f>('[1]Short Spot'!AM126-'[1]Short Spot'!AM125)*100</f>
        <v>3.1727742956219274</v>
      </c>
      <c r="AN125" s="19">
        <f>('[1]Short Spot'!AN126-'[1]Short Spot'!AN125)*100</f>
        <v>3.1855560666552485</v>
      </c>
      <c r="AO125" s="19">
        <f>('[1]Short Spot'!AO126-'[1]Short Spot'!AO125)*100</f>
        <v>3.1978682077296483</v>
      </c>
      <c r="AP125" s="19">
        <f>('[1]Short Spot'!AP126-'[1]Short Spot'!AP125)*100</f>
        <v>3.2097373796078799</v>
      </c>
      <c r="AQ125" s="19">
        <f>('[1]Short Spot'!AQ126-'[1]Short Spot'!AQ125)*100</f>
        <v>3.2211867324399179</v>
      </c>
      <c r="AR125" s="19">
        <f>('[1]Short Spot'!AR126-'[1]Short Spot'!AR125)*100</f>
        <v>3.2322363168018953</v>
      </c>
      <c r="AS125" s="19">
        <f>('[1]Short Spot'!AS126-'[1]Short Spot'!AS125)*100</f>
        <v>3.242904116626999</v>
      </c>
      <c r="AT125" s="19">
        <f>('[1]Short Spot'!AT126-'[1]Short Spot'!AT125)*100</f>
        <v>3.2532063160439328</v>
      </c>
      <c r="AU125" s="19">
        <f>('[1]Short Spot'!AU126-'[1]Short Spot'!AU125)*100</f>
        <v>3.2631574950078068</v>
      </c>
      <c r="AV125" s="19">
        <f>('[1]Short Spot'!AV126-'[1]Short Spot'!AV125)*100</f>
        <v>3.2727707999573141</v>
      </c>
      <c r="AW125" s="19">
        <f>('[1]Short Spot'!AW126-'[1]Short Spot'!AW125)*100</f>
        <v>3.2820580931388399</v>
      </c>
      <c r="AX125" s="19">
        <f>('[1]Short Spot'!AX126-'[1]Short Spot'!AX125)*100</f>
        <v>3.2910300831833439</v>
      </c>
      <c r="AY125" s="19">
        <f>('[1]Short Spot'!AY126-'[1]Short Spot'!AY125)*100</f>
        <v>3.2996963240393029</v>
      </c>
      <c r="AZ125" s="19">
        <f>('[1]Short Spot'!AZ126-'[1]Short Spot'!AZ125)*100</f>
        <v>3.3080651086314639</v>
      </c>
      <c r="BA125" s="19">
        <f>('[1]Short Spot'!BA126-'[1]Short Spot'!BA125)*100</f>
        <v>3.3161437289449758</v>
      </c>
      <c r="BB125" s="19">
        <f>('[1]Short Spot'!BB126-'[1]Short Spot'!BB125)*100</f>
        <v>3.3239385992121839</v>
      </c>
      <c r="BC125" s="19">
        <f>('[1]Short Spot'!BC126-'[1]Short Spot'!BC125)*100</f>
        <v>3.3314553371853961</v>
      </c>
      <c r="BD125" s="19">
        <f>('[1]Short Spot'!BD126-'[1]Short Spot'!BD125)*100</f>
        <v>3.3386988365448289</v>
      </c>
      <c r="BE125" s="19">
        <f>('[1]Short Spot'!BE126-'[1]Short Spot'!BE125)*100</f>
        <v>3.3456733318756982</v>
      </c>
      <c r="BF125" s="19">
        <f>('[1]Short Spot'!BF126-'[1]Short Spot'!BF125)*100</f>
        <v>3.3523825290898479</v>
      </c>
      <c r="BG125" s="19">
        <f>('[1]Short Spot'!BG126-'[1]Short Spot'!BG125)*100</f>
        <v>3.3588297427638025</v>
      </c>
      <c r="BH125" s="19">
        <f>('[1]Short Spot'!BH126-'[1]Short Spot'!BH125)*100</f>
        <v>3.3650177897755817</v>
      </c>
      <c r="BI125" s="19">
        <f>('[1]Short Spot'!BI126-'[1]Short Spot'!BI125)*100</f>
        <v>3.3709490084623539</v>
      </c>
    </row>
    <row r="126" spans="1:61" x14ac:dyDescent="0.2">
      <c r="A126" s="18">
        <v>39265</v>
      </c>
      <c r="B126" s="19">
        <f>('[1]Short Spot'!B127-'[1]Short Spot'!B126)*100</f>
        <v>0.90964158148993945</v>
      </c>
      <c r="C126" s="19">
        <f>('[1]Short Spot'!C127-'[1]Short Spot'!C126)*100</f>
        <v>-0.12548820410289707</v>
      </c>
      <c r="D126" s="19">
        <f>('[1]Short Spot'!D127-'[1]Short Spot'!D126)*100</f>
        <v>-0.4472182408282066</v>
      </c>
      <c r="E126" s="19">
        <f>('[1]Short Spot'!E127-'[1]Short Spot'!E126)*100</f>
        <v>-0.72835033767617574</v>
      </c>
      <c r="F126" s="19">
        <f>('[1]Short Spot'!F127-'[1]Short Spot'!F126)*100</f>
        <v>-0.98929150097184504</v>
      </c>
      <c r="G126" s="19">
        <f>('[1]Short Spot'!G127-'[1]Short Spot'!G126)*100</f>
        <v>-1.2284429324173729</v>
      </c>
      <c r="H126" s="19">
        <f>('[1]Short Spot'!H127-'[1]Short Spot'!H126)*100</f>
        <v>-1.451121366380459</v>
      </c>
      <c r="I126" s="19">
        <f>('[1]Short Spot'!I127-'[1]Short Spot'!I126)*100</f>
        <v>-1.6666789560293438</v>
      </c>
      <c r="J126" s="19">
        <f>('[1]Short Spot'!J127-'[1]Short Spot'!J126)*100</f>
        <v>-1.8814614618733572</v>
      </c>
      <c r="K126" s="19">
        <f>('[1]Short Spot'!K127-'[1]Short Spot'!K126)*100</f>
        <v>-2.0982598932041796</v>
      </c>
      <c r="L126" s="19">
        <f>('[1]Short Spot'!L127-'[1]Short Spot'!L126)*100</f>
        <v>-2.3161952880315972</v>
      </c>
      <c r="M126" s="19">
        <f>('[1]Short Spot'!M127-'[1]Short Spot'!M126)*100</f>
        <v>-2.5318886390791384</v>
      </c>
      <c r="N126" s="19">
        <f>('[1]Short Spot'!N127-'[1]Short Spot'!N126)*100</f>
        <v>-2.7406987823174411</v>
      </c>
      <c r="O126" s="19">
        <f>('[1]Short Spot'!O127-'[1]Short Spot'!O126)*100</f>
        <v>-2.9388274202927889</v>
      </c>
      <c r="P126" s="19">
        <f>('[1]Short Spot'!P127-'[1]Short Spot'!P126)*100</f>
        <v>-3.1241596560003693</v>
      </c>
      <c r="Q126" s="19">
        <f>('[1]Short Spot'!Q127-'[1]Short Spot'!Q126)*100</f>
        <v>-3.2957697172800948</v>
      </c>
      <c r="R126" s="19">
        <f>('[1]Short Spot'!R127-'[1]Short Spot'!R126)*100</f>
        <v>-3.4535112051587546</v>
      </c>
      <c r="S126" s="19">
        <f>('[1]Short Spot'!S127-'[1]Short Spot'!S126)*100</f>
        <v>-3.5977003241033145</v>
      </c>
      <c r="T126" s="19">
        <f>('[1]Short Spot'!T127-'[1]Short Spot'!T126)*100</f>
        <v>-3.7289776384413109</v>
      </c>
      <c r="U126" s="19">
        <f>('[1]Short Spot'!U127-'[1]Short Spot'!U126)*100</f>
        <v>-3.8482270017378362</v>
      </c>
      <c r="V126" s="19">
        <f>('[1]Short Spot'!V127-'[1]Short Spot'!V126)*100</f>
        <v>-3.9565003922066744</v>
      </c>
      <c r="W126" s="19">
        <f>('[1]Short Spot'!W127-'[1]Short Spot'!W126)*100</f>
        <v>-4.0548330140471656</v>
      </c>
      <c r="X126" s="19">
        <f>('[1]Short Spot'!X127-'[1]Short Spot'!X126)*100</f>
        <v>-4.1441441853748096</v>
      </c>
      <c r="Y126" s="19">
        <f>('[1]Short Spot'!Y127-'[1]Short Spot'!Y126)*100</f>
        <v>-4.2252588523665757</v>
      </c>
      <c r="Z126" s="19">
        <f>('[1]Short Spot'!Z127-'[1]Short Spot'!Z126)*100</f>
        <v>-4.2989264665507676</v>
      </c>
      <c r="AA126" s="19">
        <f>('[1]Short Spot'!AA127-'[1]Short Spot'!AA126)*100</f>
        <v>-4.3658355030090412</v>
      </c>
      <c r="AB126" s="19">
        <f>('[1]Short Spot'!AB127-'[1]Short Spot'!AB126)*100</f>
        <v>-4.426624628408149</v>
      </c>
      <c r="AC126" s="19">
        <f>('[1]Short Spot'!AC127-'[1]Short Spot'!AC126)*100</f>
        <v>-4.481882276783633</v>
      </c>
      <c r="AD126" s="19">
        <f>('[1]Short Spot'!AD127-'[1]Short Spot'!AD126)*100</f>
        <v>-4.5321299089971845</v>
      </c>
      <c r="AE126" s="19">
        <f>('[1]Short Spot'!AE127-'[1]Short Spot'!AE126)*100</f>
        <v>-4.5778263824538534</v>
      </c>
      <c r="AF126" s="19">
        <f>('[1]Short Spot'!AF127-'[1]Short Spot'!AF126)*100</f>
        <v>-4.6193785646357455</v>
      </c>
      <c r="AG126" s="19">
        <f>('[1]Short Spot'!AG127-'[1]Short Spot'!AG126)*100</f>
        <v>-4.6571491712459334</v>
      </c>
      <c r="AH126" s="19">
        <f>('[1]Short Spot'!AH127-'[1]Short Spot'!AH126)*100</f>
        <v>-4.6914632666389622</v>
      </c>
      <c r="AI126" s="19">
        <f>('[1]Short Spot'!AI127-'[1]Short Spot'!AI126)*100</f>
        <v>-4.7226138004822005</v>
      </c>
      <c r="AJ126" s="19">
        <f>('[1]Short Spot'!AJ127-'[1]Short Spot'!AJ126)*100</f>
        <v>-4.7508661955677489</v>
      </c>
      <c r="AK126" s="19">
        <f>('[1]Short Spot'!AK127-'[1]Short Spot'!AK126)*100</f>
        <v>-4.7764620280521086</v>
      </c>
      <c r="AL126" s="19">
        <f>('[1]Short Spot'!AL127-'[1]Short Spot'!AL126)*100</f>
        <v>-4.7996204226844696</v>
      </c>
      <c r="AM126" s="19">
        <f>('[1]Short Spot'!AM127-'[1]Short Spot'!AM126)*100</f>
        <v>-4.8205389922208575</v>
      </c>
      <c r="AN126" s="19">
        <f>('[1]Short Spot'!AN127-'[1]Short Spot'!AN126)*100</f>
        <v>-4.8393963873860635</v>
      </c>
      <c r="AO126" s="19">
        <f>('[1]Short Spot'!AO127-'[1]Short Spot'!AO126)*100</f>
        <v>-4.8563546671370972</v>
      </c>
      <c r="AP126" s="19">
        <f>('[1]Short Spot'!AP127-'[1]Short Spot'!AP126)*100</f>
        <v>-4.8715613292787729</v>
      </c>
      <c r="AQ126" s="19">
        <f>('[1]Short Spot'!AQ127-'[1]Short Spot'!AQ126)*100</f>
        <v>-4.8851510268249854</v>
      </c>
      <c r="AR126" s="19">
        <f>('[1]Short Spot'!AR127-'[1]Short Spot'!AR126)*100</f>
        <v>-4.8972464059367837</v>
      </c>
      <c r="AS126" s="19">
        <f>('[1]Short Spot'!AS127-'[1]Short Spot'!AS126)*100</f>
        <v>-4.9079590755128244</v>
      </c>
      <c r="AT126" s="19">
        <f>('[1]Short Spot'!AT127-'[1]Short Spot'!AT126)*100</f>
        <v>-4.9173908232353014</v>
      </c>
      <c r="AU126" s="19">
        <f>('[1]Short Spot'!AU127-'[1]Short Spot'!AU126)*100</f>
        <v>-4.9256346830934383</v>
      </c>
      <c r="AV126" s="19">
        <f>('[1]Short Spot'!AV127-'[1]Short Spot'!AV126)*100</f>
        <v>-4.9327758666281696</v>
      </c>
      <c r="AW126" s="19">
        <f>('[1]Short Spot'!AW127-'[1]Short Spot'!AW126)*100</f>
        <v>-4.938892577769316</v>
      </c>
      <c r="AX126" s="19">
        <f>('[1]Short Spot'!AX127-'[1]Short Spot'!AX126)*100</f>
        <v>-4.944056728199353</v>
      </c>
      <c r="AY126" s="19">
        <f>('[1]Short Spot'!AY127-'[1]Short Spot'!AY126)*100</f>
        <v>-4.9483345795922062</v>
      </c>
      <c r="AZ126" s="19">
        <f>('[1]Short Spot'!AZ127-'[1]Short Spot'!AZ126)*100</f>
        <v>-4.9517871936163971</v>
      </c>
      <c r="BA126" s="19">
        <f>('[1]Short Spot'!BA127-'[1]Short Spot'!BA126)*100</f>
        <v>-4.9544707893072193</v>
      </c>
      <c r="BB126" s="19">
        <f>('[1]Short Spot'!BB127-'[1]Short Spot'!BB126)*100</f>
        <v>-4.9564371887800718</v>
      </c>
      <c r="BC126" s="19">
        <f>('[1]Short Spot'!BC127-'[1]Short Spot'!BC126)*100</f>
        <v>-4.9577342243523503</v>
      </c>
      <c r="BD126" s="19">
        <f>('[1]Short Spot'!BD127-'[1]Short Spot'!BD126)*100</f>
        <v>-4.9584061012529546</v>
      </c>
      <c r="BE126" s="19">
        <f>('[1]Short Spot'!BE127-'[1]Short Spot'!BE126)*100</f>
        <v>-4.9584937212185487</v>
      </c>
      <c r="BF126" s="19">
        <f>('[1]Short Spot'!BF127-'[1]Short Spot'!BF126)*100</f>
        <v>-4.9580349437452931</v>
      </c>
      <c r="BG126" s="19">
        <f>('[1]Short Spot'!BG127-'[1]Short Spot'!BG126)*100</f>
        <v>-4.9570648194444011</v>
      </c>
      <c r="BH126" s="19">
        <f>('[1]Short Spot'!BH127-'[1]Short Spot'!BH126)*100</f>
        <v>-4.9556158720641896</v>
      </c>
      <c r="BI126" s="19">
        <f>('[1]Short Spot'!BI127-'[1]Short Spot'!BI126)*100</f>
        <v>-4.9537183147411845</v>
      </c>
    </row>
    <row r="127" spans="1:61" x14ac:dyDescent="0.2">
      <c r="A127" s="18">
        <v>39266</v>
      </c>
      <c r="B127" s="19">
        <f>('[1]Short Spot'!B128-'[1]Short Spot'!B127)*100</f>
        <v>-1.1820146560384437</v>
      </c>
      <c r="C127" s="19">
        <f>('[1]Short Spot'!C128-'[1]Short Spot'!C127)*100</f>
        <v>-0.30770093106715635</v>
      </c>
      <c r="D127" s="19">
        <f>('[1]Short Spot'!D128-'[1]Short Spot'!D127)*100</f>
        <v>0.19764521310285943</v>
      </c>
      <c r="E127" s="19">
        <f>('[1]Short Spot'!E128-'[1]Short Spot'!E127)*100</f>
        <v>0.53628673013923489</v>
      </c>
      <c r="F127" s="19">
        <f>('[1]Short Spot'!F128-'[1]Short Spot'!F127)*100</f>
        <v>0.69422421549072411</v>
      </c>
      <c r="G127" s="19">
        <f>('[1]Short Spot'!G128-'[1]Short Spot'!G127)*100</f>
        <v>0.71433376816623095</v>
      </c>
      <c r="H127" s="19">
        <f>('[1]Short Spot'!H128-'[1]Short Spot'!H127)*100</f>
        <v>0.66293861790738262</v>
      </c>
      <c r="I127" s="19">
        <f>('[1]Short Spot'!I128-'[1]Short Spot'!I127)*100</f>
        <v>0.59400500963215919</v>
      </c>
      <c r="J127" s="19">
        <f>('[1]Short Spot'!J128-'[1]Short Spot'!J127)*100</f>
        <v>0.53457078045378026</v>
      </c>
      <c r="K127" s="19">
        <f>('[1]Short Spot'!K128-'[1]Short Spot'!K127)*100</f>
        <v>0.49727791674856192</v>
      </c>
      <c r="L127" s="19">
        <f>('[1]Short Spot'!L128-'[1]Short Spot'!L127)*100</f>
        <v>0.48706683186923172</v>
      </c>
      <c r="M127" s="19">
        <f>('[1]Short Spot'!M128-'[1]Short Spot'!M127)*100</f>
        <v>0.50386463057536801</v>
      </c>
      <c r="N127" s="19">
        <f>('[1]Short Spot'!N128-'[1]Short Spot'!N127)*100</f>
        <v>0.54455872629990409</v>
      </c>
      <c r="O127" s="19">
        <f>('[1]Short Spot'!O128-'[1]Short Spot'!O127)*100</f>
        <v>0.60513994532085391</v>
      </c>
      <c r="P127" s="19">
        <f>('[1]Short Spot'!P128-'[1]Short Spot'!P127)*100</f>
        <v>0.68206178636351922</v>
      </c>
      <c r="Q127" s="19">
        <f>('[1]Short Spot'!Q128-'[1]Short Spot'!Q127)*100</f>
        <v>0.7721997089313426</v>
      </c>
      <c r="R127" s="19">
        <f>('[1]Short Spot'!R128-'[1]Short Spot'!R127)*100</f>
        <v>0.8728353389936494</v>
      </c>
      <c r="S127" s="19">
        <f>('[1]Short Spot'!S128-'[1]Short Spot'!S127)*100</f>
        <v>0.9817187522339843</v>
      </c>
      <c r="T127" s="19">
        <f>('[1]Short Spot'!T128-'[1]Short Spot'!T127)*100</f>
        <v>1.096973557466896</v>
      </c>
      <c r="U127" s="19">
        <f>('[1]Short Spot'!U128-'[1]Short Spot'!U127)*100</f>
        <v>1.2170035082198716</v>
      </c>
      <c r="V127" s="19">
        <f>('[1]Short Spot'!V128-'[1]Short Spot'!V127)*100</f>
        <v>1.3404381537892363</v>
      </c>
      <c r="W127" s="19">
        <f>('[1]Short Spot'!W128-'[1]Short Spot'!W127)*100</f>
        <v>1.4661417253362785</v>
      </c>
      <c r="X127" s="19">
        <f>('[1]Short Spot'!X128-'[1]Short Spot'!X127)*100</f>
        <v>1.5931602215935925</v>
      </c>
      <c r="Y127" s="19">
        <f>('[1]Short Spot'!Y128-'[1]Short Spot'!Y127)*100</f>
        <v>1.7206751735165504</v>
      </c>
      <c r="Z127" s="19">
        <f>('[1]Short Spot'!Z128-'[1]Short Spot'!Z127)*100</f>
        <v>1.8479765372293677</v>
      </c>
      <c r="AA127" s="19">
        <f>('[1]Short Spot'!AA128-'[1]Short Spot'!AA127)*100</f>
        <v>1.9744418430306609</v>
      </c>
      <c r="AB127" s="19">
        <f>('[1]Short Spot'!AB128-'[1]Short Spot'!AB127)*100</f>
        <v>2.0995201288769749</v>
      </c>
      <c r="AC127" s="19">
        <f>('[1]Short Spot'!AC128-'[1]Short Spot'!AC127)*100</f>
        <v>2.2227268374471087</v>
      </c>
      <c r="AD127" s="19">
        <f>('[1]Short Spot'!AD128-'[1]Short Spot'!AD127)*100</f>
        <v>2.3436482102542122</v>
      </c>
      <c r="AE127" s="19">
        <f>('[1]Short Spot'!AE128-'[1]Short Spot'!AE127)*100</f>
        <v>2.4619319148588836</v>
      </c>
      <c r="AF127" s="19">
        <f>('[1]Short Spot'!AF128-'[1]Short Spot'!AF127)*100</f>
        <v>2.5772796107209395</v>
      </c>
      <c r="AG127" s="19">
        <f>('[1]Short Spot'!AG128-'[1]Short Spot'!AG127)*100</f>
        <v>2.6894424046366439</v>
      </c>
      <c r="AH127" s="19">
        <f>('[1]Short Spot'!AH128-'[1]Short Spot'!AH127)*100</f>
        <v>2.7982139323563082</v>
      </c>
      <c r="AI127" s="19">
        <f>('[1]Short Spot'!AI128-'[1]Short Spot'!AI127)*100</f>
        <v>2.9034241044704423</v>
      </c>
      <c r="AJ127" s="19">
        <f>('[1]Short Spot'!AJ128-'[1]Short Spot'!AJ127)*100</f>
        <v>3.0049339242897766</v>
      </c>
      <c r="AK127" s="19">
        <f>('[1]Short Spot'!AK128-'[1]Short Spot'!AK127)*100</f>
        <v>3.1026314146832767</v>
      </c>
      <c r="AL127" s="19">
        <f>('[1]Short Spot'!AL128-'[1]Short Spot'!AL127)*100</f>
        <v>3.1964307049997309</v>
      </c>
      <c r="AM127" s="19">
        <f>('[1]Short Spot'!AM128-'[1]Short Spot'!AM127)*100</f>
        <v>3.2862713122190357</v>
      </c>
      <c r="AN127" s="19">
        <f>('[1]Short Spot'!AN128-'[1]Short Spot'!AN127)*100</f>
        <v>3.372115127280928</v>
      </c>
      <c r="AO127" s="19">
        <f>('[1]Short Spot'!AO128-'[1]Short Spot'!AO127)*100</f>
        <v>3.453943618329447</v>
      </c>
      <c r="AP127" s="19">
        <f>('[1]Short Spot'!AP128-'[1]Short Spot'!AP127)*100</f>
        <v>3.531755470762743</v>
      </c>
      <c r="AQ127" s="19">
        <f>('[1]Short Spot'!AQ128-'[1]Short Spot'!AQ127)*100</f>
        <v>3.6055664167609969</v>
      </c>
      <c r="AR127" s="19">
        <f>('[1]Short Spot'!AR128-'[1]Short Spot'!AR127)*100</f>
        <v>3.6754125924975511</v>
      </c>
      <c r="AS127" s="19">
        <f>('[1]Short Spot'!AS128-'[1]Short Spot'!AS127)*100</f>
        <v>3.7413498711167392</v>
      </c>
      <c r="AT127" s="19">
        <f>('[1]Short Spot'!AT128-'[1]Short Spot'!AT127)*100</f>
        <v>3.8034516886020775</v>
      </c>
      <c r="AU127" s="19">
        <f>('[1]Short Spot'!AU128-'[1]Short Spot'!AU127)*100</f>
        <v>3.8618071347716665</v>
      </c>
      <c r="AV127" s="19">
        <f>('[1]Short Spot'!AV128-'[1]Short Spot'!AV127)*100</f>
        <v>3.9165192879768718</v>
      </c>
      <c r="AW127" s="19">
        <f>('[1]Short Spot'!AW128-'[1]Short Spot'!AW127)*100</f>
        <v>3.9677037579216368</v>
      </c>
      <c r="AX127" s="19">
        <f>('[1]Short Spot'!AX128-'[1]Short Spot'!AX127)*100</f>
        <v>4.0154867593529708</v>
      </c>
      <c r="AY127" s="19">
        <f>('[1]Short Spot'!AY128-'[1]Short Spot'!AY127)*100</f>
        <v>4.0599991405462887</v>
      </c>
      <c r="AZ127" s="19">
        <f>('[1]Short Spot'!AZ128-'[1]Short Spot'!AZ127)*100</f>
        <v>4.1013737314527177</v>
      </c>
      <c r="BA127" s="19">
        <f>('[1]Short Spot'!BA128-'[1]Short Spot'!BA127)*100</f>
        <v>4.1397459589636476</v>
      </c>
      <c r="BB127" s="19">
        <f>('[1]Short Spot'!BB128-'[1]Short Spot'!BB127)*100</f>
        <v>4.1752536418989017</v>
      </c>
      <c r="BC127" s="19">
        <f>('[1]Short Spot'!BC128-'[1]Short Spot'!BC127)*100</f>
        <v>4.2080367695319865</v>
      </c>
      <c r="BD127" s="19">
        <f>('[1]Short Spot'!BD128-'[1]Short Spot'!BD127)*100</f>
        <v>4.2382373042759269</v>
      </c>
      <c r="BE127" s="19">
        <f>('[1]Short Spot'!BE128-'[1]Short Spot'!BE127)*100</f>
        <v>4.265999002372034</v>
      </c>
      <c r="BF127" s="19">
        <f>('[1]Short Spot'!BF128-'[1]Short Spot'!BF127)*100</f>
        <v>4.2914661439902524</v>
      </c>
      <c r="BG127" s="19">
        <f>('[1]Short Spot'!BG128-'[1]Short Spot'!BG127)*100</f>
        <v>4.3147780740752317</v>
      </c>
      <c r="BH127" s="19">
        <f>('[1]Short Spot'!BH128-'[1]Short Spot'!BH127)*100</f>
        <v>4.3360668289295745</v>
      </c>
      <c r="BI127" s="19">
        <f>('[1]Short Spot'!BI128-'[1]Short Spot'!BI127)*100</f>
        <v>4.3554576511034782</v>
      </c>
    </row>
    <row r="128" spans="1:61" x14ac:dyDescent="0.2">
      <c r="A128" s="18">
        <v>39267</v>
      </c>
      <c r="B128" s="19">
        <f>('[1]Short Spot'!B129-'[1]Short Spot'!B128)*100</f>
        <v>-2.0108741969742105</v>
      </c>
      <c r="C128" s="19">
        <f>('[1]Short Spot'!C129-'[1]Short Spot'!C128)*100</f>
        <v>-0.43354921245253308</v>
      </c>
      <c r="D128" s="19">
        <f>('[1]Short Spot'!D129-'[1]Short Spot'!D128)*100</f>
        <v>0.45464100472969449</v>
      </c>
      <c r="E128" s="19">
        <f>('[1]Short Spot'!E129-'[1]Short Spot'!E128)*100</f>
        <v>1.1087251851979119</v>
      </c>
      <c r="F128" s="19">
        <f>('[1]Short Spot'!F129-'[1]Short Spot'!F128)*100</f>
        <v>1.623014502768072</v>
      </c>
      <c r="G128" s="19">
        <f>('[1]Short Spot'!G129-'[1]Short Spot'!G128)*100</f>
        <v>2.0318724227165852</v>
      </c>
      <c r="H128" s="19">
        <f>('[1]Short Spot'!H129-'[1]Short Spot'!H128)*100</f>
        <v>2.3528410368145458</v>
      </c>
      <c r="I128" s="19">
        <f>('[1]Short Spot'!I129-'[1]Short Spot'!I128)*100</f>
        <v>2.5992764091572695</v>
      </c>
      <c r="J128" s="19">
        <f>('[1]Short Spot'!J129-'[1]Short Spot'!J128)*100</f>
        <v>2.7843850436891415</v>
      </c>
      <c r="K128" s="19">
        <f>('[1]Short Spot'!K129-'[1]Short Spot'!K128)*100</f>
        <v>2.9218326749844259</v>
      </c>
      <c r="L128" s="19">
        <f>('[1]Short Spot'!L129-'[1]Short Spot'!L128)*100</f>
        <v>3.0235697142194873</v>
      </c>
      <c r="M128" s="19">
        <f>('[1]Short Spot'!M129-'[1]Short Spot'!M128)*100</f>
        <v>3.0985329440450293</v>
      </c>
      <c r="N128" s="19">
        <f>('[1]Short Spot'!N129-'[1]Short Spot'!N128)*100</f>
        <v>3.1535908449299654</v>
      </c>
      <c r="O128" s="19">
        <f>('[1]Short Spot'!O129-'[1]Short Spot'!O128)*100</f>
        <v>3.1939369221576364</v>
      </c>
      <c r="P128" s="19">
        <f>('[1]Short Spot'!P129-'[1]Short Spot'!P128)*100</f>
        <v>3.2233017328597846</v>
      </c>
      <c r="Q128" s="19">
        <f>('[1]Short Spot'!Q129-'[1]Short Spot'!Q128)*100</f>
        <v>3.2443797983622957</v>
      </c>
      <c r="R128" s="19">
        <f>('[1]Short Spot'!R129-'[1]Short Spot'!R128)*100</f>
        <v>3.2591547256178188</v>
      </c>
      <c r="S128" s="19">
        <f>('[1]Short Spot'!S129-'[1]Short Spot'!S128)*100</f>
        <v>3.2690928891510929</v>
      </c>
      <c r="T128" s="19">
        <f>('[1]Short Spot'!T129-'[1]Short Spot'!T128)*100</f>
        <v>3.2752700001502433</v>
      </c>
      <c r="U128" s="19">
        <f>('[1]Short Spot'!U129-'[1]Short Spot'!U128)*100</f>
        <v>3.2784686505650917</v>
      </c>
      <c r="V128" s="19">
        <f>('[1]Short Spot'!V129-'[1]Short Spot'!V128)*100</f>
        <v>3.2792619194932371</v>
      </c>
      <c r="W128" s="19">
        <f>('[1]Short Spot'!W129-'[1]Short Spot'!W128)*100</f>
        <v>3.2781196226070897</v>
      </c>
      <c r="X128" s="19">
        <f>('[1]Short Spot'!X129-'[1]Short Spot'!X128)*100</f>
        <v>3.27542337189346</v>
      </c>
      <c r="Y128" s="19">
        <f>('[1]Short Spot'!Y129-'[1]Short Spot'!Y128)*100</f>
        <v>3.2714767504388398</v>
      </c>
      <c r="Z128" s="19">
        <f>('[1]Short Spot'!Z129-'[1]Short Spot'!Z128)*100</f>
        <v>3.2665209181931942</v>
      </c>
      <c r="AA128" s="19">
        <f>('[1]Short Spot'!AA129-'[1]Short Spot'!AA128)*100</f>
        <v>3.2607466164188637</v>
      </c>
      <c r="AB128" s="19">
        <f>('[1]Short Spot'!AB129-'[1]Short Spot'!AB128)*100</f>
        <v>3.2543036966151462</v>
      </c>
      <c r="AC128" s="19">
        <f>('[1]Short Spot'!AC129-'[1]Short Spot'!AC128)*100</f>
        <v>3.2473158368858002</v>
      </c>
      <c r="AD128" s="19">
        <f>('[1]Short Spot'!AD129-'[1]Short Spot'!AD128)*100</f>
        <v>3.2398972624120503</v>
      </c>
      <c r="AE128" s="19">
        <f>('[1]Short Spot'!AE129-'[1]Short Spot'!AE128)*100</f>
        <v>3.2321543922620322</v>
      </c>
      <c r="AF128" s="19">
        <f>('[1]Short Spot'!AF129-'[1]Short Spot'!AF128)*100</f>
        <v>3.224182179914159</v>
      </c>
      <c r="AG128" s="19">
        <f>('[1]Short Spot'!AG129-'[1]Short Spot'!AG128)*100</f>
        <v>3.2160613763267065</v>
      </c>
      <c r="AH128" s="19">
        <f>('[1]Short Spot'!AH129-'[1]Short Spot'!AH128)*100</f>
        <v>3.2078603143198769</v>
      </c>
      <c r="AI128" s="19">
        <f>('[1]Short Spot'!AI129-'[1]Short Spot'!AI128)*100</f>
        <v>3.1996367348017252</v>
      </c>
      <c r="AJ128" s="19">
        <f>('[1]Short Spot'!AJ129-'[1]Short Spot'!AJ128)*100</f>
        <v>3.1914392998966257</v>
      </c>
      <c r="AK128" s="19">
        <f>('[1]Short Spot'!AK129-'[1]Short Spot'!AK128)*100</f>
        <v>3.1833089414365467</v>
      </c>
      <c r="AL128" s="19">
        <f>('[1]Short Spot'!AL129-'[1]Short Spot'!AL128)*100</f>
        <v>3.1752803436010169</v>
      </c>
      <c r="AM128" s="19">
        <f>('[1]Short Spot'!AM129-'[1]Short Spot'!AM128)*100</f>
        <v>3.1673827675378519</v>
      </c>
      <c r="AN128" s="19">
        <f>('[1]Short Spot'!AN129-'[1]Short Spot'!AN128)*100</f>
        <v>3.1596406888034778</v>
      </c>
      <c r="AO128" s="19">
        <f>('[1]Short Spot'!AO129-'[1]Short Spot'!AO128)*100</f>
        <v>3.1520743955596231</v>
      </c>
      <c r="AP128" s="19">
        <f>('[1]Short Spot'!AP129-'[1]Short Spot'!AP128)*100</f>
        <v>3.1447004974053172</v>
      </c>
      <c r="AQ128" s="19">
        <f>('[1]Short Spot'!AQ129-'[1]Short Spot'!AQ128)*100</f>
        <v>3.137532418379152</v>
      </c>
      <c r="AR128" s="19">
        <f>('[1]Short Spot'!AR129-'[1]Short Spot'!AR128)*100</f>
        <v>3.1305810693966762</v>
      </c>
      <c r="AS128" s="19">
        <f>('[1]Short Spot'!AS129-'[1]Short Spot'!AS128)*100</f>
        <v>3.1238552613773507</v>
      </c>
      <c r="AT128" s="19">
        <f>('[1]Short Spot'!AT129-'[1]Short Spot'!AT128)*100</f>
        <v>3.1173619406268394</v>
      </c>
      <c r="AU128" s="19">
        <f>('[1]Short Spot'!AU129-'[1]Short Spot'!AU128)*100</f>
        <v>3.1111063915131965</v>
      </c>
      <c r="AV128" s="19">
        <f>('[1]Short Spot'!AV129-'[1]Short Spot'!AV128)*100</f>
        <v>3.1050924132681068</v>
      </c>
      <c r="AW128" s="19">
        <f>('[1]Short Spot'!AW129-'[1]Short Spot'!AW128)*100</f>
        <v>3.0993224745983206</v>
      </c>
      <c r="AX128" s="19">
        <f>('[1]Short Spot'!AX129-'[1]Short Spot'!AX128)*100</f>
        <v>3.0937977713746179</v>
      </c>
      <c r="AY128" s="19">
        <f>('[1]Short Spot'!AY129-'[1]Short Spot'!AY128)*100</f>
        <v>3.0885182237352815</v>
      </c>
      <c r="AZ128" s="19">
        <f>('[1]Short Spot'!AZ129-'[1]Short Spot'!AZ128)*100</f>
        <v>3.0834827932081588</v>
      </c>
      <c r="BA128" s="19">
        <f>('[1]Short Spot'!BA129-'[1]Short Spot'!BA128)*100</f>
        <v>3.0786896137311892</v>
      </c>
      <c r="BB128" s="19">
        <f>('[1]Short Spot'!BB129-'[1]Short Spot'!BB128)*100</f>
        <v>3.0741360697273734</v>
      </c>
      <c r="BC128" s="19">
        <f>('[1]Short Spot'!BC129-'[1]Short Spot'!BC128)*100</f>
        <v>3.0698188655041037</v>
      </c>
      <c r="BD128" s="19">
        <f>('[1]Short Spot'!BD129-'[1]Short Spot'!BD128)*100</f>
        <v>3.0657340870827277</v>
      </c>
      <c r="BE128" s="19">
        <f>('[1]Short Spot'!BE129-'[1]Short Spot'!BE128)*100</f>
        <v>3.061877256090284</v>
      </c>
      <c r="BF128" s="19">
        <f>('[1]Short Spot'!BF129-'[1]Short Spot'!BF128)*100</f>
        <v>3.0582432875100096</v>
      </c>
      <c r="BG128" s="19">
        <f>('[1]Short Spot'!BG129-'[1]Short Spot'!BG128)*100</f>
        <v>3.0548264432372463</v>
      </c>
      <c r="BH128" s="19">
        <f>('[1]Short Spot'!BH129-'[1]Short Spot'!BH128)*100</f>
        <v>3.0516204786368739</v>
      </c>
      <c r="BI128" s="19">
        <f>('[1]Short Spot'!BI129-'[1]Short Spot'!BI128)*100</f>
        <v>3.0486186952683347</v>
      </c>
    </row>
    <row r="129" spans="1:61" x14ac:dyDescent="0.2">
      <c r="A129" s="18">
        <v>39268</v>
      </c>
      <c r="B129" s="19">
        <f>('[1]Short Spot'!B130-'[1]Short Spot'!B129)*100</f>
        <v>-1.4301419073259325E-2</v>
      </c>
      <c r="C129" s="19">
        <f>('[1]Short Spot'!C130-'[1]Short Spot'!C129)*100</f>
        <v>0.80211852256564242</v>
      </c>
      <c r="D129" s="19">
        <f>('[1]Short Spot'!D130-'[1]Short Spot'!D129)*100</f>
        <v>1.0139518254645097</v>
      </c>
      <c r="E129" s="19">
        <f>('[1]Short Spot'!E130-'[1]Short Spot'!E129)*100</f>
        <v>1.1204022998655638</v>
      </c>
      <c r="F129" s="19">
        <f>('[1]Short Spot'!F130-'[1]Short Spot'!F129)*100</f>
        <v>1.2095058905636336</v>
      </c>
      <c r="G129" s="19">
        <f>('[1]Short Spot'!G130-'[1]Short Spot'!G129)*100</f>
        <v>1.3016604416700162</v>
      </c>
      <c r="H129" s="19">
        <f>('[1]Short Spot'!H130-'[1]Short Spot'!H129)*100</f>
        <v>1.3940267394385586</v>
      </c>
      <c r="I129" s="19">
        <f>('[1]Short Spot'!I130-'[1]Short Spot'!I129)*100</f>
        <v>1.4797632968424068</v>
      </c>
      <c r="J129" s="19">
        <f>('[1]Short Spot'!J130-'[1]Short Spot'!J129)*100</f>
        <v>1.5529071630764335</v>
      </c>
      <c r="K129" s="19">
        <f>('[1]Short Spot'!K130-'[1]Short Spot'!K129)*100</f>
        <v>1.6116646262865686</v>
      </c>
      <c r="L129" s="19">
        <f>('[1]Short Spot'!L130-'[1]Short Spot'!L129)*100</f>
        <v>1.6573441230849362</v>
      </c>
      <c r="M129" s="19">
        <f>('[1]Short Spot'!M130-'[1]Short Spot'!M129)*100</f>
        <v>1.6912663535257444</v>
      </c>
      <c r="N129" s="19">
        <f>('[1]Short Spot'!N130-'[1]Short Spot'!N129)*100</f>
        <v>1.7148775189222754</v>
      </c>
      <c r="O129" s="19">
        <f>('[1]Short Spot'!O130-'[1]Short Spot'!O129)*100</f>
        <v>1.7302858102988594</v>
      </c>
      <c r="P129" s="19">
        <f>('[1]Short Spot'!P130-'[1]Short Spot'!P129)*100</f>
        <v>1.7394533655640032</v>
      </c>
      <c r="Q129" s="19">
        <f>('[1]Short Spot'!Q130-'[1]Short Spot'!Q129)*100</f>
        <v>1.7440196211213177</v>
      </c>
      <c r="R129" s="19">
        <f>('[1]Short Spot'!R130-'[1]Short Spot'!R129)*100</f>
        <v>1.7453412154638137</v>
      </c>
      <c r="S129" s="19">
        <f>('[1]Short Spot'!S130-'[1]Short Spot'!S129)*100</f>
        <v>1.7444429355105484</v>
      </c>
      <c r="T129" s="19">
        <f>('[1]Short Spot'!T130-'[1]Short Spot'!T129)*100</f>
        <v>1.7420753095207075</v>
      </c>
      <c r="U129" s="19">
        <f>('[1]Short Spot'!U130-'[1]Short Spot'!U129)*100</f>
        <v>1.7387830557109574</v>
      </c>
      <c r="V129" s="19">
        <f>('[1]Short Spot'!V130-'[1]Short Spot'!V129)*100</f>
        <v>1.7349679166167142</v>
      </c>
      <c r="W129" s="19">
        <f>('[1]Short Spot'!W130-'[1]Short Spot'!W129)*100</f>
        <v>1.7309636033803422</v>
      </c>
      <c r="X129" s="19">
        <f>('[1]Short Spot'!X130-'[1]Short Spot'!X129)*100</f>
        <v>1.7270258691643114</v>
      </c>
      <c r="Y129" s="19">
        <f>('[1]Short Spot'!Y130-'[1]Short Spot'!Y129)*100</f>
        <v>1.7233398861009164</v>
      </c>
      <c r="Z129" s="19">
        <f>('[1]Short Spot'!Z130-'[1]Short Spot'!Z129)*100</f>
        <v>1.7200343614990565</v>
      </c>
      <c r="AA129" s="19">
        <f>('[1]Short Spot'!AA130-'[1]Short Spot'!AA129)*100</f>
        <v>1.7171923964640179</v>
      </c>
      <c r="AB129" s="19">
        <f>('[1]Short Spot'!AB130-'[1]Short Spot'!AB129)*100</f>
        <v>1.7148601842175815</v>
      </c>
      <c r="AC129" s="19">
        <f>('[1]Short Spot'!AC130-'[1]Short Spot'!AC129)*100</f>
        <v>1.7130617180571406</v>
      </c>
      <c r="AD129" s="19">
        <f>('[1]Short Spot'!AD130-'[1]Short Spot'!AD129)*100</f>
        <v>1.711814383552035</v>
      </c>
      <c r="AE129" s="19">
        <f>('[1]Short Spot'!AE130-'[1]Short Spot'!AE129)*100</f>
        <v>1.7111298510332773</v>
      </c>
      <c r="AF129" s="19">
        <f>('[1]Short Spot'!AF130-'[1]Short Spot'!AF129)*100</f>
        <v>1.7110134686227241</v>
      </c>
      <c r="AG129" s="19">
        <f>('[1]Short Spot'!AG130-'[1]Short Spot'!AG129)*100</f>
        <v>1.7114647905973612</v>
      </c>
      <c r="AH129" s="19">
        <f>('[1]Short Spot'!AH130-'[1]Short Spot'!AH129)*100</f>
        <v>1.712478539314688</v>
      </c>
      <c r="AI129" s="19">
        <f>('[1]Short Spot'!AI130-'[1]Short Spot'!AI129)*100</f>
        <v>1.7140453157939994</v>
      </c>
      <c r="AJ129" s="19">
        <f>('[1]Short Spot'!AJ130-'[1]Short Spot'!AJ129)*100</f>
        <v>1.7161521884798248</v>
      </c>
      <c r="AK129" s="19">
        <f>('[1]Short Spot'!AK130-'[1]Short Spot'!AK129)*100</f>
        <v>1.7187834125775403</v>
      </c>
      <c r="AL129" s="19">
        <f>('[1]Short Spot'!AL130-'[1]Short Spot'!AL129)*100</f>
        <v>1.7219225702868712</v>
      </c>
      <c r="AM129" s="19">
        <f>('[1]Short Spot'!AM130-'[1]Short Spot'!AM129)*100</f>
        <v>1.725553873222907</v>
      </c>
      <c r="AN129" s="19">
        <f>('[1]Short Spot'!AN130-'[1]Short Spot'!AN129)*100</f>
        <v>1.7296621303908744</v>
      </c>
      <c r="AO129" s="19">
        <f>('[1]Short Spot'!AO130-'[1]Short Spot'!AO129)*100</f>
        <v>1.7342326735132474</v>
      </c>
      <c r="AP129" s="19">
        <f>('[1]Short Spot'!AP130-'[1]Short Spot'!AP129)*100</f>
        <v>1.7392512879940369</v>
      </c>
      <c r="AQ129" s="19">
        <f>('[1]Short Spot'!AQ130-'[1]Short Spot'!AQ129)*100</f>
        <v>1.7447040760614207</v>
      </c>
      <c r="AR129" s="19">
        <f>('[1]Short Spot'!AR130-'[1]Short Spot'!AR129)*100</f>
        <v>1.750577387055241</v>
      </c>
      <c r="AS129" s="19">
        <f>('[1]Short Spot'!AS130-'[1]Short Spot'!AS129)*100</f>
        <v>1.756857822614144</v>
      </c>
      <c r="AT129" s="19">
        <f>('[1]Short Spot'!AT130-'[1]Short Spot'!AT129)*100</f>
        <v>1.7635322096470674</v>
      </c>
      <c r="AU129" s="19">
        <f>('[1]Short Spot'!AU130-'[1]Short Spot'!AU129)*100</f>
        <v>1.7705875758465162</v>
      </c>
      <c r="AV129" s="19">
        <f>('[1]Short Spot'!AV130-'[1]Short Spot'!AV129)*100</f>
        <v>1.7780111283292932</v>
      </c>
      <c r="AW129" s="19">
        <f>('[1]Short Spot'!AW130-'[1]Short Spot'!AW129)*100</f>
        <v>1.7857902347301113</v>
      </c>
      <c r="AX129" s="19">
        <f>('[1]Short Spot'!AX130-'[1]Short Spot'!AX129)*100</f>
        <v>1.7939122520373552</v>
      </c>
      <c r="AY129" s="19">
        <f>('[1]Short Spot'!AY130-'[1]Short Spot'!AY129)*100</f>
        <v>1.802363925912509</v>
      </c>
      <c r="AZ129" s="19">
        <f>('[1]Short Spot'!AZ130-'[1]Short Spot'!AZ129)*100</f>
        <v>1.8111313123351458</v>
      </c>
      <c r="BA129" s="19">
        <f>('[1]Short Spot'!BA130-'[1]Short Spot'!BA129)*100</f>
        <v>1.8201998606818037</v>
      </c>
      <c r="BB129" s="19">
        <f>('[1]Short Spot'!BB130-'[1]Short Spot'!BB129)*100</f>
        <v>1.8295544709518552</v>
      </c>
      <c r="BC129" s="19">
        <f>('[1]Short Spot'!BC130-'[1]Short Spot'!BC129)*100</f>
        <v>1.8391795446357939</v>
      </c>
      <c r="BD129" s="19">
        <f>('[1]Short Spot'!BD130-'[1]Short Spot'!BD129)*100</f>
        <v>1.8490590300351606</v>
      </c>
      <c r="BE129" s="19">
        <f>('[1]Short Spot'!BE130-'[1]Short Spot'!BE129)*100</f>
        <v>1.8591764607927885</v>
      </c>
      <c r="BF129" s="19">
        <f>('[1]Short Spot'!BF130-'[1]Short Spot'!BF129)*100</f>
        <v>1.8695148664202854</v>
      </c>
      <c r="BG129" s="19">
        <f>('[1]Short Spot'!BG130-'[1]Short Spot'!BG129)*100</f>
        <v>1.880056613213732</v>
      </c>
      <c r="BH129" s="19">
        <f>('[1]Short Spot'!BH130-'[1]Short Spot'!BH129)*100</f>
        <v>1.8907835039289722</v>
      </c>
      <c r="BI129" s="19">
        <f>('[1]Short Spot'!BI130-'[1]Short Spot'!BI129)*100</f>
        <v>1.9016768327663414</v>
      </c>
    </row>
    <row r="130" spans="1:61" x14ac:dyDescent="0.2">
      <c r="A130" s="18">
        <v>39269</v>
      </c>
      <c r="B130" s="19">
        <f>('[1]Short Spot'!B131-'[1]Short Spot'!B130)*100</f>
        <v>2.6025466975190703</v>
      </c>
      <c r="C130" s="19">
        <f>('[1]Short Spot'!C131-'[1]Short Spot'!C130)*100</f>
        <v>1.4138603629873181</v>
      </c>
      <c r="D130" s="19">
        <f>('[1]Short Spot'!D131-'[1]Short Spot'!D130)*100</f>
        <v>1.2091249580576502</v>
      </c>
      <c r="E130" s="19">
        <f>('[1]Short Spot'!E131-'[1]Short Spot'!E130)*100</f>
        <v>1.2026882814358153</v>
      </c>
      <c r="F130" s="19">
        <f>('[1]Short Spot'!F131-'[1]Short Spot'!F130)*100</f>
        <v>1.2340531015590628</v>
      </c>
      <c r="G130" s="19">
        <f>('[1]Short Spot'!G131-'[1]Short Spot'!G130)*100</f>
        <v>1.2774806272201289</v>
      </c>
      <c r="H130" s="19">
        <f>('[1]Short Spot'!H131-'[1]Short Spot'!H130)*100</f>
        <v>1.3356401328906919</v>
      </c>
      <c r="I130" s="19">
        <f>('[1]Short Spot'!I131-'[1]Short Spot'!I130)*100</f>
        <v>1.4064676250443497</v>
      </c>
      <c r="J130" s="19">
        <f>('[1]Short Spot'!J131-'[1]Short Spot'!J130)*100</f>
        <v>1.4835330072496156</v>
      </c>
      <c r="K130" s="19">
        <f>('[1]Short Spot'!K131-'[1]Short Spot'!K130)*100</f>
        <v>1.5626151756241491</v>
      </c>
      <c r="L130" s="19">
        <f>('[1]Short Spot'!L131-'[1]Short Spot'!L130)*100</f>
        <v>1.6415141727535776</v>
      </c>
      <c r="M130" s="19">
        <f>('[1]Short Spot'!M131-'[1]Short Spot'!M130)*100</f>
        <v>1.7187487196268947</v>
      </c>
      <c r="N130" s="19">
        <f>('[1]Short Spot'!N131-'[1]Short Spot'!N130)*100</f>
        <v>1.7931119259888106</v>
      </c>
      <c r="O130" s="19">
        <f>('[1]Short Spot'!O131-'[1]Short Spot'!O130)*100</f>
        <v>1.8634143692732863</v>
      </c>
      <c r="P130" s="19">
        <f>('[1]Short Spot'!P131-'[1]Short Spot'!P130)*100</f>
        <v>1.9289131621554212</v>
      </c>
      <c r="Q130" s="19">
        <f>('[1]Short Spot'!Q131-'[1]Short Spot'!Q130)*100</f>
        <v>1.9893083641107978</v>
      </c>
      <c r="R130" s="19">
        <f>('[1]Short Spot'!R131-'[1]Short Spot'!R130)*100</f>
        <v>2.0446151143557856</v>
      </c>
      <c r="S130" s="19">
        <f>('[1]Short Spot'!S131-'[1]Short Spot'!S130)*100</f>
        <v>2.0949958792778389</v>
      </c>
      <c r="T130" s="19">
        <f>('[1]Short Spot'!T131-'[1]Short Spot'!T130)*100</f>
        <v>2.1406946737608123</v>
      </c>
      <c r="U130" s="19">
        <f>('[1]Short Spot'!U131-'[1]Short Spot'!U130)*100</f>
        <v>2.18201661662345</v>
      </c>
      <c r="V130" s="19">
        <f>('[1]Short Spot'!V131-'[1]Short Spot'!V130)*100</f>
        <v>2.2193527538442837</v>
      </c>
      <c r="W130" s="19">
        <f>('[1]Short Spot'!W131-'[1]Short Spot'!W130)*100</f>
        <v>2.2532003582481863</v>
      </c>
      <c r="X130" s="19">
        <f>('[1]Short Spot'!X131-'[1]Short Spot'!X130)*100</f>
        <v>2.2840000682095685</v>
      </c>
      <c r="Y130" s="19">
        <f>('[1]Short Spot'!Y131-'[1]Short Spot'!Y130)*100</f>
        <v>2.3121222330162894</v>
      </c>
      <c r="Z130" s="19">
        <f>('[1]Short Spot'!Z131-'[1]Short Spot'!Z130)*100</f>
        <v>2.3378809706864345</v>
      </c>
      <c r="AA130" s="19">
        <f>('[1]Short Spot'!AA131-'[1]Short Spot'!AA130)*100</f>
        <v>2.361544981674335</v>
      </c>
      <c r="AB130" s="19">
        <f>('[1]Short Spot'!AB131-'[1]Short Spot'!AB130)*100</f>
        <v>2.3833468094159649</v>
      </c>
      <c r="AC130" s="19">
        <f>('[1]Short Spot'!AC131-'[1]Short Spot'!AC130)*100</f>
        <v>2.4035014670793053</v>
      </c>
      <c r="AD130" s="19">
        <f>('[1]Short Spot'!AD131-'[1]Short Spot'!AD130)*100</f>
        <v>2.4222046147379217</v>
      </c>
      <c r="AE130" s="19">
        <f>('[1]Short Spot'!AE131-'[1]Short Spot'!AE130)*100</f>
        <v>2.4396240513168799</v>
      </c>
      <c r="AF130" s="19">
        <f>('[1]Short Spot'!AF131-'[1]Short Spot'!AF130)*100</f>
        <v>2.4559034474862962</v>
      </c>
      <c r="AG130" s="19">
        <f>('[1]Short Spot'!AG131-'[1]Short Spot'!AG130)*100</f>
        <v>2.4711685488560065</v>
      </c>
      <c r="AH130" s="19">
        <f>('[1]Short Spot'!AH131-'[1]Short Spot'!AH130)*100</f>
        <v>2.4855303974044674</v>
      </c>
      <c r="AI130" s="19">
        <f>('[1]Short Spot'!AI131-'[1]Short Spot'!AI130)*100</f>
        <v>2.4990874937772745</v>
      </c>
      <c r="AJ130" s="19">
        <f>('[1]Short Spot'!AJ131-'[1]Short Spot'!AJ130)*100</f>
        <v>2.5119275890213899</v>
      </c>
      <c r="AK130" s="19">
        <f>('[1]Short Spot'!AK131-'[1]Short Spot'!AK130)*100</f>
        <v>2.5241293800745801</v>
      </c>
      <c r="AL130" s="19">
        <f>('[1]Short Spot'!AL131-'[1]Short Spot'!AL130)*100</f>
        <v>2.5357633521360334</v>
      </c>
      <c r="AM130" s="19">
        <f>('[1]Short Spot'!AM131-'[1]Short Spot'!AM130)*100</f>
        <v>2.5468911060640309</v>
      </c>
      <c r="AN130" s="19">
        <f>('[1]Short Spot'!AN131-'[1]Short Spot'!AN130)*100</f>
        <v>2.5575662219929463</v>
      </c>
      <c r="AO130" s="19">
        <f>('[1]Short Spot'!AO131-'[1]Short Spot'!AO130)*100</f>
        <v>2.567835261923257</v>
      </c>
      <c r="AP130" s="19">
        <f>('[1]Short Spot'!AP131-'[1]Short Spot'!AP130)*100</f>
        <v>2.5777386223853505</v>
      </c>
      <c r="AQ130" s="19">
        <f>('[1]Short Spot'!AQ131-'[1]Short Spot'!AQ130)*100</f>
        <v>2.5873115048293371</v>
      </c>
      <c r="AR130" s="19">
        <f>('[1]Short Spot'!AR131-'[1]Short Spot'!AR130)*100</f>
        <v>2.5965853565263153</v>
      </c>
      <c r="AS130" s="19">
        <f>('[1]Short Spot'!AS131-'[1]Short Spot'!AS130)*100</f>
        <v>2.6055885625293485</v>
      </c>
      <c r="AT130" s="19">
        <f>('[1]Short Spot'!AT131-'[1]Short Spot'!AT130)*100</f>
        <v>2.6143467881277083</v>
      </c>
      <c r="AU130" s="19">
        <f>('[1]Short Spot'!AU131-'[1]Short Spot'!AU130)*100</f>
        <v>2.6228832744731534</v>
      </c>
      <c r="AV130" s="19">
        <f>('[1]Short Spot'!AV131-'[1]Short Spot'!AV130)*100</f>
        <v>2.6312190964674187</v>
      </c>
      <c r="AW130" s="19">
        <f>('[1]Short Spot'!AW131-'[1]Short Spot'!AW130)*100</f>
        <v>2.6393733863466551</v>
      </c>
      <c r="AX130" s="19">
        <f>('[1]Short Spot'!AX131-'[1]Short Spot'!AX130)*100</f>
        <v>2.6473631345318438</v>
      </c>
      <c r="AY130" s="19">
        <f>('[1]Short Spot'!AY131-'[1]Short Spot'!AY130)*100</f>
        <v>2.655202659764111</v>
      </c>
      <c r="AZ130" s="19">
        <f>('[1]Short Spot'!AZ131-'[1]Short Spot'!AZ130)*100</f>
        <v>2.662904257296983</v>
      </c>
      <c r="BA130" s="19">
        <f>('[1]Short Spot'!BA131-'[1]Short Spot'!BA130)*100</f>
        <v>2.6704784730063658</v>
      </c>
      <c r="BB130" s="19">
        <f>('[1]Short Spot'!BB131-'[1]Short Spot'!BB130)*100</f>
        <v>2.6779342684268848</v>
      </c>
      <c r="BC130" s="19">
        <f>('[1]Short Spot'!BC131-'[1]Short Spot'!BC130)*100</f>
        <v>2.6852791674502718</v>
      </c>
      <c r="BD130" s="19">
        <f>('[1]Short Spot'!BD131-'[1]Short Spot'!BD130)*100</f>
        <v>2.6925193870187769</v>
      </c>
      <c r="BE130" s="19">
        <f>('[1]Short Spot'!BE131-'[1]Short Spot'!BE130)*100</f>
        <v>2.6996599447917546</v>
      </c>
      <c r="BF130" s="19">
        <f>('[1]Short Spot'!BF131-'[1]Short Spot'!BF130)*100</f>
        <v>2.7067044642548943</v>
      </c>
      <c r="BG130" s="19">
        <f>('[1]Short Spot'!BG131-'[1]Short Spot'!BG130)*100</f>
        <v>2.7136552075009313</v>
      </c>
      <c r="BH130" s="19">
        <f>('[1]Short Spot'!BH131-'[1]Short Spot'!BH130)*100</f>
        <v>2.7205135250638612</v>
      </c>
      <c r="BI130" s="19">
        <f>('[1]Short Spot'!BI131-'[1]Short Spot'!BI130)*100</f>
        <v>2.7272799541099957</v>
      </c>
    </row>
    <row r="131" spans="1:61" x14ac:dyDescent="0.2">
      <c r="A131" s="18">
        <v>39272</v>
      </c>
      <c r="B131" s="19">
        <f>('[1]Short Spot'!B132-'[1]Short Spot'!B131)*100</f>
        <v>0.53448966094400419</v>
      </c>
      <c r="C131" s="19">
        <f>('[1]Short Spot'!C132-'[1]Short Spot'!C131)*100</f>
        <v>0.31527399364712494</v>
      </c>
      <c r="D131" s="19">
        <f>('[1]Short Spot'!D132-'[1]Short Spot'!D131)*100</f>
        <v>-0.17294513820633739</v>
      </c>
      <c r="E131" s="19">
        <f>('[1]Short Spot'!E132-'[1]Short Spot'!E131)*100</f>
        <v>-0.52264189156145946</v>
      </c>
      <c r="F131" s="19">
        <f>('[1]Short Spot'!F132-'[1]Short Spot'!F131)*100</f>
        <v>-0.66559250956705895</v>
      </c>
      <c r="G131" s="19">
        <f>('[1]Short Spot'!G132-'[1]Short Spot'!G131)*100</f>
        <v>-0.67018272893140107</v>
      </c>
      <c r="H131" s="19">
        <f>('[1]Short Spot'!H132-'[1]Short Spot'!H131)*100</f>
        <v>-0.61953426508774001</v>
      </c>
      <c r="I131" s="19">
        <f>('[1]Short Spot'!I132-'[1]Short Spot'!I131)*100</f>
        <v>-0.5659239626267798</v>
      </c>
      <c r="J131" s="19">
        <f>('[1]Short Spot'!J132-'[1]Short Spot'!J131)*100</f>
        <v>-0.53025670747546272</v>
      </c>
      <c r="K131" s="19">
        <f>('[1]Short Spot'!K132-'[1]Short Spot'!K131)*100</f>
        <v>-0.51578713363884532</v>
      </c>
      <c r="L131" s="19">
        <f>('[1]Short Spot'!L132-'[1]Short Spot'!L131)*100</f>
        <v>-0.51905867946864248</v>
      </c>
      <c r="M131" s="19">
        <f>('[1]Short Spot'!M132-'[1]Short Spot'!M131)*100</f>
        <v>-0.53539146279515393</v>
      </c>
      <c r="N131" s="19">
        <f>('[1]Short Spot'!N132-'[1]Short Spot'!N131)*100</f>
        <v>-0.55982954537805441</v>
      </c>
      <c r="O131" s="19">
        <f>('[1]Short Spot'!O132-'[1]Short Spot'!O131)*100</f>
        <v>-0.58842851524083528</v>
      </c>
      <c r="P131" s="19">
        <f>('[1]Short Spot'!P132-'[1]Short Spot'!P131)*100</f>
        <v>-0.6185345264428932</v>
      </c>
      <c r="Q131" s="19">
        <f>('[1]Short Spot'!Q132-'[1]Short Spot'!Q131)*100</f>
        <v>-0.64835960979046092</v>
      </c>
      <c r="R131" s="19">
        <f>('[1]Short Spot'!R132-'[1]Short Spot'!R131)*100</f>
        <v>-0.67670958840801987</v>
      </c>
      <c r="S131" s="19">
        <f>('[1]Short Spot'!S132-'[1]Short Spot'!S131)*100</f>
        <v>-0.70282218862436352</v>
      </c>
      <c r="T131" s="19">
        <f>('[1]Short Spot'!T132-'[1]Short Spot'!T131)*100</f>
        <v>-0.72625763117173392</v>
      </c>
      <c r="U131" s="19">
        <f>('[1]Short Spot'!U132-'[1]Short Spot'!U131)*100</f>
        <v>-0.74681796401243616</v>
      </c>
      <c r="V131" s="19">
        <f>('[1]Short Spot'!V132-'[1]Short Spot'!V131)*100</f>
        <v>-0.7644646069485006</v>
      </c>
      <c r="W131" s="19">
        <f>('[1]Short Spot'!W132-'[1]Short Spot'!W131)*100</f>
        <v>-0.77920854460975519</v>
      </c>
      <c r="X131" s="19">
        <f>('[1]Short Spot'!X132-'[1]Short Spot'!X131)*100</f>
        <v>-0.79110178251493579</v>
      </c>
      <c r="Y131" s="19">
        <f>('[1]Short Spot'!Y132-'[1]Short Spot'!Y131)*100</f>
        <v>-0.80023314157218195</v>
      </c>
      <c r="Z131" s="19">
        <f>('[1]Short Spot'!Z132-'[1]Short Spot'!Z131)*100</f>
        <v>-0.80672089500080091</v>
      </c>
      <c r="AA131" s="19">
        <f>('[1]Short Spot'!AA132-'[1]Short Spot'!AA131)*100</f>
        <v>-0.81070710442565641</v>
      </c>
      <c r="AB131" s="19">
        <f>('[1]Short Spot'!AB132-'[1]Short Spot'!AB131)*100</f>
        <v>-0.81235263092640508</v>
      </c>
      <c r="AC131" s="19">
        <f>('[1]Short Spot'!AC132-'[1]Short Spot'!AC131)*100</f>
        <v>-0.81182263705272817</v>
      </c>
      <c r="AD131" s="19">
        <f>('[1]Short Spot'!AD132-'[1]Short Spot'!AD131)*100</f>
        <v>-0.80927372288810417</v>
      </c>
      <c r="AE131" s="19">
        <f>('[1]Short Spot'!AE132-'[1]Short Spot'!AE131)*100</f>
        <v>-0.80485540161951974</v>
      </c>
      <c r="AF131" s="19">
        <f>('[1]Short Spot'!AF132-'[1]Short Spot'!AF131)*100</f>
        <v>-0.7987091073220931</v>
      </c>
      <c r="AG131" s="19">
        <f>('[1]Short Spot'!AG132-'[1]Short Spot'!AG131)*100</f>
        <v>-0.79096698189271564</v>
      </c>
      <c r="AH131" s="19">
        <f>('[1]Short Spot'!AH132-'[1]Short Spot'!AH131)*100</f>
        <v>-0.78175304841767712</v>
      </c>
      <c r="AI131" s="19">
        <f>('[1]Short Spot'!AI132-'[1]Short Spot'!AI131)*100</f>
        <v>-0.77118440511583231</v>
      </c>
      <c r="AJ131" s="19">
        <f>('[1]Short Spot'!AJ132-'[1]Short Spot'!AJ131)*100</f>
        <v>-0.75937221433806101</v>
      </c>
      <c r="AK131" s="19">
        <f>('[1]Short Spot'!AK132-'[1]Short Spot'!AK131)*100</f>
        <v>-0.74642216600775413</v>
      </c>
      <c r="AL131" s="19">
        <f>('[1]Short Spot'!AL132-'[1]Short Spot'!AL131)*100</f>
        <v>-0.73243331671628553</v>
      </c>
      <c r="AM131" s="19">
        <f>('[1]Short Spot'!AM132-'[1]Short Spot'!AM131)*100</f>
        <v>-0.71749802382301553</v>
      </c>
      <c r="AN131" s="19">
        <f>('[1]Short Spot'!AN132-'[1]Short Spot'!AN131)*100</f>
        <v>-0.70170278795540497</v>
      </c>
      <c r="AO131" s="19">
        <f>('[1]Short Spot'!AO132-'[1]Short Spot'!AO131)*100</f>
        <v>-0.6851289851010911</v>
      </c>
      <c r="AP131" s="19">
        <f>('[1]Short Spot'!AP132-'[1]Short Spot'!AP131)*100</f>
        <v>-0.66785346833286852</v>
      </c>
      <c r="AQ131" s="19">
        <f>('[1]Short Spot'!AQ132-'[1]Short Spot'!AQ131)*100</f>
        <v>-0.64994848510471215</v>
      </c>
      <c r="AR131" s="19">
        <f>('[1]Short Spot'!AR132-'[1]Short Spot'!AR131)*100</f>
        <v>-0.63148109946258302</v>
      </c>
      <c r="AS131" s="19">
        <f>('[1]Short Spot'!AS132-'[1]Short Spot'!AS131)*100</f>
        <v>-0.61251357121046013</v>
      </c>
      <c r="AT131" s="19">
        <f>('[1]Short Spot'!AT132-'[1]Short Spot'!AT131)*100</f>
        <v>-0.59310388925926105</v>
      </c>
      <c r="AU131" s="19">
        <f>('[1]Short Spot'!AU132-'[1]Short Spot'!AU131)*100</f>
        <v>-0.57330623585398754</v>
      </c>
      <c r="AV131" s="19">
        <f>('[1]Short Spot'!AV132-'[1]Short Spot'!AV131)*100</f>
        <v>-0.55317139153849837</v>
      </c>
      <c r="AW131" s="19">
        <f>('[1]Short Spot'!AW132-'[1]Short Spot'!AW131)*100</f>
        <v>-0.53274709078081628</v>
      </c>
      <c r="AX131" s="19">
        <f>('[1]Short Spot'!AX132-'[1]Short Spot'!AX131)*100</f>
        <v>-0.51207840219076317</v>
      </c>
      <c r="AY131" s="19">
        <f>('[1]Short Spot'!AY132-'[1]Short Spot'!AY131)*100</f>
        <v>-0.49120779618219146</v>
      </c>
      <c r="AZ131" s="19">
        <f>('[1]Short Spot'!AZ132-'[1]Short Spot'!AZ131)*100</f>
        <v>-0.47017503666051397</v>
      </c>
      <c r="BA131" s="19">
        <f>('[1]Short Spot'!BA132-'[1]Short Spot'!BA131)*100</f>
        <v>-0.44901741226066605</v>
      </c>
      <c r="BB131" s="19">
        <f>('[1]Short Spot'!BB132-'[1]Short Spot'!BB131)*100</f>
        <v>-0.42776996986289006</v>
      </c>
      <c r="BC131" s="19">
        <f>('[1]Short Spot'!BC132-'[1]Short Spot'!BC131)*100</f>
        <v>-0.40646572216243015</v>
      </c>
      <c r="BD131" s="19">
        <f>('[1]Short Spot'!BD132-'[1]Short Spot'!BD131)*100</f>
        <v>-0.38513583259591755</v>
      </c>
      <c r="BE131" s="19">
        <f>('[1]Short Spot'!BE132-'[1]Short Spot'!BE131)*100</f>
        <v>-0.3638097840030774</v>
      </c>
      <c r="BF131" s="19">
        <f>('[1]Short Spot'!BF132-'[1]Short Spot'!BF131)*100</f>
        <v>-0.34251555662310196</v>
      </c>
      <c r="BG131" s="19">
        <f>('[1]Short Spot'!BG132-'[1]Short Spot'!BG131)*100</f>
        <v>-0.32127953455516334</v>
      </c>
      <c r="BH131" s="19">
        <f>('[1]Short Spot'!BH132-'[1]Short Spot'!BH131)*100</f>
        <v>-0.30012645971746466</v>
      </c>
      <c r="BI131" s="19">
        <f>('[1]Short Spot'!BI132-'[1]Short Spot'!BI131)*100</f>
        <v>-0.27907956254340505</v>
      </c>
    </row>
    <row r="132" spans="1:61" x14ac:dyDescent="0.2">
      <c r="A132" s="18">
        <v>39273</v>
      </c>
      <c r="B132" s="19">
        <f>('[1]Short Spot'!B133-'[1]Short Spot'!B132)*100</f>
        <v>-0.12064182566149384</v>
      </c>
      <c r="C132" s="19">
        <f>('[1]Short Spot'!C133-'[1]Short Spot'!C132)*100</f>
        <v>-0.72250322694138447</v>
      </c>
      <c r="D132" s="19">
        <f>('[1]Short Spot'!D133-'[1]Short Spot'!D132)*100</f>
        <v>-1.2535300982387199</v>
      </c>
      <c r="E132" s="19">
        <f>('[1]Short Spot'!E133-'[1]Short Spot'!E132)*100</f>
        <v>-1.7334018797204642</v>
      </c>
      <c r="F132" s="19">
        <f>('[1]Short Spot'!F133-'[1]Short Spot'!F132)*100</f>
        <v>-2.1485956919566007</v>
      </c>
      <c r="G132" s="19">
        <f>('[1]Short Spot'!G133-'[1]Short Spot'!G132)*100</f>
        <v>-2.5094448642214218</v>
      </c>
      <c r="H132" s="19">
        <f>('[1]Short Spot'!H133-'[1]Short Spot'!H132)*100</f>
        <v>-2.8319702380107614</v>
      </c>
      <c r="I132" s="19">
        <f>('[1]Short Spot'!I133-'[1]Short Spot'!I132)*100</f>
        <v>-3.1312906710248889</v>
      </c>
      <c r="J132" s="19">
        <f>('[1]Short Spot'!J133-'[1]Short Spot'!J132)*100</f>
        <v>-3.4201495899653267</v>
      </c>
      <c r="K132" s="19">
        <f>('[1]Short Spot'!K133-'[1]Short Spot'!K132)*100</f>
        <v>-3.7060141925760348</v>
      </c>
      <c r="L132" s="19">
        <f>('[1]Short Spot'!L133-'[1]Short Spot'!L132)*100</f>
        <v>-3.9912350560321386</v>
      </c>
      <c r="M132" s="19">
        <f>('[1]Short Spot'!M133-'[1]Short Spot'!M132)*100</f>
        <v>-4.2745595680502291</v>
      </c>
      <c r="N132" s="19">
        <f>('[1]Short Spot'!N133-'[1]Short Spot'!N132)*100</f>
        <v>-4.5525779723805115</v>
      </c>
      <c r="O132" s="19">
        <f>('[1]Short Spot'!O133-'[1]Short Spot'!O132)*100</f>
        <v>-4.8218133037454258</v>
      </c>
      <c r="P132" s="19">
        <f>('[1]Short Spot'!P133-'[1]Short Spot'!P132)*100</f>
        <v>-5.0800669321552583</v>
      </c>
      <c r="Q132" s="19">
        <f>('[1]Short Spot'!Q133-'[1]Short Spot'!Q132)*100</f>
        <v>-5.3261397524392962</v>
      </c>
      <c r="R132" s="19">
        <f>('[1]Short Spot'!R133-'[1]Short Spot'!R132)*100</f>
        <v>-5.5595223002089078</v>
      </c>
      <c r="S132" s="19">
        <f>('[1]Short Spot'!S133-'[1]Short Spot'!S132)*100</f>
        <v>-5.7802091670321687</v>
      </c>
      <c r="T132" s="19">
        <f>('[1]Short Spot'!T133-'[1]Short Spot'!T132)*100</f>
        <v>-5.9885705829377578</v>
      </c>
      <c r="U132" s="19">
        <f>('[1]Short Spot'!U133-'[1]Short Spot'!U132)*100</f>
        <v>-6.185258402756677</v>
      </c>
      <c r="V132" s="19">
        <f>('[1]Short Spot'!V133-'[1]Short Spot'!V132)*100</f>
        <v>-6.3710964390188529</v>
      </c>
      <c r="W132" s="19">
        <f>('[1]Short Spot'!W133-'[1]Short Spot'!W132)*100</f>
        <v>-6.5468805148289455</v>
      </c>
      <c r="X132" s="19">
        <f>('[1]Short Spot'!X133-'[1]Short Spot'!X132)*100</f>
        <v>-6.7133368178623698</v>
      </c>
      <c r="Y132" s="19">
        <f>('[1]Short Spot'!Y133-'[1]Short Spot'!Y132)*100</f>
        <v>-6.871138149916689</v>
      </c>
      <c r="Z132" s="19">
        <f>('[1]Short Spot'!Z133-'[1]Short Spot'!Z132)*100</f>
        <v>-7.020914604088091</v>
      </c>
      <c r="AA132" s="19">
        <f>('[1]Short Spot'!AA133-'[1]Short Spot'!AA132)*100</f>
        <v>-7.1632617779823882</v>
      </c>
      <c r="AB132" s="19">
        <f>('[1]Short Spot'!AB133-'[1]Short Spot'!AB132)*100</f>
        <v>-7.2987462080742027</v>
      </c>
      <c r="AC132" s="19">
        <f>('[1]Short Spot'!AC133-'[1]Short Spot'!AC132)*100</f>
        <v>-7.4278916426879782</v>
      </c>
      <c r="AD132" s="19">
        <f>('[1]Short Spot'!AD133-'[1]Short Spot'!AD132)*100</f>
        <v>-7.5511617250083596</v>
      </c>
      <c r="AE132" s="19">
        <f>('[1]Short Spot'!AE133-'[1]Short Spot'!AE132)*100</f>
        <v>-7.6689677954422386</v>
      </c>
      <c r="AF132" s="19">
        <f>('[1]Short Spot'!AF133-'[1]Short Spot'!AF132)*100</f>
        <v>-7.7816760213475611</v>
      </c>
      <c r="AG132" s="19">
        <f>('[1]Short Spot'!AG133-'[1]Short Spot'!AG132)*100</f>
        <v>-7.8896128577419233</v>
      </c>
      <c r="AH132" s="19">
        <f>('[1]Short Spot'!AH133-'[1]Short Spot'!AH132)*100</f>
        <v>-7.9930709156304403</v>
      </c>
      <c r="AI132" s="19">
        <f>('[1]Short Spot'!AI133-'[1]Short Spot'!AI132)*100</f>
        <v>-8.0923139390651322</v>
      </c>
      <c r="AJ132" s="19">
        <f>('[1]Short Spot'!AJ133-'[1]Short Spot'!AJ132)*100</f>
        <v>-8.187580928422733</v>
      </c>
      <c r="AK132" s="19">
        <f>('[1]Short Spot'!AK133-'[1]Short Spot'!AK132)*100</f>
        <v>-8.279089232600878</v>
      </c>
      <c r="AL132" s="19">
        <f>('[1]Short Spot'!AL133-'[1]Short Spot'!AL132)*100</f>
        <v>-8.3670360463933946</v>
      </c>
      <c r="AM132" s="19">
        <f>('[1]Short Spot'!AM133-'[1]Short Spot'!AM132)*100</f>
        <v>-8.4516005915735271</v>
      </c>
      <c r="AN132" s="19">
        <f>('[1]Short Spot'!AN133-'[1]Short Spot'!AN132)*100</f>
        <v>-8.532946436661959</v>
      </c>
      <c r="AO132" s="19">
        <f>('[1]Short Spot'!AO133-'[1]Short Spot'!AO132)*100</f>
        <v>-8.6112234535820065</v>
      </c>
      <c r="AP132" s="19">
        <f>('[1]Short Spot'!AP133-'[1]Short Spot'!AP132)*100</f>
        <v>-8.6865694770392743</v>
      </c>
      <c r="AQ132" s="19">
        <f>('[1]Short Spot'!AQ133-'[1]Short Spot'!AQ132)*100</f>
        <v>-8.7591114991683483</v>
      </c>
      <c r="AR132" s="19">
        <f>('[1]Short Spot'!AR133-'[1]Short Spot'!AR132)*100</f>
        <v>-8.8289665513670457</v>
      </c>
      <c r="AS132" s="19">
        <f>('[1]Short Spot'!AS133-'[1]Short Spot'!AS132)*100</f>
        <v>-8.8962427739472716</v>
      </c>
      <c r="AT132" s="19">
        <f>('[1]Short Spot'!AT133-'[1]Short Spot'!AT132)*100</f>
        <v>-8.9610404039630609</v>
      </c>
      <c r="AU132" s="19">
        <f>('[1]Short Spot'!AU133-'[1]Short Spot'!AU132)*100</f>
        <v>-9.0234526342601207</v>
      </c>
      <c r="AV132" s="19">
        <f>('[1]Short Spot'!AV133-'[1]Short Spot'!AV132)*100</f>
        <v>-9.0835663628600294</v>
      </c>
      <c r="AW132" s="19">
        <f>('[1]Short Spot'!AW133-'[1]Short Spot'!AW132)*100</f>
        <v>-9.1414628506115925</v>
      </c>
      <c r="AX132" s="19">
        <f>('[1]Short Spot'!AX133-'[1]Short Spot'!AX132)*100</f>
        <v>-9.1972184308469096</v>
      </c>
      <c r="AY132" s="19">
        <f>('[1]Short Spot'!AY133-'[1]Short Spot'!AY132)*100</f>
        <v>-9.250905092410644</v>
      </c>
      <c r="AZ132" s="19">
        <f>('[1]Short Spot'!AZ133-'[1]Short Spot'!AZ132)*100</f>
        <v>-9.3025907127001872</v>
      </c>
      <c r="BA132" s="19">
        <f>('[1]Short Spot'!BA133-'[1]Short Spot'!BA132)*100</f>
        <v>-9.3523394333150378</v>
      </c>
      <c r="BB132" s="19">
        <f>('[1]Short Spot'!BB133-'[1]Short Spot'!BB132)*100</f>
        <v>-9.4002120124914157</v>
      </c>
      <c r="BC132" s="19">
        <f>('[1]Short Spot'!BC133-'[1]Short Spot'!BC132)*100</f>
        <v>-9.4462661383762914</v>
      </c>
      <c r="BD132" s="19">
        <f>('[1]Short Spot'!BD133-'[1]Short Spot'!BD132)*100</f>
        <v>-9.4905567081262632</v>
      </c>
      <c r="BE132" s="19">
        <f>('[1]Short Spot'!BE133-'[1]Short Spot'!BE132)*100</f>
        <v>-9.5331360825961831</v>
      </c>
      <c r="BF132" s="19">
        <f>('[1]Short Spot'!BF133-'[1]Short Spot'!BF132)*100</f>
        <v>-9.5740544277777673</v>
      </c>
      <c r="BG132" s="19">
        <f>('[1]Short Spot'!BG133-'[1]Short Spot'!BG132)*100</f>
        <v>-9.6133599375273882</v>
      </c>
      <c r="BH132" s="19">
        <f>('[1]Short Spot'!BH133-'[1]Short Spot'!BH132)*100</f>
        <v>-9.6510989140863757</v>
      </c>
      <c r="BI132" s="19">
        <f>('[1]Short Spot'!BI133-'[1]Short Spot'!BI132)*100</f>
        <v>-9.6873159217917504</v>
      </c>
    </row>
    <row r="133" spans="1:61" x14ac:dyDescent="0.2">
      <c r="A133" s="18">
        <v>39274</v>
      </c>
      <c r="B133" s="19">
        <f>('[1]Short Spot'!B134-'[1]Short Spot'!B133)*100</f>
        <v>-0.16051304280058076</v>
      </c>
      <c r="C133" s="19">
        <f>('[1]Short Spot'!C134-'[1]Short Spot'!C133)*100</f>
        <v>-0.1224834510763273</v>
      </c>
      <c r="D133" s="19">
        <f>('[1]Short Spot'!D134-'[1]Short Spot'!D133)*100</f>
        <v>-3.4854109527682198E-2</v>
      </c>
      <c r="E133" s="19">
        <f>('[1]Short Spot'!E134-'[1]Short Spot'!E133)*100</f>
        <v>-2.3315186975203517E-2</v>
      </c>
      <c r="F133" s="19">
        <f>('[1]Short Spot'!F134-'[1]Short Spot'!F133)*100</f>
        <v>-8.7187795060739148E-2</v>
      </c>
      <c r="G133" s="19">
        <f>('[1]Short Spot'!G134-'[1]Short Spot'!G133)*100</f>
        <v>-0.17743369472205117</v>
      </c>
      <c r="H133" s="19">
        <f>('[1]Short Spot'!H134-'[1]Short Spot'!H133)*100</f>
        <v>-0.24937116459176067</v>
      </c>
      <c r="I133" s="19">
        <f>('[1]Short Spot'!I134-'[1]Short Spot'!I133)*100</f>
        <v>-0.2812973266972385</v>
      </c>
      <c r="J133" s="19">
        <f>('[1]Short Spot'!J134-'[1]Short Spot'!J133)*100</f>
        <v>-0.26994342588544384</v>
      </c>
      <c r="K133" s="19">
        <f>('[1]Short Spot'!K134-'[1]Short Spot'!K133)*100</f>
        <v>-0.22020374951274846</v>
      </c>
      <c r="L133" s="19">
        <f>('[1]Short Spot'!L134-'[1]Short Spot'!L133)*100</f>
        <v>-0.14017109137087758</v>
      </c>
      <c r="M133" s="19">
        <f>('[1]Short Spot'!M134-'[1]Short Spot'!M133)*100</f>
        <v>-3.8677446433066365E-2</v>
      </c>
      <c r="N133" s="19">
        <f>('[1]Short Spot'!N134-'[1]Short Spot'!N133)*100</f>
        <v>7.5227369027430768E-2</v>
      </c>
      <c r="O133" s="19">
        <f>('[1]Short Spot'!O134-'[1]Short Spot'!O133)*100</f>
        <v>0.19375328901407585</v>
      </c>
      <c r="P133" s="19">
        <f>('[1]Short Spot'!P134-'[1]Short Spot'!P133)*100</f>
        <v>0.31135369369277299</v>
      </c>
      <c r="Q133" s="19">
        <f>('[1]Short Spot'!Q134-'[1]Short Spot'!Q133)*100</f>
        <v>0.42416774466467189</v>
      </c>
      <c r="R133" s="19">
        <f>('[1]Short Spot'!R134-'[1]Short Spot'!R133)*100</f>
        <v>0.5296383406164118</v>
      </c>
      <c r="S133" s="19">
        <f>('[1]Short Spot'!S134-'[1]Short Spot'!S133)*100</f>
        <v>0.62624605813148548</v>
      </c>
      <c r="T133" s="19">
        <f>('[1]Short Spot'!T134-'[1]Short Spot'!T133)*100</f>
        <v>0.7132423463547255</v>
      </c>
      <c r="U133" s="19">
        <f>('[1]Short Spot'!U134-'[1]Short Spot'!U133)*100</f>
        <v>0.79045692268557843</v>
      </c>
      <c r="V133" s="19">
        <f>('[1]Short Spot'!V134-'[1]Short Spot'!V133)*100</f>
        <v>0.85815602800050073</v>
      </c>
      <c r="W133" s="19">
        <f>('[1]Short Spot'!W134-'[1]Short Spot'!W133)*100</f>
        <v>0.91681714171691908</v>
      </c>
      <c r="X133" s="19">
        <f>('[1]Short Spot'!X134-'[1]Short Spot'!X133)*100</f>
        <v>0.96695781615387943</v>
      </c>
      <c r="Y133" s="19">
        <f>('[1]Short Spot'!Y134-'[1]Short Spot'!Y133)*100</f>
        <v>1.0091183995106334</v>
      </c>
      <c r="Z133" s="19">
        <f>('[1]Short Spot'!Z134-'[1]Short Spot'!Z133)*100</f>
        <v>1.0438574766913788</v>
      </c>
      <c r="AA133" s="19">
        <f>('[1]Short Spot'!AA134-'[1]Short Spot'!AA133)*100</f>
        <v>1.0717483622459945</v>
      </c>
      <c r="AB133" s="19">
        <f>('[1]Short Spot'!AB134-'[1]Short Spot'!AB133)*100</f>
        <v>1.0933762558467564</v>
      </c>
      <c r="AC133" s="19">
        <f>('[1]Short Spot'!AC134-'[1]Short Spot'!AC133)*100</f>
        <v>1.109320989664031</v>
      </c>
      <c r="AD133" s="19">
        <f>('[1]Short Spot'!AD134-'[1]Short Spot'!AD133)*100</f>
        <v>1.1201174813206372</v>
      </c>
      <c r="AE133" s="19">
        <f>('[1]Short Spot'!AE134-'[1]Short Spot'!AE133)*100</f>
        <v>1.126251777373799</v>
      </c>
      <c r="AF133" s="19">
        <f>('[1]Short Spot'!AF134-'[1]Short Spot'!AF133)*100</f>
        <v>1.1281653437928973</v>
      </c>
      <c r="AG133" s="19">
        <f>('[1]Short Spot'!AG134-'[1]Short Spot'!AG133)*100</f>
        <v>1.1262602699155799</v>
      </c>
      <c r="AH133" s="19">
        <f>('[1]Short Spot'!AH134-'[1]Short Spot'!AH133)*100</f>
        <v>1.1209051916832635</v>
      </c>
      <c r="AI133" s="19">
        <f>('[1]Short Spot'!AI134-'[1]Short Spot'!AI133)*100</f>
        <v>1.1124402112572263</v>
      </c>
      <c r="AJ133" s="19">
        <f>('[1]Short Spot'!AJ134-'[1]Short Spot'!AJ133)*100</f>
        <v>1.1011809732815792</v>
      </c>
      <c r="AK133" s="19">
        <f>('[1]Short Spot'!AK134-'[1]Short Spot'!AK133)*100</f>
        <v>1.0874213411226741</v>
      </c>
      <c r="AL133" s="19">
        <f>('[1]Short Spot'!AL134-'[1]Short Spot'!AL133)*100</f>
        <v>1.0714311407337362</v>
      </c>
      <c r="AM133" s="19">
        <f>('[1]Short Spot'!AM134-'[1]Short Spot'!AM133)*100</f>
        <v>1.0534556429756314</v>
      </c>
      <c r="AN133" s="19">
        <f>('[1]Short Spot'!AN134-'[1]Short Spot'!AN133)*100</f>
        <v>1.0337185066233268</v>
      </c>
      <c r="AO133" s="19">
        <f>('[1]Short Spot'!AO134-'[1]Short Spot'!AO133)*100</f>
        <v>1.0124244798745963</v>
      </c>
      <c r="AP133" s="19">
        <f>('[1]Short Spot'!AP134-'[1]Short Spot'!AP133)*100</f>
        <v>0.98976166558069067</v>
      </c>
      <c r="AQ133" s="19">
        <f>('[1]Short Spot'!AQ134-'[1]Short Spot'!AQ133)*100</f>
        <v>0.96590273587002784</v>
      </c>
      <c r="AR133" s="19">
        <f>('[1]Short Spot'!AR134-'[1]Short Spot'!AR133)*100</f>
        <v>0.94100561901937496</v>
      </c>
      <c r="AS133" s="19">
        <f>('[1]Short Spot'!AS134-'[1]Short Spot'!AS133)*100</f>
        <v>0.91521501294149488</v>
      </c>
      <c r="AT133" s="19">
        <f>('[1]Short Spot'!AT134-'[1]Short Spot'!AT133)*100</f>
        <v>0.88866385513730606</v>
      </c>
      <c r="AU133" s="19">
        <f>('[1]Short Spot'!AU134-'[1]Short Spot'!AU133)*100</f>
        <v>0.86147460100267637</v>
      </c>
      <c r="AV133" s="19">
        <f>('[1]Short Spot'!AV134-'[1]Short Spot'!AV133)*100</f>
        <v>0.83376033894486667</v>
      </c>
      <c r="AW133" s="19">
        <f>('[1]Short Spot'!AW134-'[1]Short Spot'!AW133)*100</f>
        <v>0.80562576224245674</v>
      </c>
      <c r="AX133" s="19">
        <f>('[1]Short Spot'!AX134-'[1]Short Spot'!AX133)*100</f>
        <v>0.77716763781099374</v>
      </c>
      <c r="AY133" s="19">
        <f>('[1]Short Spot'!AY134-'[1]Short Spot'!AY133)*100</f>
        <v>0.74847450340982391</v>
      </c>
      <c r="AZ133" s="19">
        <f>('[1]Short Spot'!AZ134-'[1]Short Spot'!AZ133)*100</f>
        <v>0.7196272092999223</v>
      </c>
      <c r="BA133" s="19">
        <f>('[1]Short Spot'!BA134-'[1]Short Spot'!BA133)*100</f>
        <v>0.69069966268484606</v>
      </c>
      <c r="BB133" s="19">
        <f>('[1]Short Spot'!BB134-'[1]Short Spot'!BB133)*100</f>
        <v>0.66175948271682827</v>
      </c>
      <c r="BC133" s="19">
        <f>('[1]Short Spot'!BC134-'[1]Short Spot'!BC133)*100</f>
        <v>0.6328685827228675</v>
      </c>
      <c r="BD133" s="19">
        <f>('[1]Short Spot'!BD134-'[1]Short Spot'!BD133)*100</f>
        <v>0.60408368891726738</v>
      </c>
      <c r="BE133" s="19">
        <f>('[1]Short Spot'!BE134-'[1]Short Spot'!BE133)*100</f>
        <v>0.57545679428141483</v>
      </c>
      <c r="BF133" s="19">
        <f>('[1]Short Spot'!BF134-'[1]Short Spot'!BF133)*100</f>
        <v>0.54703531281763418</v>
      </c>
      <c r="BG133" s="19">
        <f>('[1]Short Spot'!BG134-'[1]Short Spot'!BG133)*100</f>
        <v>0.5188621003724414</v>
      </c>
      <c r="BH133" s="19">
        <f>('[1]Short Spot'!BH134-'[1]Short Spot'!BH133)*100</f>
        <v>0.49097582803092621</v>
      </c>
      <c r="BI133" s="19">
        <f>('[1]Short Spot'!BI134-'[1]Short Spot'!BI133)*100</f>
        <v>0.46341133322354011</v>
      </c>
    </row>
    <row r="134" spans="1:61" x14ac:dyDescent="0.2">
      <c r="A134" s="18">
        <v>39275</v>
      </c>
      <c r="B134" s="19">
        <f>('[1]Short Spot'!B135-'[1]Short Spot'!B134)*100</f>
        <v>0.35051429770147635</v>
      </c>
      <c r="C134" s="19">
        <f>('[1]Short Spot'!C135-'[1]Short Spot'!C134)*100</f>
        <v>0.48120950051755429</v>
      </c>
      <c r="D134" s="19">
        <f>('[1]Short Spot'!D135-'[1]Short Spot'!D134)*100</f>
        <v>0.54045443250680947</v>
      </c>
      <c r="E134" s="19">
        <f>('[1]Short Spot'!E135-'[1]Short Spot'!E134)*100</f>
        <v>0.57589961160129377</v>
      </c>
      <c r="F134" s="19">
        <f>('[1]Short Spot'!F135-'[1]Short Spot'!F134)*100</f>
        <v>0.59662842178251907</v>
      </c>
      <c r="G134" s="19">
        <f>('[1]Short Spot'!G135-'[1]Short Spot'!G134)*100</f>
        <v>0.61648694320135533</v>
      </c>
      <c r="H134" s="19">
        <f>('[1]Short Spot'!H135-'[1]Short Spot'!H134)*100</f>
        <v>0.643023297095624</v>
      </c>
      <c r="I134" s="19">
        <f>('[1]Short Spot'!I135-'[1]Short Spot'!I134)*100</f>
        <v>0.67805393793891611</v>
      </c>
      <c r="J134" s="19">
        <f>('[1]Short Spot'!J135-'[1]Short Spot'!J134)*100</f>
        <v>0.71674683344378209</v>
      </c>
      <c r="K134" s="19">
        <f>('[1]Short Spot'!K135-'[1]Short Spot'!K134)*100</f>
        <v>0.75535331410483408</v>
      </c>
      <c r="L134" s="19">
        <f>('[1]Short Spot'!L135-'[1]Short Spot'!L134)*100</f>
        <v>0.79195234220899025</v>
      </c>
      <c r="M134" s="19">
        <f>('[1]Short Spot'!M135-'[1]Short Spot'!M134)*100</f>
        <v>0.82532121033169759</v>
      </c>
      <c r="N134" s="19">
        <f>('[1]Short Spot'!N135-'[1]Short Spot'!N134)*100</f>
        <v>0.85493141796755268</v>
      </c>
      <c r="O134" s="19">
        <f>('[1]Short Spot'!O135-'[1]Short Spot'!O134)*100</f>
        <v>0.88138197473126567</v>
      </c>
      <c r="P134" s="19">
        <f>('[1]Short Spot'!P135-'[1]Short Spot'!P134)*100</f>
        <v>0.90544571259467688</v>
      </c>
      <c r="Q134" s="19">
        <f>('[1]Short Spot'!Q135-'[1]Short Spot'!Q134)*100</f>
        <v>0.92778030405193945</v>
      </c>
      <c r="R134" s="19">
        <f>('[1]Short Spot'!R135-'[1]Short Spot'!R134)*100</f>
        <v>0.94891095895759392</v>
      </c>
      <c r="S134" s="19">
        <f>('[1]Short Spot'!S135-'[1]Short Spot'!S134)*100</f>
        <v>0.96918702184378702</v>
      </c>
      <c r="T134" s="19">
        <f>('[1]Short Spot'!T135-'[1]Short Spot'!T134)*100</f>
        <v>0.98881713386393955</v>
      </c>
      <c r="U134" s="19">
        <f>('[1]Short Spot'!U135-'[1]Short Spot'!U134)*100</f>
        <v>1.0079046292465144</v>
      </c>
      <c r="V134" s="19">
        <f>('[1]Short Spot'!V135-'[1]Short Spot'!V134)*100</f>
        <v>1.0265013035200887</v>
      </c>
      <c r="W134" s="19">
        <f>('[1]Short Spot'!W135-'[1]Short Spot'!W134)*100</f>
        <v>1.0446708724474618</v>
      </c>
      <c r="X134" s="19">
        <f>('[1]Short Spot'!X135-'[1]Short Spot'!X134)*100</f>
        <v>1.0624685117675448</v>
      </c>
      <c r="Y134" s="19">
        <f>('[1]Short Spot'!Y135-'[1]Short Spot'!Y134)*100</f>
        <v>1.079938995734242</v>
      </c>
      <c r="Z134" s="19">
        <f>('[1]Short Spot'!Z135-'[1]Short Spot'!Z134)*100</f>
        <v>1.0971187774131863</v>
      </c>
      <c r="AA134" s="19">
        <f>('[1]Short Spot'!AA135-'[1]Short Spot'!AA134)*100</f>
        <v>1.1140375889107546</v>
      </c>
      <c r="AB134" s="19">
        <f>('[1]Short Spot'!AB135-'[1]Short Spot'!AB134)*100</f>
        <v>1.1307203314612657</v>
      </c>
      <c r="AC134" s="19">
        <f>('[1]Short Spot'!AC135-'[1]Short Spot'!AC134)*100</f>
        <v>1.147193522437373</v>
      </c>
      <c r="AD134" s="19">
        <f>('[1]Short Spot'!AD135-'[1]Short Spot'!AD134)*100</f>
        <v>1.1634838059539021</v>
      </c>
      <c r="AE134" s="19">
        <f>('[1]Short Spot'!AE135-'[1]Short Spot'!AE134)*100</f>
        <v>1.1796150590689614</v>
      </c>
      <c r="AF134" s="19">
        <f>('[1]Short Spot'!AF135-'[1]Short Spot'!AF134)*100</f>
        <v>1.1956078236000423</v>
      </c>
      <c r="AG134" s="19">
        <f>('[1]Short Spot'!AG135-'[1]Short Spot'!AG134)*100</f>
        <v>1.2114798938518412</v>
      </c>
      <c r="AH134" s="19">
        <f>('[1]Short Spot'!AH135-'[1]Short Spot'!AH134)*100</f>
        <v>1.2272467876721649</v>
      </c>
      <c r="AI134" s="19">
        <f>('[1]Short Spot'!AI135-'[1]Short Spot'!AI134)*100</f>
        <v>1.2429220812258279</v>
      </c>
      <c r="AJ134" s="19">
        <f>('[1]Short Spot'!AJ135-'[1]Short Spot'!AJ134)*100</f>
        <v>1.258517687030114</v>
      </c>
      <c r="AK134" s="19">
        <f>('[1]Short Spot'!AK135-'[1]Short Spot'!AK134)*100</f>
        <v>1.2740441347547815</v>
      </c>
      <c r="AL134" s="19">
        <f>('[1]Short Spot'!AL135-'[1]Short Spot'!AL134)*100</f>
        <v>1.2895105556637532</v>
      </c>
      <c r="AM134" s="19">
        <f>('[1]Short Spot'!AM135-'[1]Short Spot'!AM134)*100</f>
        <v>1.304924504574867</v>
      </c>
      <c r="AN134" s="19">
        <f>('[1]Short Spot'!AN135-'[1]Short Spot'!AN134)*100</f>
        <v>1.3202921296827874</v>
      </c>
      <c r="AO134" s="19">
        <f>('[1]Short Spot'!AO135-'[1]Short Spot'!AO134)*100</f>
        <v>1.3356183483882234</v>
      </c>
      <c r="AP134" s="19">
        <f>('[1]Short Spot'!AP135-'[1]Short Spot'!AP134)*100</f>
        <v>1.3509069924639405</v>
      </c>
      <c r="AQ134" s="19">
        <f>('[1]Short Spot'!AQ135-'[1]Short Spot'!AQ134)*100</f>
        <v>1.3661609217331616</v>
      </c>
      <c r="AR134" s="19">
        <f>('[1]Short Spot'!AR135-'[1]Short Spot'!AR134)*100</f>
        <v>1.3813821799714354</v>
      </c>
      <c r="AS134" s="19">
        <f>('[1]Short Spot'!AS135-'[1]Short Spot'!AS134)*100</f>
        <v>1.3965721044703727</v>
      </c>
      <c r="AT134" s="19">
        <f>('[1]Short Spot'!AT135-'[1]Short Spot'!AT134)*100</f>
        <v>1.4117314045723361</v>
      </c>
      <c r="AU134" s="19">
        <f>('[1]Short Spot'!AU135-'[1]Short Spot'!AU134)*100</f>
        <v>1.4268602299244648</v>
      </c>
      <c r="AV134" s="19">
        <f>('[1]Short Spot'!AV135-'[1]Short Spot'!AV134)*100</f>
        <v>1.4419582300218003</v>
      </c>
      <c r="AW134" s="19">
        <f>('[1]Short Spot'!AW135-'[1]Short Spot'!AW134)*100</f>
        <v>1.4570246020820576</v>
      </c>
      <c r="AX134" s="19">
        <f>('[1]Short Spot'!AX135-'[1]Short Spot'!AX134)*100</f>
        <v>1.4720579252790245</v>
      </c>
      <c r="AY134" s="19">
        <f>('[1]Short Spot'!AY135-'[1]Short Spot'!AY134)*100</f>
        <v>1.4870560005848965</v>
      </c>
      <c r="AZ134" s="19">
        <f>('[1]Short Spot'!AZ135-'[1]Short Spot'!AZ134)*100</f>
        <v>1.5020160789656956</v>
      </c>
      <c r="BA134" s="19">
        <f>('[1]Short Spot'!BA135-'[1]Short Spot'!BA134)*100</f>
        <v>1.5169349297127432</v>
      </c>
      <c r="BB134" s="19">
        <f>('[1]Short Spot'!BB135-'[1]Short Spot'!BB134)*100</f>
        <v>1.5318088858840007</v>
      </c>
      <c r="BC134" s="19">
        <f>('[1]Short Spot'!BC135-'[1]Short Spot'!BC134)*100</f>
        <v>1.546633884695936</v>
      </c>
      <c r="BD134" s="19">
        <f>('[1]Short Spot'!BD135-'[1]Short Spot'!BD134)*100</f>
        <v>1.5614055035085173</v>
      </c>
      <c r="BE134" s="19">
        <f>('[1]Short Spot'!BE135-'[1]Short Spot'!BE134)*100</f>
        <v>1.5761189815687082</v>
      </c>
      <c r="BF134" s="19">
        <f>('[1]Short Spot'!BF135-'[1]Short Spot'!BF134)*100</f>
        <v>1.5907690328399227</v>
      </c>
      <c r="BG134" s="19">
        <f>('[1]Short Spot'!BG135-'[1]Short Spot'!BG134)*100</f>
        <v>1.6053496939590239</v>
      </c>
      <c r="BH134" s="19">
        <f>('[1]Short Spot'!BH135-'[1]Short Spot'!BH134)*100</f>
        <v>1.6198544241500912</v>
      </c>
      <c r="BI134" s="19">
        <f>('[1]Short Spot'!BI135-'[1]Short Spot'!BI134)*100</f>
        <v>1.6342761558446384</v>
      </c>
    </row>
    <row r="135" spans="1:61" x14ac:dyDescent="0.2">
      <c r="A135" s="18">
        <v>39276</v>
      </c>
      <c r="B135" s="19">
        <f>('[1]Short Spot'!B136-'[1]Short Spot'!B135)*100</f>
        <v>-0.36670599922956626</v>
      </c>
      <c r="C135" s="19">
        <f>('[1]Short Spot'!C136-'[1]Short Spot'!C135)*100</f>
        <v>-0.15817533311581755</v>
      </c>
      <c r="D135" s="19">
        <f>('[1]Short Spot'!D136-'[1]Short Spot'!D135)*100</f>
        <v>7.5288617127355906E-3</v>
      </c>
      <c r="E135" s="19">
        <f>('[1]Short Spot'!E136-'[1]Short Spot'!E135)*100</f>
        <v>0.20440723014658602</v>
      </c>
      <c r="F135" s="19">
        <f>('[1]Short Spot'!F136-'[1]Short Spot'!F135)*100</f>
        <v>0.42987704271091332</v>
      </c>
      <c r="G135" s="19">
        <f>('[1]Short Spot'!G136-'[1]Short Spot'!G135)*100</f>
        <v>0.66313967599249679</v>
      </c>
      <c r="H135" s="19">
        <f>('[1]Short Spot'!H136-'[1]Short Spot'!H135)*100</f>
        <v>0.87832757167820574</v>
      </c>
      <c r="I135" s="19">
        <f>('[1]Short Spot'!I136-'[1]Short Spot'!I135)*100</f>
        <v>1.0558855072876128</v>
      </c>
      <c r="J135" s="19">
        <f>('[1]Short Spot'!J136-'[1]Short Spot'!J135)*100</f>
        <v>1.1918577772741301</v>
      </c>
      <c r="K135" s="19">
        <f>('[1]Short Spot'!K136-'[1]Short Spot'!K135)*100</f>
        <v>1.2925099015476782</v>
      </c>
      <c r="L135" s="19">
        <f>('[1]Short Spot'!L136-'[1]Short Spot'!L135)*100</f>
        <v>1.3656769040059302</v>
      </c>
      <c r="M135" s="19">
        <f>('[1]Short Spot'!M136-'[1]Short Spot'!M135)*100</f>
        <v>1.4180876272494203</v>
      </c>
      <c r="N135" s="19">
        <f>('[1]Short Spot'!N136-'[1]Short Spot'!N135)*100</f>
        <v>1.4554254823170076</v>
      </c>
      <c r="O135" s="19">
        <f>('[1]Short Spot'!O136-'[1]Short Spot'!O135)*100</f>
        <v>1.4819240473578077</v>
      </c>
      <c r="P135" s="19">
        <f>('[1]Short Spot'!P136-'[1]Short Spot'!P135)*100</f>
        <v>1.5006655166306615</v>
      </c>
      <c r="Q135" s="19">
        <f>('[1]Short Spot'!Q136-'[1]Short Spot'!Q135)*100</f>
        <v>1.514019215717255</v>
      </c>
      <c r="R135" s="19">
        <f>('[1]Short Spot'!R136-'[1]Short Spot'!R135)*100</f>
        <v>1.5237999850592487</v>
      </c>
      <c r="S135" s="19">
        <f>('[1]Short Spot'!S136-'[1]Short Spot'!S135)*100</f>
        <v>1.5313127408965066</v>
      </c>
      <c r="T135" s="19">
        <f>('[1]Short Spot'!T136-'[1]Short Spot'!T135)*100</f>
        <v>1.5374711136900032</v>
      </c>
      <c r="U135" s="19">
        <f>('[1]Short Spot'!U136-'[1]Short Spot'!U135)*100</f>
        <v>1.542896599927257</v>
      </c>
      <c r="V135" s="19">
        <f>('[1]Short Spot'!V136-'[1]Short Spot'!V135)*100</f>
        <v>1.5480737126943644</v>
      </c>
      <c r="W135" s="19">
        <f>('[1]Short Spot'!W136-'[1]Short Spot'!W135)*100</f>
        <v>1.5534582432232824</v>
      </c>
      <c r="X135" s="19">
        <f>('[1]Short Spot'!X136-'[1]Short Spot'!X135)*100</f>
        <v>1.5593923230069251</v>
      </c>
      <c r="Y135" s="19">
        <f>('[1]Short Spot'!Y136-'[1]Short Spot'!Y135)*100</f>
        <v>1.5661184335095335</v>
      </c>
      <c r="Z135" s="19">
        <f>('[1]Short Spot'!Z136-'[1]Short Spot'!Z135)*100</f>
        <v>1.573799336172943</v>
      </c>
      <c r="AA135" s="19">
        <f>('[1]Short Spot'!AA136-'[1]Short Spot'!AA135)*100</f>
        <v>1.5825334031894123</v>
      </c>
      <c r="AB135" s="19">
        <f>('[1]Short Spot'!AB136-'[1]Short Spot'!AB135)*100</f>
        <v>1.592369222326262</v>
      </c>
      <c r="AC135" s="19">
        <f>('[1]Short Spot'!AC136-'[1]Short Spot'!AC135)*100</f>
        <v>1.6033339269776903</v>
      </c>
      <c r="AD135" s="19">
        <f>('[1]Short Spot'!AD136-'[1]Short Spot'!AD135)*100</f>
        <v>1.6154340067870976</v>
      </c>
      <c r="AE135" s="19">
        <f>('[1]Short Spot'!AE136-'[1]Short Spot'!AE135)*100</f>
        <v>1.6286528182916093</v>
      </c>
      <c r="AF135" s="19">
        <f>('[1]Short Spot'!AF136-'[1]Short Spot'!AF135)*100</f>
        <v>1.6429596281871461</v>
      </c>
      <c r="AG135" s="19">
        <f>('[1]Short Spot'!AG136-'[1]Short Spot'!AG135)*100</f>
        <v>1.6583163014587399</v>
      </c>
      <c r="AH135" s="19">
        <f>('[1]Short Spot'!AH136-'[1]Short Spot'!AH135)*100</f>
        <v>1.6746786948069747</v>
      </c>
      <c r="AI135" s="19">
        <f>('[1]Short Spot'!AI136-'[1]Short Spot'!AI135)*100</f>
        <v>1.6919975402183596</v>
      </c>
      <c r="AJ135" s="19">
        <f>('[1]Short Spot'!AJ136-'[1]Short Spot'!AJ135)*100</f>
        <v>1.7102191856014137</v>
      </c>
      <c r="AK135" s="19">
        <f>('[1]Short Spot'!AK136-'[1]Short Spot'!AK135)*100</f>
        <v>1.729287420432879</v>
      </c>
      <c r="AL135" s="19">
        <f>('[1]Short Spot'!AL136-'[1]Short Spot'!AL135)*100</f>
        <v>1.7491477835008595</v>
      </c>
      <c r="AM135" s="19">
        <f>('[1]Short Spot'!AM136-'[1]Short Spot'!AM135)*100</f>
        <v>1.7697485227280652</v>
      </c>
      <c r="AN135" s="19">
        <f>('[1]Short Spot'!AN136-'[1]Short Spot'!AN135)*100</f>
        <v>1.7910402394404557</v>
      </c>
      <c r="AO135" s="19">
        <f>('[1]Short Spot'!AO136-'[1]Short Spot'!AO135)*100</f>
        <v>1.8129755941903802</v>
      </c>
      <c r="AP135" s="19">
        <f>('[1]Short Spot'!AP136-'[1]Short Spot'!AP135)*100</f>
        <v>1.8355090279502662</v>
      </c>
      <c r="AQ135" s="19">
        <f>('[1]Short Spot'!AQ136-'[1]Short Spot'!AQ135)*100</f>
        <v>1.8585963862864929</v>
      </c>
      <c r="AR135" s="19">
        <f>('[1]Short Spot'!AR136-'[1]Short Spot'!AR135)*100</f>
        <v>1.8821947495206715</v>
      </c>
      <c r="AS135" s="19">
        <f>('[1]Short Spot'!AS136-'[1]Short Spot'!AS135)*100</f>
        <v>1.9062623194180617</v>
      </c>
      <c r="AT135" s="19">
        <f>('[1]Short Spot'!AT136-'[1]Short Spot'!AT135)*100</f>
        <v>1.9307582946103352</v>
      </c>
      <c r="AU135" s="19">
        <f>('[1]Short Spot'!AU136-'[1]Short Spot'!AU135)*100</f>
        <v>1.9556427622386074</v>
      </c>
      <c r="AV135" s="19">
        <f>('[1]Short Spot'!AV136-'[1]Short Spot'!AV135)*100</f>
        <v>1.9808766034339342</v>
      </c>
      <c r="AW135" s="19">
        <f>('[1]Short Spot'!AW136-'[1]Short Spot'!AW135)*100</f>
        <v>2.00642139383298</v>
      </c>
      <c r="AX135" s="19">
        <f>('[1]Short Spot'!AX136-'[1]Short Spot'!AX135)*100</f>
        <v>2.0322389974977817</v>
      </c>
      <c r="AY135" s="19">
        <f>('[1]Short Spot'!AY136-'[1]Short Spot'!AY135)*100</f>
        <v>2.0582921674765942</v>
      </c>
      <c r="AZ135" s="19">
        <f>('[1]Short Spot'!AZ136-'[1]Short Spot'!AZ135)*100</f>
        <v>2.0845453289974003</v>
      </c>
      <c r="BA135" s="19">
        <f>('[1]Short Spot'!BA136-'[1]Short Spot'!BA135)*100</f>
        <v>2.110964459385567</v>
      </c>
      <c r="BB135" s="19">
        <f>('[1]Short Spot'!BB136-'[1]Short Spot'!BB135)*100</f>
        <v>2.1375169416402606</v>
      </c>
      <c r="BC135" s="19">
        <f>('[1]Short Spot'!BC136-'[1]Short Spot'!BC135)*100</f>
        <v>2.1641714342788276</v>
      </c>
      <c r="BD135" s="19">
        <f>('[1]Short Spot'!BD136-'[1]Short Spot'!BD135)*100</f>
        <v>2.1908977553817266</v>
      </c>
      <c r="BE135" s="19">
        <f>('[1]Short Spot'!BE136-'[1]Short Spot'!BE135)*100</f>
        <v>2.2176667484724355</v>
      </c>
      <c r="BF135" s="19">
        <f>('[1]Short Spot'!BF136-'[1]Short Spot'!BF135)*100</f>
        <v>2.2444499536835139</v>
      </c>
      <c r="BG135" s="19">
        <f>('[1]Short Spot'!BG136-'[1]Short Spot'!BG135)*100</f>
        <v>2.2712200075875266</v>
      </c>
      <c r="BH135" s="19">
        <f>('[1]Short Spot'!BH136-'[1]Short Spot'!BH135)*100</f>
        <v>2.2979509007049259</v>
      </c>
      <c r="BI135" s="19">
        <f>('[1]Short Spot'!BI136-'[1]Short Spot'!BI135)*100</f>
        <v>2.3246178704525278</v>
      </c>
    </row>
    <row r="136" spans="1:61" x14ac:dyDescent="0.2">
      <c r="A136" s="18">
        <v>39279</v>
      </c>
      <c r="B136" s="19">
        <f>('[1]Short Spot'!B137-'[1]Short Spot'!B136)*100</f>
        <v>0.70400487091335506</v>
      </c>
      <c r="C136" s="19">
        <f>('[1]Short Spot'!C137-'[1]Short Spot'!C136)*100</f>
        <v>0.31770323149107327</v>
      </c>
      <c r="D136" s="19">
        <f>('[1]Short Spot'!D137-'[1]Short Spot'!D136)*100</f>
        <v>0.10425127647541998</v>
      </c>
      <c r="E136" s="19">
        <f>('[1]Short Spot'!E137-'[1]Short Spot'!E136)*100</f>
        <v>-9.9078681441255867E-2</v>
      </c>
      <c r="F136" s="19">
        <f>('[1]Short Spot'!F137-'[1]Short Spot'!F136)*100</f>
        <v>-0.29149854590899693</v>
      </c>
      <c r="G136" s="19">
        <f>('[1]Short Spot'!G137-'[1]Short Spot'!G136)*100</f>
        <v>-0.46910634731256451</v>
      </c>
      <c r="H136" s="19">
        <f>('[1]Short Spot'!H137-'[1]Short Spot'!H136)*100</f>
        <v>-0.63009352313656564</v>
      </c>
      <c r="I136" s="19">
        <f>('[1]Short Spot'!I137-'[1]Short Spot'!I136)*100</f>
        <v>-0.77693260416253906</v>
      </c>
      <c r="J136" s="19">
        <f>('[1]Short Spot'!J137-'[1]Short Spot'!J136)*100</f>
        <v>-0.91401274593359005</v>
      </c>
      <c r="K136" s="19">
        <f>('[1]Short Spot'!K137-'[1]Short Spot'!K136)*100</f>
        <v>-1.0445437207347474</v>
      </c>
      <c r="L136" s="19">
        <f>('[1]Short Spot'!L137-'[1]Short Spot'!L136)*100</f>
        <v>-1.1700471001302226</v>
      </c>
      <c r="M136" s="19">
        <f>('[1]Short Spot'!M137-'[1]Short Spot'!M136)*100</f>
        <v>-1.290092169178525</v>
      </c>
      <c r="N136" s="19">
        <f>('[1]Short Spot'!N137-'[1]Short Spot'!N136)*100</f>
        <v>-1.4031650888781222</v>
      </c>
      <c r="O136" s="19">
        <f>('[1]Short Spot'!O137-'[1]Short Spot'!O136)*100</f>
        <v>-1.5082147152764236</v>
      </c>
      <c r="P136" s="19">
        <f>('[1]Short Spot'!P137-'[1]Short Spot'!P136)*100</f>
        <v>-1.6049946451415664</v>
      </c>
      <c r="Q136" s="19">
        <f>('[1]Short Spot'!Q137-'[1]Short Spot'!Q136)*100</f>
        <v>-1.6937519953682312</v>
      </c>
      <c r="R136" s="19">
        <f>('[1]Short Spot'!R137-'[1]Short Spot'!R136)*100</f>
        <v>-1.7749725901243352</v>
      </c>
      <c r="S136" s="19">
        <f>('[1]Short Spot'!S137-'[1]Short Spot'!S136)*100</f>
        <v>-1.8492511046681592</v>
      </c>
      <c r="T136" s="19">
        <f>('[1]Short Spot'!T137-'[1]Short Spot'!T136)*100</f>
        <v>-1.9172601762324604</v>
      </c>
      <c r="U136" s="19">
        <f>('[1]Short Spot'!U137-'[1]Short Spot'!U136)*100</f>
        <v>-1.9797299716270089</v>
      </c>
      <c r="V136" s="19">
        <f>('[1]Short Spot'!V137-'[1]Short Spot'!V136)*100</f>
        <v>-2.0373788239881563</v>
      </c>
      <c r="W136" s="19">
        <f>('[1]Short Spot'!W137-'[1]Short Spot'!W136)*100</f>
        <v>-2.0908104420576556</v>
      </c>
      <c r="X136" s="19">
        <f>('[1]Short Spot'!X137-'[1]Short Spot'!X136)*100</f>
        <v>-2.1405355801636716</v>
      </c>
      <c r="Y136" s="19">
        <f>('[1]Short Spot'!Y137-'[1]Short Spot'!Y136)*100</f>
        <v>-2.1869931315317004</v>
      </c>
      <c r="Z136" s="19">
        <f>('[1]Short Spot'!Z137-'[1]Short Spot'!Z136)*100</f>
        <v>-2.2305645005059382</v>
      </c>
      <c r="AA136" s="19">
        <f>('[1]Short Spot'!AA137-'[1]Short Spot'!AA136)*100</f>
        <v>-2.2715846581019328</v>
      </c>
      <c r="AB136" s="19">
        <f>('[1]Short Spot'!AB137-'[1]Short Spot'!AB136)*100</f>
        <v>-2.310349289737168</v>
      </c>
      <c r="AC136" s="19">
        <f>('[1]Short Spot'!AC137-'[1]Short Spot'!AC136)*100</f>
        <v>-2.3471106684096021</v>
      </c>
      <c r="AD136" s="19">
        <f>('[1]Short Spot'!AD137-'[1]Short Spot'!AD136)*100</f>
        <v>-2.3820813333065516</v>
      </c>
      <c r="AE136" s="19">
        <f>('[1]Short Spot'!AE137-'[1]Short Spot'!AE136)*100</f>
        <v>-2.4154424694620147</v>
      </c>
      <c r="AF136" s="19">
        <f>('[1]Short Spot'!AF137-'[1]Short Spot'!AF136)*100</f>
        <v>-2.447350462507103</v>
      </c>
      <c r="AG136" s="19">
        <f>('[1]Short Spot'!AG137-'[1]Short Spot'!AG136)*100</f>
        <v>-2.4779410959872017</v>
      </c>
      <c r="AH136" s="19">
        <f>('[1]Short Spot'!AH137-'[1]Short Spot'!AH136)*100</f>
        <v>-2.5073326617153668</v>
      </c>
      <c r="AI136" s="19">
        <f>('[1]Short Spot'!AI137-'[1]Short Spot'!AI136)*100</f>
        <v>-2.5356285320847327</v>
      </c>
      <c r="AJ136" s="19">
        <f>('[1]Short Spot'!AJ137-'[1]Short Spot'!AJ136)*100</f>
        <v>-2.5629192864650818</v>
      </c>
      <c r="AK136" s="19">
        <f>('[1]Short Spot'!AK137-'[1]Short Spot'!AK136)*100</f>
        <v>-2.5892841941802303</v>
      </c>
      <c r="AL136" s="19">
        <f>('[1]Short Spot'!AL137-'[1]Short Spot'!AL136)*100</f>
        <v>-2.6147923222513469</v>
      </c>
      <c r="AM136" s="19">
        <f>('[1]Short Spot'!AM137-'[1]Short Spot'!AM136)*100</f>
        <v>-2.6395040084640442</v>
      </c>
      <c r="AN136" s="19">
        <f>('[1]Short Spot'!AN137-'[1]Short Spot'!AN136)*100</f>
        <v>-2.6634719994231837</v>
      </c>
      <c r="AO136" s="19">
        <f>('[1]Short Spot'!AO137-'[1]Short Spot'!AO136)*100</f>
        <v>-2.6867423994505479</v>
      </c>
      <c r="AP136" s="19">
        <f>('[1]Short Spot'!AP137-'[1]Short Spot'!AP136)*100</f>
        <v>-2.7093555123114399</v>
      </c>
      <c r="AQ136" s="19">
        <f>('[1]Short Spot'!AQ137-'[1]Short Spot'!AQ136)*100</f>
        <v>-2.7313468069454672</v>
      </c>
      <c r="AR136" s="19">
        <f>('[1]Short Spot'!AR137-'[1]Short Spot'!AR136)*100</f>
        <v>-2.7527476938835171</v>
      </c>
      <c r="AS136" s="19">
        <f>('[1]Short Spot'!AS137-'[1]Short Spot'!AS136)*100</f>
        <v>-2.7735859980951183</v>
      </c>
      <c r="AT136" s="19">
        <f>('[1]Short Spot'!AT137-'[1]Short Spot'!AT136)*100</f>
        <v>-2.7938863573858441</v>
      </c>
      <c r="AU136" s="19">
        <f>('[1]Short Spot'!AU137-'[1]Short Spot'!AU136)*100</f>
        <v>-2.813670568824822</v>
      </c>
      <c r="AV136" s="19">
        <f>('[1]Short Spot'!AV137-'[1]Short Spot'!AV136)*100</f>
        <v>-2.832957890954102</v>
      </c>
      <c r="AW136" s="19">
        <f>('[1]Short Spot'!AW137-'[1]Short Spot'!AW136)*100</f>
        <v>-2.8517653176292512</v>
      </c>
      <c r="AX136" s="19">
        <f>('[1]Short Spot'!AX137-'[1]Short Spot'!AX136)*100</f>
        <v>-2.8701080258562328</v>
      </c>
      <c r="AY136" s="19">
        <f>('[1]Short Spot'!AY137-'[1]Short Spot'!AY136)*100</f>
        <v>-2.8879996349036929</v>
      </c>
      <c r="AZ136" s="19">
        <f>('[1]Short Spot'!AZ137-'[1]Short Spot'!AZ136)*100</f>
        <v>-2.905452204891823</v>
      </c>
      <c r="BA136" s="19">
        <f>('[1]Short Spot'!BA137-'[1]Short Spot'!BA136)*100</f>
        <v>-2.9224763792217168</v>
      </c>
      <c r="BB136" s="19">
        <f>('[1]Short Spot'!BB137-'[1]Short Spot'!BB136)*100</f>
        <v>-2.9390815182291696</v>
      </c>
      <c r="BC136" s="19">
        <f>('[1]Short Spot'!BC137-'[1]Short Spot'!BC136)*100</f>
        <v>-2.9552758179864469</v>
      </c>
      <c r="BD136" s="19">
        <f>('[1]Short Spot'!BD137-'[1]Short Spot'!BD136)*100</f>
        <v>-2.9710664161449962</v>
      </c>
      <c r="BE136" s="19">
        <f>('[1]Short Spot'!BE137-'[1]Short Spot'!BE136)*100</f>
        <v>-2.9864595065799193</v>
      </c>
      <c r="BF136" s="19">
        <f>('[1]Short Spot'!BF137-'[1]Short Spot'!BF136)*100</f>
        <v>-3.0014606900976126</v>
      </c>
      <c r="BG136" s="19">
        <f>('[1]Short Spot'!BG137-'[1]Short Spot'!BG136)*100</f>
        <v>-3.0160752097091681</v>
      </c>
      <c r="BH136" s="19">
        <f>('[1]Short Spot'!BH137-'[1]Short Spot'!BH136)*100</f>
        <v>-3.0303079478080086</v>
      </c>
      <c r="BI136" s="19">
        <f>('[1]Short Spot'!BI137-'[1]Short Spot'!BI136)*100</f>
        <v>-3.0441634553935337</v>
      </c>
    </row>
    <row r="137" spans="1:61" x14ac:dyDescent="0.2">
      <c r="A137" s="18">
        <v>39280</v>
      </c>
      <c r="B137" s="19">
        <f>('[1]Short Spot'!B138-'[1]Short Spot'!B137)*100</f>
        <v>1.0391772398261168</v>
      </c>
      <c r="C137" s="19">
        <f>('[1]Short Spot'!C138-'[1]Short Spot'!C137)*100</f>
        <v>2.4233138776818208</v>
      </c>
      <c r="D137" s="19">
        <f>('[1]Short Spot'!D138-'[1]Short Spot'!D137)*100</f>
        <v>3.377449821654821</v>
      </c>
      <c r="E137" s="19">
        <f>('[1]Short Spot'!E138-'[1]Short Spot'!E137)*100</f>
        <v>4.2698815333165996</v>
      </c>
      <c r="F137" s="19">
        <f>('[1]Short Spot'!F138-'[1]Short Spot'!F137)*100</f>
        <v>5.084319358862377</v>
      </c>
      <c r="G137" s="19">
        <f>('[1]Short Spot'!G138-'[1]Short Spot'!G137)*100</f>
        <v>5.7690891823884982</v>
      </c>
      <c r="H137" s="19">
        <f>('[1]Short Spot'!H138-'[1]Short Spot'!H137)*100</f>
        <v>6.2892201440154061</v>
      </c>
      <c r="I137" s="19">
        <f>('[1]Short Spot'!I138-'[1]Short Spot'!I137)*100</f>
        <v>6.6439271231030439</v>
      </c>
      <c r="J137" s="19">
        <f>('[1]Short Spot'!J138-'[1]Short Spot'!J137)*100</f>
        <v>6.8635721307527042</v>
      </c>
      <c r="K137" s="19">
        <f>('[1]Short Spot'!K138-'[1]Short Spot'!K137)*100</f>
        <v>6.9844083385816269</v>
      </c>
      <c r="L137" s="19">
        <f>('[1]Short Spot'!L138-'[1]Short Spot'!L137)*100</f>
        <v>7.0357217197554611</v>
      </c>
      <c r="M137" s="19">
        <f>('[1]Short Spot'!M138-'[1]Short Spot'!M137)*100</f>
        <v>7.0374214813030633</v>
      </c>
      <c r="N137" s="19">
        <f>('[1]Short Spot'!N138-'[1]Short Spot'!N137)*100</f>
        <v>7.0031720845305401</v>
      </c>
      <c r="O137" s="19">
        <f>('[1]Short Spot'!O138-'[1]Short Spot'!O137)*100</f>
        <v>6.9427810302639337</v>
      </c>
      <c r="P137" s="19">
        <f>('[1]Short Spot'!P138-'[1]Short Spot'!P137)*100</f>
        <v>6.86364246699398</v>
      </c>
      <c r="Q137" s="19">
        <f>('[1]Short Spot'!Q138-'[1]Short Spot'!Q137)*100</f>
        <v>6.7714835552479258</v>
      </c>
      <c r="R137" s="19">
        <f>('[1]Short Spot'!R138-'[1]Short Spot'!R137)*100</f>
        <v>6.6706638115504369</v>
      </c>
      <c r="S137" s="19">
        <f>('[1]Short Spot'!S138-'[1]Short Spot'!S137)*100</f>
        <v>6.5644028306272695</v>
      </c>
      <c r="T137" s="19">
        <f>('[1]Short Spot'!T138-'[1]Short Spot'!T137)*100</f>
        <v>6.4550700383168014</v>
      </c>
      <c r="U137" s="19">
        <f>('[1]Short Spot'!U138-'[1]Short Spot'!U137)*100</f>
        <v>6.3443983332541087</v>
      </c>
      <c r="V137" s="19">
        <f>('[1]Short Spot'!V138-'[1]Short Spot'!V137)*100</f>
        <v>6.2336767342630495</v>
      </c>
      <c r="W137" s="19">
        <f>('[1]Short Spot'!W138-'[1]Short Spot'!W137)*100</f>
        <v>6.1238858738680513</v>
      </c>
      <c r="X137" s="19">
        <f>('[1]Short Spot'!X138-'[1]Short Spot'!X137)*100</f>
        <v>6.0157387939103302</v>
      </c>
      <c r="Y137" s="19">
        <f>('[1]Short Spot'!Y138-'[1]Short Spot'!Y137)*100</f>
        <v>5.9097345776226717</v>
      </c>
      <c r="Z137" s="19">
        <f>('[1]Short Spot'!Z138-'[1]Short Spot'!Z137)*100</f>
        <v>5.8062011413509751</v>
      </c>
      <c r="AA137" s="19">
        <f>('[1]Short Spot'!AA138-'[1]Short Spot'!AA137)*100</f>
        <v>5.7053281512636111</v>
      </c>
      <c r="AB137" s="19">
        <f>('[1]Short Spot'!AB138-'[1]Short Spot'!AB137)*100</f>
        <v>5.6071955031141485</v>
      </c>
      <c r="AC137" s="19">
        <f>('[1]Short Spot'!AC138-'[1]Short Spot'!AC137)*100</f>
        <v>5.5118207735175062</v>
      </c>
      <c r="AD137" s="19">
        <f>('[1]Short Spot'!AD138-'[1]Short Spot'!AD137)*100</f>
        <v>5.4191920593093634</v>
      </c>
      <c r="AE137" s="19">
        <f>('[1]Short Spot'!AE138-'[1]Short Spot'!AE137)*100</f>
        <v>5.3292742075867316</v>
      </c>
      <c r="AF137" s="19">
        <f>('[1]Short Spot'!AF138-'[1]Short Spot'!AF137)*100</f>
        <v>5.242015185804938</v>
      </c>
      <c r="AG137" s="19">
        <f>('[1]Short Spot'!AG138-'[1]Short Spot'!AG137)*100</f>
        <v>5.1573502125209281</v>
      </c>
      <c r="AH137" s="19">
        <f>('[1]Short Spot'!AH138-'[1]Short Spot'!AH137)*100</f>
        <v>5.07520374378716</v>
      </c>
      <c r="AI137" s="19">
        <f>('[1]Short Spot'!AI138-'[1]Short Spot'!AI137)*100</f>
        <v>4.9954910558716037</v>
      </c>
      <c r="AJ137" s="19">
        <f>('[1]Short Spot'!AJ138-'[1]Short Spot'!AJ137)*100</f>
        <v>4.9181195757744156</v>
      </c>
      <c r="AK137" s="19">
        <f>('[1]Short Spot'!AK138-'[1]Short Spot'!AK137)*100</f>
        <v>4.8429919253384135</v>
      </c>
      <c r="AL137" s="19">
        <f>('[1]Short Spot'!AL138-'[1]Short Spot'!AL137)*100</f>
        <v>4.7700129243361644</v>
      </c>
      <c r="AM137" s="19">
        <f>('[1]Short Spot'!AM138-'[1]Short Spot'!AM137)*100</f>
        <v>4.6990915107370412</v>
      </c>
      <c r="AN137" s="19">
        <f>('[1]Short Spot'!AN138-'[1]Short Spot'!AN137)*100</f>
        <v>4.6301402438060357</v>
      </c>
      <c r="AO137" s="19">
        <f>('[1]Short Spot'!AO138-'[1]Short Spot'!AO137)*100</f>
        <v>4.5630748514432717</v>
      </c>
      <c r="AP137" s="19">
        <f>('[1]Short Spot'!AP138-'[1]Short Spot'!AP137)*100</f>
        <v>4.4978139645369453</v>
      </c>
      <c r="AQ137" s="19">
        <f>('[1]Short Spot'!AQ138-'[1]Short Spot'!AQ137)*100</f>
        <v>4.4342800887482881</v>
      </c>
      <c r="AR137" s="19">
        <f>('[1]Short Spot'!AR138-'[1]Short Spot'!AR137)*100</f>
        <v>4.3724004568186814</v>
      </c>
      <c r="AS137" s="19">
        <f>('[1]Short Spot'!AS138-'[1]Short Spot'!AS137)*100</f>
        <v>4.3121066091917903</v>
      </c>
      <c r="AT137" s="19">
        <f>('[1]Short Spot'!AT138-'[1]Short Spot'!AT137)*100</f>
        <v>4.253333915381674</v>
      </c>
      <c r="AU137" s="19">
        <f>('[1]Short Spot'!AU138-'[1]Short Spot'!AU137)*100</f>
        <v>4.1960211577682038</v>
      </c>
      <c r="AV137" s="19">
        <f>('[1]Short Spot'!AV138-'[1]Short Spot'!AV137)*100</f>
        <v>4.140110168526423</v>
      </c>
      <c r="AW137" s="19">
        <f>('[1]Short Spot'!AW138-'[1]Short Spot'!AW137)*100</f>
        <v>4.0855455074932046</v>
      </c>
      <c r="AX137" s="19">
        <f>('[1]Short Spot'!AX138-'[1]Short Spot'!AX137)*100</f>
        <v>4.0322743491759461</v>
      </c>
      <c r="AY137" s="19">
        <f>('[1]Short Spot'!AY138-'[1]Short Spot'!AY137)*100</f>
        <v>3.9802471885387547</v>
      </c>
      <c r="AZ137" s="19">
        <f>('[1]Short Spot'!AZ138-'[1]Short Spot'!AZ137)*100</f>
        <v>3.9294179599800749</v>
      </c>
      <c r="BA137" s="19">
        <f>('[1]Short Spot'!BA138-'[1]Short Spot'!BA137)*100</f>
        <v>3.879743715529127</v>
      </c>
      <c r="BB137" s="19">
        <f>('[1]Short Spot'!BB138-'[1]Short Spot'!BB137)*100</f>
        <v>3.8311843307299753</v>
      </c>
      <c r="BC137" s="19">
        <f>('[1]Short Spot'!BC138-'[1]Short Spot'!BC137)*100</f>
        <v>3.7837022432054113</v>
      </c>
      <c r="BD137" s="19">
        <f>('[1]Short Spot'!BD138-'[1]Short Spot'!BD137)*100</f>
        <v>3.7372622197398009</v>
      </c>
      <c r="BE137" s="19">
        <f>('[1]Short Spot'!BE138-'[1]Short Spot'!BE137)*100</f>
        <v>3.6918311360842004</v>
      </c>
      <c r="BF137" s="19">
        <f>('[1]Short Spot'!BF138-'[1]Short Spot'!BF137)*100</f>
        <v>3.6473777877133351</v>
      </c>
      <c r="BG137" s="19">
        <f>('[1]Short Spot'!BG138-'[1]Short Spot'!BG137)*100</f>
        <v>3.603873021661208</v>
      </c>
      <c r="BH137" s="19">
        <f>('[1]Short Spot'!BH138-'[1]Short Spot'!BH137)*100</f>
        <v>3.561289679713564</v>
      </c>
      <c r="BI137" s="19">
        <f>('[1]Short Spot'!BI138-'[1]Short Spot'!BI137)*100</f>
        <v>3.5196024329130715</v>
      </c>
    </row>
    <row r="138" spans="1:61" x14ac:dyDescent="0.2">
      <c r="A138" s="18">
        <v>39281</v>
      </c>
      <c r="B138" s="19">
        <f>('[1]Short Spot'!B139-'[1]Short Spot'!B138)*100</f>
        <v>-0.30241021559938019</v>
      </c>
      <c r="C138" s="19">
        <f>('[1]Short Spot'!C139-'[1]Short Spot'!C138)*100</f>
        <v>-0.98067962654981855</v>
      </c>
      <c r="D138" s="19">
        <f>('[1]Short Spot'!D139-'[1]Short Spot'!D138)*100</f>
        <v>-1.2802410240715822</v>
      </c>
      <c r="E138" s="19">
        <f>('[1]Short Spot'!E139-'[1]Short Spot'!E138)*100</f>
        <v>-1.4302534900643593</v>
      </c>
      <c r="F138" s="19">
        <f>('[1]Short Spot'!F139-'[1]Short Spot'!F138)*100</f>
        <v>-1.4655842699762722</v>
      </c>
      <c r="G138" s="19">
        <f>('[1]Short Spot'!G139-'[1]Short Spot'!G138)*100</f>
        <v>-1.4428579167851119</v>
      </c>
      <c r="H138" s="19">
        <f>('[1]Short Spot'!H139-'[1]Short Spot'!H138)*100</f>
        <v>-1.4156403285245034</v>
      </c>
      <c r="I138" s="19">
        <f>('[1]Short Spot'!I139-'[1]Short Spot'!I138)*100</f>
        <v>-1.4176421235358561</v>
      </c>
      <c r="J138" s="19">
        <f>('[1]Short Spot'!J139-'[1]Short Spot'!J138)*100</f>
        <v>-1.4597743735310864</v>
      </c>
      <c r="K138" s="19">
        <f>('[1]Short Spot'!K139-'[1]Short Spot'!K138)*100</f>
        <v>-1.5413406607605928</v>
      </c>
      <c r="L138" s="19">
        <f>('[1]Short Spot'!L139-'[1]Short Spot'!L138)*100</f>
        <v>-1.6568666741646254</v>
      </c>
      <c r="M138" s="19">
        <f>('[1]Short Spot'!M139-'[1]Short Spot'!M138)*100</f>
        <v>-1.7987617230650343</v>
      </c>
      <c r="N138" s="19">
        <f>('[1]Short Spot'!N139-'[1]Short Spot'!N138)*100</f>
        <v>-1.9583307121207483</v>
      </c>
      <c r="O138" s="19">
        <f>('[1]Short Spot'!O139-'[1]Short Spot'!O138)*100</f>
        <v>-2.1277242861626355</v>
      </c>
      <c r="P138" s="19">
        <f>('[1]Short Spot'!P139-'[1]Short Spot'!P138)*100</f>
        <v>-2.3012168942406319</v>
      </c>
      <c r="Q138" s="19">
        <f>('[1]Short Spot'!Q139-'[1]Short Spot'!Q138)*100</f>
        <v>-2.4747081354769662</v>
      </c>
      <c r="R138" s="19">
        <f>('[1]Short Spot'!R139-'[1]Short Spot'!R138)*100</f>
        <v>-2.6453826525068003</v>
      </c>
      <c r="S138" s="19">
        <f>('[1]Short Spot'!S139-'[1]Short Spot'!S138)*100</f>
        <v>-2.8114520080919192</v>
      </c>
      <c r="T138" s="19">
        <f>('[1]Short Spot'!T139-'[1]Short Spot'!T138)*100</f>
        <v>-2.9718901938735165</v>
      </c>
      <c r="U138" s="19">
        <f>('[1]Short Spot'!U139-'[1]Short Spot'!U138)*100</f>
        <v>-3.126241205087954</v>
      </c>
      <c r="V138" s="19">
        <f>('[1]Short Spot'!V139-'[1]Short Spot'!V138)*100</f>
        <v>-3.2744034309645897</v>
      </c>
      <c r="W138" s="19">
        <f>('[1]Short Spot'!W139-'[1]Short Spot'!W138)*100</f>
        <v>-3.4164051337580048</v>
      </c>
      <c r="X138" s="19">
        <f>('[1]Short Spot'!X139-'[1]Short Spot'!X138)*100</f>
        <v>-3.5523645519732305</v>
      </c>
      <c r="Y138" s="19">
        <f>('[1]Short Spot'!Y139-'[1]Short Spot'!Y138)*100</f>
        <v>-3.6824724048456048</v>
      </c>
      <c r="Z138" s="19">
        <f>('[1]Short Spot'!Z139-'[1]Short Spot'!Z138)*100</f>
        <v>-3.8069773961953324</v>
      </c>
      <c r="AA138" s="19">
        <f>('[1]Short Spot'!AA139-'[1]Short Spot'!AA138)*100</f>
        <v>-3.9261750635463777</v>
      </c>
      <c r="AB138" s="19">
        <f>('[1]Short Spot'!AB139-'[1]Short Spot'!AB138)*100</f>
        <v>-4.0403954753616134</v>
      </c>
      <c r="AC138" s="19">
        <f>('[1]Short Spot'!AC139-'[1]Short Spot'!AC138)*100</f>
        <v>-4.1499659454359517</v>
      </c>
      <c r="AD138" s="19">
        <f>('[1]Short Spot'!AD139-'[1]Short Spot'!AD138)*100</f>
        <v>-4.2551896007276824</v>
      </c>
      <c r="AE138" s="19">
        <f>('[1]Short Spot'!AE139-'[1]Short Spot'!AE138)*100</f>
        <v>-4.3563477758591596</v>
      </c>
      <c r="AF138" s="19">
        <f>('[1]Short Spot'!AF139-'[1]Short Spot'!AF138)*100</f>
        <v>-4.4536988625388574</v>
      </c>
      <c r="AG138" s="19">
        <f>('[1]Short Spot'!AG139-'[1]Short Spot'!AG138)*100</f>
        <v>-4.5474797794065047</v>
      </c>
      <c r="AH138" s="19">
        <f>('[1]Short Spot'!AH139-'[1]Short Spot'!AH138)*100</f>
        <v>-4.6379091696121755</v>
      </c>
      <c r="AI138" s="19">
        <f>('[1]Short Spot'!AI139-'[1]Short Spot'!AI138)*100</f>
        <v>-4.7251900883863662</v>
      </c>
      <c r="AJ138" s="19">
        <f>('[1]Short Spot'!AJ139-'[1]Short Spot'!AJ138)*100</f>
        <v>-4.8095122038718685</v>
      </c>
      <c r="AK138" s="19">
        <f>('[1]Short Spot'!AK139-'[1]Short Spot'!AK138)*100</f>
        <v>-4.8910518334679409</v>
      </c>
      <c r="AL138" s="19">
        <f>('[1]Short Spot'!AL139-'[1]Short Spot'!AL138)*100</f>
        <v>-4.969968835576033</v>
      </c>
      <c r="AM138" s="19">
        <f>('[1]Short Spot'!AM139-'[1]Short Spot'!AM138)*100</f>
        <v>-5.0464074352963628</v>
      </c>
      <c r="AN138" s="19">
        <f>('[1]Short Spot'!AN139-'[1]Short Spot'!AN138)*100</f>
        <v>-5.1204982248164832</v>
      </c>
      <c r="AO138" s="19">
        <f>('[1]Short Spot'!AO139-'[1]Short Spot'!AO138)*100</f>
        <v>-5.1923598675244875</v>
      </c>
      <c r="AP138" s="19">
        <f>('[1]Short Spot'!AP139-'[1]Short Spot'!AP138)*100</f>
        <v>-5.2621004980791142</v>
      </c>
      <c r="AQ138" s="19">
        <f>('[1]Short Spot'!AQ139-'[1]Short Spot'!AQ138)*100</f>
        <v>-5.3298184925479219</v>
      </c>
      <c r="AR138" s="19">
        <f>('[1]Short Spot'!AR139-'[1]Short Spot'!AR138)*100</f>
        <v>-5.3956031976194474</v>
      </c>
      <c r="AS138" s="19">
        <f>('[1]Short Spot'!AS139-'[1]Short Spot'!AS138)*100</f>
        <v>-5.4595359275373845</v>
      </c>
      <c r="AT138" s="19">
        <f>('[1]Short Spot'!AT139-'[1]Short Spot'!AT138)*100</f>
        <v>-5.5216908565953737</v>
      </c>
      <c r="AU138" s="19">
        <f>('[1]Short Spot'!AU139-'[1]Short Spot'!AU138)*100</f>
        <v>-5.5821357952181572</v>
      </c>
      <c r="AV138" s="19">
        <f>('[1]Short Spot'!AV139-'[1]Short Spot'!AV138)*100</f>
        <v>-5.6409328669682957</v>
      </c>
      <c r="AW138" s="19">
        <f>('[1]Short Spot'!AW139-'[1]Short Spot'!AW138)*100</f>
        <v>-5.6981391125318304</v>
      </c>
      <c r="AX138" s="19">
        <f>('[1]Short Spot'!AX139-'[1]Short Spot'!AX138)*100</f>
        <v>-5.7538071950436809</v>
      </c>
      <c r="AY138" s="19">
        <f>('[1]Short Spot'!AY139-'[1]Short Spot'!AY138)*100</f>
        <v>-5.8079858308033749</v>
      </c>
      <c r="AZ138" s="19">
        <f>('[1]Short Spot'!AZ139-'[1]Short Spot'!AZ138)*100</f>
        <v>-5.8607200369730883</v>
      </c>
      <c r="BA138" s="19">
        <f>('[1]Short Spot'!BA139-'[1]Short Spot'!BA138)*100</f>
        <v>-5.9120514828285842</v>
      </c>
      <c r="BB138" s="19">
        <f>('[1]Short Spot'!BB139-'[1]Short Spot'!BB138)*100</f>
        <v>-5.9620188055983903</v>
      </c>
      <c r="BC138" s="19">
        <f>('[1]Short Spot'!BC139-'[1]Short Spot'!BC138)*100</f>
        <v>-6.0106578912080266</v>
      </c>
      <c r="BD138" s="19">
        <f>('[1]Short Spot'!BD139-'[1]Short Spot'!BD138)*100</f>
        <v>-6.0580021243989535</v>
      </c>
      <c r="BE138" s="19">
        <f>('[1]Short Spot'!BE139-'[1]Short Spot'!BE138)*100</f>
        <v>-6.1040826366840939</v>
      </c>
      <c r="BF138" s="19">
        <f>('[1]Short Spot'!BF139-'[1]Short Spot'!BF138)*100</f>
        <v>-6.1489287443428076</v>
      </c>
      <c r="BG138" s="19">
        <f>('[1]Short Spot'!BG139-'[1]Short Spot'!BG138)*100</f>
        <v>-6.1925681926429554</v>
      </c>
      <c r="BH138" s="19">
        <f>('[1]Short Spot'!BH139-'[1]Short Spot'!BH138)*100</f>
        <v>-6.2350272454528621</v>
      </c>
      <c r="BI138" s="19">
        <f>('[1]Short Spot'!BI139-'[1]Short Spot'!BI138)*100</f>
        <v>-6.2763308082819158</v>
      </c>
    </row>
    <row r="139" spans="1:61" x14ac:dyDescent="0.2">
      <c r="A139" s="18">
        <v>39282</v>
      </c>
      <c r="B139" s="19">
        <f>('[1]Short Spot'!B140-'[1]Short Spot'!B139)*100</f>
        <v>-0.99616452499109442</v>
      </c>
      <c r="C139" s="19">
        <f>('[1]Short Spot'!C140-'[1]Short Spot'!C139)*100</f>
        <v>-1.0709843438876376</v>
      </c>
      <c r="D139" s="19">
        <f>('[1]Short Spot'!D140-'[1]Short Spot'!D139)*100</f>
        <v>-1.3085779559073529</v>
      </c>
      <c r="E139" s="19">
        <f>('[1]Short Spot'!E140-'[1]Short Spot'!E139)*100</f>
        <v>-1.6231203200977262</v>
      </c>
      <c r="F139" s="19">
        <f>('[1]Short Spot'!F140-'[1]Short Spot'!F139)*100</f>
        <v>-1.9443866434476931</v>
      </c>
      <c r="G139" s="19">
        <f>('[1]Short Spot'!G140-'[1]Short Spot'!G139)*100</f>
        <v>-2.2248128625464325</v>
      </c>
      <c r="H139" s="19">
        <f>('[1]Short Spot'!H140-'[1]Short Spot'!H139)*100</f>
        <v>-2.4432918761264411</v>
      </c>
      <c r="I139" s="19">
        <f>('[1]Short Spot'!I140-'[1]Short Spot'!I139)*100</f>
        <v>-2.5983675565155906</v>
      </c>
      <c r="J139" s="19">
        <f>('[1]Short Spot'!J140-'[1]Short Spot'!J139)*100</f>
        <v>-2.7003932842931455</v>
      </c>
      <c r="K139" s="19">
        <f>('[1]Short Spot'!K140-'[1]Short Spot'!K139)*100</f>
        <v>-2.7603728675446249</v>
      </c>
      <c r="L139" s="19">
        <f>('[1]Short Spot'!L140-'[1]Short Spot'!L139)*100</f>
        <v>-2.7878143375914988</v>
      </c>
      <c r="M139" s="19">
        <f>('[1]Short Spot'!M140-'[1]Short Spot'!M139)*100</f>
        <v>-2.7910447526445559</v>
      </c>
      <c r="N139" s="19">
        <f>('[1]Short Spot'!N140-'[1]Short Spot'!N139)*100</f>
        <v>-2.7773437046803018</v>
      </c>
      <c r="O139" s="19">
        <f>('[1]Short Spot'!O140-'[1]Short Spot'!O139)*100</f>
        <v>-2.7517280473175809</v>
      </c>
      <c r="P139" s="19">
        <f>('[1]Short Spot'!P140-'[1]Short Spot'!P139)*100</f>
        <v>-2.7176432237014048</v>
      </c>
      <c r="Q139" s="19">
        <f>('[1]Short Spot'!Q140-'[1]Short Spot'!Q139)*100</f>
        <v>-2.6776575914219336</v>
      </c>
      <c r="R139" s="19">
        <f>('[1]Short Spot'!R140-'[1]Short Spot'!R139)*100</f>
        <v>-2.6336787022350094</v>
      </c>
      <c r="S139" s="19">
        <f>('[1]Short Spot'!S140-'[1]Short Spot'!S139)*100</f>
        <v>-2.5871162363641176</v>
      </c>
      <c r="T139" s="19">
        <f>('[1]Short Spot'!T140-'[1]Short Spot'!T139)*100</f>
        <v>-2.5390124304088602</v>
      </c>
      <c r="U139" s="19">
        <f>('[1]Short Spot'!U140-'[1]Short Spot'!U139)*100</f>
        <v>-2.4901322501167833</v>
      </c>
      <c r="V139" s="19">
        <f>('[1]Short Spot'!V140-'[1]Short Spot'!V139)*100</f>
        <v>-2.440995222662945</v>
      </c>
      <c r="W139" s="19">
        <f>('[1]Short Spot'!W140-'[1]Short Spot'!W139)*100</f>
        <v>-2.391946868572159</v>
      </c>
      <c r="X139" s="19">
        <f>('[1]Short Spot'!X140-'[1]Short Spot'!X139)*100</f>
        <v>-2.3432400618031757</v>
      </c>
      <c r="Y139" s="19">
        <f>('[1]Short Spot'!Y140-'[1]Short Spot'!Y139)*100</f>
        <v>-2.2950561953726023</v>
      </c>
      <c r="Z139" s="19">
        <f>('[1]Short Spot'!Z140-'[1]Short Spot'!Z139)*100</f>
        <v>-2.2475194775416263</v>
      </c>
      <c r="AA139" s="19">
        <f>('[1]Short Spot'!AA140-'[1]Short Spot'!AA139)*100</f>
        <v>-2.200707928885226</v>
      </c>
      <c r="AB139" s="19">
        <f>('[1]Short Spot'!AB140-'[1]Short Spot'!AB139)*100</f>
        <v>-2.1546603200468972</v>
      </c>
      <c r="AC139" s="19">
        <f>('[1]Short Spot'!AC140-'[1]Short Spot'!AC139)*100</f>
        <v>-2.1093815878633571</v>
      </c>
      <c r="AD139" s="19">
        <f>('[1]Short Spot'!AD140-'[1]Short Spot'!AD139)*100</f>
        <v>-2.0648605070885395</v>
      </c>
      <c r="AE139" s="19">
        <f>('[1]Short Spot'!AE140-'[1]Short Spot'!AE139)*100</f>
        <v>-2.0210770058270988</v>
      </c>
      <c r="AF139" s="19">
        <f>('[1]Short Spot'!AF140-'[1]Short Spot'!AF139)*100</f>
        <v>-1.9780090526953842</v>
      </c>
      <c r="AG139" s="19">
        <f>('[1]Short Spot'!AG140-'[1]Short Spot'!AG139)*100</f>
        <v>-1.9356348266214241</v>
      </c>
      <c r="AH139" s="19">
        <f>('[1]Short Spot'!AH140-'[1]Short Spot'!AH139)*100</f>
        <v>-1.8939327118332017</v>
      </c>
      <c r="AI139" s="19">
        <f>('[1]Short Spot'!AI140-'[1]Short Spot'!AI139)*100</f>
        <v>-1.8528812676676942</v>
      </c>
      <c r="AJ139" s="19">
        <f>('[1]Short Spot'!AJ140-'[1]Short Spot'!AJ139)*100</f>
        <v>-1.8124591892510367</v>
      </c>
      <c r="AK139" s="19">
        <f>('[1]Short Spot'!AK140-'[1]Short Spot'!AK139)*100</f>
        <v>-1.772645243902371</v>
      </c>
      <c r="AL139" s="19">
        <f>('[1]Short Spot'!AL140-'[1]Short Spot'!AL139)*100</f>
        <v>-1.7334196978925576</v>
      </c>
      <c r="AM139" s="19">
        <f>('[1]Short Spot'!AM140-'[1]Short Spot'!AM139)*100</f>
        <v>-1.6947651722449386</v>
      </c>
      <c r="AN139" s="19">
        <f>('[1]Short Spot'!AN140-'[1]Short Spot'!AN139)*100</f>
        <v>-1.656666377597027</v>
      </c>
      <c r="AO139" s="19">
        <f>('[1]Short Spot'!AO140-'[1]Short Spot'!AO139)*100</f>
        <v>-1.6191098529956705</v>
      </c>
      <c r="AP139" s="19">
        <f>('[1]Short Spot'!AP140-'[1]Short Spot'!AP139)*100</f>
        <v>-1.5820837332063853</v>
      </c>
      <c r="AQ139" s="19">
        <f>('[1]Short Spot'!AQ140-'[1]Short Spot'!AQ139)*100</f>
        <v>-1.5455775382701376</v>
      </c>
      <c r="AR139" s="19">
        <f>('[1]Short Spot'!AR140-'[1]Short Spot'!AR139)*100</f>
        <v>-1.5095820374434687</v>
      </c>
      <c r="AS139" s="19">
        <f>('[1]Short Spot'!AS140-'[1]Short Spot'!AS139)*100</f>
        <v>-1.474089113301158</v>
      </c>
      <c r="AT139" s="19">
        <f>('[1]Short Spot'!AT140-'[1]Short Spot'!AT139)*100</f>
        <v>-1.4390916380333074</v>
      </c>
      <c r="AU139" s="19">
        <f>('[1]Short Spot'!AU140-'[1]Short Spot'!AU139)*100</f>
        <v>-1.4045833658794749</v>
      </c>
      <c r="AV139" s="19">
        <f>('[1]Short Spot'!AV140-'[1]Short Spot'!AV139)*100</f>
        <v>-1.3705588392931567</v>
      </c>
      <c r="AW139" s="19">
        <f>('[1]Short Spot'!AW140-'[1]Short Spot'!AW139)*100</f>
        <v>-1.3370133219455127</v>
      </c>
      <c r="AX139" s="19">
        <f>('[1]Short Spot'!AX140-'[1]Short Spot'!AX139)*100</f>
        <v>-1.3039429724734042</v>
      </c>
      <c r="AY139" s="19">
        <f>('[1]Short Spot'!AY140-'[1]Short Spot'!AY139)*100</f>
        <v>-1.2713448569627417</v>
      </c>
      <c r="AZ139" s="19">
        <f>('[1]Short Spot'!AZ140-'[1]Short Spot'!AZ139)*100</f>
        <v>-1.2392167562948586</v>
      </c>
      <c r="BA139" s="19">
        <f>('[1]Short Spot'!BA140-'[1]Short Spot'!BA139)*100</f>
        <v>-1.2075570940740299</v>
      </c>
      <c r="BB139" s="19">
        <f>('[1]Short Spot'!BB140-'[1]Short Spot'!BB139)*100</f>
        <v>-1.1763648759920642</v>
      </c>
      <c r="BC139" s="19">
        <f>('[1]Short Spot'!BC140-'[1]Short Spot'!BC139)*100</f>
        <v>-1.1456396359326604</v>
      </c>
      <c r="BD139" s="19">
        <f>('[1]Short Spot'!BD140-'[1]Short Spot'!BD139)*100</f>
        <v>-1.1153813879537289</v>
      </c>
      <c r="BE139" s="19">
        <f>('[1]Short Spot'!BE140-'[1]Short Spot'!BE139)*100</f>
        <v>-1.0855906075478927</v>
      </c>
      <c r="BF139" s="19">
        <f>('[1]Short Spot'!BF140-'[1]Short Spot'!BF139)*100</f>
        <v>-1.0562683524852901</v>
      </c>
      <c r="BG139" s="19">
        <f>('[1]Short Spot'!BG140-'[1]Short Spot'!BG139)*100</f>
        <v>-1.0274161559032713</v>
      </c>
      <c r="BH139" s="19">
        <f>('[1]Short Spot'!BH140-'[1]Short Spot'!BH139)*100</f>
        <v>-0.99903592312875489</v>
      </c>
      <c r="BI139" s="19">
        <f>('[1]Short Spot'!BI140-'[1]Short Spot'!BI139)*100</f>
        <v>-0.97112990038645819</v>
      </c>
    </row>
    <row r="140" spans="1:61" x14ac:dyDescent="0.2">
      <c r="A140" s="18">
        <v>39283</v>
      </c>
      <c r="B140" s="19">
        <f>('[1]Short Spot'!B141-'[1]Short Spot'!B140)*100</f>
        <v>-0.25758562314646127</v>
      </c>
      <c r="C140" s="19">
        <f>('[1]Short Spot'!C141-'[1]Short Spot'!C140)*100</f>
        <v>-0.27526705032281384</v>
      </c>
      <c r="D140" s="19">
        <f>('[1]Short Spot'!D141-'[1]Short Spot'!D140)*100</f>
        <v>-0.23960785972025889</v>
      </c>
      <c r="E140" s="19">
        <f>('[1]Short Spot'!E141-'[1]Short Spot'!E140)*100</f>
        <v>-0.21197148016325329</v>
      </c>
      <c r="F140" s="19">
        <f>('[1]Short Spot'!F141-'[1]Short Spot'!F140)*100</f>
        <v>-0.24710455830101452</v>
      </c>
      <c r="G140" s="19">
        <f>('[1]Short Spot'!G141-'[1]Short Spot'!G140)*100</f>
        <v>-0.36435271860737473</v>
      </c>
      <c r="H140" s="19">
        <f>('[1]Short Spot'!H141-'[1]Short Spot'!H140)*100</f>
        <v>-0.55839579576186793</v>
      </c>
      <c r="I140" s="19">
        <f>('[1]Short Spot'!I141-'[1]Short Spot'!I140)*100</f>
        <v>-0.82113485617698601</v>
      </c>
      <c r="J140" s="19">
        <f>('[1]Short Spot'!J141-'[1]Short Spot'!J140)*100</f>
        <v>-1.1462033575440955</v>
      </c>
      <c r="K140" s="19">
        <f>('[1]Short Spot'!K141-'[1]Short Spot'!K140)*100</f>
        <v>-1.5191263537651878</v>
      </c>
      <c r="L140" s="19">
        <f>('[1]Short Spot'!L141-'[1]Short Spot'!L140)*100</f>
        <v>-1.9230702042393411</v>
      </c>
      <c r="M140" s="19">
        <f>('[1]Short Spot'!M141-'[1]Short Spot'!M140)*100</f>
        <v>-2.3429730241199209</v>
      </c>
      <c r="N140" s="19">
        <f>('[1]Short Spot'!N141-'[1]Short Spot'!N140)*100</f>
        <v>-2.7654229665502683</v>
      </c>
      <c r="O140" s="19">
        <f>('[1]Short Spot'!O141-'[1]Short Spot'!O140)*100</f>
        <v>-3.1801343385284397</v>
      </c>
      <c r="P140" s="19">
        <f>('[1]Short Spot'!P141-'[1]Short Spot'!P140)*100</f>
        <v>-3.5803378154696475</v>
      </c>
      <c r="Q140" s="19">
        <f>('[1]Short Spot'!Q141-'[1]Short Spot'!Q140)*100</f>
        <v>-3.9617362457411431</v>
      </c>
      <c r="R140" s="19">
        <f>('[1]Short Spot'!R141-'[1]Short Spot'!R140)*100</f>
        <v>-4.3218988956602367</v>
      </c>
      <c r="S140" s="19">
        <f>('[1]Short Spot'!S141-'[1]Short Spot'!S140)*100</f>
        <v>-4.6598166809587838</v>
      </c>
      <c r="T140" s="19">
        <f>('[1]Short Spot'!T141-'[1]Short Spot'!T140)*100</f>
        <v>-4.9755313743666818</v>
      </c>
      <c r="U140" s="19">
        <f>('[1]Short Spot'!U141-'[1]Short Spot'!U140)*100</f>
        <v>-5.2698623038283543</v>
      </c>
      <c r="V140" s="19">
        <f>('[1]Short Spot'!V141-'[1]Short Spot'!V140)*100</f>
        <v>-5.5439685507576719</v>
      </c>
      <c r="W140" s="19">
        <f>('[1]Short Spot'!W141-'[1]Short Spot'!W140)*100</f>
        <v>-5.7989979133869163</v>
      </c>
      <c r="X140" s="19">
        <f>('[1]Short Spot'!X141-'[1]Short Spot'!X140)*100</f>
        <v>-6.036121409620776</v>
      </c>
      <c r="Y140" s="19">
        <f>('[1]Short Spot'!Y141-'[1]Short Spot'!Y140)*100</f>
        <v>-6.2565315417508316</v>
      </c>
      <c r="Z140" s="19">
        <f>('[1]Short Spot'!Z141-'[1]Short Spot'!Z140)*100</f>
        <v>-6.4614379995801663</v>
      </c>
      <c r="AA140" s="19">
        <f>('[1]Short Spot'!AA141-'[1]Short Spot'!AA140)*100</f>
        <v>-6.6520643543030999</v>
      </c>
      <c r="AB140" s="19">
        <f>('[1]Short Spot'!AB141-'[1]Short Spot'!AB140)*100</f>
        <v>-6.8296296168934845</v>
      </c>
      <c r="AC140" s="19">
        <f>('[1]Short Spot'!AC141-'[1]Short Spot'!AC140)*100</f>
        <v>-6.9952579204222154</v>
      </c>
      <c r="AD140" s="19">
        <f>('[1]Short Spot'!AD141-'[1]Short Spot'!AD140)*100</f>
        <v>-7.1499556721459356</v>
      </c>
      <c r="AE140" s="19">
        <f>('[1]Short Spot'!AE141-'[1]Short Spot'!AE140)*100</f>
        <v>-7.2946317541193295</v>
      </c>
      <c r="AF140" s="19">
        <f>('[1]Short Spot'!AF141-'[1]Short Spot'!AF140)*100</f>
        <v>-7.430108524175516</v>
      </c>
      <c r="AG140" s="19">
        <f>('[1]Short Spot'!AG141-'[1]Short Spot'!AG140)*100</f>
        <v>-7.5571332109041656</v>
      </c>
      <c r="AH140" s="19">
        <f>('[1]Short Spot'!AH141-'[1]Short Spot'!AH140)*100</f>
        <v>-7.6763892486114038</v>
      </c>
      <c r="AI140" s="19">
        <f>('[1]Short Spot'!AI141-'[1]Short Spot'!AI140)*100</f>
        <v>-7.7885056588327117</v>
      </c>
      <c r="AJ140" s="19">
        <f>('[1]Short Spot'!AJ141-'[1]Short Spot'!AJ140)*100</f>
        <v>-7.8940646491899358</v>
      </c>
      <c r="AK140" s="19">
        <f>('[1]Short Spot'!AK141-'[1]Short Spot'!AK140)*100</f>
        <v>-7.9936019872229203</v>
      </c>
      <c r="AL140" s="19">
        <f>('[1]Short Spot'!AL141-'[1]Short Spot'!AL140)*100</f>
        <v>-8.0876020496801537</v>
      </c>
      <c r="AM140" s="19">
        <f>('[1]Short Spot'!AM141-'[1]Short Spot'!AM140)*100</f>
        <v>-8.1765029323769944</v>
      </c>
      <c r="AN140" s="19">
        <f>('[1]Short Spot'!AN141-'[1]Short Spot'!AN140)*100</f>
        <v>-8.2607024147868913</v>
      </c>
      <c r="AO140" s="19">
        <f>('[1]Short Spot'!AO141-'[1]Short Spot'!AO140)*100</f>
        <v>-8.340562999262513</v>
      </c>
      <c r="AP140" s="19">
        <f>('[1]Short Spot'!AP141-'[1]Short Spot'!AP140)*100</f>
        <v>-8.4164157631153813</v>
      </c>
      <c r="AQ140" s="19">
        <f>('[1]Short Spot'!AQ141-'[1]Short Spot'!AQ140)*100</f>
        <v>-8.4885613728771681</v>
      </c>
      <c r="AR140" s="19">
        <f>('[1]Short Spot'!AR141-'[1]Short Spot'!AR140)*100</f>
        <v>-8.5572719524430241</v>
      </c>
      <c r="AS140" s="19">
        <f>('[1]Short Spot'!AS141-'[1]Short Spot'!AS140)*100</f>
        <v>-8.6227942540882729</v>
      </c>
      <c r="AT140" s="19">
        <f>('[1]Short Spot'!AT141-'[1]Short Spot'!AT140)*100</f>
        <v>-8.6853524775379221</v>
      </c>
      <c r="AU140" s="19">
        <f>('[1]Short Spot'!AU141-'[1]Short Spot'!AU140)*100</f>
        <v>-8.7451507213310187</v>
      </c>
      <c r="AV140" s="19">
        <f>('[1]Short Spot'!AV141-'[1]Short Spot'!AV140)*100</f>
        <v>-8.8023751212438661</v>
      </c>
      <c r="AW140" s="19">
        <f>('[1]Short Spot'!AW141-'[1]Short Spot'!AW140)*100</f>
        <v>-8.8571957605193319</v>
      </c>
      <c r="AX140" s="19">
        <f>('[1]Short Spot'!AX141-'[1]Short Spot'!AX140)*100</f>
        <v>-8.9097684102783958</v>
      </c>
      <c r="AY140" s="19">
        <f>('[1]Short Spot'!AY141-'[1]Short Spot'!AY140)*100</f>
        <v>-8.96023486573716</v>
      </c>
      <c r="AZ140" s="19">
        <f>('[1]Short Spot'!AZ141-'[1]Short Spot'!AZ140)*100</f>
        <v>-9.0087237624342897</v>
      </c>
      <c r="BA140" s="19">
        <f>('[1]Short Spot'!BA141-'[1]Short Spot'!BA140)*100</f>
        <v>-9.0553518347051387</v>
      </c>
      <c r="BB140" s="19">
        <f>('[1]Short Spot'!BB141-'[1]Short Spot'!BB140)*100</f>
        <v>-9.1002250384381256</v>
      </c>
      <c r="BC140" s="19">
        <f>('[1]Short Spot'!BC141-'[1]Short Spot'!BC140)*100</f>
        <v>-9.1434395490785469</v>
      </c>
      <c r="BD140" s="19">
        <f>('[1]Short Spot'!BD141-'[1]Short Spot'!BD140)*100</f>
        <v>-9.1850826507591243</v>
      </c>
      <c r="BE140" s="19">
        <f>('[1]Short Spot'!BE141-'[1]Short Spot'!BE140)*100</f>
        <v>-9.2252336164239779</v>
      </c>
      <c r="BF140" s="19">
        <f>('[1]Short Spot'!BF141-'[1]Short Spot'!BF140)*100</f>
        <v>-9.263964806470959</v>
      </c>
      <c r="BG140" s="19">
        <f>('[1]Short Spot'!BG141-'[1]Short Spot'!BG140)*100</f>
        <v>-9.3013419293201061</v>
      </c>
      <c r="BH140" s="19">
        <f>('[1]Short Spot'!BH141-'[1]Short Spot'!BH140)*100</f>
        <v>-9.3374244275477913</v>
      </c>
      <c r="BI140" s="19">
        <f>('[1]Short Spot'!BI141-'[1]Short Spot'!BI140)*100</f>
        <v>-9.37226599976686</v>
      </c>
    </row>
    <row r="141" spans="1:61" x14ac:dyDescent="0.2">
      <c r="A141" s="18">
        <v>39286</v>
      </c>
      <c r="B141" s="19">
        <f>('[1]Short Spot'!B142-'[1]Short Spot'!B141)*100</f>
        <v>-0.26978220725775159</v>
      </c>
      <c r="C141" s="19">
        <f>('[1]Short Spot'!C142-'[1]Short Spot'!C141)*100</f>
        <v>0.24442188476170301</v>
      </c>
      <c r="D141" s="19">
        <f>('[1]Short Spot'!D142-'[1]Short Spot'!D141)*100</f>
        <v>0.43627364914611277</v>
      </c>
      <c r="E141" s="19">
        <f>('[1]Short Spot'!E142-'[1]Short Spot'!E141)*100</f>
        <v>0.50098292291806956</v>
      </c>
      <c r="F141" s="19">
        <f>('[1]Short Spot'!F142-'[1]Short Spot'!F141)*100</f>
        <v>0.47462556748110174</v>
      </c>
      <c r="G141" s="19">
        <f>('[1]Short Spot'!G142-'[1]Short Spot'!G141)*100</f>
        <v>0.39492725647605198</v>
      </c>
      <c r="H141" s="19">
        <f>('[1]Short Spot'!H142-'[1]Short Spot'!H141)*100</f>
        <v>0.3009553778256624</v>
      </c>
      <c r="I141" s="19">
        <f>('[1]Short Spot'!I142-'[1]Short Spot'!I141)*100</f>
        <v>0.21973341837115967</v>
      </c>
      <c r="J141" s="19">
        <f>('[1]Short Spot'!J142-'[1]Short Spot'!J141)*100</f>
        <v>0.16388540146277109</v>
      </c>
      <c r="K141" s="19">
        <f>('[1]Short Spot'!K142-'[1]Short Spot'!K141)*100</f>
        <v>0.13752378414277899</v>
      </c>
      <c r="L141" s="19">
        <f>('[1]Short Spot'!L142-'[1]Short Spot'!L141)*100</f>
        <v>0.1392826123292501</v>
      </c>
      <c r="M141" s="19">
        <f>('[1]Short Spot'!M142-'[1]Short Spot'!M141)*100</f>
        <v>0.16483919340801734</v>
      </c>
      <c r="N141" s="19">
        <f>('[1]Short Spot'!N142-'[1]Short Spot'!N141)*100</f>
        <v>0.20807759961360972</v>
      </c>
      <c r="O141" s="19">
        <f>('[1]Short Spot'!O142-'[1]Short Spot'!O141)*100</f>
        <v>0.2625058136316305</v>
      </c>
      <c r="P141" s="19">
        <f>('[1]Short Spot'!P142-'[1]Short Spot'!P141)*100</f>
        <v>0.32305216743049314</v>
      </c>
      <c r="Q141" s="19">
        <f>('[1]Short Spot'!Q142-'[1]Short Spot'!Q141)*100</f>
        <v>0.38594727180960575</v>
      </c>
      <c r="R141" s="19">
        <f>('[1]Short Spot'!R142-'[1]Short Spot'!R141)*100</f>
        <v>0.44855200331719303</v>
      </c>
      <c r="S141" s="19">
        <f>('[1]Short Spot'!S142-'[1]Short Spot'!S141)*100</f>
        <v>0.50913677592303586</v>
      </c>
      <c r="T141" s="19">
        <f>('[1]Short Spot'!T142-'[1]Short Spot'!T141)*100</f>
        <v>0.56664464047635477</v>
      </c>
      <c r="U141" s="19">
        <f>('[1]Short Spot'!U142-'[1]Short Spot'!U141)*100</f>
        <v>0.62052594045240994</v>
      </c>
      <c r="V141" s="19">
        <f>('[1]Short Spot'!V142-'[1]Short Spot'!V141)*100</f>
        <v>0.67061619046215881</v>
      </c>
      <c r="W141" s="19">
        <f>('[1]Short Spot'!W142-'[1]Short Spot'!W141)*100</f>
        <v>0.71691699540812337</v>
      </c>
      <c r="X141" s="19">
        <f>('[1]Short Spot'!X142-'[1]Short Spot'!X141)*100</f>
        <v>0.75949476788856884</v>
      </c>
      <c r="Y141" s="19">
        <f>('[1]Short Spot'!Y142-'[1]Short Spot'!Y141)*100</f>
        <v>0.7984662030180445</v>
      </c>
      <c r="Z141" s="19">
        <f>('[1]Short Spot'!Z142-'[1]Short Spot'!Z141)*100</f>
        <v>0.83398822192570776</v>
      </c>
      <c r="AA141" s="19">
        <f>('[1]Short Spot'!AA142-'[1]Short Spot'!AA141)*100</f>
        <v>0.86625023839550508</v>
      </c>
      <c r="AB141" s="19">
        <f>('[1]Short Spot'!AB142-'[1]Short Spot'!AB141)*100</f>
        <v>0.89546999125174054</v>
      </c>
      <c r="AC141" s="19">
        <f>('[1]Short Spot'!AC142-'[1]Short Spot'!AC141)*100</f>
        <v>0.92187935287952882</v>
      </c>
      <c r="AD141" s="19">
        <f>('[1]Short Spot'!AD142-'[1]Short Spot'!AD141)*100</f>
        <v>0.94569956542338574</v>
      </c>
      <c r="AE141" s="19">
        <f>('[1]Short Spot'!AE142-'[1]Short Spot'!AE141)*100</f>
        <v>0.96713741198719561</v>
      </c>
      <c r="AF141" s="19">
        <f>('[1]Short Spot'!AF142-'[1]Short Spot'!AF141)*100</f>
        <v>0.98638128885815135</v>
      </c>
      <c r="AG141" s="19">
        <f>('[1]Short Spot'!AG142-'[1]Short Spot'!AG141)*100</f>
        <v>1.0036025091065603</v>
      </c>
      <c r="AH141" s="19">
        <f>('[1]Short Spot'!AH142-'[1]Short Spot'!AH141)*100</f>
        <v>1.0189578813200484</v>
      </c>
      <c r="AI141" s="19">
        <f>('[1]Short Spot'!AI142-'[1]Short Spot'!AI141)*100</f>
        <v>1.0325918426153713</v>
      </c>
      <c r="AJ141" s="19">
        <f>('[1]Short Spot'!AJ142-'[1]Short Spot'!AJ141)*100</f>
        <v>1.0446382625445949</v>
      </c>
      <c r="AK141" s="19">
        <f>('[1]Short Spot'!AK142-'[1]Short Spot'!AK141)*100</f>
        <v>1.0552216948659598</v>
      </c>
      <c r="AL141" s="19">
        <f>('[1]Short Spot'!AL142-'[1]Short Spot'!AL141)*100</f>
        <v>1.0644559222134475</v>
      </c>
      <c r="AM141" s="19">
        <f>('[1]Short Spot'!AM142-'[1]Short Spot'!AM141)*100</f>
        <v>1.0724440601979524</v>
      </c>
      <c r="AN141" s="19">
        <f>('[1]Short Spot'!AN142-'[1]Short Spot'!AN141)*100</f>
        <v>1.07927990229717</v>
      </c>
      <c r="AO141" s="19">
        <f>('[1]Short Spot'!AO142-'[1]Short Spot'!AO141)*100</f>
        <v>1.085049085414358</v>
      </c>
      <c r="AP141" s="19">
        <f>('[1]Short Spot'!AP142-'[1]Short Spot'!AP141)*100</f>
        <v>1.0898301394361987</v>
      </c>
      <c r="AQ141" s="19">
        <f>('[1]Short Spot'!AQ142-'[1]Short Spot'!AQ141)*100</f>
        <v>1.0936953740944055</v>
      </c>
      <c r="AR141" s="19">
        <f>('[1]Short Spot'!AR142-'[1]Short Spot'!AR141)*100</f>
        <v>1.0967114721816884</v>
      </c>
      <c r="AS141" s="19">
        <f>('[1]Short Spot'!AS142-'[1]Short Spot'!AS141)*100</f>
        <v>1.0989401112166064</v>
      </c>
      <c r="AT141" s="19">
        <f>('[1]Short Spot'!AT142-'[1]Short Spot'!AT141)*100</f>
        <v>1.1004385195846567</v>
      </c>
      <c r="AU141" s="19">
        <f>('[1]Short Spot'!AU142-'[1]Short Spot'!AU141)*100</f>
        <v>1.1012599601412987</v>
      </c>
      <c r="AV141" s="19">
        <f>('[1]Short Spot'!AV142-'[1]Short Spot'!AV141)*100</f>
        <v>1.1014541520746768</v>
      </c>
      <c r="AW141" s="19">
        <f>('[1]Short Spot'!AW142-'[1]Short Spot'!AW141)*100</f>
        <v>1.1010676141999021</v>
      </c>
      <c r="AX141" s="19">
        <f>('[1]Short Spot'!AX142-'[1]Short Spot'!AX141)*100</f>
        <v>1.1001437133950631</v>
      </c>
      <c r="AY141" s="19">
        <f>('[1]Short Spot'!AY142-'[1]Short Spot'!AY141)*100</f>
        <v>1.098722887490311</v>
      </c>
      <c r="AZ141" s="19">
        <f>('[1]Short Spot'!AZ142-'[1]Short Spot'!AZ141)*100</f>
        <v>1.0968429996271567</v>
      </c>
      <c r="BA141" s="19">
        <f>('[1]Short Spot'!BA142-'[1]Short Spot'!BA141)*100</f>
        <v>1.0945395867236307</v>
      </c>
      <c r="BB141" s="19">
        <f>('[1]Short Spot'!BB142-'[1]Short Spot'!BB141)*100</f>
        <v>1.0918460789296702</v>
      </c>
      <c r="BC141" s="19">
        <f>('[1]Short Spot'!BC142-'[1]Short Spot'!BC141)*100</f>
        <v>1.0887939946984559</v>
      </c>
      <c r="BD141" s="19">
        <f>('[1]Short Spot'!BD142-'[1]Short Spot'!BD141)*100</f>
        <v>1.0854131145769941</v>
      </c>
      <c r="BE141" s="19">
        <f>('[1]Short Spot'!BE142-'[1]Short Spot'!BE141)*100</f>
        <v>1.0817315478460543</v>
      </c>
      <c r="BF141" s="19">
        <f>('[1]Short Spot'!BF142-'[1]Short Spot'!BF141)*100</f>
        <v>1.0777750992559731</v>
      </c>
      <c r="BG141" s="19">
        <f>('[1]Short Spot'!BG142-'[1]Short Spot'!BG141)*100</f>
        <v>1.0735668858472991</v>
      </c>
      <c r="BH141" s="19">
        <f>('[1]Short Spot'!BH142-'[1]Short Spot'!BH141)*100</f>
        <v>1.0691275562751734</v>
      </c>
      <c r="BI141" s="19">
        <f>('[1]Short Spot'!BI142-'[1]Short Spot'!BI141)*100</f>
        <v>1.0644760029341782</v>
      </c>
    </row>
    <row r="142" spans="1:61" x14ac:dyDescent="0.2">
      <c r="A142" s="18">
        <v>39287</v>
      </c>
      <c r="B142" s="19">
        <f>('[1]Short Spot'!B143-'[1]Short Spot'!B142)*100</f>
        <v>0.18137830512543474</v>
      </c>
      <c r="C142" s="19">
        <f>('[1]Short Spot'!C143-'[1]Short Spot'!C142)*100</f>
        <v>0.17307496176037773</v>
      </c>
      <c r="D142" s="19">
        <f>('[1]Short Spot'!D143-'[1]Short Spot'!D142)*100</f>
        <v>0.38671809102872601</v>
      </c>
      <c r="E142" s="19">
        <f>('[1]Short Spot'!E143-'[1]Short Spot'!E142)*100</f>
        <v>0.66765462585554047</v>
      </c>
      <c r="F142" s="19">
        <f>('[1]Short Spot'!F143-'[1]Short Spot'!F142)*100</f>
        <v>0.97164231773465559</v>
      </c>
      <c r="G142" s="19">
        <f>('[1]Short Spot'!G143-'[1]Short Spot'!G142)*100</f>
        <v>1.2376650419684054</v>
      </c>
      <c r="H142" s="19">
        <f>('[1]Short Spot'!H143-'[1]Short Spot'!H142)*100</f>
        <v>1.4236074019502887</v>
      </c>
      <c r="I142" s="19">
        <f>('[1]Short Spot'!I143-'[1]Short Spot'!I142)*100</f>
        <v>1.5151392829311661</v>
      </c>
      <c r="J142" s="19">
        <f>('[1]Short Spot'!J143-'[1]Short Spot'!J142)*100</f>
        <v>1.5236127238869024</v>
      </c>
      <c r="K142" s="19">
        <f>('[1]Short Spot'!K143-'[1]Short Spot'!K142)*100</f>
        <v>1.469518783591095</v>
      </c>
      <c r="L142" s="19">
        <f>('[1]Short Spot'!L143-'[1]Short Spot'!L142)*100</f>
        <v>1.3724770932187269</v>
      </c>
      <c r="M142" s="19">
        <f>('[1]Short Spot'!M143-'[1]Short Spot'!M142)*100</f>
        <v>1.2473874625923642</v>
      </c>
      <c r="N142" s="19">
        <f>('[1]Short Spot'!N143-'[1]Short Spot'!N142)*100</f>
        <v>1.1057927608986162</v>
      </c>
      <c r="O142" s="19">
        <f>('[1]Short Spot'!O143-'[1]Short Spot'!O142)*100</f>
        <v>0.95644076787086973</v>
      </c>
      <c r="P142" s="19">
        <f>('[1]Short Spot'!P143-'[1]Short Spot'!P142)*100</f>
        <v>0.80557687665923083</v>
      </c>
      <c r="Q142" s="19">
        <f>('[1]Short Spot'!Q143-'[1]Short Spot'!Q142)*100</f>
        <v>0.65762183110988914</v>
      </c>
      <c r="R142" s="19">
        <f>('[1]Short Spot'!R143-'[1]Short Spot'!R142)*100</f>
        <v>0.51552183788343697</v>
      </c>
      <c r="S142" s="19">
        <f>('[1]Short Spot'!S143-'[1]Short Spot'!S142)*100</f>
        <v>0.38107408027574508</v>
      </c>
      <c r="T142" s="19">
        <f>('[1]Short Spot'!T143-'[1]Short Spot'!T142)*100</f>
        <v>0.25522680206169213</v>
      </c>
      <c r="U142" s="19">
        <f>('[1]Short Spot'!U143-'[1]Short Spot'!U142)*100</f>
        <v>0.13829845019577292</v>
      </c>
      <c r="V142" s="19">
        <f>('[1]Short Spot'!V143-'[1]Short Spot'!V142)*100</f>
        <v>3.0252870844726942E-2</v>
      </c>
      <c r="W142" s="19">
        <f>('[1]Short Spot'!W143-'[1]Short Spot'!W142)*100</f>
        <v>-6.9088610557432872E-2</v>
      </c>
      <c r="X142" s="19">
        <f>('[1]Short Spot'!X143-'[1]Short Spot'!X142)*100</f>
        <v>-0.16001816142612313</v>
      </c>
      <c r="Y142" s="19">
        <f>('[1]Short Spot'!Y143-'[1]Short Spot'!Y142)*100</f>
        <v>-0.24291830490152932</v>
      </c>
      <c r="Z142" s="19">
        <f>('[1]Short Spot'!Z143-'[1]Short Spot'!Z142)*100</f>
        <v>-0.31824384870438038</v>
      </c>
      <c r="AA142" s="19">
        <f>('[1]Short Spot'!AA143-'[1]Short Spot'!AA142)*100</f>
        <v>-0.38650797658652536</v>
      </c>
      <c r="AB142" s="19">
        <f>('[1]Short Spot'!AB143-'[1]Short Spot'!AB142)*100</f>
        <v>-0.44826056143296711</v>
      </c>
      <c r="AC142" s="19">
        <f>('[1]Short Spot'!AC143-'[1]Short Spot'!AC142)*100</f>
        <v>-0.50402640867996951</v>
      </c>
      <c r="AD142" s="19">
        <f>('[1]Short Spot'!AD143-'[1]Short Spot'!AD142)*100</f>
        <v>-0.55428418908940458</v>
      </c>
      <c r="AE142" s="19">
        <f>('[1]Short Spot'!AE143-'[1]Short Spot'!AE142)*100</f>
        <v>-0.59947275504530495</v>
      </c>
      <c r="AF142" s="19">
        <f>('[1]Short Spot'!AF143-'[1]Short Spot'!AF142)*100</f>
        <v>-0.63999401628507258</v>
      </c>
      <c r="AG142" s="19">
        <f>('[1]Short Spot'!AG143-'[1]Short Spot'!AG142)*100</f>
        <v>-0.6762175933781478</v>
      </c>
      <c r="AH142" s="19">
        <f>('[1]Short Spot'!AH143-'[1]Short Spot'!AH142)*100</f>
        <v>-0.70848569761237101</v>
      </c>
      <c r="AI142" s="19">
        <f>('[1]Short Spot'!AI143-'[1]Short Spot'!AI142)*100</f>
        <v>-0.73711716177138342</v>
      </c>
      <c r="AJ142" s="19">
        <f>('[1]Short Spot'!AJ143-'[1]Short Spot'!AJ142)*100</f>
        <v>-0.76241062802298032</v>
      </c>
      <c r="AK142" s="19">
        <f>('[1]Short Spot'!AK143-'[1]Short Spot'!AK142)*100</f>
        <v>-0.78464336941390656</v>
      </c>
      <c r="AL142" s="19">
        <f>('[1]Short Spot'!AL143-'[1]Short Spot'!AL142)*100</f>
        <v>-0.80406763862930219</v>
      </c>
      <c r="AM142" s="19">
        <f>('[1]Short Spot'!AM143-'[1]Short Spot'!AM142)*100</f>
        <v>-0.82091299096633819</v>
      </c>
      <c r="AN142" s="19">
        <f>('[1]Short Spot'!AN143-'[1]Short Spot'!AN142)*100</f>
        <v>-0.8353891998648777</v>
      </c>
      <c r="AO142" s="19">
        <f>('[1]Short Spot'!AO143-'[1]Short Spot'!AO142)*100</f>
        <v>-0.8476887288292545</v>
      </c>
      <c r="AP142" s="19">
        <f>('[1]Short Spot'!AP143-'[1]Short Spot'!AP142)*100</f>
        <v>-0.85798856872791873</v>
      </c>
      <c r="AQ142" s="19">
        <f>('[1]Short Spot'!AQ143-'[1]Short Spot'!AQ142)*100</f>
        <v>-0.86645087700558676</v>
      </c>
      <c r="AR142" s="19">
        <f>('[1]Short Spot'!AR143-'[1]Short Spot'!AR142)*100</f>
        <v>-0.87322416826856042</v>
      </c>
      <c r="AS142" s="19">
        <f>('[1]Short Spot'!AS143-'[1]Short Spot'!AS142)*100</f>
        <v>-0.87844485386021631</v>
      </c>
      <c r="AT142" s="19">
        <f>('[1]Short Spot'!AT143-'[1]Short Spot'!AT142)*100</f>
        <v>-0.88223858666873767</v>
      </c>
      <c r="AU142" s="19">
        <f>('[1]Short Spot'!AU143-'[1]Short Spot'!AU142)*100</f>
        <v>-0.88472143052458208</v>
      </c>
      <c r="AV142" s="19">
        <f>('[1]Short Spot'!AV143-'[1]Short Spot'!AV142)*100</f>
        <v>-0.88600088031185464</v>
      </c>
      <c r="AW142" s="19">
        <f>('[1]Short Spot'!AW143-'[1]Short Spot'!AW142)*100</f>
        <v>-0.88617676901492359</v>
      </c>
      <c r="AX142" s="19">
        <f>('[1]Short Spot'!AX143-'[1]Short Spot'!AX142)*100</f>
        <v>-0.88534199681920001</v>
      </c>
      <c r="AY142" s="19">
        <f>('[1]Short Spot'!AY143-'[1]Short Spot'!AY142)*100</f>
        <v>-0.88358275787641105</v>
      </c>
      <c r="AZ142" s="19">
        <f>('[1]Short Spot'!AZ143-'[1]Short Spot'!AZ142)*100</f>
        <v>-0.88097904283745976</v>
      </c>
      <c r="BA142" s="19">
        <f>('[1]Short Spot'!BA143-'[1]Short Spot'!BA142)*100</f>
        <v>-0.87760523461968276</v>
      </c>
      <c r="BB142" s="19">
        <f>('[1]Short Spot'!BB143-'[1]Short Spot'!BB142)*100</f>
        <v>-0.8735306374378915</v>
      </c>
      <c r="BC142" s="19">
        <f>('[1]Short Spot'!BC143-'[1]Short Spot'!BC142)*100</f>
        <v>-0.86881994705541032</v>
      </c>
      <c r="BD142" s="19">
        <f>('[1]Short Spot'!BD143-'[1]Short Spot'!BD142)*100</f>
        <v>-0.86353366973357382</v>
      </c>
      <c r="BE142" s="19">
        <f>('[1]Short Spot'!BE143-'[1]Short Spot'!BE142)*100</f>
        <v>-0.8577285473868379</v>
      </c>
      <c r="BF142" s="19">
        <f>('[1]Short Spot'!BF143-'[1]Short Spot'!BF142)*100</f>
        <v>-0.85145808463149564</v>
      </c>
      <c r="BG142" s="19">
        <f>('[1]Short Spot'!BG143-'[1]Short Spot'!BG142)*100</f>
        <v>-0.84477272521104041</v>
      </c>
      <c r="BH142" s="19">
        <f>('[1]Short Spot'!BH143-'[1]Short Spot'!BH142)*100</f>
        <v>-0.83772005848148368</v>
      </c>
      <c r="BI142" s="19">
        <f>('[1]Short Spot'!BI143-'[1]Short Spot'!BI142)*100</f>
        <v>-0.83034499640524118</v>
      </c>
    </row>
    <row r="143" spans="1:61" x14ac:dyDescent="0.2">
      <c r="A143" s="18">
        <v>39288</v>
      </c>
      <c r="B143" s="19">
        <f>('[1]Short Spot'!B144-'[1]Short Spot'!B143)*100</f>
        <v>-0.24431752935853979</v>
      </c>
      <c r="C143" s="19">
        <f>('[1]Short Spot'!C144-'[1]Short Spot'!C143)*100</f>
        <v>-6.3719234103398747E-2</v>
      </c>
      <c r="D143" s="19">
        <f>('[1]Short Spot'!D144-'[1]Short Spot'!D143)*100</f>
        <v>-0.27689757357913791</v>
      </c>
      <c r="E143" s="19">
        <f>('[1]Short Spot'!E144-'[1]Short Spot'!E143)*100</f>
        <v>-0.55759983957397452</v>
      </c>
      <c r="F143" s="19">
        <f>('[1]Short Spot'!F144-'[1]Short Spot'!F143)*100</f>
        <v>-0.82238645744725503</v>
      </c>
      <c r="G143" s="19">
        <f>('[1]Short Spot'!G144-'[1]Short Spot'!G143)*100</f>
        <v>-1.055538873453532</v>
      </c>
      <c r="H143" s="19">
        <f>('[1]Short Spot'!H144-'[1]Short Spot'!H143)*100</f>
        <v>-1.2616421034456593</v>
      </c>
      <c r="I143" s="19">
        <f>('[1]Short Spot'!I144-'[1]Short Spot'!I143)*100</f>
        <v>-1.4534892371791841</v>
      </c>
      <c r="J143" s="19">
        <f>('[1]Short Spot'!J144-'[1]Short Spot'!J143)*100</f>
        <v>-1.6430246012031802</v>
      </c>
      <c r="K143" s="19">
        <f>('[1]Short Spot'!K144-'[1]Short Spot'!K143)*100</f>
        <v>-1.8346441639391919</v>
      </c>
      <c r="L143" s="19">
        <f>('[1]Short Spot'!L144-'[1]Short Spot'!L143)*100</f>
        <v>-2.0281127068285443</v>
      </c>
      <c r="M143" s="19">
        <f>('[1]Short Spot'!M144-'[1]Short Spot'!M143)*100</f>
        <v>-2.2209291919513596</v>
      </c>
      <c r="N143" s="19">
        <f>('[1]Short Spot'!N144-'[1]Short Spot'!N143)*100</f>
        <v>-2.4093304296802565</v>
      </c>
      <c r="O143" s="19">
        <f>('[1]Short Spot'!O144-'[1]Short Spot'!O143)*100</f>
        <v>-2.5897712250994687</v>
      </c>
      <c r="P143" s="19">
        <f>('[1]Short Spot'!P144-'[1]Short Spot'!P143)*100</f>
        <v>-2.7598840715450379</v>
      </c>
      <c r="Q143" s="19">
        <f>('[1]Short Spot'!Q144-'[1]Short Spot'!Q143)*100</f>
        <v>-2.9182304101095902</v>
      </c>
      <c r="R143" s="19">
        <f>('[1]Short Spot'!R144-'[1]Short Spot'!R143)*100</f>
        <v>-3.0641098450370663</v>
      </c>
      <c r="S143" s="19">
        <f>('[1]Short Spot'!S144-'[1]Short Spot'!S143)*100</f>
        <v>-3.1973878509579556</v>
      </c>
      <c r="T143" s="19">
        <f>('[1]Short Spot'!T144-'[1]Short Spot'!T143)*100</f>
        <v>-3.3183475615349067</v>
      </c>
      <c r="U143" s="19">
        <f>('[1]Short Spot'!U144-'[1]Short Spot'!U143)*100</f>
        <v>-3.4275771769793906</v>
      </c>
      <c r="V143" s="19">
        <f>('[1]Short Spot'!V144-'[1]Short Spot'!V143)*100</f>
        <v>-3.5257742481872079</v>
      </c>
      <c r="W143" s="19">
        <f>('[1]Short Spot'!W144-'[1]Short Spot'!W143)*100</f>
        <v>-3.6136193129771677</v>
      </c>
      <c r="X143" s="19">
        <f>('[1]Short Spot'!X144-'[1]Short Spot'!X143)*100</f>
        <v>-3.6917899293094081</v>
      </c>
      <c r="Y143" s="19">
        <f>('[1]Short Spot'!Y144-'[1]Short Spot'!Y143)*100</f>
        <v>-3.7609617408686624</v>
      </c>
      <c r="Z143" s="19">
        <f>('[1]Short Spot'!Z144-'[1]Short Spot'!Z143)*100</f>
        <v>-3.8218088599183631</v>
      </c>
      <c r="AA143" s="19">
        <f>('[1]Short Spot'!AA144-'[1]Short Spot'!AA143)*100</f>
        <v>-3.8750041450680506</v>
      </c>
      <c r="AB143" s="19">
        <f>('[1]Short Spot'!AB144-'[1]Short Spot'!AB143)*100</f>
        <v>-3.9212089541579509</v>
      </c>
      <c r="AC143" s="19">
        <f>('[1]Short Spot'!AC144-'[1]Short Spot'!AC143)*100</f>
        <v>-3.9610333873556058</v>
      </c>
      <c r="AD143" s="19">
        <f>('[1]Short Spot'!AD144-'[1]Short Spot'!AD143)*100</f>
        <v>-3.9950329786407224</v>
      </c>
      <c r="AE143" s="19">
        <f>('[1]Short Spot'!AE144-'[1]Short Spot'!AE143)*100</f>
        <v>-4.0237156492855419</v>
      </c>
      <c r="AF143" s="19">
        <f>('[1]Short Spot'!AF144-'[1]Short Spot'!AF143)*100</f>
        <v>-4.0475427606150305</v>
      </c>
      <c r="AG143" s="19">
        <f>('[1]Short Spot'!AG144-'[1]Short Spot'!AG143)*100</f>
        <v>-4.0669347119411725</v>
      </c>
      <c r="AH143" s="19">
        <f>('[1]Short Spot'!AH144-'[1]Short Spot'!AH143)*100</f>
        <v>-4.0822771357716725</v>
      </c>
      <c r="AI143" s="19">
        <f>('[1]Short Spot'!AI144-'[1]Short Spot'!AI143)*100</f>
        <v>-4.0939260105743891</v>
      </c>
      <c r="AJ143" s="19">
        <f>('[1]Short Spot'!AJ144-'[1]Short Spot'!AJ143)*100</f>
        <v>-4.1022117096624733</v>
      </c>
      <c r="AK143" s="19">
        <f>('[1]Short Spot'!AK144-'[1]Short Spot'!AK143)*100</f>
        <v>-4.1074385811783465</v>
      </c>
      <c r="AL143" s="19">
        <f>('[1]Short Spot'!AL144-'[1]Short Spot'!AL143)*100</f>
        <v>-4.109882988258029</v>
      </c>
      <c r="AM143" s="19">
        <f>('[1]Short Spot'!AM144-'[1]Short Spot'!AM143)*100</f>
        <v>-4.1097964479890337</v>
      </c>
      <c r="AN143" s="19">
        <f>('[1]Short Spot'!AN144-'[1]Short Spot'!AN143)*100</f>
        <v>-4.1074088247999185</v>
      </c>
      <c r="AO143" s="19">
        <f>('[1]Short Spot'!AO144-'[1]Short Spot'!AO143)*100</f>
        <v>-4.1029310353220438</v>
      </c>
      <c r="AP143" s="19">
        <f>('[1]Short Spot'!AP144-'[1]Short Spot'!AP143)*100</f>
        <v>-4.0965569351528508</v>
      </c>
      <c r="AQ143" s="19">
        <f>('[1]Short Spot'!AQ144-'[1]Short Spot'!AQ143)*100</f>
        <v>-4.0884636069086433</v>
      </c>
      <c r="AR143" s="19">
        <f>('[1]Short Spot'!AR144-'[1]Short Spot'!AR143)*100</f>
        <v>-4.0788125764280814</v>
      </c>
      <c r="AS143" s="19">
        <f>('[1]Short Spot'!AS144-'[1]Short Spot'!AS143)*100</f>
        <v>-4.0677515669171882</v>
      </c>
      <c r="AT143" s="19">
        <f>('[1]Short Spot'!AT144-'[1]Short Spot'!AT143)*100</f>
        <v>-4.0554160325746658</v>
      </c>
      <c r="AU143" s="19">
        <f>('[1]Short Spot'!AU144-'[1]Short Spot'!AU143)*100</f>
        <v>-4.0419304921802457</v>
      </c>
      <c r="AV143" s="19">
        <f>('[1]Short Spot'!AV144-'[1]Short Spot'!AV143)*100</f>
        <v>-4.0274096924369118</v>
      </c>
      <c r="AW143" s="19">
        <f>('[1]Short Spot'!AW144-'[1]Short Spot'!AW143)*100</f>
        <v>-4.0119596337546248</v>
      </c>
      <c r="AX143" s="19">
        <f>('[1]Short Spot'!AX144-'[1]Short Spot'!AX143)*100</f>
        <v>-3.9956782692029513</v>
      </c>
      <c r="AY143" s="19">
        <f>('[1]Short Spot'!AY144-'[1]Short Spot'!AY143)*100</f>
        <v>-3.9786556749641377</v>
      </c>
      <c r="AZ143" s="19">
        <f>('[1]Short Spot'!AZ144-'[1]Short Spot'!AZ143)*100</f>
        <v>-3.9609746604260643</v>
      </c>
      <c r="BA143" s="19">
        <f>('[1]Short Spot'!BA144-'[1]Short Spot'!BA143)*100</f>
        <v>-3.9427114664726481</v>
      </c>
      <c r="BB143" s="19">
        <f>('[1]Short Spot'!BB144-'[1]Short Spot'!BB143)*100</f>
        <v>-3.9239363851530484</v>
      </c>
      <c r="BC143" s="19">
        <f>('[1]Short Spot'!BC144-'[1]Short Spot'!BC143)*100</f>
        <v>-3.9047143105003457</v>
      </c>
      <c r="BD143" s="19">
        <f>('[1]Short Spot'!BD144-'[1]Short Spot'!BD143)*100</f>
        <v>-3.8851052292609545</v>
      </c>
      <c r="BE143" s="19">
        <f>('[1]Short Spot'!BE144-'[1]Short Spot'!BE143)*100</f>
        <v>-3.8651646954620311</v>
      </c>
      <c r="BF143" s="19">
        <f>('[1]Short Spot'!BF144-'[1]Short Spot'!BF143)*100</f>
        <v>-3.8449442051825322</v>
      </c>
      <c r="BG143" s="19">
        <f>('[1]Short Spot'!BG144-'[1]Short Spot'!BG143)*100</f>
        <v>-3.8244912394385544</v>
      </c>
      <c r="BH143" s="19">
        <f>('[1]Short Spot'!BH144-'[1]Short Spot'!BH143)*100</f>
        <v>-3.803849537091164</v>
      </c>
      <c r="BI143" s="19">
        <f>('[1]Short Spot'!BI144-'[1]Short Spot'!BI143)*100</f>
        <v>-3.7830593104805743</v>
      </c>
    </row>
    <row r="144" spans="1:61" x14ac:dyDescent="0.2">
      <c r="A144" s="18">
        <v>39289</v>
      </c>
      <c r="B144" s="19">
        <f>('[1]Short Spot'!B145-'[1]Short Spot'!B144)*100</f>
        <v>0.13076498213582255</v>
      </c>
      <c r="C144" s="19">
        <f>('[1]Short Spot'!C145-'[1]Short Spot'!C144)*100</f>
        <v>-0.51404209965886238</v>
      </c>
      <c r="D144" s="19">
        <f>('[1]Short Spot'!D145-'[1]Short Spot'!D144)*100</f>
        <v>-1.1017750345716948</v>
      </c>
      <c r="E144" s="19">
        <f>('[1]Short Spot'!E145-'[1]Short Spot'!E144)*100</f>
        <v>-1.543194045526608</v>
      </c>
      <c r="F144" s="19">
        <f>('[1]Short Spot'!F145-'[1]Short Spot'!F144)*100</f>
        <v>-1.8738863020131724</v>
      </c>
      <c r="G144" s="19">
        <f>('[1]Short Spot'!G145-'[1]Short Spot'!G144)*100</f>
        <v>-2.1848409354664255</v>
      </c>
      <c r="H144" s="19">
        <f>('[1]Short Spot'!H145-'[1]Short Spot'!H144)*100</f>
        <v>-2.5359135369457775</v>
      </c>
      <c r="I144" s="19">
        <f>('[1]Short Spot'!I145-'[1]Short Spot'!I144)*100</f>
        <v>-2.9547059077335902</v>
      </c>
      <c r="J144" s="19">
        <f>('[1]Short Spot'!J145-'[1]Short Spot'!J144)*100</f>
        <v>-3.4422589290856287</v>
      </c>
      <c r="K144" s="19">
        <f>('[1]Short Spot'!K145-'[1]Short Spot'!K144)*100</f>
        <v>-3.9813419498473834</v>
      </c>
      <c r="L144" s="19">
        <f>('[1]Short Spot'!L145-'[1]Short Spot'!L144)*100</f>
        <v>-4.5490712830186908</v>
      </c>
      <c r="M144" s="19">
        <f>('[1]Short Spot'!M145-'[1]Short Spot'!M144)*100</f>
        <v>-5.1258319948671804</v>
      </c>
      <c r="N144" s="19">
        <f>('[1]Short Spot'!N145-'[1]Short Spot'!N144)*100</f>
        <v>-5.6947662225806717</v>
      </c>
      <c r="O144" s="19">
        <f>('[1]Short Spot'!O145-'[1]Short Spot'!O144)*100</f>
        <v>-6.2415701934108725</v>
      </c>
      <c r="P144" s="19">
        <f>('[1]Short Spot'!P145-'[1]Short Spot'!P144)*100</f>
        <v>-6.7565358513103746</v>
      </c>
      <c r="Q144" s="19">
        <f>('[1]Short Spot'!Q145-'[1]Short Spot'!Q144)*100</f>
        <v>-7.2337478260507737</v>
      </c>
      <c r="R144" s="19">
        <f>('[1]Short Spot'!R145-'[1]Short Spot'!R144)*100</f>
        <v>-7.6701672646001917</v>
      </c>
      <c r="S144" s="19">
        <f>('[1]Short Spot'!S145-'[1]Short Spot'!S144)*100</f>
        <v>-8.0649025264582619</v>
      </c>
      <c r="T144" s="19">
        <f>('[1]Short Spot'!T145-'[1]Short Spot'!T144)*100</f>
        <v>-8.4186452595065298</v>
      </c>
      <c r="U144" s="19">
        <f>('[1]Short Spot'!U145-'[1]Short Spot'!U144)*100</f>
        <v>-8.7332569896013901</v>
      </c>
      <c r="V144" s="19">
        <f>('[1]Short Spot'!V145-'[1]Short Spot'!V144)*100</f>
        <v>-9.0111655600682461</v>
      </c>
      <c r="W144" s="19">
        <f>('[1]Short Spot'!W145-'[1]Short Spot'!W144)*100</f>
        <v>-9.2548081606085297</v>
      </c>
      <c r="X144" s="19">
        <f>('[1]Short Spot'!X145-'[1]Short Spot'!X144)*100</f>
        <v>-9.4665813913822561</v>
      </c>
      <c r="Y144" s="19">
        <f>('[1]Short Spot'!Y145-'[1]Short Spot'!Y144)*100</f>
        <v>-9.6488499510984482</v>
      </c>
      <c r="Z144" s="19">
        <f>('[1]Short Spot'!Z145-'[1]Short Spot'!Z144)*100</f>
        <v>-9.8039530173072542</v>
      </c>
      <c r="AA144" s="19">
        <f>('[1]Short Spot'!AA145-'[1]Short Spot'!AA144)*100</f>
        <v>-9.9342091093506113</v>
      </c>
      <c r="AB144" s="19">
        <f>('[1]Short Spot'!AB145-'[1]Short Spot'!AB144)*100</f>
        <v>-10.041893948525349</v>
      </c>
      <c r="AC144" s="19">
        <f>('[1]Short Spot'!AC145-'[1]Short Spot'!AC144)*100</f>
        <v>-10.129122087298992</v>
      </c>
      <c r="AD144" s="19">
        <f>('[1]Short Spot'!AD145-'[1]Short Spot'!AD144)*100</f>
        <v>-10.197813260645727</v>
      </c>
      <c r="AE144" s="19">
        <f>('[1]Short Spot'!AE145-'[1]Short Spot'!AE144)*100</f>
        <v>-10.249713328377918</v>
      </c>
      <c r="AF144" s="19">
        <f>('[1]Short Spot'!AF145-'[1]Short Spot'!AF144)*100</f>
        <v>-10.286402353707924</v>
      </c>
      <c r="AG144" s="19">
        <f>('[1]Short Spot'!AG145-'[1]Short Spot'!AG144)*100</f>
        <v>-10.309316248414557</v>
      </c>
      <c r="AH144" s="19">
        <f>('[1]Short Spot'!AH145-'[1]Short Spot'!AH144)*100</f>
        <v>-10.319768597912926</v>
      </c>
      <c r="AI144" s="19">
        <f>('[1]Short Spot'!AI145-'[1]Short Spot'!AI144)*100</f>
        <v>-10.31896865042583</v>
      </c>
      <c r="AJ144" s="19">
        <f>('[1]Short Spot'!AJ145-'[1]Short Spot'!AJ144)*100</f>
        <v>-10.308035757331879</v>
      </c>
      <c r="AK144" s="19">
        <f>('[1]Short Spot'!AK145-'[1]Short Spot'!AK144)*100</f>
        <v>-10.288001133469038</v>
      </c>
      <c r="AL144" s="19">
        <f>('[1]Short Spot'!AL145-'[1]Short Spot'!AL144)*100</f>
        <v>-10.259802696111286</v>
      </c>
      <c r="AM144" s="19">
        <f>('[1]Short Spot'!AM145-'[1]Short Spot'!AM144)*100</f>
        <v>-10.224294663226807</v>
      </c>
      <c r="AN144" s="19">
        <f>('[1]Short Spot'!AN145-'[1]Short Spot'!AN144)*100</f>
        <v>-10.182258285876866</v>
      </c>
      <c r="AO144" s="19">
        <f>('[1]Short Spot'!AO145-'[1]Short Spot'!AO144)*100</f>
        <v>-10.134410963257157</v>
      </c>
      <c r="AP144" s="19">
        <f>('[1]Short Spot'!AP145-'[1]Short Spot'!AP144)*100</f>
        <v>-10.08141270895031</v>
      </c>
      <c r="AQ144" s="19">
        <f>('[1]Short Spot'!AQ145-'[1]Short Spot'!AQ144)*100</f>
        <v>-10.023867412162879</v>
      </c>
      <c r="AR144" s="19">
        <f>('[1]Short Spot'!AR145-'[1]Short Spot'!AR144)*100</f>
        <v>-9.9623268699606804</v>
      </c>
      <c r="AS144" s="19">
        <f>('[1]Short Spot'!AS145-'[1]Short Spot'!AS144)*100</f>
        <v>-9.8972966440712185</v>
      </c>
      <c r="AT144" s="19">
        <f>('[1]Short Spot'!AT145-'[1]Short Spot'!AT144)*100</f>
        <v>-9.8292411981440786</v>
      </c>
      <c r="AU144" s="19">
        <f>('[1]Short Spot'!AU145-'[1]Short Spot'!AU144)*100</f>
        <v>-9.7585883649326632</v>
      </c>
      <c r="AV144" s="19">
        <f>('[1]Short Spot'!AV145-'[1]Short Spot'!AV144)*100</f>
        <v>-9.6857332431984133</v>
      </c>
      <c r="AW144" s="19">
        <f>('[1]Short Spot'!AW145-'[1]Short Spot'!AW144)*100</f>
        <v>-9.6110414893790796</v>
      </c>
      <c r="AX144" s="19">
        <f>('[1]Short Spot'!AX145-'[1]Short Spot'!AX144)*100</f>
        <v>-9.5348499764898342</v>
      </c>
      <c r="AY144" s="19">
        <f>('[1]Short Spot'!AY145-'[1]Short Spot'!AY144)*100</f>
        <v>-9.4574661627450318</v>
      </c>
      <c r="AZ144" s="19">
        <f>('[1]Short Spot'!AZ145-'[1]Short Spot'!AZ144)*100</f>
        <v>-9.379170441384499</v>
      </c>
      <c r="BA144" s="19">
        <f>('[1]Short Spot'!BA145-'[1]Short Spot'!BA144)*100</f>
        <v>-9.3002187427265071</v>
      </c>
      <c r="BB144" s="19">
        <f>('[1]Short Spot'!BB145-'[1]Short Spot'!BB144)*100</f>
        <v>-9.2208448419917488</v>
      </c>
      <c r="BC144" s="19">
        <f>('[1]Short Spot'!BC145-'[1]Short Spot'!BC144)*100</f>
        <v>-9.1412624106999907</v>
      </c>
      <c r="BD144" s="19">
        <f>('[1]Short Spot'!BD145-'[1]Short Spot'!BD144)*100</f>
        <v>-9.0616668442814685</v>
      </c>
      <c r="BE144" s="19">
        <f>('[1]Short Spot'!BE145-'[1]Short Spot'!BE144)*100</f>
        <v>-8.9822368042821843</v>
      </c>
      <c r="BF144" s="19">
        <f>('[1]Short Spot'!BF145-'[1]Short Spot'!BF144)*100</f>
        <v>-8.9031344820234892</v>
      </c>
      <c r="BG144" s="19">
        <f>('[1]Short Spot'!BG145-'[1]Short Spot'!BG144)*100</f>
        <v>-8.8245056945424061</v>
      </c>
      <c r="BH144" s="19">
        <f>('[1]Short Spot'!BH145-'[1]Short Spot'!BH144)*100</f>
        <v>-8.7464810360954104</v>
      </c>
      <c r="BI144" s="19">
        <f>('[1]Short Spot'!BI145-'[1]Short Spot'!BI144)*100</f>
        <v>-8.6691745721050317</v>
      </c>
    </row>
    <row r="145" spans="1:61" x14ac:dyDescent="0.2">
      <c r="A145" s="18">
        <v>39290</v>
      </c>
      <c r="B145" s="19">
        <f>('[1]Short Spot'!B146-'[1]Short Spot'!B145)*100</f>
        <v>-0.46364898499211549</v>
      </c>
      <c r="C145" s="19">
        <f>('[1]Short Spot'!C146-'[1]Short Spot'!C145)*100</f>
        <v>-1.0057960124600918</v>
      </c>
      <c r="D145" s="19">
        <f>('[1]Short Spot'!D146-'[1]Short Spot'!D145)*100</f>
        <v>-1.2229025898363943</v>
      </c>
      <c r="E145" s="19">
        <f>('[1]Short Spot'!E146-'[1]Short Spot'!E145)*100</f>
        <v>-1.4053289643983113</v>
      </c>
      <c r="F145" s="19">
        <f>('[1]Short Spot'!F146-'[1]Short Spot'!F145)*100</f>
        <v>-1.6446312308422861</v>
      </c>
      <c r="G145" s="19">
        <f>('[1]Short Spot'!G146-'[1]Short Spot'!G145)*100</f>
        <v>-1.9369881696762903</v>
      </c>
      <c r="H145" s="19">
        <f>('[1]Short Spot'!H146-'[1]Short Spot'!H145)*100</f>
        <v>-2.2582866941634805</v>
      </c>
      <c r="I145" s="19">
        <f>('[1]Short Spot'!I146-'[1]Short Spot'!I145)*100</f>
        <v>-2.592430701461268</v>
      </c>
      <c r="J145" s="19">
        <f>('[1]Short Spot'!J146-'[1]Short Spot'!J145)*100</f>
        <v>-2.9289377205097722</v>
      </c>
      <c r="K145" s="19">
        <f>('[1]Short Spot'!K146-'[1]Short Spot'!K145)*100</f>
        <v>-3.2581439201288198</v>
      </c>
      <c r="L145" s="19">
        <f>('[1]Short Spot'!L146-'[1]Short Spot'!L145)*100</f>
        <v>-3.5733490687794855</v>
      </c>
      <c r="M145" s="19">
        <f>('[1]Short Spot'!M146-'[1]Short Spot'!M145)*100</f>
        <v>-3.8698609236639037</v>
      </c>
      <c r="N145" s="19">
        <f>('[1]Short Spot'!N146-'[1]Short Spot'!N145)*100</f>
        <v>-4.1443073830104815</v>
      </c>
      <c r="O145" s="19">
        <f>('[1]Short Spot'!O146-'[1]Short Spot'!O145)*100</f>
        <v>-4.3953434800620528</v>
      </c>
      <c r="P145" s="19">
        <f>('[1]Short Spot'!P146-'[1]Short Spot'!P145)*100</f>
        <v>-4.6231523214246728</v>
      </c>
      <c r="Q145" s="19">
        <f>('[1]Short Spot'!Q146-'[1]Short Spot'!Q145)*100</f>
        <v>-4.8287425082476965</v>
      </c>
      <c r="R145" s="19">
        <f>('[1]Short Spot'!R146-'[1]Short Spot'!R145)*100</f>
        <v>-5.0134284485099379</v>
      </c>
      <c r="S145" s="19">
        <f>('[1]Short Spot'!S146-'[1]Short Spot'!S145)*100</f>
        <v>-5.1786493263354494</v>
      </c>
      <c r="T145" s="19">
        <f>('[1]Short Spot'!T146-'[1]Short Spot'!T145)*100</f>
        <v>-5.3259347084700259</v>
      </c>
      <c r="U145" s="19">
        <f>('[1]Short Spot'!U146-'[1]Short Spot'!U145)*100</f>
        <v>-5.4568424976825014</v>
      </c>
      <c r="V145" s="19">
        <f>('[1]Short Spot'!V146-'[1]Short Spot'!V145)*100</f>
        <v>-5.5726422599881253</v>
      </c>
      <c r="W145" s="19">
        <f>('[1]Short Spot'!W146-'[1]Short Spot'!W145)*100</f>
        <v>-5.6744024417481498</v>
      </c>
      <c r="X145" s="19">
        <f>('[1]Short Spot'!X146-'[1]Short Spot'!X145)*100</f>
        <v>-5.7631333148592034</v>
      </c>
      <c r="Y145" s="19">
        <f>('[1]Short Spot'!Y146-'[1]Short Spot'!Y145)*100</f>
        <v>-5.8397998082996061</v>
      </c>
      <c r="Z145" s="19">
        <f>('[1]Short Spot'!Z146-'[1]Short Spot'!Z145)*100</f>
        <v>-5.905330576712764</v>
      </c>
      <c r="AA145" s="19">
        <f>('[1]Short Spot'!AA146-'[1]Short Spot'!AA145)*100</f>
        <v>-5.9606246770107063</v>
      </c>
      <c r="AB145" s="19">
        <f>('[1]Short Spot'!AB146-'[1]Short Spot'!AB145)*100</f>
        <v>-6.0065191422408404</v>
      </c>
      <c r="AC145" s="19">
        <f>('[1]Short Spot'!AC146-'[1]Short Spot'!AC145)*100</f>
        <v>-6.0437308819174973</v>
      </c>
      <c r="AD145" s="19">
        <f>('[1]Short Spot'!AD146-'[1]Short Spot'!AD145)*100</f>
        <v>-6.072900692683092</v>
      </c>
      <c r="AE145" s="19">
        <f>('[1]Short Spot'!AE146-'[1]Short Spot'!AE145)*100</f>
        <v>-6.0946069745449805</v>
      </c>
      <c r="AF145" s="19">
        <f>('[1]Short Spot'!AF146-'[1]Short Spot'!AF145)*100</f>
        <v>-6.1093731985716992</v>
      </c>
      <c r="AG145" s="19">
        <f>('[1]Short Spot'!AG146-'[1]Short Spot'!AG145)*100</f>
        <v>-6.1176769269728482</v>
      </c>
      <c r="AH145" s="19">
        <f>('[1]Short Spot'!AH146-'[1]Short Spot'!AH145)*100</f>
        <v>-6.1199567792812104</v>
      </c>
      <c r="AI145" s="19">
        <f>('[1]Short Spot'!AI146-'[1]Short Spot'!AI145)*100</f>
        <v>-6.1166181592152036</v>
      </c>
      <c r="AJ145" s="19">
        <f>('[1]Short Spot'!AJ146-'[1]Short Spot'!AJ145)*100</f>
        <v>-6.1080371415457968</v>
      </c>
      <c r="AK145" s="19">
        <f>('[1]Short Spot'!AK146-'[1]Short Spot'!AK145)*100</f>
        <v>-6.0945568717328591</v>
      </c>
      <c r="AL145" s="19">
        <f>('[1]Short Spot'!AL146-'[1]Short Spot'!AL145)*100</f>
        <v>-6.0764917044788369</v>
      </c>
      <c r="AM145" s="19">
        <f>('[1]Short Spot'!AM146-'[1]Short Spot'!AM145)*100</f>
        <v>-6.0541334669264479</v>
      </c>
      <c r="AN145" s="19">
        <f>('[1]Short Spot'!AN146-'[1]Short Spot'!AN145)*100</f>
        <v>-6.0277543705486991</v>
      </c>
      <c r="AO145" s="19">
        <f>('[1]Short Spot'!AO146-'[1]Short Spot'!AO145)*100</f>
        <v>-5.9976094415929104</v>
      </c>
      <c r="AP145" s="19">
        <f>('[1]Short Spot'!AP146-'[1]Short Spot'!AP145)*100</f>
        <v>-5.9639373003726348</v>
      </c>
      <c r="AQ145" s="19">
        <f>('[1]Short Spot'!AQ146-'[1]Short Spot'!AQ145)*100</f>
        <v>-5.9269598901423137</v>
      </c>
      <c r="AR145" s="19">
        <f>('[1]Short Spot'!AR146-'[1]Short Spot'!AR145)*100</f>
        <v>-5.8868846956567467</v>
      </c>
      <c r="AS145" s="19">
        <f>('[1]Short Spot'!AS146-'[1]Short Spot'!AS145)*100</f>
        <v>-5.8439064548044151</v>
      </c>
      <c r="AT145" s="19">
        <f>('[1]Short Spot'!AT146-'[1]Short Spot'!AT145)*100</f>
        <v>-5.7982085749239687</v>
      </c>
      <c r="AU145" s="19">
        <f>('[1]Short Spot'!AU146-'[1]Short Spot'!AU145)*100</f>
        <v>-5.7499643643868836</v>
      </c>
      <c r="AV145" s="19">
        <f>('[1]Short Spot'!AV146-'[1]Short Spot'!AV145)*100</f>
        <v>-5.699338106955576</v>
      </c>
      <c r="AW145" s="19">
        <f>('[1]Short Spot'!AW146-'[1]Short Spot'!AW145)*100</f>
        <v>-5.6464860157049657</v>
      </c>
      <c r="AX145" s="19">
        <f>('[1]Short Spot'!AX146-'[1]Short Spot'!AX145)*100</f>
        <v>-5.5915570490026489</v>
      </c>
      <c r="AY145" s="19">
        <f>('[1]Short Spot'!AY146-'[1]Short Spot'!AY145)*100</f>
        <v>-5.5346934460806629</v>
      </c>
      <c r="AZ145" s="19">
        <f>('[1]Short Spot'!AZ146-'[1]Short Spot'!AZ145)*100</f>
        <v>-5.4760313355255441</v>
      </c>
      <c r="BA145" s="19">
        <f>('[1]Short Spot'!BA146-'[1]Short Spot'!BA145)*100</f>
        <v>-5.4157013228032902</v>
      </c>
      <c r="BB145" s="19">
        <f>('[1]Short Spot'!BB146-'[1]Short Spot'!BB145)*100</f>
        <v>-5.3538290113081644</v>
      </c>
      <c r="BC145" s="19">
        <f>('[1]Short Spot'!BC146-'[1]Short Spot'!BC145)*100</f>
        <v>-5.2905354655177206</v>
      </c>
      <c r="BD145" s="19">
        <f>('[1]Short Spot'!BD146-'[1]Short Spot'!BD145)*100</f>
        <v>-5.225937623741217</v>
      </c>
      <c r="BE145" s="19">
        <f>('[1]Short Spot'!BE146-'[1]Short Spot'!BE145)*100</f>
        <v>-5.1601487295952708</v>
      </c>
      <c r="BF145" s="19">
        <f>('[1]Short Spot'!BF146-'[1]Short Spot'!BF145)*100</f>
        <v>-5.0932783844430674</v>
      </c>
      <c r="BG145" s="19">
        <f>('[1]Short Spot'!BG146-'[1]Short Spot'!BG145)*100</f>
        <v>-5.0254321611501673</v>
      </c>
      <c r="BH145" s="19">
        <f>('[1]Short Spot'!BH146-'[1]Short Spot'!BH145)*100</f>
        <v>-4.9567118129959731</v>
      </c>
      <c r="BI145" s="19">
        <f>('[1]Short Spot'!BI146-'[1]Short Spot'!BI145)*100</f>
        <v>-4.8872158191588966</v>
      </c>
    </row>
    <row r="146" spans="1:61" x14ac:dyDescent="0.2">
      <c r="A146" s="18">
        <v>39293</v>
      </c>
      <c r="B146" s="19">
        <f>('[1]Short Spot'!B147-'[1]Short Spot'!B146)*100</f>
        <v>0.12094544023319997</v>
      </c>
      <c r="C146" s="19">
        <f>('[1]Short Spot'!C147-'[1]Short Spot'!C146)*100</f>
        <v>0.23061400626227524</v>
      </c>
      <c r="D146" s="19">
        <f>('[1]Short Spot'!D147-'[1]Short Spot'!D146)*100</f>
        <v>0.16990472763938058</v>
      </c>
      <c r="E146" s="19">
        <f>('[1]Short Spot'!E147-'[1]Short Spot'!E146)*100</f>
        <v>9.5162580420637966E-2</v>
      </c>
      <c r="F146" s="19">
        <f>('[1]Short Spot'!F147-'[1]Short Spot'!F146)*100</f>
        <v>4.6734650524538068E-2</v>
      </c>
      <c r="G146" s="19">
        <f>('[1]Short Spot'!G147-'[1]Short Spot'!G146)*100</f>
        <v>9.8125993010178547E-3</v>
      </c>
      <c r="H146" s="19">
        <f>('[1]Short Spot'!H147-'[1]Short Spot'!H146)*100</f>
        <v>-3.3834885812744631E-2</v>
      </c>
      <c r="I146" s="19">
        <f>('[1]Short Spot'!I147-'[1]Short Spot'!I146)*100</f>
        <v>-9.1660202397125801E-2</v>
      </c>
      <c r="J146" s="19">
        <f>('[1]Short Spot'!J147-'[1]Short Spot'!J146)*100</f>
        <v>-0.15775591729694227</v>
      </c>
      <c r="K146" s="19">
        <f>('[1]Short Spot'!K147-'[1]Short Spot'!K146)*100</f>
        <v>-0.22704771348216468</v>
      </c>
      <c r="L146" s="19">
        <f>('[1]Short Spot'!L147-'[1]Short Spot'!L146)*100</f>
        <v>-0.29740070238020166</v>
      </c>
      <c r="M146" s="19">
        <f>('[1]Short Spot'!M147-'[1]Short Spot'!M146)*100</f>
        <v>-0.36812909603023414</v>
      </c>
      <c r="N146" s="19">
        <f>('[1]Short Spot'!N147-'[1]Short Spot'!N146)*100</f>
        <v>-0.43941227099688618</v>
      </c>
      <c r="O146" s="19">
        <f>('[1]Short Spot'!O147-'[1]Short Spot'!O146)*100</f>
        <v>-0.51210151903404721</v>
      </c>
      <c r="P146" s="19">
        <f>('[1]Short Spot'!P147-'[1]Short Spot'!P146)*100</f>
        <v>-0.5865096051997476</v>
      </c>
      <c r="Q146" s="19">
        <f>('[1]Short Spot'!Q147-'[1]Short Spot'!Q146)*100</f>
        <v>-0.66243510938974737</v>
      </c>
      <c r="R146" s="19">
        <f>('[1]Short Spot'!R147-'[1]Short Spot'!R146)*100</f>
        <v>-0.73954361150683212</v>
      </c>
      <c r="S146" s="19">
        <f>('[1]Short Spot'!S147-'[1]Short Spot'!S146)*100</f>
        <v>-0.81746572231145009</v>
      </c>
      <c r="T146" s="19">
        <f>('[1]Short Spot'!T147-'[1]Short Spot'!T146)*100</f>
        <v>-0.8958067848425344</v>
      </c>
      <c r="U146" s="19">
        <f>('[1]Short Spot'!U147-'[1]Short Spot'!U146)*100</f>
        <v>-0.97414055191542559</v>
      </c>
      <c r="V146" s="19">
        <f>('[1]Short Spot'!V147-'[1]Short Spot'!V146)*100</f>
        <v>-1.0519830335005587</v>
      </c>
      <c r="W146" s="19">
        <f>('[1]Short Spot'!W147-'[1]Short Spot'!W146)*100</f>
        <v>-1.1289220595384286</v>
      </c>
      <c r="X146" s="19">
        <f>('[1]Short Spot'!X147-'[1]Short Spot'!X146)*100</f>
        <v>-1.2046442709586991</v>
      </c>
      <c r="Y146" s="19">
        <f>('[1]Short Spot'!Y147-'[1]Short Spot'!Y146)*100</f>
        <v>-1.2789146216819702</v>
      </c>
      <c r="Z146" s="19">
        <f>('[1]Short Spot'!Z147-'[1]Short Spot'!Z146)*100</f>
        <v>-1.3515607160199394</v>
      </c>
      <c r="AA146" s="19">
        <f>('[1]Short Spot'!AA147-'[1]Short Spot'!AA146)*100</f>
        <v>-1.4224605784254329</v>
      </c>
      <c r="AB146" s="19">
        <f>('[1]Short Spot'!AB147-'[1]Short Spot'!AB146)*100</f>
        <v>-1.4915227862656089</v>
      </c>
      <c r="AC146" s="19">
        <f>('[1]Short Spot'!AC147-'[1]Short Spot'!AC146)*100</f>
        <v>-1.5586789194045103</v>
      </c>
      <c r="AD146" s="19">
        <f>('[1]Short Spot'!AD147-'[1]Short Spot'!AD146)*100</f>
        <v>-1.6238975090614005</v>
      </c>
      <c r="AE146" s="19">
        <f>('[1]Short Spot'!AE147-'[1]Short Spot'!AE146)*100</f>
        <v>-1.6871740379700739</v>
      </c>
      <c r="AF146" s="19">
        <f>('[1]Short Spot'!AF147-'[1]Short Spot'!AF146)*100</f>
        <v>-1.7485199693550335</v>
      </c>
      <c r="AG146" s="19">
        <f>('[1]Short Spot'!AG147-'[1]Short Spot'!AG146)*100</f>
        <v>-1.8079595315331431</v>
      </c>
      <c r="AH146" s="19">
        <f>('[1]Short Spot'!AH147-'[1]Short Spot'!AH146)*100</f>
        <v>-1.8655277849525476</v>
      </c>
      <c r="AI146" s="19">
        <f>('[1]Short Spot'!AI147-'[1]Short Spot'!AI146)*100</f>
        <v>-1.921269029233752</v>
      </c>
      <c r="AJ146" s="19">
        <f>('[1]Short Spot'!AJ147-'[1]Short Spot'!AJ146)*100</f>
        <v>-1.9752350254354845</v>
      </c>
      <c r="AK146" s="19">
        <f>('[1]Short Spot'!AK147-'[1]Short Spot'!AK146)*100</f>
        <v>-2.0274798816174666</v>
      </c>
      <c r="AL146" s="19">
        <f>('[1]Short Spot'!AL147-'[1]Short Spot'!AL146)*100</f>
        <v>-2.0780580543286575</v>
      </c>
      <c r="AM146" s="19">
        <f>('[1]Short Spot'!AM147-'[1]Short Spot'!AM146)*100</f>
        <v>-2.1270248019192195</v>
      </c>
      <c r="AN146" s="19">
        <f>('[1]Short Spot'!AN147-'[1]Short Spot'!AN146)*100</f>
        <v>-2.1744360848432009</v>
      </c>
      <c r="AO146" s="19">
        <f>('[1]Short Spot'!AO147-'[1]Short Spot'!AO146)*100</f>
        <v>-2.2203484600956003</v>
      </c>
      <c r="AP146" s="19">
        <f>('[1]Short Spot'!AP147-'[1]Short Spot'!AP146)*100</f>
        <v>-2.2648179527510415</v>
      </c>
      <c r="AQ146" s="19">
        <f>('[1]Short Spot'!AQ147-'[1]Short Spot'!AQ146)*100</f>
        <v>-2.3078976379364846</v>
      </c>
      <c r="AR146" s="19">
        <f>('[1]Short Spot'!AR147-'[1]Short Spot'!AR146)*100</f>
        <v>-2.3496374759320204</v>
      </c>
      <c r="AS146" s="19">
        <f>('[1]Short Spot'!AS147-'[1]Short Spot'!AS146)*100</f>
        <v>-2.3900846740513515</v>
      </c>
      <c r="AT146" s="19">
        <f>('[1]Short Spot'!AT147-'[1]Short Spot'!AT146)*100</f>
        <v>-2.4292839925283971</v>
      </c>
      <c r="AU146" s="19">
        <f>('[1]Short Spot'!AU147-'[1]Short Spot'!AU146)*100</f>
        <v>-2.4672780105036374</v>
      </c>
      <c r="AV146" s="19">
        <f>('[1]Short Spot'!AV147-'[1]Short Spot'!AV146)*100</f>
        <v>-2.5041073580548634</v>
      </c>
      <c r="AW146" s="19">
        <f>('[1]Short Spot'!AW147-'[1]Short Spot'!AW146)*100</f>
        <v>-2.5398108925863028</v>
      </c>
      <c r="AX146" s="19">
        <f>('[1]Short Spot'!AX147-'[1]Short Spot'!AX146)*100</f>
        <v>-2.5744255104529934</v>
      </c>
      <c r="AY146" s="19">
        <f>('[1]Short Spot'!AY147-'[1]Short Spot'!AY146)*100</f>
        <v>-2.6079859117586146</v>
      </c>
      <c r="AZ146" s="19">
        <f>('[1]Short Spot'!AZ147-'[1]Short Spot'!AZ146)*100</f>
        <v>-2.6405247677678823</v>
      </c>
      <c r="BA146" s="19">
        <f>('[1]Short Spot'!BA147-'[1]Short Spot'!BA146)*100</f>
        <v>-2.6720729159866785</v>
      </c>
      <c r="BB146" s="19">
        <f>('[1]Short Spot'!BB147-'[1]Short Spot'!BB146)*100</f>
        <v>-2.7026595331585135</v>
      </c>
      <c r="BC146" s="19">
        <f>('[1]Short Spot'!BC147-'[1]Short Spot'!BC146)*100</f>
        <v>-2.7323122890379636</v>
      </c>
      <c r="BD146" s="19">
        <f>('[1]Short Spot'!BD147-'[1]Short Spot'!BD146)*100</f>
        <v>-2.7610574835231105</v>
      </c>
      <c r="BE146" s="19">
        <f>('[1]Short Spot'!BE147-'[1]Short Spot'!BE146)*100</f>
        <v>-2.7889202013829717</v>
      </c>
      <c r="BF146" s="19">
        <f>('[1]Short Spot'!BF147-'[1]Short Spot'!BF146)*100</f>
        <v>-2.815924398490921</v>
      </c>
      <c r="BG146" s="19">
        <f>('[1]Short Spot'!BG147-'[1]Short Spot'!BG146)*100</f>
        <v>-2.8420928518716693</v>
      </c>
      <c r="BH146" s="19">
        <f>('[1]Short Spot'!BH147-'[1]Short Spot'!BH146)*100</f>
        <v>-2.8674472224758496</v>
      </c>
      <c r="BI146" s="19">
        <f>('[1]Short Spot'!BI147-'[1]Short Spot'!BI146)*100</f>
        <v>-2.8920081549006049</v>
      </c>
    </row>
    <row r="147" spans="1:61" x14ac:dyDescent="0.2">
      <c r="A147" s="18">
        <v>39294</v>
      </c>
      <c r="B147" s="19">
        <f>('[1]Short Spot'!B148-'[1]Short Spot'!B147)*100</f>
        <v>-0.19563424667987661</v>
      </c>
      <c r="C147" s="19">
        <f>('[1]Short Spot'!C148-'[1]Short Spot'!C147)*100</f>
        <v>1.0812471481886021</v>
      </c>
      <c r="D147" s="19">
        <f>('[1]Short Spot'!D148-'[1]Short Spot'!D147)*100</f>
        <v>1.993288867114984</v>
      </c>
      <c r="E147" s="19">
        <f>('[1]Short Spot'!E148-'[1]Short Spot'!E147)*100</f>
        <v>2.7232481794689178</v>
      </c>
      <c r="F147" s="19">
        <f>('[1]Short Spot'!F148-'[1]Short Spot'!F147)*100</f>
        <v>3.2798556661967737</v>
      </c>
      <c r="G147" s="19">
        <f>('[1]Short Spot'!G148-'[1]Short Spot'!G147)*100</f>
        <v>3.7119183672238876</v>
      </c>
      <c r="H147" s="19">
        <f>('[1]Short Spot'!H148-'[1]Short Spot'!H147)*100</f>
        <v>4.0613551310181073</v>
      </c>
      <c r="I147" s="19">
        <f>('[1]Short Spot'!I148-'[1]Short Spot'!I147)*100</f>
        <v>4.366665106192702</v>
      </c>
      <c r="J147" s="19">
        <f>('[1]Short Spot'!J148-'[1]Short Spot'!J147)*100</f>
        <v>4.65958797682271</v>
      </c>
      <c r="K147" s="19">
        <f>('[1]Short Spot'!K148-'[1]Short Spot'!K147)*100</f>
        <v>4.9543778965140284</v>
      </c>
      <c r="L147" s="19">
        <f>('[1]Short Spot'!L148-'[1]Short Spot'!L147)*100</f>
        <v>5.2528419037293439</v>
      </c>
      <c r="M147" s="19">
        <f>('[1]Short Spot'!M148-'[1]Short Spot'!M147)*100</f>
        <v>5.5498421741865478</v>
      </c>
      <c r="N147" s="19">
        <f>('[1]Short Spot'!N148-'[1]Short Spot'!N147)*100</f>
        <v>5.8363978364663005</v>
      </c>
      <c r="O147" s="19">
        <f>('[1]Short Spot'!O148-'[1]Short Spot'!O147)*100</f>
        <v>6.1042107698289882</v>
      </c>
      <c r="P147" s="19">
        <f>('[1]Short Spot'!P148-'[1]Short Spot'!P147)*100</f>
        <v>6.3485963894077457</v>
      </c>
      <c r="Q147" s="19">
        <f>('[1]Short Spot'!Q148-'[1]Short Spot'!Q147)*100</f>
        <v>6.5675152925861013</v>
      </c>
      <c r="R147" s="19">
        <f>('[1]Short Spot'!R148-'[1]Short Spot'!R147)*100</f>
        <v>6.76050679349256</v>
      </c>
      <c r="S147" s="19">
        <f>('[1]Short Spot'!S148-'[1]Short Spot'!S147)*100</f>
        <v>6.9281842618401868</v>
      </c>
      <c r="T147" s="19">
        <f>('[1]Short Spot'!T148-'[1]Short Spot'!T147)*100</f>
        <v>7.0719521504283733</v>
      </c>
      <c r="U147" s="19">
        <f>('[1]Short Spot'!U148-'[1]Short Spot'!U147)*100</f>
        <v>7.1938065210540358</v>
      </c>
      <c r="V147" s="19">
        <f>('[1]Short Spot'!V148-'[1]Short Spot'!V147)*100</f>
        <v>7.2960006878672878</v>
      </c>
      <c r="W147" s="19">
        <f>('[1]Short Spot'!W148-'[1]Short Spot'!W147)*100</f>
        <v>7.3806005601277924</v>
      </c>
      <c r="X147" s="19">
        <f>('[1]Short Spot'!X148-'[1]Short Spot'!X147)*100</f>
        <v>7.4494553711693001</v>
      </c>
      <c r="Y147" s="19">
        <f>('[1]Short Spot'!Y148-'[1]Short Spot'!Y147)*100</f>
        <v>7.5042427738495121</v>
      </c>
      <c r="Z147" s="19">
        <f>('[1]Short Spot'!Z148-'[1]Short Spot'!Z147)*100</f>
        <v>7.5465031566440466</v>
      </c>
      <c r="AA147" s="19">
        <f>('[1]Short Spot'!AA148-'[1]Short Spot'!AA147)*100</f>
        <v>7.5776661889441321</v>
      </c>
      <c r="AB147" s="19">
        <f>('[1]Short Spot'!AB148-'[1]Short Spot'!AB147)*100</f>
        <v>7.5990659502356728</v>
      </c>
      <c r="AC147" s="19">
        <f>('[1]Short Spot'!AC148-'[1]Short Spot'!AC147)*100</f>
        <v>7.6118938128234781</v>
      </c>
      <c r="AD147" s="19">
        <f>('[1]Short Spot'!AD148-'[1]Short Spot'!AD147)*100</f>
        <v>7.6171776125759649</v>
      </c>
      <c r="AE147" s="19">
        <f>('[1]Short Spot'!AE148-'[1]Short Spot'!AE147)*100</f>
        <v>7.6158078815782737</v>
      </c>
      <c r="AF147" s="19">
        <f>('[1]Short Spot'!AF148-'[1]Short Spot'!AF147)*100</f>
        <v>7.6085594874174767</v>
      </c>
      <c r="AG147" s="19">
        <f>('[1]Short Spot'!AG148-'[1]Short Spot'!AG147)*100</f>
        <v>7.596109284301189</v>
      </c>
      <c r="AH147" s="19">
        <f>('[1]Short Spot'!AH148-'[1]Short Spot'!AH147)*100</f>
        <v>7.5790509620264679</v>
      </c>
      <c r="AI147" s="19">
        <f>('[1]Short Spot'!AI148-'[1]Short Spot'!AI147)*100</f>
        <v>7.5579072760397992</v>
      </c>
      <c r="AJ147" s="19">
        <f>('[1]Short Spot'!AJ148-'[1]Short Spot'!AJ147)*100</f>
        <v>7.5331404827633008</v>
      </c>
      <c r="AK147" s="19">
        <f>('[1]Short Spot'!AK148-'[1]Short Spot'!AK147)*100</f>
        <v>7.5051612199746209</v>
      </c>
      <c r="AL147" s="19">
        <f>('[1]Short Spot'!AL148-'[1]Short Spot'!AL147)*100</f>
        <v>7.4743319970981048</v>
      </c>
      <c r="AM147" s="19">
        <f>('[1]Short Spot'!AM148-'[1]Short Spot'!AM147)*100</f>
        <v>7.4409723786335036</v>
      </c>
      <c r="AN147" s="19">
        <f>('[1]Short Spot'!AN148-'[1]Short Spot'!AN147)*100</f>
        <v>7.4053644879864322</v>
      </c>
      <c r="AO147" s="19">
        <f>('[1]Short Spot'!AO148-'[1]Short Spot'!AO147)*100</f>
        <v>7.3677577088385959</v>
      </c>
      <c r="AP147" s="19">
        <f>('[1]Short Spot'!AP148-'[1]Short Spot'!AP147)*100</f>
        <v>7.3283735484203305</v>
      </c>
      <c r="AQ147" s="19">
        <f>('[1]Short Spot'!AQ148-'[1]Short Spot'!AQ147)*100</f>
        <v>7.2874104309802235</v>
      </c>
      <c r="AR147" s="19">
        <f>('[1]Short Spot'!AR148-'[1]Short Spot'!AR147)*100</f>
        <v>7.2450464429429928</v>
      </c>
      <c r="AS147" s="19">
        <f>('[1]Short Spot'!AS148-'[1]Short Spot'!AS147)*100</f>
        <v>7.2014416284422289</v>
      </c>
      <c r="AT147" s="19">
        <f>('[1]Short Spot'!AT148-'[1]Short Spot'!AT147)*100</f>
        <v>7.1567399940199117</v>
      </c>
      <c r="AU147" s="19">
        <f>('[1]Short Spot'!AU148-'[1]Short Spot'!AU147)*100</f>
        <v>7.111071251843093</v>
      </c>
      <c r="AV147" s="19">
        <f>('[1]Short Spot'!AV148-'[1]Short Spot'!AV147)*100</f>
        <v>7.064552340380903</v>
      </c>
      <c r="AW147" s="19">
        <f>('[1]Short Spot'!AW148-'[1]Short Spot'!AW147)*100</f>
        <v>7.0172888301732073</v>
      </c>
      <c r="AX147" s="19">
        <f>('[1]Short Spot'!AX148-'[1]Short Spot'!AX147)*100</f>
        <v>6.9693768972876491</v>
      </c>
      <c r="AY147" s="19">
        <f>('[1]Short Spot'!AY148-'[1]Short Spot'!AY147)*100</f>
        <v>6.9209050635242519</v>
      </c>
      <c r="AZ147" s="19">
        <f>('[1]Short Spot'!AZ148-'[1]Short Spot'!AZ147)*100</f>
        <v>6.871955018742959</v>
      </c>
      <c r="BA147" s="19">
        <f>('[1]Short Spot'!BA148-'[1]Short Spot'!BA147)*100</f>
        <v>6.8226022777806428</v>
      </c>
      <c r="BB147" s="19">
        <f>('[1]Short Spot'!BB148-'[1]Short Spot'!BB147)*100</f>
        <v>6.7729167630012022</v>
      </c>
      <c r="BC147" s="19">
        <f>('[1]Short Spot'!BC148-'[1]Short Spot'!BC147)*100</f>
        <v>6.7229633221161933</v>
      </c>
      <c r="BD147" s="19">
        <f>('[1]Short Spot'!BD148-'[1]Short Spot'!BD147)*100</f>
        <v>6.6728021893767142</v>
      </c>
      <c r="BE147" s="19">
        <f>('[1]Short Spot'!BE148-'[1]Short Spot'!BE147)*100</f>
        <v>6.622489443463575</v>
      </c>
      <c r="BF147" s="19">
        <f>('[1]Short Spot'!BF148-'[1]Short Spot'!BF147)*100</f>
        <v>6.5720778703517446</v>
      </c>
      <c r="BG147" s="19">
        <f>('[1]Short Spot'!BG148-'[1]Short Spot'!BG147)*100</f>
        <v>6.5216176757417088</v>
      </c>
      <c r="BH147" s="19">
        <f>('[1]Short Spot'!BH148-'[1]Short Spot'!BH147)*100</f>
        <v>6.4711567756322808</v>
      </c>
      <c r="BI147" s="19">
        <f>('[1]Short Spot'!BI148-'[1]Short Spot'!BI147)*100</f>
        <v>6.4207413158231752</v>
      </c>
    </row>
    <row r="148" spans="1:61" x14ac:dyDescent="0.2">
      <c r="A148" s="18">
        <v>39295</v>
      </c>
      <c r="B148" s="19">
        <f>('[1]Short Spot'!B149-'[1]Short Spot'!B148)*100</f>
        <v>-0.45689374041151254</v>
      </c>
      <c r="C148" s="19">
        <f>('[1]Short Spot'!C149-'[1]Short Spot'!C148)*100</f>
        <v>-0.94491644685748</v>
      </c>
      <c r="D148" s="19">
        <f>('[1]Short Spot'!D149-'[1]Short Spot'!D148)*100</f>
        <v>-1.0649833745258519</v>
      </c>
      <c r="E148" s="19">
        <f>('[1]Short Spot'!E149-'[1]Short Spot'!E148)*100</f>
        <v>-1.1005937499860785</v>
      </c>
      <c r="F148" s="19">
        <f>('[1]Short Spot'!F149-'[1]Short Spot'!F148)*100</f>
        <v>-1.0945833569105723</v>
      </c>
      <c r="G148" s="19">
        <f>('[1]Short Spot'!G149-'[1]Short Spot'!G148)*100</f>
        <v>-1.0637777907996693</v>
      </c>
      <c r="H148" s="19">
        <f>('[1]Short Spot'!H149-'[1]Short Spot'!H148)*100</f>
        <v>-1.0223252909447034</v>
      </c>
      <c r="I148" s="19">
        <f>('[1]Short Spot'!I149-'[1]Short Spot'!I148)*100</f>
        <v>-0.97813108583126862</v>
      </c>
      <c r="J148" s="19">
        <f>('[1]Short Spot'!J149-'[1]Short Spot'!J148)*100</f>
        <v>-0.93197027733857851</v>
      </c>
      <c r="K148" s="19">
        <f>('[1]Short Spot'!K149-'[1]Short Spot'!K148)*100</f>
        <v>-0.88450648543316746</v>
      </c>
      <c r="L148" s="19">
        <f>('[1]Short Spot'!L149-'[1]Short Spot'!L148)*100</f>
        <v>-0.83710138546182478</v>
      </c>
      <c r="M148" s="19">
        <f>('[1]Short Spot'!M149-'[1]Short Spot'!M148)*100</f>
        <v>-0.79158360318221099</v>
      </c>
      <c r="N148" s="19">
        <f>('[1]Short Spot'!N149-'[1]Short Spot'!N148)*100</f>
        <v>-0.75001807819461419</v>
      </c>
      <c r="O148" s="19">
        <f>('[1]Short Spot'!O149-'[1]Short Spot'!O148)*100</f>
        <v>-0.71399007848231832</v>
      </c>
      <c r="P148" s="19">
        <f>('[1]Short Spot'!P149-'[1]Short Spot'!P148)*100</f>
        <v>-0.68413547422991883</v>
      </c>
      <c r="Q148" s="19">
        <f>('[1]Short Spot'!Q149-'[1]Short Spot'!Q148)*100</f>
        <v>-0.66048134672334058</v>
      </c>
      <c r="R148" s="19">
        <f>('[1]Short Spot'!R149-'[1]Short Spot'!R148)*100</f>
        <v>-0.64280507609213444</v>
      </c>
      <c r="S148" s="19">
        <f>('[1]Short Spot'!S149-'[1]Short Spot'!S148)*100</f>
        <v>-0.63073507228637027</v>
      </c>
      <c r="T148" s="19">
        <f>('[1]Short Spot'!T149-'[1]Short Spot'!T148)*100</f>
        <v>-0.62378996071057458</v>
      </c>
      <c r="U148" s="19">
        <f>('[1]Short Spot'!U149-'[1]Short Spot'!U148)*100</f>
        <v>-0.62139458127301594</v>
      </c>
      <c r="V148" s="19">
        <f>('[1]Short Spot'!V149-'[1]Short Spot'!V148)*100</f>
        <v>-0.62289741392120845</v>
      </c>
      <c r="W148" s="19">
        <f>('[1]Short Spot'!W149-'[1]Short Spot'!W148)*100</f>
        <v>-0.62770791828254957</v>
      </c>
      <c r="X148" s="19">
        <f>('[1]Short Spot'!X149-'[1]Short Spot'!X148)*100</f>
        <v>-0.63531491475830038</v>
      </c>
      <c r="Y148" s="19">
        <f>('[1]Short Spot'!Y149-'[1]Short Spot'!Y148)*100</f>
        <v>-0.64527006575563206</v>
      </c>
      <c r="Z148" s="19">
        <f>('[1]Short Spot'!Z149-'[1]Short Spot'!Z148)*100</f>
        <v>-0.65717530728539586</v>
      </c>
      <c r="AA148" s="19">
        <f>('[1]Short Spot'!AA149-'[1]Short Spot'!AA148)*100</f>
        <v>-0.67067292084308505</v>
      </c>
      <c r="AB148" s="19">
        <f>('[1]Short Spot'!AB149-'[1]Short Spot'!AB148)*100</f>
        <v>-0.68542992913140921</v>
      </c>
      <c r="AC148" s="19">
        <f>('[1]Short Spot'!AC149-'[1]Short Spot'!AC148)*100</f>
        <v>-0.70114118683104465</v>
      </c>
      <c r="AD148" s="19">
        <f>('[1]Short Spot'!AD149-'[1]Short Spot'!AD148)*100</f>
        <v>-0.71754252854363543</v>
      </c>
      <c r="AE148" s="19">
        <f>('[1]Short Spot'!AE149-'[1]Short Spot'!AE148)*100</f>
        <v>-0.73440697308573277</v>
      </c>
      <c r="AF148" s="19">
        <f>('[1]Short Spot'!AF149-'[1]Short Spot'!AF148)*100</f>
        <v>-0.75154312273957302</v>
      </c>
      <c r="AG148" s="19">
        <f>('[1]Short Spot'!AG149-'[1]Short Spot'!AG148)*100</f>
        <v>-0.76879048384901338</v>
      </c>
      <c r="AH148" s="19">
        <f>('[1]Short Spot'!AH149-'[1]Short Spot'!AH148)*100</f>
        <v>-0.78601478532194236</v>
      </c>
      <c r="AI148" s="19">
        <f>('[1]Short Spot'!AI149-'[1]Short Spot'!AI148)*100</f>
        <v>-0.80310412237132311</v>
      </c>
      <c r="AJ148" s="19">
        <f>('[1]Short Spot'!AJ149-'[1]Short Spot'!AJ148)*100</f>
        <v>-0.81996531691324037</v>
      </c>
      <c r="AK148" s="19">
        <f>('[1]Short Spot'!AK149-'[1]Short Spot'!AK148)*100</f>
        <v>-0.83651918690321736</v>
      </c>
      <c r="AL148" s="19">
        <f>('[1]Short Spot'!AL149-'[1]Short Spot'!AL148)*100</f>
        <v>-0.85269994779908487</v>
      </c>
      <c r="AM148" s="19">
        <f>('[1]Short Spot'!AM149-'[1]Short Spot'!AM148)*100</f>
        <v>-0.86845421624941466</v>
      </c>
      <c r="AN148" s="19">
        <f>('[1]Short Spot'!AN149-'[1]Short Spot'!AN148)*100</f>
        <v>-0.88373942105839376</v>
      </c>
      <c r="AO148" s="19">
        <f>('[1]Short Spot'!AO149-'[1]Short Spot'!AO148)*100</f>
        <v>-0.89852242587822317</v>
      </c>
      <c r="AP148" s="19">
        <f>('[1]Short Spot'!AP149-'[1]Short Spot'!AP148)*100</f>
        <v>-0.91277758166441458</v>
      </c>
      <c r="AQ148" s="19">
        <f>('[1]Short Spot'!AQ149-'[1]Short Spot'!AQ148)*100</f>
        <v>-0.92648486416173625</v>
      </c>
      <c r="AR148" s="19">
        <f>('[1]Short Spot'!AR149-'[1]Short Spot'!AR148)*100</f>
        <v>-0.93962936228351168</v>
      </c>
      <c r="AS148" s="19">
        <f>('[1]Short Spot'!AS149-'[1]Short Spot'!AS148)*100</f>
        <v>-0.95220071377033477</v>
      </c>
      <c r="AT148" s="19">
        <f>('[1]Short Spot'!AT149-'[1]Short Spot'!AT148)*100</f>
        <v>-0.96419259976467941</v>
      </c>
      <c r="AU148" s="19">
        <f>('[1]Short Spot'!AU149-'[1]Short Spot'!AU148)*100</f>
        <v>-0.97560230531144043</v>
      </c>
      <c r="AV148" s="19">
        <f>('[1]Short Spot'!AV149-'[1]Short Spot'!AV148)*100</f>
        <v>-0.98643033596230723</v>
      </c>
      <c r="AW148" s="19">
        <f>('[1]Short Spot'!AW149-'[1]Short Spot'!AW148)*100</f>
        <v>-0.99668003309387743</v>
      </c>
      <c r="AX148" s="19">
        <f>('[1]Short Spot'!AX149-'[1]Short Spot'!AX148)*100</f>
        <v>-1.0063568609381512</v>
      </c>
      <c r="AY148" s="19">
        <f>('[1]Short Spot'!AY149-'[1]Short Spot'!AY148)*100</f>
        <v>-1.0154678495169378</v>
      </c>
      <c r="AZ148" s="19">
        <f>('[1]Short Spot'!AZ149-'[1]Short Spot'!AZ148)*100</f>
        <v>-1.0240214178880436</v>
      </c>
      <c r="BA148" s="19">
        <f>('[1]Short Spot'!BA149-'[1]Short Spot'!BA148)*100</f>
        <v>-1.032027240583222</v>
      </c>
      <c r="BB148" s="19">
        <f>('[1]Short Spot'!BB149-'[1]Short Spot'!BB148)*100</f>
        <v>-1.0394961291676275</v>
      </c>
      <c r="BC148" s="19">
        <f>('[1]Short Spot'!BC149-'[1]Short Spot'!BC148)*100</f>
        <v>-1.0464399269591418</v>
      </c>
      <c r="BD148" s="19">
        <f>('[1]Short Spot'!BD149-'[1]Short Spot'!BD148)*100</f>
        <v>-1.0528714154367513</v>
      </c>
      <c r="BE148" s="19">
        <f>('[1]Short Spot'!BE149-'[1]Short Spot'!BE148)*100</f>
        <v>-1.0588042179573876</v>
      </c>
      <c r="BF148" s="19">
        <f>('[1]Short Spot'!BF149-'[1]Short Spot'!BF148)*100</f>
        <v>-1.0642524761227179</v>
      </c>
      <c r="BG148" s="19">
        <f>('[1]Short Spot'!BG149-'[1]Short Spot'!BG148)*100</f>
        <v>-1.069230568251367</v>
      </c>
      <c r="BH148" s="19">
        <f>('[1]Short Spot'!BH149-'[1]Short Spot'!BH148)*100</f>
        <v>-1.073753064987315</v>
      </c>
      <c r="BI148" s="19">
        <f>('[1]Short Spot'!BI149-'[1]Short Spot'!BI148)*100</f>
        <v>-1.0778349275742727</v>
      </c>
    </row>
    <row r="149" spans="1:61" x14ac:dyDescent="0.2">
      <c r="A149" s="18">
        <v>39296</v>
      </c>
      <c r="B149" s="19">
        <f>('[1]Short Spot'!B150-'[1]Short Spot'!B149)*100</f>
        <v>-0.11022659443096217</v>
      </c>
      <c r="C149" s="19">
        <f>('[1]Short Spot'!C150-'[1]Short Spot'!C149)*100</f>
        <v>0.43192698269187701</v>
      </c>
      <c r="D149" s="19">
        <f>('[1]Short Spot'!D150-'[1]Short Spot'!D149)*100</f>
        <v>1.0829605345303861</v>
      </c>
      <c r="E149" s="19">
        <f>('[1]Short Spot'!E150-'[1]Short Spot'!E149)*100</f>
        <v>1.6511704639182057</v>
      </c>
      <c r="F149" s="19">
        <f>('[1]Short Spot'!F150-'[1]Short Spot'!F149)*100</f>
        <v>2.104128574789943</v>
      </c>
      <c r="G149" s="19">
        <f>('[1]Short Spot'!G150-'[1]Short Spot'!G149)*100</f>
        <v>2.4585490879079686</v>
      </c>
      <c r="H149" s="19">
        <f>('[1]Short Spot'!H150-'[1]Short Spot'!H149)*100</f>
        <v>2.7321131723139658</v>
      </c>
      <c r="I149" s="19">
        <f>('[1]Short Spot'!I150-'[1]Short Spot'!I149)*100</f>
        <v>2.9438045266847013</v>
      </c>
      <c r="J149" s="19">
        <f>('[1]Short Spot'!J150-'[1]Short Spot'!J149)*100</f>
        <v>3.113096843571217</v>
      </c>
      <c r="K149" s="19">
        <f>('[1]Short Spot'!K150-'[1]Short Spot'!K149)*100</f>
        <v>3.2547780693437112</v>
      </c>
      <c r="L149" s="19">
        <f>('[1]Short Spot'!L150-'[1]Short Spot'!L149)*100</f>
        <v>3.3782278985790448</v>
      </c>
      <c r="M149" s="19">
        <f>('[1]Short Spot'!M150-'[1]Short Spot'!M149)*100</f>
        <v>3.4876595013622946</v>
      </c>
      <c r="N149" s="19">
        <f>('[1]Short Spot'!N150-'[1]Short Spot'!N149)*100</f>
        <v>3.5842484230573568</v>
      </c>
      <c r="O149" s="19">
        <f>('[1]Short Spot'!O150-'[1]Short Spot'!O149)*100</f>
        <v>3.6690727990381866</v>
      </c>
      <c r="P149" s="19">
        <f>('[1]Short Spot'!P150-'[1]Short Spot'!P149)*100</f>
        <v>3.7435642695314186</v>
      </c>
      <c r="Q149" s="19">
        <f>('[1]Short Spot'!Q150-'[1]Short Spot'!Q149)*100</f>
        <v>3.8091065703811822</v>
      </c>
      <c r="R149" s="19">
        <f>('[1]Short Spot'!R150-'[1]Short Spot'!R149)*100</f>
        <v>3.8668526342998888</v>
      </c>
      <c r="S149" s="19">
        <f>('[1]Short Spot'!S150-'[1]Short Spot'!S149)*100</f>
        <v>3.9177595191492998</v>
      </c>
      <c r="T149" s="19">
        <f>('[1]Short Spot'!T150-'[1]Short Spot'!T149)*100</f>
        <v>3.9626400289529684</v>
      </c>
      <c r="U149" s="19">
        <f>('[1]Short Spot'!U150-'[1]Short Spot'!U149)*100</f>
        <v>4.0022138164520271</v>
      </c>
      <c r="V149" s="19">
        <f>('[1]Short Spot'!V150-'[1]Short Spot'!V149)*100</f>
        <v>4.0371661470155473</v>
      </c>
      <c r="W149" s="19">
        <f>('[1]Short Spot'!W150-'[1]Short Spot'!W149)*100</f>
        <v>4.0680768305143999</v>
      </c>
      <c r="X149" s="19">
        <f>('[1]Short Spot'!X150-'[1]Short Spot'!X149)*100</f>
        <v>4.0954191806352291</v>
      </c>
      <c r="Y149" s="19">
        <f>('[1]Short Spot'!Y150-'[1]Short Spot'!Y149)*100</f>
        <v>4.1195821976298674</v>
      </c>
      <c r="Z149" s="19">
        <f>('[1]Short Spot'!Z150-'[1]Short Spot'!Z149)*100</f>
        <v>4.1408874310021382</v>
      </c>
      <c r="AA149" s="19">
        <f>('[1]Short Spot'!AA150-'[1]Short Spot'!AA149)*100</f>
        <v>4.15960229626684</v>
      </c>
      <c r="AB149" s="19">
        <f>('[1]Short Spot'!AB150-'[1]Short Spot'!AB149)*100</f>
        <v>4.1759608595328679</v>
      </c>
      <c r="AC149" s="19">
        <f>('[1]Short Spot'!AC150-'[1]Short Spot'!AC149)*100</f>
        <v>4.1901700076973469</v>
      </c>
      <c r="AD149" s="19">
        <f>('[1]Short Spot'!AD150-'[1]Short Spot'!AD149)*100</f>
        <v>4.2024007392645224</v>
      </c>
      <c r="AE149" s="19">
        <f>('[1]Short Spot'!AE150-'[1]Short Spot'!AE149)*100</f>
        <v>4.2127960559081856</v>
      </c>
      <c r="AF149" s="19">
        <f>('[1]Short Spot'!AF150-'[1]Short Spot'!AF149)*100</f>
        <v>4.2214771939315554</v>
      </c>
      <c r="AG149" s="19">
        <f>('[1]Short Spot'!AG150-'[1]Short Spot'!AG149)*100</f>
        <v>4.2285469748058802</v>
      </c>
      <c r="AH149" s="19">
        <f>('[1]Short Spot'!AH150-'[1]Short Spot'!AH149)*100</f>
        <v>4.2340925949627461</v>
      </c>
      <c r="AI149" s="19">
        <f>('[1]Short Spot'!AI150-'[1]Short Spot'!AI149)*100</f>
        <v>4.2381879235944275</v>
      </c>
      <c r="AJ149" s="19">
        <f>('[1]Short Spot'!AJ150-'[1]Short Spot'!AJ149)*100</f>
        <v>4.2408960367737336</v>
      </c>
      <c r="AK149" s="19">
        <f>('[1]Short Spot'!AK150-'[1]Short Spot'!AK149)*100</f>
        <v>4.242274553469727</v>
      </c>
      <c r="AL149" s="19">
        <f>('[1]Short Spot'!AL150-'[1]Short Spot'!AL149)*100</f>
        <v>4.2423769093232089</v>
      </c>
      <c r="AM149" s="19">
        <f>('[1]Short Spot'!AM150-'[1]Short Spot'!AM149)*100</f>
        <v>4.2412524064141088</v>
      </c>
      <c r="AN149" s="19">
        <f>('[1]Short Spot'!AN150-'[1]Short Spot'!AN149)*100</f>
        <v>4.2389467428864513</v>
      </c>
      <c r="AO149" s="19">
        <f>('[1]Short Spot'!AO150-'[1]Short Spot'!AO149)*100</f>
        <v>4.2355025000953894</v>
      </c>
      <c r="AP149" s="19">
        <f>('[1]Short Spot'!AP150-'[1]Short Spot'!AP149)*100</f>
        <v>4.2309606057941096</v>
      </c>
      <c r="AQ149" s="19">
        <f>('[1]Short Spot'!AQ150-'[1]Short Spot'!AQ149)*100</f>
        <v>4.2253620443402085</v>
      </c>
      <c r="AR149" s="19">
        <f>('[1]Short Spot'!AR150-'[1]Short Spot'!AR149)*100</f>
        <v>4.2187478491148234</v>
      </c>
      <c r="AS149" s="19">
        <f>('[1]Short Spot'!AS150-'[1]Short Spot'!AS149)*100</f>
        <v>4.211159083867777</v>
      </c>
      <c r="AT149" s="19">
        <f>('[1]Short Spot'!AT150-'[1]Short Spot'!AT149)*100</f>
        <v>4.2026368393428548</v>
      </c>
      <c r="AU149" s="19">
        <f>('[1]Short Spot'!AU150-'[1]Short Spot'!AU149)*100</f>
        <v>4.1932222303446842</v>
      </c>
      <c r="AV149" s="19">
        <f>('[1]Short Spot'!AV150-'[1]Short Spot'!AV149)*100</f>
        <v>4.1829563931793601</v>
      </c>
      <c r="AW149" s="19">
        <f>('[1]Short Spot'!AW150-'[1]Short Spot'!AW149)*100</f>
        <v>4.1718804694792944</v>
      </c>
      <c r="AX149" s="19">
        <f>('[1]Short Spot'!AX150-'[1]Short Spot'!AX149)*100</f>
        <v>4.16003540380947</v>
      </c>
      <c r="AY149" s="19">
        <f>('[1]Short Spot'!AY150-'[1]Short Spot'!AY149)*100</f>
        <v>4.1474617393932434</v>
      </c>
      <c r="AZ149" s="19">
        <f>('[1]Short Spot'!AZ150-'[1]Short Spot'!AZ149)*100</f>
        <v>4.1341996354922195</v>
      </c>
      <c r="BA149" s="19">
        <f>('[1]Short Spot'!BA150-'[1]Short Spot'!BA149)*100</f>
        <v>4.1202889043235658</v>
      </c>
      <c r="BB149" s="19">
        <f>('[1]Short Spot'!BB150-'[1]Short Spot'!BB149)*100</f>
        <v>4.1057690438017325</v>
      </c>
      <c r="BC149" s="19">
        <f>('[1]Short Spot'!BC150-'[1]Short Spot'!BC149)*100</f>
        <v>4.0906792666397962</v>
      </c>
      <c r="BD149" s="19">
        <f>('[1]Short Spot'!BD150-'[1]Short Spot'!BD149)*100</f>
        <v>4.0750585256412286</v>
      </c>
      <c r="BE149" s="19">
        <f>('[1]Short Spot'!BE150-'[1]Short Spot'!BE149)*100</f>
        <v>4.0589453926832775</v>
      </c>
      <c r="BF149" s="19">
        <f>('[1]Short Spot'!BF150-'[1]Short Spot'!BF149)*100</f>
        <v>4.0423775262264705</v>
      </c>
      <c r="BG149" s="19">
        <f>('[1]Short Spot'!BG150-'[1]Short Spot'!BG149)*100</f>
        <v>4.0253915287796538</v>
      </c>
      <c r="BH149" s="19">
        <f>('[1]Short Spot'!BH150-'[1]Short Spot'!BH149)*100</f>
        <v>4.008023106248082</v>
      </c>
      <c r="BI149" s="19">
        <f>('[1]Short Spot'!BI150-'[1]Short Spot'!BI149)*100</f>
        <v>3.9903077121063113</v>
      </c>
    </row>
    <row r="150" spans="1:61" x14ac:dyDescent="0.2">
      <c r="A150" s="18">
        <v>39297</v>
      </c>
      <c r="B150" s="19">
        <f>('[1]Short Spot'!B151-'[1]Short Spot'!B150)*100</f>
        <v>-0.13628175505386864</v>
      </c>
      <c r="C150" s="19">
        <f>('[1]Short Spot'!C151-'[1]Short Spot'!C150)*100</f>
        <v>3.8707503740997851E-2</v>
      </c>
      <c r="D150" s="19">
        <f>('[1]Short Spot'!D151-'[1]Short Spot'!D150)*100</f>
        <v>-6.7820252032380068E-2</v>
      </c>
      <c r="E150" s="19">
        <f>('[1]Short Spot'!E151-'[1]Short Spot'!E150)*100</f>
        <v>-0.19042114565692714</v>
      </c>
      <c r="F150" s="19">
        <f>('[1]Short Spot'!F151-'[1]Short Spot'!F150)*100</f>
        <v>-0.28817365604041356</v>
      </c>
      <c r="G150" s="19">
        <f>('[1]Short Spot'!G151-'[1]Short Spot'!G150)*100</f>
        <v>-0.34498409192167401</v>
      </c>
      <c r="H150" s="19">
        <f>('[1]Short Spot'!H151-'[1]Short Spot'!H150)*100</f>
        <v>-0.37553245550805414</v>
      </c>
      <c r="I150" s="19">
        <f>('[1]Short Spot'!I151-'[1]Short Spot'!I150)*100</f>
        <v>-0.39408071992754756</v>
      </c>
      <c r="J150" s="19">
        <f>('[1]Short Spot'!J151-'[1]Short Spot'!J150)*100</f>
        <v>-0.40476715883537295</v>
      </c>
      <c r="K150" s="19">
        <f>('[1]Short Spot'!K151-'[1]Short Spot'!K150)*100</f>
        <v>-0.41322328417008336</v>
      </c>
      <c r="L150" s="19">
        <f>('[1]Short Spot'!L151-'[1]Short Spot'!L150)*100</f>
        <v>-0.4226698532070472</v>
      </c>
      <c r="M150" s="19">
        <f>('[1]Short Spot'!M151-'[1]Short Spot'!M150)*100</f>
        <v>-0.43386836814667262</v>
      </c>
      <c r="N150" s="19">
        <f>('[1]Short Spot'!N151-'[1]Short Spot'!N150)*100</f>
        <v>-0.44653652984170122</v>
      </c>
      <c r="O150" s="19">
        <f>('[1]Short Spot'!O151-'[1]Short Spot'!O150)*100</f>
        <v>-0.46058206727748185</v>
      </c>
      <c r="P150" s="19">
        <f>('[1]Short Spot'!P151-'[1]Short Spot'!P150)*100</f>
        <v>-0.47623156563254554</v>
      </c>
      <c r="Q150" s="19">
        <f>('[1]Short Spot'!Q151-'[1]Short Spot'!Q150)*100</f>
        <v>-0.49389134918289557</v>
      </c>
      <c r="R150" s="19">
        <f>('[1]Short Spot'!R151-'[1]Short Spot'!R150)*100</f>
        <v>-0.514000761671074</v>
      </c>
      <c r="S150" s="19">
        <f>('[1]Short Spot'!S151-'[1]Short Spot'!S150)*100</f>
        <v>-0.53696858854133112</v>
      </c>
      <c r="T150" s="19">
        <f>('[1]Short Spot'!T151-'[1]Short Spot'!T150)*100</f>
        <v>-0.56318060121895996</v>
      </c>
      <c r="U150" s="19">
        <f>('[1]Short Spot'!U151-'[1]Short Spot'!U150)*100</f>
        <v>-0.59293837978531272</v>
      </c>
      <c r="V150" s="19">
        <f>('[1]Short Spot'!V151-'[1]Short Spot'!V150)*100</f>
        <v>-0.62626308592399482</v>
      </c>
      <c r="W150" s="19">
        <f>('[1]Short Spot'!W151-'[1]Short Spot'!W150)*100</f>
        <v>-0.66308896979592191</v>
      </c>
      <c r="X150" s="19">
        <f>('[1]Short Spot'!X151-'[1]Short Spot'!X150)*100</f>
        <v>-0.70333178341073221</v>
      </c>
      <c r="Y150" s="19">
        <f>('[1]Short Spot'!Y151-'[1]Short Spot'!Y150)*100</f>
        <v>-0.7468926348733973</v>
      </c>
      <c r="Z150" s="19">
        <f>('[1]Short Spot'!Z151-'[1]Short Spot'!Z150)*100</f>
        <v>-0.79366091716419618</v>
      </c>
      <c r="AA150" s="19">
        <f>('[1]Short Spot'!AA151-'[1]Short Spot'!AA150)*100</f>
        <v>-0.84351492807677175</v>
      </c>
      <c r="AB150" s="19">
        <f>('[1]Short Spot'!AB151-'[1]Short Spot'!AB150)*100</f>
        <v>-0.89628697749191133</v>
      </c>
      <c r="AC150" s="19">
        <f>('[1]Short Spot'!AC151-'[1]Short Spot'!AC150)*100</f>
        <v>-0.95177068326393055</v>
      </c>
      <c r="AD150" s="19">
        <f>('[1]Short Spot'!AD151-'[1]Short Spot'!AD150)*100</f>
        <v>-1.0097632746283836</v>
      </c>
      <c r="AE150" s="19">
        <f>('[1]Short Spot'!AE151-'[1]Short Spot'!AE150)*100</f>
        <v>-1.0700669564774223</v>
      </c>
      <c r="AF150" s="19">
        <f>('[1]Short Spot'!AF151-'[1]Short Spot'!AF150)*100</f>
        <v>-1.1324930814971879</v>
      </c>
      <c r="AG150" s="19">
        <f>('[1]Short Spot'!AG151-'[1]Short Spot'!AG150)*100</f>
        <v>-1.1968618540522336</v>
      </c>
      <c r="AH150" s="19">
        <f>('[1]Short Spot'!AH151-'[1]Short Spot'!AH150)*100</f>
        <v>-1.2630009891983818</v>
      </c>
      <c r="AI150" s="19">
        <f>('[1]Short Spot'!AI151-'[1]Short Spot'!AI150)*100</f>
        <v>-1.3307446081654462</v>
      </c>
      <c r="AJ150" s="19">
        <f>('[1]Short Spot'!AJ151-'[1]Short Spot'!AJ150)*100</f>
        <v>-1.3999305606549051</v>
      </c>
      <c r="AK150" s="19">
        <f>('[1]Short Spot'!AK151-'[1]Short Spot'!AK150)*100</f>
        <v>-1.4703951074054089</v>
      </c>
      <c r="AL150" s="19">
        <f>('[1]Short Spot'!AL151-'[1]Short Spot'!AL150)*100</f>
        <v>-1.541979443708108</v>
      </c>
      <c r="AM150" s="19">
        <f>('[1]Short Spot'!AM151-'[1]Short Spot'!AM150)*100</f>
        <v>-1.6145310123905965</v>
      </c>
      <c r="AN150" s="19">
        <f>('[1]Short Spot'!AN151-'[1]Short Spot'!AN150)*100</f>
        <v>-1.6879027029331972</v>
      </c>
      <c r="AO150" s="19">
        <f>('[1]Short Spot'!AO151-'[1]Short Spot'!AO150)*100</f>
        <v>-1.7619520963441104</v>
      </c>
      <c r="AP150" s="19">
        <f>('[1]Short Spot'!AP151-'[1]Short Spot'!AP150)*100</f>
        <v>-1.8365409972512126</v>
      </c>
      <c r="AQ150" s="19">
        <f>('[1]Short Spot'!AQ151-'[1]Short Spot'!AQ150)*100</f>
        <v>-1.9115392490167693</v>
      </c>
      <c r="AR150" s="19">
        <f>('[1]Short Spot'!AR151-'[1]Short Spot'!AR150)*100</f>
        <v>-1.9868260541644922</v>
      </c>
      <c r="AS150" s="19">
        <f>('[1]Short Spot'!AS151-'[1]Short Spot'!AS150)*100</f>
        <v>-2.0622889522161181</v>
      </c>
      <c r="AT150" s="19">
        <f>('[1]Short Spot'!AT151-'[1]Short Spot'!AT150)*100</f>
        <v>-2.137822893357022</v>
      </c>
      <c r="AU150" s="19">
        <f>('[1]Short Spot'!AU151-'[1]Short Spot'!AU150)*100</f>
        <v>-2.2133294329304221</v>
      </c>
      <c r="AV150" s="19">
        <f>('[1]Short Spot'!AV151-'[1]Short Spot'!AV150)*100</f>
        <v>-2.2887160287823782</v>
      </c>
      <c r="AW150" s="19">
        <f>('[1]Short Spot'!AW151-'[1]Short Spot'!AW150)*100</f>
        <v>-2.3638955501411374</v>
      </c>
      <c r="AX150" s="19">
        <f>('[1]Short Spot'!AX151-'[1]Short Spot'!AX150)*100</f>
        <v>-2.4387867160613474</v>
      </c>
      <c r="AY150" s="19">
        <f>('[1]Short Spot'!AY151-'[1]Short Spot'!AY150)*100</f>
        <v>-2.5133142896434535</v>
      </c>
      <c r="AZ150" s="19">
        <f>('[1]Short Spot'!AZ151-'[1]Short Spot'!AZ150)*100</f>
        <v>-2.5874085373664535</v>
      </c>
      <c r="BA150" s="19">
        <f>('[1]Short Spot'!BA151-'[1]Short Spot'!BA150)*100</f>
        <v>-2.6610046999147485</v>
      </c>
      <c r="BB150" s="19">
        <f>('[1]Short Spot'!BB151-'[1]Short Spot'!BB150)*100</f>
        <v>-2.7340425229160026</v>
      </c>
      <c r="BC150" s="19">
        <f>('[1]Short Spot'!BC151-'[1]Short Spot'!BC150)*100</f>
        <v>-2.8064658398150755</v>
      </c>
      <c r="BD150" s="19">
        <f>('[1]Short Spot'!BD151-'[1]Short Spot'!BD150)*100</f>
        <v>-2.8782222030132587</v>
      </c>
      <c r="BE150" s="19">
        <f>('[1]Short Spot'!BE151-'[1]Short Spot'!BE150)*100</f>
        <v>-2.9492627029584106</v>
      </c>
      <c r="BF150" s="19">
        <f>('[1]Short Spot'!BF151-'[1]Short Spot'!BF150)*100</f>
        <v>-3.0195417042549799</v>
      </c>
      <c r="BG150" s="19">
        <f>('[1]Short Spot'!BG151-'[1]Short Spot'!BG150)*100</f>
        <v>-3.0890163184101205</v>
      </c>
      <c r="BH150" s="19">
        <f>('[1]Short Spot'!BH151-'[1]Short Spot'!BH150)*100</f>
        <v>-3.1576461013359314</v>
      </c>
      <c r="BI150" s="19">
        <f>('[1]Short Spot'!BI151-'[1]Short Spot'!BI150)*100</f>
        <v>-3.2253933348290076</v>
      </c>
    </row>
    <row r="151" spans="1:61" x14ac:dyDescent="0.2">
      <c r="A151" s="18">
        <v>39300</v>
      </c>
      <c r="B151" s="19">
        <f>('[1]Short Spot'!B152-'[1]Short Spot'!B151)*100</f>
        <v>0.54642519471377327</v>
      </c>
      <c r="C151" s="19">
        <f>('[1]Short Spot'!C152-'[1]Short Spot'!C151)*100</f>
        <v>0.65684708186557472</v>
      </c>
      <c r="D151" s="19">
        <f>('[1]Short Spot'!D152-'[1]Short Spot'!D151)*100</f>
        <v>0.4808107870229783</v>
      </c>
      <c r="E151" s="19">
        <f>('[1]Short Spot'!E152-'[1]Short Spot'!E151)*100</f>
        <v>0.18563063269150248</v>
      </c>
      <c r="F151" s="19">
        <f>('[1]Short Spot'!F152-'[1]Short Spot'!F151)*100</f>
        <v>-0.17295761212858807</v>
      </c>
      <c r="G151" s="19">
        <f>('[1]Short Spot'!G152-'[1]Short Spot'!G151)*100</f>
        <v>-0.53541781015322698</v>
      </c>
      <c r="H151" s="19">
        <f>('[1]Short Spot'!H152-'[1]Short Spot'!H151)*100</f>
        <v>-0.85840061059041517</v>
      </c>
      <c r="I151" s="19">
        <f>('[1]Short Spot'!I152-'[1]Short Spot'!I151)*100</f>
        <v>-1.1194636223324395</v>
      </c>
      <c r="J151" s="19">
        <f>('[1]Short Spot'!J152-'[1]Short Spot'!J151)*100</f>
        <v>-1.3165370835778845</v>
      </c>
      <c r="K151" s="19">
        <f>('[1]Short Spot'!K152-'[1]Short Spot'!K151)*100</f>
        <v>-1.4570444145704187</v>
      </c>
      <c r="L151" s="19">
        <f>('[1]Short Spot'!L152-'[1]Short Spot'!L151)*100</f>
        <v>-1.5526799180375583</v>
      </c>
      <c r="M151" s="19">
        <f>('[1]Short Spot'!M152-'[1]Short Spot'!M151)*100</f>
        <v>-1.613974088399317</v>
      </c>
      <c r="N151" s="19">
        <f>('[1]Short Spot'!N152-'[1]Short Spot'!N151)*100</f>
        <v>-1.6500396499131931</v>
      </c>
      <c r="O151" s="19">
        <f>('[1]Short Spot'!O152-'[1]Short Spot'!O151)*100</f>
        <v>-1.6684744441580968</v>
      </c>
      <c r="P151" s="19">
        <f>('[1]Short Spot'!P152-'[1]Short Spot'!P151)*100</f>
        <v>-1.6745151162848693</v>
      </c>
      <c r="Q151" s="19">
        <f>('[1]Short Spot'!Q152-'[1]Short Spot'!Q151)*100</f>
        <v>-1.6716943821340813</v>
      </c>
      <c r="R151" s="19">
        <f>('[1]Short Spot'!R152-'[1]Short Spot'!R151)*100</f>
        <v>-1.6625014943075556</v>
      </c>
      <c r="S151" s="19">
        <f>('[1]Short Spot'!S152-'[1]Short Spot'!S151)*100</f>
        <v>-1.6486855046581539</v>
      </c>
      <c r="T151" s="19">
        <f>('[1]Short Spot'!T152-'[1]Short Spot'!T151)*100</f>
        <v>-1.6314499982550856</v>
      </c>
      <c r="U151" s="19">
        <f>('[1]Short Spot'!U152-'[1]Short Spot'!U151)*100</f>
        <v>-1.611573190865645</v>
      </c>
      <c r="V151" s="19">
        <f>('[1]Short Spot'!V152-'[1]Short Spot'!V151)*100</f>
        <v>-1.5895305104213442</v>
      </c>
      <c r="W151" s="19">
        <f>('[1]Short Spot'!W152-'[1]Short Spot'!W151)*100</f>
        <v>-1.5656831842311369</v>
      </c>
      <c r="X151" s="19">
        <f>('[1]Short Spot'!X152-'[1]Short Spot'!X151)*100</f>
        <v>-1.5403216125939423</v>
      </c>
      <c r="Y151" s="19">
        <f>('[1]Short Spot'!Y152-'[1]Short Spot'!Y151)*100</f>
        <v>-1.5136801244260312</v>
      </c>
      <c r="Z151" s="19">
        <f>('[1]Short Spot'!Z152-'[1]Short Spot'!Z151)*100</f>
        <v>-1.4859481915382666</v>
      </c>
      <c r="AA151" s="19">
        <f>('[1]Short Spot'!AA152-'[1]Short Spot'!AA151)*100</f>
        <v>-1.457278284572272</v>
      </c>
      <c r="AB151" s="19">
        <f>('[1]Short Spot'!AB152-'[1]Short Spot'!AB151)*100</f>
        <v>-1.4277804310467879</v>
      </c>
      <c r="AC151" s="19">
        <f>('[1]Short Spot'!AC152-'[1]Short Spot'!AC151)*100</f>
        <v>-1.3975338427842487</v>
      </c>
      <c r="AD151" s="19">
        <f>('[1]Short Spot'!AD152-'[1]Short Spot'!AD151)*100</f>
        <v>-1.3666039727958434</v>
      </c>
      <c r="AE151" s="19">
        <f>('[1]Short Spot'!AE152-'[1]Short Spot'!AE151)*100</f>
        <v>-1.3350468534291338</v>
      </c>
      <c r="AF151" s="19">
        <f>('[1]Short Spot'!AF152-'[1]Short Spot'!AF151)*100</f>
        <v>-1.3029134629107375</v>
      </c>
      <c r="AG151" s="19">
        <f>('[1]Short Spot'!AG152-'[1]Short Spot'!AG151)*100</f>
        <v>-1.2702509011734975</v>
      </c>
      <c r="AH151" s="19">
        <f>('[1]Short Spot'!AH152-'[1]Short Spot'!AH151)*100</f>
        <v>-1.2371029774783437</v>
      </c>
      <c r="AI151" s="19">
        <f>('[1]Short Spot'!AI152-'[1]Short Spot'!AI151)*100</f>
        <v>-1.2035106942493101</v>
      </c>
      <c r="AJ151" s="19">
        <f>('[1]Short Spot'!AJ152-'[1]Short Spot'!AJ151)*100</f>
        <v>-1.16951198454327</v>
      </c>
      <c r="AK151" s="19">
        <f>('[1]Short Spot'!AK152-'[1]Short Spot'!AK151)*100</f>
        <v>-1.1351410393342753</v>
      </c>
      <c r="AL151" s="19">
        <f>('[1]Short Spot'!AL152-'[1]Short Spot'!AL151)*100</f>
        <v>-1.1004312594984356</v>
      </c>
      <c r="AM151" s="19">
        <f>('[1]Short Spot'!AM152-'[1]Short Spot'!AM151)*100</f>
        <v>-1.065415906520073</v>
      </c>
      <c r="AN151" s="19">
        <f>('[1]Short Spot'!AN152-'[1]Short Spot'!AN151)*100</f>
        <v>-1.030128120362761</v>
      </c>
      <c r="AO151" s="19">
        <f>('[1]Short Spot'!AO152-'[1]Short Spot'!AO151)*100</f>
        <v>-0.99460088455600726</v>
      </c>
      <c r="AP151" s="19">
        <f>('[1]Short Spot'!AP152-'[1]Short Spot'!AP151)*100</f>
        <v>-0.9588664030244054</v>
      </c>
      <c r="AQ151" s="19">
        <f>('[1]Short Spot'!AQ152-'[1]Short Spot'!AQ151)*100</f>
        <v>-0.92295605696239846</v>
      </c>
      <c r="AR151" s="19">
        <f>('[1]Short Spot'!AR152-'[1]Short Spot'!AR151)*100</f>
        <v>-0.88690076240292015</v>
      </c>
      <c r="AS151" s="19">
        <f>('[1]Short Spot'!AS152-'[1]Short Spot'!AS151)*100</f>
        <v>-0.85073102865234063</v>
      </c>
      <c r="AT151" s="19">
        <f>('[1]Short Spot'!AT152-'[1]Short Spot'!AT151)*100</f>
        <v>-0.81447700348302732</v>
      </c>
      <c r="AU151" s="19">
        <f>('[1]Short Spot'!AU152-'[1]Short Spot'!AU151)*100</f>
        <v>-0.7781685124298221</v>
      </c>
      <c r="AV151" s="19">
        <f>('[1]Short Spot'!AV152-'[1]Short Spot'!AV151)*100</f>
        <v>-0.7418350930129769</v>
      </c>
      <c r="AW151" s="19">
        <f>('[1]Short Spot'!AW152-'[1]Short Spot'!AW151)*100</f>
        <v>-0.70550594027887215</v>
      </c>
      <c r="AX151" s="19">
        <f>('[1]Short Spot'!AX152-'[1]Short Spot'!AX151)*100</f>
        <v>-0.66920940466017598</v>
      </c>
      <c r="AY151" s="19">
        <f>('[1]Short Spot'!AY152-'[1]Short Spot'!AY151)*100</f>
        <v>-0.63297272859754727</v>
      </c>
      <c r="AZ151" s="19">
        <f>('[1]Short Spot'!AZ152-'[1]Short Spot'!AZ151)*100</f>
        <v>-0.59682213801330875</v>
      </c>
      <c r="BA151" s="19">
        <f>('[1]Short Spot'!BA152-'[1]Short Spot'!BA151)*100</f>
        <v>-0.56078294005272866</v>
      </c>
      <c r="BB151" s="19">
        <f>('[1]Short Spot'!BB152-'[1]Short Spot'!BB151)*100</f>
        <v>-0.52487960976081993</v>
      </c>
      <c r="BC151" s="19">
        <f>('[1]Short Spot'!BC152-'[1]Short Spot'!BC151)*100</f>
        <v>-0.48913586712977519</v>
      </c>
      <c r="BD151" s="19">
        <f>('[1]Short Spot'!BD152-'[1]Short Spot'!BD151)*100</f>
        <v>-0.45357474547795817</v>
      </c>
      <c r="BE151" s="19">
        <f>('[1]Short Spot'!BE152-'[1]Short Spot'!BE151)*100</f>
        <v>-0.41821847660061806</v>
      </c>
      <c r="BF151" s="19">
        <f>('[1]Short Spot'!BF152-'[1]Short Spot'!BF151)*100</f>
        <v>-0.38308772199879826</v>
      </c>
      <c r="BG151" s="19">
        <f>('[1]Short Spot'!BG152-'[1]Short Spot'!BG151)*100</f>
        <v>-0.34820129724932869</v>
      </c>
      <c r="BH151" s="19">
        <f>('[1]Short Spot'!BH152-'[1]Short Spot'!BH151)*100</f>
        <v>-0.31357641152238713</v>
      </c>
      <c r="BI151" s="19">
        <f>('[1]Short Spot'!BI152-'[1]Short Spot'!BI151)*100</f>
        <v>-0.27922985815846957</v>
      </c>
    </row>
    <row r="152" spans="1:61" x14ac:dyDescent="0.2">
      <c r="A152" s="18">
        <v>39301</v>
      </c>
      <c r="B152" s="19">
        <f>('[1]Short Spot'!B153-'[1]Short Spot'!B152)*100</f>
        <v>0.96766856966983283</v>
      </c>
      <c r="C152" s="19">
        <f>('[1]Short Spot'!C153-'[1]Short Spot'!C152)*100</f>
        <v>0.60162365270164386</v>
      </c>
      <c r="D152" s="19">
        <f>('[1]Short Spot'!D153-'[1]Short Spot'!D152)*100</f>
        <v>0.41692563779136549</v>
      </c>
      <c r="E152" s="19">
        <f>('[1]Short Spot'!E153-'[1]Short Spot'!E152)*100</f>
        <v>0.35746275982546649</v>
      </c>
      <c r="F152" s="19">
        <f>('[1]Short Spot'!F153-'[1]Short Spot'!F152)*100</f>
        <v>0.39623374775086262</v>
      </c>
      <c r="G152" s="19">
        <f>('[1]Short Spot'!G153-'[1]Short Spot'!G152)*100</f>
        <v>0.47722151163913651</v>
      </c>
      <c r="H152" s="19">
        <f>('[1]Short Spot'!H153-'[1]Short Spot'!H152)*100</f>
        <v>0.56187292839329217</v>
      </c>
      <c r="I152" s="19">
        <f>('[1]Short Spot'!I153-'[1]Short Spot'!I152)*100</f>
        <v>0.62921868059406805</v>
      </c>
      <c r="J152" s="19">
        <f>('[1]Short Spot'!J153-'[1]Short Spot'!J152)*100</f>
        <v>0.67476148060494623</v>
      </c>
      <c r="K152" s="19">
        <f>('[1]Short Spot'!K153-'[1]Short Spot'!K152)*100</f>
        <v>0.70234321218860529</v>
      </c>
      <c r="L152" s="19">
        <f>('[1]Short Spot'!L153-'[1]Short Spot'!L152)*100</f>
        <v>0.71778950033110078</v>
      </c>
      <c r="M152" s="19">
        <f>('[1]Short Spot'!M153-'[1]Short Spot'!M152)*100</f>
        <v>0.7257613506396865</v>
      </c>
      <c r="N152" s="19">
        <f>('[1]Short Spot'!N153-'[1]Short Spot'!N152)*100</f>
        <v>0.72995989766919678</v>
      </c>
      <c r="O152" s="19">
        <f>('[1]Short Spot'!O153-'[1]Short Spot'!O152)*100</f>
        <v>0.73297822116424882</v>
      </c>
      <c r="P152" s="19">
        <f>('[1]Short Spot'!P153-'[1]Short Spot'!P152)*100</f>
        <v>0.73618098750545258</v>
      </c>
      <c r="Q152" s="19">
        <f>('[1]Short Spot'!Q153-'[1]Short Spot'!Q152)*100</f>
        <v>0.74015441738648491</v>
      </c>
      <c r="R152" s="19">
        <f>('[1]Short Spot'!R153-'[1]Short Spot'!R152)*100</f>
        <v>0.74515036482907249</v>
      </c>
      <c r="S152" s="19">
        <f>('[1]Short Spot'!S153-'[1]Short Spot'!S152)*100</f>
        <v>0.75121980106054309</v>
      </c>
      <c r="T152" s="19">
        <f>('[1]Short Spot'!T153-'[1]Short Spot'!T152)*100</f>
        <v>0.75826576225521691</v>
      </c>
      <c r="U152" s="19">
        <f>('[1]Short Spot'!U153-'[1]Short Spot'!U152)*100</f>
        <v>0.76611423413925905</v>
      </c>
      <c r="V152" s="19">
        <f>('[1]Short Spot'!V153-'[1]Short Spot'!V152)*100</f>
        <v>0.77463580894256978</v>
      </c>
      <c r="W152" s="19">
        <f>('[1]Short Spot'!W153-'[1]Short Spot'!W152)*100</f>
        <v>0.78371679170921027</v>
      </c>
      <c r="X152" s="19">
        <f>('[1]Short Spot'!X153-'[1]Short Spot'!X152)*100</f>
        <v>0.79324566236254057</v>
      </c>
      <c r="Y152" s="19">
        <f>('[1]Short Spot'!Y153-'[1]Short Spot'!Y152)*100</f>
        <v>0.80311262260570615</v>
      </c>
      <c r="Z152" s="19">
        <f>('[1]Short Spot'!Z153-'[1]Short Spot'!Z152)*100</f>
        <v>0.81320925156580515</v>
      </c>
      <c r="AA152" s="19">
        <f>('[1]Short Spot'!AA153-'[1]Short Spot'!AA152)*100</f>
        <v>0.82342924698703968</v>
      </c>
      <c r="AB152" s="19">
        <f>('[1]Short Spot'!AB153-'[1]Short Spot'!AB152)*100</f>
        <v>0.83368482704493374</v>
      </c>
      <c r="AC152" s="19">
        <f>('[1]Short Spot'!AC153-'[1]Short Spot'!AC152)*100</f>
        <v>0.84390826054558943</v>
      </c>
      <c r="AD152" s="19">
        <f>('[1]Short Spot'!AD153-'[1]Short Spot'!AD152)*100</f>
        <v>0.85404011236267507</v>
      </c>
      <c r="AE152" s="19">
        <f>('[1]Short Spot'!AE153-'[1]Short Spot'!AE152)*100</f>
        <v>0.86402923919983721</v>
      </c>
      <c r="AF152" s="19">
        <f>('[1]Short Spot'!AF153-'[1]Short Spot'!AF152)*100</f>
        <v>0.87383169551786821</v>
      </c>
      <c r="AG152" s="19">
        <f>('[1]Short Spot'!AG153-'[1]Short Spot'!AG152)*100</f>
        <v>0.88340950095977533</v>
      </c>
      <c r="AH152" s="19">
        <f>('[1]Short Spot'!AH153-'[1]Short Spot'!AH152)*100</f>
        <v>0.89272973653535814</v>
      </c>
      <c r="AI152" s="19">
        <f>('[1]Short Spot'!AI153-'[1]Short Spot'!AI152)*100</f>
        <v>0.90176380067932271</v>
      </c>
      <c r="AJ152" s="19">
        <f>('[1]Short Spot'!AJ153-'[1]Short Spot'!AJ152)*100</f>
        <v>0.91048765096282125</v>
      </c>
      <c r="AK152" s="19">
        <f>('[1]Short Spot'!AK153-'[1]Short Spot'!AK152)*100</f>
        <v>0.91888331317546701</v>
      </c>
      <c r="AL152" s="19">
        <f>('[1]Short Spot'!AL153-'[1]Short Spot'!AL152)*100</f>
        <v>0.92693653933100251</v>
      </c>
      <c r="AM152" s="19">
        <f>('[1]Short Spot'!AM153-'[1]Short Spot'!AM152)*100</f>
        <v>0.93463589229916266</v>
      </c>
      <c r="AN152" s="19">
        <f>('[1]Short Spot'!AN153-'[1]Short Spot'!AN152)*100</f>
        <v>0.94197238543927142</v>
      </c>
      <c r="AO152" s="19">
        <f>('[1]Short Spot'!AO153-'[1]Short Spot'!AO152)*100</f>
        <v>0.94893923275334302</v>
      </c>
      <c r="AP152" s="19">
        <f>('[1]Short Spot'!AP153-'[1]Short Spot'!AP152)*100</f>
        <v>0.95553217271104884</v>
      </c>
      <c r="AQ152" s="19">
        <f>('[1]Short Spot'!AQ153-'[1]Short Spot'!AQ152)*100</f>
        <v>0.96174911818085462</v>
      </c>
      <c r="AR152" s="19">
        <f>('[1]Short Spot'!AR153-'[1]Short Spot'!AR152)*100</f>
        <v>0.9675896194055511</v>
      </c>
      <c r="AS152" s="19">
        <f>('[1]Short Spot'!AS153-'[1]Short Spot'!AS152)*100</f>
        <v>0.9730546736287593</v>
      </c>
      <c r="AT152" s="19">
        <f>('[1]Short Spot'!AT153-'[1]Short Spot'!AT152)*100</f>
        <v>0.9781465643170506</v>
      </c>
      <c r="AU152" s="19">
        <f>('[1]Short Spot'!AU153-'[1]Short Spot'!AU152)*100</f>
        <v>0.98286872135213699</v>
      </c>
      <c r="AV152" s="19">
        <f>('[1]Short Spot'!AV153-'[1]Short Spot'!AV152)*100</f>
        <v>0.98722559907509222</v>
      </c>
      <c r="AW152" s="19">
        <f>('[1]Short Spot'!AW153-'[1]Short Spot'!AW152)*100</f>
        <v>0.99122255435268869</v>
      </c>
      <c r="AX152" s="19">
        <f>('[1]Short Spot'!AX153-'[1]Short Spot'!AX152)*100</f>
        <v>0.99486564759665441</v>
      </c>
      <c r="AY152" s="19">
        <f>('[1]Short Spot'!AY153-'[1]Short Spot'!AY152)*100</f>
        <v>0.99816149877574034</v>
      </c>
      <c r="AZ152" s="19">
        <f>('[1]Short Spot'!AZ153-'[1]Short Spot'!AZ152)*100</f>
        <v>1.0011172286682246</v>
      </c>
      <c r="BA152" s="19">
        <f>('[1]Short Spot'!BA153-'[1]Short Spot'!BA152)*100</f>
        <v>1.0037404107061221</v>
      </c>
      <c r="BB152" s="19">
        <f>('[1]Short Spot'!BB153-'[1]Short Spot'!BB152)*100</f>
        <v>1.0060390282717435</v>
      </c>
      <c r="BC152" s="19">
        <f>('[1]Short Spot'!BC153-'[1]Short Spot'!BC152)*100</f>
        <v>1.0080214367407692</v>
      </c>
      <c r="BD152" s="19">
        <f>('[1]Short Spot'!BD153-'[1]Short Spot'!BD152)*100</f>
        <v>1.0096963283027449</v>
      </c>
      <c r="BE152" s="19">
        <f>('[1]Short Spot'!BE153-'[1]Short Spot'!BE152)*100</f>
        <v>1.0110726568983708</v>
      </c>
      <c r="BF152" s="19">
        <f>('[1]Short Spot'!BF153-'[1]Short Spot'!BF152)*100</f>
        <v>1.0121595949352802</v>
      </c>
      <c r="BG152" s="19">
        <f>('[1]Short Spot'!BG153-'[1]Short Spot'!BG152)*100</f>
        <v>1.012966556894046</v>
      </c>
      <c r="BH152" s="19">
        <f>('[1]Short Spot'!BH153-'[1]Short Spot'!BH152)*100</f>
        <v>1.0135031934881411</v>
      </c>
      <c r="BI152" s="19">
        <f>('[1]Short Spot'!BI153-'[1]Short Spot'!BI152)*100</f>
        <v>1.0137792736390594</v>
      </c>
    </row>
    <row r="153" spans="1:61" x14ac:dyDescent="0.2">
      <c r="A153" s="18">
        <v>39302</v>
      </c>
      <c r="B153" s="19">
        <f>('[1]Short Spot'!B154-'[1]Short Spot'!B153)*100</f>
        <v>-0.25125517765181016</v>
      </c>
      <c r="C153" s="19">
        <f>('[1]Short Spot'!C154-'[1]Short Spot'!C153)*100</f>
        <v>0.58343718532380962</v>
      </c>
      <c r="D153" s="19">
        <f>('[1]Short Spot'!D154-'[1]Short Spot'!D153)*100</f>
        <v>1.5452260322290634</v>
      </c>
      <c r="E153" s="19">
        <f>('[1]Short Spot'!E154-'[1]Short Spot'!E153)*100</f>
        <v>2.2741120061642306</v>
      </c>
      <c r="F153" s="19">
        <f>('[1]Short Spot'!F154-'[1]Short Spot'!F153)*100</f>
        <v>2.7615591195964129</v>
      </c>
      <c r="G153" s="19">
        <f>('[1]Short Spot'!G154-'[1]Short Spot'!G153)*100</f>
        <v>3.0994378135952516</v>
      </c>
      <c r="H153" s="19">
        <f>('[1]Short Spot'!H154-'[1]Short Spot'!H153)*100</f>
        <v>3.3720776868820579</v>
      </c>
      <c r="I153" s="19">
        <f>('[1]Short Spot'!I154-'[1]Short Spot'!I153)*100</f>
        <v>3.6331283530095959</v>
      </c>
      <c r="J153" s="19">
        <f>('[1]Short Spot'!J154-'[1]Short Spot'!J153)*100</f>
        <v>3.9028696827111631</v>
      </c>
      <c r="K153" s="19">
        <f>('[1]Short Spot'!K154-'[1]Short Spot'!K153)*100</f>
        <v>4.1861933904606907</v>
      </c>
      <c r="L153" s="19">
        <f>('[1]Short Spot'!L154-'[1]Short Spot'!L153)*100</f>
        <v>4.4807793441781207</v>
      </c>
      <c r="M153" s="19">
        <f>('[1]Short Spot'!M154-'[1]Short Spot'!M153)*100</f>
        <v>4.7810478345716056</v>
      </c>
      <c r="N153" s="19">
        <f>('[1]Short Spot'!N154-'[1]Short Spot'!N153)*100</f>
        <v>5.079651601608326</v>
      </c>
      <c r="O153" s="19">
        <f>('[1]Short Spot'!O154-'[1]Short Spot'!O153)*100</f>
        <v>5.3698726080924963</v>
      </c>
      <c r="P153" s="19">
        <f>('[1]Short Spot'!P154-'[1]Short Spot'!P153)*100</f>
        <v>5.6471839689743675</v>
      </c>
      <c r="Q153" s="19">
        <f>('[1]Short Spot'!Q154-'[1]Short Spot'!Q153)*100</f>
        <v>5.9088052223506438</v>
      </c>
      <c r="R153" s="19">
        <f>('[1]Short Spot'!R154-'[1]Short Spot'!R153)*100</f>
        <v>6.1533307100930301</v>
      </c>
      <c r="S153" s="19">
        <f>('[1]Short Spot'!S154-'[1]Short Spot'!S153)*100</f>
        <v>6.3803734887401653</v>
      </c>
      <c r="T153" s="19">
        <f>('[1]Short Spot'!T154-'[1]Short Spot'!T153)*100</f>
        <v>6.5902973144571497</v>
      </c>
      <c r="U153" s="19">
        <f>('[1]Short Spot'!U154-'[1]Short Spot'!U153)*100</f>
        <v>6.7840238371593919</v>
      </c>
      <c r="V153" s="19">
        <f>('[1]Short Spot'!V154-'[1]Short Spot'!V153)*100</f>
        <v>6.9627079288591354</v>
      </c>
      <c r="W153" s="19">
        <f>('[1]Short Spot'!W154-'[1]Short Spot'!W153)*100</f>
        <v>7.1274598034901437</v>
      </c>
      <c r="X153" s="19">
        <f>('[1]Short Spot'!X154-'[1]Short Spot'!X153)*100</f>
        <v>7.2793342480982126</v>
      </c>
      <c r="Y153" s="19">
        <f>('[1]Short Spot'!Y154-'[1]Short Spot'!Y153)*100</f>
        <v>7.4193421701116868</v>
      </c>
      <c r="Z153" s="19">
        <f>('[1]Short Spot'!Z154-'[1]Short Spot'!Z153)*100</f>
        <v>7.5484593732634053</v>
      </c>
      <c r="AA153" s="19">
        <f>('[1]Short Spot'!AA154-'[1]Short Spot'!AA153)*100</f>
        <v>7.6676337036857056</v>
      </c>
      <c r="AB153" s="19">
        <f>('[1]Short Spot'!AB154-'[1]Short Spot'!AB153)*100</f>
        <v>7.7777767667735809</v>
      </c>
      <c r="AC153" s="19">
        <f>('[1]Short Spot'!AC154-'[1]Short Spot'!AC153)*100</f>
        <v>7.8797067458051373</v>
      </c>
      <c r="AD153" s="19">
        <f>('[1]Short Spot'!AD154-'[1]Short Spot'!AD153)*100</f>
        <v>7.9741406898012457</v>
      </c>
      <c r="AE153" s="19">
        <f>('[1]Short Spot'!AE154-'[1]Short Spot'!AE153)*100</f>
        <v>8.0617129403966814</v>
      </c>
      <c r="AF153" s="19">
        <f>('[1]Short Spot'!AF154-'[1]Short Spot'!AF153)*100</f>
        <v>8.142988772153803</v>
      </c>
      <c r="AG153" s="19">
        <f>('[1]Short Spot'!AG154-'[1]Short Spot'!AG153)*100</f>
        <v>8.2184750857671851</v>
      </c>
      <c r="AH153" s="19">
        <f>('[1]Short Spot'!AH154-'[1]Short Spot'!AH153)*100</f>
        <v>8.28862925258953</v>
      </c>
      <c r="AI153" s="19">
        <f>('[1]Short Spot'!AI154-'[1]Short Spot'!AI153)*100</f>
        <v>8.3538663992709594</v>
      </c>
      <c r="AJ153" s="19">
        <f>('[1]Short Spot'!AJ154-'[1]Short Spot'!AJ153)*100</f>
        <v>8.4145657955076558</v>
      </c>
      <c r="AK153" s="19">
        <f>('[1]Short Spot'!AK154-'[1]Short Spot'!AK153)*100</f>
        <v>8.4710735275919546</v>
      </c>
      <c r="AL153" s="19">
        <f>('[1]Short Spot'!AL154-'[1]Short Spot'!AL153)*100</f>
        <v>8.5237021974323923</v>
      </c>
      <c r="AM153" s="19">
        <f>('[1]Short Spot'!AM154-'[1]Short Spot'!AM153)*100</f>
        <v>8.5727347527664755</v>
      </c>
      <c r="AN153" s="19">
        <f>('[1]Short Spot'!AN154-'[1]Short Spot'!AN153)*100</f>
        <v>8.6184282889779418</v>
      </c>
      <c r="AO153" s="19">
        <f>('[1]Short Spot'!AO154-'[1]Short Spot'!AO153)*100</f>
        <v>8.6610173208706343</v>
      </c>
      <c r="AP153" s="19">
        <f>('[1]Short Spot'!AP154-'[1]Short Spot'!AP153)*100</f>
        <v>8.7007165099423744</v>
      </c>
      <c r="AQ153" s="19">
        <f>('[1]Short Spot'!AQ154-'[1]Short Spot'!AQ153)*100</f>
        <v>8.7377218427077352</v>
      </c>
      <c r="AR153" s="19">
        <f>('[1]Short Spot'!AR154-'[1]Short Spot'!AR153)*100</f>
        <v>8.7722123321432477</v>
      </c>
      <c r="AS153" s="19">
        <f>('[1]Short Spot'!AS154-'[1]Short Spot'!AS153)*100</f>
        <v>8.8043519430127226</v>
      </c>
      <c r="AT153" s="19">
        <f>('[1]Short Spot'!AT154-'[1]Short Spot'!AT153)*100</f>
        <v>8.8342912638898596</v>
      </c>
      <c r="AU153" s="19">
        <f>('[1]Short Spot'!AU154-'[1]Short Spot'!AU153)*100</f>
        <v>8.8621689610935306</v>
      </c>
      <c r="AV153" s="19">
        <f>('[1]Short Spot'!AV154-'[1]Short Spot'!AV153)*100</f>
        <v>8.8881130469015801</v>
      </c>
      <c r="AW153" s="19">
        <f>('[1]Short Spot'!AW154-'[1]Short Spot'!AW153)*100</f>
        <v>8.9122419280871057</v>
      </c>
      <c r="AX153" s="19">
        <f>('[1]Short Spot'!AX154-'[1]Short Spot'!AX153)*100</f>
        <v>8.934665057735991</v>
      </c>
      <c r="AY153" s="19">
        <f>('[1]Short Spot'!AY154-'[1]Short Spot'!AY153)*100</f>
        <v>8.955483646524165</v>
      </c>
      <c r="AZ153" s="19">
        <f>('[1]Short Spot'!AZ154-'[1]Short Spot'!AZ153)*100</f>
        <v>8.9747914636023829</v>
      </c>
      <c r="BA153" s="19">
        <f>('[1]Short Spot'!BA154-'[1]Short Spot'!BA153)*100</f>
        <v>8.9926755521275048</v>
      </c>
      <c r="BB153" s="19">
        <f>('[1]Short Spot'!BB154-'[1]Short Spot'!BB153)*100</f>
        <v>9.0092168637903036</v>
      </c>
      <c r="BC153" s="19">
        <f>('[1]Short Spot'!BC154-'[1]Short Spot'!BC153)*100</f>
        <v>9.0244908228398479</v>
      </c>
      <c r="BD153" s="19">
        <f>('[1]Short Spot'!BD154-'[1]Short Spot'!BD153)*100</f>
        <v>9.0385678257356439</v>
      </c>
      <c r="BE153" s="19">
        <f>('[1]Short Spot'!BE154-'[1]Short Spot'!BE153)*100</f>
        <v>9.0515135465647489</v>
      </c>
      <c r="BF153" s="19">
        <f>('[1]Short Spot'!BF154-'[1]Short Spot'!BF153)*100</f>
        <v>9.0633890340868106</v>
      </c>
      <c r="BG153" s="19">
        <f>('[1]Short Spot'!BG154-'[1]Short Spot'!BG153)*100</f>
        <v>9.0742510495336326</v>
      </c>
      <c r="BH153" s="19">
        <f>('[1]Short Spot'!BH154-'[1]Short Spot'!BH153)*100</f>
        <v>9.0841525632201048</v>
      </c>
      <c r="BI153" s="19">
        <f>('[1]Short Spot'!BI154-'[1]Short Spot'!BI153)*100</f>
        <v>9.0931437973463147</v>
      </c>
    </row>
    <row r="154" spans="1:61" x14ac:dyDescent="0.2">
      <c r="A154" s="18">
        <v>39303</v>
      </c>
      <c r="B154" s="19">
        <f>('[1]Short Spot'!B155-'[1]Short Spot'!B154)*100</f>
        <v>9.1884349932183973</v>
      </c>
      <c r="C154" s="19">
        <f>('[1]Short Spot'!C155-'[1]Short Spot'!C154)*100</f>
        <v>5.3678505673418364</v>
      </c>
      <c r="D154" s="19">
        <f>('[1]Short Spot'!D155-'[1]Short Spot'!D154)*100</f>
        <v>3.3497289429071486</v>
      </c>
      <c r="E154" s="19">
        <f>('[1]Short Spot'!E155-'[1]Short Spot'!E154)*100</f>
        <v>2.1869133138991081</v>
      </c>
      <c r="F154" s="19">
        <f>('[1]Short Spot'!F155-'[1]Short Spot'!F154)*100</f>
        <v>1.540963911526827</v>
      </c>
      <c r="G154" s="19">
        <f>('[1]Short Spot'!G155-'[1]Short Spot'!G154)*100</f>
        <v>1.1551915534112389</v>
      </c>
      <c r="H154" s="19">
        <f>('[1]Short Spot'!H155-'[1]Short Spot'!H154)*100</f>
        <v>0.86902521549871992</v>
      </c>
      <c r="I154" s="19">
        <f>('[1]Short Spot'!I155-'[1]Short Spot'!I154)*100</f>
        <v>0.58724763199977659</v>
      </c>
      <c r="J154" s="19">
        <f>('[1]Short Spot'!J155-'[1]Short Spot'!J154)*100</f>
        <v>0.27257614464311075</v>
      </c>
      <c r="K154" s="19">
        <f>('[1]Short Spot'!K155-'[1]Short Spot'!K154)*100</f>
        <v>-7.923927230795158E-2</v>
      </c>
      <c r="L154" s="19">
        <f>('[1]Short Spot'!L155-'[1]Short Spot'!L154)*100</f>
        <v>-0.45952086470997244</v>
      </c>
      <c r="M154" s="19">
        <f>('[1]Short Spot'!M155-'[1]Short Spot'!M154)*100</f>
        <v>-0.85684557416589868</v>
      </c>
      <c r="N154" s="19">
        <f>('[1]Short Spot'!N155-'[1]Short Spot'!N154)*100</f>
        <v>-1.2584846535444782</v>
      </c>
      <c r="O154" s="19">
        <f>('[1]Short Spot'!O155-'[1]Short Spot'!O154)*100</f>
        <v>-1.6523116938494731</v>
      </c>
      <c r="P154" s="19">
        <f>('[1]Short Spot'!P155-'[1]Short Spot'!P154)*100</f>
        <v>-2.0295767008050802</v>
      </c>
      <c r="Q154" s="19">
        <f>('[1]Short Spot'!Q155-'[1]Short Spot'!Q154)*100</f>
        <v>-2.3846687783120935</v>
      </c>
      <c r="R154" s="19">
        <f>('[1]Short Spot'!R155-'[1]Short Spot'!R154)*100</f>
        <v>-2.7145360696627208</v>
      </c>
      <c r="S154" s="19">
        <f>('[1]Short Spot'!S155-'[1]Short Spot'!S154)*100</f>
        <v>-3.0180077638609859</v>
      </c>
      <c r="T154" s="19">
        <f>('[1]Short Spot'!T155-'[1]Short Spot'!T154)*100</f>
        <v>-3.2952989474051009</v>
      </c>
      <c r="U154" s="19">
        <f>('[1]Short Spot'!U155-'[1]Short Spot'!U154)*100</f>
        <v>-3.547573285979233</v>
      </c>
      <c r="V154" s="19">
        <f>('[1]Short Spot'!V155-'[1]Short Spot'!V154)*100</f>
        <v>-3.7762854899801468</v>
      </c>
      <c r="W154" s="19">
        <f>('[1]Short Spot'!W155-'[1]Short Spot'!W154)*100</f>
        <v>-3.9829179519580649</v>
      </c>
      <c r="X154" s="19">
        <f>('[1]Short Spot'!X155-'[1]Short Spot'!X154)*100</f>
        <v>-4.1689714723950111</v>
      </c>
      <c r="Y154" s="19">
        <f>('[1]Short Spot'!Y155-'[1]Short Spot'!Y154)*100</f>
        <v>-4.335961424720125</v>
      </c>
      <c r="Z154" s="19">
        <f>('[1]Short Spot'!Z155-'[1]Short Spot'!Z154)*100</f>
        <v>-4.4854148407194039</v>
      </c>
      <c r="AA154" s="19">
        <f>('[1]Short Spot'!AA155-'[1]Short Spot'!AA154)*100</f>
        <v>-4.618865501168834</v>
      </c>
      <c r="AB154" s="19">
        <f>('[1]Short Spot'!AB155-'[1]Short Spot'!AB154)*100</f>
        <v>-4.73778926682904</v>
      </c>
      <c r="AC154" s="19">
        <f>('[1]Short Spot'!AC155-'[1]Short Spot'!AC154)*100</f>
        <v>-4.8435162502998175</v>
      </c>
      <c r="AD154" s="19">
        <f>('[1]Short Spot'!AD155-'[1]Short Spot'!AD154)*100</f>
        <v>-4.9372409100579162</v>
      </c>
      <c r="AE154" s="19">
        <f>('[1]Short Spot'!AE155-'[1]Short Spot'!AE154)*100</f>
        <v>-5.0200360483790618</v>
      </c>
      <c r="AF154" s="19">
        <f>('[1]Short Spot'!AF155-'[1]Short Spot'!AF154)*100</f>
        <v>-5.0928673125023138</v>
      </c>
      <c r="AG154" s="19">
        <f>('[1]Short Spot'!AG155-'[1]Short Spot'!AG154)*100</f>
        <v>-5.1566097468572991</v>
      </c>
      <c r="AH154" s="19">
        <f>('[1]Short Spot'!AH155-'[1]Short Spot'!AH154)*100</f>
        <v>-5.2120615207630117</v>
      </c>
      <c r="AI154" s="19">
        <f>('[1]Short Spot'!AI155-'[1]Short Spot'!AI154)*100</f>
        <v>-5.2599552309338549</v>
      </c>
      <c r="AJ154" s="19">
        <f>('[1]Short Spot'!AJ155-'[1]Short Spot'!AJ154)*100</f>
        <v>-5.3009647401397686</v>
      </c>
      <c r="AK154" s="19">
        <f>('[1]Short Spot'!AK155-'[1]Short Spot'!AK154)*100</f>
        <v>-5.3357008576030651</v>
      </c>
      <c r="AL154" s="19">
        <f>('[1]Short Spot'!AL155-'[1]Short Spot'!AL154)*100</f>
        <v>-5.3647141408096566</v>
      </c>
      <c r="AM154" s="19">
        <f>('[1]Short Spot'!AM155-'[1]Short Spot'!AM154)*100</f>
        <v>-5.3885027601664248</v>
      </c>
      <c r="AN154" s="19">
        <f>('[1]Short Spot'!AN155-'[1]Short Spot'!AN154)*100</f>
        <v>-5.4075192152930107</v>
      </c>
      <c r="AO154" s="19">
        <f>('[1]Short Spot'!AO155-'[1]Short Spot'!AO154)*100</f>
        <v>-5.4221759147328186</v>
      </c>
      <c r="AP154" s="19">
        <f>('[1]Short Spot'!AP155-'[1]Short Spot'!AP154)*100</f>
        <v>-5.4328481844359899</v>
      </c>
      <c r="AQ154" s="19">
        <f>('[1]Short Spot'!AQ155-'[1]Short Spot'!AQ154)*100</f>
        <v>-5.4398767140937387</v>
      </c>
      <c r="AR154" s="19">
        <f>('[1]Short Spot'!AR155-'[1]Short Spot'!AR154)*100</f>
        <v>-5.4435714794654366</v>
      </c>
      <c r="AS154" s="19">
        <f>('[1]Short Spot'!AS155-'[1]Short Spot'!AS154)*100</f>
        <v>-5.4442152342231154</v>
      </c>
      <c r="AT154" s="19">
        <f>('[1]Short Spot'!AT155-'[1]Short Spot'!AT154)*100</f>
        <v>-5.4420665346277097</v>
      </c>
      <c r="AU154" s="19">
        <f>('[1]Short Spot'!AU155-'[1]Short Spot'!AU154)*100</f>
        <v>-5.4373623696831963</v>
      </c>
      <c r="AV154" s="19">
        <f>('[1]Short Spot'!AV155-'[1]Short Spot'!AV154)*100</f>
        <v>-5.4303204549104755</v>
      </c>
      <c r="AW154" s="19">
        <f>('[1]Short Spot'!AW155-'[1]Short Spot'!AW154)*100</f>
        <v>-5.4211410302830387</v>
      </c>
      <c r="AX154" s="19">
        <f>('[1]Short Spot'!AX155-'[1]Short Spot'!AX154)*100</f>
        <v>-5.4100076352437299</v>
      </c>
      <c r="AY154" s="19">
        <f>('[1]Short Spot'!AY155-'[1]Short Spot'!AY154)*100</f>
        <v>-5.3970882647238483</v>
      </c>
      <c r="AZ154" s="19">
        <f>('[1]Short Spot'!AZ155-'[1]Short Spot'!AZ154)*100</f>
        <v>-5.3825368760876735</v>
      </c>
      <c r="BA154" s="19">
        <f>('[1]Short Spot'!BA155-'[1]Short Spot'!BA154)*100</f>
        <v>-5.366494738898453</v>
      </c>
      <c r="BB154" s="19">
        <f>('[1]Short Spot'!BB155-'[1]Short Spot'!BB154)*100</f>
        <v>-5.349091631880043</v>
      </c>
      <c r="BC154" s="19">
        <f>('[1]Short Spot'!BC155-'[1]Short Spot'!BC154)*100</f>
        <v>-5.3304469068845783</v>
      </c>
      <c r="BD154" s="19">
        <f>('[1]Short Spot'!BD155-'[1]Short Spot'!BD154)*100</f>
        <v>-5.3106704398526716</v>
      </c>
      <c r="BE154" s="19">
        <f>('[1]Short Spot'!BE155-'[1]Short Spot'!BE154)*100</f>
        <v>-5.2898635766390534</v>
      </c>
      <c r="BF154" s="19">
        <f>('[1]Short Spot'!BF155-'[1]Short Spot'!BF154)*100</f>
        <v>-5.2681200172774112</v>
      </c>
      <c r="BG154" s="19">
        <f>('[1]Short Spot'!BG155-'[1]Short Spot'!BG154)*100</f>
        <v>-5.2455264657733203</v>
      </c>
      <c r="BH154" s="19">
        <f>('[1]Short Spot'!BH155-'[1]Short Spot'!BH154)*100</f>
        <v>-5.2221630736568159</v>
      </c>
      <c r="BI154" s="19">
        <f>('[1]Short Spot'!BI155-'[1]Short Spot'!BI154)*100</f>
        <v>-5.1981033001779586</v>
      </c>
    </row>
    <row r="155" spans="1:61" x14ac:dyDescent="0.2">
      <c r="A155" s="18">
        <v>39304</v>
      </c>
      <c r="B155" s="19">
        <f>('[1]Short Spot'!B156-'[1]Short Spot'!B155)*100</f>
        <v>4.8751639797782964</v>
      </c>
      <c r="C155" s="19">
        <f>('[1]Short Spot'!C156-'[1]Short Spot'!C155)*100</f>
        <v>0.5879482073747333</v>
      </c>
      <c r="D155" s="19">
        <f>('[1]Short Spot'!D156-'[1]Short Spot'!D155)*100</f>
        <v>-1.5540049354589414</v>
      </c>
      <c r="E155" s="19">
        <f>('[1]Short Spot'!E156-'[1]Short Spot'!E155)*100</f>
        <v>-2.9262049039235016</v>
      </c>
      <c r="F155" s="19">
        <f>('[1]Short Spot'!F156-'[1]Short Spot'!F155)*100</f>
        <v>-3.7984921026036567</v>
      </c>
      <c r="G155" s="19">
        <f>('[1]Short Spot'!G156-'[1]Short Spot'!G155)*100</f>
        <v>-4.3680005424352686</v>
      </c>
      <c r="H155" s="19">
        <f>('[1]Short Spot'!H156-'[1]Short Spot'!H155)*100</f>
        <v>-4.7590463857241971</v>
      </c>
      <c r="I155" s="19">
        <f>('[1]Short Spot'!I156-'[1]Short Spot'!I155)*100</f>
        <v>-5.053061434286743</v>
      </c>
      <c r="J155" s="19">
        <f>('[1]Short Spot'!J156-'[1]Short Spot'!J155)*100</f>
        <v>-5.2930925676337282</v>
      </c>
      <c r="K155" s="19">
        <f>('[1]Short Spot'!K156-'[1]Short Spot'!K155)*100</f>
        <v>-5.4995332937175512</v>
      </c>
      <c r="L155" s="19">
        <f>('[1]Short Spot'!L156-'[1]Short Spot'!L155)*100</f>
        <v>-5.6801758028911742</v>
      </c>
      <c r="M155" s="19">
        <f>('[1]Short Spot'!M156-'[1]Short Spot'!M155)*100</f>
        <v>-5.837813010314008</v>
      </c>
      <c r="N155" s="19">
        <f>('[1]Short Spot'!N156-'[1]Short Spot'!N155)*100</f>
        <v>-5.9729148035191137</v>
      </c>
      <c r="O155" s="19">
        <f>('[1]Short Spot'!O156-'[1]Short Spot'!O155)*100</f>
        <v>-6.08596711777043</v>
      </c>
      <c r="P155" s="19">
        <f>('[1]Short Spot'!P156-'[1]Short Spot'!P155)*100</f>
        <v>-6.1783233149561134</v>
      </c>
      <c r="Q155" s="19">
        <f>('[1]Short Spot'!Q156-'[1]Short Spot'!Q155)*100</f>
        <v>-6.2517988896606091</v>
      </c>
      <c r="R155" s="19">
        <f>('[1]Short Spot'!R156-'[1]Short Spot'!R155)*100</f>
        <v>-6.3082551781317164</v>
      </c>
      <c r="S155" s="19">
        <f>('[1]Short Spot'!S156-'[1]Short Spot'!S155)*100</f>
        <v>-6.3495373661502263</v>
      </c>
      <c r="T155" s="19">
        <f>('[1]Short Spot'!T156-'[1]Short Spot'!T155)*100</f>
        <v>-6.3774777369288493</v>
      </c>
      <c r="U155" s="19">
        <f>('[1]Short Spot'!U156-'[1]Short Spot'!U155)*100</f>
        <v>-6.3937525004907236</v>
      </c>
      <c r="V155" s="19">
        <f>('[1]Short Spot'!V156-'[1]Short Spot'!V155)*100</f>
        <v>-6.3996733981200649</v>
      </c>
      <c r="W155" s="19">
        <f>('[1]Short Spot'!W156-'[1]Short Spot'!W155)*100</f>
        <v>-6.3964017311168853</v>
      </c>
      <c r="X155" s="19">
        <f>('[1]Short Spot'!X156-'[1]Short Spot'!X155)*100</f>
        <v>-6.3850048976632046</v>
      </c>
      <c r="Y155" s="19">
        <f>('[1]Short Spot'!Y156-'[1]Short Spot'!Y155)*100</f>
        <v>-6.3664759559719286</v>
      </c>
      <c r="Z155" s="19">
        <f>('[1]Short Spot'!Z156-'[1]Short Spot'!Z155)*100</f>
        <v>-6.3417484922815071</v>
      </c>
      <c r="AA155" s="19">
        <f>('[1]Short Spot'!AA156-'[1]Short Spot'!AA155)*100</f>
        <v>-6.3117011870637008</v>
      </c>
      <c r="AB155" s="19">
        <f>('[1]Short Spot'!AB156-'[1]Short Spot'!AB155)*100</f>
        <v>-6.277092869147971</v>
      </c>
      <c r="AC155" s="19">
        <f>('[1]Short Spot'!AC156-'[1]Short Spot'!AC155)*100</f>
        <v>-6.238563295693389</v>
      </c>
      <c r="AD155" s="19">
        <f>('[1]Short Spot'!AD156-'[1]Short Spot'!AD155)*100</f>
        <v>-6.1966727024172386</v>
      </c>
      <c r="AE155" s="19">
        <f>('[1]Short Spot'!AE156-'[1]Short Spot'!AE155)*100</f>
        <v>-6.1519099810475097</v>
      </c>
      <c r="AF155" s="19">
        <f>('[1]Short Spot'!AF156-'[1]Short Spot'!AF155)*100</f>
        <v>-6.1047053528823447</v>
      </c>
      <c r="AG155" s="19">
        <f>('[1]Short Spot'!AG156-'[1]Short Spot'!AG155)*100</f>
        <v>-6.0554399597959829</v>
      </c>
      <c r="AH155" s="19">
        <f>('[1]Short Spot'!AH156-'[1]Short Spot'!AH155)*100</f>
        <v>-6.0044533005139122</v>
      </c>
      <c r="AI155" s="19">
        <f>('[1]Short Spot'!AI156-'[1]Short Spot'!AI155)*100</f>
        <v>-5.9520493307656075</v>
      </c>
      <c r="AJ155" s="19">
        <f>('[1]Short Spot'!AJ156-'[1]Short Spot'!AJ155)*100</f>
        <v>-5.8984970979667928</v>
      </c>
      <c r="AK155" s="19">
        <f>('[1]Short Spot'!AK156-'[1]Short Spot'!AK155)*100</f>
        <v>-5.8440275968347777</v>
      </c>
      <c r="AL155" s="19">
        <f>('[1]Short Spot'!AL156-'[1]Short Spot'!AL155)*100</f>
        <v>-5.7888434111497133</v>
      </c>
      <c r="AM155" s="19">
        <f>('[1]Short Spot'!AM156-'[1]Short Spot'!AM155)*100</f>
        <v>-5.7331233355162325</v>
      </c>
      <c r="AN155" s="19">
        <f>('[1]Short Spot'!AN156-'[1]Short Spot'!AN155)*100</f>
        <v>-5.6770254252578312</v>
      </c>
      <c r="AO155" s="19">
        <f>('[1]Short Spot'!AO156-'[1]Short Spot'!AO155)*100</f>
        <v>-5.6206892831345279</v>
      </c>
      <c r="AP155" s="19">
        <f>('[1]Short Spot'!AP156-'[1]Short Spot'!AP155)*100</f>
        <v>-5.5642364444343784</v>
      </c>
      <c r="AQ155" s="19">
        <f>('[1]Short Spot'!AQ156-'[1]Short Spot'!AQ155)*100</f>
        <v>-5.5077734227759301</v>
      </c>
      <c r="AR155" s="19">
        <f>('[1]Short Spot'!AR156-'[1]Short Spot'!AR155)*100</f>
        <v>-5.4513942262369497</v>
      </c>
      <c r="AS155" s="19">
        <f>('[1]Short Spot'!AS156-'[1]Short Spot'!AS155)*100</f>
        <v>-5.3951817814328784</v>
      </c>
      <c r="AT155" s="19">
        <f>('[1]Short Spot'!AT156-'[1]Short Spot'!AT155)*100</f>
        <v>-5.3392091647890716</v>
      </c>
      <c r="AU155" s="19">
        <f>('[1]Short Spot'!AU156-'[1]Short Spot'!AU155)*100</f>
        <v>-5.2835406732139489</v>
      </c>
      <c r="AV155" s="19">
        <f>('[1]Short Spot'!AV156-'[1]Short Spot'!AV155)*100</f>
        <v>-5.2282327563633935</v>
      </c>
      <c r="AW155" s="19">
        <f>('[1]Short Spot'!AW156-'[1]Short Spot'!AW155)*100</f>
        <v>-5.173334693561582</v>
      </c>
      <c r="AX155" s="19">
        <f>('[1]Short Spot'!AX156-'[1]Short Spot'!AX155)*100</f>
        <v>-5.1188889799256287</v>
      </c>
      <c r="AY155" s="19">
        <f>('[1]Short Spot'!AY156-'[1]Short Spot'!AY155)*100</f>
        <v>-5.0649319477930277</v>
      </c>
      <c r="AZ155" s="19">
        <f>('[1]Short Spot'!AZ156-'[1]Short Spot'!AZ155)*100</f>
        <v>-5.0114943743752249</v>
      </c>
      <c r="BA155" s="19">
        <f>('[1]Short Spot'!BA156-'[1]Short Spot'!BA155)*100</f>
        <v>-4.9586020159059885</v>
      </c>
      <c r="BB155" s="19">
        <f>('[1]Short Spot'!BB156-'[1]Short Spot'!BB155)*100</f>
        <v>-4.9062760813172623</v>
      </c>
      <c r="BC155" s="19">
        <f>('[1]Short Spot'!BC156-'[1]Short Spot'!BC155)*100</f>
        <v>-4.8545336532859196</v>
      </c>
      <c r="BD155" s="19">
        <f>('[1]Short Spot'!BD156-'[1]Short Spot'!BD155)*100</f>
        <v>-4.8033880887419222</v>
      </c>
      <c r="BE155" s="19">
        <f>('[1]Short Spot'!BE156-'[1]Short Spot'!BE155)*100</f>
        <v>-4.7528501438279136</v>
      </c>
      <c r="BF155" s="19">
        <f>('[1]Short Spot'!BF156-'[1]Short Spot'!BF155)*100</f>
        <v>-4.702929593845262</v>
      </c>
      <c r="BG155" s="19">
        <f>('[1]Short Spot'!BG156-'[1]Short Spot'!BG155)*100</f>
        <v>-4.653635517710164</v>
      </c>
      <c r="BH155" s="19">
        <f>('[1]Short Spot'!BH156-'[1]Short Spot'!BH155)*100</f>
        <v>-4.6049755742500587</v>
      </c>
      <c r="BI155" s="19">
        <f>('[1]Short Spot'!BI156-'[1]Short Spot'!BI155)*100</f>
        <v>-4.5569531459664248</v>
      </c>
    </row>
    <row r="156" spans="1:61" x14ac:dyDescent="0.2">
      <c r="A156" s="18">
        <v>39307</v>
      </c>
      <c r="B156" s="19">
        <f>('[1]Short Spot'!B157-'[1]Short Spot'!B156)*100</f>
        <v>7.0562789633056511</v>
      </c>
      <c r="C156" s="19">
        <f>('[1]Short Spot'!C157-'[1]Short Spot'!C156)*100</f>
        <v>3.1719648397848133</v>
      </c>
      <c r="D156" s="19">
        <f>('[1]Short Spot'!D157-'[1]Short Spot'!D156)*100</f>
        <v>2.5085370492000436</v>
      </c>
      <c r="E156" s="19">
        <f>('[1]Short Spot'!E157-'[1]Short Spot'!E156)*100</f>
        <v>2.3622802980975521</v>
      </c>
      <c r="F156" s="19">
        <f>('[1]Short Spot'!F157-'[1]Short Spot'!F156)*100</f>
        <v>2.2429600716969311</v>
      </c>
      <c r="G156" s="19">
        <f>('[1]Short Spot'!G157-'[1]Short Spot'!G156)*100</f>
        <v>2.088751957048629</v>
      </c>
      <c r="H156" s="19">
        <f>('[1]Short Spot'!H157-'[1]Short Spot'!H156)*100</f>
        <v>1.9225512379229315</v>
      </c>
      <c r="I156" s="19">
        <f>('[1]Short Spot'!I157-'[1]Short Spot'!I156)*100</f>
        <v>1.7787740813392183</v>
      </c>
      <c r="J156" s="19">
        <f>('[1]Short Spot'!J157-'[1]Short Spot'!J156)*100</f>
        <v>1.6744508486031151</v>
      </c>
      <c r="K156" s="19">
        <f>('[1]Short Spot'!K157-'[1]Short Spot'!K156)*100</f>
        <v>1.612571640229632</v>
      </c>
      <c r="L156" s="19">
        <f>('[1]Short Spot'!L157-'[1]Short Spot'!L156)*100</f>
        <v>1.5877262725211061</v>
      </c>
      <c r="M156" s="19">
        <f>('[1]Short Spot'!M157-'[1]Short Spot'!M156)*100</f>
        <v>1.5917418478940348</v>
      </c>
      <c r="N156" s="19">
        <f>('[1]Short Spot'!N157-'[1]Short Spot'!N156)*100</f>
        <v>1.6153068360346801</v>
      </c>
      <c r="O156" s="19">
        <f>('[1]Short Spot'!O157-'[1]Short Spot'!O156)*100</f>
        <v>1.6496962390140979</v>
      </c>
      <c r="P156" s="19">
        <f>('[1]Short Spot'!P157-'[1]Short Spot'!P156)*100</f>
        <v>1.6887283820866017</v>
      </c>
      <c r="Q156" s="19">
        <f>('[1]Short Spot'!Q157-'[1]Short Spot'!Q156)*100</f>
        <v>1.7282818012309242</v>
      </c>
      <c r="R156" s="19">
        <f>('[1]Short Spot'!R157-'[1]Short Spot'!R156)*100</f>
        <v>1.7657319598588295</v>
      </c>
      <c r="S156" s="19">
        <f>('[1]Short Spot'!S157-'[1]Short Spot'!S156)*100</f>
        <v>1.7995437495854638</v>
      </c>
      <c r="T156" s="19">
        <f>('[1]Short Spot'!T157-'[1]Short Spot'!T156)*100</f>
        <v>1.8289852932665163</v>
      </c>
      <c r="U156" s="19">
        <f>('[1]Short Spot'!U157-'[1]Short Spot'!U156)*100</f>
        <v>1.853928595021781</v>
      </c>
      <c r="V156" s="19">
        <f>('[1]Short Spot'!V157-'[1]Short Spot'!V156)*100</f>
        <v>1.8745287519196907</v>
      </c>
      <c r="W156" s="19">
        <f>('[1]Short Spot'!W157-'[1]Short Spot'!W156)*100</f>
        <v>1.8909912760733505</v>
      </c>
      <c r="X156" s="19">
        <f>('[1]Short Spot'!X157-'[1]Short Spot'!X156)*100</f>
        <v>1.9035510896543428</v>
      </c>
      <c r="Y156" s="19">
        <f>('[1]Short Spot'!Y157-'[1]Short Spot'!Y156)*100</f>
        <v>1.912466397796031</v>
      </c>
      <c r="Z156" s="19">
        <f>('[1]Short Spot'!Z157-'[1]Short Spot'!Z156)*100</f>
        <v>1.9180140320020023</v>
      </c>
      <c r="AA156" s="19">
        <f>('[1]Short Spot'!AA157-'[1]Short Spot'!AA156)*100</f>
        <v>1.9204877576609825</v>
      </c>
      <c r="AB156" s="19">
        <f>('[1]Short Spot'!AB157-'[1]Short Spot'!AB156)*100</f>
        <v>1.9201970520840383</v>
      </c>
      <c r="AC156" s="19">
        <f>('[1]Short Spot'!AC157-'[1]Short Spot'!AC156)*100</f>
        <v>1.9174297389888295</v>
      </c>
      <c r="AD156" s="19">
        <f>('[1]Short Spot'!AD157-'[1]Short Spot'!AD156)*100</f>
        <v>1.9124432414878711</v>
      </c>
      <c r="AE156" s="19">
        <f>('[1]Short Spot'!AE157-'[1]Short Spot'!AE156)*100</f>
        <v>1.9054684604201455</v>
      </c>
      <c r="AF156" s="19">
        <f>('[1]Short Spot'!AF157-'[1]Short Spot'!AF156)*100</f>
        <v>1.8967119604858418</v>
      </c>
      <c r="AG156" s="19">
        <f>('[1]Short Spot'!AG157-'[1]Short Spot'!AG156)*100</f>
        <v>1.8863595928566568</v>
      </c>
      <c r="AH156" s="19">
        <f>('[1]Short Spot'!AH157-'[1]Short Spot'!AH156)*100</f>
        <v>1.8745796335865705</v>
      </c>
      <c r="AI156" s="19">
        <f>('[1]Short Spot'!AI157-'[1]Short Spot'!AI156)*100</f>
        <v>1.8615253834043166</v>
      </c>
      <c r="AJ156" s="19">
        <f>('[1]Short Spot'!AJ157-'[1]Short Spot'!AJ156)*100</f>
        <v>1.8473382381184678</v>
      </c>
      <c r="AK156" s="19">
        <f>('[1]Short Spot'!AK157-'[1]Short Spot'!AK156)*100</f>
        <v>1.832147823353214</v>
      </c>
      <c r="AL156" s="19">
        <f>('[1]Short Spot'!AL157-'[1]Short Spot'!AL156)*100</f>
        <v>1.8160699286189796</v>
      </c>
      <c r="AM156" s="19">
        <f>('[1]Short Spot'!AM157-'[1]Short Spot'!AM156)*100</f>
        <v>1.7992080227250185</v>
      </c>
      <c r="AN156" s="19">
        <f>('[1]Short Spot'!AN157-'[1]Short Spot'!AN156)*100</f>
        <v>1.7816548333566828</v>
      </c>
      <c r="AO156" s="19">
        <f>('[1]Short Spot'!AO157-'[1]Short Spot'!AO156)*100</f>
        <v>1.7634938218796137</v>
      </c>
      <c r="AP156" s="19">
        <f>('[1]Short Spot'!AP157-'[1]Short Spot'!AP156)*100</f>
        <v>1.7448009831047884</v>
      </c>
      <c r="AQ156" s="19">
        <f>('[1]Short Spot'!AQ157-'[1]Short Spot'!AQ156)*100</f>
        <v>1.7256454226208362</v>
      </c>
      <c r="AR156" s="19">
        <f>('[1]Short Spot'!AR157-'[1]Short Spot'!AR156)*100</f>
        <v>1.7060899424679477</v>
      </c>
      <c r="AS156" s="19">
        <f>('[1]Short Spot'!AS157-'[1]Short Spot'!AS156)*100</f>
        <v>1.6861917572043694</v>
      </c>
      <c r="AT156" s="19">
        <f>('[1]Short Spot'!AT157-'[1]Short Spot'!AT156)*100</f>
        <v>1.6660031147369914</v>
      </c>
      <c r="AU156" s="19">
        <f>('[1]Short Spot'!AU157-'[1]Short Spot'!AU156)*100</f>
        <v>1.6455718361753746</v>
      </c>
      <c r="AV156" s="19">
        <f>('[1]Short Spot'!AV157-'[1]Short Spot'!AV156)*100</f>
        <v>1.6249417877538086</v>
      </c>
      <c r="AW156" s="19">
        <f>('[1]Short Spot'!AW157-'[1]Short Spot'!AW156)*100</f>
        <v>1.604153337639147</v>
      </c>
      <c r="AX156" s="19">
        <f>('[1]Short Spot'!AX157-'[1]Short Spot'!AX156)*100</f>
        <v>1.5832437790864518</v>
      </c>
      <c r="AY156" s="19">
        <f>('[1]Short Spot'!AY157-'[1]Short Spot'!AY156)*100</f>
        <v>1.562247628708846</v>
      </c>
      <c r="AZ156" s="19">
        <f>('[1]Short Spot'!AZ157-'[1]Short Spot'!AZ156)*100</f>
        <v>1.5411968970497902</v>
      </c>
      <c r="BA156" s="19">
        <f>('[1]Short Spot'!BA157-'[1]Short Spot'!BA156)*100</f>
        <v>1.5201213295525484</v>
      </c>
      <c r="BB156" s="19">
        <f>('[1]Short Spot'!BB157-'[1]Short Spot'!BB156)*100</f>
        <v>1.4990486202480113</v>
      </c>
      <c r="BC156" s="19">
        <f>('[1]Short Spot'!BC157-'[1]Short Spot'!BC156)*100</f>
        <v>1.4780046017004445</v>
      </c>
      <c r="BD156" s="19">
        <f>('[1]Short Spot'!BD157-'[1]Short Spot'!BD156)*100</f>
        <v>1.4570134077414032</v>
      </c>
      <c r="BE156" s="19">
        <f>('[1]Short Spot'!BE157-'[1]Short Spot'!BE156)*100</f>
        <v>1.4360975931174913</v>
      </c>
      <c r="BF156" s="19">
        <f>('[1]Short Spot'!BF157-'[1]Short Spot'!BF156)*100</f>
        <v>1.4152784587481371</v>
      </c>
      <c r="BG156" s="19">
        <f>('[1]Short Spot'!BG157-'[1]Short Spot'!BG156)*100</f>
        <v>1.3945762747641588</v>
      </c>
      <c r="BH156" s="19">
        <f>('[1]Short Spot'!BH157-'[1]Short Spot'!BH156)*100</f>
        <v>1.3740105656578905</v>
      </c>
      <c r="BI156" s="19">
        <f>('[1]Short Spot'!BI157-'[1]Short Spot'!BI156)*100</f>
        <v>1.3536005154934472</v>
      </c>
    </row>
    <row r="157" spans="1:61" x14ac:dyDescent="0.2">
      <c r="A157" s="18">
        <v>39308</v>
      </c>
      <c r="B157" s="19">
        <f>('[1]Short Spot'!B158-'[1]Short Spot'!B157)*100</f>
        <v>-5.2771603234183395</v>
      </c>
      <c r="C157" s="19">
        <f>('[1]Short Spot'!C158-'[1]Short Spot'!C157)*100</f>
        <v>-2.0758430877502398</v>
      </c>
      <c r="D157" s="19">
        <f>('[1]Short Spot'!D158-'[1]Short Spot'!D157)*100</f>
        <v>-2.3722405751295028</v>
      </c>
      <c r="E157" s="19">
        <f>('[1]Short Spot'!E158-'[1]Short Spot'!E157)*100</f>
        <v>-3.1274418434844797</v>
      </c>
      <c r="F157" s="19">
        <f>('[1]Short Spot'!F158-'[1]Short Spot'!F157)*100</f>
        <v>-3.8298724876598911</v>
      </c>
      <c r="G157" s="19">
        <f>('[1]Short Spot'!G158-'[1]Short Spot'!G157)*100</f>
        <v>-4.3951371516774529</v>
      </c>
      <c r="H157" s="19">
        <f>('[1]Short Spot'!H158-'[1]Short Spot'!H157)*100</f>
        <v>-4.8432259808212308</v>
      </c>
      <c r="I157" s="19">
        <f>('[1]Short Spot'!I158-'[1]Short Spot'!I157)*100</f>
        <v>-5.2166898287437036</v>
      </c>
      <c r="J157" s="19">
        <f>('[1]Short Spot'!J158-'[1]Short Spot'!J157)*100</f>
        <v>-5.5430701081801814</v>
      </c>
      <c r="K157" s="19">
        <f>('[1]Short Spot'!K158-'[1]Short Spot'!K157)*100</f>
        <v>-5.836487851451988</v>
      </c>
      <c r="L157" s="19">
        <f>('[1]Short Spot'!L158-'[1]Short Spot'!L157)*100</f>
        <v>-6.1036950516050403</v>
      </c>
      <c r="M157" s="19">
        <f>('[1]Short Spot'!M158-'[1]Short Spot'!M157)*100</f>
        <v>-6.3471843469325329</v>
      </c>
      <c r="N157" s="19">
        <f>('[1]Short Spot'!N158-'[1]Short Spot'!N157)*100</f>
        <v>-6.5669424526257458</v>
      </c>
      <c r="O157" s="19">
        <f>('[1]Short Spot'!O158-'[1]Short Spot'!O157)*100</f>
        <v>-6.762603441752546</v>
      </c>
      <c r="P157" s="19">
        <f>('[1]Short Spot'!P158-'[1]Short Spot'!P157)*100</f>
        <v>-6.9348121947604646</v>
      </c>
      <c r="Q157" s="19">
        <f>('[1]Short Spot'!Q158-'[1]Short Spot'!Q157)*100</f>
        <v>-7.0848314928841916</v>
      </c>
      <c r="R157" s="19">
        <f>('[1]Short Spot'!R158-'[1]Short Spot'!R157)*100</f>
        <v>-7.2141602928247117</v>
      </c>
      <c r="S157" s="19">
        <f>('[1]Short Spot'!S158-'[1]Short Spot'!S157)*100</f>
        <v>-7.3244496766647238</v>
      </c>
      <c r="T157" s="19">
        <f>('[1]Short Spot'!T158-'[1]Short Spot'!T157)*100</f>
        <v>-7.417461800836378</v>
      </c>
      <c r="U157" s="19">
        <f>('[1]Short Spot'!U158-'[1]Short Spot'!U157)*100</f>
        <v>-7.4949541412651755</v>
      </c>
      <c r="V157" s="19">
        <f>('[1]Short Spot'!V158-'[1]Short Spot'!V157)*100</f>
        <v>-7.5584835206687018</v>
      </c>
      <c r="W157" s="19">
        <f>('[1]Short Spot'!W158-'[1]Short Spot'!W157)*100</f>
        <v>-7.6094361663557208</v>
      </c>
      <c r="X157" s="19">
        <f>('[1]Short Spot'!X158-'[1]Short Spot'!X157)*100</f>
        <v>-7.6490683125531866</v>
      </c>
      <c r="Y157" s="19">
        <f>('[1]Short Spot'!Y158-'[1]Short Spot'!Y157)*100</f>
        <v>-7.6785332822984387</v>
      </c>
      <c r="Z157" s="19">
        <f>('[1]Short Spot'!Z158-'[1]Short Spot'!Z157)*100</f>
        <v>-7.6989020696767163</v>
      </c>
      <c r="AA157" s="19">
        <f>('[1]Short Spot'!AA158-'[1]Short Spot'!AA157)*100</f>
        <v>-7.711174783602015</v>
      </c>
      <c r="AB157" s="19">
        <f>('[1]Short Spot'!AB158-'[1]Short Spot'!AB157)*100</f>
        <v>-7.7162494048423014</v>
      </c>
      <c r="AC157" s="19">
        <f>('[1]Short Spot'!AC158-'[1]Short Spot'!AC157)*100</f>
        <v>-7.7149124888578058</v>
      </c>
      <c r="AD157" s="19">
        <f>('[1]Short Spot'!AD158-'[1]Short Spot'!AD157)*100</f>
        <v>-7.7078599298807227</v>
      </c>
      <c r="AE157" s="19">
        <f>('[1]Short Spot'!AE158-'[1]Short Spot'!AE157)*100</f>
        <v>-7.6957098906142996</v>
      </c>
      <c r="AF157" s="19">
        <f>('[1]Short Spot'!AF158-'[1]Short Spot'!AF157)*100</f>
        <v>-7.679015551858992</v>
      </c>
      <c r="AG157" s="19">
        <f>('[1]Short Spot'!AG158-'[1]Short Spot'!AG157)*100</f>
        <v>-7.6582753574101048</v>
      </c>
      <c r="AH157" s="19">
        <f>('[1]Short Spot'!AH158-'[1]Short Spot'!AH157)*100</f>
        <v>-7.6339413075439566</v>
      </c>
      <c r="AI157" s="19">
        <f>('[1]Short Spot'!AI158-'[1]Short Spot'!AI157)*100</f>
        <v>-7.6064257622986631</v>
      </c>
      <c r="AJ157" s="19">
        <f>('[1]Short Spot'!AJ158-'[1]Short Spot'!AJ157)*100</f>
        <v>-7.5761045384818537</v>
      </c>
      <c r="AK157" s="19">
        <f>('[1]Short Spot'!AK158-'[1]Short Spot'!AK157)*100</f>
        <v>-7.5433163912784096</v>
      </c>
      <c r="AL157" s="19">
        <f>('[1]Short Spot'!AL158-'[1]Short Spot'!AL157)*100</f>
        <v>-7.5083680060322067</v>
      </c>
      <c r="AM157" s="19">
        <f>('[1]Short Spot'!AM158-'[1]Short Spot'!AM157)*100</f>
        <v>-7.4715383715788342</v>
      </c>
      <c r="AN157" s="19">
        <f>('[1]Short Spot'!AN158-'[1]Short Spot'!AN157)*100</f>
        <v>-7.4330823310800653</v>
      </c>
      <c r="AO157" s="19">
        <f>('[1]Short Spot'!AO158-'[1]Short Spot'!AO157)*100</f>
        <v>-7.393233333214333</v>
      </c>
      <c r="AP157" s="19">
        <f>('[1]Short Spot'!AP158-'[1]Short Spot'!AP157)*100</f>
        <v>-7.3522038288535541</v>
      </c>
      <c r="AQ157" s="19">
        <f>('[1]Short Spot'!AQ158-'[1]Short Spot'!AQ157)*100</f>
        <v>-7.3101863801200651</v>
      </c>
      <c r="AR157" s="19">
        <f>('[1]Short Spot'!AR158-'[1]Short Spot'!AR157)*100</f>
        <v>-7.2673559871994975</v>
      </c>
      <c r="AS157" s="19">
        <f>('[1]Short Spot'!AS158-'[1]Short Spot'!AS157)*100</f>
        <v>-7.2238720841070858</v>
      </c>
      <c r="AT157" s="19">
        <f>('[1]Short Spot'!AT158-'[1]Short Spot'!AT157)*100</f>
        <v>-7.1798802682607743</v>
      </c>
      <c r="AU157" s="19">
        <f>('[1]Short Spot'!AU158-'[1]Short Spot'!AU157)*100</f>
        <v>-7.1355138044607358</v>
      </c>
      <c r="AV157" s="19">
        <f>('[1]Short Spot'!AV158-'[1]Short Spot'!AV157)*100</f>
        <v>-7.0908949321158765</v>
      </c>
      <c r="AW157" s="19">
        <f>('[1]Short Spot'!AW158-'[1]Short Spot'!AW157)*100</f>
        <v>-7.0461356532291575</v>
      </c>
      <c r="AX157" s="19">
        <f>('[1]Short Spot'!AX158-'[1]Short Spot'!AX157)*100</f>
        <v>-7.0013377165334845</v>
      </c>
      <c r="AY157" s="19">
        <f>('[1]Short Spot'!AY158-'[1]Short Spot'!AY157)*100</f>
        <v>-6.9565933063555185</v>
      </c>
      <c r="AZ157" s="19">
        <f>('[1]Short Spot'!AZ158-'[1]Short Spot'!AZ157)*100</f>
        <v>-6.911985976428614</v>
      </c>
      <c r="BA157" s="19">
        <f>('[1]Short Spot'!BA158-'[1]Short Spot'!BA157)*100</f>
        <v>-6.8675914797563742</v>
      </c>
      <c r="BB157" s="19">
        <f>('[1]Short Spot'!BB158-'[1]Short Spot'!BB157)*100</f>
        <v>-6.8234785045322432</v>
      </c>
      <c r="BC157" s="19">
        <f>('[1]Short Spot'!BC158-'[1]Short Spot'!BC157)*100</f>
        <v>-6.7797093282872645</v>
      </c>
      <c r="BD157" s="19">
        <f>('[1]Short Spot'!BD158-'[1]Short Spot'!BD157)*100</f>
        <v>-6.7363404055042153</v>
      </c>
      <c r="BE157" s="19">
        <f>('[1]Short Spot'!BE158-'[1]Short Spot'!BE157)*100</f>
        <v>-6.6934228398914719</v>
      </c>
      <c r="BF157" s="19">
        <f>('[1]Short Spot'!BF158-'[1]Short Spot'!BF157)*100</f>
        <v>-6.6510025171546694</v>
      </c>
      <c r="BG157" s="19">
        <f>('[1]Short Spot'!BG158-'[1]Short Spot'!BG157)*100</f>
        <v>-6.6091204181105923</v>
      </c>
      <c r="BH157" s="19">
        <f>('[1]Short Spot'!BH158-'[1]Short Spot'!BH157)*100</f>
        <v>-6.5678128446025497</v>
      </c>
      <c r="BI157" s="19">
        <f>('[1]Short Spot'!BI158-'[1]Short Spot'!BI157)*100</f>
        <v>-6.5271115835762394</v>
      </c>
    </row>
    <row r="158" spans="1:61" x14ac:dyDescent="0.2">
      <c r="A158" s="18">
        <v>39309</v>
      </c>
      <c r="B158" s="19">
        <f>('[1]Short Spot'!B159-'[1]Short Spot'!B158)*100</f>
        <v>-1.4150245904927417</v>
      </c>
      <c r="C158" s="19">
        <f>('[1]Short Spot'!C159-'[1]Short Spot'!C158)*100</f>
        <v>-0.49457990967800569</v>
      </c>
      <c r="D158" s="19">
        <f>('[1]Short Spot'!D159-'[1]Short Spot'!D158)*100</f>
        <v>-0.78573748607464466</v>
      </c>
      <c r="E158" s="19">
        <f>('[1]Short Spot'!E159-'[1]Short Spot'!E158)*100</f>
        <v>-1.3111563593048992</v>
      </c>
      <c r="F158" s="19">
        <f>('[1]Short Spot'!F159-'[1]Short Spot'!F158)*100</f>
        <v>-1.890842172083218</v>
      </c>
      <c r="G158" s="19">
        <f>('[1]Short Spot'!G159-'[1]Short Spot'!G158)*100</f>
        <v>-2.4608771488001224</v>
      </c>
      <c r="H158" s="19">
        <f>('[1]Short Spot'!H159-'[1]Short Spot'!H158)*100</f>
        <v>-2.9891153408712512</v>
      </c>
      <c r="I158" s="19">
        <f>('[1]Short Spot'!I159-'[1]Short Spot'!I158)*100</f>
        <v>-3.4583081180738162</v>
      </c>
      <c r="J158" s="19">
        <f>('[1]Short Spot'!J159-'[1]Short Spot'!J158)*100</f>
        <v>-3.8634475128048074</v>
      </c>
      <c r="K158" s="19">
        <f>('[1]Short Spot'!K159-'[1]Short Spot'!K158)*100</f>
        <v>-4.2081870055806547</v>
      </c>
      <c r="L158" s="19">
        <f>('[1]Short Spot'!L159-'[1]Short Spot'!L158)*100</f>
        <v>-4.4994279797823999</v>
      </c>
      <c r="M158" s="19">
        <f>('[1]Short Spot'!M159-'[1]Short Spot'!M158)*100</f>
        <v>-4.7444765381277954</v>
      </c>
      <c r="N158" s="19">
        <f>('[1]Short Spot'!N159-'[1]Short Spot'!N158)*100</f>
        <v>-4.9506994791452819</v>
      </c>
      <c r="O158" s="19">
        <f>('[1]Short Spot'!O159-'[1]Short Spot'!O158)*100</f>
        <v>-5.1248240133307199</v>
      </c>
      <c r="P158" s="19">
        <f>('[1]Short Spot'!P159-'[1]Short Spot'!P158)*100</f>
        <v>-5.2724465239183615</v>
      </c>
      <c r="Q158" s="19">
        <f>('[1]Short Spot'!Q159-'[1]Short Spot'!Q158)*100</f>
        <v>-5.3980934141336867</v>
      </c>
      <c r="R158" s="19">
        <f>('[1]Short Spot'!R159-'[1]Short Spot'!R158)*100</f>
        <v>-5.5053351561149988</v>
      </c>
      <c r="S158" s="19">
        <f>('[1]Short Spot'!S159-'[1]Short Spot'!S158)*100</f>
        <v>-5.5970363652243726</v>
      </c>
      <c r="T158" s="19">
        <f>('[1]Short Spot'!T159-'[1]Short Spot'!T158)*100</f>
        <v>-5.6755403323830222</v>
      </c>
      <c r="U158" s="19">
        <f>('[1]Short Spot'!U159-'[1]Short Spot'!U158)*100</f>
        <v>-5.7427388114414057</v>
      </c>
      <c r="V158" s="19">
        <f>('[1]Short Spot'!V159-'[1]Short Spot'!V158)*100</f>
        <v>-5.8001280328576321</v>
      </c>
      <c r="W158" s="19">
        <f>('[1]Short Spot'!W159-'[1]Short Spot'!W158)*100</f>
        <v>-5.8489510217675011</v>
      </c>
      <c r="X158" s="19">
        <f>('[1]Short Spot'!X159-'[1]Short Spot'!X158)*100</f>
        <v>-5.8902575076168695</v>
      </c>
      <c r="Y158" s="19">
        <f>('[1]Short Spot'!Y159-'[1]Short Spot'!Y158)*100</f>
        <v>-5.9249441940953496</v>
      </c>
      <c r="Z158" s="19">
        <f>('[1]Short Spot'!Z159-'[1]Short Spot'!Z158)*100</f>
        <v>-5.9537853642893879</v>
      </c>
      <c r="AA158" s="19">
        <f>('[1]Short Spot'!AA159-'[1]Short Spot'!AA158)*100</f>
        <v>-5.9774524428533482</v>
      </c>
      <c r="AB158" s="19">
        <f>('[1]Short Spot'!AB159-'[1]Short Spot'!AB158)*100</f>
        <v>-5.9965068666777199</v>
      </c>
      <c r="AC158" s="19">
        <f>('[1]Short Spot'!AC159-'[1]Short Spot'!AC158)*100</f>
        <v>-6.0114222078355262</v>
      </c>
      <c r="AD158" s="19">
        <f>('[1]Short Spot'!AD159-'[1]Short Spot'!AD158)*100</f>
        <v>-6.0226058610919786</v>
      </c>
      <c r="AE158" s="19">
        <f>('[1]Short Spot'!AE159-'[1]Short Spot'!AE158)*100</f>
        <v>-6.0304122055402587</v>
      </c>
      <c r="AF158" s="19">
        <f>('[1]Short Spot'!AF159-'[1]Short Spot'!AF158)*100</f>
        <v>-6.0351534778910754</v>
      </c>
      <c r="AG158" s="19">
        <f>('[1]Short Spot'!AG159-'[1]Short Spot'!AG158)*100</f>
        <v>-6.0371065017959857</v>
      </c>
      <c r="AH158" s="19">
        <f>('[1]Short Spot'!AH159-'[1]Short Spot'!AH158)*100</f>
        <v>-6.0365180534610374</v>
      </c>
      <c r="AI158" s="19">
        <f>('[1]Short Spot'!AI159-'[1]Short Spot'!AI158)*100</f>
        <v>-6.033609247506444</v>
      </c>
      <c r="AJ158" s="19">
        <f>('[1]Short Spot'!AJ159-'[1]Short Spot'!AJ158)*100</f>
        <v>-6.0285773926912256</v>
      </c>
      <c r="AK158" s="19">
        <f>('[1]Short Spot'!AK159-'[1]Short Spot'!AK158)*100</f>
        <v>-6.0215980349394904</v>
      </c>
      <c r="AL158" s="19">
        <f>('[1]Short Spot'!AL159-'[1]Short Spot'!AL158)*100</f>
        <v>-6.0128299942763697</v>
      </c>
      <c r="AM158" s="19">
        <f>('[1]Short Spot'!AM159-'[1]Short Spot'!AM158)*100</f>
        <v>-6.002417760832035</v>
      </c>
      <c r="AN158" s="19">
        <f>('[1]Short Spot'!AN159-'[1]Short Spot'!AN158)*100</f>
        <v>-5.9904933320076736</v>
      </c>
      <c r="AO158" s="19">
        <f>('[1]Short Spot'!AO159-'[1]Short Spot'!AO158)*100</f>
        <v>-5.9771775692782469</v>
      </c>
      <c r="AP158" s="19">
        <f>('[1]Short Spot'!AP159-'[1]Short Spot'!AP158)*100</f>
        <v>-5.9625805803730003</v>
      </c>
      <c r="AQ158" s="19">
        <f>('[1]Short Spot'!AQ159-'[1]Short Spot'!AQ158)*100</f>
        <v>-5.9468031714930092</v>
      </c>
      <c r="AR158" s="19">
        <f>('[1]Short Spot'!AR159-'[1]Short Spot'!AR158)*100</f>
        <v>-5.9299381099387816</v>
      </c>
      <c r="AS158" s="19">
        <f>('[1]Short Spot'!AS159-'[1]Short Spot'!AS158)*100</f>
        <v>-5.912071037645461</v>
      </c>
      <c r="AT158" s="19">
        <f>('[1]Short Spot'!AT159-'[1]Short Spot'!AT158)*100</f>
        <v>-5.8932812628909481</v>
      </c>
      <c r="AU158" s="19">
        <f>('[1]Short Spot'!AU159-'[1]Short Spot'!AU158)*100</f>
        <v>-5.8736424487356054</v>
      </c>
      <c r="AV158" s="19">
        <f>('[1]Short Spot'!AV159-'[1]Short Spot'!AV158)*100</f>
        <v>-5.8532232111345728</v>
      </c>
      <c r="AW158" s="19">
        <f>('[1]Short Spot'!AW159-'[1]Short Spot'!AW158)*100</f>
        <v>-5.8320875895462976</v>
      </c>
      <c r="AX158" s="19">
        <f>('[1]Short Spot'!AX159-'[1]Short Spot'!AX158)*100</f>
        <v>-5.8102955195190376</v>
      </c>
      <c r="AY158" s="19">
        <f>('[1]Short Spot'!AY159-'[1]Short Spot'!AY158)*100</f>
        <v>-5.7879033033083616</v>
      </c>
      <c r="AZ158" s="19">
        <f>('[1]Short Spot'!AZ159-'[1]Short Spot'!AZ158)*100</f>
        <v>-5.7649639688953869</v>
      </c>
      <c r="BA158" s="19">
        <f>('[1]Short Spot'!BA159-'[1]Short Spot'!BA158)*100</f>
        <v>-5.7415275848227587</v>
      </c>
      <c r="BB158" s="19">
        <f>('[1]Short Spot'!BB159-'[1]Short Spot'!BB158)*100</f>
        <v>-5.7176415393849211</v>
      </c>
      <c r="BC158" s="19">
        <f>('[1]Short Spot'!BC159-'[1]Short Spot'!BC158)*100</f>
        <v>-5.6933507888007107</v>
      </c>
      <c r="BD158" s="19">
        <f>('[1]Short Spot'!BD159-'[1]Short Spot'!BD158)*100</f>
        <v>-5.6686980837787004</v>
      </c>
      <c r="BE158" s="19">
        <f>('[1]Short Spot'!BE159-'[1]Short Spot'!BE158)*100</f>
        <v>-5.6437241338718636</v>
      </c>
      <c r="BF158" s="19">
        <f>('[1]Short Spot'!BF159-'[1]Short Spot'!BF158)*100</f>
        <v>-5.6184675093031267</v>
      </c>
      <c r="BG158" s="19">
        <f>('[1]Short Spot'!BG159-'[1]Short Spot'!BG158)*100</f>
        <v>-5.5929647154384199</v>
      </c>
      <c r="BH158" s="19">
        <f>('[1]Short Spot'!BH159-'[1]Short Spot'!BH158)*100</f>
        <v>-5.5672502896667808</v>
      </c>
      <c r="BI158" s="19">
        <f>('[1]Short Spot'!BI159-'[1]Short Spot'!BI158)*100</f>
        <v>-5.5413572240197162</v>
      </c>
    </row>
    <row r="159" spans="1:61" x14ac:dyDescent="0.2">
      <c r="A159" s="18">
        <v>39310</v>
      </c>
      <c r="B159" s="19">
        <f>('[1]Short Spot'!B160-'[1]Short Spot'!B159)*100</f>
        <v>-3.3750571662031881</v>
      </c>
      <c r="C159" s="19">
        <f>('[1]Short Spot'!C160-'[1]Short Spot'!C159)*100</f>
        <v>-3.4983557845465363</v>
      </c>
      <c r="D159" s="19">
        <f>('[1]Short Spot'!D160-'[1]Short Spot'!D159)*100</f>
        <v>-4.155145377544045</v>
      </c>
      <c r="E159" s="19">
        <f>('[1]Short Spot'!E160-'[1]Short Spot'!E159)*100</f>
        <v>-4.8410058076003182</v>
      </c>
      <c r="F159" s="19">
        <f>('[1]Short Spot'!F160-'[1]Short Spot'!F159)*100</f>
        <v>-5.3830721791768177</v>
      </c>
      <c r="G159" s="19">
        <f>('[1]Short Spot'!G160-'[1]Short Spot'!G159)*100</f>
        <v>-5.746017057106112</v>
      </c>
      <c r="H159" s="19">
        <f>('[1]Short Spot'!H160-'[1]Short Spot'!H159)*100</f>
        <v>-5.9627059155165973</v>
      </c>
      <c r="I159" s="19">
        <f>('[1]Short Spot'!I160-'[1]Short Spot'!I159)*100</f>
        <v>-6.0936545511571794</v>
      </c>
      <c r="J159" s="19">
        <f>('[1]Short Spot'!J160-'[1]Short Spot'!J159)*100</f>
        <v>-6.1833227403845115</v>
      </c>
      <c r="K159" s="19">
        <f>('[1]Short Spot'!K160-'[1]Short Spot'!K159)*100</f>
        <v>-6.2541708654761052</v>
      </c>
      <c r="L159" s="19">
        <f>('[1]Short Spot'!L160-'[1]Short Spot'!L159)*100</f>
        <v>-6.3173549181032129</v>
      </c>
      <c r="M159" s="19">
        <f>('[1]Short Spot'!M160-'[1]Short Spot'!M159)*100</f>
        <v>-6.3783561170418501</v>
      </c>
      <c r="N159" s="19">
        <f>('[1]Short Spot'!N160-'[1]Short Spot'!N159)*100</f>
        <v>-6.4390478761496617</v>
      </c>
      <c r="O159" s="19">
        <f>('[1]Short Spot'!O160-'[1]Short Spot'!O159)*100</f>
        <v>-6.4986318262531206</v>
      </c>
      <c r="P159" s="19">
        <f>('[1]Short Spot'!P160-'[1]Short Spot'!P159)*100</f>
        <v>-6.5557873204928008</v>
      </c>
      <c r="Q159" s="19">
        <f>('[1]Short Spot'!Q160-'[1]Short Spot'!Q159)*100</f>
        <v>-6.6094737058600472</v>
      </c>
      <c r="R159" s="19">
        <f>('[1]Short Spot'!R160-'[1]Short Spot'!R159)*100</f>
        <v>-6.6590488264032466</v>
      </c>
      <c r="S159" s="19">
        <f>('[1]Short Spot'!S160-'[1]Short Spot'!S159)*100</f>
        <v>-6.7041686960184421</v>
      </c>
      <c r="T159" s="19">
        <f>('[1]Short Spot'!T160-'[1]Short Spot'!T159)*100</f>
        <v>-6.7447074091436576</v>
      </c>
      <c r="U159" s="19">
        <f>('[1]Short Spot'!U160-'[1]Short Spot'!U159)*100</f>
        <v>-6.7806351170625057</v>
      </c>
      <c r="V159" s="19">
        <f>('[1]Short Spot'!V160-'[1]Short Spot'!V159)*100</f>
        <v>-6.8119380721928913</v>
      </c>
      <c r="W159" s="19">
        <f>('[1]Short Spot'!W160-'[1]Short Spot'!W159)*100</f>
        <v>-6.8386635457536649</v>
      </c>
      <c r="X159" s="19">
        <f>('[1]Short Spot'!X160-'[1]Short Spot'!X159)*100</f>
        <v>-6.8609107068786201</v>
      </c>
      <c r="Y159" s="19">
        <f>('[1]Short Spot'!Y160-'[1]Short Spot'!Y159)*100</f>
        <v>-6.8788198105508513</v>
      </c>
      <c r="Z159" s="19">
        <f>('[1]Short Spot'!Z160-'[1]Short Spot'!Z159)*100</f>
        <v>-6.8925639804318983</v>
      </c>
      <c r="AA159" s="19">
        <f>('[1]Short Spot'!AA160-'[1]Short Spot'!AA159)*100</f>
        <v>-6.9023382893941942</v>
      </c>
      <c r="AB159" s="19">
        <f>('[1]Short Spot'!AB160-'[1]Short Spot'!AB159)*100</f>
        <v>-6.9083283069035772</v>
      </c>
      <c r="AC159" s="19">
        <f>('[1]Short Spot'!AC160-'[1]Short Spot'!AC159)*100</f>
        <v>-6.910714942875007</v>
      </c>
      <c r="AD159" s="19">
        <f>('[1]Short Spot'!AD160-'[1]Short Spot'!AD159)*100</f>
        <v>-6.9096789096429134</v>
      </c>
      <c r="AE159" s="19">
        <f>('[1]Short Spot'!AE160-'[1]Short Spot'!AE159)*100</f>
        <v>-6.9053927203399645</v>
      </c>
      <c r="AF159" s="19">
        <f>('[1]Short Spot'!AF160-'[1]Short Spot'!AF159)*100</f>
        <v>-6.8980196502415936</v>
      </c>
      <c r="AG159" s="19">
        <f>('[1]Short Spot'!AG160-'[1]Short Spot'!AG159)*100</f>
        <v>-6.8877151825131655</v>
      </c>
      <c r="AH159" s="19">
        <f>('[1]Short Spot'!AH160-'[1]Short Spot'!AH159)*100</f>
        <v>-6.8746281888312666</v>
      </c>
      <c r="AI159" s="19">
        <f>('[1]Short Spot'!AI160-'[1]Short Spot'!AI159)*100</f>
        <v>-6.8589018531210577</v>
      </c>
      <c r="AJ159" s="19">
        <f>('[1]Short Spot'!AJ160-'[1]Short Spot'!AJ159)*100</f>
        <v>-6.8406718120374244</v>
      </c>
      <c r="AK159" s="19">
        <f>('[1]Short Spot'!AK160-'[1]Short Spot'!AK159)*100</f>
        <v>-6.8200632599827671</v>
      </c>
      <c r="AL159" s="19">
        <f>('[1]Short Spot'!AL160-'[1]Short Spot'!AL159)*100</f>
        <v>-6.7971932653450473</v>
      </c>
      <c r="AM159" s="19">
        <f>('[1]Short Spot'!AM160-'[1]Short Spot'!AM159)*100</f>
        <v>-6.7721719824787918</v>
      </c>
      <c r="AN159" s="19">
        <f>('[1]Short Spot'!AN160-'[1]Short Spot'!AN159)*100</f>
        <v>-6.7451035381208335</v>
      </c>
      <c r="AO159" s="19">
        <f>('[1]Short Spot'!AO160-'[1]Short Spot'!AO159)*100</f>
        <v>-6.7160865123720548</v>
      </c>
      <c r="AP159" s="19">
        <f>('[1]Short Spot'!AP160-'[1]Short Spot'!AP159)*100</f>
        <v>-6.6852131932216174</v>
      </c>
      <c r="AQ159" s="19">
        <f>('[1]Short Spot'!AQ160-'[1]Short Spot'!AQ159)*100</f>
        <v>-6.6525701208376198</v>
      </c>
      <c r="AR159" s="19">
        <f>('[1]Short Spot'!AR160-'[1]Short Spot'!AR159)*100</f>
        <v>-6.6182388885217769</v>
      </c>
      <c r="AS159" s="19">
        <f>('[1]Short Spot'!AS160-'[1]Short Spot'!AS159)*100</f>
        <v>-6.5822967048532632</v>
      </c>
      <c r="AT159" s="19">
        <f>('[1]Short Spot'!AT160-'[1]Short Spot'!AT159)*100</f>
        <v>-6.5448168808812213</v>
      </c>
      <c r="AU159" s="19">
        <f>('[1]Short Spot'!AU160-'[1]Short Spot'!AU159)*100</f>
        <v>-6.5058692537686369</v>
      </c>
      <c r="AV159" s="19">
        <f>('[1]Short Spot'!AV160-'[1]Short Spot'!AV159)*100</f>
        <v>-6.4655205535142812</v>
      </c>
      <c r="AW159" s="19">
        <f>('[1]Short Spot'!AW160-'[1]Short Spot'!AW159)*100</f>
        <v>-6.4238346771519517</v>
      </c>
      <c r="AX159" s="19">
        <f>('[1]Short Spot'!AX160-'[1]Short Spot'!AX159)*100</f>
        <v>-6.3808730087250076</v>
      </c>
      <c r="AY159" s="19">
        <f>('[1]Short Spot'!AY160-'[1]Short Spot'!AY159)*100</f>
        <v>-6.3366947344654534</v>
      </c>
      <c r="AZ159" s="19">
        <f>('[1]Short Spot'!AZ160-'[1]Short Spot'!AZ159)*100</f>
        <v>-6.291357060634617</v>
      </c>
      <c r="BA159" s="19">
        <f>('[1]Short Spot'!BA160-'[1]Short Spot'!BA159)*100</f>
        <v>-6.2449154039044608</v>
      </c>
      <c r="BB159" s="19">
        <f>('[1]Short Spot'!BB160-'[1]Short Spot'!BB159)*100</f>
        <v>-6.1974235601875094</v>
      </c>
      <c r="BC159" s="19">
        <f>('[1]Short Spot'!BC160-'[1]Short Spot'!BC159)*100</f>
        <v>-6.1489338547064953</v>
      </c>
      <c r="BD159" s="19">
        <f>('[1]Short Spot'!BD160-'[1]Short Spot'!BD159)*100</f>
        <v>-6.0994972864192754</v>
      </c>
      <c r="BE159" s="19">
        <f>('[1]Short Spot'!BE160-'[1]Short Spot'!BE159)*100</f>
        <v>-6.0491637397812603</v>
      </c>
      <c r="BF159" s="19">
        <f>('[1]Short Spot'!BF160-'[1]Short Spot'!BF159)*100</f>
        <v>-5.9979820484313606</v>
      </c>
      <c r="BG159" s="19">
        <f>('[1]Short Spot'!BG160-'[1]Short Spot'!BG159)*100</f>
        <v>-5.946000030753229</v>
      </c>
      <c r="BH159" s="19">
        <f>('[1]Short Spot'!BH160-'[1]Short Spot'!BH159)*100</f>
        <v>-5.8932644216776353</v>
      </c>
      <c r="BI159" s="19">
        <f>('[1]Short Spot'!BI160-'[1]Short Spot'!BI159)*100</f>
        <v>-5.8398209634824561</v>
      </c>
    </row>
    <row r="160" spans="1:61" x14ac:dyDescent="0.2">
      <c r="A160" s="18">
        <v>39311</v>
      </c>
      <c r="B160" s="19">
        <f>('[1]Short Spot'!B161-'[1]Short Spot'!B160)*100</f>
        <v>3.5900083756403411</v>
      </c>
      <c r="C160" s="19">
        <f>('[1]Short Spot'!C161-'[1]Short Spot'!C160)*100</f>
        <v>0.68867445643476799</v>
      </c>
      <c r="D160" s="19">
        <f>('[1]Short Spot'!D161-'[1]Short Spot'!D160)*100</f>
        <v>-0.21816231236888584</v>
      </c>
      <c r="E160" s="19">
        <f>('[1]Short Spot'!E161-'[1]Short Spot'!E160)*100</f>
        <v>-0.5821993358265054</v>
      </c>
      <c r="F160" s="19">
        <f>('[1]Short Spot'!F161-'[1]Short Spot'!F160)*100</f>
        <v>-0.75890097189716954</v>
      </c>
      <c r="G160" s="19">
        <f>('[1]Short Spot'!G161-'[1]Short Spot'!G160)*100</f>
        <v>-0.87801083714920125</v>
      </c>
      <c r="H160" s="19">
        <f>('[1]Short Spot'!H161-'[1]Short Spot'!H160)*100</f>
        <v>-0.99419781156884213</v>
      </c>
      <c r="I160" s="19">
        <f>('[1]Short Spot'!I161-'[1]Short Spot'!I160)*100</f>
        <v>-1.1214514665126352</v>
      </c>
      <c r="J160" s="19">
        <f>('[1]Short Spot'!J161-'[1]Short Spot'!J160)*100</f>
        <v>-1.2562201530873729</v>
      </c>
      <c r="K160" s="19">
        <f>('[1]Short Spot'!K161-'[1]Short Spot'!K160)*100</f>
        <v>-1.3945137406765618</v>
      </c>
      <c r="L160" s="19">
        <f>('[1]Short Spot'!L161-'[1]Short Spot'!L160)*100</f>
        <v>-1.531407165644616</v>
      </c>
      <c r="M160" s="19">
        <f>('[1]Short Spot'!M161-'[1]Short Spot'!M160)*100</f>
        <v>-1.6629552351829169</v>
      </c>
      <c r="N160" s="19">
        <f>('[1]Short Spot'!N161-'[1]Short Spot'!N160)*100</f>
        <v>-1.7863909133977174</v>
      </c>
      <c r="O160" s="19">
        <f>('[1]Short Spot'!O161-'[1]Short Spot'!O160)*100</f>
        <v>-1.9000926401595564</v>
      </c>
      <c r="P160" s="19">
        <f>('[1]Short Spot'!P161-'[1]Short Spot'!P160)*100</f>
        <v>-2.0029183632392034</v>
      </c>
      <c r="Q160" s="19">
        <f>('[1]Short Spot'!Q161-'[1]Short Spot'!Q160)*100</f>
        <v>-2.0943746991830103</v>
      </c>
      <c r="R160" s="19">
        <f>('[1]Short Spot'!R161-'[1]Short Spot'!R160)*100</f>
        <v>-2.1746215745430675</v>
      </c>
      <c r="S160" s="19">
        <f>('[1]Short Spot'!S161-'[1]Short Spot'!S160)*100</f>
        <v>-2.2442924649473284</v>
      </c>
      <c r="T160" s="19">
        <f>('[1]Short Spot'!T161-'[1]Short Spot'!T160)*100</f>
        <v>-2.3043612496721266</v>
      </c>
      <c r="U160" s="19">
        <f>('[1]Short Spot'!U161-'[1]Short Spot'!U160)*100</f>
        <v>-2.3557972924390214</v>
      </c>
      <c r="V160" s="19">
        <f>('[1]Short Spot'!V161-'[1]Short Spot'!V160)*100</f>
        <v>-2.399341860600579</v>
      </c>
      <c r="W160" s="19">
        <f>('[1]Short Spot'!W161-'[1]Short Spot'!W160)*100</f>
        <v>-2.4356812038189624</v>
      </c>
      <c r="X160" s="19">
        <f>('[1]Short Spot'!X161-'[1]Short Spot'!X160)*100</f>
        <v>-2.4654674646385821</v>
      </c>
      <c r="Y160" s="19">
        <f>('[1]Short Spot'!Y161-'[1]Short Spot'!Y160)*100</f>
        <v>-2.4893257841380745</v>
      </c>
      <c r="Z160" s="19">
        <f>('[1]Short Spot'!Z161-'[1]Short Spot'!Z160)*100</f>
        <v>-2.5078597022225146</v>
      </c>
      <c r="AA160" s="19">
        <f>('[1]Short Spot'!AA161-'[1]Short Spot'!AA160)*100</f>
        <v>-2.5216378442482146</v>
      </c>
      <c r="AB160" s="19">
        <f>('[1]Short Spot'!AB161-'[1]Short Spot'!AB160)*100</f>
        <v>-2.5311207706957717</v>
      </c>
      <c r="AC160" s="19">
        <f>('[1]Short Spot'!AC161-'[1]Short Spot'!AC160)*100</f>
        <v>-2.5367034930750876</v>
      </c>
      <c r="AD160" s="19">
        <f>('[1]Short Spot'!AD161-'[1]Short Spot'!AD160)*100</f>
        <v>-2.5387397709964787</v>
      </c>
      <c r="AE160" s="19">
        <f>('[1]Short Spot'!AE161-'[1]Short Spot'!AE160)*100</f>
        <v>-2.5375439925030108</v>
      </c>
      <c r="AF160" s="19">
        <f>('[1]Short Spot'!AF161-'[1]Short Spot'!AF160)*100</f>
        <v>-2.5333995451187974</v>
      </c>
      <c r="AG160" s="19">
        <f>('[1]Short Spot'!AG161-'[1]Short Spot'!AG160)*100</f>
        <v>-2.5265638705121773</v>
      </c>
      <c r="AH160" s="19">
        <f>('[1]Short Spot'!AH161-'[1]Short Spot'!AH160)*100</f>
        <v>-2.5172723956883303</v>
      </c>
      <c r="AI160" s="19">
        <f>('[1]Short Spot'!AI161-'[1]Short Spot'!AI160)*100</f>
        <v>-2.5057415397304439</v>
      </c>
      <c r="AJ160" s="19">
        <f>('[1]Short Spot'!AJ161-'[1]Short Spot'!AJ160)*100</f>
        <v>-2.4921642486442686</v>
      </c>
      <c r="AK160" s="19">
        <f>('[1]Short Spot'!AK161-'[1]Short Spot'!AK160)*100</f>
        <v>-2.4767092785130451</v>
      </c>
      <c r="AL160" s="19">
        <f>('[1]Short Spot'!AL161-'[1]Short Spot'!AL160)*100</f>
        <v>-2.4595301242566592</v>
      </c>
      <c r="AM160" s="19">
        <f>('[1]Short Spot'!AM161-'[1]Short Spot'!AM160)*100</f>
        <v>-2.4407674021690084</v>
      </c>
      <c r="AN160" s="19">
        <f>('[1]Short Spot'!AN161-'[1]Short Spot'!AN160)*100</f>
        <v>-2.4205505008623618</v>
      </c>
      <c r="AO160" s="19">
        <f>('[1]Short Spot'!AO161-'[1]Short Spot'!AO160)*100</f>
        <v>-2.3989981922457382</v>
      </c>
      <c r="AP160" s="19">
        <f>('[1]Short Spot'!AP161-'[1]Short Spot'!AP160)*100</f>
        <v>-2.3762178050518834</v>
      </c>
      <c r="AQ160" s="19">
        <f>('[1]Short Spot'!AQ161-'[1]Short Spot'!AQ160)*100</f>
        <v>-2.3523082648457816</v>
      </c>
      <c r="AR160" s="19">
        <f>('[1]Short Spot'!AR161-'[1]Short Spot'!AR160)*100</f>
        <v>-2.3273615767299916</v>
      </c>
      <c r="AS160" s="19">
        <f>('[1]Short Spot'!AS161-'[1]Short Spot'!AS160)*100</f>
        <v>-2.3014636117611786</v>
      </c>
      <c r="AT160" s="19">
        <f>('[1]Short Spot'!AT161-'[1]Short Spot'!AT160)*100</f>
        <v>-2.2746947885107005</v>
      </c>
      <c r="AU160" s="19">
        <f>('[1]Short Spot'!AU161-'[1]Short Spot'!AU160)*100</f>
        <v>-2.2471306657264378</v>
      </c>
      <c r="AV160" s="19">
        <f>('[1]Short Spot'!AV161-'[1]Short Spot'!AV160)*100</f>
        <v>-2.218842445494662</v>
      </c>
      <c r="AW160" s="19">
        <f>('[1]Short Spot'!AW161-'[1]Short Spot'!AW160)*100</f>
        <v>-2.1898971986777482</v>
      </c>
      <c r="AX160" s="19">
        <f>('[1]Short Spot'!AX161-'[1]Short Spot'!AX160)*100</f>
        <v>-2.1603582350267381</v>
      </c>
      <c r="AY160" s="19">
        <f>('[1]Short Spot'!AY161-'[1]Short Spot'!AY160)*100</f>
        <v>-2.1302856091979905</v>
      </c>
      <c r="AZ160" s="19">
        <f>('[1]Short Spot'!AZ161-'[1]Short Spot'!AZ160)*100</f>
        <v>-2.099736444191791</v>
      </c>
      <c r="BA160" s="19">
        <f>('[1]Short Spot'!BA161-'[1]Short Spot'!BA160)*100</f>
        <v>-2.0687652132418854</v>
      </c>
      <c r="BB160" s="19">
        <f>('[1]Short Spot'!BB161-'[1]Short Spot'!BB160)*100</f>
        <v>-2.0374239897935631</v>
      </c>
      <c r="BC160" s="19">
        <f>('[1]Short Spot'!BC161-'[1]Short Spot'!BC160)*100</f>
        <v>-2.0057626697063569</v>
      </c>
      <c r="BD160" s="19">
        <f>('[1]Short Spot'!BD161-'[1]Short Spot'!BD160)*100</f>
        <v>-1.9738291883005132</v>
      </c>
      <c r="BE160" s="19">
        <f>('[1]Short Spot'!BE161-'[1]Short Spot'!BE160)*100</f>
        <v>-1.9416695694811636</v>
      </c>
      <c r="BF160" s="19">
        <f>('[1]Short Spot'!BF161-'[1]Short Spot'!BF160)*100</f>
        <v>-1.9093273774596575</v>
      </c>
      <c r="BG160" s="19">
        <f>('[1]Short Spot'!BG161-'[1]Short Spot'!BG160)*100</f>
        <v>-1.8768436944762712</v>
      </c>
      <c r="BH160" s="19">
        <f>('[1]Short Spot'!BH161-'[1]Short Spot'!BH160)*100</f>
        <v>-1.8442569814798304</v>
      </c>
      <c r="BI160" s="19">
        <f>('[1]Short Spot'!BI161-'[1]Short Spot'!BI160)*100</f>
        <v>-1.8116037989572398</v>
      </c>
    </row>
    <row r="161" spans="1:61" x14ac:dyDescent="0.2">
      <c r="A161" s="18">
        <v>39314</v>
      </c>
      <c r="B161" s="19">
        <f>('[1]Short Spot'!B162-'[1]Short Spot'!B161)*100</f>
        <v>-3.0696049689627358</v>
      </c>
      <c r="C161" s="19">
        <f>('[1]Short Spot'!C162-'[1]Short Spot'!C161)*100</f>
        <v>-0.88432902408417391</v>
      </c>
      <c r="D161" s="19">
        <f>('[1]Short Spot'!D162-'[1]Short Spot'!D161)*100</f>
        <v>-0.30943026877725543</v>
      </c>
      <c r="E161" s="19">
        <f>('[1]Short Spot'!E162-'[1]Short Spot'!E161)*100</f>
        <v>-3.1702637539954281E-2</v>
      </c>
      <c r="F161" s="19">
        <f>('[1]Short Spot'!F162-'[1]Short Spot'!F161)*100</f>
        <v>0.16744563762012277</v>
      </c>
      <c r="G161" s="19">
        <f>('[1]Short Spot'!G162-'[1]Short Spot'!G161)*100</f>
        <v>0.33725093409016083</v>
      </c>
      <c r="H161" s="19">
        <f>('[1]Short Spot'!H162-'[1]Short Spot'!H161)*100</f>
        <v>0.47922498557593229</v>
      </c>
      <c r="I161" s="19">
        <f>('[1]Short Spot'!I162-'[1]Short Spot'!I161)*100</f>
        <v>0.60309307666308598</v>
      </c>
      <c r="J161" s="19">
        <f>('[1]Short Spot'!J162-'[1]Short Spot'!J161)*100</f>
        <v>0.720881816106278</v>
      </c>
      <c r="K161" s="19">
        <f>('[1]Short Spot'!K162-'[1]Short Spot'!K161)*100</f>
        <v>0.83594313505983564</v>
      </c>
      <c r="L161" s="19">
        <f>('[1]Short Spot'!L162-'[1]Short Spot'!L161)*100</f>
        <v>0.9467052389292796</v>
      </c>
      <c r="M161" s="19">
        <f>('[1]Short Spot'!M162-'[1]Short Spot'!M161)*100</f>
        <v>1.0512484307121817</v>
      </c>
      <c r="N161" s="19">
        <f>('[1]Short Spot'!N162-'[1]Short Spot'!N161)*100</f>
        <v>1.1478991827898355</v>
      </c>
      <c r="O161" s="19">
        <f>('[1]Short Spot'!O162-'[1]Short Spot'!O161)*100</f>
        <v>1.2351087694879581</v>
      </c>
      <c r="P161" s="19">
        <f>('[1]Short Spot'!P162-'[1]Short Spot'!P161)*100</f>
        <v>1.3121206983294442</v>
      </c>
      <c r="Q161" s="19">
        <f>('[1]Short Spot'!Q162-'[1]Short Spot'!Q161)*100</f>
        <v>1.3787682963980252</v>
      </c>
      <c r="R161" s="19">
        <f>('[1]Short Spot'!R162-'[1]Short Spot'!R161)*100</f>
        <v>1.4352735589961974</v>
      </c>
      <c r="S161" s="19">
        <f>('[1]Short Spot'!S162-'[1]Short Spot'!S161)*100</f>
        <v>1.4821408964504457</v>
      </c>
      <c r="T161" s="19">
        <f>('[1]Short Spot'!T162-'[1]Short Spot'!T161)*100</f>
        <v>1.5200858130828721</v>
      </c>
      <c r="U161" s="19">
        <f>('[1]Short Spot'!U162-'[1]Short Spot'!U161)*100</f>
        <v>1.5500000199758723</v>
      </c>
      <c r="V161" s="19">
        <f>('[1]Short Spot'!V162-'[1]Short Spot'!V161)*100</f>
        <v>1.5727620911881068</v>
      </c>
      <c r="W161" s="19">
        <f>('[1]Short Spot'!W162-'[1]Short Spot'!W161)*100</f>
        <v>1.5891377477313284</v>
      </c>
      <c r="X161" s="19">
        <f>('[1]Short Spot'!X162-'[1]Short Spot'!X161)*100</f>
        <v>1.5998016387205993</v>
      </c>
      <c r="Y161" s="19">
        <f>('[1]Short Spot'!Y162-'[1]Short Spot'!Y161)*100</f>
        <v>1.6053563146869898</v>
      </c>
      <c r="Z161" s="19">
        <f>('[1]Short Spot'!Z162-'[1]Short Spot'!Z161)*100</f>
        <v>1.6063466473048571</v>
      </c>
      <c r="AA161" s="19">
        <f>('[1]Short Spot'!AA162-'[1]Short Spot'!AA161)*100</f>
        <v>1.6032755393184495</v>
      </c>
      <c r="AB161" s="19">
        <f>('[1]Short Spot'!AB162-'[1]Short Spot'!AB161)*100</f>
        <v>1.5966112832435542</v>
      </c>
      <c r="AC161" s="19">
        <f>('[1]Short Spot'!AC162-'[1]Short Spot'!AC161)*100</f>
        <v>1.5867585929659533</v>
      </c>
      <c r="AD161" s="19">
        <f>('[1]Short Spot'!AD162-'[1]Short Spot'!AD161)*100</f>
        <v>1.5740644585799934</v>
      </c>
      <c r="AE161" s="19">
        <f>('[1]Short Spot'!AE162-'[1]Short Spot'!AE161)*100</f>
        <v>1.5588300688133216</v>
      </c>
      <c r="AF161" s="19">
        <f>('[1]Short Spot'!AF162-'[1]Short Spot'!AF161)*100</f>
        <v>1.5413177184580462</v>
      </c>
      <c r="AG161" s="19">
        <f>('[1]Short Spot'!AG162-'[1]Short Spot'!AG161)*100</f>
        <v>1.5217568354942479</v>
      </c>
      <c r="AH161" s="19">
        <f>('[1]Short Spot'!AH162-'[1]Short Spot'!AH161)*100</f>
        <v>1.5003489609112464</v>
      </c>
      <c r="AI161" s="19">
        <f>('[1]Short Spot'!AI162-'[1]Short Spot'!AI161)*100</f>
        <v>1.4772719678102675</v>
      </c>
      <c r="AJ161" s="19">
        <f>('[1]Short Spot'!AJ162-'[1]Short Spot'!AJ161)*100</f>
        <v>1.4526861103774991</v>
      </c>
      <c r="AK161" s="19">
        <f>('[1]Short Spot'!AK162-'[1]Short Spot'!AK161)*100</f>
        <v>1.426737424374469</v>
      </c>
      <c r="AL161" s="19">
        <f>('[1]Short Spot'!AL162-'[1]Short Spot'!AL161)*100</f>
        <v>1.3995578094746719</v>
      </c>
      <c r="AM161" s="19">
        <f>('[1]Short Spot'!AM162-'[1]Short Spot'!AM161)*100</f>
        <v>1.3712668014384199</v>
      </c>
      <c r="AN161" s="19">
        <f>('[1]Short Spot'!AN162-'[1]Short Spot'!AN161)*100</f>
        <v>1.3419731575758043</v>
      </c>
      <c r="AO161" s="19">
        <f>('[1]Short Spot'!AO162-'[1]Short Spot'!AO161)*100</f>
        <v>1.3117765223240596</v>
      </c>
      <c r="AP161" s="19">
        <f>('[1]Short Spot'!AP162-'[1]Short Spot'!AP161)*100</f>
        <v>1.2807691965476486</v>
      </c>
      <c r="AQ161" s="19">
        <f>('[1]Short Spot'!AQ162-'[1]Short Spot'!AQ161)*100</f>
        <v>1.2490364130453457</v>
      </c>
      <c r="AR161" s="19">
        <f>('[1]Short Spot'!AR162-'[1]Short Spot'!AR161)*100</f>
        <v>1.2166570204425575</v>
      </c>
      <c r="AS161" s="19">
        <f>('[1]Short Spot'!AS162-'[1]Short Spot'!AS161)*100</f>
        <v>1.1837042086653149</v>
      </c>
      <c r="AT161" s="19">
        <f>('[1]Short Spot'!AT162-'[1]Short Spot'!AT161)*100</f>
        <v>1.1502461376857731</v>
      </c>
      <c r="AU161" s="19">
        <f>('[1]Short Spot'!AU162-'[1]Short Spot'!AU161)*100</f>
        <v>1.1163464842547377</v>
      </c>
      <c r="AV161" s="19">
        <f>('[1]Short Spot'!AV162-'[1]Short Spot'!AV161)*100</f>
        <v>1.0820649210010025</v>
      </c>
      <c r="AW161" s="19">
        <f>('[1]Short Spot'!AW162-'[1]Short Spot'!AW161)*100</f>
        <v>1.0474574696320182</v>
      </c>
      <c r="AX161" s="19">
        <f>('[1]Short Spot'!AX162-'[1]Short Spot'!AX161)*100</f>
        <v>1.0125765793366881</v>
      </c>
      <c r="AY161" s="19">
        <f>('[1]Short Spot'!AY162-'[1]Short Spot'!AY161)*100</f>
        <v>0.97747137703683151</v>
      </c>
      <c r="AZ161" s="19">
        <f>('[1]Short Spot'!AZ162-'[1]Short Spot'!AZ161)*100</f>
        <v>0.94218799194800695</v>
      </c>
      <c r="BA161" s="19">
        <f>('[1]Short Spot'!BA162-'[1]Short Spot'!BA161)*100</f>
        <v>0.9067698438204097</v>
      </c>
      <c r="BB161" s="19">
        <f>('[1]Short Spot'!BB162-'[1]Short Spot'!BB161)*100</f>
        <v>0.87125789854844982</v>
      </c>
      <c r="BC161" s="19">
        <f>('[1]Short Spot'!BC162-'[1]Short Spot'!BC161)*100</f>
        <v>0.83569089537984809</v>
      </c>
      <c r="BD161" s="19">
        <f>('[1]Short Spot'!BD162-'[1]Short Spot'!BD161)*100</f>
        <v>0.80010553257503503</v>
      </c>
      <c r="BE161" s="19">
        <f>('[1]Short Spot'!BE162-'[1]Short Spot'!BE161)*100</f>
        <v>0.76453652993855314</v>
      </c>
      <c r="BF161" s="19">
        <f>('[1]Short Spot'!BF162-'[1]Short Spot'!BF161)*100</f>
        <v>0.72901678900958444</v>
      </c>
      <c r="BG161" s="19">
        <f>('[1]Short Spot'!BG162-'[1]Short Spot'!BG161)*100</f>
        <v>0.69357758439023698</v>
      </c>
      <c r="BH161" s="19">
        <f>('[1]Short Spot'!BH162-'[1]Short Spot'!BH161)*100</f>
        <v>0.65824898185669056</v>
      </c>
      <c r="BI161" s="19">
        <f>('[1]Short Spot'!BI162-'[1]Short Spot'!BI161)*100</f>
        <v>0.62306013051127707</v>
      </c>
    </row>
    <row r="162" spans="1:61" x14ac:dyDescent="0.2">
      <c r="A162" s="18">
        <v>39315</v>
      </c>
      <c r="B162" s="19">
        <f>('[1]Short Spot'!B163-'[1]Short Spot'!B162)*100</f>
        <v>-2.2395304897758095</v>
      </c>
      <c r="C162" s="19">
        <f>('[1]Short Spot'!C163-'[1]Short Spot'!C162)*100</f>
        <v>-2.8435639001565427</v>
      </c>
      <c r="D162" s="19">
        <f>('[1]Short Spot'!D163-'[1]Short Spot'!D162)*100</f>
        <v>-4.017666374018436</v>
      </c>
      <c r="E162" s="19">
        <f>('[1]Short Spot'!E163-'[1]Short Spot'!E162)*100</f>
        <v>-4.6287220001337559</v>
      </c>
      <c r="F162" s="19">
        <f>('[1]Short Spot'!F163-'[1]Short Spot'!F162)*100</f>
        <v>-4.7858508819981438</v>
      </c>
      <c r="G162" s="19">
        <f>('[1]Short Spot'!G163-'[1]Short Spot'!G162)*100</f>
        <v>-4.7420260653117552</v>
      </c>
      <c r="H162" s="19">
        <f>('[1]Short Spot'!H163-'[1]Short Spot'!H162)*100</f>
        <v>-4.6970835401173083</v>
      </c>
      <c r="I162" s="19">
        <f>('[1]Short Spot'!I163-'[1]Short Spot'!I162)*100</f>
        <v>-4.7411377144941369</v>
      </c>
      <c r="J162" s="19">
        <f>('[1]Short Spot'!J163-'[1]Short Spot'!J162)*100</f>
        <v>-4.8830045464586469</v>
      </c>
      <c r="K162" s="19">
        <f>('[1]Short Spot'!K163-'[1]Short Spot'!K162)*100</f>
        <v>-5.104947853566788</v>
      </c>
      <c r="L162" s="19">
        <f>('[1]Short Spot'!L163-'[1]Short Spot'!L162)*100</f>
        <v>-5.3817265654779511</v>
      </c>
      <c r="M162" s="19">
        <f>('[1]Short Spot'!M163-'[1]Short Spot'!M162)*100</f>
        <v>-5.690006676887549</v>
      </c>
      <c r="N162" s="19">
        <f>('[1]Short Spot'!N163-'[1]Short Spot'!N162)*100</f>
        <v>-6.0084820949923845</v>
      </c>
      <c r="O162" s="19">
        <f>('[1]Short Spot'!O163-'[1]Short Spot'!O162)*100</f>
        <v>-6.3206851325317892</v>
      </c>
      <c r="P162" s="19">
        <f>('[1]Short Spot'!P163-'[1]Short Spot'!P162)*100</f>
        <v>-6.6168098694210364</v>
      </c>
      <c r="Q162" s="19">
        <f>('[1]Short Spot'!Q163-'[1]Short Spot'!Q162)*100</f>
        <v>-6.8913667571259829</v>
      </c>
      <c r="R162" s="19">
        <f>('[1]Short Spot'!R163-'[1]Short Spot'!R162)*100</f>
        <v>-7.1415762924007531</v>
      </c>
      <c r="S162" s="19">
        <f>('[1]Short Spot'!S163-'[1]Short Spot'!S162)*100</f>
        <v>-7.3666027028914449</v>
      </c>
      <c r="T162" s="19">
        <f>('[1]Short Spot'!T163-'[1]Short Spot'!T162)*100</f>
        <v>-7.5670337171496627</v>
      </c>
      <c r="U162" s="19">
        <f>('[1]Short Spot'!U163-'[1]Short Spot'!U162)*100</f>
        <v>-7.7442485017441776</v>
      </c>
      <c r="V162" s="19">
        <f>('[1]Short Spot'!V163-'[1]Short Spot'!V162)*100</f>
        <v>-7.8997422178002097</v>
      </c>
      <c r="W162" s="19">
        <f>('[1]Short Spot'!W163-'[1]Short Spot'!W162)*100</f>
        <v>-8.0350249293006826</v>
      </c>
      <c r="X162" s="19">
        <f>('[1]Short Spot'!X163-'[1]Short Spot'!X162)*100</f>
        <v>-8.1516191397534854</v>
      </c>
      <c r="Y162" s="19">
        <f>('[1]Short Spot'!Y163-'[1]Short Spot'!Y162)*100</f>
        <v>-8.2510572006223803</v>
      </c>
      <c r="Z162" s="19">
        <f>('[1]Short Spot'!Z163-'[1]Short Spot'!Z162)*100</f>
        <v>-8.3348793412516109</v>
      </c>
      <c r="AA162" s="19">
        <f>('[1]Short Spot'!AA163-'[1]Short Spot'!AA162)*100</f>
        <v>-8.4046161334748071</v>
      </c>
      <c r="AB162" s="19">
        <f>('[1]Short Spot'!AB163-'[1]Short Spot'!AB162)*100</f>
        <v>-8.4616905819647315</v>
      </c>
      <c r="AC162" s="19">
        <f>('[1]Short Spot'!AC163-'[1]Short Spot'!AC162)*100</f>
        <v>-8.5073841870326739</v>
      </c>
      <c r="AD162" s="19">
        <f>('[1]Short Spot'!AD163-'[1]Short Spot'!AD162)*100</f>
        <v>-8.5428533587602828</v>
      </c>
      <c r="AE162" s="19">
        <f>('[1]Short Spot'!AE163-'[1]Short Spot'!AE162)*100</f>
        <v>-8.5691328755454599</v>
      </c>
      <c r="AF162" s="19">
        <f>('[1]Short Spot'!AF163-'[1]Short Spot'!AF162)*100</f>
        <v>-8.5871514574995089</v>
      </c>
      <c r="AG162" s="19">
        <f>('[1]Short Spot'!AG163-'[1]Short Spot'!AG162)*100</f>
        <v>-8.5977483314606751</v>
      </c>
      <c r="AH162" s="19">
        <f>('[1]Short Spot'!AH163-'[1]Short Spot'!AH162)*100</f>
        <v>-8.6016867905802208</v>
      </c>
      <c r="AI162" s="19">
        <f>('[1]Short Spot'!AI163-'[1]Short Spot'!AI162)*100</f>
        <v>-8.5996651328732021</v>
      </c>
      <c r="AJ162" s="19">
        <f>('[1]Short Spot'!AJ163-'[1]Short Spot'!AJ162)*100</f>
        <v>-8.5923185902728072</v>
      </c>
      <c r="AK162" s="19">
        <f>('[1]Short Spot'!AK163-'[1]Short Spot'!AK162)*100</f>
        <v>-8.5802155862514162</v>
      </c>
      <c r="AL162" s="19">
        <f>('[1]Short Spot'!AL163-'[1]Short Spot'!AL162)*100</f>
        <v>-8.5638652648861502</v>
      </c>
      <c r="AM162" s="19">
        <f>('[1]Short Spot'!AM163-'[1]Short Spot'!AM162)*100</f>
        <v>-8.5437253334234242</v>
      </c>
      <c r="AN162" s="19">
        <f>('[1]Short Spot'!AN163-'[1]Short Spot'!AN162)*100</f>
        <v>-8.52020865594314</v>
      </c>
      <c r="AO162" s="19">
        <f>('[1]Short Spot'!AO163-'[1]Short Spot'!AO162)*100</f>
        <v>-8.4936883400709817</v>
      </c>
      <c r="AP162" s="19">
        <f>('[1]Short Spot'!AP163-'[1]Short Spot'!AP162)*100</f>
        <v>-8.4645007914097015</v>
      </c>
      <c r="AQ162" s="19">
        <f>('[1]Short Spot'!AQ163-'[1]Short Spot'!AQ162)*100</f>
        <v>-8.4329498972759431</v>
      </c>
      <c r="AR162" s="19">
        <f>('[1]Short Spot'!AR163-'[1]Short Spot'!AR162)*100</f>
        <v>-8.3993108892562063</v>
      </c>
      <c r="AS162" s="19">
        <f>('[1]Short Spot'!AS163-'[1]Short Spot'!AS162)*100</f>
        <v>-8.3638335995404489</v>
      </c>
      <c r="AT162" s="19">
        <f>('[1]Short Spot'!AT163-'[1]Short Spot'!AT162)*100</f>
        <v>-8.3267452830775746</v>
      </c>
      <c r="AU162" s="19">
        <f>('[1]Short Spot'!AU163-'[1]Short Spot'!AU162)*100</f>
        <v>-8.2882530716217317</v>
      </c>
      <c r="AV162" s="19">
        <f>('[1]Short Spot'!AV163-'[1]Short Spot'!AV162)*100</f>
        <v>-8.2485460958838352</v>
      </c>
      <c r="AW162" s="19">
        <f>('[1]Short Spot'!AW163-'[1]Short Spot'!AW162)*100</f>
        <v>-8.2077969310700993</v>
      </c>
      <c r="AX162" s="19">
        <f>('[1]Short Spot'!AX163-'[1]Short Spot'!AX162)*100</f>
        <v>-8.166162609056471</v>
      </c>
      <c r="AY162" s="19">
        <f>('[1]Short Spot'!AY163-'[1]Short Spot'!AY162)*100</f>
        <v>-8.123786070403316</v>
      </c>
      <c r="AZ162" s="19">
        <f>('[1]Short Spot'!AZ163-'[1]Short Spot'!AZ162)*100</f>
        <v>-8.080797546041385</v>
      </c>
      <c r="BA162" s="19">
        <f>('[1]Short Spot'!BA163-'[1]Short Spot'!BA162)*100</f>
        <v>-8.0373157793516725</v>
      </c>
      <c r="BB162" s="19">
        <f>('[1]Short Spot'!BB163-'[1]Short Spot'!BB162)*100</f>
        <v>-7.9934491098962113</v>
      </c>
      <c r="BC162" s="19">
        <f>('[1]Short Spot'!BC163-'[1]Short Spot'!BC162)*100</f>
        <v>-7.9492964367342545</v>
      </c>
      <c r="BD162" s="19">
        <f>('[1]Short Spot'!BD163-'[1]Short Spot'!BD162)*100</f>
        <v>-7.9049480759532109</v>
      </c>
      <c r="BE162" s="19">
        <f>('[1]Short Spot'!BE163-'[1]Short Spot'!BE162)*100</f>
        <v>-7.860486359559804</v>
      </c>
      <c r="BF162" s="19">
        <f>('[1]Short Spot'!BF163-'[1]Short Spot'!BF162)*100</f>
        <v>-7.8159859884466165</v>
      </c>
      <c r="BG162" s="19">
        <f>('[1]Short Spot'!BG163-'[1]Short Spot'!BG162)*100</f>
        <v>-7.771514613007291</v>
      </c>
      <c r="BH162" s="19">
        <f>('[1]Short Spot'!BH163-'[1]Short Spot'!BH162)*100</f>
        <v>-7.7271331914844588</v>
      </c>
      <c r="BI162" s="19">
        <f>('[1]Short Spot'!BI163-'[1]Short Spot'!BI162)*100</f>
        <v>-7.6828965040149022</v>
      </c>
    </row>
    <row r="163" spans="1:61" x14ac:dyDescent="0.2">
      <c r="A163" s="18">
        <v>39316</v>
      </c>
      <c r="B163" s="19">
        <f>('[1]Short Spot'!B164-'[1]Short Spot'!B163)*100</f>
        <v>-2.550714059745296</v>
      </c>
      <c r="C163" s="19">
        <f>('[1]Short Spot'!C164-'[1]Short Spot'!C163)*100</f>
        <v>-1.4247400647956709</v>
      </c>
      <c r="D163" s="19">
        <f>('[1]Short Spot'!D164-'[1]Short Spot'!D163)*100</f>
        <v>-0.25146884712725637</v>
      </c>
      <c r="E163" s="19">
        <f>('[1]Short Spot'!E164-'[1]Short Spot'!E163)*100</f>
        <v>0.45380876953320382</v>
      </c>
      <c r="F163" s="19">
        <f>('[1]Short Spot'!F164-'[1]Short Spot'!F163)*100</f>
        <v>0.81923020771794697</v>
      </c>
      <c r="G163" s="19">
        <f>('[1]Short Spot'!G164-'[1]Short Spot'!G163)*100</f>
        <v>1.0488337778995493</v>
      </c>
      <c r="H163" s="19">
        <f>('[1]Short Spot'!H164-'[1]Short Spot'!H163)*100</f>
        <v>1.2863622882120396</v>
      </c>
      <c r="I163" s="19">
        <f>('[1]Short Spot'!I164-'[1]Short Spot'!I163)*100</f>
        <v>1.6079838018440817</v>
      </c>
      <c r="J163" s="19">
        <f>('[1]Short Spot'!J164-'[1]Short Spot'!J163)*100</f>
        <v>2.0270528386189035</v>
      </c>
      <c r="K163" s="19">
        <f>('[1]Short Spot'!K164-'[1]Short Spot'!K163)*100</f>
        <v>2.5267531633840434</v>
      </c>
      <c r="L163" s="19">
        <f>('[1]Short Spot'!L164-'[1]Short Spot'!L163)*100</f>
        <v>3.0807801258832868</v>
      </c>
      <c r="M163" s="19">
        <f>('[1]Short Spot'!M164-'[1]Short Spot'!M163)*100</f>
        <v>3.6637302329243226</v>
      </c>
      <c r="N163" s="19">
        <f>('[1]Short Spot'!N164-'[1]Short Spot'!N163)*100</f>
        <v>4.2516521587524281</v>
      </c>
      <c r="O163" s="19">
        <f>('[1]Short Spot'!O164-'[1]Short Spot'!O163)*100</f>
        <v>4.8254033585966027</v>
      </c>
      <c r="P163" s="19">
        <f>('[1]Short Spot'!P164-'[1]Short Spot'!P163)*100</f>
        <v>5.3728847312895844</v>
      </c>
      <c r="Q163" s="19">
        <f>('[1]Short Spot'!Q164-'[1]Short Spot'!Q163)*100</f>
        <v>5.8870395351809712</v>
      </c>
      <c r="R163" s="19">
        <f>('[1]Short Spot'!R164-'[1]Short Spot'!R163)*100</f>
        <v>6.3643143452221551</v>
      </c>
      <c r="S163" s="19">
        <f>('[1]Short Spot'!S164-'[1]Short Spot'!S163)*100</f>
        <v>6.8036854181386275</v>
      </c>
      <c r="T163" s="19">
        <f>('[1]Short Spot'!T164-'[1]Short Spot'!T163)*100</f>
        <v>7.2059923942004112</v>
      </c>
      <c r="U163" s="19">
        <f>('[1]Short Spot'!U164-'[1]Short Spot'!U163)*100</f>
        <v>7.5732703654348477</v>
      </c>
      <c r="V163" s="19">
        <f>('[1]Short Spot'!V164-'[1]Short Spot'!V163)*100</f>
        <v>7.9077957608769012</v>
      </c>
      <c r="W163" s="19">
        <f>('[1]Short Spot'!W164-'[1]Short Spot'!W163)*100</f>
        <v>8.2118080956279371</v>
      </c>
      <c r="X163" s="19">
        <f>('[1]Short Spot'!X164-'[1]Short Spot'!X163)*100</f>
        <v>8.4875153023976857</v>
      </c>
      <c r="Y163" s="19">
        <f>('[1]Short Spot'!Y164-'[1]Short Spot'!Y163)*100</f>
        <v>8.7371003111668344</v>
      </c>
      <c r="Z163" s="19">
        <f>('[1]Short Spot'!Z164-'[1]Short Spot'!Z163)*100</f>
        <v>8.9627260518351903</v>
      </c>
      <c r="AA163" s="19">
        <f>('[1]Short Spot'!AA164-'[1]Short Spot'!AA163)*100</f>
        <v>9.1665326151306736</v>
      </c>
      <c r="AB163" s="19">
        <f>('[1]Short Spot'!AB164-'[1]Short Spot'!AB163)*100</f>
        <v>9.350532658920141</v>
      </c>
      <c r="AC163" s="19">
        <f>('[1]Short Spot'!AC164-'[1]Short Spot'!AC163)*100</f>
        <v>9.5165113995992812</v>
      </c>
      <c r="AD163" s="19">
        <f>('[1]Short Spot'!AD164-'[1]Short Spot'!AD163)*100</f>
        <v>9.6660542632825752</v>
      </c>
      <c r="AE163" s="19">
        <f>('[1]Short Spot'!AE164-'[1]Short Spot'!AE163)*100</f>
        <v>9.8005764697361997</v>
      </c>
      <c r="AF163" s="19">
        <f>('[1]Short Spot'!AF164-'[1]Short Spot'!AF163)*100</f>
        <v>9.9213479262322934</v>
      </c>
      <c r="AG163" s="19">
        <f>('[1]Short Spot'!AG164-'[1]Short Spot'!AG163)*100</f>
        <v>10.02951586748333</v>
      </c>
      <c r="AH163" s="19">
        <f>('[1]Short Spot'!AH164-'[1]Short Spot'!AH163)*100</f>
        <v>10.126123442393098</v>
      </c>
      <c r="AI163" s="19">
        <f>('[1]Short Spot'!AI164-'[1]Short Spot'!AI163)*100</f>
        <v>10.212125090471069</v>
      </c>
      <c r="AJ163" s="19">
        <f>('[1]Short Spot'!AJ164-'[1]Short Spot'!AJ163)*100</f>
        <v>10.288396613532313</v>
      </c>
      <c r="AK163" s="19">
        <f>('[1]Short Spot'!AK164-'[1]Short Spot'!AK163)*100</f>
        <v>10.355732558869768</v>
      </c>
      <c r="AL163" s="19">
        <f>('[1]Short Spot'!AL164-'[1]Short Spot'!AL163)*100</f>
        <v>10.414851527137081</v>
      </c>
      <c r="AM163" s="19">
        <f>('[1]Short Spot'!AM164-'[1]Short Spot'!AM163)*100</f>
        <v>10.466406072254486</v>
      </c>
      <c r="AN163" s="19">
        <f>('[1]Short Spot'!AN164-'[1]Short Spot'!AN163)*100</f>
        <v>10.510991170034867</v>
      </c>
      <c r="AO163" s="19">
        <f>('[1]Short Spot'!AO164-'[1]Short Spot'!AO163)*100</f>
        <v>10.549151377391919</v>
      </c>
      <c r="AP163" s="19">
        <f>('[1]Short Spot'!AP164-'[1]Short Spot'!AP163)*100</f>
        <v>10.581384881755795</v>
      </c>
      <c r="AQ163" s="19">
        <f>('[1]Short Spot'!AQ164-'[1]Short Spot'!AQ163)*100</f>
        <v>10.608146628662141</v>
      </c>
      <c r="AR163" s="19">
        <f>('[1]Short Spot'!AR164-'[1]Short Spot'!AR163)*100</f>
        <v>10.629853149110513</v>
      </c>
      <c r="AS163" s="19">
        <f>('[1]Short Spot'!AS164-'[1]Short Spot'!AS163)*100</f>
        <v>10.646886924852073</v>
      </c>
      <c r="AT163" s="19">
        <f>('[1]Short Spot'!AT164-'[1]Short Spot'!AT163)*100</f>
        <v>10.659600171640093</v>
      </c>
      <c r="AU163" s="19">
        <f>('[1]Short Spot'!AU164-'[1]Short Spot'!AU163)*100</f>
        <v>10.668318129011389</v>
      </c>
      <c r="AV163" s="19">
        <f>('[1]Short Spot'!AV164-'[1]Short Spot'!AV163)*100</f>
        <v>10.673341911926837</v>
      </c>
      <c r="AW163" s="19">
        <f>('[1]Short Spot'!AW164-'[1]Short Spot'!AW163)*100</f>
        <v>10.674950380227433</v>
      </c>
      <c r="AX163" s="19">
        <f>('[1]Short Spot'!AX164-'[1]Short Spot'!AX163)*100</f>
        <v>10.673401079814937</v>
      </c>
      <c r="AY163" s="19">
        <f>('[1]Short Spot'!AY164-'[1]Short Spot'!AY163)*100</f>
        <v>10.668932082897697</v>
      </c>
      <c r="AZ163" s="19">
        <f>('[1]Short Spot'!AZ164-'[1]Short Spot'!AZ163)*100</f>
        <v>10.661763896091436</v>
      </c>
      <c r="BA163" s="19">
        <f>('[1]Short Spot'!BA164-'[1]Short Spot'!BA163)*100</f>
        <v>10.65210114941717</v>
      </c>
      <c r="BB163" s="19">
        <f>('[1]Short Spot'!BB164-'[1]Short Spot'!BB163)*100</f>
        <v>10.64013409409359</v>
      </c>
      <c r="BC163" s="19">
        <f>('[1]Short Spot'!BC164-'[1]Short Spot'!BC163)*100</f>
        <v>10.626039933907538</v>
      </c>
      <c r="BD163" s="19">
        <f>('[1]Short Spot'!BD164-'[1]Short Spot'!BD163)*100</f>
        <v>10.609983981501614</v>
      </c>
      <c r="BE163" s="19">
        <f>('[1]Short Spot'!BE164-'[1]Short Spot'!BE163)*100</f>
        <v>10.5921204659289</v>
      </c>
      <c r="BF163" s="19">
        <f>('[1]Short Spot'!BF164-'[1]Short Spot'!BF163)*100</f>
        <v>10.572593336930769</v>
      </c>
      <c r="BG163" s="19">
        <f>('[1]Short Spot'!BG164-'[1]Short Spot'!BG163)*100</f>
        <v>10.551537167295244</v>
      </c>
      <c r="BH163" s="19">
        <f>('[1]Short Spot'!BH164-'[1]Short Spot'!BH163)*100</f>
        <v>10.5290782178451</v>
      </c>
      <c r="BI163" s="19">
        <f>('[1]Short Spot'!BI164-'[1]Short Spot'!BI163)*100</f>
        <v>10.505335154094553</v>
      </c>
    </row>
    <row r="164" spans="1:61" x14ac:dyDescent="0.2">
      <c r="A164" s="18">
        <v>39317</v>
      </c>
      <c r="B164" s="19">
        <f>('[1]Short Spot'!B165-'[1]Short Spot'!B164)*100</f>
        <v>-1.7650231571719743</v>
      </c>
      <c r="C164" s="19">
        <f>('[1]Short Spot'!C165-'[1]Short Spot'!C164)*100</f>
        <v>-0.71089350320967526</v>
      </c>
      <c r="D164" s="19">
        <f>('[1]Short Spot'!D165-'[1]Short Spot'!D164)*100</f>
        <v>2.8836445945490397E-2</v>
      </c>
      <c r="E164" s="19">
        <f>('[1]Short Spot'!E165-'[1]Short Spot'!E164)*100</f>
        <v>0.81258256903131709</v>
      </c>
      <c r="F164" s="19">
        <f>('[1]Short Spot'!F165-'[1]Short Spot'!F164)*100</f>
        <v>1.6277704786362257</v>
      </c>
      <c r="G164" s="19">
        <f>('[1]Short Spot'!G165-'[1]Short Spot'!G164)*100</f>
        <v>2.3837746014097938</v>
      </c>
      <c r="H164" s="19">
        <f>('[1]Short Spot'!H165-'[1]Short Spot'!H164)*100</f>
        <v>2.969533829288995</v>
      </c>
      <c r="I164" s="19">
        <f>('[1]Short Spot'!I165-'[1]Short Spot'!I164)*100</f>
        <v>3.3416167244026518</v>
      </c>
      <c r="J164" s="19">
        <f>('[1]Short Spot'!J165-'[1]Short Spot'!J164)*100</f>
        <v>3.517438444874621</v>
      </c>
      <c r="K164" s="19">
        <f>('[1]Short Spot'!K165-'[1]Short Spot'!K164)*100</f>
        <v>3.5313258623924426</v>
      </c>
      <c r="L164" s="19">
        <f>('[1]Short Spot'!L165-'[1]Short Spot'!L164)*100</f>
        <v>3.4202712134211666</v>
      </c>
      <c r="M164" s="19">
        <f>('[1]Short Spot'!M165-'[1]Short Spot'!M164)*100</f>
        <v>3.2168842182955792</v>
      </c>
      <c r="N164" s="19">
        <f>('[1]Short Spot'!N165-'[1]Short Spot'!N164)*100</f>
        <v>2.9507268679972221</v>
      </c>
      <c r="O164" s="19">
        <f>('[1]Short Spot'!O165-'[1]Short Spot'!O164)*100</f>
        <v>2.6482004337835541</v>
      </c>
      <c r="P164" s="19">
        <f>('[1]Short Spot'!P165-'[1]Short Spot'!P164)*100</f>
        <v>2.3293666466787322</v>
      </c>
      <c r="Q164" s="19">
        <f>('[1]Short Spot'!Q165-'[1]Short Spot'!Q164)*100</f>
        <v>2.0080789217623796</v>
      </c>
      <c r="R164" s="19">
        <f>('[1]Short Spot'!R165-'[1]Short Spot'!R164)*100</f>
        <v>1.6933794070853381</v>
      </c>
      <c r="S164" s="19">
        <f>('[1]Short Spot'!S165-'[1]Short Spot'!S164)*100</f>
        <v>1.3908260697966135</v>
      </c>
      <c r="T164" s="19">
        <f>('[1]Short Spot'!T165-'[1]Short Spot'!T164)*100</f>
        <v>1.1034219543979873</v>
      </c>
      <c r="U164" s="19">
        <f>('[1]Short Spot'!U165-'[1]Short Spot'!U164)*100</f>
        <v>0.83255839945985954</v>
      </c>
      <c r="V164" s="19">
        <f>('[1]Short Spot'!V165-'[1]Short Spot'!V164)*100</f>
        <v>0.57886934894746389</v>
      </c>
      <c r="W164" s="19">
        <f>('[1]Short Spot'!W165-'[1]Short Spot'!W164)*100</f>
        <v>0.34246577551604318</v>
      </c>
      <c r="X164" s="19">
        <f>('[1]Short Spot'!X165-'[1]Short Spot'!X164)*100</f>
        <v>0.12304885101865892</v>
      </c>
      <c r="Y164" s="19">
        <f>('[1]Short Spot'!Y165-'[1]Short Spot'!Y164)*100</f>
        <v>-8.000467832465219E-2</v>
      </c>
      <c r="Z164" s="19">
        <f>('[1]Short Spot'!Z165-'[1]Short Spot'!Z164)*100</f>
        <v>-0.267577598044344</v>
      </c>
      <c r="AA164" s="19">
        <f>('[1]Short Spot'!AA165-'[1]Short Spot'!AA164)*100</f>
        <v>-0.44073936382602596</v>
      </c>
      <c r="AB164" s="19">
        <f>('[1]Short Spot'!AB165-'[1]Short Spot'!AB164)*100</f>
        <v>-0.60058130654532249</v>
      </c>
      <c r="AC164" s="19">
        <f>('[1]Short Spot'!AC165-'[1]Short Spot'!AC164)*100</f>
        <v>-0.74814322403824463</v>
      </c>
      <c r="AD164" s="19">
        <f>('[1]Short Spot'!AD165-'[1]Short Spot'!AD164)*100</f>
        <v>-0.88440772506368504</v>
      </c>
      <c r="AE164" s="19">
        <f>('[1]Short Spot'!AE165-'[1]Short Spot'!AE164)*100</f>
        <v>-1.0102835001528199</v>
      </c>
      <c r="AF164" s="19">
        <f>('[1]Short Spot'!AF165-'[1]Short Spot'!AF164)*100</f>
        <v>-1.1266117975428536</v>
      </c>
      <c r="AG164" s="19">
        <f>('[1]Short Spot'!AG165-'[1]Short Spot'!AG164)*100</f>
        <v>-1.2341769544380377</v>
      </c>
      <c r="AH164" s="19">
        <f>('[1]Short Spot'!AH165-'[1]Short Spot'!AH164)*100</f>
        <v>-1.333715019893944</v>
      </c>
      <c r="AI164" s="19">
        <f>('[1]Short Spot'!AI165-'[1]Short Spot'!AI164)*100</f>
        <v>-1.4259204327261799</v>
      </c>
      <c r="AJ164" s="19">
        <f>('[1]Short Spot'!AJ165-'[1]Short Spot'!AJ164)*100</f>
        <v>-1.5114402238991964</v>
      </c>
      <c r="AK164" s="19">
        <f>('[1]Short Spot'!AK165-'[1]Short Spot'!AK164)*100</f>
        <v>-1.590860776340719</v>
      </c>
      <c r="AL164" s="19">
        <f>('[1]Short Spot'!AL165-'[1]Short Spot'!AL164)*100</f>
        <v>-1.6647130044859182</v>
      </c>
      <c r="AM164" s="19">
        <f>('[1]Short Spot'!AM165-'[1]Short Spot'!AM164)*100</f>
        <v>-1.7334796721444334</v>
      </c>
      <c r="AN164" s="19">
        <f>('[1]Short Spot'!AN165-'[1]Short Spot'!AN164)*100</f>
        <v>-1.7976015628784481</v>
      </c>
      <c r="AO164" s="19">
        <f>('[1]Short Spot'!AO165-'[1]Short Spot'!AO164)*100</f>
        <v>-1.8574817713170155</v>
      </c>
      <c r="AP164" s="19">
        <f>('[1]Short Spot'!AP165-'[1]Short Spot'!AP164)*100</f>
        <v>-1.913486477054871</v>
      </c>
      <c r="AQ164" s="19">
        <f>('[1]Short Spot'!AQ165-'[1]Short Spot'!AQ164)*100</f>
        <v>-1.9659479649936529</v>
      </c>
      <c r="AR164" s="19">
        <f>('[1]Short Spot'!AR165-'[1]Short Spot'!AR164)*100</f>
        <v>-2.015168574793158</v>
      </c>
      <c r="AS164" s="19">
        <f>('[1]Short Spot'!AS165-'[1]Short Spot'!AS164)*100</f>
        <v>-2.0614241037382186</v>
      </c>
      <c r="AT164" s="19">
        <f>('[1]Short Spot'!AT165-'[1]Short Spot'!AT164)*100</f>
        <v>-2.1049667558930452</v>
      </c>
      <c r="AU164" s="19">
        <f>('[1]Short Spot'!AU165-'[1]Short Spot'!AU164)*100</f>
        <v>-2.1460277065807887</v>
      </c>
      <c r="AV164" s="19">
        <f>('[1]Short Spot'!AV165-'[1]Short Spot'!AV164)*100</f>
        <v>-2.184819287517481</v>
      </c>
      <c r="AW164" s="19">
        <f>('[1]Short Spot'!AW165-'[1]Short Spot'!AW164)*100</f>
        <v>-2.2215358326620915</v>
      </c>
      <c r="AX164" s="19">
        <f>('[1]Short Spot'!AX165-'[1]Short Spot'!AX164)*100</f>
        <v>-2.2563537655983623</v>
      </c>
      <c r="AY164" s="19">
        <f>('[1]Short Spot'!AY165-'[1]Short Spot'!AY164)*100</f>
        <v>-2.289433111281447</v>
      </c>
      <c r="AZ164" s="19">
        <f>('[1]Short Spot'!AZ165-'[1]Short Spot'!AZ164)*100</f>
        <v>-2.3209191035443943</v>
      </c>
      <c r="BA164" s="19">
        <f>('[1]Short Spot'!BA165-'[1]Short Spot'!BA164)*100</f>
        <v>-2.3509436073202217</v>
      </c>
      <c r="BB164" s="19">
        <f>('[1]Short Spot'!BB165-'[1]Short Spot'!BB164)*100</f>
        <v>-2.3796263798592676</v>
      </c>
      <c r="BC164" s="19">
        <f>('[1]Short Spot'!BC165-'[1]Short Spot'!BC164)*100</f>
        <v>-2.4070761918111749</v>
      </c>
      <c r="BD164" s="19">
        <f>('[1]Short Spot'!BD165-'[1]Short Spot'!BD164)*100</f>
        <v>-2.4333918307429592</v>
      </c>
      <c r="BE164" s="19">
        <f>('[1]Short Spot'!BE165-'[1]Short Spot'!BE164)*100</f>
        <v>-2.4586628911094088</v>
      </c>
      <c r="BF164" s="19">
        <f>('[1]Short Spot'!BF165-'[1]Short Spot'!BF164)*100</f>
        <v>-2.4829703422624583</v>
      </c>
      <c r="BG164" s="19">
        <f>('[1]Short Spot'!BG165-'[1]Short Spot'!BG164)*100</f>
        <v>-2.5063872046998448</v>
      </c>
      <c r="BH164" s="19">
        <f>('[1]Short Spot'!BH165-'[1]Short Spot'!BH164)*100</f>
        <v>-2.5289787300116551</v>
      </c>
      <c r="BI164" s="19">
        <f>('[1]Short Spot'!BI165-'[1]Short Spot'!BI164)*100</f>
        <v>-2.5508026528412664</v>
      </c>
    </row>
    <row r="165" spans="1:61" x14ac:dyDescent="0.2">
      <c r="A165" s="18">
        <v>39318</v>
      </c>
      <c r="B165" s="19">
        <f>('[1]Short Spot'!B166-'[1]Short Spot'!B165)*100</f>
        <v>-0.12226084571134166</v>
      </c>
      <c r="C165" s="19">
        <f>('[1]Short Spot'!C166-'[1]Short Spot'!C165)*100</f>
        <v>-0.52099741793565357</v>
      </c>
      <c r="D165" s="19">
        <f>('[1]Short Spot'!D166-'[1]Short Spot'!D165)*100</f>
        <v>-0.88028691176029739</v>
      </c>
      <c r="E165" s="19">
        <f>('[1]Short Spot'!E166-'[1]Short Spot'!E165)*100</f>
        <v>-1.3130138404073399</v>
      </c>
      <c r="F165" s="19">
        <f>('[1]Short Spot'!F166-'[1]Short Spot'!F165)*100</f>
        <v>-1.7593203839338045</v>
      </c>
      <c r="G165" s="19">
        <f>('[1]Short Spot'!G166-'[1]Short Spot'!G165)*100</f>
        <v>-2.1362370963695199</v>
      </c>
      <c r="H165" s="19">
        <f>('[1]Short Spot'!H166-'[1]Short Spot'!H165)*100</f>
        <v>-2.3898789357298611</v>
      </c>
      <c r="I165" s="19">
        <f>('[1]Short Spot'!I166-'[1]Short Spot'!I165)*100</f>
        <v>-2.5181532520167416</v>
      </c>
      <c r="J165" s="19">
        <f>('[1]Short Spot'!J166-'[1]Short Spot'!J165)*100</f>
        <v>-2.5474069369390229</v>
      </c>
      <c r="K165" s="19">
        <f>('[1]Short Spot'!K166-'[1]Short Spot'!K165)*100</f>
        <v>-2.5023627815523142</v>
      </c>
      <c r="L165" s="19">
        <f>('[1]Short Spot'!L166-'[1]Short Spot'!L165)*100</f>
        <v>-2.4017209476375534</v>
      </c>
      <c r="M165" s="19">
        <f>('[1]Short Spot'!M166-'[1]Short Spot'!M165)*100</f>
        <v>-2.2603469703370571</v>
      </c>
      <c r="N165" s="19">
        <f>('[1]Short Spot'!N166-'[1]Short Spot'!N165)*100</f>
        <v>-2.091381511868029</v>
      </c>
      <c r="O165" s="19">
        <f>('[1]Short Spot'!O166-'[1]Short Spot'!O165)*100</f>
        <v>-1.906556254945091</v>
      </c>
      <c r="P165" s="19">
        <f>('[1]Short Spot'!P166-'[1]Short Spot'!P165)*100</f>
        <v>-1.7152694391351808</v>
      </c>
      <c r="Q165" s="19">
        <f>('[1]Short Spot'!Q166-'[1]Short Spot'!Q165)*100</f>
        <v>-1.5243593323249982</v>
      </c>
      <c r="R165" s="19">
        <f>('[1]Short Spot'!R166-'[1]Short Spot'!R165)*100</f>
        <v>-1.3384536363941102</v>
      </c>
      <c r="S165" s="19">
        <f>('[1]Short Spot'!S166-'[1]Short Spot'!S165)*100</f>
        <v>-1.1605693855764265</v>
      </c>
      <c r="T165" s="19">
        <f>('[1]Short Spot'!T166-'[1]Short Spot'!T165)*100</f>
        <v>-0.99250072461964933</v>
      </c>
      <c r="U165" s="19">
        <f>('[1]Short Spot'!U166-'[1]Short Spot'!U165)*100</f>
        <v>-0.83488385499821405</v>
      </c>
      <c r="V165" s="19">
        <f>('[1]Short Spot'!V166-'[1]Short Spot'!V165)*100</f>
        <v>-0.68780389463451996</v>
      </c>
      <c r="W165" s="19">
        <f>('[1]Short Spot'!W166-'[1]Short Spot'!W165)*100</f>
        <v>-0.55115245073293906</v>
      </c>
      <c r="X165" s="19">
        <f>('[1]Short Spot'!X166-'[1]Short Spot'!X165)*100</f>
        <v>-0.42467226021880577</v>
      </c>
      <c r="Y165" s="19">
        <f>('[1]Short Spot'!Y166-'[1]Short Spot'!Y165)*100</f>
        <v>-0.30798820438082686</v>
      </c>
      <c r="Z165" s="19">
        <f>('[1]Short Spot'!Z166-'[1]Short Spot'!Z165)*100</f>
        <v>-0.2006306914843492</v>
      </c>
      <c r="AA165" s="19">
        <f>('[1]Short Spot'!AA166-'[1]Short Spot'!AA165)*100</f>
        <v>-0.10201855097271562</v>
      </c>
      <c r="AB165" s="19">
        <f>('[1]Short Spot'!AB166-'[1]Short Spot'!AB165)*100</f>
        <v>-1.1476277398436707E-2</v>
      </c>
      <c r="AC165" s="19">
        <f>('[1]Short Spot'!AC166-'[1]Short Spot'!AC165)*100</f>
        <v>7.163489269279566E-2</v>
      </c>
      <c r="AD165" s="19">
        <f>('[1]Short Spot'!AD166-'[1]Short Spot'!AD165)*100</f>
        <v>0.14791383387686707</v>
      </c>
      <c r="AE165" s="19">
        <f>('[1]Short Spot'!AE166-'[1]Short Spot'!AE165)*100</f>
        <v>0.21791276016775996</v>
      </c>
      <c r="AF165" s="19">
        <f>('[1]Short Spot'!AF166-'[1]Short Spot'!AF165)*100</f>
        <v>0.2821357843851402</v>
      </c>
      <c r="AG165" s="19">
        <f>('[1]Short Spot'!AG166-'[1]Short Spot'!AG165)*100</f>
        <v>0.34104629800335573</v>
      </c>
      <c r="AH165" s="19">
        <f>('[1]Short Spot'!AH166-'[1]Short Spot'!AH165)*100</f>
        <v>0.3950731410517605</v>
      </c>
      <c r="AI165" s="19">
        <f>('[1]Short Spot'!AI166-'[1]Short Spot'!AI165)*100</f>
        <v>0.44461687924668425</v>
      </c>
      <c r="AJ165" s="19">
        <f>('[1]Short Spot'!AJ166-'[1]Short Spot'!AJ165)*100</f>
        <v>0.49006212785407399</v>
      </c>
      <c r="AK165" s="19">
        <f>('[1]Short Spot'!AK166-'[1]Short Spot'!AK165)*100</f>
        <v>0.53176622854618216</v>
      </c>
      <c r="AL165" s="19">
        <f>('[1]Short Spot'!AL166-'[1]Short Spot'!AL165)*100</f>
        <v>0.57005332027806332</v>
      </c>
      <c r="AM165" s="19">
        <f>('[1]Short Spot'!AM166-'[1]Short Spot'!AM165)*100</f>
        <v>0.60521858588824529</v>
      </c>
      <c r="AN165" s="19">
        <f>('[1]Short Spot'!AN166-'[1]Short Spot'!AN165)*100</f>
        <v>0.63753198811209444</v>
      </c>
      <c r="AO165" s="19">
        <f>('[1]Short Spot'!AO166-'[1]Short Spot'!AO165)*100</f>
        <v>0.66724286493595741</v>
      </c>
      <c r="AP165" s="19">
        <f>('[1]Short Spot'!AP166-'[1]Short Spot'!AP165)*100</f>
        <v>0.69458164465956429</v>
      </c>
      <c r="AQ165" s="19">
        <f>('[1]Short Spot'!AQ166-'[1]Short Spot'!AQ165)*100</f>
        <v>0.7197581542578213</v>
      </c>
      <c r="AR165" s="19">
        <f>('[1]Short Spot'!AR166-'[1]Short Spot'!AR165)*100</f>
        <v>0.74296366814685655</v>
      </c>
      <c r="AS165" s="19">
        <f>('[1]Short Spot'!AS166-'[1]Short Spot'!AS165)*100</f>
        <v>0.76437301642870992</v>
      </c>
      <c r="AT165" s="19">
        <f>('[1]Short Spot'!AT166-'[1]Short Spot'!AT165)*100</f>
        <v>0.7841464120380337</v>
      </c>
      <c r="AU165" s="19">
        <f>('[1]Short Spot'!AU166-'[1]Short Spot'!AU165)*100</f>
        <v>0.80243103956458839</v>
      </c>
      <c r="AV165" s="19">
        <f>('[1]Short Spot'!AV166-'[1]Short Spot'!AV165)*100</f>
        <v>0.81936246360623244</v>
      </c>
      <c r="AW165" s="19">
        <f>('[1]Short Spot'!AW166-'[1]Short Spot'!AW165)*100</f>
        <v>0.83506550060929996</v>
      </c>
      <c r="AX165" s="19">
        <f>('[1]Short Spot'!AX166-'[1]Short Spot'!AX165)*100</f>
        <v>0.84965411894071252</v>
      </c>
      <c r="AY165" s="19">
        <f>('[1]Short Spot'!AY166-'[1]Short Spot'!AY165)*100</f>
        <v>0.86323222125548327</v>
      </c>
      <c r="AZ165" s="19">
        <f>('[1]Short Spot'!AZ166-'[1]Short Spot'!AZ165)*100</f>
        <v>0.8758946306167914</v>
      </c>
      <c r="BA165" s="19">
        <f>('[1]Short Spot'!BA166-'[1]Short Spot'!BA165)*100</f>
        <v>0.88772796353406846</v>
      </c>
      <c r="BB165" s="19">
        <f>('[1]Short Spot'!BB166-'[1]Short Spot'!BB165)*100</f>
        <v>0.89881140416592231</v>
      </c>
      <c r="BC165" s="19">
        <f>('[1]Short Spot'!BC166-'[1]Short Spot'!BC165)*100</f>
        <v>0.90921739249409939</v>
      </c>
      <c r="BD165" s="19">
        <f>('[1]Short Spot'!BD166-'[1]Short Spot'!BD165)*100</f>
        <v>0.91901224812476201</v>
      </c>
      <c r="BE165" s="19">
        <f>('[1]Short Spot'!BE166-'[1]Short Spot'!BE165)*100</f>
        <v>0.92825729898775577</v>
      </c>
      <c r="BF165" s="19">
        <f>('[1]Short Spot'!BF166-'[1]Short Spot'!BF165)*100</f>
        <v>0.93701019642606909</v>
      </c>
      <c r="BG165" s="19">
        <f>('[1]Short Spot'!BG166-'[1]Short Spot'!BG165)*100</f>
        <v>0.94532532794735502</v>
      </c>
      <c r="BH165" s="19">
        <f>('[1]Short Spot'!BH166-'[1]Short Spot'!BH165)*100</f>
        <v>0.95325235247178952</v>
      </c>
      <c r="BI165" s="19">
        <f>('[1]Short Spot'!BI166-'[1]Short Spot'!BI165)*100</f>
        <v>0.96083205662251814</v>
      </c>
    </row>
    <row r="166" spans="1:61" x14ac:dyDescent="0.2">
      <c r="A166" s="18">
        <v>39322</v>
      </c>
      <c r="B166" s="19">
        <f>('[1]Short Spot'!B167-'[1]Short Spot'!B166)*100</f>
        <v>-0.54461974540025437</v>
      </c>
      <c r="C166" s="19">
        <f>('[1]Short Spot'!C167-'[1]Short Spot'!C166)*100</f>
        <v>-0.82358055493223503</v>
      </c>
      <c r="D166" s="19">
        <f>('[1]Short Spot'!D167-'[1]Short Spot'!D166)*100</f>
        <v>-0.65610631808663555</v>
      </c>
      <c r="E166" s="19">
        <f>('[1]Short Spot'!E167-'[1]Short Spot'!E166)*100</f>
        <v>-0.35561668723138595</v>
      </c>
      <c r="F166" s="19">
        <f>('[1]Short Spot'!F167-'[1]Short Spot'!F166)*100</f>
        <v>-6.2725837318922117E-2</v>
      </c>
      <c r="G166" s="19">
        <f>('[1]Short Spot'!G167-'[1]Short Spot'!G166)*100</f>
        <v>0.16732628203648403</v>
      </c>
      <c r="H166" s="19">
        <f>('[1]Short Spot'!H167-'[1]Short Spot'!H166)*100</f>
        <v>0.30252916084378967</v>
      </c>
      <c r="I166" s="19">
        <f>('[1]Short Spot'!I167-'[1]Short Spot'!I166)*100</f>
        <v>0.33345424824418046</v>
      </c>
      <c r="J166" s="19">
        <f>('[1]Short Spot'!J167-'[1]Short Spot'!J166)*100</f>
        <v>0.27135112418079643</v>
      </c>
      <c r="K166" s="19">
        <f>('[1]Short Spot'!K167-'[1]Short Spot'!K166)*100</f>
        <v>0.13878041101280658</v>
      </c>
      <c r="L166" s="19">
        <f>('[1]Short Spot'!L167-'[1]Short Spot'!L166)*100</f>
        <v>-4.2316901842376353E-2</v>
      </c>
      <c r="M166" s="19">
        <f>('[1]Short Spot'!M167-'[1]Short Spot'!M166)*100</f>
        <v>-0.25248790663194853</v>
      </c>
      <c r="N166" s="19">
        <f>('[1]Short Spot'!N167-'[1]Short Spot'!N166)*100</f>
        <v>-0.4739268897823834</v>
      </c>
      <c r="O166" s="19">
        <f>('[1]Short Spot'!O167-'[1]Short Spot'!O166)*100</f>
        <v>-0.69389711198555304</v>
      </c>
      <c r="P166" s="19">
        <f>('[1]Short Spot'!P167-'[1]Short Spot'!P166)*100</f>
        <v>-0.90513555330460349</v>
      </c>
      <c r="Q166" s="19">
        <f>('[1]Short Spot'!Q167-'[1]Short Spot'!Q166)*100</f>
        <v>-1.1034655964872186</v>
      </c>
      <c r="R166" s="19">
        <f>('[1]Short Spot'!R167-'[1]Short Spot'!R166)*100</f>
        <v>-1.2866725009680557</v>
      </c>
      <c r="S166" s="19">
        <f>('[1]Short Spot'!S167-'[1]Short Spot'!S166)*100</f>
        <v>-1.4539552995916694</v>
      </c>
      <c r="T166" s="19">
        <f>('[1]Short Spot'!T167-'[1]Short Spot'!T166)*100</f>
        <v>-1.6055311695723162</v>
      </c>
      <c r="U166" s="19">
        <f>('[1]Short Spot'!U167-'[1]Short Spot'!U166)*100</f>
        <v>-1.7420975045614462</v>
      </c>
      <c r="V166" s="19">
        <f>('[1]Short Spot'!V167-'[1]Short Spot'!V166)*100</f>
        <v>-1.8644761426327428</v>
      </c>
      <c r="W166" s="19">
        <f>('[1]Short Spot'!W167-'[1]Short Spot'!W166)*100</f>
        <v>-1.9735822497592537</v>
      </c>
      <c r="X166" s="19">
        <f>('[1]Short Spot'!X167-'[1]Short Spot'!X166)*100</f>
        <v>-2.0704042156339142</v>
      </c>
      <c r="Y166" s="19">
        <f>('[1]Short Spot'!Y167-'[1]Short Spot'!Y166)*100</f>
        <v>-2.1559883987271711</v>
      </c>
      <c r="Z166" s="19">
        <f>('[1]Short Spot'!Z167-'[1]Short Spot'!Z166)*100</f>
        <v>-2.2314273597689116</v>
      </c>
      <c r="AA166" s="19">
        <f>('[1]Short Spot'!AA167-'[1]Short Spot'!AA166)*100</f>
        <v>-2.2978199077634542</v>
      </c>
      <c r="AB166" s="19">
        <f>('[1]Short Spot'!AB167-'[1]Short Spot'!AB166)*100</f>
        <v>-2.3561677534712722</v>
      </c>
      <c r="AC166" s="19">
        <f>('[1]Short Spot'!AC167-'[1]Short Spot'!AC166)*100</f>
        <v>-2.4073638052394486</v>
      </c>
      <c r="AD166" s="19">
        <f>('[1]Short Spot'!AD167-'[1]Short Spot'!AD166)*100</f>
        <v>-2.4522028588128464</v>
      </c>
      <c r="AE166" s="19">
        <f>('[1]Short Spot'!AE167-'[1]Short Spot'!AE166)*100</f>
        <v>-2.4913889419214463</v>
      </c>
      <c r="AF166" s="19">
        <f>('[1]Short Spot'!AF167-'[1]Short Spot'!AF166)*100</f>
        <v>-2.5255495611291146</v>
      </c>
      <c r="AG166" s="19">
        <f>('[1]Short Spot'!AG167-'[1]Short Spot'!AG166)*100</f>
        <v>-2.5552476682114467</v>
      </c>
      <c r="AH166" s="19">
        <f>('[1]Short Spot'!AH167-'[1]Short Spot'!AH166)*100</f>
        <v>-2.5809914411846435</v>
      </c>
      <c r="AI166" s="19">
        <f>('[1]Short Spot'!AI167-'[1]Short Spot'!AI166)*100</f>
        <v>-2.6032416198654929</v>
      </c>
      <c r="AJ166" s="19">
        <f>('[1]Short Spot'!AJ167-'[1]Short Spot'!AJ166)*100</f>
        <v>-2.6224094959832023</v>
      </c>
      <c r="AK166" s="19">
        <f>('[1]Short Spot'!AK167-'[1]Short Spot'!AK166)*100</f>
        <v>-2.6388567553992992</v>
      </c>
      <c r="AL166" s="19">
        <f>('[1]Short Spot'!AL167-'[1]Short Spot'!AL166)*100</f>
        <v>-2.6529024023508541</v>
      </c>
      <c r="AM166" s="19">
        <f>('[1]Short Spot'!AM167-'[1]Short Spot'!AM166)*100</f>
        <v>-2.6648283848086152</v>
      </c>
      <c r="AN166" s="19">
        <f>('[1]Short Spot'!AN167-'[1]Short Spot'!AN166)*100</f>
        <v>-2.6748843330588024</v>
      </c>
      <c r="AO166" s="19">
        <f>('[1]Short Spot'!AO167-'[1]Short Spot'!AO166)*100</f>
        <v>-2.6832910509511088</v>
      </c>
      <c r="AP166" s="19">
        <f>('[1]Short Spot'!AP167-'[1]Short Spot'!AP166)*100</f>
        <v>-2.6902437152383385</v>
      </c>
      <c r="AQ166" s="19">
        <f>('[1]Short Spot'!AQ167-'[1]Short Spot'!AQ166)*100</f>
        <v>-2.6959155271145896</v>
      </c>
      <c r="AR166" s="19">
        <f>('[1]Short Spot'!AR167-'[1]Short Spot'!AR166)*100</f>
        <v>-2.7004603168558461</v>
      </c>
      <c r="AS166" s="19">
        <f>('[1]Short Spot'!AS167-'[1]Short Spot'!AS166)*100</f>
        <v>-2.7040147450619223</v>
      </c>
      <c r="AT166" s="19">
        <f>('[1]Short Spot'!AT167-'[1]Short Spot'!AT166)*100</f>
        <v>-2.7067002103981608</v>
      </c>
      <c r="AU166" s="19">
        <f>('[1]Short Spot'!AU167-'[1]Short Spot'!AU166)*100</f>
        <v>-2.7086245085008898</v>
      </c>
      <c r="AV166" s="19">
        <f>('[1]Short Spot'!AV167-'[1]Short Spot'!AV166)*100</f>
        <v>-2.7098832697426189</v>
      </c>
      <c r="AW166" s="19">
        <f>('[1]Short Spot'!AW167-'[1]Short Spot'!AW166)*100</f>
        <v>-2.7105612497903664</v>
      </c>
      <c r="AX166" s="19">
        <f>('[1]Short Spot'!AX167-'[1]Short Spot'!AX166)*100</f>
        <v>-2.7107335989490444</v>
      </c>
      <c r="AY166" s="19">
        <f>('[1]Short Spot'!AY167-'[1]Short Spot'!AY166)*100</f>
        <v>-2.710466860596572</v>
      </c>
      <c r="AZ166" s="19">
        <f>('[1]Short Spot'!AZ167-'[1]Short Spot'!AZ166)*100</f>
        <v>-2.7098198150157238</v>
      </c>
      <c r="BA166" s="19">
        <f>('[1]Short Spot'!BA167-'[1]Short Spot'!BA166)*100</f>
        <v>-2.7088442258464518</v>
      </c>
      <c r="BB166" s="19">
        <f>('[1]Short Spot'!BB167-'[1]Short Spot'!BB166)*100</f>
        <v>-2.7075855020320283</v>
      </c>
      <c r="BC166" s="19">
        <f>('[1]Short Spot'!BC167-'[1]Short Spot'!BC166)*100</f>
        <v>-2.7060832862554562</v>
      </c>
      <c r="BD166" s="19">
        <f>('[1]Short Spot'!BD167-'[1]Short Spot'!BD166)*100</f>
        <v>-2.7043721081592587</v>
      </c>
      <c r="BE166" s="19">
        <f>('[1]Short Spot'!BE167-'[1]Short Spot'!BE166)*100</f>
        <v>-2.7024827207783986</v>
      </c>
      <c r="BF166" s="19">
        <f>('[1]Short Spot'!BF167-'[1]Short Spot'!BF166)*100</f>
        <v>-2.7004430273612989</v>
      </c>
      <c r="BG166" s="19">
        <f>('[1]Short Spot'!BG167-'[1]Short Spot'!BG166)*100</f>
        <v>-2.6982782907190028</v>
      </c>
      <c r="BH166" s="19">
        <f>('[1]Short Spot'!BH167-'[1]Short Spot'!BH166)*100</f>
        <v>-2.6960102858439861</v>
      </c>
      <c r="BI166" s="19">
        <f>('[1]Short Spot'!BI167-'[1]Short Spot'!BI166)*100</f>
        <v>-2.693656495747998</v>
      </c>
    </row>
    <row r="167" spans="1:61" x14ac:dyDescent="0.2">
      <c r="A167" s="18">
        <v>39323</v>
      </c>
      <c r="B167" s="19">
        <f>('[1]Short Spot'!B168-'[1]Short Spot'!B167)*100</f>
        <v>0.54842327883095621</v>
      </c>
      <c r="C167" s="19">
        <f>('[1]Short Spot'!C168-'[1]Short Spot'!C167)*100</f>
        <v>5.8750285432207505E-2</v>
      </c>
      <c r="D167" s="19">
        <f>('[1]Short Spot'!D168-'[1]Short Spot'!D167)*100</f>
        <v>-0.72328184029784026</v>
      </c>
      <c r="E167" s="19">
        <f>('[1]Short Spot'!E168-'[1]Short Spot'!E167)*100</f>
        <v>-1.426810904078657</v>
      </c>
      <c r="F167" s="19">
        <f>('[1]Short Spot'!F168-'[1]Short Spot'!F167)*100</f>
        <v>-1.948818676483377</v>
      </c>
      <c r="G167" s="19">
        <f>('[1]Short Spot'!G168-'[1]Short Spot'!G167)*100</f>
        <v>-2.2882155300973928</v>
      </c>
      <c r="H167" s="19">
        <f>('[1]Short Spot'!H168-'[1]Short Spot'!H167)*100</f>
        <v>-2.4930134432438855</v>
      </c>
      <c r="I167" s="19">
        <f>('[1]Short Spot'!I168-'[1]Short Spot'!I167)*100</f>
        <v>-2.6187414230051331</v>
      </c>
      <c r="J167" s="19">
        <f>('[1]Short Spot'!J168-'[1]Short Spot'!J167)*100</f>
        <v>-2.7015920014923367</v>
      </c>
      <c r="K167" s="19">
        <f>('[1]Short Spot'!K168-'[1]Short Spot'!K167)*100</f>
        <v>-2.7640478311622196</v>
      </c>
      <c r="L167" s="19">
        <f>('[1]Short Spot'!L168-'[1]Short Spot'!L167)*100</f>
        <v>-2.8185991721680459</v>
      </c>
      <c r="M167" s="19">
        <f>('[1]Short Spot'!M168-'[1]Short Spot'!M167)*100</f>
        <v>-2.8695582614673754</v>
      </c>
      <c r="N167" s="19">
        <f>('[1]Short Spot'!N168-'[1]Short Spot'!N167)*100</f>
        <v>-2.9161851326516164</v>
      </c>
      <c r="O167" s="19">
        <f>('[1]Short Spot'!O168-'[1]Short Spot'!O167)*100</f>
        <v>-2.9565414886560504</v>
      </c>
      <c r="P167" s="19">
        <f>('[1]Short Spot'!P168-'[1]Short Spot'!P167)*100</f>
        <v>-2.9898346733548742</v>
      </c>
      <c r="Q167" s="19">
        <f>('[1]Short Spot'!Q168-'[1]Short Spot'!Q167)*100</f>
        <v>-3.0159385878268274</v>
      </c>
      <c r="R167" s="19">
        <f>('[1]Short Spot'!R168-'[1]Short Spot'!R167)*100</f>
        <v>-3.0351018579765743</v>
      </c>
      <c r="S167" s="19">
        <f>('[1]Short Spot'!S168-'[1]Short Spot'!S167)*100</f>
        <v>-3.0478426228206068</v>
      </c>
      <c r="T167" s="19">
        <f>('[1]Short Spot'!T168-'[1]Short Spot'!T167)*100</f>
        <v>-3.0549343346415014</v>
      </c>
      <c r="U167" s="19">
        <f>('[1]Short Spot'!U168-'[1]Short Spot'!U167)*100</f>
        <v>-3.057735178268306</v>
      </c>
      <c r="V167" s="19">
        <f>('[1]Short Spot'!V168-'[1]Short Spot'!V167)*100</f>
        <v>-3.0576578972561386</v>
      </c>
      <c r="W167" s="19">
        <f>('[1]Short Spot'!W168-'[1]Short Spot'!W167)*100</f>
        <v>-3.0558531596486027</v>
      </c>
      <c r="X167" s="19">
        <f>('[1]Short Spot'!X168-'[1]Short Spot'!X167)*100</f>
        <v>-3.0532633039244139</v>
      </c>
      <c r="Y167" s="19">
        <f>('[1]Short Spot'!Y168-'[1]Short Spot'!Y167)*100</f>
        <v>-3.0506657409897997</v>
      </c>
      <c r="Z167" s="19">
        <f>('[1]Short Spot'!Z168-'[1]Short Spot'!Z167)*100</f>
        <v>-3.0487057109184867</v>
      </c>
      <c r="AA167" s="19">
        <f>('[1]Short Spot'!AA168-'[1]Short Spot'!AA167)*100</f>
        <v>-3.0478995524322983</v>
      </c>
      <c r="AB167" s="19">
        <f>('[1]Short Spot'!AB168-'[1]Short Spot'!AB167)*100</f>
        <v>-3.0486161893671593</v>
      </c>
      <c r="AC167" s="19">
        <f>('[1]Short Spot'!AC168-'[1]Short Spot'!AC167)*100</f>
        <v>-3.0511096393893489</v>
      </c>
      <c r="AD167" s="19">
        <f>('[1]Short Spot'!AD168-'[1]Short Spot'!AD167)*100</f>
        <v>-3.0555452018904639</v>
      </c>
      <c r="AE167" s="19">
        <f>('[1]Short Spot'!AE168-'[1]Short Spot'!AE167)*100</f>
        <v>-3.0620272713433039</v>
      </c>
      <c r="AF167" s="19">
        <f>('[1]Short Spot'!AF168-'[1]Short Spot'!AF167)*100</f>
        <v>-3.0706124304829885</v>
      </c>
      <c r="AG167" s="19">
        <f>('[1]Short Spot'!AG168-'[1]Short Spot'!AG167)*100</f>
        <v>-3.0813169321395328</v>
      </c>
      <c r="AH167" s="19">
        <f>('[1]Short Spot'!AH168-'[1]Short Spot'!AH167)*100</f>
        <v>-3.0941228098282814</v>
      </c>
      <c r="AI167" s="19">
        <f>('[1]Short Spot'!AI168-'[1]Short Spot'!AI167)*100</f>
        <v>-3.1089826005968213</v>
      </c>
      <c r="AJ167" s="19">
        <f>('[1]Short Spot'!AJ168-'[1]Short Spot'!AJ167)*100</f>
        <v>-3.1258247759500257</v>
      </c>
      <c r="AK167" s="19">
        <f>('[1]Short Spot'!AK168-'[1]Short Spot'!AK167)*100</f>
        <v>-3.1445658864740267</v>
      </c>
      <c r="AL167" s="19">
        <f>('[1]Short Spot'!AL168-'[1]Short Spot'!AL167)*100</f>
        <v>-3.1651147981027528</v>
      </c>
      <c r="AM167" s="19">
        <f>('[1]Short Spot'!AM168-'[1]Short Spot'!AM167)*100</f>
        <v>-3.1873737111332012</v>
      </c>
      <c r="AN167" s="19">
        <f>('[1]Short Spot'!AN168-'[1]Short Spot'!AN167)*100</f>
        <v>-3.2112390086811438</v>
      </c>
      <c r="AO167" s="19">
        <f>('[1]Short Spot'!AO168-'[1]Short Spot'!AO167)*100</f>
        <v>-3.2366025577776014</v>
      </c>
      <c r="AP167" s="19">
        <f>('[1]Short Spot'!AP168-'[1]Short Spot'!AP167)*100</f>
        <v>-3.2633560640882742</v>
      </c>
      <c r="AQ167" s="19">
        <f>('[1]Short Spot'!AQ168-'[1]Short Spot'!AQ167)*100</f>
        <v>-3.2913932455797656</v>
      </c>
      <c r="AR167" s="19">
        <f>('[1]Short Spot'!AR168-'[1]Short Spot'!AR167)*100</f>
        <v>-3.3206096707321109</v>
      </c>
      <c r="AS167" s="19">
        <f>('[1]Short Spot'!AS168-'[1]Short Spot'!AS167)*100</f>
        <v>-3.3509025482521437</v>
      </c>
      <c r="AT167" s="19">
        <f>('[1]Short Spot'!AT168-'[1]Short Spot'!AT167)*100</f>
        <v>-3.3821705448255912</v>
      </c>
      <c r="AU167" s="19">
        <f>('[1]Short Spot'!AU168-'[1]Short Spot'!AU167)*100</f>
        <v>-3.4143136266422403</v>
      </c>
      <c r="AV167" s="19">
        <f>('[1]Short Spot'!AV168-'[1]Short Spot'!AV167)*100</f>
        <v>-3.4472330975680698</v>
      </c>
      <c r="AW167" s="19">
        <f>('[1]Short Spot'!AW168-'[1]Short Spot'!AW167)*100</f>
        <v>-3.4808337640839682</v>
      </c>
      <c r="AX167" s="19">
        <f>('[1]Short Spot'!AX168-'[1]Short Spot'!AX167)*100</f>
        <v>-3.5150261814540507</v>
      </c>
      <c r="AY167" s="19">
        <f>('[1]Short Spot'!AY168-'[1]Short Spot'!AY167)*100</f>
        <v>-3.5497263588947447</v>
      </c>
      <c r="AZ167" s="19">
        <f>('[1]Short Spot'!AZ168-'[1]Short Spot'!AZ167)*100</f>
        <v>-3.5848552248788579</v>
      </c>
      <c r="BA167" s="19">
        <f>('[1]Short Spot'!BA168-'[1]Short Spot'!BA167)*100</f>
        <v>-3.6203381541292323</v>
      </c>
      <c r="BB167" s="19">
        <f>('[1]Short Spot'!BB168-'[1]Short Spot'!BB167)*100</f>
        <v>-3.6561045481626309</v>
      </c>
      <c r="BC167" s="19">
        <f>('[1]Short Spot'!BC168-'[1]Short Spot'!BC167)*100</f>
        <v>-3.6920874623930899</v>
      </c>
      <c r="BD167" s="19">
        <f>('[1]Short Spot'!BD168-'[1]Short Spot'!BD167)*100</f>
        <v>-3.7282230533271843</v>
      </c>
      <c r="BE167" s="19">
        <f>('[1]Short Spot'!BE168-'[1]Short Spot'!BE167)*100</f>
        <v>-3.7644500206609699</v>
      </c>
      <c r="BF167" s="19">
        <f>('[1]Short Spot'!BF168-'[1]Short Spot'!BF167)*100</f>
        <v>-3.8007120428817487</v>
      </c>
      <c r="BG167" s="19">
        <f>('[1]Short Spot'!BG168-'[1]Short Spot'!BG167)*100</f>
        <v>-3.8369582525553447</v>
      </c>
      <c r="BH167" s="19">
        <f>('[1]Short Spot'!BH168-'[1]Short Spot'!BH167)*100</f>
        <v>-3.8731409579852993</v>
      </c>
      <c r="BI167" s="19">
        <f>('[1]Short Spot'!BI168-'[1]Short Spot'!BI167)*100</f>
        <v>-3.9092133829787379</v>
      </c>
    </row>
    <row r="168" spans="1:61" x14ac:dyDescent="0.2">
      <c r="A168" s="18">
        <v>39324</v>
      </c>
      <c r="B168" s="19">
        <f>('[1]Short Spot'!B169-'[1]Short Spot'!B168)*100</f>
        <v>5.1095859120657394</v>
      </c>
      <c r="C168" s="19">
        <f>('[1]Short Spot'!C169-'[1]Short Spot'!C168)*100</f>
        <v>6.0588983790320405</v>
      </c>
      <c r="D168" s="19">
        <f>('[1]Short Spot'!D169-'[1]Short Spot'!D168)*100</f>
        <v>5.8283377913901369</v>
      </c>
      <c r="E168" s="19">
        <f>('[1]Short Spot'!E169-'[1]Short Spot'!E168)*100</f>
        <v>5.0111776956532239</v>
      </c>
      <c r="F168" s="19">
        <f>('[1]Short Spot'!F169-'[1]Short Spot'!F168)*100</f>
        <v>4.182874147074056</v>
      </c>
      <c r="G168" s="19">
        <f>('[1]Short Spot'!G169-'[1]Short Spot'!G168)*100</f>
        <v>3.5665410083470128</v>
      </c>
      <c r="H168" s="19">
        <f>('[1]Short Spot'!H169-'[1]Short Spot'!H168)*100</f>
        <v>3.2130342133288359</v>
      </c>
      <c r="I168" s="19">
        <f>('[1]Short Spot'!I169-'[1]Short Spot'!I168)*100</f>
        <v>3.0434822446620657</v>
      </c>
      <c r="J168" s="19">
        <f>('[1]Short Spot'!J169-'[1]Short Spot'!J168)*100</f>
        <v>2.9679460043170458</v>
      </c>
      <c r="K168" s="19">
        <f>('[1]Short Spot'!K169-'[1]Short Spot'!K168)*100</f>
        <v>2.9178956076535201</v>
      </c>
      <c r="L168" s="19">
        <f>('[1]Short Spot'!L169-'[1]Short Spot'!L168)*100</f>
        <v>2.8492747056636958</v>
      </c>
      <c r="M168" s="19">
        <f>('[1]Short Spot'!M169-'[1]Short Spot'!M168)*100</f>
        <v>2.7441763713885514</v>
      </c>
      <c r="N168" s="19">
        <f>('[1]Short Spot'!N169-'[1]Short Spot'!N168)*100</f>
        <v>2.6018851458870174</v>
      </c>
      <c r="O168" s="19">
        <f>('[1]Short Spot'!O169-'[1]Short Spot'!O168)*100</f>
        <v>2.4300217123924384</v>
      </c>
      <c r="P168" s="19">
        <f>('[1]Short Spot'!P169-'[1]Short Spot'!P168)*100</f>
        <v>2.2360310454018872</v>
      </c>
      <c r="Q168" s="19">
        <f>('[1]Short Spot'!Q169-'[1]Short Spot'!Q168)*100</f>
        <v>2.0264227862871742</v>
      </c>
      <c r="R168" s="19">
        <f>('[1]Short Spot'!R169-'[1]Short Spot'!R168)*100</f>
        <v>1.8070914534568772</v>
      </c>
      <c r="S168" s="19">
        <f>('[1]Short Spot'!S169-'[1]Short Spot'!S168)*100</f>
        <v>1.5834877062953723</v>
      </c>
      <c r="T168" s="19">
        <f>('[1]Short Spot'!T169-'[1]Short Spot'!T168)*100</f>
        <v>1.3607318268113566</v>
      </c>
      <c r="U168" s="19">
        <f>('[1]Short Spot'!U169-'[1]Short Spot'!U168)*100</f>
        <v>1.1433978221838004</v>
      </c>
      <c r="V168" s="19">
        <f>('[1]Short Spot'!V169-'[1]Short Spot'!V168)*100</f>
        <v>0.93483667413254423</v>
      </c>
      <c r="W168" s="19">
        <f>('[1]Short Spot'!W169-'[1]Short Spot'!W168)*100</f>
        <v>0.73722946583449911</v>
      </c>
      <c r="X168" s="19">
        <f>('[1]Short Spot'!X169-'[1]Short Spot'!X168)*100</f>
        <v>0.55183999729235822</v>
      </c>
      <c r="Y168" s="19">
        <f>('[1]Short Spot'!Y169-'[1]Short Spot'!Y168)*100</f>
        <v>0.37920588599478222</v>
      </c>
      <c r="Z168" s="19">
        <f>('[1]Short Spot'!Z169-'[1]Short Spot'!Z168)*100</f>
        <v>0.21928432223381478</v>
      </c>
      <c r="AA168" s="19">
        <f>('[1]Short Spot'!AA169-'[1]Short Spot'!AA168)*100</f>
        <v>7.1628795774003606E-2</v>
      </c>
      <c r="AB168" s="19">
        <f>('[1]Short Spot'!AB169-'[1]Short Spot'!AB168)*100</f>
        <v>-6.4324149916306084E-2</v>
      </c>
      <c r="AC168" s="19">
        <f>('[1]Short Spot'!AC169-'[1]Short Spot'!AC168)*100</f>
        <v>-0.18916429241579991</v>
      </c>
      <c r="AD168" s="19">
        <f>('[1]Short Spot'!AD169-'[1]Short Spot'!AD168)*100</f>
        <v>-0.3034929794540453</v>
      </c>
      <c r="AE168" s="19">
        <f>('[1]Short Spot'!AE169-'[1]Short Spot'!AE168)*100</f>
        <v>-0.40791217922686585</v>
      </c>
      <c r="AF168" s="19">
        <f>('[1]Short Spot'!AF169-'[1]Short Spot'!AF168)*100</f>
        <v>-0.50302402701527527</v>
      </c>
      <c r="AG168" s="19">
        <f>('[1]Short Spot'!AG169-'[1]Short Spot'!AG168)*100</f>
        <v>-0.58943080348887733</v>
      </c>
      <c r="AH168" s="19">
        <f>('[1]Short Spot'!AH169-'[1]Short Spot'!AH168)*100</f>
        <v>-0.66773491267841933</v>
      </c>
      <c r="AI168" s="19">
        <f>('[1]Short Spot'!AI169-'[1]Short Spot'!AI168)*100</f>
        <v>-0.73853718704146587</v>
      </c>
      <c r="AJ168" s="19">
        <f>('[1]Short Spot'!AJ169-'[1]Short Spot'!AJ168)*100</f>
        <v>-0.80241559188216627</v>
      </c>
      <c r="AK168" s="19">
        <f>('[1]Short Spot'!AK169-'[1]Short Spot'!AK168)*100</f>
        <v>-0.85990596437373057</v>
      </c>
      <c r="AL168" s="19">
        <f>('[1]Short Spot'!AL169-'[1]Short Spot'!AL168)*100</f>
        <v>-0.91150584793844303</v>
      </c>
      <c r="AM168" s="19">
        <f>('[1]Short Spot'!AM169-'[1]Short Spot'!AM168)*100</f>
        <v>-0.95767953400782702</v>
      </c>
      <c r="AN168" s="19">
        <f>('[1]Short Spot'!AN169-'[1]Short Spot'!AN168)*100</f>
        <v>-0.99886228434602486</v>
      </c>
      <c r="AO168" s="19">
        <f>('[1]Short Spot'!AO169-'[1]Short Spot'!AO168)*100</f>
        <v>-1.0354611314600248</v>
      </c>
      <c r="AP168" s="19">
        <f>('[1]Short Spot'!AP169-'[1]Short Spot'!AP168)*100</f>
        <v>-1.0678505537084604</v>
      </c>
      <c r="AQ168" s="19">
        <f>('[1]Short Spot'!AQ169-'[1]Short Spot'!AQ168)*100</f>
        <v>-1.0963741271917016</v>
      </c>
      <c r="AR168" s="19">
        <f>('[1]Short Spot'!AR169-'[1]Short Spot'!AR168)*100</f>
        <v>-1.1213481048311991</v>
      </c>
      <c r="AS168" s="19">
        <f>('[1]Short Spot'!AS169-'[1]Short Spot'!AS168)*100</f>
        <v>-1.1430645212769264</v>
      </c>
      <c r="AT168" s="19">
        <f>('[1]Short Spot'!AT169-'[1]Short Spot'!AT168)*100</f>
        <v>-1.1617938838266006</v>
      </c>
      <c r="AU168" s="19">
        <f>('[1]Short Spot'!AU169-'[1]Short Spot'!AU168)*100</f>
        <v>-1.1777875123544668</v>
      </c>
      <c r="AV168" s="19">
        <f>('[1]Short Spot'!AV169-'[1]Short Spot'!AV168)*100</f>
        <v>-1.1912793738381389</v>
      </c>
      <c r="AW168" s="19">
        <f>('[1]Short Spot'!AW169-'[1]Short Spot'!AW168)*100</f>
        <v>-1.2024855210900576</v>
      </c>
      <c r="AX168" s="19">
        <f>('[1]Short Spot'!AX169-'[1]Short Spot'!AX168)*100</f>
        <v>-1.2116034874526171</v>
      </c>
      <c r="AY168" s="19">
        <f>('[1]Short Spot'!AY169-'[1]Short Spot'!AY168)*100</f>
        <v>-1.218813907544547</v>
      </c>
      <c r="AZ168" s="19">
        <f>('[1]Short Spot'!AZ169-'[1]Short Spot'!AZ168)*100</f>
        <v>-1.2242821739980592</v>
      </c>
      <c r="BA168" s="19">
        <f>('[1]Short Spot'!BA169-'[1]Short Spot'!BA168)*100</f>
        <v>-1.2281599030352197</v>
      </c>
      <c r="BB168" s="19">
        <f>('[1]Short Spot'!BB169-'[1]Short Spot'!BB168)*100</f>
        <v>-1.2305862341285057</v>
      </c>
      <c r="BC168" s="19">
        <f>('[1]Short Spot'!BC169-'[1]Short Spot'!BC168)*100</f>
        <v>-1.2316889852559854</v>
      </c>
      <c r="BD168" s="19">
        <f>('[1]Short Spot'!BD169-'[1]Short Spot'!BD168)*100</f>
        <v>-1.2315856918961643</v>
      </c>
      <c r="BE168" s="19">
        <f>('[1]Short Spot'!BE169-'[1]Short Spot'!BE168)*100</f>
        <v>-1.2303847210958452</v>
      </c>
      <c r="BF168" s="19">
        <f>('[1]Short Spot'!BF169-'[1]Short Spot'!BF168)*100</f>
        <v>-1.2281862442132585</v>
      </c>
      <c r="BG168" s="19">
        <f>('[1]Short Spot'!BG169-'[1]Short Spot'!BG168)*100</f>
        <v>-1.225082787132159</v>
      </c>
      <c r="BH168" s="19">
        <f>('[1]Short Spot'!BH169-'[1]Short Spot'!BH168)*100</f>
        <v>-1.2211585947737191</v>
      </c>
      <c r="BI168" s="19">
        <f>('[1]Short Spot'!BI169-'[1]Short Spot'!BI168)*100</f>
        <v>-1.2164894594644871</v>
      </c>
    </row>
    <row r="169" spans="1:61" x14ac:dyDescent="0.2">
      <c r="A169" s="18">
        <v>39325</v>
      </c>
      <c r="B169" s="19">
        <f>('[1]Short Spot'!B170-'[1]Short Spot'!B169)*100</f>
        <v>1.8946899400521744</v>
      </c>
      <c r="C169" s="19">
        <f>('[1]Short Spot'!C170-'[1]Short Spot'!C169)*100</f>
        <v>-1.9245205602810955</v>
      </c>
      <c r="D169" s="19">
        <f>('[1]Short Spot'!D170-'[1]Short Spot'!D169)*100</f>
        <v>-2.937715228489246</v>
      </c>
      <c r="E169" s="19">
        <f>('[1]Short Spot'!E170-'[1]Short Spot'!E169)*100</f>
        <v>-2.8095873644330638</v>
      </c>
      <c r="F169" s="19">
        <f>('[1]Short Spot'!F170-'[1]Short Spot'!F169)*100</f>
        <v>-2.3696823175393789</v>
      </c>
      <c r="G169" s="19">
        <f>('[1]Short Spot'!G170-'[1]Short Spot'!G169)*100</f>
        <v>-1.9403759621565264</v>
      </c>
      <c r="H169" s="19">
        <f>('[1]Short Spot'!H170-'[1]Short Spot'!H169)*100</f>
        <v>-1.6539408235472841</v>
      </c>
      <c r="I169" s="19">
        <f>('[1]Short Spot'!I170-'[1]Short Spot'!I169)*100</f>
        <v>-1.5176711290486367</v>
      </c>
      <c r="J169" s="19">
        <f>('[1]Short Spot'!J170-'[1]Short Spot'!J169)*100</f>
        <v>-1.4859980211843649</v>
      </c>
      <c r="K169" s="19">
        <f>('[1]Short Spot'!K170-'[1]Short Spot'!K169)*100</f>
        <v>-1.4997225433688754</v>
      </c>
      <c r="L169" s="19">
        <f>('[1]Short Spot'!L170-'[1]Short Spot'!L169)*100</f>
        <v>-1.5091076713972917</v>
      </c>
      <c r="M169" s="19">
        <f>('[1]Short Spot'!M170-'[1]Short Spot'!M169)*100</f>
        <v>-1.4895934762865437</v>
      </c>
      <c r="N169" s="19">
        <f>('[1]Short Spot'!N170-'[1]Short Spot'!N169)*100</f>
        <v>-1.4343403836926782</v>
      </c>
      <c r="O169" s="19">
        <f>('[1]Short Spot'!O170-'[1]Short Spot'!O169)*100</f>
        <v>-1.3461847085711298</v>
      </c>
      <c r="P169" s="19">
        <f>('[1]Short Spot'!P170-'[1]Short Spot'!P169)*100</f>
        <v>-1.2305105427852681</v>
      </c>
      <c r="Q169" s="19">
        <f>('[1]Short Spot'!Q170-'[1]Short Spot'!Q169)*100</f>
        <v>-1.0929862980796123</v>
      </c>
      <c r="R169" s="19">
        <f>('[1]Short Spot'!R170-'[1]Short Spot'!R169)*100</f>
        <v>-0.93930524370859914</v>
      </c>
      <c r="S169" s="19">
        <f>('[1]Short Spot'!S170-'[1]Short Spot'!S169)*100</f>
        <v>-0.77517806504907583</v>
      </c>
      <c r="T169" s="19">
        <f>('[1]Short Spot'!T170-'[1]Short Spot'!T169)*100</f>
        <v>-0.60627647823201514</v>
      </c>
      <c r="U169" s="19">
        <f>('[1]Short Spot'!U170-'[1]Short Spot'!U169)*100</f>
        <v>-0.43748537830587964</v>
      </c>
      <c r="V169" s="19">
        <f>('[1]Short Spot'!V170-'[1]Short Spot'!V169)*100</f>
        <v>-0.27235145161332852</v>
      </c>
      <c r="W169" s="19">
        <f>('[1]Short Spot'!W170-'[1]Short Spot'!W169)*100</f>
        <v>-0.11337467836840531</v>
      </c>
      <c r="X169" s="19">
        <f>('[1]Short Spot'!X170-'[1]Short Spot'!X169)*100</f>
        <v>3.7762920257033983E-2</v>
      </c>
      <c r="Y169" s="19">
        <f>('[1]Short Spot'!Y170-'[1]Short Spot'!Y169)*100</f>
        <v>0.1800268740000277</v>
      </c>
      <c r="Z169" s="19">
        <f>('[1]Short Spot'!Z170-'[1]Short Spot'!Z169)*100</f>
        <v>0.31290226748605932</v>
      </c>
      <c r="AA169" s="19">
        <f>('[1]Short Spot'!AA170-'[1]Short Spot'!AA169)*100</f>
        <v>0.43632417509273935</v>
      </c>
      <c r="AB169" s="19">
        <f>('[1]Short Spot'!AB170-'[1]Short Spot'!AB169)*100</f>
        <v>0.55048624819598047</v>
      </c>
      <c r="AC169" s="19">
        <f>('[1]Short Spot'!AC170-'[1]Short Spot'!AC169)*100</f>
        <v>0.65566794391962446</v>
      </c>
      <c r="AD169" s="19">
        <f>('[1]Short Spot'!AD170-'[1]Short Spot'!AD169)*100</f>
        <v>0.75220916186005127</v>
      </c>
      <c r="AE169" s="19">
        <f>('[1]Short Spot'!AE170-'[1]Short Spot'!AE169)*100</f>
        <v>0.84047961515221203</v>
      </c>
      <c r="AF169" s="19">
        <f>('[1]Short Spot'!AF170-'[1]Short Spot'!AF169)*100</f>
        <v>0.92086894294967081</v>
      </c>
      <c r="AG169" s="19">
        <f>('[1]Short Spot'!AG170-'[1]Short Spot'!AG169)*100</f>
        <v>0.99378359089721258</v>
      </c>
      <c r="AH169" s="19">
        <f>('[1]Short Spot'!AH170-'[1]Short Spot'!AH169)*100</f>
        <v>1.0596442646949811</v>
      </c>
      <c r="AI169" s="19">
        <f>('[1]Short Spot'!AI170-'[1]Short Spot'!AI169)*100</f>
        <v>1.1188852316641018</v>
      </c>
      <c r="AJ169" s="19">
        <f>('[1]Short Spot'!AJ170-'[1]Short Spot'!AJ169)*100</f>
        <v>1.171946878156227</v>
      </c>
      <c r="AK169" s="19">
        <f>('[1]Short Spot'!AK170-'[1]Short Spot'!AK169)*100</f>
        <v>1.2192466015255476</v>
      </c>
      <c r="AL169" s="19">
        <f>('[1]Short Spot'!AL170-'[1]Short Spot'!AL169)*100</f>
        <v>1.2611753637476575</v>
      </c>
      <c r="AM169" s="19">
        <f>('[1]Short Spot'!AM170-'[1]Short Spot'!AM169)*100</f>
        <v>1.2981011656868269</v>
      </c>
      <c r="AN169" s="19">
        <f>('[1]Short Spot'!AN170-'[1]Short Spot'!AN169)*100</f>
        <v>1.3303720578372591</v>
      </c>
      <c r="AO169" s="19">
        <f>('[1]Short Spot'!AO170-'[1]Short Spot'!AO169)*100</f>
        <v>1.3583187604798042</v>
      </c>
      <c r="AP169" s="19">
        <f>('[1]Short Spot'!AP170-'[1]Short Spot'!AP169)*100</f>
        <v>1.3822515108068423</v>
      </c>
      <c r="AQ169" s="19">
        <f>('[1]Short Spot'!AQ170-'[1]Short Spot'!AQ169)*100</f>
        <v>1.4024590042021501</v>
      </c>
      <c r="AR169" s="19">
        <f>('[1]Short Spot'!AR170-'[1]Short Spot'!AR169)*100</f>
        <v>1.4192107975673274</v>
      </c>
      <c r="AS169" s="19">
        <f>('[1]Short Spot'!AS170-'[1]Short Spot'!AS169)*100</f>
        <v>1.4327594841495817</v>
      </c>
      <c r="AT169" s="19">
        <f>('[1]Short Spot'!AT170-'[1]Short Spot'!AT169)*100</f>
        <v>1.443342578392226</v>
      </c>
      <c r="AU169" s="19">
        <f>('[1]Short Spot'!AU170-'[1]Short Spot'!AU169)*100</f>
        <v>1.451184154931795</v>
      </c>
      <c r="AV169" s="19">
        <f>('[1]Short Spot'!AV170-'[1]Short Spot'!AV169)*100</f>
        <v>1.4564960608470123</v>
      </c>
      <c r="AW169" s="19">
        <f>('[1]Short Spot'!AW170-'[1]Short Spot'!AW169)*100</f>
        <v>1.4594769707086286</v>
      </c>
      <c r="AX169" s="19">
        <f>('[1]Short Spot'!AX170-'[1]Short Spot'!AX169)*100</f>
        <v>1.4603116248647297</v>
      </c>
      <c r="AY169" s="19">
        <f>('[1]Short Spot'!AY170-'[1]Short Spot'!AY169)*100</f>
        <v>1.4591720409598885</v>
      </c>
      <c r="AZ169" s="19">
        <f>('[1]Short Spot'!AZ170-'[1]Short Spot'!AZ169)*100</f>
        <v>1.4562187612574995</v>
      </c>
      <c r="BA169" s="19">
        <f>('[1]Short Spot'!BA170-'[1]Short Spot'!BA169)*100</f>
        <v>1.4516019560437243</v>
      </c>
      <c r="BB169" s="19">
        <f>('[1]Short Spot'!BB170-'[1]Short Spot'!BB169)*100</f>
        <v>1.4454624021142948</v>
      </c>
      <c r="BC169" s="19">
        <f>('[1]Short Spot'!BC170-'[1]Short Spot'!BC169)*100</f>
        <v>1.4379323525431253</v>
      </c>
      <c r="BD169" s="19">
        <f>('[1]Short Spot'!BD170-'[1]Short Spot'!BD169)*100</f>
        <v>1.4291362387205631</v>
      </c>
      <c r="BE169" s="19">
        <f>('[1]Short Spot'!BE170-'[1]Short Spot'!BE169)*100</f>
        <v>1.4191898801619196</v>
      </c>
      <c r="BF169" s="19">
        <f>('[1]Short Spot'!BF170-'[1]Short Spot'!BF169)*100</f>
        <v>1.4081992763348872</v>
      </c>
      <c r="BG169" s="19">
        <f>('[1]Short Spot'!BG170-'[1]Short Spot'!BG169)*100</f>
        <v>1.3962617212325057</v>
      </c>
      <c r="BH169" s="19">
        <f>('[1]Short Spot'!BH170-'[1]Short Spot'!BH169)*100</f>
        <v>1.3834698313751836</v>
      </c>
      <c r="BI169" s="19">
        <f>('[1]Short Spot'!BI170-'[1]Short Spot'!BI169)*100</f>
        <v>1.3699128600341837</v>
      </c>
    </row>
    <row r="170" spans="1:61" x14ac:dyDescent="0.2">
      <c r="A170" s="18">
        <v>39328</v>
      </c>
      <c r="B170" s="19">
        <f>('[1]Short Spot'!B171-'[1]Short Spot'!B170)*100</f>
        <v>3.7739614117381137</v>
      </c>
      <c r="C170" s="19">
        <f>('[1]Short Spot'!C171-'[1]Short Spot'!C170)*100</f>
        <v>4.3067909211499611</v>
      </c>
      <c r="D170" s="19">
        <f>('[1]Short Spot'!D171-'[1]Short Spot'!D170)*100</f>
        <v>4.3324495642965921</v>
      </c>
      <c r="E170" s="19">
        <f>('[1]Short Spot'!E171-'[1]Short Spot'!E170)*100</f>
        <v>4.1575307625632441</v>
      </c>
      <c r="F170" s="19">
        <f>('[1]Short Spot'!F171-'[1]Short Spot'!F170)*100</f>
        <v>3.9376781703992059</v>
      </c>
      <c r="G170" s="19">
        <f>('[1]Short Spot'!G171-'[1]Short Spot'!G170)*100</f>
        <v>3.7436753614480622</v>
      </c>
      <c r="H170" s="19">
        <f>('[1]Short Spot'!H171-'[1]Short Spot'!H170)*100</f>
        <v>3.6034800532070754</v>
      </c>
      <c r="I170" s="19">
        <f>('[1]Short Spot'!I171-'[1]Short Spot'!I170)*100</f>
        <v>3.5176812084322329</v>
      </c>
      <c r="J170" s="19">
        <f>('[1]Short Spot'!J171-'[1]Short Spot'!J170)*100</f>
        <v>3.479408837474196</v>
      </c>
      <c r="K170" s="19">
        <f>('[1]Short Spot'!K171-'[1]Short Spot'!K170)*100</f>
        <v>3.4794267818413438</v>
      </c>
      <c r="L170" s="19">
        <f>('[1]Short Spot'!L171-'[1]Short Spot'!L170)*100</f>
        <v>3.506645086053517</v>
      </c>
      <c r="M170" s="19">
        <f>('[1]Short Spot'!M171-'[1]Short Spot'!M170)*100</f>
        <v>3.5522981458440128</v>
      </c>
      <c r="N170" s="19">
        <f>('[1]Short Spot'!N171-'[1]Short Spot'!N170)*100</f>
        <v>3.6096526299701281</v>
      </c>
      <c r="O170" s="19">
        <f>('[1]Short Spot'!O171-'[1]Short Spot'!O170)*100</f>
        <v>3.6726355268872801</v>
      </c>
      <c r="P170" s="19">
        <f>('[1]Short Spot'!P171-'[1]Short Spot'!P170)*100</f>
        <v>3.7365832444876013</v>
      </c>
      <c r="Q170" s="19">
        <f>('[1]Short Spot'!Q171-'[1]Short Spot'!Q170)*100</f>
        <v>3.7984557708824696</v>
      </c>
      <c r="R170" s="19">
        <f>('[1]Short Spot'!R171-'[1]Short Spot'!R170)*100</f>
        <v>3.8564200236944401</v>
      </c>
      <c r="S170" s="19">
        <f>('[1]Short Spot'!S171-'[1]Short Spot'!S170)*100</f>
        <v>3.9095145652017216</v>
      </c>
      <c r="T170" s="19">
        <f>('[1]Short Spot'!T171-'[1]Short Spot'!T170)*100</f>
        <v>3.9574303212908113</v>
      </c>
      <c r="U170" s="19">
        <f>('[1]Short Spot'!U171-'[1]Short Spot'!U170)*100</f>
        <v>4.0003316125608812</v>
      </c>
      <c r="V170" s="19">
        <f>('[1]Short Spot'!V171-'[1]Short Spot'!V170)*100</f>
        <v>4.0385067889971538</v>
      </c>
      <c r="W170" s="19">
        <f>('[1]Short Spot'!W171-'[1]Short Spot'!W170)*100</f>
        <v>4.0722632520589386</v>
      </c>
      <c r="X170" s="19">
        <f>('[1]Short Spot'!X171-'[1]Short Spot'!X170)*100</f>
        <v>4.1019230201330359</v>
      </c>
      <c r="Y170" s="19">
        <f>('[1]Short Spot'!Y171-'[1]Short Spot'!Y170)*100</f>
        <v>4.1278196833394176</v>
      </c>
      <c r="Z170" s="19">
        <f>('[1]Short Spot'!Z171-'[1]Short Spot'!Z170)*100</f>
        <v>4.1502968123790396</v>
      </c>
      <c r="AA170" s="19">
        <f>('[1]Short Spot'!AA171-'[1]Short Spot'!AA170)*100</f>
        <v>4.1697167437696692</v>
      </c>
      <c r="AB170" s="19">
        <f>('[1]Short Spot'!AB171-'[1]Short Spot'!AB170)*100</f>
        <v>4.1864246487723911</v>
      </c>
      <c r="AC170" s="19">
        <f>('[1]Short Spot'!AC171-'[1]Short Spot'!AC170)*100</f>
        <v>4.2007184602672609</v>
      </c>
      <c r="AD170" s="19">
        <f>('[1]Short Spot'!AD171-'[1]Short Spot'!AD170)*100</f>
        <v>4.2128597809974799</v>
      </c>
      <c r="AE170" s="19">
        <f>('[1]Short Spot'!AE171-'[1]Short Spot'!AE170)*100</f>
        <v>4.223080108394317</v>
      </c>
      <c r="AF170" s="19">
        <f>('[1]Short Spot'!AF171-'[1]Short Spot'!AF170)*100</f>
        <v>4.231585106517155</v>
      </c>
      <c r="AG170" s="19">
        <f>('[1]Short Spot'!AG171-'[1]Short Spot'!AG170)*100</f>
        <v>4.2385586423295152</v>
      </c>
      <c r="AH170" s="19">
        <f>('[1]Short Spot'!AH171-'[1]Short Spot'!AH170)*100</f>
        <v>4.2441660882887255</v>
      </c>
      <c r="AI170" s="19">
        <f>('[1]Short Spot'!AI171-'[1]Short Spot'!AI170)*100</f>
        <v>4.2485578130978752</v>
      </c>
      <c r="AJ170" s="19">
        <f>('[1]Short Spot'!AJ171-'[1]Short Spot'!AJ170)*100</f>
        <v>4.2518724897072424</v>
      </c>
      <c r="AK170" s="19">
        <f>('[1]Short Spot'!AK171-'[1]Short Spot'!AK170)*100</f>
        <v>4.2542338726084594</v>
      </c>
      <c r="AL170" s="19">
        <f>('[1]Short Spot'!AL171-'[1]Short Spot'!AL170)*100</f>
        <v>4.255751569955013</v>
      </c>
      <c r="AM170" s="19">
        <f>('[1]Short Spot'!AM171-'[1]Short Spot'!AM170)*100</f>
        <v>4.2565229048802777</v>
      </c>
      <c r="AN170" s="19">
        <f>('[1]Short Spot'!AN171-'[1]Short Spot'!AN170)*100</f>
        <v>4.2566345315642629</v>
      </c>
      <c r="AO170" s="19">
        <f>('[1]Short Spot'!AO171-'[1]Short Spot'!AO170)*100</f>
        <v>4.2561644427166812</v>
      </c>
      <c r="AP170" s="19">
        <f>('[1]Short Spot'!AP171-'[1]Short Spot'!AP170)*100</f>
        <v>4.2551830616941011</v>
      </c>
      <c r="AQ170" s="19">
        <f>('[1]Short Spot'!AQ171-'[1]Short Spot'!AQ170)*100</f>
        <v>4.253753679552208</v>
      </c>
      <c r="AR170" s="19">
        <f>('[1]Short Spot'!AR171-'[1]Short Spot'!AR170)*100</f>
        <v>4.251933269273156</v>
      </c>
      <c r="AS170" s="19">
        <f>('[1]Short Spot'!AS171-'[1]Short Spot'!AS170)*100</f>
        <v>4.2497732037290348</v>
      </c>
      <c r="AT170" s="19">
        <f>('[1]Short Spot'!AT171-'[1]Short Spot'!AT170)*100</f>
        <v>4.2473198779156007</v>
      </c>
      <c r="AU170" s="19">
        <f>('[1]Short Spot'!AU171-'[1]Short Spot'!AU170)*100</f>
        <v>4.2446152500142276</v>
      </c>
      <c r="AV170" s="19">
        <f>('[1]Short Spot'!AV171-'[1]Short Spot'!AV170)*100</f>
        <v>4.2416972731671443</v>
      </c>
      <c r="AW170" s="19">
        <f>('[1]Short Spot'!AW171-'[1]Short Spot'!AW170)*100</f>
        <v>4.2386000567507409</v>
      </c>
      <c r="AX170" s="19">
        <f>('[1]Short Spot'!AX171-'[1]Short Spot'!AX170)*100</f>
        <v>4.2353540999955364</v>
      </c>
      <c r="AY170" s="19">
        <f>('[1]Short Spot'!AY171-'[1]Short Spot'!AY170)*100</f>
        <v>4.2319866465278189</v>
      </c>
      <c r="AZ170" s="19">
        <f>('[1]Short Spot'!AZ171-'[1]Short Spot'!AZ170)*100</f>
        <v>4.2285220035475746</v>
      </c>
      <c r="BA170" s="19">
        <f>('[1]Short Spot'!BA171-'[1]Short Spot'!BA170)*100</f>
        <v>4.2249818241761439</v>
      </c>
      <c r="BB170" s="19">
        <f>('[1]Short Spot'!BB171-'[1]Short Spot'!BB170)*100</f>
        <v>4.2213853578416227</v>
      </c>
      <c r="BC170" s="19">
        <f>('[1]Short Spot'!BC171-'[1]Short Spot'!BC170)*100</f>
        <v>4.2177496728426078</v>
      </c>
      <c r="BD170" s="19">
        <f>('[1]Short Spot'!BD171-'[1]Short Spot'!BD170)*100</f>
        <v>4.2140898355357947</v>
      </c>
      <c r="BE170" s="19">
        <f>('[1]Short Spot'!BE171-'[1]Short Spot'!BE170)*100</f>
        <v>4.2104189920214807</v>
      </c>
      <c r="BF170" s="19">
        <f>('[1]Short Spot'!BF171-'[1]Short Spot'!BF170)*100</f>
        <v>4.2067488004103204</v>
      </c>
      <c r="BG170" s="19">
        <f>('[1]Short Spot'!BG171-'[1]Short Spot'!BG170)*100</f>
        <v>4.2030897950806612</v>
      </c>
      <c r="BH170" s="19">
        <f>('[1]Short Spot'!BH171-'[1]Short Spot'!BH170)*100</f>
        <v>4.1994515501085239</v>
      </c>
      <c r="BI170" s="19">
        <f>('[1]Short Spot'!BI171-'[1]Short Spot'!BI170)*100</f>
        <v>4.1958420280352904</v>
      </c>
    </row>
    <row r="171" spans="1:61" x14ac:dyDescent="0.2">
      <c r="A171" s="18">
        <v>39329</v>
      </c>
      <c r="B171" s="19">
        <f>('[1]Short Spot'!B172-'[1]Short Spot'!B171)*100</f>
        <v>1.1620513139926736</v>
      </c>
      <c r="C171" s="19">
        <f>('[1]Short Spot'!C172-'[1]Short Spot'!C171)*100</f>
        <v>0.94128132823616539</v>
      </c>
      <c r="D171" s="19">
        <f>('[1]Short Spot'!D172-'[1]Short Spot'!D171)*100</f>
        <v>1.0165243748478048</v>
      </c>
      <c r="E171" s="19">
        <f>('[1]Short Spot'!E172-'[1]Short Spot'!E171)*100</f>
        <v>1.035351060958245</v>
      </c>
      <c r="F171" s="19">
        <f>('[1]Short Spot'!F172-'[1]Short Spot'!F171)*100</f>
        <v>0.98452546011724706</v>
      </c>
      <c r="G171" s="19">
        <f>('[1]Short Spot'!G172-'[1]Short Spot'!G171)*100</f>
        <v>0.89380497026256833</v>
      </c>
      <c r="H171" s="19">
        <f>('[1]Short Spot'!H172-'[1]Short Spot'!H171)*100</f>
        <v>0.79730168410145907</v>
      </c>
      <c r="I171" s="19">
        <f>('[1]Short Spot'!I172-'[1]Short Spot'!I171)*100</f>
        <v>0.71429687954225329</v>
      </c>
      <c r="J171" s="19">
        <f>('[1]Short Spot'!J172-'[1]Short Spot'!J171)*100</f>
        <v>0.65288166923727076</v>
      </c>
      <c r="K171" s="19">
        <f>('[1]Short Spot'!K172-'[1]Short Spot'!K171)*100</f>
        <v>0.61577274238517887</v>
      </c>
      <c r="L171" s="19">
        <f>('[1]Short Spot'!L172-'[1]Short Spot'!L171)*100</f>
        <v>0.60194902371835113</v>
      </c>
      <c r="M171" s="19">
        <f>('[1]Short Spot'!M172-'[1]Short Spot'!M171)*100</f>
        <v>0.60745765826792919</v>
      </c>
      <c r="N171" s="19">
        <f>('[1]Short Spot'!N172-'[1]Short Spot'!N171)*100</f>
        <v>0.62661957346774599</v>
      </c>
      <c r="O171" s="19">
        <f>('[1]Short Spot'!O172-'[1]Short Spot'!O171)*100</f>
        <v>0.65424635223516603</v>
      </c>
      <c r="P171" s="19">
        <f>('[1]Short Spot'!P172-'[1]Short Spot'!P171)*100</f>
        <v>0.68692568205799276</v>
      </c>
      <c r="Q171" s="19">
        <f>('[1]Short Spot'!Q172-'[1]Short Spot'!Q171)*100</f>
        <v>0.72227167725067432</v>
      </c>
      <c r="R171" s="19">
        <f>('[1]Short Spot'!R172-'[1]Short Spot'!R171)*100</f>
        <v>0.75854613688957073</v>
      </c>
      <c r="S171" s="19">
        <f>('[1]Short Spot'!S172-'[1]Short Spot'!S171)*100</f>
        <v>0.79447835314327975</v>
      </c>
      <c r="T171" s="19">
        <f>('[1]Short Spot'!T172-'[1]Short Spot'!T171)*100</f>
        <v>0.82915927114033394</v>
      </c>
      <c r="U171" s="19">
        <f>('[1]Short Spot'!U172-'[1]Short Spot'!U171)*100</f>
        <v>0.86204673869385573</v>
      </c>
      <c r="V171" s="19">
        <f>('[1]Short Spot'!V172-'[1]Short Spot'!V171)*100</f>
        <v>0.89281217992489559</v>
      </c>
      <c r="W171" s="19">
        <f>('[1]Short Spot'!W172-'[1]Short Spot'!W171)*100</f>
        <v>0.92124748456701155</v>
      </c>
      <c r="X171" s="19">
        <f>('[1]Short Spot'!X172-'[1]Short Spot'!X171)*100</f>
        <v>0.94723866292776293</v>
      </c>
      <c r="Y171" s="19">
        <f>('[1]Short Spot'!Y172-'[1]Short Spot'!Y171)*100</f>
        <v>0.97074623743642618</v>
      </c>
      <c r="Z171" s="19">
        <f>('[1]Short Spot'!Z172-'[1]Short Spot'!Z171)*100</f>
        <v>0.99179124893522541</v>
      </c>
      <c r="AA171" s="19">
        <f>('[1]Short Spot'!AA172-'[1]Short Spot'!AA171)*100</f>
        <v>1.0104584017581075</v>
      </c>
      <c r="AB171" s="19">
        <f>('[1]Short Spot'!AB172-'[1]Short Spot'!AB171)*100</f>
        <v>1.0268640803803741</v>
      </c>
      <c r="AC171" s="19">
        <f>('[1]Short Spot'!AC172-'[1]Short Spot'!AC171)*100</f>
        <v>1.0411242775886898</v>
      </c>
      <c r="AD171" s="19">
        <f>('[1]Short Spot'!AD172-'[1]Short Spot'!AD171)*100</f>
        <v>1.0533553556835606</v>
      </c>
      <c r="AE171" s="19">
        <f>('[1]Short Spot'!AE172-'[1]Short Spot'!AE171)*100</f>
        <v>1.0636714341331732</v>
      </c>
      <c r="AF171" s="19">
        <f>('[1]Short Spot'!AF172-'[1]Short Spot'!AF171)*100</f>
        <v>1.0721839574674874</v>
      </c>
      <c r="AG171" s="19">
        <f>('[1]Short Spot'!AG172-'[1]Short Spot'!AG171)*100</f>
        <v>1.0790021132097039</v>
      </c>
      <c r="AH171" s="19">
        <f>('[1]Short Spot'!AH172-'[1]Short Spot'!AH171)*100</f>
        <v>1.084233173846183</v>
      </c>
      <c r="AI171" s="19">
        <f>('[1]Short Spot'!AI172-'[1]Short Spot'!AI171)*100</f>
        <v>1.0879835341722988</v>
      </c>
      <c r="AJ171" s="19">
        <f>('[1]Short Spot'!AJ172-'[1]Short Spot'!AJ171)*100</f>
        <v>1.0903590998935897</v>
      </c>
      <c r="AK171" s="19">
        <f>('[1]Short Spot'!AK172-'[1]Short Spot'!AK171)*100</f>
        <v>1.0914599158096117</v>
      </c>
      <c r="AL171" s="19">
        <f>('[1]Short Spot'!AL172-'[1]Short Spot'!AL171)*100</f>
        <v>1.0913798040445677</v>
      </c>
      <c r="AM171" s="19">
        <f>('[1]Short Spot'!AM172-'[1]Short Spot'!AM171)*100</f>
        <v>1.0902071828204463</v>
      </c>
      <c r="AN171" s="19">
        <f>('[1]Short Spot'!AN172-'[1]Short Spot'!AN171)*100</f>
        <v>1.0880257961842332</v>
      </c>
      <c r="AO171" s="19">
        <f>('[1]Short Spot'!AO172-'[1]Short Spot'!AO171)*100</f>
        <v>1.0849155100925323</v>
      </c>
      <c r="AP171" s="19">
        <f>('[1]Short Spot'!AP172-'[1]Short Spot'!AP171)*100</f>
        <v>1.0809516763666593</v>
      </c>
      <c r="AQ171" s="19">
        <f>('[1]Short Spot'!AQ172-'[1]Short Spot'!AQ171)*100</f>
        <v>1.0762049561506615</v>
      </c>
      <c r="AR171" s="19">
        <f>('[1]Short Spot'!AR172-'[1]Short Spot'!AR171)*100</f>
        <v>1.0707418517739598</v>
      </c>
      <c r="AS171" s="19">
        <f>('[1]Short Spot'!AS172-'[1]Short Spot'!AS171)*100</f>
        <v>1.0646251793445138</v>
      </c>
      <c r="AT171" s="19">
        <f>('[1]Short Spot'!AT172-'[1]Short Spot'!AT171)*100</f>
        <v>1.0579144783293692</v>
      </c>
      <c r="AU171" s="19">
        <f>('[1]Short Spot'!AU172-'[1]Short Spot'!AU171)*100</f>
        <v>1.0506663676519423</v>
      </c>
      <c r="AV171" s="19">
        <f>('[1]Short Spot'!AV172-'[1]Short Spot'!AV171)*100</f>
        <v>1.0429347356507357</v>
      </c>
      <c r="AW171" s="19">
        <f>('[1]Short Spot'!AW172-'[1]Short Spot'!AW171)*100</f>
        <v>1.0347702489631239</v>
      </c>
      <c r="AX171" s="19">
        <f>('[1]Short Spot'!AX172-'[1]Short Spot'!AX171)*100</f>
        <v>1.0262201816147787</v>
      </c>
      <c r="AY171" s="19">
        <f>('[1]Short Spot'!AY172-'[1]Short Spot'!AY171)*100</f>
        <v>1.0173287305023315</v>
      </c>
      <c r="AZ171" s="19">
        <f>('[1]Short Spot'!AZ172-'[1]Short Spot'!AZ171)*100</f>
        <v>1.0081373170729435</v>
      </c>
      <c r="BA171" s="19">
        <f>('[1]Short Spot'!BA172-'[1]Short Spot'!BA171)*100</f>
        <v>0.99868485419403186</v>
      </c>
      <c r="BB171" s="19">
        <f>('[1]Short Spot'!BB172-'[1]Short Spot'!BB171)*100</f>
        <v>0.98900798281249536</v>
      </c>
      <c r="BC171" s="19">
        <f>('[1]Short Spot'!BC172-'[1]Short Spot'!BC171)*100</f>
        <v>0.97914128231710862</v>
      </c>
      <c r="BD171" s="19">
        <f>('[1]Short Spot'!BD172-'[1]Short Spot'!BD171)*100</f>
        <v>0.96911743295642339</v>
      </c>
      <c r="BE171" s="19">
        <f>('[1]Short Spot'!BE172-'[1]Short Spot'!BE171)*100</f>
        <v>0.95896720517005818</v>
      </c>
      <c r="BF171" s="19">
        <f>('[1]Short Spot'!BF172-'[1]Short Spot'!BF171)*100</f>
        <v>0.9487197476886422</v>
      </c>
      <c r="BG171" s="19">
        <f>('[1]Short Spot'!BG172-'[1]Short Spot'!BG171)*100</f>
        <v>0.93840296132414736</v>
      </c>
      <c r="BH171" s="19">
        <f>('[1]Short Spot'!BH172-'[1]Short Spot'!BH171)*100</f>
        <v>0.92804394033425552</v>
      </c>
      <c r="BI171" s="19">
        <f>('[1]Short Spot'!BI172-'[1]Short Spot'!BI171)*100</f>
        <v>0.91766840420852702</v>
      </c>
    </row>
    <row r="172" spans="1:61" x14ac:dyDescent="0.2">
      <c r="A172" s="18">
        <v>39330</v>
      </c>
      <c r="B172" s="19">
        <f>('[1]Short Spot'!B173-'[1]Short Spot'!B172)*100</f>
        <v>-3.6260789999363219</v>
      </c>
      <c r="C172" s="19">
        <f>('[1]Short Spot'!C173-'[1]Short Spot'!C172)*100</f>
        <v>-2.9721180201764064</v>
      </c>
      <c r="D172" s="19">
        <f>('[1]Short Spot'!D173-'[1]Short Spot'!D172)*100</f>
        <v>-3.0235915150357506</v>
      </c>
      <c r="E172" s="19">
        <f>('[1]Short Spot'!E173-'[1]Short Spot'!E172)*100</f>
        <v>-3.0698541454875716</v>
      </c>
      <c r="F172" s="19">
        <f>('[1]Short Spot'!F173-'[1]Short Spot'!F172)*100</f>
        <v>-3.0835083724129575</v>
      </c>
      <c r="G172" s="19">
        <f>('[1]Short Spot'!G173-'[1]Short Spot'!G172)*100</f>
        <v>-3.0920785202405376</v>
      </c>
      <c r="H172" s="19">
        <f>('[1]Short Spot'!H173-'[1]Short Spot'!H172)*100</f>
        <v>-3.1338076049871155</v>
      </c>
      <c r="I172" s="19">
        <f>('[1]Short Spot'!I173-'[1]Short Spot'!I172)*100</f>
        <v>-3.2338226506851697</v>
      </c>
      <c r="J172" s="19">
        <f>('[1]Short Spot'!J173-'[1]Short Spot'!J172)*100</f>
        <v>-3.3907188000958932</v>
      </c>
      <c r="K172" s="19">
        <f>('[1]Short Spot'!K173-'[1]Short Spot'!K172)*100</f>
        <v>-3.5886579521858586</v>
      </c>
      <c r="L172" s="19">
        <f>('[1]Short Spot'!L173-'[1]Short Spot'!L172)*100</f>
        <v>-3.8096447326549487</v>
      </c>
      <c r="M172" s="19">
        <f>('[1]Short Spot'!M173-'[1]Short Spot'!M172)*100</f>
        <v>-4.0397588491029701</v>
      </c>
      <c r="N172" s="19">
        <f>('[1]Short Spot'!N173-'[1]Short Spot'!N172)*100</f>
        <v>-4.2681463646163209</v>
      </c>
      <c r="O172" s="19">
        <f>('[1]Short Spot'!O173-'[1]Short Spot'!O172)*100</f>
        <v>-4.4870436992978213</v>
      </c>
      <c r="P172" s="19">
        <f>('[1]Short Spot'!P173-'[1]Short Spot'!P172)*100</f>
        <v>-4.6917698401139241</v>
      </c>
      <c r="Q172" s="19">
        <f>('[1]Short Spot'!Q173-'[1]Short Spot'!Q172)*100</f>
        <v>-4.87977309060037</v>
      </c>
      <c r="R172" s="19">
        <f>('[1]Short Spot'!R173-'[1]Short Spot'!R172)*100</f>
        <v>-5.0500030558650266</v>
      </c>
      <c r="S172" s="19">
        <f>('[1]Short Spot'!S173-'[1]Short Spot'!S172)*100</f>
        <v>-5.2024936990755499</v>
      </c>
      <c r="T172" s="19">
        <f>('[1]Short Spot'!T173-'[1]Short Spot'!T172)*100</f>
        <v>-5.3380448436376682</v>
      </c>
      <c r="U172" s="19">
        <f>('[1]Short Spot'!U173-'[1]Short Spot'!U172)*100</f>
        <v>-5.4577196753252011</v>
      </c>
      <c r="V172" s="19">
        <f>('[1]Short Spot'!V173-'[1]Short Spot'!V172)*100</f>
        <v>-5.5625787710498642</v>
      </c>
      <c r="W172" s="19">
        <f>('[1]Short Spot'!W173-'[1]Short Spot'!W172)*100</f>
        <v>-5.6536874064826215</v>
      </c>
      <c r="X172" s="19">
        <f>('[1]Short Spot'!X173-'[1]Short Spot'!X172)*100</f>
        <v>-5.7321146146379398</v>
      </c>
      <c r="Y172" s="19">
        <f>('[1]Short Spot'!Y173-'[1]Short Spot'!Y172)*100</f>
        <v>-5.798932403093815</v>
      </c>
      <c r="Z172" s="19">
        <f>('[1]Short Spot'!Z173-'[1]Short Spot'!Z172)*100</f>
        <v>-5.8552135613482825</v>
      </c>
      <c r="AA172" s="19">
        <f>('[1]Short Spot'!AA173-'[1]Short Spot'!AA172)*100</f>
        <v>-5.9019862095706088</v>
      </c>
      <c r="AB172" s="19">
        <f>('[1]Short Spot'!AB173-'[1]Short Spot'!AB172)*100</f>
        <v>-5.9401827563769771</v>
      </c>
      <c r="AC172" s="19">
        <f>('[1]Short Spot'!AC173-'[1]Short Spot'!AC172)*100</f>
        <v>-5.9706567184792725</v>
      </c>
      <c r="AD172" s="19">
        <f>('[1]Short Spot'!AD173-'[1]Short Spot'!AD172)*100</f>
        <v>-5.9941799905588233</v>
      </c>
      <c r="AE172" s="19">
        <f>('[1]Short Spot'!AE173-'[1]Short Spot'!AE172)*100</f>
        <v>-6.0114447614127542</v>
      </c>
      <c r="AF172" s="19">
        <f>('[1]Short Spot'!AF173-'[1]Short Spot'!AF172)*100</f>
        <v>-6.0230758857798605</v>
      </c>
      <c r="AG172" s="19">
        <f>('[1]Short Spot'!AG173-'[1]Short Spot'!AG172)*100</f>
        <v>-6.0296414052876557</v>
      </c>
      <c r="AH172" s="19">
        <f>('[1]Short Spot'!AH173-'[1]Short Spot'!AH172)*100</f>
        <v>-6.0316611564507738</v>
      </c>
      <c r="AI172" s="19">
        <f>('[1]Short Spot'!AI173-'[1]Short Spot'!AI172)*100</f>
        <v>-6.0296119891267708</v>
      </c>
      <c r="AJ172" s="19">
        <f>('[1]Short Spot'!AJ173-'[1]Short Spot'!AJ172)*100</f>
        <v>-6.0239238827716868</v>
      </c>
      <c r="AK172" s="19">
        <f>('[1]Short Spot'!AK173-'[1]Short Spot'!AK172)*100</f>
        <v>-6.0149830120440839</v>
      </c>
      <c r="AL172" s="19">
        <f>('[1]Short Spot'!AL173-'[1]Short Spot'!AL172)*100</f>
        <v>-6.0031380048758187</v>
      </c>
      <c r="AM172" s="19">
        <f>('[1]Short Spot'!AM173-'[1]Short Spot'!AM172)*100</f>
        <v>-5.988704882830298</v>
      </c>
      <c r="AN172" s="19">
        <f>('[1]Short Spot'!AN173-'[1]Short Spot'!AN172)*100</f>
        <v>-5.971971158269973</v>
      </c>
      <c r="AO172" s="19">
        <f>('[1]Short Spot'!AO173-'[1]Short Spot'!AO172)*100</f>
        <v>-5.9531977148611581</v>
      </c>
      <c r="AP172" s="19">
        <f>('[1]Short Spot'!AP173-'[1]Short Spot'!AP172)*100</f>
        <v>-5.9326200322874278</v>
      </c>
      <c r="AQ172" s="19">
        <f>('[1]Short Spot'!AQ173-'[1]Short Spot'!AQ172)*100</f>
        <v>-5.9104511520279068</v>
      </c>
      <c r="AR172" s="19">
        <f>('[1]Short Spot'!AR173-'[1]Short Spot'!AR172)*100</f>
        <v>-5.8868842932896293</v>
      </c>
      <c r="AS172" s="19">
        <f>('[1]Short Spot'!AS173-'[1]Short Spot'!AS172)*100</f>
        <v>-5.8620951055397441</v>
      </c>
      <c r="AT172" s="19">
        <f>('[1]Short Spot'!AT173-'[1]Short Spot'!AT172)*100</f>
        <v>-5.8362436206977009</v>
      </c>
      <c r="AU172" s="19">
        <f>('[1]Short Spot'!AU173-'[1]Short Spot'!AU172)*100</f>
        <v>-5.8094759507062221</v>
      </c>
      <c r="AV172" s="19">
        <f>('[1]Short Spot'!AV173-'[1]Short Spot'!AV172)*100</f>
        <v>-5.7819256733373514</v>
      </c>
      <c r="AW172" s="19">
        <f>('[1]Short Spot'!AW173-'[1]Short Spot'!AW172)*100</f>
        <v>-5.7537143868666263</v>
      </c>
      <c r="AX172" s="19">
        <f>('[1]Short Spot'!AX173-'[1]Short Spot'!AX172)*100</f>
        <v>-5.7249523610686026</v>
      </c>
      <c r="AY172" s="19">
        <f>('[1]Short Spot'!AY173-'[1]Short Spot'!AY172)*100</f>
        <v>-5.695739634793906</v>
      </c>
      <c r="AZ172" s="19">
        <f>('[1]Short Spot'!AZ173-'[1]Short Spot'!AZ172)*100</f>
        <v>-5.6661670190009339</v>
      </c>
      <c r="BA172" s="19">
        <f>('[1]Short Spot'!BA173-'[1]Short Spot'!BA172)*100</f>
        <v>-5.6363169840530247</v>
      </c>
      <c r="BB172" s="19">
        <f>('[1]Short Spot'!BB173-'[1]Short Spot'!BB172)*100</f>
        <v>-5.6062644465671774</v>
      </c>
      <c r="BC172" s="19">
        <f>('[1]Short Spot'!BC173-'[1]Short Spot'!BC172)*100</f>
        <v>-5.5760774688351944</v>
      </c>
      <c r="BD172" s="19">
        <f>('[1]Short Spot'!BD173-'[1]Short Spot'!BD172)*100</f>
        <v>-5.5458178966613758</v>
      </c>
      <c r="BE172" s="19">
        <f>('[1]Short Spot'!BE173-'[1]Short Spot'!BE172)*100</f>
        <v>-5.5155418207048612</v>
      </c>
      <c r="BF172" s="19">
        <f>('[1]Short Spot'!BF173-'[1]Short Spot'!BF172)*100</f>
        <v>-5.4852995354652379</v>
      </c>
      <c r="BG172" s="19">
        <f>('[1]Short Spot'!BG173-'[1]Short Spot'!BG172)*100</f>
        <v>-5.455135720817772</v>
      </c>
      <c r="BH172" s="19">
        <f>('[1]Short Spot'!BH173-'[1]Short Spot'!BH172)*100</f>
        <v>-5.4250894680614614</v>
      </c>
      <c r="BI172" s="19">
        <f>('[1]Short Spot'!BI173-'[1]Short Spot'!BI172)*100</f>
        <v>-5.3951953590339663</v>
      </c>
    </row>
    <row r="173" spans="1:61" x14ac:dyDescent="0.2">
      <c r="A173" s="18">
        <v>39331</v>
      </c>
      <c r="B173" s="19">
        <f>('[1]Short Spot'!B174-'[1]Short Spot'!B173)*100</f>
        <v>-6.5472468341081225</v>
      </c>
      <c r="C173" s="19">
        <f>('[1]Short Spot'!C174-'[1]Short Spot'!C173)*100</f>
        <v>-4.7208803076936867</v>
      </c>
      <c r="D173" s="19">
        <f>('[1]Short Spot'!D174-'[1]Short Spot'!D173)*100</f>
        <v>-4.4477617846266249</v>
      </c>
      <c r="E173" s="19">
        <f>('[1]Short Spot'!E174-'[1]Short Spot'!E173)*100</f>
        <v>-4.6399329528384214</v>
      </c>
      <c r="F173" s="19">
        <f>('[1]Short Spot'!F174-'[1]Short Spot'!F173)*100</f>
        <v>-4.9810467472382491</v>
      </c>
      <c r="G173" s="19">
        <f>('[1]Short Spot'!G174-'[1]Short Spot'!G173)*100</f>
        <v>-5.335629431235045</v>
      </c>
      <c r="H173" s="19">
        <f>('[1]Short Spot'!H174-'[1]Short Spot'!H173)*100</f>
        <v>-5.6358528370811456</v>
      </c>
      <c r="I173" s="19">
        <f>('[1]Short Spot'!I174-'[1]Short Spot'!I173)*100</f>
        <v>-5.8538032174372034</v>
      </c>
      <c r="J173" s="19">
        <f>('[1]Short Spot'!J174-'[1]Short Spot'!J173)*100</f>
        <v>-5.9859833778568294</v>
      </c>
      <c r="K173" s="19">
        <f>('[1]Short Spot'!K174-'[1]Short Spot'!K173)*100</f>
        <v>-6.0414744160272704</v>
      </c>
      <c r="L173" s="19">
        <f>('[1]Short Spot'!L174-'[1]Short Spot'!L173)*100</f>
        <v>-6.0349909620103226</v>
      </c>
      <c r="M173" s="19">
        <f>('[1]Short Spot'!M174-'[1]Short Spot'!M173)*100</f>
        <v>-5.983388384432331</v>
      </c>
      <c r="N173" s="19">
        <f>('[1]Short Spot'!N174-'[1]Short Spot'!N173)*100</f>
        <v>-5.9040614879777742</v>
      </c>
      <c r="O173" s="19">
        <f>('[1]Short Spot'!O174-'[1]Short Spot'!O173)*100</f>
        <v>-5.8095339478852814</v>
      </c>
      <c r="P173" s="19">
        <f>('[1]Short Spot'!P174-'[1]Short Spot'!P173)*100</f>
        <v>-5.7068024721600885</v>
      </c>
      <c r="Q173" s="19">
        <f>('[1]Short Spot'!Q174-'[1]Short Spot'!Q173)*100</f>
        <v>-5.6004760630099959</v>
      </c>
      <c r="R173" s="19">
        <f>('[1]Short Spot'!R174-'[1]Short Spot'!R173)*100</f>
        <v>-5.4936934523985848</v>
      </c>
      <c r="S173" s="19">
        <f>('[1]Short Spot'!S174-'[1]Short Spot'!S173)*100</f>
        <v>-5.388531684039144</v>
      </c>
      <c r="T173" s="19">
        <f>('[1]Short Spot'!T174-'[1]Short Spot'!T173)*100</f>
        <v>-5.2862671450529142</v>
      </c>
      <c r="U173" s="19">
        <f>('[1]Short Spot'!U174-'[1]Short Spot'!U173)*100</f>
        <v>-5.1875489164231681</v>
      </c>
      <c r="V173" s="19">
        <f>('[1]Short Spot'!V174-'[1]Short Spot'!V173)*100</f>
        <v>-5.0927221162618608</v>
      </c>
      <c r="W173" s="19">
        <f>('[1]Short Spot'!W174-'[1]Short Spot'!W173)*100</f>
        <v>-5.001949146894713</v>
      </c>
      <c r="X173" s="19">
        <f>('[1]Short Spot'!X174-'[1]Short Spot'!X173)*100</f>
        <v>-4.9152494612876296</v>
      </c>
      <c r="Y173" s="19">
        <f>('[1]Short Spot'!Y174-'[1]Short Spot'!Y173)*100</f>
        <v>-4.8325293441630279</v>
      </c>
      <c r="Z173" s="19">
        <f>('[1]Short Spot'!Z174-'[1]Short Spot'!Z173)*100</f>
        <v>-4.7536034368106606</v>
      </c>
      <c r="AA173" s="19">
        <f>('[1]Short Spot'!AA174-'[1]Short Spot'!AA173)*100</f>
        <v>-4.6782088793782428</v>
      </c>
      <c r="AB173" s="19">
        <f>('[1]Short Spot'!AB174-'[1]Short Spot'!AB173)*100</f>
        <v>-4.6060749826074776</v>
      </c>
      <c r="AC173" s="19">
        <f>('[1]Short Spot'!AC174-'[1]Short Spot'!AC173)*100</f>
        <v>-4.5369572509330602</v>
      </c>
      <c r="AD173" s="19">
        <f>('[1]Short Spot'!AD174-'[1]Short Spot'!AD173)*100</f>
        <v>-4.4706293715126577</v>
      </c>
      <c r="AE173" s="19">
        <f>('[1]Short Spot'!AE174-'[1]Short Spot'!AE173)*100</f>
        <v>-4.4068813811322549</v>
      </c>
      <c r="AF173" s="19">
        <f>('[1]Short Spot'!AF174-'[1]Short Spot'!AF173)*100</f>
        <v>-4.3455176712305921</v>
      </c>
      <c r="AG173" s="19">
        <f>('[1]Short Spot'!AG174-'[1]Short Spot'!AG173)*100</f>
        <v>-4.2863547449852213</v>
      </c>
      <c r="AH173" s="19">
        <f>('[1]Short Spot'!AH174-'[1]Short Spot'!AH173)*100</f>
        <v>-4.2292193818850521</v>
      </c>
      <c r="AI173" s="19">
        <f>('[1]Short Spot'!AI174-'[1]Short Spot'!AI173)*100</f>
        <v>-4.1739463101008845</v>
      </c>
      <c r="AJ173" s="19">
        <f>('[1]Short Spot'!AJ174-'[1]Short Spot'!AJ173)*100</f>
        <v>-4.1203782589748883</v>
      </c>
      <c r="AK173" s="19">
        <f>('[1]Short Spot'!AK174-'[1]Short Spot'!AK173)*100</f>
        <v>-4.0683713609291239</v>
      </c>
      <c r="AL173" s="19">
        <f>('[1]Short Spot'!AL174-'[1]Short Spot'!AL173)*100</f>
        <v>-4.01779437458476</v>
      </c>
      <c r="AM173" s="19">
        <f>('[1]Short Spot'!AM174-'[1]Short Spot'!AM173)*100</f>
        <v>-3.9685270234204317</v>
      </c>
      <c r="AN173" s="19">
        <f>('[1]Short Spot'!AN174-'[1]Short Spot'!AN173)*100</f>
        <v>-3.9204585609561526</v>
      </c>
      <c r="AO173" s="19">
        <f>('[1]Short Spot'!AO174-'[1]Short Spot'!AO173)*100</f>
        <v>-3.8734870842763058</v>
      </c>
      <c r="AP173" s="19">
        <f>('[1]Short Spot'!AP174-'[1]Short Spot'!AP173)*100</f>
        <v>-3.8275210665404735</v>
      </c>
      <c r="AQ173" s="19">
        <f>('[1]Short Spot'!AQ174-'[1]Short Spot'!AQ173)*100</f>
        <v>-3.7824790681203702</v>
      </c>
      <c r="AR173" s="19">
        <f>('[1]Short Spot'!AR174-'[1]Short Spot'!AR173)*100</f>
        <v>-3.7382885728097115</v>
      </c>
      <c r="AS173" s="19">
        <f>('[1]Short Spot'!AS174-'[1]Short Spot'!AS173)*100</f>
        <v>-3.6948849737975742</v>
      </c>
      <c r="AT173" s="19">
        <f>('[1]Short Spot'!AT174-'[1]Short Spot'!AT173)*100</f>
        <v>-3.6522106948480015</v>
      </c>
      <c r="AU173" s="19">
        <f>('[1]Short Spot'!AU174-'[1]Short Spot'!AU173)*100</f>
        <v>-3.6102144262624591</v>
      </c>
      <c r="AV173" s="19">
        <f>('[1]Short Spot'!AV174-'[1]Short Spot'!AV173)*100</f>
        <v>-3.5688505481231481</v>
      </c>
      <c r="AW173" s="19">
        <f>('[1]Short Spot'!AW174-'[1]Short Spot'!AW173)*100</f>
        <v>-3.5280789958716419</v>
      </c>
      <c r="AX173" s="19">
        <f>('[1]Short Spot'!AX174-'[1]Short Spot'!AX173)*100</f>
        <v>-3.4878649321059996</v>
      </c>
      <c r="AY173" s="19">
        <f>('[1]Short Spot'!AY174-'[1]Short Spot'!AY173)*100</f>
        <v>-3.4481782313873666</v>
      </c>
      <c r="AZ173" s="19">
        <f>('[1]Short Spot'!AZ174-'[1]Short Spot'!AZ173)*100</f>
        <v>-3.408993018283546</v>
      </c>
      <c r="BA173" s="19">
        <f>('[1]Short Spot'!BA174-'[1]Short Spot'!BA173)*100</f>
        <v>-3.3702872587139332</v>
      </c>
      <c r="BB173" s="19">
        <f>('[1]Short Spot'!BB174-'[1]Short Spot'!BB173)*100</f>
        <v>-3.3320423975585101</v>
      </c>
      <c r="BC173" s="19">
        <f>('[1]Short Spot'!BC174-'[1]Short Spot'!BC173)*100</f>
        <v>-3.294243036530542</v>
      </c>
      <c r="BD173" s="19">
        <f>('[1]Short Spot'!BD174-'[1]Short Spot'!BD173)*100</f>
        <v>-3.2568766509531777</v>
      </c>
      <c r="BE173" s="19">
        <f>('[1]Short Spot'!BE174-'[1]Short Spot'!BE173)*100</f>
        <v>-3.2199330341383892</v>
      </c>
      <c r="BF173" s="19">
        <f>('[1]Short Spot'!BF174-'[1]Short Spot'!BF173)*100</f>
        <v>-3.1834033077490886</v>
      </c>
      <c r="BG173" s="19">
        <f>('[1]Short Spot'!BG174-'[1]Short Spot'!BG173)*100</f>
        <v>-3.1472795818684673</v>
      </c>
      <c r="BH173" s="19">
        <f>('[1]Short Spot'!BH174-'[1]Short Spot'!BH173)*100</f>
        <v>-3.1115553970799681</v>
      </c>
      <c r="BI173" s="19">
        <f>('[1]Short Spot'!BI174-'[1]Short Spot'!BI173)*100</f>
        <v>-3.0762264883252399</v>
      </c>
    </row>
    <row r="174" spans="1:61" x14ac:dyDescent="0.2">
      <c r="A174" s="18">
        <v>39332</v>
      </c>
      <c r="B174" s="19">
        <f>('[1]Short Spot'!B175-'[1]Short Spot'!B174)*100</f>
        <v>-0.27979133979449955</v>
      </c>
      <c r="C174" s="19">
        <f>('[1]Short Spot'!C175-'[1]Short Spot'!C174)*100</f>
        <v>0.26323929092866294</v>
      </c>
      <c r="D174" s="19">
        <f>('[1]Short Spot'!D175-'[1]Short Spot'!D174)*100</f>
        <v>-0.72876089199382932</v>
      </c>
      <c r="E174" s="19">
        <f>('[1]Short Spot'!E175-'[1]Short Spot'!E174)*100</f>
        <v>-2.1803245320239917</v>
      </c>
      <c r="F174" s="19">
        <f>('[1]Short Spot'!F175-'[1]Short Spot'!F174)*100</f>
        <v>-3.5353599727421248</v>
      </c>
      <c r="G174" s="19">
        <f>('[1]Short Spot'!G175-'[1]Short Spot'!G174)*100</f>
        <v>-4.6362797291455315</v>
      </c>
      <c r="H174" s="19">
        <f>('[1]Short Spot'!H175-'[1]Short Spot'!H174)*100</f>
        <v>-5.4715044380467148</v>
      </c>
      <c r="I174" s="19">
        <f>('[1]Short Spot'!I175-'[1]Short Spot'!I174)*100</f>
        <v>-6.1216760461552333</v>
      </c>
      <c r="J174" s="19">
        <f>('[1]Short Spot'!J175-'[1]Short Spot'!J174)*100</f>
        <v>-6.6485742566219308</v>
      </c>
      <c r="K174" s="19">
        <f>('[1]Short Spot'!K175-'[1]Short Spot'!K174)*100</f>
        <v>-7.0925186424599218</v>
      </c>
      <c r="L174" s="19">
        <f>('[1]Short Spot'!L175-'[1]Short Spot'!L174)*100</f>
        <v>-7.4769057554837204</v>
      </c>
      <c r="M174" s="19">
        <f>('[1]Short Spot'!M175-'[1]Short Spot'!M174)*100</f>
        <v>-7.8144128541437929</v>
      </c>
      <c r="N174" s="19">
        <f>('[1]Short Spot'!N175-'[1]Short Spot'!N174)*100</f>
        <v>-8.1117652971312459</v>
      </c>
      <c r="O174" s="19">
        <f>('[1]Short Spot'!O175-'[1]Short Spot'!O174)*100</f>
        <v>-8.372965423228429</v>
      </c>
      <c r="P174" s="19">
        <f>('[1]Short Spot'!P175-'[1]Short Spot'!P174)*100</f>
        <v>-8.601026262919742</v>
      </c>
      <c r="Q174" s="19">
        <f>('[1]Short Spot'!Q175-'[1]Short Spot'!Q174)*100</f>
        <v>-8.7989118387479692</v>
      </c>
      <c r="R174" s="19">
        <f>('[1]Short Spot'!R175-'[1]Short Spot'!R174)*100</f>
        <v>-8.9696224749652664</v>
      </c>
      <c r="S174" s="19">
        <f>('[1]Short Spot'!S175-'[1]Short Spot'!S174)*100</f>
        <v>-9.1161846899386667</v>
      </c>
      <c r="T174" s="19">
        <f>('[1]Short Spot'!T175-'[1]Short Spot'!T174)*100</f>
        <v>-9.2415374736703804</v>
      </c>
      <c r="U174" s="19">
        <f>('[1]Short Spot'!U175-'[1]Short Spot'!U174)*100</f>
        <v>-9.3480454313590755</v>
      </c>
      <c r="V174" s="19">
        <f>('[1]Short Spot'!V175-'[1]Short Spot'!V174)*100</f>
        <v>-9.437692435467504</v>
      </c>
      <c r="W174" s="19">
        <f>('[1]Short Spot'!W175-'[1]Short Spot'!W174)*100</f>
        <v>-9.5122513867405445</v>
      </c>
      <c r="X174" s="19">
        <f>('[1]Short Spot'!X175-'[1]Short Spot'!X174)*100</f>
        <v>-9.5733300977353331</v>
      </c>
      <c r="Y174" s="19">
        <f>('[1]Short Spot'!Y175-'[1]Short Spot'!Y174)*100</f>
        <v>-9.6224056861946572</v>
      </c>
      <c r="Z174" s="19">
        <f>('[1]Short Spot'!Z175-'[1]Short Spot'!Z174)*100</f>
        <v>-9.6608437643257439</v>
      </c>
      <c r="AA174" s="19">
        <f>('[1]Short Spot'!AA175-'[1]Short Spot'!AA174)*100</f>
        <v>-9.6898193445746017</v>
      </c>
      <c r="AB174" s="19">
        <f>('[1]Short Spot'!AB175-'[1]Short Spot'!AB174)*100</f>
        <v>-9.7103192716867959</v>
      </c>
      <c r="AC174" s="19">
        <f>('[1]Short Spot'!AC175-'[1]Short Spot'!AC174)*100</f>
        <v>-9.7232119580763943</v>
      </c>
      <c r="AD174" s="19">
        <f>('[1]Short Spot'!AD175-'[1]Short Spot'!AD174)*100</f>
        <v>-9.7292588584077855</v>
      </c>
      <c r="AE174" s="19">
        <f>('[1]Short Spot'!AE175-'[1]Short Spot'!AE174)*100</f>
        <v>-9.7291386954585057</v>
      </c>
      <c r="AF174" s="19">
        <f>('[1]Short Spot'!AF175-'[1]Short Spot'!AF174)*100</f>
        <v>-9.7234625635933547</v>
      </c>
      <c r="AG174" s="19">
        <f>('[1]Short Spot'!AG175-'[1]Short Spot'!AG174)*100</f>
        <v>-9.7127844957024756</v>
      </c>
      <c r="AH174" s="19">
        <f>('[1]Short Spot'!AH175-'[1]Short Spot'!AH174)*100</f>
        <v>-9.6976101001070347</v>
      </c>
      <c r="AI174" s="19">
        <f>('[1]Short Spot'!AI175-'[1]Short Spot'!AI174)*100</f>
        <v>-9.6783981804989594</v>
      </c>
      <c r="AJ174" s="19">
        <f>('[1]Short Spot'!AJ175-'[1]Short Spot'!AJ174)*100</f>
        <v>-9.6555531180699816</v>
      </c>
      <c r="AK174" s="19">
        <f>('[1]Short Spot'!AK175-'[1]Short Spot'!AK174)*100</f>
        <v>-9.6294373161962987</v>
      </c>
      <c r="AL174" s="19">
        <f>('[1]Short Spot'!AL175-'[1]Short Spot'!AL174)*100</f>
        <v>-9.6003785073761172</v>
      </c>
      <c r="AM174" s="19">
        <f>('[1]Short Spot'!AM175-'[1]Short Spot'!AM174)*100</f>
        <v>-9.5686743151870424</v>
      </c>
      <c r="AN174" s="19">
        <f>('[1]Short Spot'!AN175-'[1]Short Spot'!AN174)*100</f>
        <v>-9.5345958436125144</v>
      </c>
      <c r="AO174" s="19">
        <f>('[1]Short Spot'!AO175-'[1]Short Spot'!AO174)*100</f>
        <v>-9.4983884770200255</v>
      </c>
      <c r="AP174" s="19">
        <f>('[1]Short Spot'!AP175-'[1]Short Spot'!AP174)*100</f>
        <v>-9.4602750849782424</v>
      </c>
      <c r="AQ174" s="19">
        <f>('[1]Short Spot'!AQ175-'[1]Short Spot'!AQ174)*100</f>
        <v>-9.4204596600159896</v>
      </c>
      <c r="AR174" s="19">
        <f>('[1]Short Spot'!AR175-'[1]Short Spot'!AR174)*100</f>
        <v>-9.3791295233559779</v>
      </c>
      <c r="AS174" s="19">
        <f>('[1]Short Spot'!AS175-'[1]Short Spot'!AS174)*100</f>
        <v>-9.3364572193824102</v>
      </c>
      <c r="AT174" s="19">
        <f>('[1]Short Spot'!AT175-'[1]Short Spot'!AT174)*100</f>
        <v>-9.2926021575111761</v>
      </c>
      <c r="AU174" s="19">
        <f>('[1]Short Spot'!AU175-'[1]Short Spot'!AU174)*100</f>
        <v>-9.2477120397262524</v>
      </c>
      <c r="AV174" s="19">
        <f>('[1]Short Spot'!AV175-'[1]Short Spot'!AV174)*100</f>
        <v>-9.2019238944803128</v>
      </c>
      <c r="AW174" s="19">
        <f>('[1]Short Spot'!AW175-'[1]Short Spot'!AW174)*100</f>
        <v>-9.1553639121185526</v>
      </c>
      <c r="AX174" s="19">
        <f>('[1]Short Spot'!AX175-'[1]Short Spot'!AX174)*100</f>
        <v>-9.1081477630329921</v>
      </c>
      <c r="AY174" s="19">
        <f>('[1]Short Spot'!AY175-'[1]Short Spot'!AY174)*100</f>
        <v>-9.0603816138725257</v>
      </c>
      <c r="AZ174" s="19">
        <f>('[1]Short Spot'!AZ175-'[1]Short Spot'!AZ174)*100</f>
        <v>-9.012163059281697</v>
      </c>
      <c r="BA174" s="19">
        <f>('[1]Short Spot'!BA175-'[1]Short Spot'!BA174)*100</f>
        <v>-8.9635819461328481</v>
      </c>
      <c r="BB174" s="19">
        <f>('[1]Short Spot'!BB175-'[1]Short Spot'!BB174)*100</f>
        <v>-8.9147211044467767</v>
      </c>
      <c r="BC174" s="19">
        <f>('[1]Short Spot'!BC175-'[1]Short Spot'!BC174)*100</f>
        <v>-8.8656569971026222</v>
      </c>
      <c r="BD174" s="19">
        <f>('[1]Short Spot'!BD175-'[1]Short Spot'!BD174)*100</f>
        <v>-8.8164603266018382</v>
      </c>
      <c r="BE174" s="19">
        <f>('[1]Short Spot'!BE175-'[1]Short Spot'!BE174)*100</f>
        <v>-8.7671960614395417</v>
      </c>
      <c r="BF174" s="19">
        <f>('[1]Short Spot'!BF175-'[1]Short Spot'!BF174)*100</f>
        <v>-8.7179225167776764</v>
      </c>
      <c r="BG174" s="19">
        <f>('[1]Short Spot'!BG175-'[1]Short Spot'!BG174)*100</f>
        <v>-8.6686912477722977</v>
      </c>
      <c r="BH174" s="19">
        <f>('[1]Short Spot'!BH175-'[1]Short Spot'!BH174)*100</f>
        <v>-8.6195476309629093</v>
      </c>
      <c r="BI174" s="19">
        <f>('[1]Short Spot'!BI175-'[1]Short Spot'!BI174)*100</f>
        <v>-8.5705335419110185</v>
      </c>
    </row>
    <row r="175" spans="1:61" x14ac:dyDescent="0.2">
      <c r="A175" s="18">
        <v>39335</v>
      </c>
      <c r="B175" s="19">
        <f>('[1]Short Spot'!B176-'[1]Short Spot'!B175)*100</f>
        <v>0.23181382625203639</v>
      </c>
      <c r="C175" s="19">
        <f>('[1]Short Spot'!C176-'[1]Short Spot'!C175)*100</f>
        <v>-1.3098395371324401</v>
      </c>
      <c r="D175" s="19">
        <f>('[1]Short Spot'!D176-'[1]Short Spot'!D175)*100</f>
        <v>-2.5876142810484559</v>
      </c>
      <c r="E175" s="19">
        <f>('[1]Short Spot'!E176-'[1]Short Spot'!E175)*100</f>
        <v>-3.6534006239614669</v>
      </c>
      <c r="F175" s="19">
        <f>('[1]Short Spot'!F176-'[1]Short Spot'!F175)*100</f>
        <v>-4.5051624481061481</v>
      </c>
      <c r="G175" s="19">
        <f>('[1]Short Spot'!G176-'[1]Short Spot'!G175)*100</f>
        <v>-5.1750069142525668</v>
      </c>
      <c r="H175" s="19">
        <f>('[1]Short Spot'!H176-'[1]Short Spot'!H175)*100</f>
        <v>-5.7083612991219113</v>
      </c>
      <c r="I175" s="19">
        <f>('[1]Short Spot'!I176-'[1]Short Spot'!I175)*100</f>
        <v>-6.1403494869002984</v>
      </c>
      <c r="J175" s="19">
        <f>('[1]Short Spot'!J176-'[1]Short Spot'!J175)*100</f>
        <v>-6.4910333564551337</v>
      </c>
      <c r="K175" s="19">
        <f>('[1]Short Spot'!K176-'[1]Short Spot'!K175)*100</f>
        <v>-6.7740823984562937</v>
      </c>
      <c r="L175" s="19">
        <f>('[1]Short Spot'!L176-'[1]Short Spot'!L175)*100</f>
        <v>-7.0018089245861503</v>
      </c>
      <c r="M175" s="19">
        <f>('[1]Short Spot'!M176-'[1]Short Spot'!M175)*100</f>
        <v>-7.1836992785484277</v>
      </c>
      <c r="N175" s="19">
        <f>('[1]Short Spot'!N176-'[1]Short Spot'!N175)*100</f>
        <v>-7.3270195895394075</v>
      </c>
      <c r="O175" s="19">
        <f>('[1]Short Spot'!O176-'[1]Short Spot'!O175)*100</f>
        <v>-7.4387667436834448</v>
      </c>
      <c r="P175" s="19">
        <f>('[1]Short Spot'!P176-'[1]Short Spot'!P175)*100</f>
        <v>-7.5252194659615412</v>
      </c>
      <c r="Q175" s="19">
        <f>('[1]Short Spot'!Q176-'[1]Short Spot'!Q175)*100</f>
        <v>-7.5912323327194109</v>
      </c>
      <c r="R175" s="19">
        <f>('[1]Short Spot'!R176-'[1]Short Spot'!R175)*100</f>
        <v>-7.6405642623403658</v>
      </c>
      <c r="S175" s="19">
        <f>('[1]Short Spot'!S176-'[1]Short Spot'!S175)*100</f>
        <v>-7.6761828606123572</v>
      </c>
      <c r="T175" s="19">
        <f>('[1]Short Spot'!T176-'[1]Short Spot'!T175)*100</f>
        <v>-7.7004332899563543</v>
      </c>
      <c r="U175" s="19">
        <f>('[1]Short Spot'!U176-'[1]Short Spot'!U175)*100</f>
        <v>-7.7150798550887245</v>
      </c>
      <c r="V175" s="19">
        <f>('[1]Short Spot'!V176-'[1]Short Spot'!V175)*100</f>
        <v>-7.7215329171096414</v>
      </c>
      <c r="W175" s="19">
        <f>('[1]Short Spot'!W176-'[1]Short Spot'!W175)*100</f>
        <v>-7.7209582158998202</v>
      </c>
      <c r="X175" s="19">
        <f>('[1]Short Spot'!X176-'[1]Short Spot'!X175)*100</f>
        <v>-7.7143300486476996</v>
      </c>
      <c r="Y175" s="19">
        <f>('[1]Short Spot'!Y176-'[1]Short Spot'!Y175)*100</f>
        <v>-7.7024711537426072</v>
      </c>
      <c r="Z175" s="19">
        <f>('[1]Short Spot'!Z176-'[1]Short Spot'!Z175)*100</f>
        <v>-7.6860802416511831</v>
      </c>
      <c r="AA175" s="19">
        <f>('[1]Short Spot'!AA176-'[1]Short Spot'!AA175)*100</f>
        <v>-7.6657321230782394</v>
      </c>
      <c r="AB175" s="19">
        <f>('[1]Short Spot'!AB176-'[1]Short Spot'!AB175)*100</f>
        <v>-7.6419178531695664</v>
      </c>
      <c r="AC175" s="19">
        <f>('[1]Short Spot'!AC176-'[1]Short Spot'!AC175)*100</f>
        <v>-7.6150745515813689</v>
      </c>
      <c r="AD175" s="19">
        <f>('[1]Short Spot'!AD176-'[1]Short Spot'!AD175)*100</f>
        <v>-7.5855846348285461</v>
      </c>
      <c r="AE175" s="19">
        <f>('[1]Short Spot'!AE176-'[1]Short Spot'!AE175)*100</f>
        <v>-7.553782585452673</v>
      </c>
      <c r="AF175" s="19">
        <f>('[1]Short Spot'!AF176-'[1]Short Spot'!AF175)*100</f>
        <v>-7.5199629301322624</v>
      </c>
      <c r="AG175" s="19">
        <f>('[1]Short Spot'!AG176-'[1]Short Spot'!AG175)*100</f>
        <v>-7.484386482787464</v>
      </c>
      <c r="AH175" s="19">
        <f>('[1]Short Spot'!AH176-'[1]Short Spot'!AH175)*100</f>
        <v>-7.4472854435052582</v>
      </c>
      <c r="AI175" s="19">
        <f>('[1]Short Spot'!AI176-'[1]Short Spot'!AI175)*100</f>
        <v>-7.4088653795674198</v>
      </c>
      <c r="AJ175" s="19">
        <f>('[1]Short Spot'!AJ176-'[1]Short Spot'!AJ175)*100</f>
        <v>-7.3693045016763215</v>
      </c>
      <c r="AK175" s="19">
        <f>('[1]Short Spot'!AK176-'[1]Short Spot'!AK175)*100</f>
        <v>-7.3287594723332461</v>
      </c>
      <c r="AL175" s="19">
        <f>('[1]Short Spot'!AL176-'[1]Short Spot'!AL175)*100</f>
        <v>-7.2873687792859521</v>
      </c>
      <c r="AM175" s="19">
        <f>('[1]Short Spot'!AM176-'[1]Short Spot'!AM175)*100</f>
        <v>-7.2452551269430288</v>
      </c>
      <c r="AN175" s="19">
        <f>('[1]Short Spot'!AN176-'[1]Short Spot'!AN175)*100</f>
        <v>-7.2025273564024772</v>
      </c>
      <c r="AO175" s="19">
        <f>('[1]Short Spot'!AO176-'[1]Short Spot'!AO175)*100</f>
        <v>-7.1592816055555453</v>
      </c>
      <c r="AP175" s="19">
        <f>('[1]Short Spot'!AP176-'[1]Short Spot'!AP175)*100</f>
        <v>-7.1156034432611648</v>
      </c>
      <c r="AQ175" s="19">
        <f>('[1]Short Spot'!AQ176-'[1]Short Spot'!AQ175)*100</f>
        <v>-7.0715694879366353</v>
      </c>
      <c r="AR175" s="19">
        <f>('[1]Short Spot'!AR176-'[1]Short Spot'!AR175)*100</f>
        <v>-7.0272484499108501</v>
      </c>
      <c r="AS175" s="19">
        <f>('[1]Short Spot'!AS176-'[1]Short Spot'!AS175)*100</f>
        <v>-6.9827020300700759</v>
      </c>
      <c r="AT175" s="19">
        <f>('[1]Short Spot'!AT176-'[1]Short Spot'!AT175)*100</f>
        <v>-6.9379856986853561</v>
      </c>
      <c r="AU175" s="19">
        <f>('[1]Short Spot'!AU176-'[1]Short Spot'!AU175)*100</f>
        <v>-6.893149372983931</v>
      </c>
      <c r="AV175" s="19">
        <f>('[1]Short Spot'!AV176-'[1]Short Spot'!AV175)*100</f>
        <v>-6.8482380747319382</v>
      </c>
      <c r="AW175" s="19">
        <f>('[1]Short Spot'!AW176-'[1]Short Spot'!AW175)*100</f>
        <v>-6.8032927182558822</v>
      </c>
      <c r="AX175" s="19">
        <f>('[1]Short Spot'!AX176-'[1]Short Spot'!AX175)*100</f>
        <v>-6.7583506538054117</v>
      </c>
      <c r="AY175" s="19">
        <f>('[1]Short Spot'!AY176-'[1]Short Spot'!AY175)*100</f>
        <v>-6.7134460271665475</v>
      </c>
      <c r="AZ175" s="19">
        <f>('[1]Short Spot'!AZ176-'[1]Short Spot'!AZ175)*100</f>
        <v>-6.668610093824423</v>
      </c>
      <c r="BA175" s="19">
        <f>('[1]Short Spot'!BA176-'[1]Short Spot'!BA175)*100</f>
        <v>-6.6238714968774204</v>
      </c>
      <c r="BB175" s="19">
        <f>('[1]Short Spot'!BB176-'[1]Short Spot'!BB175)*100</f>
        <v>-6.5792565134885628</v>
      </c>
      <c r="BC175" s="19">
        <f>('[1]Short Spot'!BC176-'[1]Short Spot'!BC175)*100</f>
        <v>-6.5347892739538338</v>
      </c>
      <c r="BD175" s="19">
        <f>('[1]Short Spot'!BD176-'[1]Short Spot'!BD175)*100</f>
        <v>-6.4904919827137419</v>
      </c>
      <c r="BE175" s="19">
        <f>('[1]Short Spot'!BE176-'[1]Short Spot'!BE175)*100</f>
        <v>-6.4463851443620435</v>
      </c>
      <c r="BF175" s="19">
        <f>('[1]Short Spot'!BF176-'[1]Short Spot'!BF175)*100</f>
        <v>-6.4024875572293638</v>
      </c>
      <c r="BG175" s="19">
        <f>('[1]Short Spot'!BG176-'[1]Short Spot'!BG175)*100</f>
        <v>-6.3588162774928847</v>
      </c>
      <c r="BH175" s="19">
        <f>('[1]Short Spot'!BH176-'[1]Short Spot'!BH175)*100</f>
        <v>-6.3153868083882791</v>
      </c>
      <c r="BI175" s="19">
        <f>('[1]Short Spot'!BI176-'[1]Short Spot'!BI175)*100</f>
        <v>-6.2722138584978104</v>
      </c>
    </row>
    <row r="176" spans="1:61" x14ac:dyDescent="0.2">
      <c r="A176" s="18">
        <v>39336</v>
      </c>
      <c r="B176" s="19">
        <f>('[1]Short Spot'!B177-'[1]Short Spot'!B176)*100</f>
        <v>-7.151341234727937E-2</v>
      </c>
      <c r="C176" s="19">
        <f>('[1]Short Spot'!C177-'[1]Short Spot'!C176)*100</f>
        <v>-0.25896033987908851</v>
      </c>
      <c r="D176" s="19">
        <f>('[1]Short Spot'!D177-'[1]Short Spot'!D176)*100</f>
        <v>-0.85166873556934419</v>
      </c>
      <c r="E176" s="19">
        <f>('[1]Short Spot'!E177-'[1]Short Spot'!E176)*100</f>
        <v>-1.4074430925223425</v>
      </c>
      <c r="F176" s="19">
        <f>('[1]Short Spot'!F177-'[1]Short Spot'!F176)*100</f>
        <v>-1.8453647961244712</v>
      </c>
      <c r="G176" s="19">
        <f>('[1]Short Spot'!G177-'[1]Short Spot'!G176)*100</f>
        <v>-2.1872660000147981</v>
      </c>
      <c r="H176" s="19">
        <f>('[1]Short Spot'!H177-'[1]Short Spot'!H176)*100</f>
        <v>-2.4923524767417327</v>
      </c>
      <c r="I176" s="19">
        <f>('[1]Short Spot'!I177-'[1]Short Spot'!I176)*100</f>
        <v>-2.813507217158584</v>
      </c>
      <c r="J176" s="19">
        <f>('[1]Short Spot'!J177-'[1]Short Spot'!J176)*100</f>
        <v>-3.1640101629678341</v>
      </c>
      <c r="K176" s="19">
        <f>('[1]Short Spot'!K177-'[1]Short Spot'!K176)*100</f>
        <v>-3.5345868871034192</v>
      </c>
      <c r="L176" s="19">
        <f>('[1]Short Spot'!L177-'[1]Short Spot'!L176)*100</f>
        <v>-3.9099728608583462</v>
      </c>
      <c r="M176" s="19">
        <f>('[1]Short Spot'!M177-'[1]Short Spot'!M176)*100</f>
        <v>-4.2773002911782321</v>
      </c>
      <c r="N176" s="19">
        <f>('[1]Short Spot'!N177-'[1]Short Spot'!N176)*100</f>
        <v>-4.6258203139513121</v>
      </c>
      <c r="O176" s="19">
        <f>('[1]Short Spot'!O177-'[1]Short Spot'!O176)*100</f>
        <v>-4.9476970079256333</v>
      </c>
      <c r="P176" s="19">
        <f>('[1]Short Spot'!P177-'[1]Short Spot'!P176)*100</f>
        <v>-5.2385722480253527</v>
      </c>
      <c r="Q176" s="19">
        <f>('[1]Short Spot'!Q177-'[1]Short Spot'!Q176)*100</f>
        <v>-5.4965830204607435</v>
      </c>
      <c r="R176" s="19">
        <f>('[1]Short Spot'!R177-'[1]Short Spot'!R176)*100</f>
        <v>-5.7216207851489287</v>
      </c>
      <c r="S176" s="19">
        <f>('[1]Short Spot'!S177-'[1]Short Spot'!S176)*100</f>
        <v>-5.9148441159043053</v>
      </c>
      <c r="T176" s="19">
        <f>('[1]Short Spot'!T177-'[1]Short Spot'!T176)*100</f>
        <v>-6.0782585278619905</v>
      </c>
      <c r="U176" s="19">
        <f>('[1]Short Spot'!U177-'[1]Short Spot'!U176)*100</f>
        <v>-6.2140200468513207</v>
      </c>
      <c r="V176" s="19">
        <f>('[1]Short Spot'!V177-'[1]Short Spot'!V176)*100</f>
        <v>-6.3241830915886865</v>
      </c>
      <c r="W176" s="19">
        <f>('[1]Short Spot'!W177-'[1]Short Spot'!W176)*100</f>
        <v>-6.4107277837386789</v>
      </c>
      <c r="X176" s="19">
        <f>('[1]Short Spot'!X177-'[1]Short Spot'!X176)*100</f>
        <v>-6.4755760994468226</v>
      </c>
      <c r="Y176" s="19">
        <f>('[1]Short Spot'!Y177-'[1]Short Spot'!Y176)*100</f>
        <v>-6.5206039829897477</v>
      </c>
      <c r="Z176" s="19">
        <f>('[1]Short Spot'!Z177-'[1]Short Spot'!Z176)*100</f>
        <v>-6.5476449934658731</v>
      </c>
      <c r="AA176" s="19">
        <f>('[1]Short Spot'!AA177-'[1]Short Spot'!AA176)*100</f>
        <v>-6.5584157045949887</v>
      </c>
      <c r="AB176" s="19">
        <f>('[1]Short Spot'!AB177-'[1]Short Spot'!AB176)*100</f>
        <v>-6.5544556110284979</v>
      </c>
      <c r="AC176" s="19">
        <f>('[1]Short Spot'!AC177-'[1]Short Spot'!AC176)*100</f>
        <v>-6.537153586560418</v>
      </c>
      <c r="AD176" s="19">
        <f>('[1]Short Spot'!AD177-'[1]Short Spot'!AD176)*100</f>
        <v>-6.5077604794604227</v>
      </c>
      <c r="AE176" s="19">
        <f>('[1]Short Spot'!AE177-'[1]Short Spot'!AE176)*100</f>
        <v>-6.4674084547548638</v>
      </c>
      <c r="AF176" s="19">
        <f>('[1]Short Spot'!AF177-'[1]Short Spot'!AF176)*100</f>
        <v>-6.4171303232215315</v>
      </c>
      <c r="AG176" s="19">
        <f>('[1]Short Spot'!AG177-'[1]Short Spot'!AG176)*100</f>
        <v>-6.3578750654905924</v>
      </c>
      <c r="AH176" s="19">
        <f>('[1]Short Spot'!AH177-'[1]Short Spot'!AH176)*100</f>
        <v>-6.290520515301079</v>
      </c>
      <c r="AI176" s="19">
        <f>('[1]Short Spot'!AI177-'[1]Short Spot'!AI176)*100</f>
        <v>-6.2158791243747125</v>
      </c>
      <c r="AJ176" s="19">
        <f>('[1]Short Spot'!AJ177-'[1]Short Spot'!AJ176)*100</f>
        <v>-6.1346906075789853</v>
      </c>
      <c r="AK176" s="19">
        <f>('[1]Short Spot'!AK177-'[1]Short Spot'!AK176)*100</f>
        <v>-6.0476272039908352</v>
      </c>
      <c r="AL176" s="19">
        <f>('[1]Short Spot'!AL177-'[1]Short Spot'!AL176)*100</f>
        <v>-5.9553029348792919</v>
      </c>
      <c r="AM176" s="19">
        <f>('[1]Short Spot'!AM177-'[1]Short Spot'!AM176)*100</f>
        <v>-5.8582812639459192</v>
      </c>
      <c r="AN176" s="19">
        <f>('[1]Short Spot'!AN177-'[1]Short Spot'!AN176)*100</f>
        <v>-5.7570812728635623</v>
      </c>
      <c r="AO176" s="19">
        <f>('[1]Short Spot'!AO177-'[1]Short Spot'!AO176)*100</f>
        <v>-5.6521793809864107</v>
      </c>
      <c r="AP176" s="19">
        <f>('[1]Short Spot'!AP177-'[1]Short Spot'!AP176)*100</f>
        <v>-5.5440107218442058</v>
      </c>
      <c r="AQ176" s="19">
        <f>('[1]Short Spot'!AQ177-'[1]Short Spot'!AQ176)*100</f>
        <v>-5.4329737863136884</v>
      </c>
      <c r="AR176" s="19">
        <f>('[1]Short Spot'!AR177-'[1]Short Spot'!AR176)*100</f>
        <v>-5.3194346841489271</v>
      </c>
      <c r="AS176" s="19">
        <f>('[1]Short Spot'!AS177-'[1]Short Spot'!AS176)*100</f>
        <v>-5.2037308236545954</v>
      </c>
      <c r="AT176" s="19">
        <f>('[1]Short Spot'!AT177-'[1]Short Spot'!AT176)*100</f>
        <v>-5.0861741007361516</v>
      </c>
      <c r="AU176" s="19">
        <f>('[1]Short Spot'!AU177-'[1]Short Spot'!AU176)*100</f>
        <v>-4.9670536684481625</v>
      </c>
      <c r="AV176" s="19">
        <f>('[1]Short Spot'!AV177-'[1]Short Spot'!AV176)*100</f>
        <v>-4.8466377533552318</v>
      </c>
      <c r="AW176" s="19">
        <f>('[1]Short Spot'!AW177-'[1]Short Spot'!AW176)*100</f>
        <v>-4.7251734363435993</v>
      </c>
      <c r="AX176" s="19">
        <f>('[1]Short Spot'!AX177-'[1]Short Spot'!AX176)*100</f>
        <v>-4.6028877792794631</v>
      </c>
      <c r="AY176" s="19">
        <f>('[1]Short Spot'!AY177-'[1]Short Spot'!AY176)*100</f>
        <v>-4.4799898020835727</v>
      </c>
      <c r="AZ176" s="19">
        <f>('[1]Short Spot'!AZ177-'[1]Short Spot'!AZ176)*100</f>
        <v>-4.3566722515495648</v>
      </c>
      <c r="BA176" s="19">
        <f>('[1]Short Spot'!BA177-'[1]Short Spot'!BA176)*100</f>
        <v>-4.2331131660671595</v>
      </c>
      <c r="BB176" s="19">
        <f>('[1]Short Spot'!BB177-'[1]Short Spot'!BB176)*100</f>
        <v>-4.1094772632083831</v>
      </c>
      <c r="BC176" s="19">
        <f>('[1]Short Spot'!BC177-'[1]Short Spot'!BC176)*100</f>
        <v>-3.9859171731352561</v>
      </c>
      <c r="BD176" s="19">
        <f>('[1]Short Spot'!BD177-'[1]Short Spot'!BD176)*100</f>
        <v>-3.8625745059485794</v>
      </c>
      <c r="BE176" s="19">
        <f>('[1]Short Spot'!BE177-'[1]Short Spot'!BE176)*100</f>
        <v>-3.73958024212806</v>
      </c>
      <c r="BF176" s="19">
        <f>('[1]Short Spot'!BF177-'[1]Short Spot'!BF176)*100</f>
        <v>-3.6170548794757451</v>
      </c>
      <c r="BG176" s="19">
        <f>('[1]Short Spot'!BG177-'[1]Short Spot'!BG176)*100</f>
        <v>-3.4951091341822504</v>
      </c>
      <c r="BH176" s="19">
        <f>('[1]Short Spot'!BH177-'[1]Short Spot'!BH176)*100</f>
        <v>-3.3738450173760981</v>
      </c>
      <c r="BI176" s="19">
        <f>('[1]Short Spot'!BI177-'[1]Short Spot'!BI176)*100</f>
        <v>-3.2533570759479602</v>
      </c>
    </row>
    <row r="177" spans="1:61" x14ac:dyDescent="0.2">
      <c r="A177" s="18">
        <v>39337</v>
      </c>
      <c r="B177" s="19">
        <f>('[1]Short Spot'!B178-'[1]Short Spot'!B177)*100</f>
        <v>-0.49966604975351103</v>
      </c>
      <c r="C177" s="19">
        <f>('[1]Short Spot'!C178-'[1]Short Spot'!C177)*100</f>
        <v>-0.89454998305669164</v>
      </c>
      <c r="D177" s="19">
        <f>('[1]Short Spot'!D178-'[1]Short Spot'!D177)*100</f>
        <v>-1.3129102829171124</v>
      </c>
      <c r="E177" s="19">
        <f>('[1]Short Spot'!E178-'[1]Short Spot'!E177)*100</f>
        <v>-1.6932781591891377</v>
      </c>
      <c r="F177" s="19">
        <f>('[1]Short Spot'!F178-'[1]Short Spot'!F177)*100</f>
        <v>-2.0206820882020082</v>
      </c>
      <c r="G177" s="19">
        <f>('[1]Short Spot'!G178-'[1]Short Spot'!G177)*100</f>
        <v>-2.286975623582066</v>
      </c>
      <c r="H177" s="19">
        <f>('[1]Short Spot'!H178-'[1]Short Spot'!H177)*100</f>
        <v>-2.4847003567776582</v>
      </c>
      <c r="I177" s="19">
        <f>('[1]Short Spot'!I178-'[1]Short Spot'!I177)*100</f>
        <v>-2.604137133363249</v>
      </c>
      <c r="J177" s="19">
        <f>('[1]Short Spot'!J178-'[1]Short Spot'!J177)*100</f>
        <v>-2.6491868176021782</v>
      </c>
      <c r="K177" s="19">
        <f>('[1]Short Spot'!K178-'[1]Short Spot'!K177)*100</f>
        <v>-2.6335450887265743</v>
      </c>
      <c r="L177" s="19">
        <f>('[1]Short Spot'!L178-'[1]Short Spot'!L177)*100</f>
        <v>-2.5728714492223581</v>
      </c>
      <c r="M177" s="19">
        <f>('[1]Short Spot'!M178-'[1]Short Spot'!M177)*100</f>
        <v>-2.4808176837317397</v>
      </c>
      <c r="N177" s="19">
        <f>('[1]Short Spot'!N178-'[1]Short Spot'!N177)*100</f>
        <v>-2.3693484834106826</v>
      </c>
      <c r="O177" s="19">
        <f>('[1]Short Spot'!O178-'[1]Short Spot'!O177)*100</f>
        <v>-2.2473890671007801</v>
      </c>
      <c r="P177" s="19">
        <f>('[1]Short Spot'!P178-'[1]Short Spot'!P177)*100</f>
        <v>-2.1205230191564617</v>
      </c>
      <c r="Q177" s="19">
        <f>('[1]Short Spot'!Q178-'[1]Short Spot'!Q177)*100</f>
        <v>-1.9924774676781887</v>
      </c>
      <c r="R177" s="19">
        <f>('[1]Short Spot'!R178-'[1]Short Spot'!R177)*100</f>
        <v>-1.8657181300911319</v>
      </c>
      <c r="S177" s="19">
        <f>('[1]Short Spot'!S178-'[1]Short Spot'!S177)*100</f>
        <v>-1.7417996810691783</v>
      </c>
      <c r="T177" s="19">
        <f>('[1]Short Spot'!T178-'[1]Short Spot'!T177)*100</f>
        <v>-1.621571417761114</v>
      </c>
      <c r="U177" s="19">
        <f>('[1]Short Spot'!U178-'[1]Short Spot'!U177)*100</f>
        <v>-1.505388768194571</v>
      </c>
      <c r="V177" s="19">
        <f>('[1]Short Spot'!V178-'[1]Short Spot'!V177)*100</f>
        <v>-1.3934563449016224</v>
      </c>
      <c r="W177" s="19">
        <f>('[1]Short Spot'!W178-'[1]Short Spot'!W177)*100</f>
        <v>-1.2858964636097703</v>
      </c>
      <c r="X177" s="19">
        <f>('[1]Short Spot'!X178-'[1]Short Spot'!X177)*100</f>
        <v>-1.1827670338521834</v>
      </c>
      <c r="Y177" s="19">
        <f>('[1]Short Spot'!Y178-'[1]Short Spot'!Y177)*100</f>
        <v>-1.0840749769246649</v>
      </c>
      <c r="Z177" s="19">
        <f>('[1]Short Spot'!Z178-'[1]Short Spot'!Z177)*100</f>
        <v>-0.98978277019314831</v>
      </c>
      <c r="AA177" s="19">
        <f>('[1]Short Spot'!AA178-'[1]Short Spot'!AA177)*100</f>
        <v>-0.89979845448882045</v>
      </c>
      <c r="AB177" s="19">
        <f>('[1]Short Spot'!AB178-'[1]Short Spot'!AB177)*100</f>
        <v>-0.81402091058748738</v>
      </c>
      <c r="AC177" s="19">
        <f>('[1]Short Spot'!AC178-'[1]Short Spot'!AC177)*100</f>
        <v>-0.73235758414398333</v>
      </c>
      <c r="AD177" s="19">
        <f>('[1]Short Spot'!AD178-'[1]Short Spot'!AD177)*100</f>
        <v>-0.6547155309714725</v>
      </c>
      <c r="AE177" s="19">
        <f>('[1]Short Spot'!AE178-'[1]Short Spot'!AE177)*100</f>
        <v>-0.58100198630297584</v>
      </c>
      <c r="AF177" s="19">
        <f>('[1]Short Spot'!AF178-'[1]Short Spot'!AF177)*100</f>
        <v>-0.51112469895500112</v>
      </c>
      <c r="AG177" s="19">
        <f>('[1]Short Spot'!AG178-'[1]Short Spot'!AG177)*100</f>
        <v>-0.44499185108168859</v>
      </c>
      <c r="AH177" s="19">
        <f>('[1]Short Spot'!AH178-'[1]Short Spot'!AH177)*100</f>
        <v>-0.38251196846674773</v>
      </c>
      <c r="AI177" s="19">
        <f>('[1]Short Spot'!AI178-'[1]Short Spot'!AI177)*100</f>
        <v>-0.32359128512853275</v>
      </c>
      <c r="AJ177" s="19">
        <f>('[1]Short Spot'!AJ178-'[1]Short Spot'!AJ177)*100</f>
        <v>-0.26813124513127562</v>
      </c>
      <c r="AK177" s="19">
        <f>('[1]Short Spot'!AK178-'[1]Short Spot'!AK177)*100</f>
        <v>-0.21603267048559971</v>
      </c>
      <c r="AL177" s="19">
        <f>('[1]Short Spot'!AL178-'[1]Short Spot'!AL177)*100</f>
        <v>-0.16719630045560763</v>
      </c>
      <c r="AM177" s="19">
        <f>('[1]Short Spot'!AM178-'[1]Short Spot'!AM177)*100</f>
        <v>-0.12152280244350777</v>
      </c>
      <c r="AN177" s="19">
        <f>('[1]Short Spot'!AN178-'[1]Short Spot'!AN177)*100</f>
        <v>-7.8912654540008731E-2</v>
      </c>
      <c r="AO177" s="19">
        <f>('[1]Short Spot'!AO178-'[1]Short Spot'!AO177)*100</f>
        <v>-3.9265972209445721E-2</v>
      </c>
      <c r="AP177" s="19">
        <f>('[1]Short Spot'!AP178-'[1]Short Spot'!AP177)*100</f>
        <v>-2.4839433876877592E-3</v>
      </c>
      <c r="AQ177" s="19">
        <f>('[1]Short Spot'!AQ178-'[1]Short Spot'!AQ177)*100</f>
        <v>3.1530851665984017E-2</v>
      </c>
      <c r="AR177" s="19">
        <f>('[1]Short Spot'!AR178-'[1]Short Spot'!AR177)*100</f>
        <v>6.287460165745884E-2</v>
      </c>
      <c r="AS177" s="19">
        <f>('[1]Short Spot'!AS178-'[1]Short Spot'!AS177)*100</f>
        <v>9.1642404147673773E-2</v>
      </c>
      <c r="AT177" s="19">
        <f>('[1]Short Spot'!AT178-'[1]Short Spot'!AT177)*100</f>
        <v>0.11792838679101081</v>
      </c>
      <c r="AU177" s="19">
        <f>('[1]Short Spot'!AU178-'[1]Short Spot'!AU177)*100</f>
        <v>0.14182581303900932</v>
      </c>
      <c r="AV177" s="19">
        <f>('[1]Short Spot'!AV178-'[1]Short Spot'!AV177)*100</f>
        <v>0.16342709816061785</v>
      </c>
      <c r="AW177" s="19">
        <f>('[1]Short Spot'!AW178-'[1]Short Spot'!AW177)*100</f>
        <v>0.1828234679131846</v>
      </c>
      <c r="AX177" s="19">
        <f>('[1]Short Spot'!AX178-'[1]Short Spot'!AX177)*100</f>
        <v>0.20010484898049796</v>
      </c>
      <c r="AY177" s="19">
        <f>('[1]Short Spot'!AY178-'[1]Short Spot'!AY177)*100</f>
        <v>0.21535999137602957</v>
      </c>
      <c r="AZ177" s="19">
        <f>('[1]Short Spot'!AZ178-'[1]Short Spot'!AZ177)*100</f>
        <v>0.22867658380159028</v>
      </c>
      <c r="BA177" s="19">
        <f>('[1]Short Spot'!BA178-'[1]Short Spot'!BA177)*100</f>
        <v>0.24014135569725426</v>
      </c>
      <c r="BB177" s="19">
        <f>('[1]Short Spot'!BB178-'[1]Short Spot'!BB177)*100</f>
        <v>0.24984016773776929</v>
      </c>
      <c r="BC177" s="19">
        <f>('[1]Short Spot'!BC178-'[1]Short Spot'!BC177)*100</f>
        <v>0.25785809227309997</v>
      </c>
      <c r="BD177" s="19">
        <f>('[1]Short Spot'!BD178-'[1]Short Spot'!BD177)*100</f>
        <v>0.26427939449824578</v>
      </c>
      <c r="BE177" s="19">
        <f>('[1]Short Spot'!BE178-'[1]Short Spot'!BE177)*100</f>
        <v>0.26918690987054461</v>
      </c>
      <c r="BF177" s="19">
        <f>('[1]Short Spot'!BF178-'[1]Short Spot'!BF177)*100</f>
        <v>0.27266168413087044</v>
      </c>
      <c r="BG177" s="19">
        <f>('[1]Short Spot'!BG178-'[1]Short Spot'!BG177)*100</f>
        <v>0.27478353973515723</v>
      </c>
      <c r="BH177" s="19">
        <f>('[1]Short Spot'!BH178-'[1]Short Spot'!BH177)*100</f>
        <v>0.27563241157180229</v>
      </c>
      <c r="BI177" s="19">
        <f>('[1]Short Spot'!BI178-'[1]Short Spot'!BI177)*100</f>
        <v>0.27528733401416261</v>
      </c>
    </row>
    <row r="178" spans="1:61" x14ac:dyDescent="0.2">
      <c r="A178" s="18">
        <v>39338</v>
      </c>
      <c r="B178" s="19">
        <f>('[1]Short Spot'!B179-'[1]Short Spot'!B178)*100</f>
        <v>-0.71548694326395434</v>
      </c>
      <c r="C178" s="19">
        <f>('[1]Short Spot'!C179-'[1]Short Spot'!C178)*100</f>
        <v>-0.15805688379844085</v>
      </c>
      <c r="D178" s="19">
        <f>('[1]Short Spot'!D179-'[1]Short Spot'!D178)*100</f>
        <v>0.75154037327074263</v>
      </c>
      <c r="E178" s="19">
        <f>('[1]Short Spot'!E179-'[1]Short Spot'!E178)*100</f>
        <v>1.5727893923178193</v>
      </c>
      <c r="F178" s="19">
        <f>('[1]Short Spot'!F179-'[1]Short Spot'!F178)*100</f>
        <v>2.1921692189064146</v>
      </c>
      <c r="G178" s="19">
        <f>('[1]Short Spot'!G179-'[1]Short Spot'!G178)*100</f>
        <v>2.6422093105214373</v>
      </c>
      <c r="H178" s="19">
        <f>('[1]Short Spot'!H179-'[1]Short Spot'!H178)*100</f>
        <v>3.0097944405607535</v>
      </c>
      <c r="I178" s="19">
        <f>('[1]Short Spot'!I179-'[1]Short Spot'!I178)*100</f>
        <v>3.3839487771802901</v>
      </c>
      <c r="J178" s="19">
        <f>('[1]Short Spot'!J179-'[1]Short Spot'!J178)*100</f>
        <v>3.7995286212209045</v>
      </c>
      <c r="K178" s="19">
        <f>('[1]Short Spot'!K179-'[1]Short Spot'!K178)*100</f>
        <v>4.2570006625966883</v>
      </c>
      <c r="L178" s="19">
        <f>('[1]Short Spot'!L179-'[1]Short Spot'!L178)*100</f>
        <v>4.7422520317564221</v>
      </c>
      <c r="M178" s="19">
        <f>('[1]Short Spot'!M179-'[1]Short Spot'!M178)*100</f>
        <v>5.2365646339631589</v>
      </c>
      <c r="N178" s="19">
        <f>('[1]Short Spot'!N179-'[1]Short Spot'!N178)*100</f>
        <v>5.7194615867767418</v>
      </c>
      <c r="O178" s="19">
        <f>('[1]Short Spot'!O179-'[1]Short Spot'!O178)*100</f>
        <v>6.1759719754355125</v>
      </c>
      <c r="P178" s="19">
        <f>('[1]Short Spot'!P179-'[1]Short Spot'!P178)*100</f>
        <v>6.5984126604980098</v>
      </c>
      <c r="Q178" s="19">
        <f>('[1]Short Spot'!Q179-'[1]Short Spot'!Q178)*100</f>
        <v>6.9828110588731285</v>
      </c>
      <c r="R178" s="19">
        <f>('[1]Short Spot'!R179-'[1]Short Spot'!R178)*100</f>
        <v>7.327698459305676</v>
      </c>
      <c r="S178" s="19">
        <f>('[1]Short Spot'!S179-'[1]Short Spot'!S178)*100</f>
        <v>7.633414554934248</v>
      </c>
      <c r="T178" s="19">
        <f>('[1]Short Spot'!T179-'[1]Short Spot'!T178)*100</f>
        <v>7.9016212809317921</v>
      </c>
      <c r="U178" s="19">
        <f>('[1]Short Spot'!U179-'[1]Short Spot'!U178)*100</f>
        <v>8.1346016004244071</v>
      </c>
      <c r="V178" s="19">
        <f>('[1]Short Spot'!V179-'[1]Short Spot'!V178)*100</f>
        <v>8.3346640167282438</v>
      </c>
      <c r="W178" s="19">
        <f>('[1]Short Spot'!W179-'[1]Short Spot'!W178)*100</f>
        <v>8.5040939374360747</v>
      </c>
      <c r="X178" s="19">
        <f>('[1]Short Spot'!X179-'[1]Short Spot'!X178)*100</f>
        <v>8.6451586952259518</v>
      </c>
      <c r="Y178" s="19">
        <f>('[1]Short Spot'!Y179-'[1]Short Spot'!Y178)*100</f>
        <v>8.7601113134688546</v>
      </c>
      <c r="Z178" s="19">
        <f>('[1]Short Spot'!Z179-'[1]Short Spot'!Z178)*100</f>
        <v>8.851193898090326</v>
      </c>
      <c r="AA178" s="19">
        <f>('[1]Short Spot'!AA179-'[1]Short Spot'!AA178)*100</f>
        <v>8.9205888760105267</v>
      </c>
      <c r="AB178" s="19">
        <f>('[1]Short Spot'!AB179-'[1]Short Spot'!AB178)*100</f>
        <v>8.9702929932573561</v>
      </c>
      <c r="AC178" s="19">
        <f>('[1]Short Spot'!AC179-'[1]Short Spot'!AC178)*100</f>
        <v>9.0021155014217591</v>
      </c>
      <c r="AD178" s="19">
        <f>('[1]Short Spot'!AD179-'[1]Short Spot'!AD178)*100</f>
        <v>9.0176893399385172</v>
      </c>
      <c r="AE178" s="19">
        <f>('[1]Short Spot'!AE179-'[1]Short Spot'!AE178)*100</f>
        <v>9.0184846738781133</v>
      </c>
      <c r="AF178" s="19">
        <f>('[1]Short Spot'!AF179-'[1]Short Spot'!AF178)*100</f>
        <v>9.005834273769775</v>
      </c>
      <c r="AG178" s="19">
        <f>('[1]Short Spot'!AG179-'[1]Short Spot'!AG178)*100</f>
        <v>8.9809549834999558</v>
      </c>
      <c r="AH178" s="19">
        <f>('[1]Short Spot'!AH179-'[1]Short Spot'!AH178)*100</f>
        <v>8.9449653063568668</v>
      </c>
      <c r="AI178" s="19">
        <f>('[1]Short Spot'!AI179-'[1]Short Spot'!AI178)*100</f>
        <v>8.8988987198028724</v>
      </c>
      <c r="AJ178" s="19">
        <f>('[1]Short Spot'!AJ179-'[1]Short Spot'!AJ178)*100</f>
        <v>8.8437002990882974</v>
      </c>
      <c r="AK178" s="19">
        <f>('[1]Short Spot'!AK179-'[1]Short Spot'!AK178)*100</f>
        <v>8.7802265902470644</v>
      </c>
      <c r="AL178" s="19">
        <f>('[1]Short Spot'!AL179-'[1]Short Spot'!AL178)*100</f>
        <v>8.7092568955333682</v>
      </c>
      <c r="AM178" s="19">
        <f>('[1]Short Spot'!AM179-'[1]Short Spot'!AM178)*100</f>
        <v>8.6315034370758603</v>
      </c>
      <c r="AN178" s="19">
        <f>('[1]Short Spot'!AN179-'[1]Short Spot'!AN178)*100</f>
        <v>8.5476200095343735</v>
      </c>
      <c r="AO178" s="19">
        <f>('[1]Short Spot'!AO179-'[1]Short Spot'!AO178)*100</f>
        <v>8.4582082899514965</v>
      </c>
      <c r="AP178" s="19">
        <f>('[1]Short Spot'!AP179-'[1]Short Spot'!AP178)*100</f>
        <v>8.3638214776196484</v>
      </c>
      <c r="AQ178" s="19">
        <f>('[1]Short Spot'!AQ179-'[1]Short Spot'!AQ178)*100</f>
        <v>8.2649695162892556</v>
      </c>
      <c r="AR178" s="19">
        <f>('[1]Short Spot'!AR179-'[1]Short Spot'!AR178)*100</f>
        <v>8.1621241236164543</v>
      </c>
      <c r="AS178" s="19">
        <f>('[1]Short Spot'!AS179-'[1]Short Spot'!AS178)*100</f>
        <v>8.055723135037951</v>
      </c>
      <c r="AT178" s="19">
        <f>('[1]Short Spot'!AT179-'[1]Short Spot'!AT178)*100</f>
        <v>7.946174268462336</v>
      </c>
      <c r="AU178" s="19">
        <f>('[1]Short Spot'!AU179-'[1]Short Spot'!AU178)*100</f>
        <v>7.8338583906186976</v>
      </c>
      <c r="AV178" s="19">
        <f>('[1]Short Spot'!AV179-'[1]Short Spot'!AV178)*100</f>
        <v>7.7191315307227448</v>
      </c>
      <c r="AW178" s="19">
        <f>('[1]Short Spot'!AW179-'[1]Short Spot'!AW178)*100</f>
        <v>7.6023245120493854</v>
      </c>
      <c r="AX178" s="19">
        <f>('[1]Short Spot'!AX179-'[1]Short Spot'!AX178)*100</f>
        <v>7.4837443947908255</v>
      </c>
      <c r="AY178" s="19">
        <f>('[1]Short Spot'!AY179-'[1]Short Spot'!AY178)*100</f>
        <v>7.3636768309898848</v>
      </c>
      <c r="AZ178" s="19">
        <f>('[1]Short Spot'!AZ179-'[1]Short Spot'!AZ178)*100</f>
        <v>7.2423881633791432</v>
      </c>
      <c r="BA178" s="19">
        <f>('[1]Short Spot'!BA179-'[1]Short Spot'!BA178)*100</f>
        <v>7.1201272820451855</v>
      </c>
      <c r="BB178" s="19">
        <f>('[1]Short Spot'!BB179-'[1]Short Spot'!BB178)*100</f>
        <v>6.997127270904091</v>
      </c>
      <c r="BC178" s="19">
        <f>('[1]Short Spot'!BC179-'[1]Short Spot'!BC178)*100</f>
        <v>6.8736068712292209</v>
      </c>
      <c r="BD178" s="19">
        <f>('[1]Short Spot'!BD179-'[1]Short Spot'!BD178)*100</f>
        <v>6.7497716318479561</v>
      </c>
      <c r="BE178" s="19">
        <f>('[1]Short Spot'!BE179-'[1]Short Spot'!BE178)*100</f>
        <v>6.6258139652417114</v>
      </c>
      <c r="BF178" s="19">
        <f>('[1]Short Spot'!BF179-'[1]Short Spot'!BF178)*100</f>
        <v>6.5019135282768481</v>
      </c>
      <c r="BG178" s="19">
        <f>('[1]Short Spot'!BG179-'[1]Short Spot'!BG178)*100</f>
        <v>6.3782382724442144</v>
      </c>
      <c r="BH178" s="19">
        <f>('[1]Short Spot'!BH179-'[1]Short Spot'!BH178)*100</f>
        <v>6.2549445082418664</v>
      </c>
      <c r="BI178" s="19">
        <f>('[1]Short Spot'!BI179-'[1]Short Spot'!BI178)*100</f>
        <v>6.1321766051751325</v>
      </c>
    </row>
    <row r="179" spans="1:61" x14ac:dyDescent="0.2">
      <c r="A179" s="18">
        <v>39339</v>
      </c>
      <c r="B179" s="19">
        <f>('[1]Short Spot'!B180-'[1]Short Spot'!B179)*100</f>
        <v>0.33162673116775565</v>
      </c>
      <c r="C179" s="19">
        <f>('[1]Short Spot'!C180-'[1]Short Spot'!C179)*100</f>
        <v>0.6169282964044065</v>
      </c>
      <c r="D179" s="19">
        <f>('[1]Short Spot'!D180-'[1]Short Spot'!D179)*100</f>
        <v>0.30268263522543748</v>
      </c>
      <c r="E179" s="19">
        <f>('[1]Short Spot'!E180-'[1]Short Spot'!E179)*100</f>
        <v>-5.4904307102976446E-2</v>
      </c>
      <c r="F179" s="19">
        <f>('[1]Short Spot'!F180-'[1]Short Spot'!F179)*100</f>
        <v>-0.32933048944290277</v>
      </c>
      <c r="G179" s="19">
        <f>('[1]Short Spot'!G180-'[1]Short Spot'!G179)*100</f>
        <v>-0.54760089102261489</v>
      </c>
      <c r="H179" s="19">
        <f>('[1]Short Spot'!H180-'[1]Short Spot'!H179)*100</f>
        <v>-0.79135150160345447</v>
      </c>
      <c r="I179" s="19">
        <f>('[1]Short Spot'!I180-'[1]Short Spot'!I179)*100</f>
        <v>-1.1188972323801671</v>
      </c>
      <c r="J179" s="19">
        <f>('[1]Short Spot'!J180-'[1]Short Spot'!J179)*100</f>
        <v>-1.5380901184564699</v>
      </c>
      <c r="K179" s="19">
        <f>('[1]Short Spot'!K180-'[1]Short Spot'!K179)*100</f>
        <v>-2.0298178393463928</v>
      </c>
      <c r="L179" s="19">
        <f>('[1]Short Spot'!L180-'[1]Short Spot'!L179)*100</f>
        <v>-2.564240363401904</v>
      </c>
      <c r="M179" s="19">
        <f>('[1]Short Spot'!M180-'[1]Short Spot'!M179)*100</f>
        <v>-3.1136962318726091</v>
      </c>
      <c r="N179" s="19">
        <f>('[1]Short Spot'!N180-'[1]Short Spot'!N179)*100</f>
        <v>-3.6536573514205806</v>
      </c>
      <c r="O179" s="19">
        <f>('[1]Short Spot'!O180-'[1]Short Spot'!O179)*100</f>
        <v>-4.1663203086009126</v>
      </c>
      <c r="P179" s="19">
        <f>('[1]Short Spot'!P180-'[1]Short Spot'!P179)*100</f>
        <v>-4.6419532649902173</v>
      </c>
      <c r="Q179" s="19">
        <f>('[1]Short Spot'!Q180-'[1]Short Spot'!Q179)*100</f>
        <v>-5.0756510320208115</v>
      </c>
      <c r="R179" s="19">
        <f>('[1]Short Spot'!R180-'[1]Short Spot'!R179)*100</f>
        <v>-5.4658053916020855</v>
      </c>
      <c r="S179" s="19">
        <f>('[1]Short Spot'!S180-'[1]Short Spot'!S179)*100</f>
        <v>-5.8131884222468955</v>
      </c>
      <c r="T179" s="19">
        <f>('[1]Short Spot'!T180-'[1]Short Spot'!T179)*100</f>
        <v>-6.1200411349767059</v>
      </c>
      <c r="U179" s="19">
        <f>('[1]Short Spot'!U180-'[1]Short Spot'!U179)*100</f>
        <v>-6.3888321250312963</v>
      </c>
      <c r="V179" s="19">
        <f>('[1]Short Spot'!V180-'[1]Short Spot'!V179)*100</f>
        <v>-6.6221257606589035</v>
      </c>
      <c r="W179" s="19">
        <f>('[1]Short Spot'!W180-'[1]Short Spot'!W179)*100</f>
        <v>-6.8225933348394996</v>
      </c>
      <c r="X179" s="19">
        <f>('[1]Short Spot'!X180-'[1]Short Spot'!X179)*100</f>
        <v>-6.9929898207767849</v>
      </c>
      <c r="Y179" s="19">
        <f>('[1]Short Spot'!Y180-'[1]Short Spot'!Y179)*100</f>
        <v>-7.1361364385182924</v>
      </c>
      <c r="Z179" s="19">
        <f>('[1]Short Spot'!Z180-'[1]Short Spot'!Z179)*100</f>
        <v>-7.2549201239952232</v>
      </c>
      <c r="AA179" s="19">
        <f>('[1]Short Spot'!AA180-'[1]Short Spot'!AA179)*100</f>
        <v>-7.3522887547134985</v>
      </c>
      <c r="AB179" s="19">
        <f>('[1]Short Spot'!AB180-'[1]Short Spot'!AB179)*100</f>
        <v>-7.4309168307482132</v>
      </c>
      <c r="AC179" s="19">
        <f>('[1]Short Spot'!AC180-'[1]Short Spot'!AC179)*100</f>
        <v>-7.4931142390030736</v>
      </c>
      <c r="AD179" s="19">
        <f>('[1]Short Spot'!AD180-'[1]Short Spot'!AD179)*100</f>
        <v>-7.5408890721590183</v>
      </c>
      <c r="AE179" s="19">
        <f>('[1]Short Spot'!AE180-'[1]Short Spot'!AE179)*100</f>
        <v>-7.5760087700576406</v>
      </c>
      <c r="AF179" s="19">
        <f>('[1]Short Spot'!AF180-'[1]Short Spot'!AF179)*100</f>
        <v>-7.6000398095053434</v>
      </c>
      <c r="AG179" s="19">
        <f>('[1]Short Spot'!AG180-'[1]Short Spot'!AG179)*100</f>
        <v>-7.6143791047483589</v>
      </c>
      <c r="AH179" s="19">
        <f>('[1]Short Spot'!AH180-'[1]Short Spot'!AH179)*100</f>
        <v>-7.6202794858749812</v>
      </c>
      <c r="AI179" s="19">
        <f>('[1]Short Spot'!AI180-'[1]Short Spot'!AI179)*100</f>
        <v>-7.6188568445309635</v>
      </c>
      <c r="AJ179" s="19">
        <f>('[1]Short Spot'!AJ180-'[1]Short Spot'!AJ179)*100</f>
        <v>-7.6110829310571226</v>
      </c>
      <c r="AK179" s="19">
        <f>('[1]Short Spot'!AK180-'[1]Short Spot'!AK179)*100</f>
        <v>-7.5978058355560485</v>
      </c>
      <c r="AL179" s="19">
        <f>('[1]Short Spot'!AL180-'[1]Short Spot'!AL179)*100</f>
        <v>-7.5797673130479026</v>
      </c>
      <c r="AM179" s="19">
        <f>('[1]Short Spot'!AM180-'[1]Short Spot'!AM179)*100</f>
        <v>-7.5576167749278333</v>
      </c>
      <c r="AN179" s="19">
        <f>('[1]Short Spot'!AN180-'[1]Short Spot'!AN179)*100</f>
        <v>-7.5319226754642088</v>
      </c>
      <c r="AO179" s="19">
        <f>('[1]Short Spot'!AO180-'[1]Short Spot'!AO179)*100</f>
        <v>-7.5031821749838912</v>
      </c>
      <c r="AP179" s="19">
        <f>('[1]Short Spot'!AP180-'[1]Short Spot'!AP179)*100</f>
        <v>-7.471833199518052</v>
      </c>
      <c r="AQ179" s="19">
        <f>('[1]Short Spot'!AQ180-'[1]Short Spot'!AQ179)*100</f>
        <v>-7.4382623285416116</v>
      </c>
      <c r="AR179" s="19">
        <f>('[1]Short Spot'!AR180-'[1]Short Spot'!AR179)*100</f>
        <v>-7.4028107655935926</v>
      </c>
      <c r="AS179" s="19">
        <f>('[1]Short Spot'!AS180-'[1]Short Spot'!AS179)*100</f>
        <v>-7.3657794946321076</v>
      </c>
      <c r="AT179" s="19">
        <f>('[1]Short Spot'!AT180-'[1]Short Spot'!AT179)*100</f>
        <v>-7.3274337488783203</v>
      </c>
      <c r="AU179" s="19">
        <f>('[1]Short Spot'!AU180-'[1]Short Spot'!AU179)*100</f>
        <v>-7.2880069131994851</v>
      </c>
      <c r="AV179" s="19">
        <f>('[1]Short Spot'!AV180-'[1]Short Spot'!AV179)*100</f>
        <v>-7.2477047052567301</v>
      </c>
      <c r="AW179" s="19">
        <f>('[1]Short Spot'!AW180-'[1]Short Spot'!AW179)*100</f>
        <v>-7.2067099100649123</v>
      </c>
      <c r="AX179" s="19">
        <f>('[1]Short Spot'!AX180-'[1]Short Spot'!AX179)*100</f>
        <v>-7.165185161806864</v>
      </c>
      <c r="AY179" s="19">
        <f>('[1]Short Spot'!AY180-'[1]Short Spot'!AY179)*100</f>
        <v>-7.1232749596940259</v>
      </c>
      <c r="AZ179" s="19">
        <f>('[1]Short Spot'!AZ180-'[1]Short Spot'!AZ179)*100</f>
        <v>-7.0811074459041556</v>
      </c>
      <c r="BA179" s="19">
        <f>('[1]Short Spot'!BA180-'[1]Short Spot'!BA179)*100</f>
        <v>-7.0387959783741572</v>
      </c>
      <c r="BB179" s="19">
        <f>('[1]Short Spot'!BB180-'[1]Short Spot'!BB179)*100</f>
        <v>-6.9964405255380058</v>
      </c>
      <c r="BC179" s="19">
        <f>('[1]Short Spot'!BC180-'[1]Short Spot'!BC179)*100</f>
        <v>-6.9541289063820066</v>
      </c>
      <c r="BD179" s="19">
        <f>('[1]Short Spot'!BD180-'[1]Short Spot'!BD179)*100</f>
        <v>-6.9119381641697508</v>
      </c>
      <c r="BE179" s="19">
        <f>('[1]Short Spot'!BE180-'[1]Short Spot'!BE179)*100</f>
        <v>-6.8699364246878503</v>
      </c>
      <c r="BF179" s="19">
        <f>('[1]Short Spot'!BF180-'[1]Short Spot'!BF179)*100</f>
        <v>-6.8281836268385021</v>
      </c>
      <c r="BG179" s="19">
        <f>('[1]Short Spot'!BG180-'[1]Short Spot'!BG179)*100</f>
        <v>-6.7867321366903433</v>
      </c>
      <c r="BH179" s="19">
        <f>('[1]Short Spot'!BH180-'[1]Short Spot'!BH179)*100</f>
        <v>-6.7456294737162636</v>
      </c>
      <c r="BI179" s="19">
        <f>('[1]Short Spot'!BI180-'[1]Short Spot'!BI179)*100</f>
        <v>-6.7049204502229287</v>
      </c>
    </row>
    <row r="180" spans="1:61" x14ac:dyDescent="0.2">
      <c r="A180" s="18">
        <v>39342</v>
      </c>
      <c r="B180" s="19">
        <f>('[1]Short Spot'!B181-'[1]Short Spot'!B180)*100</f>
        <v>2.9235030219157743</v>
      </c>
      <c r="C180" s="19">
        <f>('[1]Short Spot'!C181-'[1]Short Spot'!C180)*100</f>
        <v>-0.24912185063739045</v>
      </c>
      <c r="D180" s="19">
        <f>('[1]Short Spot'!D181-'[1]Short Spot'!D180)*100</f>
        <v>-1.1141415696292789</v>
      </c>
      <c r="E180" s="19">
        <f>('[1]Short Spot'!E181-'[1]Short Spot'!E180)*100</f>
        <v>-1.4001237607285333</v>
      </c>
      <c r="F180" s="19">
        <f>('[1]Short Spot'!F181-'[1]Short Spot'!F180)*100</f>
        <v>-1.3849815077667138</v>
      </c>
      <c r="G180" s="19">
        <f>('[1]Short Spot'!G181-'[1]Short Spot'!G180)*100</f>
        <v>-1.2011894645739041</v>
      </c>
      <c r="H180" s="19">
        <f>('[1]Short Spot'!H181-'[1]Short Spot'!H180)*100</f>
        <v>-0.94530799960459433</v>
      </c>
      <c r="I180" s="19">
        <f>('[1]Short Spot'!I181-'[1]Short Spot'!I180)*100</f>
        <v>-0.67817366712894511</v>
      </c>
      <c r="J180" s="19">
        <f>('[1]Short Spot'!J181-'[1]Short Spot'!J180)*100</f>
        <v>-0.43445296378861187</v>
      </c>
      <c r="K180" s="19">
        <f>('[1]Short Spot'!K181-'[1]Short Spot'!K180)*100</f>
        <v>-0.23615134018912798</v>
      </c>
      <c r="L180" s="19">
        <f>('[1]Short Spot'!L181-'[1]Short Spot'!L180)*100</f>
        <v>-9.5545385836093288E-2</v>
      </c>
      <c r="M180" s="19">
        <f>('[1]Short Spot'!M181-'[1]Short Spot'!M180)*100</f>
        <v>-1.1880155953392091E-2</v>
      </c>
      <c r="N180" s="19">
        <f>('[1]Short Spot'!N181-'[1]Short Spot'!N180)*100</f>
        <v>2.4249727249170405E-2</v>
      </c>
      <c r="O180" s="19">
        <f>('[1]Short Spot'!O181-'[1]Short Spot'!O180)*100</f>
        <v>2.229121996402128E-2</v>
      </c>
      <c r="P180" s="19">
        <f>('[1]Short Spot'!P181-'[1]Short Spot'!P180)*100</f>
        <v>-1.0982090024214131E-2</v>
      </c>
      <c r="Q180" s="19">
        <f>('[1]Short Spot'!Q181-'[1]Short Spot'!Q180)*100</f>
        <v>-6.9467031761671905E-2</v>
      </c>
      <c r="R180" s="19">
        <f>('[1]Short Spot'!R181-'[1]Short Spot'!R180)*100</f>
        <v>-0.14745191430645121</v>
      </c>
      <c r="S180" s="19">
        <f>('[1]Short Spot'!S181-'[1]Short Spot'!S180)*100</f>
        <v>-0.23950740309501839</v>
      </c>
      <c r="T180" s="19">
        <f>('[1]Short Spot'!T181-'[1]Short Spot'!T180)*100</f>
        <v>-0.34047339476535043</v>
      </c>
      <c r="U180" s="19">
        <f>('[1]Short Spot'!U181-'[1]Short Spot'!U180)*100</f>
        <v>-0.44602349675111341</v>
      </c>
      <c r="V180" s="19">
        <f>('[1]Short Spot'!V181-'[1]Short Spot'!V180)*100</f>
        <v>-0.55296288889179479</v>
      </c>
      <c r="W180" s="19">
        <f>('[1]Short Spot'!W181-'[1]Short Spot'!W180)*100</f>
        <v>-0.65900009954846794</v>
      </c>
      <c r="X180" s="19">
        <f>('[1]Short Spot'!X181-'[1]Short Spot'!X180)*100</f>
        <v>-0.76255062549108743</v>
      </c>
      <c r="Y180" s="19">
        <f>('[1]Short Spot'!Y181-'[1]Short Spot'!Y180)*100</f>
        <v>-0.86258964681329431</v>
      </c>
      <c r="Z180" s="19">
        <f>('[1]Short Spot'!Z181-'[1]Short Spot'!Z180)*100</f>
        <v>-0.95853526127580579</v>
      </c>
      <c r="AA180" s="19">
        <f>('[1]Short Spot'!AA181-'[1]Short Spot'!AA180)*100</f>
        <v>-1.0500735373804915</v>
      </c>
      <c r="AB180" s="19">
        <f>('[1]Short Spot'!AB181-'[1]Short Spot'!AB180)*100</f>
        <v>-1.1370077265265621</v>
      </c>
      <c r="AC180" s="19">
        <f>('[1]Short Spot'!AC181-'[1]Short Spot'!AC180)*100</f>
        <v>-1.2192322134469968</v>
      </c>
      <c r="AD180" s="19">
        <f>('[1]Short Spot'!AD181-'[1]Short Spot'!AD180)*100</f>
        <v>-1.2967134338620845</v>
      </c>
      <c r="AE180" s="19">
        <f>('[1]Short Spot'!AE181-'[1]Short Spot'!AE180)*100</f>
        <v>-1.3694794103629171</v>
      </c>
      <c r="AF180" s="19">
        <f>('[1]Short Spot'!AF181-'[1]Short Spot'!AF180)*100</f>
        <v>-1.4376099881623361</v>
      </c>
      <c r="AG180" s="19">
        <f>('[1]Short Spot'!AG181-'[1]Short Spot'!AG180)*100</f>
        <v>-1.5012287378092459</v>
      </c>
      <c r="AH180" s="19">
        <f>('[1]Short Spot'!AH181-'[1]Short Spot'!AH180)*100</f>
        <v>-1.5604961732223366</v>
      </c>
      <c r="AI180" s="19">
        <f>('[1]Short Spot'!AI181-'[1]Short Spot'!AI180)*100</f>
        <v>-1.6155956751542355</v>
      </c>
      <c r="AJ180" s="19">
        <f>('[1]Short Spot'!AJ181-'[1]Short Spot'!AJ180)*100</f>
        <v>-1.6667116951145644</v>
      </c>
      <c r="AK180" s="19">
        <f>('[1]Short Spot'!AK181-'[1]Short Spot'!AK180)*100</f>
        <v>-1.7140267868609449</v>
      </c>
      <c r="AL180" s="19">
        <f>('[1]Short Spot'!AL181-'[1]Short Spot'!AL180)*100</f>
        <v>-1.7577219803889044</v>
      </c>
      <c r="AM180" s="19">
        <f>('[1]Short Spot'!AM181-'[1]Short Spot'!AM180)*100</f>
        <v>-1.7979769824220782</v>
      </c>
      <c r="AN180" s="19">
        <f>('[1]Short Spot'!AN181-'[1]Short Spot'!AN180)*100</f>
        <v>-1.8349696738079402</v>
      </c>
      <c r="AO180" s="19">
        <f>('[1]Short Spot'!AO181-'[1]Short Spot'!AO180)*100</f>
        <v>-1.8688715110088516</v>
      </c>
      <c r="AP180" s="19">
        <f>('[1]Short Spot'!AP181-'[1]Short Spot'!AP180)*100</f>
        <v>-1.8998451535040317</v>
      </c>
      <c r="AQ180" s="19">
        <f>('[1]Short Spot'!AQ181-'[1]Short Spot'!AQ180)*100</f>
        <v>-1.9280453944515052</v>
      </c>
      <c r="AR180" s="19">
        <f>('[1]Short Spot'!AR181-'[1]Short Spot'!AR180)*100</f>
        <v>-1.9536200753753619</v>
      </c>
      <c r="AS180" s="19">
        <f>('[1]Short Spot'!AS181-'[1]Short Spot'!AS180)*100</f>
        <v>-1.9767108761258534</v>
      </c>
      <c r="AT180" s="19">
        <f>('[1]Short Spot'!AT181-'[1]Short Spot'!AT180)*100</f>
        <v>-1.9974539995081031</v>
      </c>
      <c r="AU180" s="19">
        <f>('[1]Short Spot'!AU181-'[1]Short Spot'!AU180)*100</f>
        <v>-2.0159807522508899</v>
      </c>
      <c r="AV180" s="19">
        <f>('[1]Short Spot'!AV181-'[1]Short Spot'!AV180)*100</f>
        <v>-2.0324171690635495</v>
      </c>
      <c r="AW180" s="19">
        <f>('[1]Short Spot'!AW181-'[1]Short Spot'!AW180)*100</f>
        <v>-2.0468821003498228</v>
      </c>
      <c r="AX180" s="19">
        <f>('[1]Short Spot'!AX181-'[1]Short Spot'!AX180)*100</f>
        <v>-2.0594872093570693</v>
      </c>
      <c r="AY180" s="19">
        <f>('[1]Short Spot'!AY181-'[1]Short Spot'!AY180)*100</f>
        <v>-2.0703376831931131</v>
      </c>
      <c r="AZ180" s="19">
        <f>('[1]Short Spot'!AZ181-'[1]Short Spot'!AZ180)*100</f>
        <v>-2.079532867741829</v>
      </c>
      <c r="BA180" s="19">
        <f>('[1]Short Spot'!BA181-'[1]Short Spot'!BA180)*100</f>
        <v>-2.0871668293188428</v>
      </c>
      <c r="BB180" s="19">
        <f>('[1]Short Spot'!BB181-'[1]Short Spot'!BB180)*100</f>
        <v>-2.0933288527450244</v>
      </c>
      <c r="BC180" s="19">
        <f>('[1]Short Spot'!BC181-'[1]Short Spot'!BC180)*100</f>
        <v>-2.0981038844096744</v>
      </c>
      <c r="BD180" s="19">
        <f>('[1]Short Spot'!BD181-'[1]Short Spot'!BD180)*100</f>
        <v>-2.1015730328312721</v>
      </c>
      <c r="BE180" s="19">
        <f>('[1]Short Spot'!BE181-'[1]Short Spot'!BE180)*100</f>
        <v>-2.1038141678849875</v>
      </c>
      <c r="BF180" s="19">
        <f>('[1]Short Spot'!BF181-'[1]Short Spot'!BF180)*100</f>
        <v>-2.104902125260999</v>
      </c>
      <c r="BG180" s="19">
        <f>('[1]Short Spot'!BG181-'[1]Short Spot'!BG180)*100</f>
        <v>-2.1049083651167422</v>
      </c>
      <c r="BH180" s="19">
        <f>('[1]Short Spot'!BH181-'[1]Short Spot'!BH180)*100</f>
        <v>-2.1039000612335101</v>
      </c>
      <c r="BI180" s="19">
        <f>('[1]Short Spot'!BI181-'[1]Short Spot'!BI180)*100</f>
        <v>-2.1019405898556442</v>
      </c>
    </row>
    <row r="181" spans="1:61" x14ac:dyDescent="0.2">
      <c r="A181" s="18">
        <v>39343</v>
      </c>
      <c r="B181" s="19">
        <f>('[1]Short Spot'!B182-'[1]Short Spot'!B181)*100</f>
        <v>0.80171931406951558</v>
      </c>
      <c r="C181" s="19">
        <f>('[1]Short Spot'!C182-'[1]Short Spot'!C181)*100</f>
        <v>1.2096191429681546</v>
      </c>
      <c r="D181" s="19">
        <f>('[1]Short Spot'!D182-'[1]Short Spot'!D181)*100</f>
        <v>1.900056093347402</v>
      </c>
      <c r="E181" s="19">
        <f>('[1]Short Spot'!E182-'[1]Short Spot'!E181)*100</f>
        <v>2.4883807787166923</v>
      </c>
      <c r="F181" s="19">
        <f>('[1]Short Spot'!F182-'[1]Short Spot'!F181)*100</f>
        <v>2.8549671261464127</v>
      </c>
      <c r="G181" s="19">
        <f>('[1]Short Spot'!G182-'[1]Short Spot'!G181)*100</f>
        <v>3.0599195213802055</v>
      </c>
      <c r="H181" s="19">
        <f>('[1]Short Spot'!H182-'[1]Short Spot'!H181)*100</f>
        <v>3.2360018508455823</v>
      </c>
      <c r="I181" s="19">
        <f>('[1]Short Spot'!I182-'[1]Short Spot'!I181)*100</f>
        <v>3.5060873677434934</v>
      </c>
      <c r="J181" s="19">
        <f>('[1]Short Spot'!J182-'[1]Short Spot'!J181)*100</f>
        <v>3.9105355322938351</v>
      </c>
      <c r="K181" s="19">
        <f>('[1]Short Spot'!K182-'[1]Short Spot'!K181)*100</f>
        <v>4.4405139113837144</v>
      </c>
      <c r="L181" s="19">
        <f>('[1]Short Spot'!L182-'[1]Short Spot'!L181)*100</f>
        <v>5.0670951511867734</v>
      </c>
      <c r="M181" s="19">
        <f>('[1]Short Spot'!M182-'[1]Short Spot'!M181)*100</f>
        <v>5.7559172125015934</v>
      </c>
      <c r="N181" s="19">
        <f>('[1]Short Spot'!N182-'[1]Short Spot'!N181)*100</f>
        <v>6.4704286279290812</v>
      </c>
      <c r="O181" s="19">
        <f>('[1]Short Spot'!O182-'[1]Short Spot'!O181)*100</f>
        <v>7.179538894096904</v>
      </c>
      <c r="P181" s="19">
        <f>('[1]Short Spot'!P182-'[1]Short Spot'!P181)*100</f>
        <v>7.8624635622459138</v>
      </c>
      <c r="Q181" s="19">
        <f>('[1]Short Spot'!Q182-'[1]Short Spot'!Q181)*100</f>
        <v>8.5059948879182556</v>
      </c>
      <c r="R181" s="19">
        <f>('[1]Short Spot'!R182-'[1]Short Spot'!R181)*100</f>
        <v>9.1022664816813759</v>
      </c>
      <c r="S181" s="19">
        <f>('[1]Short Spot'!S182-'[1]Short Spot'!S181)*100</f>
        <v>9.6472700964532976</v>
      </c>
      <c r="T181" s="19">
        <f>('[1]Short Spot'!T182-'[1]Short Spot'!T181)*100</f>
        <v>10.139808190280952</v>
      </c>
      <c r="U181" s="19">
        <f>('[1]Short Spot'!U182-'[1]Short Spot'!U181)*100</f>
        <v>10.580375946231513</v>
      </c>
      <c r="V181" s="19">
        <f>('[1]Short Spot'!V182-'[1]Short Spot'!V181)*100</f>
        <v>10.970427553590056</v>
      </c>
      <c r="W181" s="19">
        <f>('[1]Short Spot'!W182-'[1]Short Spot'!W181)*100</f>
        <v>11.312139814250521</v>
      </c>
      <c r="X181" s="19">
        <f>('[1]Short Spot'!X182-'[1]Short Spot'!X181)*100</f>
        <v>11.608255053017924</v>
      </c>
      <c r="Y181" s="19">
        <f>('[1]Short Spot'!Y182-'[1]Short Spot'!Y181)*100</f>
        <v>11.861963300336242</v>
      </c>
      <c r="Z181" s="19">
        <f>('[1]Short Spot'!Z182-'[1]Short Spot'!Z181)*100</f>
        <v>12.07680994810616</v>
      </c>
      <c r="AA181" s="19">
        <f>('[1]Short Spot'!AA182-'[1]Short Spot'!AA181)*100</f>
        <v>12.256474130026529</v>
      </c>
      <c r="AB181" s="19">
        <f>('[1]Short Spot'!AB182-'[1]Short Spot'!AB181)*100</f>
        <v>12.404377936758149</v>
      </c>
      <c r="AC181" s="19">
        <f>('[1]Short Spot'!AC182-'[1]Short Spot'!AC181)*100</f>
        <v>12.523632203444102</v>
      </c>
      <c r="AD181" s="19">
        <f>('[1]Short Spot'!AD182-'[1]Short Spot'!AD181)*100</f>
        <v>12.617052653321181</v>
      </c>
      <c r="AE181" s="19">
        <f>('[1]Short Spot'!AE182-'[1]Short Spot'!AE181)*100</f>
        <v>12.687192696205418</v>
      </c>
      <c r="AF181" s="19">
        <f>('[1]Short Spot'!AF182-'[1]Short Spot'!AF181)*100</f>
        <v>12.736385332725408</v>
      </c>
      <c r="AG181" s="19">
        <f>('[1]Short Spot'!AG182-'[1]Short Spot'!AG181)*100</f>
        <v>12.766777593257483</v>
      </c>
      <c r="AH181" s="19">
        <f>('[1]Short Spot'!AH182-'[1]Short Spot'!AH181)*100</f>
        <v>12.780358682391491</v>
      </c>
      <c r="AI181" s="19">
        <f>('[1]Short Spot'!AI182-'[1]Short Spot'!AI181)*100</f>
        <v>12.778971586467414</v>
      </c>
      <c r="AJ181" s="19">
        <f>('[1]Short Spot'!AJ182-'[1]Short Spot'!AJ181)*100</f>
        <v>12.764286064607333</v>
      </c>
      <c r="AK181" s="19">
        <f>('[1]Short Spot'!AK182-'[1]Short Spot'!AK181)*100</f>
        <v>12.73780221366696</v>
      </c>
      <c r="AL181" s="19">
        <f>('[1]Short Spot'!AL182-'[1]Short Spot'!AL181)*100</f>
        <v>12.700872936318763</v>
      </c>
      <c r="AM181" s="19">
        <f>('[1]Short Spot'!AM182-'[1]Short Spot'!AM181)*100</f>
        <v>12.654723308752036</v>
      </c>
      <c r="AN181" s="19">
        <f>('[1]Short Spot'!AN182-'[1]Short Spot'!AN181)*100</f>
        <v>12.600466575238656</v>
      </c>
      <c r="AO181" s="19">
        <f>('[1]Short Spot'!AO182-'[1]Short Spot'!AO181)*100</f>
        <v>12.539112794644325</v>
      </c>
      <c r="AP181" s="19">
        <f>('[1]Short Spot'!AP182-'[1]Short Spot'!AP181)*100</f>
        <v>12.471575673932822</v>
      </c>
      <c r="AQ181" s="19">
        <f>('[1]Short Spot'!AQ182-'[1]Short Spot'!AQ181)*100</f>
        <v>12.398683488347917</v>
      </c>
      <c r="AR181" s="19">
        <f>('[1]Short Spot'!AR182-'[1]Short Spot'!AR181)*100</f>
        <v>12.321189015334699</v>
      </c>
      <c r="AS181" s="19">
        <f>('[1]Short Spot'!AS182-'[1]Short Spot'!AS181)*100</f>
        <v>12.239778113834099</v>
      </c>
      <c r="AT181" s="19">
        <f>('[1]Short Spot'!AT182-'[1]Short Spot'!AT181)*100</f>
        <v>12.155077159673322</v>
      </c>
      <c r="AU181" s="19">
        <f>('[1]Short Spot'!AU182-'[1]Short Spot'!AU181)*100</f>
        <v>12.06765947393782</v>
      </c>
      <c r="AV181" s="19">
        <f>('[1]Short Spot'!AV182-'[1]Short Spot'!AV181)*100</f>
        <v>11.978049415716097</v>
      </c>
      <c r="AW181" s="19">
        <f>('[1]Short Spot'!AW182-'[1]Short Spot'!AW181)*100</f>
        <v>11.886723946437705</v>
      </c>
      <c r="AX181" s="19">
        <f>('[1]Short Spot'!AX182-'[1]Short Spot'!AX181)*100</f>
        <v>11.794116595908655</v>
      </c>
      <c r="AY181" s="19">
        <f>('[1]Short Spot'!AY182-'[1]Short Spot'!AY181)*100</f>
        <v>11.700621800302091</v>
      </c>
      <c r="AZ181" s="19">
        <f>('[1]Short Spot'!AZ182-'[1]Short Spot'!AZ181)*100</f>
        <v>11.606598734865781</v>
      </c>
      <c r="BA181" s="19">
        <f>('[1]Short Spot'!BA182-'[1]Short Spot'!BA181)*100</f>
        <v>11.512374704396588</v>
      </c>
      <c r="BB181" s="19">
        <f>('[1]Short Spot'!BB182-'[1]Short Spot'!BB181)*100</f>
        <v>11.418248149886789</v>
      </c>
      <c r="BC181" s="19">
        <f>('[1]Short Spot'!BC182-'[1]Short Spot'!BC181)*100</f>
        <v>11.324491319963759</v>
      </c>
      <c r="BD181" s="19">
        <f>('[1]Short Spot'!BD182-'[1]Short Spot'!BD181)*100</f>
        <v>11.23135208185273</v>
      </c>
      <c r="BE181" s="19">
        <f>('[1]Short Spot'!BE182-'[1]Short Spot'!BE181)*100</f>
        <v>11.139053249673037</v>
      </c>
      <c r="BF181" s="19">
        <f>('[1]Short Spot'!BF182-'[1]Short Spot'!BF181)*100</f>
        <v>11.047793364057856</v>
      </c>
      <c r="BG181" s="19">
        <f>('[1]Short Spot'!BG182-'[1]Short Spot'!BG181)*100</f>
        <v>10.957751482501088</v>
      </c>
      <c r="BH181" s="19">
        <f>('[1]Short Spot'!BH182-'[1]Short Spot'!BH181)*100</f>
        <v>10.869095810262319</v>
      </c>
      <c r="BI181" s="19">
        <f>('[1]Short Spot'!BI182-'[1]Short Spot'!BI181)*100</f>
        <v>10.781981305782296</v>
      </c>
    </row>
    <row r="182" spans="1:61" x14ac:dyDescent="0.2">
      <c r="A182" s="18">
        <v>39344</v>
      </c>
      <c r="B182" s="19">
        <f>('[1]Short Spot'!B183-'[1]Short Spot'!B182)*100</f>
        <v>-3.7544225647729412</v>
      </c>
      <c r="C182" s="19">
        <f>('[1]Short Spot'!C183-'[1]Short Spot'!C182)*100</f>
        <v>-3.4636960020876906</v>
      </c>
      <c r="D182" s="19">
        <f>('[1]Short Spot'!D183-'[1]Short Spot'!D182)*100</f>
        <v>-3.381996263411402</v>
      </c>
      <c r="E182" s="19">
        <f>('[1]Short Spot'!E183-'[1]Short Spot'!E182)*100</f>
        <v>-3.1780290878551831</v>
      </c>
      <c r="F182" s="19">
        <f>('[1]Short Spot'!F183-'[1]Short Spot'!F182)*100</f>
        <v>-2.9248722775955471</v>
      </c>
      <c r="G182" s="19">
        <f>('[1]Short Spot'!G183-'[1]Short Spot'!G182)*100</f>
        <v>-2.686172271464482</v>
      </c>
      <c r="H182" s="19">
        <f>('[1]Short Spot'!H183-'[1]Short Spot'!H182)*100</f>
        <v>-2.5002277906584602</v>
      </c>
      <c r="I182" s="19">
        <f>('[1]Short Spot'!I183-'[1]Short Spot'!I182)*100</f>
        <v>-2.3659629320658127</v>
      </c>
      <c r="J182" s="19">
        <f>('[1]Short Spot'!J183-'[1]Short Spot'!J182)*100</f>
        <v>-2.2739806011313313</v>
      </c>
      <c r="K182" s="19">
        <f>('[1]Short Spot'!K183-'[1]Short Spot'!K182)*100</f>
        <v>-2.2132812975329763</v>
      </c>
      <c r="L182" s="19">
        <f>('[1]Short Spot'!L183-'[1]Short Spot'!L182)*100</f>
        <v>-2.173556479725125</v>
      </c>
      <c r="M182" s="19">
        <f>('[1]Short Spot'!M183-'[1]Short Spot'!M182)*100</f>
        <v>-2.1463612063193693</v>
      </c>
      <c r="N182" s="19">
        <f>('[1]Short Spot'!N183-'[1]Short Spot'!N182)*100</f>
        <v>-2.124654983210128</v>
      </c>
      <c r="O182" s="19">
        <f>('[1]Short Spot'!O183-'[1]Short Spot'!O182)*100</f>
        <v>-2.1036225160449007</v>
      </c>
      <c r="P182" s="19">
        <f>('[1]Short Spot'!P183-'[1]Short Spot'!P182)*100</f>
        <v>-2.0805298995088428</v>
      </c>
      <c r="Q182" s="19">
        <f>('[1]Short Spot'!Q183-'[1]Short Spot'!Q182)*100</f>
        <v>-2.0537126578012987</v>
      </c>
      <c r="R182" s="19">
        <f>('[1]Short Spot'!R183-'[1]Short Spot'!R182)*100</f>
        <v>-2.0222410027608717</v>
      </c>
      <c r="S182" s="19">
        <f>('[1]Short Spot'!S183-'[1]Short Spot'!S182)*100</f>
        <v>-1.9857147223122595</v>
      </c>
      <c r="T182" s="19">
        <f>('[1]Short Spot'!T183-'[1]Short Spot'!T182)*100</f>
        <v>-1.9440416036975883</v>
      </c>
      <c r="U182" s="19">
        <f>('[1]Short Spot'!U183-'[1]Short Spot'!U182)*100</f>
        <v>-1.8972332995222274</v>
      </c>
      <c r="V182" s="19">
        <f>('[1]Short Spot'!V183-'[1]Short Spot'!V182)*100</f>
        <v>-1.8454230327497712</v>
      </c>
      <c r="W182" s="19">
        <f>('[1]Short Spot'!W183-'[1]Short Spot'!W182)*100</f>
        <v>-1.7888449476754609</v>
      </c>
      <c r="X182" s="19">
        <f>('[1]Short Spot'!X183-'[1]Short Spot'!X182)*100</f>
        <v>-1.7278121705062155</v>
      </c>
      <c r="Y182" s="19">
        <f>('[1]Short Spot'!Y183-'[1]Short Spot'!Y182)*100</f>
        <v>-1.6627003547966979</v>
      </c>
      <c r="Z182" s="19">
        <f>('[1]Short Spot'!Z183-'[1]Short Spot'!Z182)*100</f>
        <v>-1.5939308572432864</v>
      </c>
      <c r="AA182" s="19">
        <f>('[1]Short Spot'!AA183-'[1]Short Spot'!AA182)*100</f>
        <v>-1.5219069624914816</v>
      </c>
      <c r="AB182" s="19">
        <f>('[1]Short Spot'!AB183-'[1]Short Spot'!AB182)*100</f>
        <v>-1.4469804666027208</v>
      </c>
      <c r="AC182" s="19">
        <f>('[1]Short Spot'!AC183-'[1]Short Spot'!AC182)*100</f>
        <v>-1.3694648130409881</v>
      </c>
      <c r="AD182" s="19">
        <f>('[1]Short Spot'!AD183-'[1]Short Spot'!AD182)*100</f>
        <v>-1.2896396335160709</v>
      </c>
      <c r="AE182" s="19">
        <f>('[1]Short Spot'!AE183-'[1]Short Spot'!AE182)*100</f>
        <v>-1.2077573738887182</v>
      </c>
      <c r="AF182" s="19">
        <f>('[1]Short Spot'!AF183-'[1]Short Spot'!AF182)*100</f>
        <v>-1.1240477586781594</v>
      </c>
      <c r="AG182" s="19">
        <f>('[1]Short Spot'!AG183-'[1]Short Spot'!AG182)*100</f>
        <v>-1.0387213412731633</v>
      </c>
      <c r="AH182" s="19">
        <f>('[1]Short Spot'!AH183-'[1]Short Spot'!AH182)*100</f>
        <v>-0.95197226357539577</v>
      </c>
      <c r="AI182" s="19">
        <f>('[1]Short Spot'!AI183-'[1]Short Spot'!AI182)*100</f>
        <v>-0.86397662770192341</v>
      </c>
      <c r="AJ182" s="19">
        <f>('[1]Short Spot'!AJ183-'[1]Short Spot'!AJ182)*100</f>
        <v>-0.77489155699508316</v>
      </c>
      <c r="AK182" s="19">
        <f>('[1]Short Spot'!AK183-'[1]Short Spot'!AK182)*100</f>
        <v>-0.68485947821397275</v>
      </c>
      <c r="AL182" s="19">
        <f>('[1]Short Spot'!AL183-'[1]Short Spot'!AL182)*100</f>
        <v>-0.59401022029055284</v>
      </c>
      <c r="AM182" s="19">
        <f>('[1]Short Spot'!AM183-'[1]Short Spot'!AM182)*100</f>
        <v>-0.50246267178657433</v>
      </c>
      <c r="AN182" s="19">
        <f>('[1]Short Spot'!AN183-'[1]Short Spot'!AN182)*100</f>
        <v>-0.41032598602317449</v>
      </c>
      <c r="AO182" s="19">
        <f>('[1]Short Spot'!AO183-'[1]Short Spot'!AO182)*100</f>
        <v>-0.31770068483503167</v>
      </c>
      <c r="AP182" s="19">
        <f>('[1]Short Spot'!AP183-'[1]Short Spot'!AP182)*100</f>
        <v>-0.2246805725767409</v>
      </c>
      <c r="AQ182" s="19">
        <f>('[1]Short Spot'!AQ183-'[1]Short Spot'!AQ182)*100</f>
        <v>-0.13135368501275835</v>
      </c>
      <c r="AR182" s="19">
        <f>('[1]Short Spot'!AR183-'[1]Short Spot'!AR182)*100</f>
        <v>-3.7802960084842852E-2</v>
      </c>
      <c r="AS182" s="19">
        <f>('[1]Short Spot'!AS183-'[1]Short Spot'!AS182)*100</f>
        <v>5.5893182791599827E-2</v>
      </c>
      <c r="AT182" s="19">
        <f>('[1]Short Spot'!AT183-'[1]Short Spot'!AT182)*100</f>
        <v>0.14966034066716816</v>
      </c>
      <c r="AU182" s="19">
        <f>('[1]Short Spot'!AU183-'[1]Short Spot'!AU182)*100</f>
        <v>0.24342768356406808</v>
      </c>
      <c r="AV182" s="19">
        <f>('[1]Short Spot'!AV183-'[1]Short Spot'!AV182)*100</f>
        <v>0.33712756579884484</v>
      </c>
      <c r="AW182" s="19">
        <f>('[1]Short Spot'!AW183-'[1]Short Spot'!AW182)*100</f>
        <v>0.43069547691221288</v>
      </c>
      <c r="AX182" s="19">
        <f>('[1]Short Spot'!AX183-'[1]Short Spot'!AX182)*100</f>
        <v>0.52406986858608562</v>
      </c>
      <c r="AY182" s="19">
        <f>('[1]Short Spot'!AY183-'[1]Short Spot'!AY182)*100</f>
        <v>0.61719186069835175</v>
      </c>
      <c r="AZ182" s="19">
        <f>('[1]Short Spot'!AZ183-'[1]Short Spot'!AZ182)*100</f>
        <v>0.71000497973665588</v>
      </c>
      <c r="BA182" s="19">
        <f>('[1]Short Spot'!BA183-'[1]Short Spot'!BA182)*100</f>
        <v>0.80245492739212665</v>
      </c>
      <c r="BB182" s="19">
        <f>('[1]Short Spot'!BB183-'[1]Short Spot'!BB182)*100</f>
        <v>0.89448937535223649</v>
      </c>
      <c r="BC182" s="19">
        <f>('[1]Short Spot'!BC183-'[1]Short Spot'!BC182)*100</f>
        <v>0.98605778159921442</v>
      </c>
      <c r="BD182" s="19">
        <f>('[1]Short Spot'!BD183-'[1]Short Spot'!BD182)*100</f>
        <v>1.0771110505553239</v>
      </c>
      <c r="BE182" s="19">
        <f>('[1]Short Spot'!BE183-'[1]Short Spot'!BE182)*100</f>
        <v>1.1676011158916033</v>
      </c>
      <c r="BF182" s="19">
        <f>('[1]Short Spot'!BF183-'[1]Short Spot'!BF182)*100</f>
        <v>1.2574810431952521</v>
      </c>
      <c r="BG182" s="19">
        <f>('[1]Short Spot'!BG183-'[1]Short Spot'!BG182)*100</f>
        <v>1.3467053542965068</v>
      </c>
      <c r="BH182" s="19">
        <f>('[1]Short Spot'!BH183-'[1]Short Spot'!BH182)*100</f>
        <v>1.4352297279195625</v>
      </c>
      <c r="BI182" s="19">
        <f>('[1]Short Spot'!BI183-'[1]Short Spot'!BI182)*100</f>
        <v>1.5230109322421193</v>
      </c>
    </row>
    <row r="183" spans="1:61" x14ac:dyDescent="0.2">
      <c r="A183" s="18">
        <v>39345</v>
      </c>
      <c r="B183" s="19">
        <f>('[1]Short Spot'!B184-'[1]Short Spot'!B183)*100</f>
        <v>-4.7157307789633229</v>
      </c>
      <c r="C183" s="19">
        <f>('[1]Short Spot'!C184-'[1]Short Spot'!C183)*100</f>
        <v>-2.2800331025505827</v>
      </c>
      <c r="D183" s="19">
        <f>('[1]Short Spot'!D184-'[1]Short Spot'!D183)*100</f>
        <v>-1.4861843065752112</v>
      </c>
      <c r="E183" s="19">
        <f>('[1]Short Spot'!E184-'[1]Short Spot'!E183)*100</f>
        <v>-1.0505422983724699</v>
      </c>
      <c r="F183" s="19">
        <f>('[1]Short Spot'!F184-'[1]Short Spot'!F183)*100</f>
        <v>-0.72728111273505647</v>
      </c>
      <c r="G183" s="19">
        <f>('[1]Short Spot'!G184-'[1]Short Spot'!G183)*100</f>
        <v>-0.43690365019939392</v>
      </c>
      <c r="H183" s="19">
        <f>('[1]Short Spot'!H184-'[1]Short Spot'!H183)*100</f>
        <v>-0.14189981313004196</v>
      </c>
      <c r="I183" s="19">
        <f>('[1]Short Spot'!I184-'[1]Short Spot'!I183)*100</f>
        <v>0.17983237201626423</v>
      </c>
      <c r="J183" s="19">
        <f>('[1]Short Spot'!J184-'[1]Short Spot'!J183)*100</f>
        <v>0.5303432322111945</v>
      </c>
      <c r="K183" s="19">
        <f>('[1]Short Spot'!K184-'[1]Short Spot'!K183)*100</f>
        <v>0.9002429460905681</v>
      </c>
      <c r="L183" s="19">
        <f>('[1]Short Spot'!L184-'[1]Short Spot'!L183)*100</f>
        <v>1.2765751783470947</v>
      </c>
      <c r="M183" s="19">
        <f>('[1]Short Spot'!M184-'[1]Short Spot'!M183)*100</f>
        <v>1.6467982442005535</v>
      </c>
      <c r="N183" s="19">
        <f>('[1]Short Spot'!N184-'[1]Short Spot'!N183)*100</f>
        <v>1.9993225835411188</v>
      </c>
      <c r="O183" s="19">
        <f>('[1]Short Spot'!O184-'[1]Short Spot'!O183)*100</f>
        <v>2.3266870990724442</v>
      </c>
      <c r="P183" s="19">
        <f>('[1]Short Spot'!P184-'[1]Short Spot'!P183)*100</f>
        <v>2.6254052884830514</v>
      </c>
      <c r="Q183" s="19">
        <f>('[1]Short Spot'!Q184-'[1]Short Spot'!Q183)*100</f>
        <v>2.8941671347742393</v>
      </c>
      <c r="R183" s="19">
        <f>('[1]Short Spot'!R184-'[1]Short Spot'!R183)*100</f>
        <v>3.1331780663554909</v>
      </c>
      <c r="S183" s="19">
        <f>('[1]Short Spot'!S184-'[1]Short Spot'!S183)*100</f>
        <v>3.3437387507532002</v>
      </c>
      <c r="T183" s="19">
        <f>('[1]Short Spot'!T184-'[1]Short Spot'!T183)*100</f>
        <v>3.5279195071348468</v>
      </c>
      <c r="U183" s="19">
        <f>('[1]Short Spot'!U184-'[1]Short Spot'!U183)*100</f>
        <v>3.6879843352110697</v>
      </c>
      <c r="V183" s="19">
        <f>('[1]Short Spot'!V184-'[1]Short Spot'!V183)*100</f>
        <v>3.8260810981495474</v>
      </c>
      <c r="W183" s="19">
        <f>('[1]Short Spot'!W184-'[1]Short Spot'!W183)*100</f>
        <v>3.9442562367413281</v>
      </c>
      <c r="X183" s="19">
        <f>('[1]Short Spot'!X184-'[1]Short Spot'!X183)*100</f>
        <v>4.0444768177444246</v>
      </c>
      <c r="Y183" s="19">
        <f>('[1]Short Spot'!Y184-'[1]Short Spot'!Y183)*100</f>
        <v>4.1286470701398237</v>
      </c>
      <c r="Z183" s="19">
        <f>('[1]Short Spot'!Z184-'[1]Short Spot'!Z183)*100</f>
        <v>4.1986218006303311</v>
      </c>
      <c r="AA183" s="19">
        <f>('[1]Short Spot'!AA184-'[1]Short Spot'!AA183)*100</f>
        <v>4.2561778492106406</v>
      </c>
      <c r="AB183" s="19">
        <f>('[1]Short Spot'!AB184-'[1]Short Spot'!AB183)*100</f>
        <v>4.3029080030541067</v>
      </c>
      <c r="AC183" s="19">
        <f>('[1]Short Spot'!AC184-'[1]Short Spot'!AC183)*100</f>
        <v>4.3402177112919382</v>
      </c>
      <c r="AD183" s="19">
        <f>('[1]Short Spot'!AD184-'[1]Short Spot'!AD183)*100</f>
        <v>4.3693415361997445</v>
      </c>
      <c r="AE183" s="19">
        <f>('[1]Short Spot'!AE184-'[1]Short Spot'!AE183)*100</f>
        <v>4.3913650263002424</v>
      </c>
      <c r="AF183" s="19">
        <f>('[1]Short Spot'!AF184-'[1]Short Spot'!AF183)*100</f>
        <v>4.4072486142242795</v>
      </c>
      <c r="AG183" s="19">
        <f>('[1]Short Spot'!AG184-'[1]Short Spot'!AG183)*100</f>
        <v>4.4178471660699437</v>
      </c>
      <c r="AH183" s="19">
        <f>('[1]Short Spot'!AH184-'[1]Short Spot'!AH183)*100</f>
        <v>4.4239260485728238</v>
      </c>
      <c r="AI183" s="19">
        <f>('[1]Short Spot'!AI184-'[1]Short Spot'!AI183)*100</f>
        <v>4.426172131613626</v>
      </c>
      <c r="AJ183" s="19">
        <f>('[1]Short Spot'!AJ184-'[1]Short Spot'!AJ183)*100</f>
        <v>4.4251909084632501</v>
      </c>
      <c r="AK183" s="19">
        <f>('[1]Short Spot'!AK184-'[1]Short Spot'!AK183)*100</f>
        <v>4.4215110209637309</v>
      </c>
      <c r="AL183" s="19">
        <f>('[1]Short Spot'!AL184-'[1]Short Spot'!AL183)*100</f>
        <v>4.4155944977782191</v>
      </c>
      <c r="AM183" s="19">
        <f>('[1]Short Spot'!AM184-'[1]Short Spot'!AM183)*100</f>
        <v>4.4078455196583377</v>
      </c>
      <c r="AN183" s="19">
        <f>('[1]Short Spot'!AN184-'[1]Short Spot'!AN183)*100</f>
        <v>4.3986180949828757</v>
      </c>
      <c r="AO183" s="19">
        <f>('[1]Short Spot'!AO184-'[1]Short Spot'!AO183)*100</f>
        <v>4.3882227691119269</v>
      </c>
      <c r="AP183" s="19">
        <f>('[1]Short Spot'!AP184-'[1]Short Spot'!AP183)*100</f>
        <v>4.3769313489932848</v>
      </c>
      <c r="AQ183" s="19">
        <f>('[1]Short Spot'!AQ184-'[1]Short Spot'!AQ183)*100</f>
        <v>4.364981399767931</v>
      </c>
      <c r="AR183" s="19">
        <f>('[1]Short Spot'!AR184-'[1]Short Spot'!AR183)*100</f>
        <v>4.3525802263761904</v>
      </c>
      <c r="AS183" s="19">
        <f>('[1]Short Spot'!AS184-'[1]Short Spot'!AS183)*100</f>
        <v>4.3399083122164228</v>
      </c>
      <c r="AT183" s="19">
        <f>('[1]Short Spot'!AT184-'[1]Short Spot'!AT183)*100</f>
        <v>4.3271222993162439</v>
      </c>
      <c r="AU183" s="19">
        <f>('[1]Short Spot'!AU184-'[1]Short Spot'!AU183)*100</f>
        <v>4.3143575709266635</v>
      </c>
      <c r="AV183" s="19">
        <f>('[1]Short Spot'!AV184-'[1]Short Spot'!AV183)*100</f>
        <v>4.3017304634560993</v>
      </c>
      <c r="AW183" s="19">
        <f>('[1]Short Spot'!AW184-'[1]Short Spot'!AW183)*100</f>
        <v>4.289340430695443</v>
      </c>
      <c r="AX183" s="19">
        <f>('[1]Short Spot'!AX184-'[1]Short Spot'!AX183)*100</f>
        <v>4.2772718762313922</v>
      </c>
      <c r="AY183" s="19">
        <f>('[1]Short Spot'!AY184-'[1]Short Spot'!AY183)*100</f>
        <v>4.2655956600034628</v>
      </c>
      <c r="AZ183" s="19">
        <f>('[1]Short Spot'!AZ184-'[1]Short Spot'!AZ183)*100</f>
        <v>4.2543704261109205</v>
      </c>
      <c r="BA183" s="19">
        <f>('[1]Short Spot'!BA184-'[1]Short Spot'!BA183)*100</f>
        <v>4.2436437774146185</v>
      </c>
      <c r="BB183" s="19">
        <f>('[1]Short Spot'!BB184-'[1]Short Spot'!BB183)*100</f>
        <v>4.2334533171620059</v>
      </c>
      <c r="BC183" s="19">
        <f>('[1]Short Spot'!BC184-'[1]Short Spot'!BC183)*100</f>
        <v>4.2238275729749475</v>
      </c>
      <c r="BD183" s="19">
        <f>('[1]Short Spot'!BD184-'[1]Short Spot'!BD183)*100</f>
        <v>4.2147866382331145</v>
      </c>
      <c r="BE183" s="19">
        <f>('[1]Short Spot'!BE184-'[1]Short Spot'!BE183)*100</f>
        <v>4.206342695368992</v>
      </c>
      <c r="BF183" s="19">
        <f>('[1]Short Spot'!BF184-'[1]Short Spot'!BF183)*100</f>
        <v>4.1985009319005506</v>
      </c>
      <c r="BG183" s="19">
        <f>('[1]Short Spot'!BG184-'[1]Short Spot'!BG183)*100</f>
        <v>4.1912603063322784</v>
      </c>
      <c r="BH183" s="19">
        <f>('[1]Short Spot'!BH184-'[1]Short Spot'!BH183)*100</f>
        <v>4.1846132552354476</v>
      </c>
      <c r="BI183" s="19">
        <f>('[1]Short Spot'!BI184-'[1]Short Spot'!BI183)*100</f>
        <v>4.1785468627615785</v>
      </c>
    </row>
    <row r="184" spans="1:61" x14ac:dyDescent="0.2">
      <c r="A184" s="18">
        <v>39346</v>
      </c>
      <c r="B184" s="19">
        <f>('[1]Short Spot'!B185-'[1]Short Spot'!B184)*100</f>
        <v>-1.6235202811590632</v>
      </c>
      <c r="C184" s="19">
        <f>('[1]Short Spot'!C185-'[1]Short Spot'!C184)*100</f>
        <v>-1.3690794528496752</v>
      </c>
      <c r="D184" s="19">
        <f>('[1]Short Spot'!D185-'[1]Short Spot'!D184)*100</f>
        <v>-0.71625454232018271</v>
      </c>
      <c r="E184" s="19">
        <f>('[1]Short Spot'!E185-'[1]Short Spot'!E184)*100</f>
        <v>-9.6835009394347082E-2</v>
      </c>
      <c r="F184" s="19">
        <f>('[1]Short Spot'!F185-'[1]Short Spot'!F184)*100</f>
        <v>0.44231762255142471</v>
      </c>
      <c r="G184" s="19">
        <f>('[1]Short Spot'!G185-'[1]Short Spot'!G184)*100</f>
        <v>0.88308254757905047</v>
      </c>
      <c r="H184" s="19">
        <f>('[1]Short Spot'!H185-'[1]Short Spot'!H184)*100</f>
        <v>1.2394376772477678</v>
      </c>
      <c r="I184" s="19">
        <f>('[1]Short Spot'!I185-'[1]Short Spot'!I184)*100</f>
        <v>1.5432328981691334</v>
      </c>
      <c r="J184" s="19">
        <f>('[1]Short Spot'!J185-'[1]Short Spot'!J184)*100</f>
        <v>1.8103273278700982</v>
      </c>
      <c r="K184" s="19">
        <f>('[1]Short Spot'!K185-'[1]Short Spot'!K184)*100</f>
        <v>2.0499047530143422</v>
      </c>
      <c r="L184" s="19">
        <f>('[1]Short Spot'!L185-'[1]Short Spot'!L184)*100</f>
        <v>2.268777354842122</v>
      </c>
      <c r="M184" s="19">
        <f>('[1]Short Spot'!M185-'[1]Short Spot'!M184)*100</f>
        <v>2.4705532923309903</v>
      </c>
      <c r="N184" s="19">
        <f>('[1]Short Spot'!N185-'[1]Short Spot'!N184)*100</f>
        <v>2.656393695815229</v>
      </c>
      <c r="O184" s="19">
        <f>('[1]Short Spot'!O185-'[1]Short Spot'!O184)*100</f>
        <v>2.8271982186314659</v>
      </c>
      <c r="P184" s="19">
        <f>('[1]Short Spot'!P185-'[1]Short Spot'!P184)*100</f>
        <v>2.9842689987254367</v>
      </c>
      <c r="Q184" s="19">
        <f>('[1]Short Spot'!Q185-'[1]Short Spot'!Q184)*100</f>
        <v>3.1287004519139572</v>
      </c>
      <c r="R184" s="19">
        <f>('[1]Short Spot'!R185-'[1]Short Spot'!R184)*100</f>
        <v>3.2614226731306317</v>
      </c>
      <c r="S184" s="19">
        <f>('[1]Short Spot'!S185-'[1]Short Spot'!S184)*100</f>
        <v>3.3832528141062745</v>
      </c>
      <c r="T184" s="19">
        <f>('[1]Short Spot'!T185-'[1]Short Spot'!T184)*100</f>
        <v>3.4951077672380038</v>
      </c>
      <c r="U184" s="19">
        <f>('[1]Short Spot'!U185-'[1]Short Spot'!U184)*100</f>
        <v>3.5980000243621468</v>
      </c>
      <c r="V184" s="19">
        <f>('[1]Short Spot'!V185-'[1]Short Spot'!V184)*100</f>
        <v>3.6927953565155214</v>
      </c>
      <c r="W184" s="19">
        <f>('[1]Short Spot'!W185-'[1]Short Spot'!W184)*100</f>
        <v>3.7802322622699336</v>
      </c>
      <c r="X184" s="19">
        <f>('[1]Short Spot'!X185-'[1]Short Spot'!X184)*100</f>
        <v>3.8609496356603046</v>
      </c>
      <c r="Y184" s="19">
        <f>('[1]Short Spot'!Y185-'[1]Short Spot'!Y184)*100</f>
        <v>3.9355075171298992</v>
      </c>
      <c r="Z184" s="19">
        <f>('[1]Short Spot'!Z185-'[1]Short Spot'!Z184)*100</f>
        <v>4.0044155432022777</v>
      </c>
      <c r="AA184" s="19">
        <f>('[1]Short Spot'!AA185-'[1]Short Spot'!AA184)*100</f>
        <v>4.0682115231504667</v>
      </c>
      <c r="AB184" s="19">
        <f>('[1]Short Spot'!AB185-'[1]Short Spot'!AB184)*100</f>
        <v>4.1274016387805368</v>
      </c>
      <c r="AC184" s="19">
        <f>('[1]Short Spot'!AC185-'[1]Short Spot'!AC184)*100</f>
        <v>4.1824347347890978</v>
      </c>
      <c r="AD184" s="19">
        <f>('[1]Short Spot'!AD185-'[1]Short Spot'!AD184)*100</f>
        <v>4.233709982360967</v>
      </c>
      <c r="AE184" s="19">
        <f>('[1]Short Spot'!AE185-'[1]Short Spot'!AE184)*100</f>
        <v>4.2815812186684177</v>
      </c>
      <c r="AF184" s="19">
        <f>('[1]Short Spot'!AF185-'[1]Short Spot'!AF184)*100</f>
        <v>4.3263641382194962</v>
      </c>
      <c r="AG184" s="19">
        <f>('[1]Short Spot'!AG185-'[1]Short Spot'!AG184)*100</f>
        <v>4.3683422526505922</v>
      </c>
      <c r="AH184" s="19">
        <f>('[1]Short Spot'!AH185-'[1]Short Spot'!AH184)*100</f>
        <v>4.4077723117294632</v>
      </c>
      <c r="AI184" s="19">
        <f>('[1]Short Spot'!AI185-'[1]Short Spot'!AI184)*100</f>
        <v>4.4448944908131338</v>
      </c>
      <c r="AJ184" s="19">
        <f>('[1]Short Spot'!AJ185-'[1]Short Spot'!AJ184)*100</f>
        <v>4.4799281354368503</v>
      </c>
      <c r="AK184" s="19">
        <f>('[1]Short Spot'!AK185-'[1]Short Spot'!AK184)*100</f>
        <v>4.5130669715332417</v>
      </c>
      <c r="AL184" s="19">
        <f>('[1]Short Spot'!AL185-'[1]Short Spot'!AL184)*100</f>
        <v>4.544482380097481</v>
      </c>
      <c r="AM184" s="19">
        <f>('[1]Short Spot'!AM185-'[1]Short Spot'!AM184)*100</f>
        <v>4.5743263415699786</v>
      </c>
      <c r="AN184" s="19">
        <f>('[1]Short Spot'!AN185-'[1]Short Spot'!AN184)*100</f>
        <v>4.6027349051392719</v>
      </c>
      <c r="AO184" s="19">
        <f>('[1]Short Spot'!AO185-'[1]Short Spot'!AO184)*100</f>
        <v>4.629831718913735</v>
      </c>
      <c r="AP184" s="19">
        <f>('[1]Short Spot'!AP185-'[1]Short Spot'!AP184)*100</f>
        <v>4.6557280484191388</v>
      </c>
      <c r="AQ184" s="19">
        <f>('[1]Short Spot'!AQ185-'[1]Short Spot'!AQ184)*100</f>
        <v>4.6805239864981196</v>
      </c>
      <c r="AR184" s="19">
        <f>('[1]Short Spot'!AR185-'[1]Short Spot'!AR184)*100</f>
        <v>4.704309752458613</v>
      </c>
      <c r="AS184" s="19">
        <f>('[1]Short Spot'!AS185-'[1]Short Spot'!AS184)*100</f>
        <v>4.7271668140667522</v>
      </c>
      <c r="AT184" s="19">
        <f>('[1]Short Spot'!AT185-'[1]Short Spot'!AT184)*100</f>
        <v>4.7491688599407667</v>
      </c>
      <c r="AU184" s="19">
        <f>('[1]Short Spot'!AU185-'[1]Short Spot'!AU184)*100</f>
        <v>4.7703825859380267</v>
      </c>
      <c r="AV184" s="19">
        <f>('[1]Short Spot'!AV185-'[1]Short Spot'!AV184)*100</f>
        <v>4.7908677128838839</v>
      </c>
      <c r="AW184" s="19">
        <f>('[1]Short Spot'!AW185-'[1]Short Spot'!AW184)*100</f>
        <v>4.810677282063569</v>
      </c>
      <c r="AX184" s="19">
        <f>('[1]Short Spot'!AX185-'[1]Short Spot'!AX184)*100</f>
        <v>4.8298584437720393</v>
      </c>
      <c r="AY184" s="19">
        <f>('[1]Short Spot'!AY185-'[1]Short Spot'!AY184)*100</f>
        <v>4.8484530485533028</v>
      </c>
      <c r="AZ184" s="19">
        <f>('[1]Short Spot'!AZ185-'[1]Short Spot'!AZ184)*100</f>
        <v>4.8664981667834617</v>
      </c>
      <c r="BA184" s="19">
        <f>('[1]Short Spot'!BA185-'[1]Short Spot'!BA184)*100</f>
        <v>4.8840265483025114</v>
      </c>
      <c r="BB184" s="19">
        <f>('[1]Short Spot'!BB185-'[1]Short Spot'!BB184)*100</f>
        <v>4.901067030011852</v>
      </c>
      <c r="BC184" s="19">
        <f>('[1]Short Spot'!BC185-'[1]Short Spot'!BC184)*100</f>
        <v>4.9176448876339762</v>
      </c>
      <c r="BD184" s="19">
        <f>('[1]Short Spot'!BD185-'[1]Short Spot'!BD184)*100</f>
        <v>4.9337816276763036</v>
      </c>
      <c r="BE184" s="19">
        <f>('[1]Short Spot'!BE185-'[1]Short Spot'!BE184)*100</f>
        <v>4.9494951322615499</v>
      </c>
      <c r="BF184" s="19">
        <f>('[1]Short Spot'!BF185-'[1]Short Spot'!BF184)*100</f>
        <v>4.9648008611145045</v>
      </c>
      <c r="BG184" s="19">
        <f>('[1]Short Spot'!BG185-'[1]Short Spot'!BG184)*100</f>
        <v>4.9797132771630004</v>
      </c>
      <c r="BH184" s="19">
        <f>('[1]Short Spot'!BH185-'[1]Short Spot'!BH184)*100</f>
        <v>4.9942448764369374</v>
      </c>
      <c r="BI184" s="19">
        <f>('[1]Short Spot'!BI185-'[1]Short Spot'!BI184)*100</f>
        <v>5.0084046234895041</v>
      </c>
    </row>
    <row r="185" spans="1:61" x14ac:dyDescent="0.2">
      <c r="A185" s="18">
        <v>39349</v>
      </c>
      <c r="B185" s="19">
        <f>('[1]Short Spot'!B186-'[1]Short Spot'!B185)*100</f>
        <v>-5.944052988811066E-2</v>
      </c>
      <c r="C185" s="19">
        <f>('[1]Short Spot'!C186-'[1]Short Spot'!C185)*100</f>
        <v>0.37939361684209416</v>
      </c>
      <c r="D185" s="19">
        <f>('[1]Short Spot'!D186-'[1]Short Spot'!D185)*100</f>
        <v>0.38677047069688442</v>
      </c>
      <c r="E185" s="19">
        <f>('[1]Short Spot'!E186-'[1]Short Spot'!E185)*100</f>
        <v>0.31635323482159805</v>
      </c>
      <c r="F185" s="19">
        <f>('[1]Short Spot'!F186-'[1]Short Spot'!F185)*100</f>
        <v>0.23879602993988058</v>
      </c>
      <c r="G185" s="19">
        <f>('[1]Short Spot'!G186-'[1]Short Spot'!G185)*100</f>
        <v>0.15591181490082207</v>
      </c>
      <c r="H185" s="19">
        <f>('[1]Short Spot'!H186-'[1]Short Spot'!H185)*100</f>
        <v>4.6559641844634569E-2</v>
      </c>
      <c r="I185" s="19">
        <f>('[1]Short Spot'!I186-'[1]Short Spot'!I185)*100</f>
        <v>-9.6810836728344896E-2</v>
      </c>
      <c r="J185" s="19">
        <f>('[1]Short Spot'!J186-'[1]Short Spot'!J185)*100</f>
        <v>-0.26621062040375065</v>
      </c>
      <c r="K185" s="19">
        <f>('[1]Short Spot'!K186-'[1]Short Spot'!K185)*100</f>
        <v>-0.44910302918967915</v>
      </c>
      <c r="L185" s="19">
        <f>('[1]Short Spot'!L186-'[1]Short Spot'!L185)*100</f>
        <v>-0.63510970453464211</v>
      </c>
      <c r="M185" s="19">
        <f>('[1]Short Spot'!M186-'[1]Short Spot'!M185)*100</f>
        <v>-0.81643522013949976</v>
      </c>
      <c r="N185" s="19">
        <f>('[1]Short Spot'!N186-'[1]Short Spot'!N185)*100</f>
        <v>-0.98684446755239463</v>
      </c>
      <c r="O185" s="19">
        <f>('[1]Short Spot'!O186-'[1]Short Spot'!O185)*100</f>
        <v>-1.1429642968616704</v>
      </c>
      <c r="P185" s="19">
        <f>('[1]Short Spot'!P186-'[1]Short Spot'!P185)*100</f>
        <v>-1.2836511777126525</v>
      </c>
      <c r="Q185" s="19">
        <f>('[1]Short Spot'!Q186-'[1]Short Spot'!Q185)*100</f>
        <v>-1.4087998161943283</v>
      </c>
      <c r="R185" s="19">
        <f>('[1]Short Spot'!R186-'[1]Short Spot'!R185)*100</f>
        <v>-1.5190229639213904</v>
      </c>
      <c r="S185" s="19">
        <f>('[1]Short Spot'!S186-'[1]Short Spot'!S185)*100</f>
        <v>-1.6154476996538492</v>
      </c>
      <c r="T185" s="19">
        <f>('[1]Short Spot'!T186-'[1]Short Spot'!T185)*100</f>
        <v>-1.6994147634316725</v>
      </c>
      <c r="U185" s="19">
        <f>('[1]Short Spot'!U186-'[1]Short Spot'!U185)*100</f>
        <v>-1.7721402310820977</v>
      </c>
      <c r="V185" s="19">
        <f>('[1]Short Spot'!V186-'[1]Short Spot'!V185)*100</f>
        <v>-1.8347210214529674</v>
      </c>
      <c r="W185" s="19">
        <f>('[1]Short Spot'!W186-'[1]Short Spot'!W185)*100</f>
        <v>-1.8881639734337874</v>
      </c>
      <c r="X185" s="19">
        <f>('[1]Short Spot'!X186-'[1]Short Spot'!X185)*100</f>
        <v>-1.9334054285559787</v>
      </c>
      <c r="Y185" s="19">
        <f>('[1]Short Spot'!Y186-'[1]Short Spot'!Y185)*100</f>
        <v>-1.9713259179417797</v>
      </c>
      <c r="Z185" s="19">
        <f>('[1]Short Spot'!Z186-'[1]Short Spot'!Z185)*100</f>
        <v>-2.0027536947621272</v>
      </c>
      <c r="AA185" s="19">
        <f>('[1]Short Spot'!AA186-'[1]Short Spot'!AA185)*100</f>
        <v>-2.028418818968003</v>
      </c>
      <c r="AB185" s="19">
        <f>('[1]Short Spot'!AB186-'[1]Short Spot'!AB185)*100</f>
        <v>-2.0489516594336621</v>
      </c>
      <c r="AC185" s="19">
        <f>('[1]Short Spot'!AC186-'[1]Short Spot'!AC185)*100</f>
        <v>-2.0649038425719191</v>
      </c>
      <c r="AD185" s="19">
        <f>('[1]Short Spot'!AD186-'[1]Short Spot'!AD185)*100</f>
        <v>-2.07676101407408</v>
      </c>
      <c r="AE185" s="19">
        <f>('[1]Short Spot'!AE186-'[1]Short Spot'!AE185)*100</f>
        <v>-2.0849546053903545</v>
      </c>
      <c r="AF185" s="19">
        <f>('[1]Short Spot'!AF186-'[1]Short Spot'!AF185)*100</f>
        <v>-2.0898705999877976</v>
      </c>
      <c r="AG185" s="19">
        <f>('[1]Short Spot'!AG186-'[1]Short Spot'!AG185)*100</f>
        <v>-2.0918566345983436</v>
      </c>
      <c r="AH185" s="19">
        <f>('[1]Short Spot'!AH186-'[1]Short Spot'!AH185)*100</f>
        <v>-2.0912274895687588</v>
      </c>
      <c r="AI185" s="19">
        <f>('[1]Short Spot'!AI186-'[1]Short Spot'!AI185)*100</f>
        <v>-2.088265223461061</v>
      </c>
      <c r="AJ185" s="19">
        <f>('[1]Short Spot'!AJ186-'[1]Short Spot'!AJ185)*100</f>
        <v>-2.0832211002231205</v>
      </c>
      <c r="AK185" s="19">
        <f>('[1]Short Spot'!AK186-'[1]Short Spot'!AK185)*100</f>
        <v>-2.0763209590927367</v>
      </c>
      <c r="AL185" s="19">
        <f>('[1]Short Spot'!AL186-'[1]Short Spot'!AL185)*100</f>
        <v>-2.0677686812395457</v>
      </c>
      <c r="AM185" s="19">
        <f>('[1]Short Spot'!AM186-'[1]Short Spot'!AM185)*100</f>
        <v>-2.0577490751542804</v>
      </c>
      <c r="AN185" s="19">
        <f>('[1]Short Spot'!AN186-'[1]Short Spot'!AN185)*100</f>
        <v>-2.0464296881503863</v>
      </c>
      <c r="AO185" s="19">
        <f>('[1]Short Spot'!AO186-'[1]Short Spot'!AO185)*100</f>
        <v>-2.0339612221262904</v>
      </c>
      <c r="AP185" s="19">
        <f>('[1]Short Spot'!AP186-'[1]Short Spot'!AP185)*100</f>
        <v>-2.0204794023300998</v>
      </c>
      <c r="AQ185" s="19">
        <f>('[1]Short Spot'!AQ186-'[1]Short Spot'!AQ185)*100</f>
        <v>-2.006106804411445</v>
      </c>
      <c r="AR185" s="19">
        <f>('[1]Short Spot'!AR186-'[1]Short Spot'!AR185)*100</f>
        <v>-1.9909543834428334</v>
      </c>
      <c r="AS185" s="19">
        <f>('[1]Short Spot'!AS186-'[1]Short Spot'!AS185)*100</f>
        <v>-1.9751227944418304</v>
      </c>
      <c r="AT185" s="19">
        <f>('[1]Short Spot'!AT186-'[1]Short Spot'!AT185)*100</f>
        <v>-1.9587035368202166</v>
      </c>
      <c r="AU185" s="19">
        <f>('[1]Short Spot'!AU186-'[1]Short Spot'!AU185)*100</f>
        <v>-1.9417799584886986</v>
      </c>
      <c r="AV185" s="19">
        <f>('[1]Short Spot'!AV186-'[1]Short Spot'!AV185)*100</f>
        <v>-1.9244280167228567</v>
      </c>
      <c r="AW185" s="19">
        <f>('[1]Short Spot'!AW186-'[1]Short Spot'!AW185)*100</f>
        <v>-1.9067165960946042</v>
      </c>
      <c r="AX185" s="19">
        <f>('[1]Short Spot'!AX186-'[1]Short Spot'!AX185)*100</f>
        <v>-1.8887081032390896</v>
      </c>
      <c r="AY185" s="19">
        <f>('[1]Short Spot'!AY186-'[1]Short Spot'!AY185)*100</f>
        <v>-1.870459114227252</v>
      </c>
      <c r="AZ185" s="19">
        <f>('[1]Short Spot'!AZ186-'[1]Short Spot'!AZ185)*100</f>
        <v>-1.852020946188393</v>
      </c>
      <c r="BA185" s="19">
        <f>('[1]Short Spot'!BA186-'[1]Short Spot'!BA185)*100</f>
        <v>-1.8334401629790165</v>
      </c>
      <c r="BB185" s="19">
        <f>('[1]Short Spot'!BB186-'[1]Short Spot'!BB185)*100</f>
        <v>-1.8147590236033295</v>
      </c>
      <c r="BC185" s="19">
        <f>('[1]Short Spot'!BC186-'[1]Short Spot'!BC185)*100</f>
        <v>-1.7960158858167041</v>
      </c>
      <c r="BD185" s="19">
        <f>('[1]Short Spot'!BD186-'[1]Short Spot'!BD185)*100</f>
        <v>-1.7772456642829226</v>
      </c>
      <c r="BE185" s="19">
        <f>('[1]Short Spot'!BE186-'[1]Short Spot'!BE185)*100</f>
        <v>-1.7584798443881944</v>
      </c>
      <c r="BF185" s="19">
        <f>('[1]Short Spot'!BF186-'[1]Short Spot'!BF185)*100</f>
        <v>-1.7397463640168809</v>
      </c>
      <c r="BG185" s="19">
        <f>('[1]Short Spot'!BG186-'[1]Short Spot'!BG185)*100</f>
        <v>-1.7210693510095076</v>
      </c>
      <c r="BH185" s="19">
        <f>('[1]Short Spot'!BH186-'[1]Short Spot'!BH185)*100</f>
        <v>-1.7024696297070818</v>
      </c>
      <c r="BI185" s="19">
        <f>('[1]Short Spot'!BI186-'[1]Short Spot'!BI185)*100</f>
        <v>-1.6839660065262052</v>
      </c>
    </row>
    <row r="186" spans="1:61" x14ac:dyDescent="0.2">
      <c r="A186" s="18">
        <v>39350</v>
      </c>
      <c r="B186" s="19">
        <f>('[1]Short Spot'!B187-'[1]Short Spot'!B186)*100</f>
        <v>-1.9401364991075809</v>
      </c>
      <c r="C186" s="19">
        <f>('[1]Short Spot'!C187-'[1]Short Spot'!C186)*100</f>
        <v>-2.4401379104291188</v>
      </c>
      <c r="D186" s="19">
        <f>('[1]Short Spot'!D187-'[1]Short Spot'!D186)*100</f>
        <v>-2.4945904854376977</v>
      </c>
      <c r="E186" s="19">
        <f>('[1]Short Spot'!E187-'[1]Short Spot'!E186)*100</f>
        <v>-2.5319000726322649</v>
      </c>
      <c r="F186" s="19">
        <f>('[1]Short Spot'!F187-'[1]Short Spot'!F186)*100</f>
        <v>-2.5937962848145091</v>
      </c>
      <c r="G186" s="19">
        <f>('[1]Short Spot'!G187-'[1]Short Spot'!G186)*100</f>
        <v>-2.7197160235036044</v>
      </c>
      <c r="H186" s="19">
        <f>('[1]Short Spot'!H187-'[1]Short Spot'!H186)*100</f>
        <v>-2.9474611851603605</v>
      </c>
      <c r="I186" s="19">
        <f>('[1]Short Spot'!I187-'[1]Short Spot'!I186)*100</f>
        <v>-3.2791652082579503</v>
      </c>
      <c r="J186" s="19">
        <f>('[1]Short Spot'!J187-'[1]Short Spot'!J186)*100</f>
        <v>-3.6929641809855696</v>
      </c>
      <c r="K186" s="19">
        <f>('[1]Short Spot'!K187-'[1]Short Spot'!K186)*100</f>
        <v>-4.1565452907883049</v>
      </c>
      <c r="L186" s="19">
        <f>('[1]Short Spot'!L187-'[1]Short Spot'!L186)*100</f>
        <v>-4.6396302538756373</v>
      </c>
      <c r="M186" s="19">
        <f>('[1]Short Spot'!M187-'[1]Short Spot'!M186)*100</f>
        <v>-5.1203453142643518</v>
      </c>
      <c r="N186" s="19">
        <f>('[1]Short Spot'!N187-'[1]Short Spot'!N186)*100</f>
        <v>-5.5826384867770251</v>
      </c>
      <c r="O186" s="19">
        <f>('[1]Short Spot'!O187-'[1]Short Spot'!O186)*100</f>
        <v>-6.014955643435016</v>
      </c>
      <c r="P186" s="19">
        <f>('[1]Short Spot'!P187-'[1]Short Spot'!P186)*100</f>
        <v>-6.4104806220359301</v>
      </c>
      <c r="Q186" s="19">
        <f>('[1]Short Spot'!Q187-'[1]Short Spot'!Q186)*100</f>
        <v>-6.7661616455411355</v>
      </c>
      <c r="R186" s="19">
        <f>('[1]Short Spot'!R187-'[1]Short Spot'!R186)*100</f>
        <v>-7.0816107143092388</v>
      </c>
      <c r="S186" s="19">
        <f>('[1]Short Spot'!S187-'[1]Short Spot'!S186)*100</f>
        <v>-7.3583553615701014</v>
      </c>
      <c r="T186" s="19">
        <f>('[1]Short Spot'!T187-'[1]Short Spot'!T186)*100</f>
        <v>-7.5989891742877624</v>
      </c>
      <c r="U186" s="19">
        <f>('[1]Short Spot'!U187-'[1]Short Spot'!U186)*100</f>
        <v>-7.8061885328604141</v>
      </c>
      <c r="V186" s="19">
        <f>('[1]Short Spot'!V187-'[1]Short Spot'!V186)*100</f>
        <v>-7.9825503972248413</v>
      </c>
      <c r="W186" s="19">
        <f>('[1]Short Spot'!W187-'[1]Short Spot'!W186)*100</f>
        <v>-8.130610957774298</v>
      </c>
      <c r="X186" s="19">
        <f>('[1]Short Spot'!X187-'[1]Short Spot'!X186)*100</f>
        <v>-8.2528588461294738</v>
      </c>
      <c r="Y186" s="19">
        <f>('[1]Short Spot'!Y187-'[1]Short Spot'!Y186)*100</f>
        <v>-8.3517450432161411</v>
      </c>
      <c r="Z186" s="19">
        <f>('[1]Short Spot'!Z187-'[1]Short Spot'!Z186)*100</f>
        <v>-8.4296748506067942</v>
      </c>
      <c r="AA186" s="19">
        <f>('[1]Short Spot'!AA187-'[1]Short Spot'!AA186)*100</f>
        <v>-8.4888732073828521</v>
      </c>
      <c r="AB186" s="19">
        <f>('[1]Short Spot'!AB187-'[1]Short Spot'!AB186)*100</f>
        <v>-8.5313069935477159</v>
      </c>
      <c r="AC186" s="19">
        <f>('[1]Short Spot'!AC187-'[1]Short Spot'!AC186)*100</f>
        <v>-8.5587216851270576</v>
      </c>
      <c r="AD186" s="19">
        <f>('[1]Short Spot'!AD187-'[1]Short Spot'!AD186)*100</f>
        <v>-8.5726735718525404</v>
      </c>
      <c r="AE186" s="19">
        <f>('[1]Short Spot'!AE187-'[1]Short Spot'!AE186)*100</f>
        <v>-8.5745609392200883</v>
      </c>
      <c r="AF186" s="19">
        <f>('[1]Short Spot'!AF187-'[1]Short Spot'!AF186)*100</f>
        <v>-8.5656495662837173</v>
      </c>
      <c r="AG186" s="19">
        <f>('[1]Short Spot'!AG187-'[1]Short Spot'!AG186)*100</f>
        <v>-8.5470934297878109</v>
      </c>
      <c r="AH186" s="19">
        <f>('[1]Short Spot'!AH187-'[1]Short Spot'!AH186)*100</f>
        <v>-8.51995097471967</v>
      </c>
      <c r="AI186" s="19">
        <f>('[1]Short Spot'!AI187-'[1]Short Spot'!AI186)*100</f>
        <v>-8.4851861394801276</v>
      </c>
      <c r="AJ186" s="19">
        <f>('[1]Short Spot'!AJ187-'[1]Short Spot'!AJ186)*100</f>
        <v>-8.4436644997825994</v>
      </c>
      <c r="AK186" s="19">
        <f>('[1]Short Spot'!AK187-'[1]Short Spot'!AK186)*100</f>
        <v>-8.3961651411809335</v>
      </c>
      <c r="AL186" s="19">
        <f>('[1]Short Spot'!AL187-'[1]Short Spot'!AL186)*100</f>
        <v>-8.3433923632934892</v>
      </c>
      <c r="AM186" s="19">
        <f>('[1]Short Spot'!AM187-'[1]Short Spot'!AM186)*100</f>
        <v>-8.2859855117749959</v>
      </c>
      <c r="AN186" s="19">
        <f>('[1]Short Spot'!AN187-'[1]Short Spot'!AN186)*100</f>
        <v>-8.2245258258205389</v>
      </c>
      <c r="AO186" s="19">
        <f>('[1]Short Spot'!AO187-'[1]Short Spot'!AO186)*100</f>
        <v>-8.1595383360435036</v>
      </c>
      <c r="AP186" s="19">
        <f>('[1]Short Spot'!AP187-'[1]Short Spot'!AP186)*100</f>
        <v>-8.0914967979392571</v>
      </c>
      <c r="AQ186" s="19">
        <f>('[1]Short Spot'!AQ187-'[1]Short Spot'!AQ186)*100</f>
        <v>-8.0208297820067109</v>
      </c>
      <c r="AR186" s="19">
        <f>('[1]Short Spot'!AR187-'[1]Short Spot'!AR186)*100</f>
        <v>-7.9479259278175007</v>
      </c>
      <c r="AS186" s="19">
        <f>('[1]Short Spot'!AS187-'[1]Short Spot'!AS186)*100</f>
        <v>-7.8731384816214778</v>
      </c>
      <c r="AT186" s="19">
        <f>('[1]Short Spot'!AT187-'[1]Short Spot'!AT186)*100</f>
        <v>-7.7967892289381169</v>
      </c>
      <c r="AU186" s="19">
        <f>('[1]Short Spot'!AU187-'[1]Short Spot'!AU186)*100</f>
        <v>-7.7191718588685454</v>
      </c>
      <c r="AV186" s="19">
        <f>('[1]Short Spot'!AV187-'[1]Short Spot'!AV186)*100</f>
        <v>-7.6405537039618387</v>
      </c>
      <c r="AW186" s="19">
        <f>('[1]Short Spot'!AW187-'[1]Short Spot'!AW186)*100</f>
        <v>-7.5611764793512393</v>
      </c>
      <c r="AX186" s="19">
        <f>('[1]Short Spot'!AX187-'[1]Short Spot'!AX186)*100</f>
        <v>-7.4812585671205412</v>
      </c>
      <c r="AY186" s="19">
        <f>('[1]Short Spot'!AY187-'[1]Short Spot'!AY186)*100</f>
        <v>-7.4009973492943359</v>
      </c>
      <c r="AZ186" s="19">
        <f>('[1]Short Spot'!AZ187-'[1]Short Spot'!AZ186)*100</f>
        <v>-7.3205712666683631</v>
      </c>
      <c r="BA186" s="19">
        <f>('[1]Short Spot'!BA187-'[1]Short Spot'!BA186)*100</f>
        <v>-7.2401416400801999</v>
      </c>
      <c r="BB186" s="19">
        <f>('[1]Short Spot'!BB187-'[1]Short Spot'!BB186)*100</f>
        <v>-7.1598542855008773</v>
      </c>
      <c r="BC186" s="19">
        <f>('[1]Short Spot'!BC187-'[1]Short Spot'!BC186)*100</f>
        <v>-7.0798409550902441</v>
      </c>
      <c r="BD186" s="19">
        <f>('[1]Short Spot'!BD187-'[1]Short Spot'!BD186)*100</f>
        <v>-7.000220663932577</v>
      </c>
      <c r="BE186" s="19">
        <f>('[1]Short Spot'!BE187-'[1]Short Spot'!BE186)*100</f>
        <v>-6.9211003565166962</v>
      </c>
      <c r="BF186" s="19">
        <f>('[1]Short Spot'!BF187-'[1]Short Spot'!BF186)*100</f>
        <v>-6.8425754977806008</v>
      </c>
      <c r="BG186" s="19">
        <f>('[1]Short Spot'!BG187-'[1]Short Spot'!BG186)*100</f>
        <v>-6.7647302223143413</v>
      </c>
      <c r="BH186" s="19">
        <f>('[1]Short Spot'!BH187-'[1]Short Spot'!BH186)*100</f>
        <v>-6.6876381498516935</v>
      </c>
      <c r="BI186" s="19">
        <f>('[1]Short Spot'!BI187-'[1]Short Spot'!BI186)*100</f>
        <v>-6.6113646841188256</v>
      </c>
    </row>
    <row r="187" spans="1:61" x14ac:dyDescent="0.2">
      <c r="A187" s="18">
        <v>39351</v>
      </c>
      <c r="B187" s="19">
        <f>('[1]Short Spot'!B188-'[1]Short Spot'!B187)*100</f>
        <v>-1.6881418015286975</v>
      </c>
      <c r="C187" s="19">
        <f>('[1]Short Spot'!C188-'[1]Short Spot'!C187)*100</f>
        <v>1.8223731175507574</v>
      </c>
      <c r="D187" s="19">
        <f>('[1]Short Spot'!D188-'[1]Short Spot'!D187)*100</f>
        <v>6.1428037533117319</v>
      </c>
      <c r="E187" s="19">
        <f>('[1]Short Spot'!E188-'[1]Short Spot'!E187)*100</f>
        <v>8.9801621256015096</v>
      </c>
      <c r="F187" s="19">
        <f>('[1]Short Spot'!F188-'[1]Short Spot'!F187)*100</f>
        <v>9.8143441408669929</v>
      </c>
      <c r="G187" s="19">
        <f>('[1]Short Spot'!G188-'[1]Short Spot'!G187)*100</f>
        <v>9.1125840848893525</v>
      </c>
      <c r="H187" s="19">
        <f>('[1]Short Spot'!H188-'[1]Short Spot'!H187)*100</f>
        <v>7.6342360831596068</v>
      </c>
      <c r="I187" s="19">
        <f>('[1]Short Spot'!I188-'[1]Short Spot'!I187)*100</f>
        <v>5.9603391338128198</v>
      </c>
      <c r="J187" s="19">
        <f>('[1]Short Spot'!J188-'[1]Short Spot'!J187)*100</f>
        <v>4.3772725588056005</v>
      </c>
      <c r="K187" s="19">
        <f>('[1]Short Spot'!K188-'[1]Short Spot'!K187)*100</f>
        <v>3.0084668906996903</v>
      </c>
      <c r="L187" s="19">
        <f>('[1]Short Spot'!L188-'[1]Short Spot'!L187)*100</f>
        <v>1.8925482406826788</v>
      </c>
      <c r="M187" s="19">
        <f>('[1]Short Spot'!M188-'[1]Short Spot'!M187)*100</f>
        <v>1.0224781046535902</v>
      </c>
      <c r="N187" s="19">
        <f>('[1]Short Spot'!N188-'[1]Short Spot'!N187)*100</f>
        <v>0.36429368632369119</v>
      </c>
      <c r="O187" s="19">
        <f>('[1]Short Spot'!O188-'[1]Short Spot'!O187)*100</f>
        <v>-0.12305551135520787</v>
      </c>
      <c r="P187" s="19">
        <f>('[1]Short Spot'!P188-'[1]Short Spot'!P187)*100</f>
        <v>-0.47342009137967267</v>
      </c>
      <c r="Q187" s="19">
        <f>('[1]Short Spot'!Q188-'[1]Short Spot'!Q187)*100</f>
        <v>-0.71394480723583342</v>
      </c>
      <c r="R187" s="19">
        <f>('[1]Short Spot'!R188-'[1]Short Spot'!R187)*100</f>
        <v>-0.86702593412368856</v>
      </c>
      <c r="S187" s="19">
        <f>('[1]Short Spot'!S188-'[1]Short Spot'!S187)*100</f>
        <v>-0.95161603523203908</v>
      </c>
      <c r="T187" s="19">
        <f>('[1]Short Spot'!T188-'[1]Short Spot'!T187)*100</f>
        <v>-0.98359807253700637</v>
      </c>
      <c r="U187" s="19">
        <f>('[1]Short Spot'!U188-'[1]Short Spot'!U187)*100</f>
        <v>-0.97548631754351689</v>
      </c>
      <c r="V187" s="19">
        <f>('[1]Short Spot'!V188-'[1]Short Spot'!V187)*100</f>
        <v>-0.93701754128376891</v>
      </c>
      <c r="W187" s="19">
        <f>('[1]Short Spot'!W188-'[1]Short Spot'!W187)*100</f>
        <v>-0.87578260837632982</v>
      </c>
      <c r="X187" s="19">
        <f>('[1]Short Spot'!X188-'[1]Short Spot'!X187)*100</f>
        <v>-0.7976929784206277</v>
      </c>
      <c r="Y187" s="19">
        <f>('[1]Short Spot'!Y188-'[1]Short Spot'!Y187)*100</f>
        <v>-0.70733058204259791</v>
      </c>
      <c r="Z187" s="19">
        <f>('[1]Short Spot'!Z188-'[1]Short Spot'!Z187)*100</f>
        <v>-0.6082101435622711</v>
      </c>
      <c r="AA187" s="19">
        <f>('[1]Short Spot'!AA188-'[1]Short Spot'!AA187)*100</f>
        <v>-0.50301157599816904</v>
      </c>
      <c r="AB187" s="19">
        <f>('[1]Short Spot'!AB188-'[1]Short Spot'!AB187)*100</f>
        <v>-0.39381962838902496</v>
      </c>
      <c r="AC187" s="19">
        <f>('[1]Short Spot'!AC188-'[1]Short Spot'!AC187)*100</f>
        <v>-0.28226563445103992</v>
      </c>
      <c r="AD187" s="19">
        <f>('[1]Short Spot'!AD188-'[1]Short Spot'!AD187)*100</f>
        <v>-0.16964589558066123</v>
      </c>
      <c r="AE187" s="19">
        <f>('[1]Short Spot'!AE188-'[1]Short Spot'!AE187)*100</f>
        <v>-5.6986313549423073E-2</v>
      </c>
      <c r="AF187" s="19">
        <f>('[1]Short Spot'!AF188-'[1]Short Spot'!AF187)*100</f>
        <v>5.4913961017355462E-2</v>
      </c>
      <c r="AG187" s="19">
        <f>('[1]Short Spot'!AG188-'[1]Short Spot'!AG187)*100</f>
        <v>0.16544709877504005</v>
      </c>
      <c r="AH187" s="19">
        <f>('[1]Short Spot'!AH188-'[1]Short Spot'!AH187)*100</f>
        <v>0.27416741009007595</v>
      </c>
      <c r="AI187" s="19">
        <f>('[1]Short Spot'!AI188-'[1]Short Spot'!AI187)*100</f>
        <v>0.38075543172837456</v>
      </c>
      <c r="AJ187" s="19">
        <f>('[1]Short Spot'!AJ188-'[1]Short Spot'!AJ187)*100</f>
        <v>0.4849711529429257</v>
      </c>
      <c r="AK187" s="19">
        <f>('[1]Short Spot'!AK188-'[1]Short Spot'!AK187)*100</f>
        <v>0.58663601039548041</v>
      </c>
      <c r="AL187" s="19">
        <f>('[1]Short Spot'!AL188-'[1]Short Spot'!AL187)*100</f>
        <v>0.68562455319858273</v>
      </c>
      <c r="AM187" s="19">
        <f>('[1]Short Spot'!AM188-'[1]Short Spot'!AM187)*100</f>
        <v>0.78185745415026986</v>
      </c>
      <c r="AN187" s="19">
        <f>('[1]Short Spot'!AN188-'[1]Short Spot'!AN187)*100</f>
        <v>0.87529405135189364</v>
      </c>
      <c r="AO187" s="19">
        <f>('[1]Short Spot'!AO188-'[1]Short Spot'!AO187)*100</f>
        <v>0.965918770476204</v>
      </c>
      <c r="AP187" s="19">
        <f>('[1]Short Spot'!AP188-'[1]Short Spot'!AP187)*100</f>
        <v>1.0537330811595247</v>
      </c>
      <c r="AQ187" s="19">
        <f>('[1]Short Spot'!AQ188-'[1]Short Spot'!AQ187)*100</f>
        <v>1.1387532754736363</v>
      </c>
      <c r="AR187" s="19">
        <f>('[1]Short Spot'!AR188-'[1]Short Spot'!AR187)*100</f>
        <v>1.2210087443845552</v>
      </c>
      <c r="AS187" s="19">
        <f>('[1]Short Spot'!AS188-'[1]Short Spot'!AS187)*100</f>
        <v>1.300540489244284</v>
      </c>
      <c r="AT187" s="19">
        <f>('[1]Short Spot'!AT188-'[1]Short Spot'!AT187)*100</f>
        <v>1.3773998317464731</v>
      </c>
      <c r="AU187" s="19">
        <f>('[1]Short Spot'!AU188-'[1]Short Spot'!AU187)*100</f>
        <v>1.4516471156182043</v>
      </c>
      <c r="AV187" s="19">
        <f>('[1]Short Spot'!AV188-'[1]Short Spot'!AV187)*100</f>
        <v>1.5233480477916395</v>
      </c>
      <c r="AW187" s="19">
        <f>('[1]Short Spot'!AW188-'[1]Short Spot'!AW187)*100</f>
        <v>1.5925697497057634</v>
      </c>
      <c r="AX187" s="19">
        <f>('[1]Short Spot'!AX188-'[1]Short Spot'!AX187)*100</f>
        <v>1.6593801984639889</v>
      </c>
      <c r="AY187" s="19">
        <f>('[1]Short Spot'!AY188-'[1]Short Spot'!AY187)*100</f>
        <v>1.7238481412468865</v>
      </c>
      <c r="AZ187" s="19">
        <f>('[1]Short Spot'!AZ188-'[1]Short Spot'!AZ187)*100</f>
        <v>1.7860430198155086</v>
      </c>
      <c r="BA187" s="19">
        <f>('[1]Short Spot'!BA188-'[1]Short Spot'!BA187)*100</f>
        <v>1.8460349037234813</v>
      </c>
      <c r="BB187" s="19">
        <f>('[1]Short Spot'!BB188-'[1]Short Spot'!BB187)*100</f>
        <v>1.9038944310917572</v>
      </c>
      <c r="BC187" s="19">
        <f>('[1]Short Spot'!BC188-'[1]Short Spot'!BC187)*100</f>
        <v>1.9596927423699562</v>
      </c>
      <c r="BD187" s="19">
        <f>('[1]Short Spot'!BD188-'[1]Short Spot'!BD187)*100</f>
        <v>2.0135008240598218</v>
      </c>
      <c r="BE187" s="19">
        <f>('[1]Short Spot'!BE188-'[1]Short Spot'!BE187)*100</f>
        <v>2.0653882698525194</v>
      </c>
      <c r="BF187" s="19">
        <f>('[1]Short Spot'!BF188-'[1]Short Spot'!BF187)*100</f>
        <v>2.1154233030599379</v>
      </c>
      <c r="BG187" s="19">
        <f>('[1]Short Spot'!BG188-'[1]Short Spot'!BG187)*100</f>
        <v>2.1636743330200048</v>
      </c>
      <c r="BH187" s="19">
        <f>('[1]Short Spot'!BH188-'[1]Short Spot'!BH187)*100</f>
        <v>2.2102107271666505</v>
      </c>
      <c r="BI187" s="19">
        <f>('[1]Short Spot'!BI188-'[1]Short Spot'!BI187)*100</f>
        <v>2.2551000454042125</v>
      </c>
    </row>
    <row r="188" spans="1:61" x14ac:dyDescent="0.2">
      <c r="A188" s="18">
        <v>39352</v>
      </c>
      <c r="B188" s="19">
        <f>('[1]Short Spot'!B189-'[1]Short Spot'!B188)*100</f>
        <v>1.7231079776856895</v>
      </c>
      <c r="C188" s="19">
        <f>('[1]Short Spot'!C189-'[1]Short Spot'!C188)*100</f>
        <v>-1.9127749579253006</v>
      </c>
      <c r="D188" s="19">
        <f>('[1]Short Spot'!D189-'[1]Short Spot'!D188)*100</f>
        <v>-6.2660642237838182</v>
      </c>
      <c r="E188" s="19">
        <f>('[1]Short Spot'!E189-'[1]Short Spot'!E188)*100</f>
        <v>-9.0365576689277027</v>
      </c>
      <c r="F188" s="19">
        <f>('[1]Short Spot'!F189-'[1]Short Spot'!F188)*100</f>
        <v>-9.7685685731065952</v>
      </c>
      <c r="G188" s="19">
        <f>('[1]Short Spot'!G189-'[1]Short Spot'!G188)*100</f>
        <v>-8.9727284549129038</v>
      </c>
      <c r="H188" s="19">
        <f>('[1]Short Spot'!H189-'[1]Short Spot'!H188)*100</f>
        <v>-7.4277712376216165</v>
      </c>
      <c r="I188" s="19">
        <f>('[1]Short Spot'!I189-'[1]Short Spot'!I188)*100</f>
        <v>-5.7157834903292404</v>
      </c>
      <c r="J188" s="19">
        <f>('[1]Short Spot'!J189-'[1]Short Spot'!J188)*100</f>
        <v>-4.1143981791705642</v>
      </c>
      <c r="K188" s="19">
        <f>('[1]Short Spot'!K189-'[1]Short Spot'!K188)*100</f>
        <v>-2.7339007099646651</v>
      </c>
      <c r="L188" s="19">
        <f>('[1]Short Spot'!L189-'[1]Short Spot'!L188)*100</f>
        <v>-1.6037716146657388</v>
      </c>
      <c r="M188" s="19">
        <f>('[1]Short Spot'!M189-'[1]Short Spot'!M188)*100</f>
        <v>-0.71613165678678925</v>
      </c>
      <c r="N188" s="19">
        <f>('[1]Short Spot'!N189-'[1]Short Spot'!N188)*100</f>
        <v>-4.0761194805938317E-2</v>
      </c>
      <c r="O188" s="19">
        <f>('[1]Short Spot'!O189-'[1]Short Spot'!O188)*100</f>
        <v>0.46444160477454588</v>
      </c>
      <c r="P188" s="19">
        <f>('[1]Short Spot'!P189-'[1]Short Spot'!P188)*100</f>
        <v>0.8364611031992375</v>
      </c>
      <c r="Q188" s="19">
        <f>('[1]Short Spot'!Q189-'[1]Short Spot'!Q188)*100</f>
        <v>1.1039747816137258</v>
      </c>
      <c r="R188" s="19">
        <f>('[1]Short Spot'!R189-'[1]Short Spot'!R188)*100</f>
        <v>1.2897345768565494</v>
      </c>
      <c r="S188" s="19">
        <f>('[1]Short Spot'!S189-'[1]Short Spot'!S188)*100</f>
        <v>1.4122154442191892</v>
      </c>
      <c r="T188" s="19">
        <f>('[1]Short Spot'!T189-'[1]Short Spot'!T188)*100</f>
        <v>1.4865778443201805</v>
      </c>
      <c r="U188" s="19">
        <f>('[1]Short Spot'!U189-'[1]Short Spot'!U188)*100</f>
        <v>1.5247779512573167</v>
      </c>
      <c r="V188" s="19">
        <f>('[1]Short Spot'!V189-'[1]Short Spot'!V188)*100</f>
        <v>1.5360517607491353</v>
      </c>
      <c r="W188" s="19">
        <f>('[1]Short Spot'!W189-'[1]Short Spot'!W188)*100</f>
        <v>1.5275291047797346</v>
      </c>
      <c r="X188" s="19">
        <f>('[1]Short Spot'!X189-'[1]Short Spot'!X188)*100</f>
        <v>1.5046915132798766</v>
      </c>
      <c r="Y188" s="19">
        <f>('[1]Short Spot'!Y189-'[1]Short Spot'!Y188)*100</f>
        <v>1.4717156103887241</v>
      </c>
      <c r="Z188" s="19">
        <f>('[1]Short Spot'!Z189-'[1]Short Spot'!Z188)*100</f>
        <v>1.4317484832948146</v>
      </c>
      <c r="AA188" s="19">
        <f>('[1]Short Spot'!AA189-'[1]Short Spot'!AA188)*100</f>
        <v>1.3871928837847491</v>
      </c>
      <c r="AB188" s="19">
        <f>('[1]Short Spot'!AB189-'[1]Short Spot'!AB188)*100</f>
        <v>1.3398798199155237</v>
      </c>
      <c r="AC188" s="19">
        <f>('[1]Short Spot'!AC189-'[1]Short Spot'!AC188)*100</f>
        <v>1.2911981796120742</v>
      </c>
      <c r="AD188" s="19">
        <f>('[1]Short Spot'!AD189-'[1]Short Spot'!AD188)*100</f>
        <v>1.2422227775939376</v>
      </c>
      <c r="AE188" s="19">
        <f>('[1]Short Spot'!AE189-'[1]Short Spot'!AE188)*100</f>
        <v>1.1937757359206991</v>
      </c>
      <c r="AF188" s="19">
        <f>('[1]Short Spot'!AF189-'[1]Short Spot'!AF188)*100</f>
        <v>1.1464672545839605</v>
      </c>
      <c r="AG188" s="19">
        <f>('[1]Short Spot'!AG189-'[1]Short Spot'!AG188)*100</f>
        <v>1.1007287243293362</v>
      </c>
      <c r="AH188" s="19">
        <f>('[1]Short Spot'!AH189-'[1]Short Spot'!AH188)*100</f>
        <v>1.0568410866476086</v>
      </c>
      <c r="AI188" s="19">
        <f>('[1]Short Spot'!AI189-'[1]Short Spot'!AI188)*100</f>
        <v>1.0149795349096102</v>
      </c>
      <c r="AJ188" s="19">
        <f>('[1]Short Spot'!AJ189-'[1]Short Spot'!AJ188)*100</f>
        <v>0.97525889846670211</v>
      </c>
      <c r="AK188" s="19">
        <f>('[1]Short Spot'!AK189-'[1]Short Spot'!AK188)*100</f>
        <v>0.937745805347312</v>
      </c>
      <c r="AL188" s="19">
        <f>('[1]Short Spot'!AL189-'[1]Short Spot'!AL188)*100</f>
        <v>0.90246519055545704</v>
      </c>
      <c r="AM188" s="19">
        <f>('[1]Short Spot'!AM189-'[1]Short Spot'!AM188)*100</f>
        <v>0.86940580385093114</v>
      </c>
      <c r="AN188" s="19">
        <f>('[1]Short Spot'!AN189-'[1]Short Spot'!AN188)*100</f>
        <v>0.83852779724455928</v>
      </c>
      <c r="AO188" s="19">
        <f>('[1]Short Spot'!AO189-'[1]Short Spot'!AO188)*100</f>
        <v>0.8097768341399636</v>
      </c>
      <c r="AP188" s="19">
        <f>('[1]Short Spot'!AP189-'[1]Short Spot'!AP188)*100</f>
        <v>0.78308986287041193</v>
      </c>
      <c r="AQ188" s="19">
        <f>('[1]Short Spot'!AQ189-'[1]Short Spot'!AQ188)*100</f>
        <v>0.75839622329318956</v>
      </c>
      <c r="AR188" s="19">
        <f>('[1]Short Spot'!AR189-'[1]Short Spot'!AR188)*100</f>
        <v>0.73561853149630707</v>
      </c>
      <c r="AS188" s="19">
        <f>('[1]Short Spot'!AS189-'[1]Short Spot'!AS188)*100</f>
        <v>0.71467344386286769</v>
      </c>
      <c r="AT188" s="19">
        <f>('[1]Short Spot'!AT189-'[1]Short Spot'!AT188)*100</f>
        <v>0.69547231926057052</v>
      </c>
      <c r="AU188" s="19">
        <f>('[1]Short Spot'!AU189-'[1]Short Spot'!AU188)*100</f>
        <v>0.67792198863214637</v>
      </c>
      <c r="AV188" s="19">
        <f>('[1]Short Spot'!AV189-'[1]Short Spot'!AV188)*100</f>
        <v>0.66192842629515525</v>
      </c>
      <c r="AW188" s="19">
        <f>('[1]Short Spot'!AW189-'[1]Short Spot'!AW188)*100</f>
        <v>0.64740106057303848</v>
      </c>
      <c r="AX188" s="19">
        <f>('[1]Short Spot'!AX189-'[1]Short Spot'!AX188)*100</f>
        <v>0.63425297424917204</v>
      </c>
      <c r="AY188" s="19">
        <f>('[1]Short Spot'!AY189-'[1]Short Spot'!AY188)*100</f>
        <v>0.62240053923030558</v>
      </c>
      <c r="AZ188" s="19">
        <f>('[1]Short Spot'!AZ189-'[1]Short Spot'!AZ188)*100</f>
        <v>0.611763094082729</v>
      </c>
      <c r="BA188" s="19">
        <f>('[1]Short Spot'!BA189-'[1]Short Spot'!BA188)*100</f>
        <v>0.60226265877707519</v>
      </c>
      <c r="BB188" s="19">
        <f>('[1]Short Spot'!BB189-'[1]Short Spot'!BB188)*100</f>
        <v>0.59382368172524735</v>
      </c>
      <c r="BC188" s="19">
        <f>('[1]Short Spot'!BC189-'[1]Short Spot'!BC188)*100</f>
        <v>0.58637281445577116</v>
      </c>
      <c r="BD188" s="19">
        <f>('[1]Short Spot'!BD189-'[1]Short Spot'!BD188)*100</f>
        <v>0.57983918953352642</v>
      </c>
      <c r="BE188" s="19">
        <f>('[1]Short Spot'!BE189-'[1]Short Spot'!BE188)*100</f>
        <v>0.57415620443244109</v>
      </c>
      <c r="BF188" s="19">
        <f>('[1]Short Spot'!BF189-'[1]Short Spot'!BF188)*100</f>
        <v>0.56926202457727726</v>
      </c>
      <c r="BG188" s="19">
        <f>('[1]Short Spot'!BG189-'[1]Short Spot'!BG188)*100</f>
        <v>0.5650989761515568</v>
      </c>
      <c r="BH188" s="19">
        <f>('[1]Short Spot'!BH189-'[1]Short Spot'!BH188)*100</f>
        <v>0.56161164387535933</v>
      </c>
      <c r="BI188" s="19">
        <f>('[1]Short Spot'!BI189-'[1]Short Spot'!BI188)*100</f>
        <v>0.55874687385033539</v>
      </c>
    </row>
    <row r="189" spans="1:61" x14ac:dyDescent="0.2">
      <c r="A189" s="18">
        <v>39353</v>
      </c>
      <c r="B189" s="19">
        <f>('[1]Short Spot'!B190-'[1]Short Spot'!B189)*100</f>
        <v>-1.1310266716439088</v>
      </c>
      <c r="C189" s="19">
        <f>('[1]Short Spot'!C190-'[1]Short Spot'!C189)*100</f>
        <v>-1.7244880905043836</v>
      </c>
      <c r="D189" s="19">
        <f>('[1]Short Spot'!D190-'[1]Short Spot'!D189)*100</f>
        <v>-2.5335937821732379</v>
      </c>
      <c r="E189" s="19">
        <f>('[1]Short Spot'!E190-'[1]Short Spot'!E189)*100</f>
        <v>-3.2050219188183959</v>
      </c>
      <c r="F189" s="19">
        <f>('[1]Short Spot'!F190-'[1]Short Spot'!F189)*100</f>
        <v>-3.6814215506072223</v>
      </c>
      <c r="G189" s="19">
        <f>('[1]Short Spot'!G190-'[1]Short Spot'!G189)*100</f>
        <v>-4.0318413529083053</v>
      </c>
      <c r="H189" s="19">
        <f>('[1]Short Spot'!H190-'[1]Short Spot'!H189)*100</f>
        <v>-4.3385906599040958</v>
      </c>
      <c r="I189" s="19">
        <f>('[1]Short Spot'!I190-'[1]Short Spot'!I189)*100</f>
        <v>-4.6463298639676687</v>
      </c>
      <c r="J189" s="19">
        <f>('[1]Short Spot'!J190-'[1]Short Spot'!J189)*100</f>
        <v>-4.9673547918724914</v>
      </c>
      <c r="K189" s="19">
        <f>('[1]Short Spot'!K190-'[1]Short Spot'!K189)*100</f>
        <v>-5.2961667226060882</v>
      </c>
      <c r="L189" s="19">
        <f>('[1]Short Spot'!L190-'[1]Short Spot'!L189)*100</f>
        <v>-5.6196420940283431</v>
      </c>
      <c r="M189" s="19">
        <f>('[1]Short Spot'!M190-'[1]Short Spot'!M189)*100</f>
        <v>-5.928157035679682</v>
      </c>
      <c r="N189" s="19">
        <f>('[1]Short Spot'!N190-'[1]Short Spot'!N189)*100</f>
        <v>-6.2153024901575371</v>
      </c>
      <c r="O189" s="19">
        <f>('[1]Short Spot'!O190-'[1]Short Spot'!O189)*100</f>
        <v>-6.4754150251836506</v>
      </c>
      <c r="P189" s="19">
        <f>('[1]Short Spot'!P190-'[1]Short Spot'!P189)*100</f>
        <v>-6.7055889311805394</v>
      </c>
      <c r="Q189" s="19">
        <f>('[1]Short Spot'!Q190-'[1]Short Spot'!Q189)*100</f>
        <v>-6.9053470975957154</v>
      </c>
      <c r="R189" s="19">
        <f>('[1]Short Spot'!R190-'[1]Short Spot'!R189)*100</f>
        <v>-7.075904195592031</v>
      </c>
      <c r="S189" s="19">
        <f>('[1]Short Spot'!S190-'[1]Short Spot'!S189)*100</f>
        <v>-7.2196529181116631</v>
      </c>
      <c r="T189" s="19">
        <f>('[1]Short Spot'!T190-'[1]Short Spot'!T189)*100</f>
        <v>-7.3391766679298698</v>
      </c>
      <c r="U189" s="19">
        <f>('[1]Short Spot'!U190-'[1]Short Spot'!U189)*100</f>
        <v>-7.4367335430074455</v>
      </c>
      <c r="V189" s="19">
        <f>('[1]Short Spot'!V190-'[1]Short Spot'!V189)*100</f>
        <v>-7.5144581955084</v>
      </c>
      <c r="W189" s="19">
        <f>('[1]Short Spot'!W190-'[1]Short Spot'!W189)*100</f>
        <v>-7.5743942359185468</v>
      </c>
      <c r="X189" s="19">
        <f>('[1]Short Spot'!X190-'[1]Short Spot'!X189)*100</f>
        <v>-7.6185140247131855</v>
      </c>
      <c r="Y189" s="19">
        <f>('[1]Short Spot'!Y190-'[1]Short Spot'!Y189)*100</f>
        <v>-7.6487335078045504</v>
      </c>
      <c r="Z189" s="19">
        <f>('[1]Short Spot'!Z190-'[1]Short Spot'!Z189)*100</f>
        <v>-7.6668767614989974</v>
      </c>
      <c r="AA189" s="19">
        <f>('[1]Short Spot'!AA190-'[1]Short Spot'!AA189)*100</f>
        <v>-7.674513336209543</v>
      </c>
      <c r="AB189" s="19">
        <f>('[1]Short Spot'!AB190-'[1]Short Spot'!AB189)*100</f>
        <v>-7.6730115552908984</v>
      </c>
      <c r="AC189" s="19">
        <f>('[1]Short Spot'!AC190-'[1]Short Spot'!AC189)*100</f>
        <v>-7.6635748956828564</v>
      </c>
      <c r="AD189" s="19">
        <f>('[1]Short Spot'!AD190-'[1]Short Spot'!AD189)*100</f>
        <v>-7.6472599641933314</v>
      </c>
      <c r="AE189" s="19">
        <f>('[1]Short Spot'!AE190-'[1]Short Spot'!AE189)*100</f>
        <v>-7.6250023300844738</v>
      </c>
      <c r="AF189" s="19">
        <f>('[1]Short Spot'!AF190-'[1]Short Spot'!AF189)*100</f>
        <v>-7.5976360655801933</v>
      </c>
      <c r="AG189" s="19">
        <f>('[1]Short Spot'!AG190-'[1]Short Spot'!AG189)*100</f>
        <v>-7.5659096047781205</v>
      </c>
      <c r="AH189" s="19">
        <f>('[1]Short Spot'!AH190-'[1]Short Spot'!AH189)*100</f>
        <v>-7.5304960500971241</v>
      </c>
      <c r="AI189" s="19">
        <f>('[1]Short Spot'!AI190-'[1]Short Spot'!AI189)*100</f>
        <v>-7.4919821429415556</v>
      </c>
      <c r="AJ189" s="19">
        <f>('[1]Short Spot'!AJ190-'[1]Short Spot'!AJ189)*100</f>
        <v>-7.4508743617169415</v>
      </c>
      <c r="AK189" s="19">
        <f>('[1]Short Spot'!AK190-'[1]Short Spot'!AK189)*100</f>
        <v>-7.4076136778764123</v>
      </c>
      <c r="AL189" s="19">
        <f>('[1]Short Spot'!AL190-'[1]Short Spot'!AL189)*100</f>
        <v>-7.3625844282525499</v>
      </c>
      <c r="AM189" s="19">
        <f>('[1]Short Spot'!AM190-'[1]Short Spot'!AM189)*100</f>
        <v>-7.3161217132001077</v>
      </c>
      <c r="AN189" s="19">
        <f>('[1]Short Spot'!AN190-'[1]Short Spot'!AN189)*100</f>
        <v>-7.268516312650064</v>
      </c>
      <c r="AO189" s="19">
        <f>('[1]Short Spot'!AO190-'[1]Short Spot'!AO189)*100</f>
        <v>-7.2200215465325179</v>
      </c>
      <c r="AP189" s="19">
        <f>('[1]Short Spot'!AP190-'[1]Short Spot'!AP189)*100</f>
        <v>-7.1708606877907144</v>
      </c>
      <c r="AQ189" s="19">
        <f>('[1]Short Spot'!AQ190-'[1]Short Spot'!AQ189)*100</f>
        <v>-7.1212306937368908</v>
      </c>
      <c r="AR189" s="19">
        <f>('[1]Short Spot'!AR190-'[1]Short Spot'!AR189)*100</f>
        <v>-7.0713052660086539</v>
      </c>
      <c r="AS189" s="19">
        <f>('[1]Short Spot'!AS190-'[1]Short Spot'!AS189)*100</f>
        <v>-7.0212374932588695</v>
      </c>
      <c r="AT189" s="19">
        <f>('[1]Short Spot'!AT190-'[1]Short Spot'!AT189)*100</f>
        <v>-6.9711621414882075</v>
      </c>
      <c r="AU189" s="19">
        <f>('[1]Short Spot'!AU190-'[1]Short Spot'!AU189)*100</f>
        <v>-6.9211977199661767</v>
      </c>
      <c r="AV189" s="19">
        <f>('[1]Short Spot'!AV190-'[1]Short Spot'!AV189)*100</f>
        <v>-6.8714488104398619</v>
      </c>
      <c r="AW189" s="19">
        <f>('[1]Short Spot'!AW190-'[1]Short Spot'!AW189)*100</f>
        <v>-6.8220079219888596</v>
      </c>
      <c r="AX189" s="19">
        <f>('[1]Short Spot'!AX190-'[1]Short Spot'!AX189)*100</f>
        <v>-6.7729567317923234</v>
      </c>
      <c r="AY189" s="19">
        <f>('[1]Short Spot'!AY190-'[1]Short Spot'!AY189)*100</f>
        <v>-6.7243671683123729</v>
      </c>
      <c r="AZ189" s="19">
        <f>('[1]Short Spot'!AZ190-'[1]Short Spot'!AZ189)*100</f>
        <v>-6.6763023670505461</v>
      </c>
      <c r="BA189" s="19">
        <f>('[1]Short Spot'!BA190-'[1]Short Spot'!BA189)*100</f>
        <v>-6.6288175160250873</v>
      </c>
      <c r="BB189" s="19">
        <f>('[1]Short Spot'!BB190-'[1]Short Spot'!BB189)*100</f>
        <v>-6.581960605532533</v>
      </c>
      <c r="BC189" s="19">
        <f>('[1]Short Spot'!BC190-'[1]Short Spot'!BC189)*100</f>
        <v>-6.5357731268152364</v>
      </c>
      <c r="BD189" s="19">
        <f>('[1]Short Spot'!BD190-'[1]Short Spot'!BD189)*100</f>
        <v>-6.4902909653118179</v>
      </c>
      <c r="BE189" s="19">
        <f>('[1]Short Spot'!BE190-'[1]Short Spot'!BE189)*100</f>
        <v>-6.4455441387115897</v>
      </c>
      <c r="BF189" s="19">
        <f>('[1]Short Spot'!BF190-'[1]Short Spot'!BF189)*100</f>
        <v>-6.4015564020210469</v>
      </c>
      <c r="BG189" s="19">
        <f>('[1]Short Spot'!BG190-'[1]Short Spot'!BG189)*100</f>
        <v>-6.3583445920746939</v>
      </c>
      <c r="BH189" s="19">
        <f>('[1]Short Spot'!BH190-'[1]Short Spot'!BH189)*100</f>
        <v>-6.3159215503201693</v>
      </c>
      <c r="BI189" s="19">
        <f>('[1]Short Spot'!BI190-'[1]Short Spot'!BI189)*100</f>
        <v>-6.274298696273739</v>
      </c>
    </row>
    <row r="190" spans="1:61" x14ac:dyDescent="0.2">
      <c r="A190" s="18">
        <v>39356</v>
      </c>
      <c r="B190" s="19">
        <f>('[1]Short Spot'!B191-'[1]Short Spot'!B190)*100</f>
        <v>-4.5728224521822902</v>
      </c>
      <c r="C190" s="19">
        <f>('[1]Short Spot'!C191-'[1]Short Spot'!C190)*100</f>
        <v>-5.0686784841597721</v>
      </c>
      <c r="D190" s="19">
        <f>('[1]Short Spot'!D191-'[1]Short Spot'!D190)*100</f>
        <v>-5.1559557705613379</v>
      </c>
      <c r="E190" s="19">
        <f>('[1]Short Spot'!E191-'[1]Short Spot'!E190)*100</f>
        <v>-5.2109198468127005</v>
      </c>
      <c r="F190" s="19">
        <f>('[1]Short Spot'!F191-'[1]Short Spot'!F190)*100</f>
        <v>-5.2372345159674261</v>
      </c>
      <c r="G190" s="19">
        <f>('[1]Short Spot'!G191-'[1]Short Spot'!G190)*100</f>
        <v>-5.2364858070410136</v>
      </c>
      <c r="H190" s="19">
        <f>('[1]Short Spot'!H191-'[1]Short Spot'!H190)*100</f>
        <v>-5.2056879827333979</v>
      </c>
      <c r="I190" s="19">
        <f>('[1]Short Spot'!I191-'[1]Short Spot'!I190)*100</f>
        <v>-5.1405547464059786</v>
      </c>
      <c r="J190" s="19">
        <f>('[1]Short Spot'!J191-'[1]Short Spot'!J190)*100</f>
        <v>-5.0425361980432015</v>
      </c>
      <c r="K190" s="19">
        <f>('[1]Short Spot'!K191-'[1]Short Spot'!K190)*100</f>
        <v>-4.9162394876977267</v>
      </c>
      <c r="L190" s="19">
        <f>('[1]Short Spot'!L191-'[1]Short Spot'!L190)*100</f>
        <v>-4.7701003987835833</v>
      </c>
      <c r="M190" s="19">
        <f>('[1]Short Spot'!M191-'[1]Short Spot'!M190)*100</f>
        <v>-4.6107489267511959</v>
      </c>
      <c r="N190" s="19">
        <f>('[1]Short Spot'!N191-'[1]Short Spot'!N190)*100</f>
        <v>-4.4429671427201001</v>
      </c>
      <c r="O190" s="19">
        <f>('[1]Short Spot'!O191-'[1]Short Spot'!O190)*100</f>
        <v>-4.2731700316432253</v>
      </c>
      <c r="P190" s="19">
        <f>('[1]Short Spot'!P191-'[1]Short Spot'!P190)*100</f>
        <v>-4.1071049514270541</v>
      </c>
      <c r="Q190" s="19">
        <f>('[1]Short Spot'!Q191-'[1]Short Spot'!Q190)*100</f>
        <v>-3.9483768586668688</v>
      </c>
      <c r="R190" s="19">
        <f>('[1]Short Spot'!R191-'[1]Short Spot'!R190)*100</f>
        <v>-3.79905735049757</v>
      </c>
      <c r="S190" s="19">
        <f>('[1]Short Spot'!S191-'[1]Short Spot'!S190)*100</f>
        <v>-3.6600988654256206</v>
      </c>
      <c r="T190" s="19">
        <f>('[1]Short Spot'!T191-'[1]Short Spot'!T190)*100</f>
        <v>-3.5316169804331388</v>
      </c>
      <c r="U190" s="19">
        <f>('[1]Short Spot'!U191-'[1]Short Spot'!U190)*100</f>
        <v>-3.413392351385891</v>
      </c>
      <c r="V190" s="19">
        <f>('[1]Short Spot'!V191-'[1]Short Spot'!V190)*100</f>
        <v>-3.3050745387624758</v>
      </c>
      <c r="W190" s="19">
        <f>('[1]Short Spot'!W191-'[1]Short Spot'!W190)*100</f>
        <v>-3.2062128492868602</v>
      </c>
      <c r="X190" s="19">
        <f>('[1]Short Spot'!X191-'[1]Short Spot'!X190)*100</f>
        <v>-3.1162781302233711</v>
      </c>
      <c r="Y190" s="19">
        <f>('[1]Short Spot'!Y191-'[1]Short Spot'!Y190)*100</f>
        <v>-3.0346790980612326</v>
      </c>
      <c r="Z190" s="19">
        <f>('[1]Short Spot'!Z191-'[1]Short Spot'!Z190)*100</f>
        <v>-2.960764330591914</v>
      </c>
      <c r="AA190" s="19">
        <f>('[1]Short Spot'!AA191-'[1]Short Spot'!AA190)*100</f>
        <v>-2.8938415276398288</v>
      </c>
      <c r="AB190" s="19">
        <f>('[1]Short Spot'!AB191-'[1]Short Spot'!AB190)*100</f>
        <v>-2.8332434922778482</v>
      </c>
      <c r="AC190" s="19">
        <f>('[1]Short Spot'!AC191-'[1]Short Spot'!AC190)*100</f>
        <v>-2.7783465866090928</v>
      </c>
      <c r="AD190" s="19">
        <f>('[1]Short Spot'!AD191-'[1]Short Spot'!AD190)*100</f>
        <v>-2.7285875697391937</v>
      </c>
      <c r="AE190" s="19">
        <f>('[1]Short Spot'!AE191-'[1]Short Spot'!AE190)*100</f>
        <v>-2.6834575573858821</v>
      </c>
      <c r="AF190" s="19">
        <f>('[1]Short Spot'!AF191-'[1]Short Spot'!AF190)*100</f>
        <v>-2.6424932576633253</v>
      </c>
      <c r="AG190" s="19">
        <f>('[1]Short Spot'!AG191-'[1]Short Spot'!AG190)*100</f>
        <v>-2.6052698472706304</v>
      </c>
      <c r="AH190" s="19">
        <f>('[1]Short Spot'!AH191-'[1]Short Spot'!AH190)*100</f>
        <v>-2.5713946666400922</v>
      </c>
      <c r="AI190" s="19">
        <f>('[1]Short Spot'!AI191-'[1]Short Spot'!AI190)*100</f>
        <v>-2.5405049404280788</v>
      </c>
      <c r="AJ190" s="19">
        <f>('[1]Short Spot'!AJ191-'[1]Short Spot'!AJ190)*100</f>
        <v>-2.5122748625389768</v>
      </c>
      <c r="AK190" s="19">
        <f>('[1]Short Spot'!AK191-'[1]Short Spot'!AK190)*100</f>
        <v>-2.486413124900988</v>
      </c>
      <c r="AL190" s="19">
        <f>('[1]Short Spot'!AL191-'[1]Short Spot'!AL190)*100</f>
        <v>-2.4626582575024258</v>
      </c>
      <c r="AM190" s="19">
        <f>('[1]Short Spot'!AM191-'[1]Short Spot'!AM190)*100</f>
        <v>-2.4407746846880407</v>
      </c>
      <c r="AN190" s="19">
        <f>('[1]Short Spot'!AN191-'[1]Short Spot'!AN190)*100</f>
        <v>-2.4205495518166309</v>
      </c>
      <c r="AO190" s="19">
        <f>('[1]Short Spot'!AO191-'[1]Short Spot'!AO190)*100</f>
        <v>-2.401792246359058</v>
      </c>
      <c r="AP190" s="19">
        <f>('[1]Short Spot'!AP191-'[1]Short Spot'!AP190)*100</f>
        <v>-2.3843331102971987</v>
      </c>
      <c r="AQ190" s="19">
        <f>('[1]Short Spot'!AQ191-'[1]Short Spot'!AQ190)*100</f>
        <v>-2.3680209868838453</v>
      </c>
      <c r="AR190" s="19">
        <f>('[1]Short Spot'!AR191-'[1]Short Spot'!AR190)*100</f>
        <v>-2.3527210693324641</v>
      </c>
      <c r="AS190" s="19">
        <f>('[1]Short Spot'!AS191-'[1]Short Spot'!AS190)*100</f>
        <v>-2.3383130428678456</v>
      </c>
      <c r="AT190" s="19">
        <f>('[1]Short Spot'!AT191-'[1]Short Spot'!AT190)*100</f>
        <v>-2.3246894745017954</v>
      </c>
      <c r="AU190" s="19">
        <f>('[1]Short Spot'!AU191-'[1]Short Spot'!AU190)*100</f>
        <v>-2.3117544244637855</v>
      </c>
      <c r="AV190" s="19">
        <f>('[1]Short Spot'!AV191-'[1]Short Spot'!AV190)*100</f>
        <v>-2.2994222130412467</v>
      </c>
      <c r="AW190" s="19">
        <f>('[1]Short Spot'!AW191-'[1]Short Spot'!AW190)*100</f>
        <v>-2.2876162490684138</v>
      </c>
      <c r="AX190" s="19">
        <f>('[1]Short Spot'!AX191-'[1]Short Spot'!AX190)*100</f>
        <v>-2.2762680831589499</v>
      </c>
      <c r="AY190" s="19">
        <f>('[1]Short Spot'!AY191-'[1]Short Spot'!AY190)*100</f>
        <v>-2.265316593528155</v>
      </c>
      <c r="AZ190" s="19">
        <f>('[1]Short Spot'!AZ191-'[1]Short Spot'!AZ190)*100</f>
        <v>-2.2547072676006863</v>
      </c>
      <c r="BA190" s="19">
        <f>('[1]Short Spot'!BA191-'[1]Short Spot'!BA190)*100</f>
        <v>-2.2443915665097514</v>
      </c>
      <c r="BB190" s="19">
        <f>('[1]Short Spot'!BB191-'[1]Short Spot'!BB190)*100</f>
        <v>-2.2343263615398179</v>
      </c>
      <c r="BC190" s="19">
        <f>('[1]Short Spot'!BC191-'[1]Short Spot'!BC190)*100</f>
        <v>-2.2244734465414417</v>
      </c>
      <c r="BD190" s="19">
        <f>('[1]Short Spot'!BD191-'[1]Short Spot'!BD190)*100</f>
        <v>-2.2147991724552618</v>
      </c>
      <c r="BE190" s="19">
        <f>('[1]Short Spot'!BE191-'[1]Short Spot'!BE190)*100</f>
        <v>-2.2052737568046155</v>
      </c>
      <c r="BF190" s="19">
        <f>('[1]Short Spot'!BF191-'[1]Short Spot'!BF190)*100</f>
        <v>-2.195870694983082</v>
      </c>
      <c r="BG190" s="19">
        <f>('[1]Short Spot'!BG191-'[1]Short Spot'!BG190)*100</f>
        <v>-2.1865666570681341</v>
      </c>
      <c r="BH190" s="19">
        <f>('[1]Short Spot'!BH191-'[1]Short Spot'!BH190)*100</f>
        <v>-2.1773424083741055</v>
      </c>
      <c r="BI190" s="19">
        <f>('[1]Short Spot'!BI191-'[1]Short Spot'!BI190)*100</f>
        <v>-2.1681817076544263</v>
      </c>
    </row>
    <row r="191" spans="1:61" x14ac:dyDescent="0.2">
      <c r="A191" s="18">
        <v>39357</v>
      </c>
      <c r="B191" s="19">
        <f>('[1]Short Spot'!B192-'[1]Short Spot'!B191)*100</f>
        <v>0.58220900224403849</v>
      </c>
      <c r="C191" s="19">
        <f>('[1]Short Spot'!C192-'[1]Short Spot'!C191)*100</f>
        <v>0.32684201400963175</v>
      </c>
      <c r="D191" s="19">
        <f>('[1]Short Spot'!D192-'[1]Short Spot'!D191)*100</f>
        <v>0.46793710947783396</v>
      </c>
      <c r="E191" s="19">
        <f>('[1]Short Spot'!E192-'[1]Short Spot'!E191)*100</f>
        <v>0.6919464353403626</v>
      </c>
      <c r="F191" s="19">
        <f>('[1]Short Spot'!F192-'[1]Short Spot'!F191)*100</f>
        <v>0.87953241072495913</v>
      </c>
      <c r="G191" s="19">
        <f>('[1]Short Spot'!G192-'[1]Short Spot'!G191)*100</f>
        <v>0.99784855732041322</v>
      </c>
      <c r="H191" s="19">
        <f>('[1]Short Spot'!H192-'[1]Short Spot'!H191)*100</f>
        <v>1.0580757601480251</v>
      </c>
      <c r="I191" s="19">
        <f>('[1]Short Spot'!I192-'[1]Short Spot'!I191)*100</f>
        <v>1.0815655245061784</v>
      </c>
      <c r="J191" s="19">
        <f>('[1]Short Spot'!J192-'[1]Short Spot'!J191)*100</f>
        <v>1.0821909018678966</v>
      </c>
      <c r="K191" s="19">
        <f>('[1]Short Spot'!K192-'[1]Short Spot'!K191)*100</f>
        <v>1.0690154902477822</v>
      </c>
      <c r="L191" s="19">
        <f>('[1]Short Spot'!L192-'[1]Short Spot'!L191)*100</f>
        <v>1.0477290579935961</v>
      </c>
      <c r="M191" s="19">
        <f>('[1]Short Spot'!M192-'[1]Short Spot'!M191)*100</f>
        <v>1.0213529071227967</v>
      </c>
      <c r="N191" s="19">
        <f>('[1]Short Spot'!N192-'[1]Short Spot'!N191)*100</f>
        <v>0.99138780310088492</v>
      </c>
      <c r="O191" s="19">
        <f>('[1]Short Spot'!O192-'[1]Short Spot'!O191)*100</f>
        <v>0.95911493660505442</v>
      </c>
      <c r="P191" s="19">
        <f>('[1]Short Spot'!P192-'[1]Short Spot'!P191)*100</f>
        <v>0.92531294325324254</v>
      </c>
      <c r="Q191" s="19">
        <f>('[1]Short Spot'!Q192-'[1]Short Spot'!Q191)*100</f>
        <v>0.89028492611413768</v>
      </c>
      <c r="R191" s="19">
        <f>('[1]Short Spot'!R192-'[1]Short Spot'!R191)*100</f>
        <v>0.85400181749841764</v>
      </c>
      <c r="S191" s="19">
        <f>('[1]Short Spot'!S192-'[1]Short Spot'!S191)*100</f>
        <v>0.81621658235420114</v>
      </c>
      <c r="T191" s="19">
        <f>('[1]Short Spot'!T192-'[1]Short Spot'!T191)*100</f>
        <v>0.77674089142023561</v>
      </c>
      <c r="U191" s="19">
        <f>('[1]Short Spot'!U192-'[1]Short Spot'!U191)*100</f>
        <v>0.73549148608522685</v>
      </c>
      <c r="V191" s="19">
        <f>('[1]Short Spot'!V192-'[1]Short Spot'!V191)*100</f>
        <v>0.69241372458463957</v>
      </c>
      <c r="W191" s="19">
        <f>('[1]Short Spot'!W192-'[1]Short Spot'!W191)*100</f>
        <v>0.64747447283526327</v>
      </c>
      <c r="X191" s="19">
        <f>('[1]Short Spot'!X192-'[1]Short Spot'!X191)*100</f>
        <v>0.60065742885040407</v>
      </c>
      <c r="Y191" s="19">
        <f>('[1]Short Spot'!Y192-'[1]Short Spot'!Y191)*100</f>
        <v>0.55195965412444536</v>
      </c>
      <c r="Z191" s="19">
        <f>('[1]Short Spot'!Z192-'[1]Short Spot'!Z191)*100</f>
        <v>0.50140848014992301</v>
      </c>
      <c r="AA191" s="19">
        <f>('[1]Short Spot'!AA192-'[1]Short Spot'!AA191)*100</f>
        <v>0.44910454044941872</v>
      </c>
      <c r="AB191" s="19">
        <f>('[1]Short Spot'!AB192-'[1]Short Spot'!AB191)*100</f>
        <v>0.39519204141651443</v>
      </c>
      <c r="AC191" s="19">
        <f>('[1]Short Spot'!AC192-'[1]Short Spot'!AC191)*100</f>
        <v>0.33983209887544774</v>
      </c>
      <c r="AD191" s="19">
        <f>('[1]Short Spot'!AD192-'[1]Short Spot'!AD191)*100</f>
        <v>0.28317939309348006</v>
      </c>
      <c r="AE191" s="19">
        <f>('[1]Short Spot'!AE192-'[1]Short Spot'!AE191)*100</f>
        <v>0.22538026823299973</v>
      </c>
      <c r="AF191" s="19">
        <f>('[1]Short Spot'!AF192-'[1]Short Spot'!AF191)*100</f>
        <v>0.1665740759113632</v>
      </c>
      <c r="AG191" s="19">
        <f>('[1]Short Spot'!AG192-'[1]Short Spot'!AG191)*100</f>
        <v>0.10689426778718314</v>
      </c>
      <c r="AH191" s="19">
        <f>('[1]Short Spot'!AH192-'[1]Short Spot'!AH191)*100</f>
        <v>4.6470045678237426E-2</v>
      </c>
      <c r="AI191" s="19">
        <f>('[1]Short Spot'!AI192-'[1]Short Spot'!AI191)*100</f>
        <v>-1.4572012200986251E-2</v>
      </c>
      <c r="AJ191" s="19">
        <f>('[1]Short Spot'!AJ192-'[1]Short Spot'!AJ191)*100</f>
        <v>-7.6114073336608357E-2</v>
      </c>
      <c r="AK191" s="19">
        <f>('[1]Short Spot'!AK192-'[1]Short Spot'!AK191)*100</f>
        <v>-0.13804765434359823</v>
      </c>
      <c r="AL191" s="19">
        <f>('[1]Short Spot'!AL192-'[1]Short Spot'!AL191)*100</f>
        <v>-0.2002723582232413</v>
      </c>
      <c r="AM191" s="19">
        <f>('[1]Short Spot'!AM192-'[1]Short Spot'!AM191)*100</f>
        <v>-0.2626947813471503</v>
      </c>
      <c r="AN191" s="19">
        <f>('[1]Short Spot'!AN192-'[1]Short Spot'!AN191)*100</f>
        <v>-0.32522715193676888</v>
      </c>
      <c r="AO191" s="19">
        <f>('[1]Short Spot'!AO192-'[1]Short Spot'!AO191)*100</f>
        <v>-0.38778709222624386</v>
      </c>
      <c r="AP191" s="19">
        <f>('[1]Short Spot'!AP192-'[1]Short Spot'!AP191)*100</f>
        <v>-0.45029766618549516</v>
      </c>
      <c r="AQ191" s="19">
        <f>('[1]Short Spot'!AQ192-'[1]Short Spot'!AQ191)*100</f>
        <v>-0.51268675660578467</v>
      </c>
      <c r="AR191" s="19">
        <f>('[1]Short Spot'!AR192-'[1]Short Spot'!AR191)*100</f>
        <v>-0.57488650477193204</v>
      </c>
      <c r="AS191" s="19">
        <f>('[1]Short Spot'!AS192-'[1]Short Spot'!AS191)*100</f>
        <v>-0.63683282654274365</v>
      </c>
      <c r="AT191" s="19">
        <f>('[1]Short Spot'!AT192-'[1]Short Spot'!AT191)*100</f>
        <v>-0.69846499295609377</v>
      </c>
      <c r="AU191" s="19">
        <f>('[1]Short Spot'!AU192-'[1]Short Spot'!AU191)*100</f>
        <v>-0.75972534739268127</v>
      </c>
      <c r="AV191" s="19">
        <f>('[1]Short Spot'!AV192-'[1]Short Spot'!AV191)*100</f>
        <v>-0.8205595887739392</v>
      </c>
      <c r="AW191" s="19">
        <f>('[1]Short Spot'!AW192-'[1]Short Spot'!AW191)*100</f>
        <v>-0.88091685399769304</v>
      </c>
      <c r="AX191" s="19">
        <f>('[1]Short Spot'!AX192-'[1]Short Spot'!AX191)*100</f>
        <v>-0.94074938934376462</v>
      </c>
      <c r="AY191" s="19">
        <f>('[1]Short Spot'!AY192-'[1]Short Spot'!AY191)*100</f>
        <v>-1.000012239537007</v>
      </c>
      <c r="AZ191" s="19">
        <f>('[1]Short Spot'!AZ192-'[1]Short Spot'!AZ191)*100</f>
        <v>-1.0586629733888131</v>
      </c>
      <c r="BA191" s="19">
        <f>('[1]Short Spot'!BA192-'[1]Short Spot'!BA191)*100</f>
        <v>-1.116661441096678</v>
      </c>
      <c r="BB191" s="19">
        <f>('[1]Short Spot'!BB192-'[1]Short Spot'!BB191)*100</f>
        <v>-1.1739695590195609</v>
      </c>
      <c r="BC191" s="19">
        <f>('[1]Short Spot'!BC192-'[1]Short Spot'!BC191)*100</f>
        <v>-1.2305511370275468</v>
      </c>
      <c r="BD191" s="19">
        <f>('[1]Short Spot'!BD192-'[1]Short Spot'!BD191)*100</f>
        <v>-1.2863718982774053</v>
      </c>
      <c r="BE191" s="19">
        <f>('[1]Short Spot'!BE192-'[1]Short Spot'!BE191)*100</f>
        <v>-1.3413992469632596</v>
      </c>
      <c r="BF191" s="19">
        <f>('[1]Short Spot'!BF192-'[1]Short Spot'!BF191)*100</f>
        <v>-1.3956019112074003</v>
      </c>
      <c r="BG191" s="19">
        <f>('[1]Short Spot'!BG192-'[1]Short Spot'!BG191)*100</f>
        <v>-1.4489497766042803</v>
      </c>
      <c r="BH191" s="19">
        <f>('[1]Short Spot'!BH192-'[1]Short Spot'!BH191)*100</f>
        <v>-1.5014149522630582</v>
      </c>
      <c r="BI191" s="19">
        <f>('[1]Short Spot'!BI192-'[1]Short Spot'!BI191)*100</f>
        <v>-1.5529722946296509</v>
      </c>
    </row>
    <row r="192" spans="1:61" x14ac:dyDescent="0.2">
      <c r="A192" s="18">
        <v>39358</v>
      </c>
      <c r="B192" s="19">
        <f>('[1]Short Spot'!B193-'[1]Short Spot'!B192)*100</f>
        <v>0.71224900186370732</v>
      </c>
      <c r="C192" s="19">
        <f>('[1]Short Spot'!C193-'[1]Short Spot'!C192)*100</f>
        <v>7.832633034317027E-2</v>
      </c>
      <c r="D192" s="19">
        <f>('[1]Short Spot'!D193-'[1]Short Spot'!D192)*100</f>
        <v>-4.4723208207742005E-2</v>
      </c>
      <c r="E192" s="19">
        <f>('[1]Short Spot'!E193-'[1]Short Spot'!E192)*100</f>
        <v>-9.288027999421189E-3</v>
      </c>
      <c r="F192" s="19">
        <f>('[1]Short Spot'!F193-'[1]Short Spot'!F192)*100</f>
        <v>4.6073558692327765E-2</v>
      </c>
      <c r="G192" s="19">
        <f>('[1]Short Spot'!G193-'[1]Short Spot'!G192)*100</f>
        <v>7.8888863147064114E-2</v>
      </c>
      <c r="H192" s="19">
        <f>('[1]Short Spot'!H193-'[1]Short Spot'!H192)*100</f>
        <v>8.8939874795102014E-2</v>
      </c>
      <c r="I192" s="19">
        <f>('[1]Short Spot'!I193-'[1]Short Spot'!I192)*100</f>
        <v>8.5665636434573145E-2</v>
      </c>
      <c r="J192" s="19">
        <f>('[1]Short Spot'!J193-'[1]Short Spot'!J192)*100</f>
        <v>7.2961982654273783E-2</v>
      </c>
      <c r="K192" s="19">
        <f>('[1]Short Spot'!K193-'[1]Short Spot'!K192)*100</f>
        <v>5.1299276699445784E-2</v>
      </c>
      <c r="L192" s="19">
        <f>('[1]Short Spot'!L193-'[1]Short Spot'!L192)*100</f>
        <v>2.0589083312572143E-2</v>
      </c>
      <c r="M192" s="19">
        <f>('[1]Short Spot'!M193-'[1]Short Spot'!M192)*100</f>
        <v>-1.8360771407799348E-2</v>
      </c>
      <c r="N192" s="19">
        <f>('[1]Short Spot'!N193-'[1]Short Spot'!N192)*100</f>
        <v>-6.3898783790872216E-2</v>
      </c>
      <c r="O192" s="19">
        <f>('[1]Short Spot'!O193-'[1]Short Spot'!O192)*100</f>
        <v>-0.11344316155295076</v>
      </c>
      <c r="P192" s="19">
        <f>('[1]Short Spot'!P193-'[1]Short Spot'!P192)*100</f>
        <v>-0.16488140882513491</v>
      </c>
      <c r="Q192" s="19">
        <f>('[1]Short Spot'!Q193-'[1]Short Spot'!Q192)*100</f>
        <v>-0.21667624872021563</v>
      </c>
      <c r="R192" s="19">
        <f>('[1]Short Spot'!R193-'[1]Short Spot'!R192)*100</f>
        <v>-0.2676934473128334</v>
      </c>
      <c r="S192" s="19">
        <f>('[1]Short Spot'!S193-'[1]Short Spot'!S192)*100</f>
        <v>-0.31706982913748405</v>
      </c>
      <c r="T192" s="19">
        <f>('[1]Short Spot'!T193-'[1]Short Spot'!T192)*100</f>
        <v>-0.36402958819605757</v>
      </c>
      <c r="U192" s="19">
        <f>('[1]Short Spot'!U193-'[1]Short Spot'!U192)*100</f>
        <v>-0.40798967893538318</v>
      </c>
      <c r="V192" s="19">
        <f>('[1]Short Spot'!V193-'[1]Short Spot'!V192)*100</f>
        <v>-0.44859190540513794</v>
      </c>
      <c r="W192" s="19">
        <f>('[1]Short Spot'!W193-'[1]Short Spot'!W192)*100</f>
        <v>-0.48565226116537019</v>
      </c>
      <c r="X192" s="19">
        <f>('[1]Short Spot'!X193-'[1]Short Spot'!X192)*100</f>
        <v>-0.51912306200110336</v>
      </c>
      <c r="Y192" s="19">
        <f>('[1]Short Spot'!Y193-'[1]Short Spot'!Y192)*100</f>
        <v>-0.54906447322276009</v>
      </c>
      <c r="Z192" s="19">
        <f>('[1]Short Spot'!Z193-'[1]Short Spot'!Z192)*100</f>
        <v>-0.57559999277412288</v>
      </c>
      <c r="AA192" s="19">
        <f>('[1]Short Spot'!AA193-'[1]Short Spot'!AA192)*100</f>
        <v>-0.59884860738419476</v>
      </c>
      <c r="AB192" s="19">
        <f>('[1]Short Spot'!AB193-'[1]Short Spot'!AB192)*100</f>
        <v>-0.61893767756737716</v>
      </c>
      <c r="AC192" s="19">
        <f>('[1]Short Spot'!AC193-'[1]Short Spot'!AC192)*100</f>
        <v>-0.63600301107031854</v>
      </c>
      <c r="AD192" s="19">
        <f>('[1]Short Spot'!AD193-'[1]Short Spot'!AD192)*100</f>
        <v>-0.65018667669249908</v>
      </c>
      <c r="AE192" s="19">
        <f>('[1]Short Spot'!AE193-'[1]Short Spot'!AE192)*100</f>
        <v>-0.66163623398578508</v>
      </c>
      <c r="AF192" s="19">
        <f>('[1]Short Spot'!AF193-'[1]Short Spot'!AF192)*100</f>
        <v>-0.67050384784757</v>
      </c>
      <c r="AG192" s="19">
        <f>('[1]Short Spot'!AG193-'[1]Short Spot'!AG192)*100</f>
        <v>-0.67694556893620472</v>
      </c>
      <c r="AH192" s="19">
        <f>('[1]Short Spot'!AH193-'[1]Short Spot'!AH192)*100</f>
        <v>-0.68111925282190455</v>
      </c>
      <c r="AI192" s="19">
        <f>('[1]Short Spot'!AI193-'[1]Short Spot'!AI192)*100</f>
        <v>-0.68317544965879051</v>
      </c>
      <c r="AJ192" s="19">
        <f>('[1]Short Spot'!AJ193-'[1]Short Spot'!AJ192)*100</f>
        <v>-0.68325639008977035</v>
      </c>
      <c r="AK192" s="19">
        <f>('[1]Short Spot'!AK193-'[1]Short Spot'!AK192)*100</f>
        <v>-0.68149792304668111</v>
      </c>
      <c r="AL192" s="19">
        <f>('[1]Short Spot'!AL193-'[1]Short Spot'!AL192)*100</f>
        <v>-0.67803037828841894</v>
      </c>
      <c r="AM192" s="19">
        <f>('[1]Short Spot'!AM193-'[1]Short Spot'!AM192)*100</f>
        <v>-0.67297923195619447</v>
      </c>
      <c r="AN192" s="19">
        <f>('[1]Short Spot'!AN193-'[1]Short Spot'!AN192)*100</f>
        <v>-0.66646386986430883</v>
      </c>
      <c r="AO192" s="19">
        <f>('[1]Short Spot'!AO193-'[1]Short Spot'!AO192)*100</f>
        <v>-0.65859531470442434</v>
      </c>
      <c r="AP192" s="19">
        <f>('[1]Short Spot'!AP193-'[1]Short Spot'!AP192)*100</f>
        <v>-0.64947692671601942</v>
      </c>
      <c r="AQ192" s="19">
        <f>('[1]Short Spot'!AQ193-'[1]Short Spot'!AQ192)*100</f>
        <v>-0.63920532721333245</v>
      </c>
      <c r="AR192" s="19">
        <f>('[1]Short Spot'!AR193-'[1]Short Spot'!AR192)*100</f>
        <v>-0.6278711821805949</v>
      </c>
      <c r="AS192" s="19">
        <f>('[1]Short Spot'!AS193-'[1]Short Spot'!AS192)*100</f>
        <v>-0.61555987901389386</v>
      </c>
      <c r="AT192" s="19">
        <f>('[1]Short Spot'!AT193-'[1]Short Spot'!AT192)*100</f>
        <v>-0.60235211303778513</v>
      </c>
      <c r="AU192" s="19">
        <f>('[1]Short Spot'!AU193-'[1]Short Spot'!AU192)*100</f>
        <v>-0.588324316231148</v>
      </c>
      <c r="AV192" s="19">
        <f>('[1]Short Spot'!AV193-'[1]Short Spot'!AV192)*100</f>
        <v>-0.57354827505564643</v>
      </c>
      <c r="AW192" s="19">
        <f>('[1]Short Spot'!AW193-'[1]Short Spot'!AW192)*100</f>
        <v>-0.55809083752125233</v>
      </c>
      <c r="AX192" s="19">
        <f>('[1]Short Spot'!AX193-'[1]Short Spot'!AX192)*100</f>
        <v>-0.54201435373695261</v>
      </c>
      <c r="AY192" s="19">
        <f>('[1]Short Spot'!AY193-'[1]Short Spot'!AY192)*100</f>
        <v>-0.52537712570064343</v>
      </c>
      <c r="AZ192" s="19">
        <f>('[1]Short Spot'!AZ193-'[1]Short Spot'!AZ192)*100</f>
        <v>-0.50823380417286401</v>
      </c>
      <c r="BA192" s="19">
        <f>('[1]Short Spot'!BA193-'[1]Short Spot'!BA192)*100</f>
        <v>-0.49063573975702823</v>
      </c>
      <c r="BB192" s="19">
        <f>('[1]Short Spot'!BB193-'[1]Short Spot'!BB192)*100</f>
        <v>-0.47263129423544825</v>
      </c>
      <c r="BC192" s="19">
        <f>('[1]Short Spot'!BC193-'[1]Short Spot'!BC192)*100</f>
        <v>-0.45426610641507992</v>
      </c>
      <c r="BD192" s="19">
        <f>('[1]Short Spot'!BD193-'[1]Short Spot'!BD192)*100</f>
        <v>-0.4355826735401358</v>
      </c>
      <c r="BE192" s="19">
        <f>('[1]Short Spot'!BE193-'[1]Short Spot'!BE192)*100</f>
        <v>-0.41661901453400318</v>
      </c>
      <c r="BF192" s="19">
        <f>('[1]Short Spot'!BF193-'[1]Short Spot'!BF192)*100</f>
        <v>-0.3974087432804474</v>
      </c>
      <c r="BG192" s="19">
        <f>('[1]Short Spot'!BG193-'[1]Short Spot'!BG192)*100</f>
        <v>-0.37798336009586819</v>
      </c>
      <c r="BH192" s="19">
        <f>('[1]Short Spot'!BH193-'[1]Short Spot'!BH192)*100</f>
        <v>-0.3583749774700884</v>
      </c>
      <c r="BI192" s="19">
        <f>('[1]Short Spot'!BI193-'[1]Short Spot'!BI192)*100</f>
        <v>-0.33861483846644447</v>
      </c>
    </row>
    <row r="193" spans="1:61" x14ac:dyDescent="0.2">
      <c r="A193" s="18">
        <v>39359</v>
      </c>
      <c r="B193" s="19">
        <f>('[1]Short Spot'!B194-'[1]Short Spot'!B193)*100</f>
        <v>0.75755506916177495</v>
      </c>
      <c r="C193" s="19">
        <f>('[1]Short Spot'!C194-'[1]Short Spot'!C193)*100</f>
        <v>2.4195887904564728</v>
      </c>
      <c r="D193" s="19">
        <f>('[1]Short Spot'!D194-'[1]Short Spot'!D193)*100</f>
        <v>4.4149272211362778</v>
      </c>
      <c r="E193" s="19">
        <f>('[1]Short Spot'!E194-'[1]Short Spot'!E193)*100</f>
        <v>5.9015010583780558</v>
      </c>
      <c r="F193" s="19">
        <f>('[1]Short Spot'!F194-'[1]Short Spot'!F193)*100</f>
        <v>6.6958232158834896</v>
      </c>
      <c r="G193" s="19">
        <f>('[1]Short Spot'!G194-'[1]Short Spot'!G193)*100</f>
        <v>6.9442523082166474</v>
      </c>
      <c r="H193" s="19">
        <f>('[1]Short Spot'!H194-'[1]Short Spot'!H193)*100</f>
        <v>6.8758835145947828</v>
      </c>
      <c r="I193" s="19">
        <f>('[1]Short Spot'!I194-'[1]Short Spot'!I193)*100</f>
        <v>6.6607741946288712</v>
      </c>
      <c r="J193" s="19">
        <f>('[1]Short Spot'!J194-'[1]Short Spot'!J193)*100</f>
        <v>6.3856436578042519</v>
      </c>
      <c r="K193" s="19">
        <f>('[1]Short Spot'!K194-'[1]Short Spot'!K193)*100</f>
        <v>6.0910481515263903</v>
      </c>
      <c r="L193" s="19">
        <f>('[1]Short Spot'!L194-'[1]Short Spot'!L193)*100</f>
        <v>5.7926480193098762</v>
      </c>
      <c r="M193" s="19">
        <f>('[1]Short Spot'!M194-'[1]Short Spot'!M193)*100</f>
        <v>5.4918459900742178</v>
      </c>
      <c r="N193" s="19">
        <f>('[1]Short Spot'!N194-'[1]Short Spot'!N193)*100</f>
        <v>5.1836464680793171</v>
      </c>
      <c r="O193" s="19">
        <f>('[1]Short Spot'!O194-'[1]Short Spot'!O193)*100</f>
        <v>4.8734655753001732</v>
      </c>
      <c r="P193" s="19">
        <f>('[1]Short Spot'!P194-'[1]Short Spot'!P193)*100</f>
        <v>4.5690638670457417</v>
      </c>
      <c r="Q193" s="19">
        <f>('[1]Short Spot'!Q194-'[1]Short Spot'!Q193)*100</f>
        <v>4.2749190052797204</v>
      </c>
      <c r="R193" s="19">
        <f>('[1]Short Spot'!R194-'[1]Short Spot'!R193)*100</f>
        <v>3.9931716582048971</v>
      </c>
      <c r="S193" s="19">
        <f>('[1]Short Spot'!S194-'[1]Short Spot'!S193)*100</f>
        <v>3.7243190128952719</v>
      </c>
      <c r="T193" s="19">
        <f>('[1]Short Spot'!T194-'[1]Short Spot'!T193)*100</f>
        <v>3.4681526270309071</v>
      </c>
      <c r="U193" s="19">
        <f>('[1]Short Spot'!U194-'[1]Short Spot'!U193)*100</f>
        <v>3.2243533079125974</v>
      </c>
      <c r="V193" s="19">
        <f>('[1]Short Spot'!V194-'[1]Short Spot'!V193)*100</f>
        <v>2.9925237596975407</v>
      </c>
      <c r="W193" s="19">
        <f>('[1]Short Spot'!W194-'[1]Short Spot'!W193)*100</f>
        <v>2.7722060995949427</v>
      </c>
      <c r="X193" s="19">
        <f>('[1]Short Spot'!X194-'[1]Short Spot'!X193)*100</f>
        <v>2.5628950289420693</v>
      </c>
      <c r="Y193" s="19">
        <f>('[1]Short Spot'!Y194-'[1]Short Spot'!Y193)*100</f>
        <v>2.3640478271845566</v>
      </c>
      <c r="Z193" s="19">
        <f>('[1]Short Spot'!Z194-'[1]Short Spot'!Z193)*100</f>
        <v>2.1751113829195923</v>
      </c>
      <c r="AA193" s="19">
        <f>('[1]Short Spot'!AA194-'[1]Short Spot'!AA193)*100</f>
        <v>1.9955458657081593</v>
      </c>
      <c r="AB193" s="19">
        <f>('[1]Short Spot'!AB194-'[1]Short Spot'!AB193)*100</f>
        <v>1.8247909964080655</v>
      </c>
      <c r="AC193" s="19">
        <f>('[1]Short Spot'!AC194-'[1]Short Spot'!AC193)*100</f>
        <v>1.6622926375659652</v>
      </c>
      <c r="AD193" s="19">
        <f>('[1]Short Spot'!AD194-'[1]Short Spot'!AD193)*100</f>
        <v>1.5075281263907669</v>
      </c>
      <c r="AE193" s="19">
        <f>('[1]Short Spot'!AE194-'[1]Short Spot'!AE193)*100</f>
        <v>1.3600032462376177</v>
      </c>
      <c r="AF193" s="19">
        <f>('[1]Short Spot'!AF194-'[1]Short Spot'!AF193)*100</f>
        <v>1.2192476384745632</v>
      </c>
      <c r="AG193" s="19">
        <f>('[1]Short Spot'!AG194-'[1]Short Spot'!AG193)*100</f>
        <v>1.084811074667158</v>
      </c>
      <c r="AH193" s="19">
        <f>('[1]Short Spot'!AH194-'[1]Short Spot'!AH193)*100</f>
        <v>0.95626261721619699</v>
      </c>
      <c r="AI193" s="19">
        <f>('[1]Short Spot'!AI194-'[1]Short Spot'!AI193)*100</f>
        <v>0.83320205661001623</v>
      </c>
      <c r="AJ193" s="19">
        <f>('[1]Short Spot'!AJ194-'[1]Short Spot'!AJ193)*100</f>
        <v>0.71526207309453582</v>
      </c>
      <c r="AK193" s="19">
        <f>('[1]Short Spot'!AK194-'[1]Short Spot'!AK193)*100</f>
        <v>0.60210331950480978</v>
      </c>
      <c r="AL193" s="19">
        <f>('[1]Short Spot'!AL194-'[1]Short Spot'!AL193)*100</f>
        <v>0.49341064117509603</v>
      </c>
      <c r="AM193" s="19">
        <f>('[1]Short Spot'!AM194-'[1]Short Spot'!AM193)*100</f>
        <v>0.38888999495512167</v>
      </c>
      <c r="AN193" s="19">
        <f>('[1]Short Spot'!AN194-'[1]Short Spot'!AN193)*100</f>
        <v>0.28826881499064427</v>
      </c>
      <c r="AO193" s="19">
        <f>('[1]Short Spot'!AO194-'[1]Short Spot'!AO193)*100</f>
        <v>0.19129868837488573</v>
      </c>
      <c r="AP193" s="19">
        <f>('[1]Short Spot'!AP194-'[1]Short Spot'!AP193)*100</f>
        <v>9.7753231573793897E-2</v>
      </c>
      <c r="AQ193" s="19">
        <f>('[1]Short Spot'!AQ194-'[1]Short Spot'!AQ193)*100</f>
        <v>7.4254605835655241E-3</v>
      </c>
      <c r="AR193" s="19">
        <f>('[1]Short Spot'!AR194-'[1]Short Spot'!AR193)*100</f>
        <v>-7.987446482937699E-2</v>
      </c>
      <c r="AS193" s="19">
        <f>('[1]Short Spot'!AS194-'[1]Short Spot'!AS193)*100</f>
        <v>-0.16432118928451089</v>
      </c>
      <c r="AT193" s="19">
        <f>('[1]Short Spot'!AT194-'[1]Short Spot'!AT193)*100</f>
        <v>-0.2460758501753979</v>
      </c>
      <c r="AU193" s="19">
        <f>('[1]Short Spot'!AU194-'[1]Short Spot'!AU193)*100</f>
        <v>-0.32528738753674347</v>
      </c>
      <c r="AV193" s="19">
        <f>('[1]Short Spot'!AV194-'[1]Short Spot'!AV193)*100</f>
        <v>-0.40209256205008259</v>
      </c>
      <c r="AW193" s="19">
        <f>('[1]Short Spot'!AW194-'[1]Short Spot'!AW193)*100</f>
        <v>-0.47661621857395531</v>
      </c>
      <c r="AX193" s="19">
        <f>('[1]Short Spot'!AX194-'[1]Short Spot'!AX193)*100</f>
        <v>-0.54897243596814249</v>
      </c>
      <c r="AY193" s="19">
        <f>('[1]Short Spot'!AY194-'[1]Short Spot'!AY193)*100</f>
        <v>-0.61926560369425232</v>
      </c>
      <c r="AZ193" s="19">
        <f>('[1]Short Spot'!AZ194-'[1]Short Spot'!AZ193)*100</f>
        <v>-0.68759137175522511</v>
      </c>
      <c r="BA193" s="19">
        <f>('[1]Short Spot'!BA194-'[1]Short Spot'!BA193)*100</f>
        <v>-0.75403749103015727</v>
      </c>
      <c r="BB193" s="19">
        <f>('[1]Short Spot'!BB194-'[1]Short Spot'!BB193)*100</f>
        <v>-0.81868455847224908</v>
      </c>
      <c r="BC193" s="19">
        <f>('[1]Short Spot'!BC194-'[1]Short Spot'!BC193)*100</f>
        <v>-0.88160667162453521</v>
      </c>
      <c r="BD193" s="19">
        <f>('[1]Short Spot'!BD194-'[1]Short Spot'!BD193)*100</f>
        <v>-0.94287154982959365</v>
      </c>
      <c r="BE193" s="19">
        <f>('[1]Short Spot'!BE194-'[1]Short Spot'!BE193)*100</f>
        <v>-1.0025400116674632</v>
      </c>
      <c r="BF193" s="19">
        <f>('[1]Short Spot'!BF194-'[1]Short Spot'!BF193)*100</f>
        <v>-1.0606663390683835</v>
      </c>
      <c r="BG193" s="19">
        <f>('[1]Short Spot'!BG194-'[1]Short Spot'!BG193)*100</f>
        <v>-1.1172998119818978</v>
      </c>
      <c r="BH193" s="19">
        <f>('[1]Short Spot'!BH194-'[1]Short Spot'!BH193)*100</f>
        <v>-1.1724868965287349</v>
      </c>
      <c r="BI193" s="19">
        <f>('[1]Short Spot'!BI194-'[1]Short Spot'!BI193)*100</f>
        <v>-1.2262716604685586</v>
      </c>
    </row>
    <row r="194" spans="1:61" x14ac:dyDescent="0.2">
      <c r="A194" s="18">
        <v>39360</v>
      </c>
      <c r="B194" s="19">
        <f>('[1]Short Spot'!B195-'[1]Short Spot'!B194)*100</f>
        <v>2.1192155913431598</v>
      </c>
      <c r="C194" s="19">
        <f>('[1]Short Spot'!C195-'[1]Short Spot'!C194)*100</f>
        <v>4.9509420496112178</v>
      </c>
      <c r="D194" s="19">
        <f>('[1]Short Spot'!D195-'[1]Short Spot'!D194)*100</f>
        <v>8.0721493955170587</v>
      </c>
      <c r="E194" s="19">
        <f>('[1]Short Spot'!E195-'[1]Short Spot'!E194)*100</f>
        <v>10.057135895218217</v>
      </c>
      <c r="F194" s="19">
        <f>('[1]Short Spot'!F195-'[1]Short Spot'!F194)*100</f>
        <v>10.609949710796762</v>
      </c>
      <c r="G194" s="19">
        <f>('[1]Short Spot'!G195-'[1]Short Spot'!G194)*100</f>
        <v>10.113968975071952</v>
      </c>
      <c r="H194" s="19">
        <f>('[1]Short Spot'!H195-'[1]Short Spot'!H194)*100</f>
        <v>9.1010900694416641</v>
      </c>
      <c r="I194" s="19">
        <f>('[1]Short Spot'!I195-'[1]Short Spot'!I194)*100</f>
        <v>7.9486413246564247</v>
      </c>
      <c r="J194" s="19">
        <f>('[1]Short Spot'!J195-'[1]Short Spot'!J194)*100</f>
        <v>6.8347225757158903</v>
      </c>
      <c r="K194" s="19">
        <f>('[1]Short Spot'!K195-'[1]Short Spot'!K194)*100</f>
        <v>5.8287282495220971</v>
      </c>
      <c r="L194" s="19">
        <f>('[1]Short Spot'!L195-'[1]Short Spot'!L194)*100</f>
        <v>4.9555257386169949</v>
      </c>
      <c r="M194" s="19">
        <f>('[1]Short Spot'!M195-'[1]Short Spot'!M194)*100</f>
        <v>4.2237281163061802</v>
      </c>
      <c r="N194" s="19">
        <f>('[1]Short Spot'!N195-'[1]Short Spot'!N194)*100</f>
        <v>3.6299786419946578</v>
      </c>
      <c r="O194" s="19">
        <f>('[1]Short Spot'!O195-'[1]Short Spot'!O194)*100</f>
        <v>3.1513938693619181</v>
      </c>
      <c r="P194" s="19">
        <f>('[1]Short Spot'!P195-'[1]Short Spot'!P194)*100</f>
        <v>2.7636902963400267</v>
      </c>
      <c r="Q194" s="19">
        <f>('[1]Short Spot'!Q195-'[1]Short Spot'!Q194)*100</f>
        <v>2.4484850946353554</v>
      </c>
      <c r="R194" s="19">
        <f>('[1]Short Spot'!R195-'[1]Short Spot'!R194)*100</f>
        <v>2.1915920961392388</v>
      </c>
      <c r="S194" s="19">
        <f>('[1]Short Spot'!S195-'[1]Short Spot'!S194)*100</f>
        <v>1.9819587904067681</v>
      </c>
      <c r="T194" s="19">
        <f>('[1]Short Spot'!T195-'[1]Short Spot'!T194)*100</f>
        <v>1.811305622801207</v>
      </c>
      <c r="U194" s="19">
        <f>('[1]Short Spot'!U195-'[1]Short Spot'!U194)*100</f>
        <v>1.6730743574791873</v>
      </c>
      <c r="V194" s="19">
        <f>('[1]Short Spot'!V195-'[1]Short Spot'!V194)*100</f>
        <v>1.5618284367990398</v>
      </c>
      <c r="W194" s="19">
        <f>('[1]Short Spot'!W195-'[1]Short Spot'!W194)*100</f>
        <v>1.4729977595949073</v>
      </c>
      <c r="X194" s="19">
        <f>('[1]Short Spot'!X195-'[1]Short Spot'!X194)*100</f>
        <v>1.4026903210739405</v>
      </c>
      <c r="Y194" s="19">
        <f>('[1]Short Spot'!Y195-'[1]Short Spot'!Y194)*100</f>
        <v>1.3475518575957857</v>
      </c>
      <c r="Z194" s="19">
        <f>('[1]Short Spot'!Z195-'[1]Short Spot'!Z194)*100</f>
        <v>1.304754973206812</v>
      </c>
      <c r="AA194" s="19">
        <f>('[1]Short Spot'!AA195-'[1]Short Spot'!AA194)*100</f>
        <v>1.2720791543433307</v>
      </c>
      <c r="AB194" s="19">
        <f>('[1]Short Spot'!AB195-'[1]Short Spot'!AB194)*100</f>
        <v>1.247756717969839</v>
      </c>
      <c r="AC194" s="19">
        <f>('[1]Short Spot'!AC195-'[1]Short Spot'!AC194)*100</f>
        <v>1.2303475612646331</v>
      </c>
      <c r="AD194" s="19">
        <f>('[1]Short Spot'!AD195-'[1]Short Spot'!AD194)*100</f>
        <v>1.2186415782904803</v>
      </c>
      <c r="AE194" s="19">
        <f>('[1]Short Spot'!AE195-'[1]Short Spot'!AE194)*100</f>
        <v>1.2116158570742108</v>
      </c>
      <c r="AF194" s="19">
        <f>('[1]Short Spot'!AF195-'[1]Short Spot'!AF194)*100</f>
        <v>1.2084044870260158</v>
      </c>
      <c r="AG194" s="19">
        <f>('[1]Short Spot'!AG195-'[1]Short Spot'!AG194)*100</f>
        <v>1.2082740284904858</v>
      </c>
      <c r="AH194" s="19">
        <f>('[1]Short Spot'!AH195-'[1]Short Spot'!AH194)*100</f>
        <v>1.2106079190290941</v>
      </c>
      <c r="AI194" s="19">
        <f>('[1]Short Spot'!AI195-'[1]Short Spot'!AI194)*100</f>
        <v>1.2148972911875333</v>
      </c>
      <c r="AJ194" s="19">
        <f>('[1]Short Spot'!AJ195-'[1]Short Spot'!AJ194)*100</f>
        <v>1.2207101357778249</v>
      </c>
      <c r="AK194" s="19">
        <f>('[1]Short Spot'!AK195-'[1]Short Spot'!AK194)*100</f>
        <v>1.2276770643492085</v>
      </c>
      <c r="AL194" s="19">
        <f>('[1]Short Spot'!AL195-'[1]Short Spot'!AL194)*100</f>
        <v>1.235482846926228</v>
      </c>
      <c r="AM194" s="19">
        <f>('[1]Short Spot'!AM195-'[1]Short Spot'!AM194)*100</f>
        <v>1.2438594992556062</v>
      </c>
      <c r="AN194" s="19">
        <f>('[1]Short Spot'!AN195-'[1]Short Spot'!AN194)*100</f>
        <v>1.2525818987690229</v>
      </c>
      <c r="AO194" s="19">
        <f>('[1]Short Spot'!AO195-'[1]Short Spot'!AO194)*100</f>
        <v>1.2614593376023997</v>
      </c>
      <c r="AP194" s="19">
        <f>('[1]Short Spot'!AP195-'[1]Short Spot'!AP194)*100</f>
        <v>1.2703289600993983</v>
      </c>
      <c r="AQ194" s="19">
        <f>('[1]Short Spot'!AQ195-'[1]Short Spot'!AQ194)*100</f>
        <v>1.2790524082127774</v>
      </c>
      <c r="AR194" s="19">
        <f>('[1]Short Spot'!AR195-'[1]Short Spot'!AR194)*100</f>
        <v>1.2875129729459367</v>
      </c>
      <c r="AS194" s="19">
        <f>('[1]Short Spot'!AS195-'[1]Short Spot'!AS194)*100</f>
        <v>1.2956131342334309</v>
      </c>
      <c r="AT194" s="19">
        <f>('[1]Short Spot'!AT195-'[1]Short Spot'!AT194)*100</f>
        <v>1.3032724286752284</v>
      </c>
      <c r="AU194" s="19">
        <f>('[1]Short Spot'!AU195-'[1]Short Spot'!AU194)*100</f>
        <v>1.3104254491501877</v>
      </c>
      <c r="AV194" s="19">
        <f>('[1]Short Spot'!AV195-'[1]Short Spot'!AV194)*100</f>
        <v>1.3170193711146361</v>
      </c>
      <c r="AW194" s="19">
        <f>('[1]Short Spot'!AW195-'[1]Short Spot'!AW194)*100</f>
        <v>1.3230121048460219</v>
      </c>
      <c r="AX194" s="19">
        <f>('[1]Short Spot'!AX195-'[1]Short Spot'!AX194)*100</f>
        <v>1.328371175353027</v>
      </c>
      <c r="AY194" s="19">
        <f>('[1]Short Spot'!AY195-'[1]Short Spot'!AY194)*100</f>
        <v>1.3330727609027981</v>
      </c>
      <c r="AZ194" s="19">
        <f>('[1]Short Spot'!AZ195-'[1]Short Spot'!AZ194)*100</f>
        <v>1.3371008446610766</v>
      </c>
      <c r="BA194" s="19">
        <f>('[1]Short Spot'!BA195-'[1]Short Spot'!BA194)*100</f>
        <v>1.3404464642230884</v>
      </c>
      <c r="BB194" s="19">
        <f>('[1]Short Spot'!BB195-'[1]Short Spot'!BB194)*100</f>
        <v>1.3431070460993233</v>
      </c>
      <c r="BC194" s="19">
        <f>('[1]Short Spot'!BC195-'[1]Short Spot'!BC194)*100</f>
        <v>1.3450856275196266</v>
      </c>
      <c r="BD194" s="19">
        <f>('[1]Short Spot'!BD195-'[1]Short Spot'!BD194)*100</f>
        <v>1.3463878011204855</v>
      </c>
      <c r="BE194" s="19">
        <f>('[1]Short Spot'!BE195-'[1]Short Spot'!BE194)*100</f>
        <v>1.3470187231272135</v>
      </c>
      <c r="BF194" s="19">
        <f>('[1]Short Spot'!BF195-'[1]Short Spot'!BF194)*100</f>
        <v>1.3469839538559292</v>
      </c>
      <c r="BG194" s="19">
        <f>('[1]Short Spot'!BG195-'[1]Short Spot'!BG194)*100</f>
        <v>1.3462951969375858</v>
      </c>
      <c r="BH194" s="19">
        <f>('[1]Short Spot'!BH195-'[1]Short Spot'!BH194)*100</f>
        <v>1.3449702174522571</v>
      </c>
      <c r="BI194" s="19">
        <f>('[1]Short Spot'!BI195-'[1]Short Spot'!BI194)*100</f>
        <v>1.3430276239954075</v>
      </c>
    </row>
    <row r="195" spans="1:61" x14ac:dyDescent="0.2">
      <c r="A195" s="18">
        <v>39363</v>
      </c>
      <c r="B195" s="19">
        <f>('[1]Short Spot'!B196-'[1]Short Spot'!B195)*100</f>
        <v>0.71991248371929828</v>
      </c>
      <c r="C195" s="19">
        <f>('[1]Short Spot'!C196-'[1]Short Spot'!C195)*100</f>
        <v>-1.3037892996314859</v>
      </c>
      <c r="D195" s="19">
        <f>('[1]Short Spot'!D196-'[1]Short Spot'!D195)*100</f>
        <v>-3.4577086182686401</v>
      </c>
      <c r="E195" s="19">
        <f>('[1]Short Spot'!E196-'[1]Short Spot'!E195)*100</f>
        <v>-4.5663435532007135</v>
      </c>
      <c r="F195" s="19">
        <f>('[1]Short Spot'!F196-'[1]Short Spot'!F195)*100</f>
        <v>-4.4512579491349236</v>
      </c>
      <c r="G195" s="19">
        <f>('[1]Short Spot'!G196-'[1]Short Spot'!G195)*100</f>
        <v>-3.5465102597642684</v>
      </c>
      <c r="H195" s="19">
        <f>('[1]Short Spot'!H196-'[1]Short Spot'!H195)*100</f>
        <v>-2.337210674418877</v>
      </c>
      <c r="I195" s="19">
        <f>('[1]Short Spot'!I196-'[1]Short Spot'!I195)*100</f>
        <v>-1.1291530774401259</v>
      </c>
      <c r="J195" s="19">
        <f>('[1]Short Spot'!J196-'[1]Short Spot'!J195)*100</f>
        <v>-6.7401115151710655E-2</v>
      </c>
      <c r="K195" s="19">
        <f>('[1]Short Spot'!K196-'[1]Short Spot'!K195)*100</f>
        <v>0.79012067100805439</v>
      </c>
      <c r="L195" s="19">
        <f>('[1]Short Spot'!L196-'[1]Short Spot'!L195)*100</f>
        <v>1.4382718972453468</v>
      </c>
      <c r="M195" s="19">
        <f>('[1]Short Spot'!M196-'[1]Short Spot'!M195)*100</f>
        <v>1.9116674229528563</v>
      </c>
      <c r="N195" s="19">
        <f>('[1]Short Spot'!N196-'[1]Short Spot'!N195)*100</f>
        <v>2.2631722768063689</v>
      </c>
      <c r="O195" s="19">
        <f>('[1]Short Spot'!O196-'[1]Short Spot'!O195)*100</f>
        <v>2.5192852102225771</v>
      </c>
      <c r="P195" s="19">
        <f>('[1]Short Spot'!P196-'[1]Short Spot'!P195)*100</f>
        <v>2.694479414689166</v>
      </c>
      <c r="Q195" s="19">
        <f>('[1]Short Spot'!Q196-'[1]Short Spot'!Q195)*100</f>
        <v>2.802341610185799</v>
      </c>
      <c r="R195" s="19">
        <f>('[1]Short Spot'!R196-'[1]Short Spot'!R195)*100</f>
        <v>2.8558386731770469</v>
      </c>
      <c r="S195" s="19">
        <f>('[1]Short Spot'!S196-'[1]Short Spot'!S195)*100</f>
        <v>2.8674285675817757</v>
      </c>
      <c r="T195" s="19">
        <f>('[1]Short Spot'!T196-'[1]Short Spot'!T195)*100</f>
        <v>2.8481146188915396</v>
      </c>
      <c r="U195" s="19">
        <f>('[1]Short Spot'!U196-'[1]Short Spot'!U195)*100</f>
        <v>2.806390724800778</v>
      </c>
      <c r="V195" s="19">
        <f>('[1]Short Spot'!V196-'[1]Short Spot'!V195)*100</f>
        <v>2.7486596115338102</v>
      </c>
      <c r="W195" s="19">
        <f>('[1]Short Spot'!W196-'[1]Short Spot'!W195)*100</f>
        <v>2.6797080897212666</v>
      </c>
      <c r="X195" s="19">
        <f>('[1]Short Spot'!X196-'[1]Short Spot'!X195)*100</f>
        <v>2.6030583403975349</v>
      </c>
      <c r="Y195" s="19">
        <f>('[1]Short Spot'!Y196-'[1]Short Spot'!Y195)*100</f>
        <v>2.521232173740362</v>
      </c>
      <c r="Z195" s="19">
        <f>('[1]Short Spot'!Z196-'[1]Short Spot'!Z195)*100</f>
        <v>2.4360262076968731</v>
      </c>
      <c r="AA195" s="19">
        <f>('[1]Short Spot'!AA196-'[1]Short Spot'!AA195)*100</f>
        <v>2.3488552723477163</v>
      </c>
      <c r="AB195" s="19">
        <f>('[1]Short Spot'!AB196-'[1]Short Spot'!AB195)*100</f>
        <v>2.2608682075742514</v>
      </c>
      <c r="AC195" s="19">
        <f>('[1]Short Spot'!AC196-'[1]Short Spot'!AC195)*100</f>
        <v>2.1729803150258853</v>
      </c>
      <c r="AD195" s="19">
        <f>('[1]Short Spot'!AD196-'[1]Short Spot'!AD195)*100</f>
        <v>2.0859012990324999</v>
      </c>
      <c r="AE195" s="19">
        <f>('[1]Short Spot'!AE196-'[1]Short Spot'!AE195)*100</f>
        <v>2.0001685840375316</v>
      </c>
      <c r="AF195" s="19">
        <f>('[1]Short Spot'!AF196-'[1]Short Spot'!AF195)*100</f>
        <v>1.9161751016751438</v>
      </c>
      <c r="AG195" s="19">
        <f>('[1]Short Spot'!AG196-'[1]Short Spot'!AG195)*100</f>
        <v>1.8341918704988025</v>
      </c>
      <c r="AH195" s="19">
        <f>('[1]Short Spot'!AH196-'[1]Short Spot'!AH195)*100</f>
        <v>1.754391210938433</v>
      </c>
      <c r="AI195" s="19">
        <f>('[1]Short Spot'!AI196-'[1]Short Spot'!AI195)*100</f>
        <v>1.6768856450390501</v>
      </c>
      <c r="AJ195" s="19">
        <f>('[1]Short Spot'!AJ196-'[1]Short Spot'!AJ195)*100</f>
        <v>1.6017475344088261</v>
      </c>
      <c r="AK195" s="19">
        <f>('[1]Short Spot'!AK196-'[1]Short Spot'!AK195)*100</f>
        <v>1.529014686203034</v>
      </c>
      <c r="AL195" s="19">
        <f>('[1]Short Spot'!AL196-'[1]Short Spot'!AL195)*100</f>
        <v>1.4586950226450845</v>
      </c>
      <c r="AM195" s="19">
        <f>('[1]Short Spot'!AM196-'[1]Short Spot'!AM195)*100</f>
        <v>1.3907707755255849</v>
      </c>
      <c r="AN195" s="19">
        <f>('[1]Short Spot'!AN196-'[1]Short Spot'!AN195)*100</f>
        <v>1.3252068082953095</v>
      </c>
      <c r="AO195" s="19">
        <f>('[1]Short Spot'!AO196-'[1]Short Spot'!AO195)*100</f>
        <v>1.2619596622827522</v>
      </c>
      <c r="AP195" s="19">
        <f>('[1]Short Spot'!AP196-'[1]Short Spot'!AP195)*100</f>
        <v>1.2009793882512554</v>
      </c>
      <c r="AQ195" s="19">
        <f>('[1]Short Spot'!AQ196-'[1]Short Spot'!AQ195)*100</f>
        <v>1.1422103156442098</v>
      </c>
      <c r="AR195" s="19">
        <f>('[1]Short Spot'!AR196-'[1]Short Spot'!AR195)*100</f>
        <v>1.0855917178544949</v>
      </c>
      <c r="AS195" s="19">
        <f>('[1]Short Spot'!AS196-'[1]Short Spot'!AS195)*100</f>
        <v>1.0310583867759959</v>
      </c>
      <c r="AT195" s="19">
        <f>('[1]Short Spot'!AT196-'[1]Short Spot'!AT195)*100</f>
        <v>0.97854113193713843</v>
      </c>
      <c r="AU195" s="19">
        <f>('[1]Short Spot'!AU196-'[1]Short Spot'!AU195)*100</f>
        <v>0.92796788739688552</v>
      </c>
      <c r="AV195" s="19">
        <f>('[1]Short Spot'!AV196-'[1]Short Spot'!AV195)*100</f>
        <v>0.87926764338819297</v>
      </c>
      <c r="AW195" s="19">
        <f>('[1]Short Spot'!AW196-'[1]Short Spot'!AW195)*100</f>
        <v>0.83237237464928171</v>
      </c>
      <c r="AX195" s="19">
        <f>('[1]Short Spot'!AX196-'[1]Short Spot'!AX195)*100</f>
        <v>0.78721681584941194</v>
      </c>
      <c r="AY195" s="19">
        <f>('[1]Short Spot'!AY196-'[1]Short Spot'!AY195)*100</f>
        <v>0.7437381855968539</v>
      </c>
      <c r="AZ195" s="19">
        <f>('[1]Short Spot'!AZ196-'[1]Short Spot'!AZ195)*100</f>
        <v>0.70187594291510891</v>
      </c>
      <c r="BA195" s="19">
        <f>('[1]Short Spot'!BA196-'[1]Short Spot'!BA195)*100</f>
        <v>0.66157157181798709</v>
      </c>
      <c r="BB195" s="19">
        <f>('[1]Short Spot'!BB196-'[1]Short Spot'!BB195)*100</f>
        <v>0.62276839027353148</v>
      </c>
      <c r="BC195" s="19">
        <f>('[1]Short Spot'!BC196-'[1]Short Spot'!BC195)*100</f>
        <v>0.58541133958405212</v>
      </c>
      <c r="BD195" s="19">
        <f>('[1]Short Spot'!BD196-'[1]Short Spot'!BD195)*100</f>
        <v>0.54944667856222651</v>
      </c>
      <c r="BE195" s="19">
        <f>('[1]Short Spot'!BE196-'[1]Short Spot'!BE195)*100</f>
        <v>0.5148220925287994</v>
      </c>
      <c r="BF195" s="19">
        <f>('[1]Short Spot'!BF196-'[1]Short Spot'!BF195)*100</f>
        <v>0.48148712243536451</v>
      </c>
      <c r="BG195" s="19">
        <f>('[1]Short Spot'!BG196-'[1]Short Spot'!BG195)*100</f>
        <v>0.44939492818398818</v>
      </c>
      <c r="BH195" s="19">
        <f>('[1]Short Spot'!BH196-'[1]Short Spot'!BH195)*100</f>
        <v>0.41850181086822147</v>
      </c>
      <c r="BI195" s="19">
        <f>('[1]Short Spot'!BI196-'[1]Short Spot'!BI195)*100</f>
        <v>0.38876595392176583</v>
      </c>
    </row>
    <row r="196" spans="1:61" x14ac:dyDescent="0.2">
      <c r="A196" s="18">
        <v>39364</v>
      </c>
      <c r="B196" s="19">
        <f>('[1]Short Spot'!B197-'[1]Short Spot'!B196)*100</f>
        <v>1.0856491553044023</v>
      </c>
      <c r="C196" s="19">
        <f>('[1]Short Spot'!C197-'[1]Short Spot'!C196)*100</f>
        <v>0.85358749170039161</v>
      </c>
      <c r="D196" s="19">
        <f>('[1]Short Spot'!D197-'[1]Short Spot'!D196)*100</f>
        <v>1.211544297888878</v>
      </c>
      <c r="E196" s="19">
        <f>('[1]Short Spot'!E197-'[1]Short Spot'!E196)*100</f>
        <v>1.5865948830048104</v>
      </c>
      <c r="F196" s="19">
        <f>('[1]Short Spot'!F197-'[1]Short Spot'!F196)*100</f>
        <v>1.8438668760717647</v>
      </c>
      <c r="G196" s="19">
        <f>('[1]Short Spot'!G197-'[1]Short Spot'!G196)*100</f>
        <v>1.9608147156330524</v>
      </c>
      <c r="H196" s="19">
        <f>('[1]Short Spot'!H197-'[1]Short Spot'!H196)*100</f>
        <v>1.9686879094600762</v>
      </c>
      <c r="I196" s="19">
        <f>('[1]Short Spot'!I197-'[1]Short Spot'!I196)*100</f>
        <v>1.9037655923165531</v>
      </c>
      <c r="J196" s="19">
        <f>('[1]Short Spot'!J197-'[1]Short Spot'!J196)*100</f>
        <v>1.7840312954619186</v>
      </c>
      <c r="K196" s="19">
        <f>('[1]Short Spot'!K197-'[1]Short Spot'!K196)*100</f>
        <v>1.6174642114728854</v>
      </c>
      <c r="L196" s="19">
        <f>('[1]Short Spot'!L197-'[1]Short Spot'!L196)*100</f>
        <v>1.4155058376566387</v>
      </c>
      <c r="M196" s="19">
        <f>('[1]Short Spot'!M197-'[1]Short Spot'!M196)*100</f>
        <v>1.1999412436321855</v>
      </c>
      <c r="N196" s="19">
        <f>('[1]Short Spot'!N197-'[1]Short Spot'!N196)*100</f>
        <v>0.99446132177067881</v>
      </c>
      <c r="O196" s="19">
        <f>('[1]Short Spot'!O197-'[1]Short Spot'!O196)*100</f>
        <v>0.80272546556692248</v>
      </c>
      <c r="P196" s="19">
        <f>('[1]Short Spot'!P197-'[1]Short Spot'!P196)*100</f>
        <v>0.62271585754052339</v>
      </c>
      <c r="Q196" s="19">
        <f>('[1]Short Spot'!Q197-'[1]Short Spot'!Q196)*100</f>
        <v>0.45296766439912872</v>
      </c>
      <c r="R196" s="19">
        <f>('[1]Short Spot'!R197-'[1]Short Spot'!R196)*100</f>
        <v>0.29240580573226538</v>
      </c>
      <c r="S196" s="19">
        <f>('[1]Short Spot'!S197-'[1]Short Spot'!S196)*100</f>
        <v>0.140259120268027</v>
      </c>
      <c r="T196" s="19">
        <f>('[1]Short Spot'!T197-'[1]Short Spot'!T196)*100</f>
        <v>-4.0231834751658369E-3</v>
      </c>
      <c r="U196" s="19">
        <f>('[1]Short Spot'!U197-'[1]Short Spot'!U196)*100</f>
        <v>-0.14102126543544813</v>
      </c>
      <c r="V196" s="19">
        <f>('[1]Short Spot'!V197-'[1]Short Spot'!V196)*100</f>
        <v>-0.27137944836717054</v>
      </c>
      <c r="W196" s="19">
        <f>('[1]Short Spot'!W197-'[1]Short Spot'!W196)*100</f>
        <v>-0.39579163619247737</v>
      </c>
      <c r="X196" s="19">
        <f>('[1]Short Spot'!X197-'[1]Short Spot'!X196)*100</f>
        <v>-0.5149905354858042</v>
      </c>
      <c r="Y196" s="19">
        <f>('[1]Short Spot'!Y197-'[1]Short Spot'!Y196)*100</f>
        <v>-0.62973856199626255</v>
      </c>
      <c r="Z196" s="19">
        <f>('[1]Short Spot'!Z197-'[1]Short Spot'!Z196)*100</f>
        <v>-0.74076032965555427</v>
      </c>
      <c r="AA196" s="19">
        <f>('[1]Short Spot'!AA197-'[1]Short Spot'!AA196)*100</f>
        <v>-0.84863393123226771</v>
      </c>
      <c r="AB196" s="19">
        <f>('[1]Short Spot'!AB197-'[1]Short Spot'!AB196)*100</f>
        <v>-0.95381852198439532</v>
      </c>
      <c r="AC196" s="19">
        <f>('[1]Short Spot'!AC197-'[1]Short Spot'!AC196)*100</f>
        <v>-1.0566904541084554</v>
      </c>
      <c r="AD196" s="19">
        <f>('[1]Short Spot'!AD197-'[1]Short Spot'!AD196)*100</f>
        <v>-1.1575673575380918</v>
      </c>
      <c r="AE196" s="19">
        <f>('[1]Short Spot'!AE197-'[1]Short Spot'!AE196)*100</f>
        <v>-1.2567185580699025</v>
      </c>
      <c r="AF196" s="19">
        <f>('[1]Short Spot'!AF197-'[1]Short Spot'!AF196)*100</f>
        <v>-1.354372868352538</v>
      </c>
      <c r="AG196" s="19">
        <f>('[1]Short Spot'!AG197-'[1]Short Spot'!AG196)*100</f>
        <v>-1.4507249124626753</v>
      </c>
      <c r="AH196" s="19">
        <f>('[1]Short Spot'!AH197-'[1]Short Spot'!AH196)*100</f>
        <v>-1.5459373879046723</v>
      </c>
      <c r="AI196" s="19">
        <f>('[1]Short Spot'!AI197-'[1]Short Spot'!AI196)*100</f>
        <v>-1.6401385818932468</v>
      </c>
      <c r="AJ196" s="19">
        <f>('[1]Short Spot'!AJ197-'[1]Short Spot'!AJ196)*100</f>
        <v>-1.7334298802929027</v>
      </c>
      <c r="AK196" s="19">
        <f>('[1]Short Spot'!AK197-'[1]Short Spot'!AK196)*100</f>
        <v>-1.8258902928366183</v>
      </c>
      <c r="AL196" s="19">
        <f>('[1]Short Spot'!AL197-'[1]Short Spot'!AL196)*100</f>
        <v>-1.9175794769287435</v>
      </c>
      <c r="AM196" s="19">
        <f>('[1]Short Spot'!AM197-'[1]Short Spot'!AM196)*100</f>
        <v>-2.0085401855237883</v>
      </c>
      <c r="AN196" s="19">
        <f>('[1]Short Spot'!AN197-'[1]Short Spot'!AN196)*100</f>
        <v>-2.0988004576620867</v>
      </c>
      <c r="AO196" s="19">
        <f>('[1]Short Spot'!AO197-'[1]Short Spot'!AO196)*100</f>
        <v>-2.1883779677567716</v>
      </c>
      <c r="AP196" s="19">
        <f>('[1]Short Spot'!AP197-'[1]Short Spot'!AP196)*100</f>
        <v>-2.2772822492702183</v>
      </c>
      <c r="AQ196" s="19">
        <f>('[1]Short Spot'!AQ197-'[1]Short Spot'!AQ196)*100</f>
        <v>-2.365515669778695</v>
      </c>
      <c r="AR196" s="19">
        <f>('[1]Short Spot'!AR197-'[1]Short Spot'!AR196)*100</f>
        <v>-2.4530742642154379</v>
      </c>
      <c r="AS196" s="19">
        <f>('[1]Short Spot'!AS197-'[1]Short Spot'!AS196)*100</f>
        <v>-2.5399484544884388</v>
      </c>
      <c r="AT196" s="19">
        <f>('[1]Short Spot'!AT197-'[1]Short Spot'!AT196)*100</f>
        <v>-2.626123673450298</v>
      </c>
      <c r="AU196" s="19">
        <f>('[1]Short Spot'!AU197-'[1]Short Spot'!AU196)*100</f>
        <v>-2.7115811861614603</v>
      </c>
      <c r="AV196" s="19">
        <f>('[1]Short Spot'!AV197-'[1]Short Spot'!AV196)*100</f>
        <v>-2.7963001208207494</v>
      </c>
      <c r="AW196" s="19">
        <f>('[1]Short Spot'!AW197-'[1]Short Spot'!AW196)*100</f>
        <v>-2.8802586202400171</v>
      </c>
      <c r="AX196" s="19">
        <f>('[1]Short Spot'!AX197-'[1]Short Spot'!AX196)*100</f>
        <v>-2.9634339808381149</v>
      </c>
      <c r="AY196" s="19">
        <f>('[1]Short Spot'!AY197-'[1]Short Spot'!AY196)*100</f>
        <v>-3.0458027372808338</v>
      </c>
      <c r="AZ196" s="19">
        <f>('[1]Short Spot'!AZ197-'[1]Short Spot'!AZ196)*100</f>
        <v>-3.127340737162676</v>
      </c>
      <c r="BA196" s="19">
        <f>('[1]Short Spot'!BA197-'[1]Short Spot'!BA196)*100</f>
        <v>-3.2080232070708981</v>
      </c>
      <c r="BB196" s="19">
        <f>('[1]Short Spot'!BB197-'[1]Short Spot'!BB196)*100</f>
        <v>-3.2878248111712693</v>
      </c>
      <c r="BC196" s="19">
        <f>('[1]Short Spot'!BC197-'[1]Short Spot'!BC196)*100</f>
        <v>-3.3667198529947484</v>
      </c>
      <c r="BD196" s="19">
        <f>('[1]Short Spot'!BD197-'[1]Short Spot'!BD196)*100</f>
        <v>-3.4446838836372784</v>
      </c>
      <c r="BE196" s="19">
        <f>('[1]Short Spot'!BE197-'[1]Short Spot'!BE196)*100</f>
        <v>-3.5216950111085055</v>
      </c>
      <c r="BF196" s="19">
        <f>('[1]Short Spot'!BF197-'[1]Short Spot'!BF196)*100</f>
        <v>-3.5977330663456542</v>
      </c>
      <c r="BG196" s="19">
        <f>('[1]Short Spot'!BG197-'[1]Short Spot'!BG196)*100</f>
        <v>-3.6727763955584081</v>
      </c>
      <c r="BH196" s="19">
        <f>('[1]Short Spot'!BH197-'[1]Short Spot'!BH196)*100</f>
        <v>-3.7468022833414771</v>
      </c>
      <c r="BI196" s="19">
        <f>('[1]Short Spot'!BI197-'[1]Short Spot'!BI196)*100</f>
        <v>-3.8197897467214581</v>
      </c>
    </row>
    <row r="197" spans="1:61" x14ac:dyDescent="0.2">
      <c r="A197" s="18">
        <v>39365</v>
      </c>
      <c r="B197" s="19">
        <f>('[1]Short Spot'!B198-'[1]Short Spot'!B197)*100</f>
        <v>1.0447648891880768</v>
      </c>
      <c r="C197" s="19">
        <f>('[1]Short Spot'!C198-'[1]Short Spot'!C197)*100</f>
        <v>2.5520689169962196</v>
      </c>
      <c r="D197" s="19">
        <f>('[1]Short Spot'!D198-'[1]Short Spot'!D197)*100</f>
        <v>3.4440159735145137</v>
      </c>
      <c r="E197" s="19">
        <f>('[1]Short Spot'!E198-'[1]Short Spot'!E197)*100</f>
        <v>4.1204806068429356</v>
      </c>
      <c r="F197" s="19">
        <f>('[1]Short Spot'!F198-'[1]Short Spot'!F197)*100</f>
        <v>4.6963217687572723</v>
      </c>
      <c r="G197" s="19">
        <f>('[1]Short Spot'!G198-'[1]Short Spot'!G197)*100</f>
        <v>5.264385229847246</v>
      </c>
      <c r="H197" s="19">
        <f>('[1]Short Spot'!H198-'[1]Short Spot'!H197)*100</f>
        <v>5.8854801297662185</v>
      </c>
      <c r="I197" s="19">
        <f>('[1]Short Spot'!I198-'[1]Short Spot'!I197)*100</f>
        <v>6.5763812508755848</v>
      </c>
      <c r="J197" s="19">
        <f>('[1]Short Spot'!J198-'[1]Short Spot'!J197)*100</f>
        <v>7.3277699032167298</v>
      </c>
      <c r="K197" s="19">
        <f>('[1]Short Spot'!K198-'[1]Short Spot'!K197)*100</f>
        <v>8.1171002093270772</v>
      </c>
      <c r="L197" s="19">
        <f>('[1]Short Spot'!L198-'[1]Short Spot'!L197)*100</f>
        <v>8.9164416418745063</v>
      </c>
      <c r="M197" s="19">
        <f>('[1]Short Spot'!M198-'[1]Short Spot'!M197)*100</f>
        <v>9.6964306502390407</v>
      </c>
      <c r="N197" s="19">
        <f>('[1]Short Spot'!N198-'[1]Short Spot'!N197)*100</f>
        <v>10.42955433809416</v>
      </c>
      <c r="O197" s="19">
        <f>('[1]Short Spot'!O198-'[1]Short Spot'!O197)*100</f>
        <v>11.103859793434179</v>
      </c>
      <c r="P197" s="19">
        <f>('[1]Short Spot'!P198-'[1]Short Spot'!P197)*100</f>
        <v>11.71596324303863</v>
      </c>
      <c r="Q197" s="19">
        <f>('[1]Short Spot'!Q198-'[1]Short Spot'!Q197)*100</f>
        <v>12.265409275271555</v>
      </c>
      <c r="R197" s="19">
        <f>('[1]Short Spot'!R198-'[1]Short Spot'!R197)*100</f>
        <v>12.753807202367984</v>
      </c>
      <c r="S197" s="19">
        <f>('[1]Short Spot'!S198-'[1]Short Spot'!S197)*100</f>
        <v>13.184244556591906</v>
      </c>
      <c r="T197" s="19">
        <f>('[1]Short Spot'!T198-'[1]Short Spot'!T197)*100</f>
        <v>13.560531349125071</v>
      </c>
      <c r="U197" s="19">
        <f>('[1]Short Spot'!U198-'[1]Short Spot'!U197)*100</f>
        <v>13.886509684256865</v>
      </c>
      <c r="V197" s="19">
        <f>('[1]Short Spot'!V198-'[1]Short Spot'!V197)*100</f>
        <v>14.165983738713894</v>
      </c>
      <c r="W197" s="19">
        <f>('[1]Short Spot'!W198-'[1]Short Spot'!W197)*100</f>
        <v>14.402728381557139</v>
      </c>
      <c r="X197" s="19">
        <f>('[1]Short Spot'!X198-'[1]Short Spot'!X197)*100</f>
        <v>14.600495545414294</v>
      </c>
      <c r="Y197" s="19">
        <f>('[1]Short Spot'!Y198-'[1]Short Spot'!Y197)*100</f>
        <v>14.763019398093302</v>
      </c>
      <c r="Z197" s="19">
        <f>('[1]Short Spot'!Z198-'[1]Short Spot'!Z197)*100</f>
        <v>14.8939750042139</v>
      </c>
      <c r="AA197" s="19">
        <f>('[1]Short Spot'!AA198-'[1]Short Spot'!AA197)*100</f>
        <v>14.996714700932134</v>
      </c>
      <c r="AB197" s="19">
        <f>('[1]Short Spot'!AB198-'[1]Short Spot'!AB197)*100</f>
        <v>15.074178321895904</v>
      </c>
      <c r="AC197" s="19">
        <f>('[1]Short Spot'!AC198-'[1]Short Spot'!AC197)*100</f>
        <v>15.128959618724025</v>
      </c>
      <c r="AD197" s="19">
        <f>('[1]Short Spot'!AD198-'[1]Short Spot'!AD197)*100</f>
        <v>15.163364360410903</v>
      </c>
      <c r="AE197" s="19">
        <f>('[1]Short Spot'!AE198-'[1]Short Spot'!AE197)*100</f>
        <v>15.179458256464251</v>
      </c>
      <c r="AF197" s="19">
        <f>('[1]Short Spot'!AF198-'[1]Short Spot'!AF197)*100</f>
        <v>15.179105676177151</v>
      </c>
      <c r="AG197" s="19">
        <f>('[1]Short Spot'!AG198-'[1]Short Spot'!AG197)*100</f>
        <v>15.164001114800296</v>
      </c>
      <c r="AH197" s="19">
        <f>('[1]Short Spot'!AH198-'[1]Short Spot'!AH197)*100</f>
        <v>15.135693262494865</v>
      </c>
      <c r="AI197" s="19">
        <f>('[1]Short Spot'!AI198-'[1]Short Spot'!AI197)*100</f>
        <v>15.095583145522173</v>
      </c>
      <c r="AJ197" s="19">
        <f>('[1]Short Spot'!AJ198-'[1]Short Spot'!AJ197)*100</f>
        <v>15.044923186864789</v>
      </c>
      <c r="AK197" s="19">
        <f>('[1]Short Spot'!AK198-'[1]Short Spot'!AK197)*100</f>
        <v>14.984836206079155</v>
      </c>
      <c r="AL197" s="19">
        <f>('[1]Short Spot'!AL198-'[1]Short Spot'!AL197)*100</f>
        <v>14.916332933274123</v>
      </c>
      <c r="AM197" s="19">
        <f>('[1]Short Spot'!AM198-'[1]Short Spot'!AM197)*100</f>
        <v>14.840326803095838</v>
      </c>
      <c r="AN197" s="19">
        <f>('[1]Short Spot'!AN198-'[1]Short Spot'!AN197)*100</f>
        <v>14.757645154548449</v>
      </c>
      <c r="AO197" s="19">
        <f>('[1]Short Spot'!AO198-'[1]Short Spot'!AO197)*100</f>
        <v>14.669035751954329</v>
      </c>
      <c r="AP197" s="19">
        <f>('[1]Short Spot'!AP198-'[1]Short Spot'!AP197)*100</f>
        <v>14.57517536294537</v>
      </c>
      <c r="AQ197" s="19">
        <f>('[1]Short Spot'!AQ198-'[1]Short Spot'!AQ197)*100</f>
        <v>14.476678206543347</v>
      </c>
      <c r="AR197" s="19">
        <f>('[1]Short Spot'!AR198-'[1]Short Spot'!AR197)*100</f>
        <v>14.374103226255031</v>
      </c>
      <c r="AS197" s="19">
        <f>('[1]Short Spot'!AS198-'[1]Short Spot'!AS197)*100</f>
        <v>14.267960371379562</v>
      </c>
      <c r="AT197" s="19">
        <f>('[1]Short Spot'!AT198-'[1]Short Spot'!AT197)*100</f>
        <v>14.158716039430441</v>
      </c>
      <c r="AU197" s="19">
        <f>('[1]Short Spot'!AU198-'[1]Short Spot'!AU197)*100</f>
        <v>14.046797373412101</v>
      </c>
      <c r="AV197" s="19">
        <f>('[1]Short Spot'!AV198-'[1]Short Spot'!AV197)*100</f>
        <v>13.932594376152885</v>
      </c>
      <c r="AW197" s="19">
        <f>('[1]Short Spot'!AW198-'[1]Short Spot'!AW197)*100</f>
        <v>13.816462744033942</v>
      </c>
      <c r="AX197" s="19">
        <f>('[1]Short Spot'!AX198-'[1]Short Spot'!AX197)*100</f>
        <v>13.698727334233762</v>
      </c>
      <c r="AY197" s="19">
        <f>('[1]Short Spot'!AY198-'[1]Short Spot'!AY197)*100</f>
        <v>13.579685248650186</v>
      </c>
      <c r="AZ197" s="19">
        <f>('[1]Short Spot'!AZ198-'[1]Short Spot'!AZ197)*100</f>
        <v>13.459608555004898</v>
      </c>
      <c r="BA197" s="19">
        <f>('[1]Short Spot'!BA198-'[1]Short Spot'!BA197)*100</f>
        <v>13.338746693976855</v>
      </c>
      <c r="BB197" s="19">
        <f>('[1]Short Spot'!BB198-'[1]Short Spot'!BB197)*100</f>
        <v>13.217328613827828</v>
      </c>
      <c r="BC197" s="19">
        <f>('[1]Short Spot'!BC198-'[1]Short Spot'!BC197)*100</f>
        <v>13.095564574370044</v>
      </c>
      <c r="BD197" s="19">
        <f>('[1]Short Spot'!BD198-'[1]Short Spot'!BD197)*100</f>
        <v>12.97364729371413</v>
      </c>
      <c r="BE197" s="19">
        <f>('[1]Short Spot'!BE198-'[1]Short Spot'!BE197)*100</f>
        <v>12.851753426281576</v>
      </c>
      <c r="BF197" s="19">
        <f>('[1]Short Spot'!BF198-'[1]Short Spot'!BF197)*100</f>
        <v>12.730045513974986</v>
      </c>
      <c r="BG197" s="19">
        <f>('[1]Short Spot'!BG198-'[1]Short Spot'!BG197)*100</f>
        <v>12.608674358565519</v>
      </c>
      <c r="BH197" s="19">
        <f>('[1]Short Spot'!BH198-'[1]Short Spot'!BH197)*100</f>
        <v>12.487778759792967</v>
      </c>
      <c r="BI197" s="19">
        <f>('[1]Short Spot'!BI198-'[1]Short Spot'!BI197)*100</f>
        <v>12.367485209759099</v>
      </c>
    </row>
    <row r="198" spans="1:61" x14ac:dyDescent="0.2">
      <c r="A198" s="18">
        <v>39366</v>
      </c>
      <c r="B198" s="19">
        <f>('[1]Short Spot'!B199-'[1]Short Spot'!B198)*100</f>
        <v>7.4983094685521223E-2</v>
      </c>
      <c r="C198" s="19">
        <f>('[1]Short Spot'!C199-'[1]Short Spot'!C198)*100</f>
        <v>-0.10644180003120951</v>
      </c>
      <c r="D198" s="19">
        <f>('[1]Short Spot'!D199-'[1]Short Spot'!D198)*100</f>
        <v>-0.48021436852012656</v>
      </c>
      <c r="E198" s="19">
        <f>('[1]Short Spot'!E199-'[1]Short Spot'!E198)*100</f>
        <v>-0.81845506277282709</v>
      </c>
      <c r="F198" s="19">
        <f>('[1]Short Spot'!F199-'[1]Short Spot'!F198)*100</f>
        <v>-1.063302302454705</v>
      </c>
      <c r="G198" s="19">
        <f>('[1]Short Spot'!G199-'[1]Short Spot'!G198)*100</f>
        <v>-1.2312996227570316</v>
      </c>
      <c r="H198" s="19">
        <f>('[1]Short Spot'!H199-'[1]Short Spot'!H198)*100</f>
        <v>-1.3452596794678584</v>
      </c>
      <c r="I198" s="19">
        <f>('[1]Short Spot'!I199-'[1]Short Spot'!I198)*100</f>
        <v>-1.4217291004988475</v>
      </c>
      <c r="J198" s="19">
        <f>('[1]Short Spot'!J199-'[1]Short Spot'!J198)*100</f>
        <v>-1.4711870590325304</v>
      </c>
      <c r="K198" s="19">
        <f>('[1]Short Spot'!K199-'[1]Short Spot'!K198)*100</f>
        <v>-1.5006841841420204</v>
      </c>
      <c r="L198" s="19">
        <f>('[1]Short Spot'!L199-'[1]Short Spot'!L198)*100</f>
        <v>-1.5145496647806844</v>
      </c>
      <c r="M198" s="19">
        <f>('[1]Short Spot'!M199-'[1]Short Spot'!M198)*100</f>
        <v>-1.5147306805968874</v>
      </c>
      <c r="N198" s="19">
        <f>('[1]Short Spot'!N199-'[1]Short Spot'!N198)*100</f>
        <v>-1.5018371304474698</v>
      </c>
      <c r="O198" s="19">
        <f>('[1]Short Spot'!O199-'[1]Short Spot'!O198)*100</f>
        <v>-1.4782000889169034</v>
      </c>
      <c r="P198" s="19">
        <f>('[1]Short Spot'!P199-'[1]Short Spot'!P198)*100</f>
        <v>-1.4465106968391872</v>
      </c>
      <c r="Q198" s="19">
        <f>('[1]Short Spot'!Q199-'[1]Short Spot'!Q198)*100</f>
        <v>-1.4086622134216853</v>
      </c>
      <c r="R198" s="19">
        <f>('[1]Short Spot'!R199-'[1]Short Spot'!R198)*100</f>
        <v>-1.3659829645412458</v>
      </c>
      <c r="S198" s="19">
        <f>('[1]Short Spot'!S199-'[1]Short Spot'!S198)*100</f>
        <v>-1.3193689323753865</v>
      </c>
      <c r="T198" s="19">
        <f>('[1]Short Spot'!T199-'[1]Short Spot'!T198)*100</f>
        <v>-1.2693837887614023</v>
      </c>
      <c r="U198" s="19">
        <f>('[1]Short Spot'!U199-'[1]Short Spot'!U198)*100</f>
        <v>-1.2164726725882424</v>
      </c>
      <c r="V198" s="19">
        <f>('[1]Short Spot'!V199-'[1]Short Spot'!V198)*100</f>
        <v>-1.161015614423988</v>
      </c>
      <c r="W198" s="19">
        <f>('[1]Short Spot'!W199-'[1]Short Spot'!W198)*100</f>
        <v>-1.1033423338617787</v>
      </c>
      <c r="X198" s="19">
        <f>('[1]Short Spot'!X199-'[1]Short Spot'!X198)*100</f>
        <v>-1.0437431766871619</v>
      </c>
      <c r="Y198" s="19">
        <f>('[1]Short Spot'!Y199-'[1]Short Spot'!Y198)*100</f>
        <v>-0.98247611659472156</v>
      </c>
      <c r="Z198" s="19">
        <f>('[1]Short Spot'!Z199-'[1]Short Spot'!Z198)*100</f>
        <v>-0.91973698032541407</v>
      </c>
      <c r="AA198" s="19">
        <f>('[1]Short Spot'!AA199-'[1]Short Spot'!AA198)*100</f>
        <v>-0.85565453412952408</v>
      </c>
      <c r="AB198" s="19">
        <f>('[1]Short Spot'!AB199-'[1]Short Spot'!AB198)*100</f>
        <v>-0.79033369793508612</v>
      </c>
      <c r="AC198" s="19">
        <f>('[1]Short Spot'!AC199-'[1]Short Spot'!AC198)*100</f>
        <v>-0.72386732227984751</v>
      </c>
      <c r="AD198" s="19">
        <f>('[1]Short Spot'!AD199-'[1]Short Spot'!AD198)*100</f>
        <v>-0.65634160972054545</v>
      </c>
      <c r="AE198" s="19">
        <f>('[1]Short Spot'!AE199-'[1]Short Spot'!AE198)*100</f>
        <v>-0.587837363942878</v>
      </c>
      <c r="AF198" s="19">
        <f>('[1]Short Spot'!AF199-'[1]Short Spot'!AF198)*100</f>
        <v>-0.51843086054805809</v>
      </c>
      <c r="AG198" s="19">
        <f>('[1]Short Spot'!AG199-'[1]Short Spot'!AG198)*100</f>
        <v>-0.44819454107418721</v>
      </c>
      <c r="AH198" s="19">
        <f>('[1]Short Spot'!AH199-'[1]Short Spot'!AH198)*100</f>
        <v>-0.37719541211993501</v>
      </c>
      <c r="AI198" s="19">
        <f>('[1]Short Spot'!AI199-'[1]Short Spot'!AI198)*100</f>
        <v>-0.30549428244750487</v>
      </c>
      <c r="AJ198" s="19">
        <f>('[1]Short Spot'!AJ199-'[1]Short Spot'!AJ198)*100</f>
        <v>-0.23315151591827288</v>
      </c>
      <c r="AK198" s="19">
        <f>('[1]Short Spot'!AK199-'[1]Short Spot'!AK198)*100</f>
        <v>-0.16022773225543574</v>
      </c>
      <c r="AL198" s="19">
        <f>('[1]Short Spot'!AL199-'[1]Short Spot'!AL198)*100</f>
        <v>-8.6783772468201903E-2</v>
      </c>
      <c r="AM198" s="19">
        <f>('[1]Short Spot'!AM199-'[1]Short Spot'!AM198)*100</f>
        <v>-1.2880479185550797E-2</v>
      </c>
      <c r="AN198" s="19">
        <f>('[1]Short Spot'!AN199-'[1]Short Spot'!AN198)*100</f>
        <v>6.1422812610789634E-2</v>
      </c>
      <c r="AO198" s="19">
        <f>('[1]Short Spot'!AO199-'[1]Short Spot'!AO198)*100</f>
        <v>0.13606824262257788</v>
      </c>
      <c r="AP198" s="19">
        <f>('[1]Short Spot'!AP199-'[1]Short Spot'!AP198)*100</f>
        <v>0.21099889250937309</v>
      </c>
      <c r="AQ198" s="19">
        <f>('[1]Short Spot'!AQ199-'[1]Short Spot'!AQ198)*100</f>
        <v>0.28615867189998312</v>
      </c>
      <c r="AR198" s="19">
        <f>('[1]Short Spot'!AR199-'[1]Short Spot'!AR198)*100</f>
        <v>0.36149222211765419</v>
      </c>
      <c r="AS198" s="19">
        <f>('[1]Short Spot'!AS199-'[1]Short Spot'!AS198)*100</f>
        <v>0.43694483303280407</v>
      </c>
      <c r="AT198" s="19">
        <f>('[1]Short Spot'!AT199-'[1]Short Spot'!AT198)*100</f>
        <v>0.51246237132422934</v>
      </c>
      <c r="AU198" s="19">
        <f>('[1]Short Spot'!AU199-'[1]Short Spot'!AU198)*100</f>
        <v>0.58799132427740375</v>
      </c>
      <c r="AV198" s="19">
        <f>('[1]Short Spot'!AV199-'[1]Short Spot'!AV198)*100</f>
        <v>0.66347923410976506</v>
      </c>
      <c r="AW198" s="19">
        <f>('[1]Short Spot'!AW199-'[1]Short Spot'!AW198)*100</f>
        <v>0.73887483690668887</v>
      </c>
      <c r="AX198" s="19">
        <f>('[1]Short Spot'!AX199-'[1]Short Spot'!AX198)*100</f>
        <v>0.81412794862094628</v>
      </c>
      <c r="AY198" s="19">
        <f>('[1]Short Spot'!AY199-'[1]Short Spot'!AY198)*100</f>
        <v>0.88918935708370839</v>
      </c>
      <c r="AZ198" s="19">
        <f>('[1]Short Spot'!AZ199-'[1]Short Spot'!AZ198)*100</f>
        <v>0.96401072672502863</v>
      </c>
      <c r="BA198" s="19">
        <f>('[1]Short Spot'!BA199-'[1]Short Spot'!BA198)*100</f>
        <v>1.0385445142829575</v>
      </c>
      <c r="BB198" s="19">
        <f>('[1]Short Spot'!BB199-'[1]Short Spot'!BB198)*100</f>
        <v>1.1127438940594203</v>
      </c>
      <c r="BC198" s="19">
        <f>('[1]Short Spot'!BC199-'[1]Short Spot'!BC198)*100</f>
        <v>1.186562643284983</v>
      </c>
      <c r="BD198" s="19">
        <f>('[1]Short Spot'!BD199-'[1]Short Spot'!BD198)*100</f>
        <v>1.2599551856149915</v>
      </c>
      <c r="BE198" s="19">
        <f>('[1]Short Spot'!BE199-'[1]Short Spot'!BE198)*100</f>
        <v>1.3328771477533863</v>
      </c>
      <c r="BF198" s="19">
        <f>('[1]Short Spot'!BF199-'[1]Short Spot'!BF198)*100</f>
        <v>1.4052855031303046</v>
      </c>
      <c r="BG198" s="19">
        <f>('[1]Short Spot'!BG199-'[1]Short Spot'!BG198)*100</f>
        <v>1.4771374655791369</v>
      </c>
      <c r="BH198" s="19">
        <f>('[1]Short Spot'!BH199-'[1]Short Spot'!BH198)*100</f>
        <v>1.5483894611839411</v>
      </c>
      <c r="BI198" s="19">
        <f>('[1]Short Spot'!BI199-'[1]Short Spot'!BI198)*100</f>
        <v>1.6189995967310189</v>
      </c>
    </row>
    <row r="199" spans="1:61" x14ac:dyDescent="0.2">
      <c r="A199" s="18">
        <v>39367</v>
      </c>
      <c r="B199" s="19">
        <f>('[1]Short Spot'!B200-'[1]Short Spot'!B199)*100</f>
        <v>-0.59355780415293324</v>
      </c>
      <c r="C199" s="19">
        <f>('[1]Short Spot'!C200-'[1]Short Spot'!C199)*100</f>
        <v>-0.17850360173108371</v>
      </c>
      <c r="D199" s="19">
        <f>('[1]Short Spot'!D200-'[1]Short Spot'!D199)*100</f>
        <v>0.26888982608221923</v>
      </c>
      <c r="E199" s="19">
        <f>('[1]Short Spot'!E200-'[1]Short Spot'!E199)*100</f>
        <v>0.59478928840448475</v>
      </c>
      <c r="F199" s="19">
        <f>('[1]Short Spot'!F200-'[1]Short Spot'!F199)*100</f>
        <v>0.78021566482453508</v>
      </c>
      <c r="G199" s="19">
        <f>('[1]Short Spot'!G200-'[1]Short Spot'!G199)*100</f>
        <v>0.88712114917006701</v>
      </c>
      <c r="H199" s="19">
        <f>('[1]Short Spot'!H200-'[1]Short Spot'!H199)*100</f>
        <v>0.98543007048128572</v>
      </c>
      <c r="I199" s="19">
        <f>('[1]Short Spot'!I200-'[1]Short Spot'!I199)*100</f>
        <v>1.1102030873630042</v>
      </c>
      <c r="J199" s="19">
        <f>('[1]Short Spot'!J200-'[1]Short Spot'!J199)*100</f>
        <v>1.2726845230831785</v>
      </c>
      <c r="K199" s="19">
        <f>('[1]Short Spot'!K200-'[1]Short Spot'!K199)*100</f>
        <v>1.4721387783197315</v>
      </c>
      <c r="L199" s="19">
        <f>('[1]Short Spot'!L200-'[1]Short Spot'!L199)*100</f>
        <v>1.7005396052276467</v>
      </c>
      <c r="M199" s="19">
        <f>('[1]Short Spot'!M200-'[1]Short Spot'!M199)*100</f>
        <v>1.9431575281513958</v>
      </c>
      <c r="N199" s="19">
        <f>('[1]Short Spot'!N200-'[1]Short Spot'!N199)*100</f>
        <v>2.1821780942242519</v>
      </c>
      <c r="O199" s="19">
        <f>('[1]Short Spot'!O200-'[1]Short Spot'!O199)*100</f>
        <v>2.4113231418002812</v>
      </c>
      <c r="P199" s="19">
        <f>('[1]Short Spot'!P200-'[1]Short Spot'!P199)*100</f>
        <v>2.6298462789382526</v>
      </c>
      <c r="Q199" s="19">
        <f>('[1]Short Spot'!Q200-'[1]Short Spot'!Q199)*100</f>
        <v>2.8370592402119144</v>
      </c>
      <c r="R199" s="19">
        <f>('[1]Short Spot'!R200-'[1]Short Spot'!R199)*100</f>
        <v>3.0323124519703981</v>
      </c>
      <c r="S199" s="19">
        <f>('[1]Short Spot'!S200-'[1]Short Spot'!S199)*100</f>
        <v>3.2151201293737941</v>
      </c>
      <c r="T199" s="19">
        <f>('[1]Short Spot'!T200-'[1]Short Spot'!T199)*100</f>
        <v>3.3854946395252661</v>
      </c>
      <c r="U199" s="19">
        <f>('[1]Short Spot'!U200-'[1]Short Spot'!U199)*100</f>
        <v>3.5437057705044239</v>
      </c>
      <c r="V199" s="19">
        <f>('[1]Short Spot'!V200-'[1]Short Spot'!V199)*100</f>
        <v>3.6901754423396049</v>
      </c>
      <c r="W199" s="19">
        <f>('[1]Short Spot'!W200-'[1]Short Spot'!W199)*100</f>
        <v>3.8254431315681181</v>
      </c>
      <c r="X199" s="19">
        <f>('[1]Short Spot'!X200-'[1]Short Spot'!X199)*100</f>
        <v>3.9501403154695858</v>
      </c>
      <c r="Y199" s="19">
        <f>('[1]Short Spot'!Y200-'[1]Short Spot'!Y199)*100</f>
        <v>4.0649760416377134</v>
      </c>
      <c r="Z199" s="19">
        <f>('[1]Short Spot'!Z200-'[1]Short Spot'!Z199)*100</f>
        <v>4.1707946765693116</v>
      </c>
      <c r="AA199" s="19">
        <f>('[1]Short Spot'!AA200-'[1]Short Spot'!AA199)*100</f>
        <v>4.2684634149950718</v>
      </c>
      <c r="AB199" s="19">
        <f>('[1]Short Spot'!AB200-'[1]Short Spot'!AB199)*100</f>
        <v>4.3587482122378951</v>
      </c>
      <c r="AC199" s="19">
        <f>('[1]Short Spot'!AC200-'[1]Short Spot'!AC199)*100</f>
        <v>4.4423261995046204</v>
      </c>
      <c r="AD199" s="19">
        <f>('[1]Short Spot'!AD200-'[1]Short Spot'!AD199)*100</f>
        <v>4.5198015245081713</v>
      </c>
      <c r="AE199" s="19">
        <f>('[1]Short Spot'!AE200-'[1]Short Spot'!AE199)*100</f>
        <v>4.591717624921543</v>
      </c>
      <c r="AF199" s="19">
        <f>('[1]Short Spot'!AF200-'[1]Short Spot'!AF199)*100</f>
        <v>4.6585670203195484</v>
      </c>
      <c r="AG199" s="19">
        <f>('[1]Short Spot'!AG200-'[1]Short Spot'!AG199)*100</f>
        <v>4.7207993528846082</v>
      </c>
      <c r="AH199" s="19">
        <f>('[1]Short Spot'!AH200-'[1]Short Spot'!AH199)*100</f>
        <v>4.7788336641169771</v>
      </c>
      <c r="AI199" s="19">
        <f>('[1]Short Spot'!AI200-'[1]Short Spot'!AI199)*100</f>
        <v>4.8330590373158344</v>
      </c>
      <c r="AJ199" s="19">
        <f>('[1]Short Spot'!AJ200-'[1]Short Spot'!AJ199)*100</f>
        <v>4.883821715000991</v>
      </c>
      <c r="AK199" s="19">
        <f>('[1]Short Spot'!AK200-'[1]Short Spot'!AK199)*100</f>
        <v>4.9314295017986787</v>
      </c>
      <c r="AL199" s="19">
        <f>('[1]Short Spot'!AL200-'[1]Short Spot'!AL199)*100</f>
        <v>4.9761569587505328</v>
      </c>
      <c r="AM199" s="19">
        <f>('[1]Short Spot'!AM200-'[1]Short Spot'!AM199)*100</f>
        <v>5.018250359412324</v>
      </c>
      <c r="AN199" s="19">
        <f>('[1]Short Spot'!AN200-'[1]Short Spot'!AN199)*100</f>
        <v>5.0579336451087364</v>
      </c>
      <c r="AO199" s="19">
        <f>('[1]Short Spot'!AO200-'[1]Short Spot'!AO199)*100</f>
        <v>5.09540829520434</v>
      </c>
      <c r="AP199" s="19">
        <f>('[1]Short Spot'!AP200-'[1]Short Spot'!AP199)*100</f>
        <v>5.1308547625827039</v>
      </c>
      <c r="AQ199" s="19">
        <f>('[1]Short Spot'!AQ200-'[1]Short Spot'!AQ199)*100</f>
        <v>5.1644349748939611</v>
      </c>
      <c r="AR199" s="19">
        <f>('[1]Short Spot'!AR200-'[1]Short Spot'!AR199)*100</f>
        <v>5.1962944886509987</v>
      </c>
      <c r="AS199" s="19">
        <f>('[1]Short Spot'!AS200-'[1]Short Spot'!AS199)*100</f>
        <v>5.2265643495859493</v>
      </c>
      <c r="AT199" s="19">
        <f>('[1]Short Spot'!AT200-'[1]Short Spot'!AT199)*100</f>
        <v>5.2553627039441331</v>
      </c>
      <c r="AU199" s="19">
        <f>('[1]Short Spot'!AU200-'[1]Short Spot'!AU199)*100</f>
        <v>5.2827961351251673</v>
      </c>
      <c r="AV199" s="19">
        <f>('[1]Short Spot'!AV200-'[1]Short Spot'!AV199)*100</f>
        <v>5.3089607346466394</v>
      </c>
      <c r="AW199" s="19">
        <f>('[1]Short Spot'!AW200-'[1]Short Spot'!AW199)*100</f>
        <v>5.3339431616199917</v>
      </c>
      <c r="AX199" s="19">
        <f>('[1]Short Spot'!AX200-'[1]Short Spot'!AX199)*100</f>
        <v>5.3578216058236094</v>
      </c>
      <c r="AY199" s="19">
        <f>('[1]Short Spot'!AY200-'[1]Short Spot'!AY199)*100</f>
        <v>5.3806666346374321</v>
      </c>
      <c r="AZ199" s="19">
        <f>('[1]Short Spot'!AZ200-'[1]Short Spot'!AZ199)*100</f>
        <v>5.4025419403359365</v>
      </c>
      <c r="BA199" s="19">
        <f>('[1]Short Spot'!BA200-'[1]Short Spot'!BA199)*100</f>
        <v>5.4235050011566699</v>
      </c>
      <c r="BB199" s="19">
        <f>('[1]Short Spot'!BB200-'[1]Short Spot'!BB199)*100</f>
        <v>5.4436076674946321</v>
      </c>
      <c r="BC199" s="19">
        <f>('[1]Short Spot'!BC200-'[1]Short Spot'!BC199)*100</f>
        <v>5.4628964975758088</v>
      </c>
      <c r="BD199" s="19">
        <f>('[1]Short Spot'!BD200-'[1]Short Spot'!BD199)*100</f>
        <v>5.4814133337888649</v>
      </c>
      <c r="BE199" s="19">
        <f>('[1]Short Spot'!BE200-'[1]Short Spot'!BE199)*100</f>
        <v>5.4991971330792921</v>
      </c>
      <c r="BF199" s="19">
        <f>('[1]Short Spot'!BF200-'[1]Short Spot'!BF199)*100</f>
        <v>5.5162854309297238</v>
      </c>
      <c r="BG199" s="19">
        <f>('[1]Short Spot'!BG200-'[1]Short Spot'!BG199)*100</f>
        <v>5.5327140840707223</v>
      </c>
      <c r="BH199" s="19">
        <f>('[1]Short Spot'!BH200-'[1]Short Spot'!BH199)*100</f>
        <v>5.548513762574725</v>
      </c>
      <c r="BI199" s="19">
        <f>('[1]Short Spot'!BI200-'[1]Short Spot'!BI199)*100</f>
        <v>5.563711566422036</v>
      </c>
    </row>
    <row r="200" spans="1:61" x14ac:dyDescent="0.2">
      <c r="A200" s="18">
        <v>39370</v>
      </c>
      <c r="B200" s="19">
        <f>('[1]Short Spot'!B201-'[1]Short Spot'!B200)*100</f>
        <v>0.73519619127848657</v>
      </c>
      <c r="C200" s="19">
        <f>('[1]Short Spot'!C201-'[1]Short Spot'!C200)*100</f>
        <v>1.0239731775855354</v>
      </c>
      <c r="D200" s="19">
        <f>('[1]Short Spot'!D201-'[1]Short Spot'!D200)*100</f>
        <v>1.2740947706960881</v>
      </c>
      <c r="E200" s="19">
        <f>('[1]Short Spot'!E201-'[1]Short Spot'!E200)*100</f>
        <v>1.5485301811659191</v>
      </c>
      <c r="F200" s="19">
        <f>('[1]Short Spot'!F201-'[1]Short Spot'!F200)*100</f>
        <v>1.84836173604781</v>
      </c>
      <c r="G200" s="19">
        <f>('[1]Short Spot'!G201-'[1]Short Spot'!G200)*100</f>
        <v>2.1399424329897165</v>
      </c>
      <c r="H200" s="19">
        <f>('[1]Short Spot'!H201-'[1]Short Spot'!H200)*100</f>
        <v>2.3911593122782016</v>
      </c>
      <c r="I200" s="19">
        <f>('[1]Short Spot'!I201-'[1]Short Spot'!I200)*100</f>
        <v>2.585955313568622</v>
      </c>
      <c r="J200" s="19">
        <f>('[1]Short Spot'!J201-'[1]Short Spot'!J200)*100</f>
        <v>2.7279028655907922</v>
      </c>
      <c r="K200" s="19">
        <f>('[1]Short Spot'!K201-'[1]Short Spot'!K200)*100</f>
        <v>2.8303116001779038</v>
      </c>
      <c r="L200" s="19">
        <f>('[1]Short Spot'!L201-'[1]Short Spot'!L200)*100</f>
        <v>2.9047430587382017</v>
      </c>
      <c r="M200" s="19">
        <f>('[1]Short Spot'!M201-'[1]Short Spot'!M200)*100</f>
        <v>2.9568945370359145</v>
      </c>
      <c r="N200" s="19">
        <f>('[1]Short Spot'!N201-'[1]Short Spot'!N200)*100</f>
        <v>2.989277685254077</v>
      </c>
      <c r="O200" s="19">
        <f>('[1]Short Spot'!O201-'[1]Short Spot'!O200)*100</f>
        <v>3.0065597244050224</v>
      </c>
      <c r="P200" s="19">
        <f>('[1]Short Spot'!P201-'[1]Short Spot'!P200)*100</f>
        <v>3.0131084952763842</v>
      </c>
      <c r="Q200" s="19">
        <f>('[1]Short Spot'!Q201-'[1]Short Spot'!Q200)*100</f>
        <v>3.0118540084851375</v>
      </c>
      <c r="R200" s="19">
        <f>('[1]Short Spot'!R201-'[1]Short Spot'!R200)*100</f>
        <v>3.0047113475929699</v>
      </c>
      <c r="S200" s="19">
        <f>('[1]Short Spot'!S201-'[1]Short Spot'!S200)*100</f>
        <v>2.9929311741589082</v>
      </c>
      <c r="T200" s="19">
        <f>('[1]Short Spot'!T201-'[1]Short Spot'!T200)*100</f>
        <v>2.9774767477503516</v>
      </c>
      <c r="U200" s="19">
        <f>('[1]Short Spot'!U201-'[1]Short Spot'!U200)*100</f>
        <v>2.9590982242171826</v>
      </c>
      <c r="V200" s="19">
        <f>('[1]Short Spot'!V201-'[1]Short Spot'!V200)*100</f>
        <v>2.9383733668163714</v>
      </c>
      <c r="W200" s="19">
        <f>('[1]Short Spot'!W201-'[1]Short Spot'!W200)*100</f>
        <v>2.9157467263444481</v>
      </c>
      <c r="X200" s="19">
        <f>('[1]Short Spot'!X201-'[1]Short Spot'!X200)*100</f>
        <v>2.8915586003708249</v>
      </c>
      <c r="Y200" s="19">
        <f>('[1]Short Spot'!Y201-'[1]Short Spot'!Y200)*100</f>
        <v>2.8660691464365229</v>
      </c>
      <c r="Z200" s="19">
        <f>('[1]Short Spot'!Z201-'[1]Short Spot'!Z200)*100</f>
        <v>2.8395099539402224</v>
      </c>
      <c r="AA200" s="19">
        <f>('[1]Short Spot'!AA201-'[1]Short Spot'!AA200)*100</f>
        <v>2.8120834400655603</v>
      </c>
      <c r="AB200" s="19">
        <f>('[1]Short Spot'!AB201-'[1]Short Spot'!AB200)*100</f>
        <v>2.7839423945495767</v>
      </c>
      <c r="AC200" s="19">
        <f>('[1]Short Spot'!AC201-'[1]Short Spot'!AC200)*100</f>
        <v>2.7552063497244816</v>
      </c>
      <c r="AD200" s="19">
        <f>('[1]Short Spot'!AD201-'[1]Short Spot'!AD200)*100</f>
        <v>2.7259716445744431</v>
      </c>
      <c r="AE200" s="19">
        <f>('[1]Short Spot'!AE201-'[1]Short Spot'!AE200)*100</f>
        <v>2.6963154399749278</v>
      </c>
      <c r="AF200" s="19">
        <f>('[1]Short Spot'!AF201-'[1]Short Spot'!AF200)*100</f>
        <v>2.6662988119366737</v>
      </c>
      <c r="AG200" s="19">
        <f>('[1]Short Spot'!AG201-'[1]Short Spot'!AG200)*100</f>
        <v>2.6359693224271119</v>
      </c>
      <c r="AH200" s="19">
        <f>('[1]Short Spot'!AH201-'[1]Short Spot'!AH200)*100</f>
        <v>2.6053667270836911</v>
      </c>
      <c r="AI200" s="19">
        <f>('[1]Short Spot'!AI201-'[1]Short Spot'!AI200)*100</f>
        <v>2.5745290387146902</v>
      </c>
      <c r="AJ200" s="19">
        <f>('[1]Short Spot'!AJ201-'[1]Short Spot'!AJ200)*100</f>
        <v>2.5434906125536116</v>
      </c>
      <c r="AK200" s="19">
        <f>('[1]Short Spot'!AK201-'[1]Short Spot'!AK200)*100</f>
        <v>2.5122823681686945</v>
      </c>
      <c r="AL200" s="19">
        <f>('[1]Short Spot'!AL201-'[1]Short Spot'!AL200)*100</f>
        <v>2.4809322537421963</v>
      </c>
      <c r="AM200" s="19">
        <f>('[1]Short Spot'!AM201-'[1]Short Spot'!AM200)*100</f>
        <v>2.4494659063836188</v>
      </c>
      <c r="AN200" s="19">
        <f>('[1]Short Spot'!AN201-'[1]Short Spot'!AN200)*100</f>
        <v>2.41790808840463</v>
      </c>
      <c r="AO200" s="19">
        <f>('[1]Short Spot'!AO201-'[1]Short Spot'!AO200)*100</f>
        <v>2.3862822185921395</v>
      </c>
      <c r="AP200" s="19">
        <f>('[1]Short Spot'!AP201-'[1]Short Spot'!AP200)*100</f>
        <v>2.3546102244362821</v>
      </c>
      <c r="AQ200" s="19">
        <f>('[1]Short Spot'!AQ201-'[1]Short Spot'!AQ200)*100</f>
        <v>2.3229127196038313</v>
      </c>
      <c r="AR200" s="19">
        <f>('[1]Short Spot'!AR201-'[1]Short Spot'!AR200)*100</f>
        <v>2.2912091567073745</v>
      </c>
      <c r="AS200" s="19">
        <f>('[1]Short Spot'!AS201-'[1]Short Spot'!AS200)*100</f>
        <v>2.2595179592443948</v>
      </c>
      <c r="AT200" s="19">
        <f>('[1]Short Spot'!AT201-'[1]Short Spot'!AT200)*100</f>
        <v>2.2278566363350016</v>
      </c>
      <c r="AU200" s="19">
        <f>('[1]Short Spot'!AU201-'[1]Short Spot'!AU200)*100</f>
        <v>2.1962419366403196</v>
      </c>
      <c r="AV200" s="19">
        <f>('[1]Short Spot'!AV201-'[1]Short Spot'!AV200)*100</f>
        <v>2.1646901260569784</v>
      </c>
      <c r="AW200" s="19">
        <f>('[1]Short Spot'!AW201-'[1]Short Spot'!AW200)*100</f>
        <v>2.1332171142557144</v>
      </c>
      <c r="AX200" s="19">
        <f>('[1]Short Spot'!AX201-'[1]Short Spot'!AX200)*100</f>
        <v>2.1018384924738065</v>
      </c>
      <c r="AY200" s="19">
        <f>('[1]Short Spot'!AY201-'[1]Short Spot'!AY200)*100</f>
        <v>2.0705695653584044</v>
      </c>
      <c r="AZ200" s="19">
        <f>('[1]Short Spot'!AZ201-'[1]Short Spot'!AZ200)*100</f>
        <v>2.0394253790636974</v>
      </c>
      <c r="BA200" s="19">
        <f>('[1]Short Spot'!BA201-'[1]Short Spot'!BA200)*100</f>
        <v>2.0084207461057879</v>
      </c>
      <c r="BB200" s="19">
        <f>('[1]Short Spot'!BB201-'[1]Short Spot'!BB200)*100</f>
        <v>1.9775702673213047</v>
      </c>
      <c r="BC200" s="19">
        <f>('[1]Short Spot'!BC201-'[1]Short Spot'!BC200)*100</f>
        <v>1.9468882889981387</v>
      </c>
      <c r="BD200" s="19">
        <f>('[1]Short Spot'!BD201-'[1]Short Spot'!BD200)*100</f>
        <v>1.916389022936027</v>
      </c>
      <c r="BE200" s="19">
        <f>('[1]Short Spot'!BE201-'[1]Short Spot'!BE200)*100</f>
        <v>1.8860870155128495</v>
      </c>
      <c r="BF200" s="19">
        <f>('[1]Short Spot'!BF201-'[1]Short Spot'!BF200)*100</f>
        <v>1.8559976560536207</v>
      </c>
      <c r="BG200" s="19">
        <f>('[1]Short Spot'!BG201-'[1]Short Spot'!BG200)*100</f>
        <v>1.8261373763408528</v>
      </c>
      <c r="BH200" s="19">
        <f>('[1]Short Spot'!BH201-'[1]Short Spot'!BH200)*100</f>
        <v>1.7965220776237523</v>
      </c>
      <c r="BI200" s="19">
        <f>('[1]Short Spot'!BI201-'[1]Short Spot'!BI200)*100</f>
        <v>1.7671666980765721</v>
      </c>
    </row>
    <row r="201" spans="1:61" x14ac:dyDescent="0.2">
      <c r="A201" s="18">
        <v>39371</v>
      </c>
      <c r="B201" s="19">
        <f>('[1]Short Spot'!B202-'[1]Short Spot'!B201)*100</f>
        <v>-0.50279090878229127</v>
      </c>
      <c r="C201" s="19">
        <f>('[1]Short Spot'!C202-'[1]Short Spot'!C201)*100</f>
        <v>-0.51954958875022328</v>
      </c>
      <c r="D201" s="19">
        <f>('[1]Short Spot'!D202-'[1]Short Spot'!D201)*100</f>
        <v>-1.1365262896752881</v>
      </c>
      <c r="E201" s="19">
        <f>('[1]Short Spot'!E202-'[1]Short Spot'!E201)*100</f>
        <v>-1.7421874141552607</v>
      </c>
      <c r="F201" s="19">
        <f>('[1]Short Spot'!F202-'[1]Short Spot'!F201)*100</f>
        <v>-2.2168693452678134</v>
      </c>
      <c r="G201" s="19">
        <f>('[1]Short Spot'!G202-'[1]Short Spot'!G201)*100</f>
        <v>-2.5882268542005704</v>
      </c>
      <c r="H201" s="19">
        <f>('[1]Short Spot'!H202-'[1]Short Spot'!H201)*100</f>
        <v>-2.899885705509142</v>
      </c>
      <c r="I201" s="19">
        <f>('[1]Short Spot'!I202-'[1]Short Spot'!I201)*100</f>
        <v>-3.1800569960231506</v>
      </c>
      <c r="J201" s="19">
        <f>('[1]Short Spot'!J202-'[1]Short Spot'!J201)*100</f>
        <v>-3.4379269091013853</v>
      </c>
      <c r="K201" s="19">
        <f>('[1]Short Spot'!K202-'[1]Short Spot'!K201)*100</f>
        <v>-3.6724795393737963</v>
      </c>
      <c r="L201" s="19">
        <f>('[1]Short Spot'!L202-'[1]Short Spot'!L201)*100</f>
        <v>-3.8808356532253008</v>
      </c>
      <c r="M201" s="19">
        <f>('[1]Short Spot'!M202-'[1]Short Spot'!M201)*100</f>
        <v>-4.0624850192576112</v>
      </c>
      <c r="N201" s="19">
        <f>('[1]Short Spot'!N202-'[1]Short Spot'!N201)*100</f>
        <v>-4.2186964860025711</v>
      </c>
      <c r="O201" s="19">
        <f>('[1]Short Spot'!O202-'[1]Short Spot'!O201)*100</f>
        <v>-4.350694389373988</v>
      </c>
      <c r="P201" s="19">
        <f>('[1]Short Spot'!P202-'[1]Short Spot'!P201)*100</f>
        <v>-4.4598744916882538</v>
      </c>
      <c r="Q201" s="19">
        <f>('[1]Short Spot'!Q202-'[1]Short Spot'!Q201)*100</f>
        <v>-4.5480814913945622</v>
      </c>
      <c r="R201" s="19">
        <f>('[1]Short Spot'!R202-'[1]Short Spot'!R201)*100</f>
        <v>-4.6174766523622957</v>
      </c>
      <c r="S201" s="19">
        <f>('[1]Short Spot'!S202-'[1]Short Spot'!S201)*100</f>
        <v>-4.6703459395887492</v>
      </c>
      <c r="T201" s="19">
        <f>('[1]Short Spot'!T202-'[1]Short Spot'!T201)*100</f>
        <v>-4.7087124457055651</v>
      </c>
      <c r="U201" s="19">
        <f>('[1]Short Spot'!U202-'[1]Short Spot'!U201)*100</f>
        <v>-4.7343192184648331</v>
      </c>
      <c r="V201" s="19">
        <f>('[1]Short Spot'!V202-'[1]Short Spot'!V201)*100</f>
        <v>-4.7487017819776156</v>
      </c>
      <c r="W201" s="19">
        <f>('[1]Short Spot'!W202-'[1]Short Spot'!W201)*100</f>
        <v>-4.7532353011779271</v>
      </c>
      <c r="X201" s="19">
        <f>('[1]Short Spot'!X202-'[1]Short Spot'!X201)*100</f>
        <v>-4.749169442513157</v>
      </c>
      <c r="Y201" s="19">
        <f>('[1]Short Spot'!Y202-'[1]Short Spot'!Y201)*100</f>
        <v>-4.7376510881118605</v>
      </c>
      <c r="Z201" s="19">
        <f>('[1]Short Spot'!Z202-'[1]Short Spot'!Z201)*100</f>
        <v>-4.7196850179298089</v>
      </c>
      <c r="AA201" s="19">
        <f>('[1]Short Spot'!AA202-'[1]Short Spot'!AA201)*100</f>
        <v>-4.6961190676988451</v>
      </c>
      <c r="AB201" s="19">
        <f>('[1]Short Spot'!AB202-'[1]Short Spot'!AB201)*100</f>
        <v>-4.6676860235151274</v>
      </c>
      <c r="AC201" s="19">
        <f>('[1]Short Spot'!AC202-'[1]Short Spot'!AC201)*100</f>
        <v>-4.6350186722462716</v>
      </c>
      <c r="AD201" s="19">
        <f>('[1]Short Spot'!AD202-'[1]Short Spot'!AD201)*100</f>
        <v>-4.5986642773521602</v>
      </c>
      <c r="AE201" s="19">
        <f>('[1]Short Spot'!AE202-'[1]Short Spot'!AE201)*100</f>
        <v>-4.5590987569394059</v>
      </c>
      <c r="AF201" s="19">
        <f>('[1]Short Spot'!AF202-'[1]Short Spot'!AF201)*100</f>
        <v>-4.5167381910761861</v>
      </c>
      <c r="AG201" s="19">
        <f>('[1]Short Spot'!AG202-'[1]Short Spot'!AG201)*100</f>
        <v>-4.4719480945876633</v>
      </c>
      <c r="AH201" s="19">
        <f>('[1]Short Spot'!AH202-'[1]Short Spot'!AH201)*100</f>
        <v>-4.4250472629667748</v>
      </c>
      <c r="AI201" s="19">
        <f>('[1]Short Spot'!AI202-'[1]Short Spot'!AI201)*100</f>
        <v>-4.3763105254979173</v>
      </c>
      <c r="AJ201" s="19">
        <f>('[1]Short Spot'!AJ202-'[1]Short Spot'!AJ201)*100</f>
        <v>-4.3259775437584302</v>
      </c>
      <c r="AK201" s="19">
        <f>('[1]Short Spot'!AK202-'[1]Short Spot'!AK201)*100</f>
        <v>-4.2742579558130878</v>
      </c>
      <c r="AL201" s="19">
        <f>('[1]Short Spot'!AL202-'[1]Short Spot'!AL201)*100</f>
        <v>-4.2213354334453612</v>
      </c>
      <c r="AM201" s="19">
        <f>('[1]Short Spot'!AM202-'[1]Short Spot'!AM201)*100</f>
        <v>-4.1673710085150972</v>
      </c>
      <c r="AN201" s="19">
        <f>('[1]Short Spot'!AN202-'[1]Short Spot'!AN201)*100</f>
        <v>-4.1125071773101318</v>
      </c>
      <c r="AO201" s="19">
        <f>('[1]Short Spot'!AO202-'[1]Short Spot'!AO201)*100</f>
        <v>-4.0568731781951861</v>
      </c>
      <c r="AP201" s="19">
        <f>('[1]Short Spot'!AP202-'[1]Short Spot'!AP201)*100</f>
        <v>-4.0005871092927414</v>
      </c>
      <c r="AQ201" s="19">
        <f>('[1]Short Spot'!AQ202-'[1]Short Spot'!AQ201)*100</f>
        <v>-3.9437572547104338</v>
      </c>
      <c r="AR201" s="19">
        <f>('[1]Short Spot'!AR202-'[1]Short Spot'!AR201)*100</f>
        <v>-3.8864832257051063</v>
      </c>
      <c r="AS201" s="19">
        <f>('[1]Short Spot'!AS202-'[1]Short Spot'!AS201)*100</f>
        <v>-3.8288569462347155</v>
      </c>
      <c r="AT201" s="19">
        <f>('[1]Short Spot'!AT202-'[1]Short Spot'!AT201)*100</f>
        <v>-3.7709635068677194</v>
      </c>
      <c r="AU201" s="19">
        <f>('[1]Short Spot'!AU202-'[1]Short Spot'!AU201)*100</f>
        <v>-3.7128818795441276</v>
      </c>
      <c r="AV201" s="19">
        <f>('[1]Short Spot'!AV202-'[1]Short Spot'!AV201)*100</f>
        <v>-3.6546854730614697</v>
      </c>
      <c r="AW201" s="19">
        <f>('[1]Short Spot'!AW202-'[1]Short Spot'!AW201)*100</f>
        <v>-3.5964426777021608</v>
      </c>
      <c r="AX201" s="19">
        <f>('[1]Short Spot'!AX202-'[1]Short Spot'!AX201)*100</f>
        <v>-3.5382173767527725</v>
      </c>
      <c r="AY201" s="19">
        <f>('[1]Short Spot'!AY202-'[1]Short Spot'!AY201)*100</f>
        <v>-3.4800693972026231</v>
      </c>
      <c r="AZ201" s="19">
        <f>('[1]Short Spot'!AZ202-'[1]Short Spot'!AZ201)*100</f>
        <v>-3.4220549074222895</v>
      </c>
      <c r="BA201" s="19">
        <f>('[1]Short Spot'!BA202-'[1]Short Spot'!BA201)*100</f>
        <v>-3.3642267689515393</v>
      </c>
      <c r="BB201" s="19">
        <f>('[1]Short Spot'!BB202-'[1]Short Spot'!BB201)*100</f>
        <v>-3.3066348486258335</v>
      </c>
      <c r="BC201" s="19">
        <f>('[1]Short Spot'!BC202-'[1]Short Spot'!BC201)*100</f>
        <v>-3.2493262975622272</v>
      </c>
      <c r="BD201" s="19">
        <f>('[1]Short Spot'!BD202-'[1]Short Spot'!BD201)*100</f>
        <v>-3.1923452501401606</v>
      </c>
      <c r="BE201" s="19">
        <f>('[1]Short Spot'!BE202-'[1]Short Spot'!BE201)*100</f>
        <v>-3.1357323555933014</v>
      </c>
      <c r="BF201" s="19">
        <f>('[1]Short Spot'!BF202-'[1]Short Spot'!BF201)*100</f>
        <v>-3.0795248656757757</v>
      </c>
      <c r="BG201" s="19">
        <f>('[1]Short Spot'!BG202-'[1]Short Spot'!BG201)*100</f>
        <v>-3.0237579211843446</v>
      </c>
      <c r="BH201" s="19">
        <f>('[1]Short Spot'!BH202-'[1]Short Spot'!BH201)*100</f>
        <v>-2.9684655681235128</v>
      </c>
      <c r="BI201" s="19">
        <f>('[1]Short Spot'!BI202-'[1]Short Spot'!BI201)*100</f>
        <v>-2.9136793485932344</v>
      </c>
    </row>
    <row r="202" spans="1:61" x14ac:dyDescent="0.2">
      <c r="A202" s="18">
        <v>39372</v>
      </c>
      <c r="B202" s="19">
        <f>('[1]Short Spot'!B203-'[1]Short Spot'!B202)*100</f>
        <v>-0.93534032734217121</v>
      </c>
      <c r="C202" s="19">
        <f>('[1]Short Spot'!C203-'[1]Short Spot'!C202)*100</f>
        <v>-1.5977617178300818</v>
      </c>
      <c r="D202" s="19">
        <f>('[1]Short Spot'!D203-'[1]Short Spot'!D202)*100</f>
        <v>-2.0696950187984342</v>
      </c>
      <c r="E202" s="19">
        <f>('[1]Short Spot'!E203-'[1]Short Spot'!E202)*100</f>
        <v>-2.4316548262894422</v>
      </c>
      <c r="F202" s="19">
        <f>('[1]Short Spot'!F203-'[1]Short Spot'!F202)*100</f>
        <v>-2.7172513420889999</v>
      </c>
      <c r="G202" s="19">
        <f>('[1]Short Spot'!G203-'[1]Short Spot'!G202)*100</f>
        <v>-2.9412948725924259</v>
      </c>
      <c r="H202" s="19">
        <f>('[1]Short Spot'!H203-'[1]Short Spot'!H202)*100</f>
        <v>-3.1177823390719617</v>
      </c>
      <c r="I202" s="19">
        <f>('[1]Short Spot'!I203-'[1]Short Spot'!I202)*100</f>
        <v>-3.2618031629776389</v>
      </c>
      <c r="J202" s="19">
        <f>('[1]Short Spot'!J203-'[1]Short Spot'!J202)*100</f>
        <v>-3.3828173795453331</v>
      </c>
      <c r="K202" s="19">
        <f>('[1]Short Spot'!K203-'[1]Short Spot'!K202)*100</f>
        <v>-3.4869342438101469</v>
      </c>
      <c r="L202" s="19">
        <f>('[1]Short Spot'!L203-'[1]Short Spot'!L202)*100</f>
        <v>-3.5787684665515407</v>
      </c>
      <c r="M202" s="19">
        <f>('[1]Short Spot'!M203-'[1]Short Spot'!M202)*100</f>
        <v>-3.662375927289574</v>
      </c>
      <c r="N202" s="19">
        <f>('[1]Short Spot'!N203-'[1]Short Spot'!N202)*100</f>
        <v>-3.7409622393167474</v>
      </c>
      <c r="O202" s="19">
        <f>('[1]Short Spot'!O203-'[1]Short Spot'!O202)*100</f>
        <v>-3.8148566646204252</v>
      </c>
      <c r="P202" s="19">
        <f>('[1]Short Spot'!P203-'[1]Short Spot'!P202)*100</f>
        <v>-3.8838966583839785</v>
      </c>
      <c r="Q202" s="19">
        <f>('[1]Short Spot'!Q203-'[1]Short Spot'!Q202)*100</f>
        <v>-3.9481842967143521</v>
      </c>
      <c r="R202" s="19">
        <f>('[1]Short Spot'!R203-'[1]Short Spot'!R202)*100</f>
        <v>-4.0080079477893271</v>
      </c>
      <c r="S202" s="19">
        <f>('[1]Short Spot'!S203-'[1]Short Spot'!S202)*100</f>
        <v>-4.0637136402990492</v>
      </c>
      <c r="T202" s="19">
        <f>('[1]Short Spot'!T203-'[1]Short Spot'!T202)*100</f>
        <v>-4.1155502665884747</v>
      </c>
      <c r="U202" s="19">
        <f>('[1]Short Spot'!U203-'[1]Short Spot'!U202)*100</f>
        <v>-4.163749287934948</v>
      </c>
      <c r="V202" s="19">
        <f>('[1]Short Spot'!V203-'[1]Short Spot'!V202)*100</f>
        <v>-4.2085401216890972</v>
      </c>
      <c r="W202" s="19">
        <f>('[1]Short Spot'!W203-'[1]Short Spot'!W202)*100</f>
        <v>-4.2501506058030714</v>
      </c>
      <c r="X202" s="19">
        <f>('[1]Short Spot'!X203-'[1]Short Spot'!X202)*100</f>
        <v>-4.2888073421788242</v>
      </c>
      <c r="Y202" s="19">
        <f>('[1]Short Spot'!Y203-'[1]Short Spot'!Y202)*100</f>
        <v>-4.3247323453468489</v>
      </c>
      <c r="Z202" s="19">
        <f>('[1]Short Spot'!Z203-'[1]Short Spot'!Z202)*100</f>
        <v>-4.3580998007478833</v>
      </c>
      <c r="AA202" s="19">
        <f>('[1]Short Spot'!AA203-'[1]Short Spot'!AA202)*100</f>
        <v>-4.3890466426057984</v>
      </c>
      <c r="AB202" s="19">
        <f>('[1]Short Spot'!AB203-'[1]Short Spot'!AB202)*100</f>
        <v>-4.417702703507409</v>
      </c>
      <c r="AC202" s="19">
        <f>('[1]Short Spot'!AC203-'[1]Short Spot'!AC202)*100</f>
        <v>-4.4441909090541465</v>
      </c>
      <c r="AD202" s="19">
        <f>('[1]Short Spot'!AD203-'[1]Short Spot'!AD202)*100</f>
        <v>-4.4686279136123552</v>
      </c>
      <c r="AE202" s="19">
        <f>('[1]Short Spot'!AE203-'[1]Short Spot'!AE202)*100</f>
        <v>-4.4911251374326611</v>
      </c>
      <c r="AF202" s="19">
        <f>('[1]Short Spot'!AF203-'[1]Short Spot'!AF202)*100</f>
        <v>-4.5117896108617828</v>
      </c>
      <c r="AG202" s="19">
        <f>('[1]Short Spot'!AG203-'[1]Short Spot'!AG202)*100</f>
        <v>-4.5307245586588607</v>
      </c>
      <c r="AH202" s="19">
        <f>('[1]Short Spot'!AH203-'[1]Short Spot'!AH202)*100</f>
        <v>-4.5480258305516941</v>
      </c>
      <c r="AI202" s="19">
        <f>('[1]Short Spot'!AI203-'[1]Short Spot'!AI202)*100</f>
        <v>-4.5637789808277596</v>
      </c>
      <c r="AJ202" s="19">
        <f>('[1]Short Spot'!AJ203-'[1]Short Spot'!AJ202)*100</f>
        <v>-4.5780632704267354</v>
      </c>
      <c r="AK202" s="19">
        <f>('[1]Short Spot'!AK203-'[1]Short Spot'!AK202)*100</f>
        <v>-4.5909527675115136</v>
      </c>
      <c r="AL202" s="19">
        <f>('[1]Short Spot'!AL203-'[1]Short Spot'!AL202)*100</f>
        <v>-4.6025170491938994</v>
      </c>
      <c r="AM202" s="19">
        <f>('[1]Short Spot'!AM203-'[1]Short Spot'!AM202)*100</f>
        <v>-4.6128214989616723</v>
      </c>
      <c r="AN202" s="19">
        <f>('[1]Short Spot'!AN203-'[1]Short Spot'!AN202)*100</f>
        <v>-4.6219269402342</v>
      </c>
      <c r="AO202" s="19">
        <f>('[1]Short Spot'!AO203-'[1]Short Spot'!AO202)*100</f>
        <v>-4.6298909233432717</v>
      </c>
      <c r="AP202" s="19">
        <f>('[1]Short Spot'!AP203-'[1]Short Spot'!AP202)*100</f>
        <v>-4.636768372853517</v>
      </c>
      <c r="AQ202" s="19">
        <f>('[1]Short Spot'!AQ203-'[1]Short Spot'!AQ202)*100</f>
        <v>-4.6426119001556465</v>
      </c>
      <c r="AR202" s="19">
        <f>('[1]Short Spot'!AR203-'[1]Short Spot'!AR202)*100</f>
        <v>-4.6474720724391183</v>
      </c>
      <c r="AS202" s="19">
        <f>('[1]Short Spot'!AS203-'[1]Short Spot'!AS202)*100</f>
        <v>-4.6513976449879202</v>
      </c>
      <c r="AT202" s="19">
        <f>('[1]Short Spot'!AT203-'[1]Short Spot'!AT202)*100</f>
        <v>-4.6544357600843078</v>
      </c>
      <c r="AU202" s="19">
        <f>('[1]Short Spot'!AU203-'[1]Short Spot'!AU202)*100</f>
        <v>-4.6566319805966039</v>
      </c>
      <c r="AV202" s="19">
        <f>('[1]Short Spot'!AV203-'[1]Short Spot'!AV202)*100</f>
        <v>-4.6580300778953365</v>
      </c>
      <c r="AW202" s="19">
        <f>('[1]Short Spot'!AW203-'[1]Short Spot'!AW202)*100</f>
        <v>-4.6586721071490089</v>
      </c>
      <c r="AX202" s="19">
        <f>('[1]Short Spot'!AX203-'[1]Short Spot'!AX202)*100</f>
        <v>-4.6585985813305086</v>
      </c>
      <c r="AY202" s="19">
        <f>('[1]Short Spot'!AY203-'[1]Short Spot'!AY202)*100</f>
        <v>-4.6578486254377438</v>
      </c>
      <c r="AZ202" s="19">
        <f>('[1]Short Spot'!AZ203-'[1]Short Spot'!AZ202)*100</f>
        <v>-4.656460112567995</v>
      </c>
      <c r="BA202" s="19">
        <f>('[1]Short Spot'!BA203-'[1]Short Spot'!BA202)*100</f>
        <v>-4.654469784294335</v>
      </c>
      <c r="BB202" s="19">
        <f>('[1]Short Spot'!BB203-'[1]Short Spot'!BB202)*100</f>
        <v>-4.6519133576776284</v>
      </c>
      <c r="BC202" s="19">
        <f>('[1]Short Spot'!BC203-'[1]Short Spot'!BC202)*100</f>
        <v>-4.6488256315240228</v>
      </c>
      <c r="BD202" s="19">
        <f>('[1]Short Spot'!BD203-'[1]Short Spot'!BD202)*100</f>
        <v>-4.6452401381364972</v>
      </c>
      <c r="BE202" s="19">
        <f>('[1]Short Spot'!BE203-'[1]Short Spot'!BE202)*100</f>
        <v>-4.6411886701035243</v>
      </c>
      <c r="BF202" s="19">
        <f>('[1]Short Spot'!BF203-'[1]Short Spot'!BF202)*100</f>
        <v>-4.6367012896140203</v>
      </c>
      <c r="BG202" s="19">
        <f>('[1]Short Spot'!BG203-'[1]Short Spot'!BG202)*100</f>
        <v>-4.6318076037974443</v>
      </c>
      <c r="BH202" s="19">
        <f>('[1]Short Spot'!BH203-'[1]Short Spot'!BH202)*100</f>
        <v>-4.6265374641595969</v>
      </c>
      <c r="BI202" s="19">
        <f>('[1]Short Spot'!BI203-'[1]Short Spot'!BI202)*100</f>
        <v>-4.6209193523682579</v>
      </c>
    </row>
    <row r="203" spans="1:61" x14ac:dyDescent="0.2">
      <c r="A203" s="18">
        <v>39373</v>
      </c>
      <c r="B203" s="19">
        <f>('[1]Short Spot'!B204-'[1]Short Spot'!B203)*100</f>
        <v>-1.3462366120117863</v>
      </c>
      <c r="C203" s="19">
        <f>('[1]Short Spot'!C204-'[1]Short Spot'!C203)*100</f>
        <v>-2.3470964205858813</v>
      </c>
      <c r="D203" s="19">
        <f>('[1]Short Spot'!D204-'[1]Short Spot'!D203)*100</f>
        <v>-3.0426737217266187</v>
      </c>
      <c r="E203" s="19">
        <f>('[1]Short Spot'!E204-'[1]Short Spot'!E203)*100</f>
        <v>-3.5229531740878173</v>
      </c>
      <c r="F203" s="19">
        <f>('[1]Short Spot'!F204-'[1]Short Spot'!F203)*100</f>
        <v>-3.8010050711896781</v>
      </c>
      <c r="G203" s="19">
        <f>('[1]Short Spot'!G204-'[1]Short Spot'!G203)*100</f>
        <v>-3.9660138192538774</v>
      </c>
      <c r="H203" s="19">
        <f>('[1]Short Spot'!H204-'[1]Short Spot'!H203)*100</f>
        <v>-4.0906119041974165</v>
      </c>
      <c r="I203" s="19">
        <f>('[1]Short Spot'!I204-'[1]Short Spot'!I203)*100</f>
        <v>-4.2147619313086082</v>
      </c>
      <c r="J203" s="19">
        <f>('[1]Short Spot'!J204-'[1]Short Spot'!J203)*100</f>
        <v>-4.3503768222236339</v>
      </c>
      <c r="K203" s="19">
        <f>('[1]Short Spot'!K204-'[1]Short Spot'!K203)*100</f>
        <v>-4.4945574740354211</v>
      </c>
      <c r="L203" s="19">
        <f>('[1]Short Spot'!L204-'[1]Short Spot'!L203)*100</f>
        <v>-4.6401579877191068</v>
      </c>
      <c r="M203" s="19">
        <f>('[1]Short Spot'!M204-'[1]Short Spot'!M203)*100</f>
        <v>-4.7811353521301392</v>
      </c>
      <c r="N203" s="19">
        <f>('[1]Short Spot'!N204-'[1]Short Spot'!N203)*100</f>
        <v>-4.9133724232146569</v>
      </c>
      <c r="O203" s="19">
        <f>('[1]Short Spot'!O204-'[1]Short Spot'!O203)*100</f>
        <v>-5.0365226652468564</v>
      </c>
      <c r="P203" s="19">
        <f>('[1]Short Spot'!P204-'[1]Short Spot'!P203)*100</f>
        <v>-5.1511294438865818</v>
      </c>
      <c r="Q203" s="19">
        <f>('[1]Short Spot'!Q204-'[1]Short Spot'!Q203)*100</f>
        <v>-5.2576919674709899</v>
      </c>
      <c r="R203" s="19">
        <f>('[1]Short Spot'!R204-'[1]Short Spot'!R203)*100</f>
        <v>-5.3566773177151639</v>
      </c>
      <c r="S203" s="19">
        <f>('[1]Short Spot'!S204-'[1]Short Spot'!S203)*100</f>
        <v>-5.4484658176809475</v>
      </c>
      <c r="T203" s="19">
        <f>('[1]Short Spot'!T204-'[1]Short Spot'!T203)*100</f>
        <v>-5.5333379864825893</v>
      </c>
      <c r="U203" s="19">
        <f>('[1]Short Spot'!U204-'[1]Short Spot'!U203)*100</f>
        <v>-5.6116095814582323</v>
      </c>
      <c r="V203" s="19">
        <f>('[1]Short Spot'!V204-'[1]Short Spot'!V203)*100</f>
        <v>-5.6836351090323589</v>
      </c>
      <c r="W203" s="19">
        <f>('[1]Short Spot'!W204-'[1]Short Spot'!W203)*100</f>
        <v>-5.7497990181047953</v>
      </c>
      <c r="X203" s="19">
        <f>('[1]Short Spot'!X204-'[1]Short Spot'!X203)*100</f>
        <v>-5.8105091908169371</v>
      </c>
      <c r="Y203" s="19">
        <f>('[1]Short Spot'!Y204-'[1]Short Spot'!Y203)*100</f>
        <v>-5.8661874207857956</v>
      </c>
      <c r="Z203" s="19">
        <f>('[1]Short Spot'!Z204-'[1]Short Spot'!Z203)*100</f>
        <v>-5.9172091871118937</v>
      </c>
      <c r="AA203" s="19">
        <f>('[1]Short Spot'!AA204-'[1]Short Spot'!AA203)*100</f>
        <v>-5.9638945996459469</v>
      </c>
      <c r="AB203" s="19">
        <f>('[1]Short Spot'!AB204-'[1]Short Spot'!AB203)*100</f>
        <v>-6.0065367669865033</v>
      </c>
      <c r="AC203" s="19">
        <f>('[1]Short Spot'!AC204-'[1]Short Spot'!AC203)*100</f>
        <v>-6.0454067025971447</v>
      </c>
      <c r="AD203" s="19">
        <f>('[1]Short Spot'!AD204-'[1]Short Spot'!AD203)*100</f>
        <v>-6.0807571532086158</v>
      </c>
      <c r="AE203" s="19">
        <f>('[1]Short Spot'!AE204-'[1]Short Spot'!AE203)*100</f>
        <v>-6.1128256490649235</v>
      </c>
      <c r="AF203" s="19">
        <f>('[1]Short Spot'!AF204-'[1]Short Spot'!AF203)*100</f>
        <v>-6.141836958195146</v>
      </c>
      <c r="AG203" s="19">
        <f>('[1]Short Spot'!AG204-'[1]Short Spot'!AG203)*100</f>
        <v>-6.1680049427311978</v>
      </c>
      <c r="AH203" s="19">
        <f>('[1]Short Spot'!AH204-'[1]Short Spot'!AH203)*100</f>
        <v>-6.1915291556244867</v>
      </c>
      <c r="AI203" s="19">
        <f>('[1]Short Spot'!AI204-'[1]Short Spot'!AI203)*100</f>
        <v>-6.2125912520047955</v>
      </c>
      <c r="AJ203" s="19">
        <f>('[1]Short Spot'!AJ204-'[1]Short Spot'!AJ203)*100</f>
        <v>-6.2313594424904473</v>
      </c>
      <c r="AK203" s="19">
        <f>('[1]Short Spot'!AK204-'[1]Short Spot'!AK203)*100</f>
        <v>-6.2479905460725682</v>
      </c>
      <c r="AL203" s="19">
        <f>('[1]Short Spot'!AL204-'[1]Short Spot'!AL203)*100</f>
        <v>-6.2626315295051249</v>
      </c>
      <c r="AM203" s="19">
        <f>('[1]Short Spot'!AM204-'[1]Short Spot'!AM203)*100</f>
        <v>-6.2754202708655171</v>
      </c>
      <c r="AN203" s="19">
        <f>('[1]Short Spot'!AN204-'[1]Short Spot'!AN203)*100</f>
        <v>-6.2864839334257461</v>
      </c>
      <c r="AO203" s="19">
        <f>('[1]Short Spot'!AO204-'[1]Short Spot'!AO203)*100</f>
        <v>-6.2959393958880838</v>
      </c>
      <c r="AP203" s="19">
        <f>('[1]Short Spot'!AP204-'[1]Short Spot'!AP203)*100</f>
        <v>-6.3038946072852653</v>
      </c>
      <c r="AQ203" s="19">
        <f>('[1]Short Spot'!AQ204-'[1]Short Spot'!AQ203)*100</f>
        <v>-6.3104496500356433</v>
      </c>
      <c r="AR203" s="19">
        <f>('[1]Short Spot'!AR204-'[1]Short Spot'!AR203)*100</f>
        <v>-6.3156976546666854</v>
      </c>
      <c r="AS203" s="19">
        <f>('[1]Short Spot'!AS204-'[1]Short Spot'!AS203)*100</f>
        <v>-6.319725589801628</v>
      </c>
      <c r="AT203" s="19">
        <f>('[1]Short Spot'!AT204-'[1]Short Spot'!AT203)*100</f>
        <v>-6.3226149378342811</v>
      </c>
      <c r="AU203" s="19">
        <f>('[1]Short Spot'!AU204-'[1]Short Spot'!AU203)*100</f>
        <v>-6.3244418796191582</v>
      </c>
      <c r="AV203" s="19">
        <f>('[1]Short Spot'!AV204-'[1]Short Spot'!AV203)*100</f>
        <v>-6.325276876662933</v>
      </c>
      <c r="AW203" s="19">
        <f>('[1]Short Spot'!AW204-'[1]Short Spot'!AW203)*100</f>
        <v>-6.3251850132164833</v>
      </c>
      <c r="AX203" s="19">
        <f>('[1]Short Spot'!AX204-'[1]Short Spot'!AX203)*100</f>
        <v>-6.3242265432215561</v>
      </c>
      <c r="AY203" s="19">
        <f>('[1]Short Spot'!AY204-'[1]Short Spot'!AY203)*100</f>
        <v>-6.3224573733427825</v>
      </c>
      <c r="AZ203" s="19">
        <f>('[1]Short Spot'!AZ204-'[1]Short Spot'!AZ203)*100</f>
        <v>-6.3199294891703062</v>
      </c>
      <c r="BA203" s="19">
        <f>('[1]Short Spot'!BA204-'[1]Short Spot'!BA203)*100</f>
        <v>-6.3166913322466378</v>
      </c>
      <c r="BB203" s="19">
        <f>('[1]Short Spot'!BB204-'[1]Short Spot'!BB203)*100</f>
        <v>-6.3127881348256309</v>
      </c>
      <c r="BC203" s="19">
        <f>('[1]Short Spot'!BC204-'[1]Short Spot'!BC203)*100</f>
        <v>-6.3082622397863553</v>
      </c>
      <c r="BD203" s="19">
        <f>('[1]Short Spot'!BD204-'[1]Short Spot'!BD203)*100</f>
        <v>-6.3031530359370258</v>
      </c>
      <c r="BE203" s="19">
        <f>('[1]Short Spot'!BE204-'[1]Short Spot'!BE203)*100</f>
        <v>-6.2974967545116556</v>
      </c>
      <c r="BF203" s="19">
        <f>('[1]Short Spot'!BF204-'[1]Short Spot'!BF203)*100</f>
        <v>-6.2913264738232222</v>
      </c>
      <c r="BG203" s="19">
        <f>('[1]Short Spot'!BG204-'[1]Short Spot'!BG203)*100</f>
        <v>-6.284673041642197</v>
      </c>
      <c r="BH203" s="19">
        <f>('[1]Short Spot'!BH204-'[1]Short Spot'!BH203)*100</f>
        <v>-6.2775661527221693</v>
      </c>
      <c r="BI203" s="19">
        <f>('[1]Short Spot'!BI204-'[1]Short Spot'!BI203)*100</f>
        <v>-6.2700336568862092</v>
      </c>
    </row>
    <row r="204" spans="1:61" x14ac:dyDescent="0.2">
      <c r="A204" s="18">
        <v>39374</v>
      </c>
      <c r="B204" s="19">
        <f>('[1]Short Spot'!B205-'[1]Short Spot'!B204)*100</f>
        <v>-1.0585650177823425</v>
      </c>
      <c r="C204" s="19">
        <f>('[1]Short Spot'!C205-'[1]Short Spot'!C204)*100</f>
        <v>-1.2471968178666692</v>
      </c>
      <c r="D204" s="19">
        <f>('[1]Short Spot'!D205-'[1]Short Spot'!D204)*100</f>
        <v>-1.7205392536880026</v>
      </c>
      <c r="E204" s="19">
        <f>('[1]Short Spot'!E205-'[1]Short Spot'!E204)*100</f>
        <v>-2.0300106792449313</v>
      </c>
      <c r="F204" s="19">
        <f>('[1]Short Spot'!F205-'[1]Short Spot'!F204)*100</f>
        <v>-2.1721562605463873</v>
      </c>
      <c r="G204" s="19">
        <f>('[1]Short Spot'!G205-'[1]Short Spot'!G204)*100</f>
        <v>-2.2846336814050794</v>
      </c>
      <c r="H204" s="19">
        <f>('[1]Short Spot'!H205-'[1]Short Spot'!H204)*100</f>
        <v>-2.4317857326485282</v>
      </c>
      <c r="I204" s="19">
        <f>('[1]Short Spot'!I205-'[1]Short Spot'!I204)*100</f>
        <v>-2.6327589675124052</v>
      </c>
      <c r="J204" s="19">
        <f>('[1]Short Spot'!J205-'[1]Short Spot'!J204)*100</f>
        <v>-2.8822691816416501</v>
      </c>
      <c r="K204" s="19">
        <f>('[1]Short Spot'!K205-'[1]Short Spot'!K204)*100</f>
        <v>-3.1612908234690096</v>
      </c>
      <c r="L204" s="19">
        <f>('[1]Short Spot'!L205-'[1]Short Spot'!L204)*100</f>
        <v>-3.4497108235514773</v>
      </c>
      <c r="M204" s="19">
        <f>('[1]Short Spot'!M205-'[1]Short Spot'!M204)*100</f>
        <v>-3.7375897523585166</v>
      </c>
      <c r="N204" s="19">
        <f>('[1]Short Spot'!N205-'[1]Short Spot'!N204)*100</f>
        <v>-4.020989086658755</v>
      </c>
      <c r="O204" s="19">
        <f>('[1]Short Spot'!O205-'[1]Short Spot'!O204)*100</f>
        <v>-4.29242457057466</v>
      </c>
      <c r="P204" s="19">
        <f>('[1]Short Spot'!P205-'[1]Short Spot'!P204)*100</f>
        <v>-4.5463973703966154</v>
      </c>
      <c r="Q204" s="19">
        <f>('[1]Short Spot'!Q205-'[1]Short Spot'!Q204)*100</f>
        <v>-4.7805810657214565</v>
      </c>
      <c r="R204" s="19">
        <f>('[1]Short Spot'!R205-'[1]Short Spot'!R204)*100</f>
        <v>-4.9948834142749199</v>
      </c>
      <c r="S204" s="19">
        <f>('[1]Short Spot'!S205-'[1]Short Spot'!S204)*100</f>
        <v>-5.1904142684993104</v>
      </c>
      <c r="T204" s="19">
        <f>('[1]Short Spot'!T205-'[1]Short Spot'!T204)*100</f>
        <v>-5.3683536781489849</v>
      </c>
      <c r="U204" s="19">
        <f>('[1]Short Spot'!U205-'[1]Short Spot'!U204)*100</f>
        <v>-5.5299415440002164</v>
      </c>
      <c r="V204" s="19">
        <f>('[1]Short Spot'!V205-'[1]Short Spot'!V204)*100</f>
        <v>-5.6764831408626648</v>
      </c>
      <c r="W204" s="19">
        <f>('[1]Short Spot'!W205-'[1]Short Spot'!W204)*100</f>
        <v>-5.8093342598461994</v>
      </c>
      <c r="X204" s="19">
        <f>('[1]Short Spot'!X205-'[1]Short Spot'!X204)*100</f>
        <v>-5.9298902265560116</v>
      </c>
      <c r="Y204" s="19">
        <f>('[1]Short Spot'!Y205-'[1]Short Spot'!Y204)*100</f>
        <v>-6.0395576419316477</v>
      </c>
      <c r="Z204" s="19">
        <f>('[1]Short Spot'!Z205-'[1]Short Spot'!Z204)*100</f>
        <v>-6.1395550789934639</v>
      </c>
      <c r="AA204" s="19">
        <f>('[1]Short Spot'!AA205-'[1]Short Spot'!AA204)*100</f>
        <v>-6.2309042253621882</v>
      </c>
      <c r="AB204" s="19">
        <f>('[1]Short Spot'!AB205-'[1]Short Spot'!AB204)*100</f>
        <v>-6.3145137882947289</v>
      </c>
      <c r="AC204" s="19">
        <f>('[1]Short Spot'!AC205-'[1]Short Spot'!AC204)*100</f>
        <v>-6.391190806560143</v>
      </c>
      <c r="AD204" s="19">
        <f>('[1]Short Spot'!AD205-'[1]Short Spot'!AD204)*100</f>
        <v>-6.4616556755201948</v>
      </c>
      <c r="AE204" s="19">
        <f>('[1]Short Spot'!AE205-'[1]Short Spot'!AE204)*100</f>
        <v>-6.5265565733837683</v>
      </c>
      <c r="AF204" s="19">
        <f>('[1]Short Spot'!AF205-'[1]Short Spot'!AF204)*100</f>
        <v>-6.5864811091351783</v>
      </c>
      <c r="AG204" s="19">
        <f>('[1]Short Spot'!AG205-'[1]Short Spot'!AG204)*100</f>
        <v>-6.6419651169729477</v>
      </c>
      <c r="AH204" s="19">
        <f>('[1]Short Spot'!AH205-'[1]Short Spot'!AH204)*100</f>
        <v>-6.6934836463840242</v>
      </c>
      <c r="AI204" s="19">
        <f>('[1]Short Spot'!AI205-'[1]Short Spot'!AI204)*100</f>
        <v>-6.7414466985757038</v>
      </c>
      <c r="AJ204" s="19">
        <f>('[1]Short Spot'!AJ205-'[1]Short Spot'!AJ204)*100</f>
        <v>-6.7862155147795811</v>
      </c>
      <c r="AK204" s="19">
        <f>('[1]Short Spot'!AK205-'[1]Short Spot'!AK204)*100</f>
        <v>-6.8281097765106935</v>
      </c>
      <c r="AL204" s="19">
        <f>('[1]Short Spot'!AL205-'[1]Short Spot'!AL204)*100</f>
        <v>-6.8674132204704641</v>
      </c>
      <c r="AM204" s="19">
        <f>('[1]Short Spot'!AM205-'[1]Short Spot'!AM204)*100</f>
        <v>-6.9043771121448216</v>
      </c>
      <c r="AN204" s="19">
        <f>('[1]Short Spot'!AN205-'[1]Short Spot'!AN204)*100</f>
        <v>-6.9392218566422414</v>
      </c>
      <c r="AO204" s="19">
        <f>('[1]Short Spot'!AO205-'[1]Short Spot'!AO204)*100</f>
        <v>-6.9721434665428461</v>
      </c>
      <c r="AP204" s="19">
        <f>('[1]Short Spot'!AP205-'[1]Short Spot'!AP204)*100</f>
        <v>-7.0033171383045101</v>
      </c>
      <c r="AQ204" s="19">
        <f>('[1]Short Spot'!AQ205-'[1]Short Spot'!AQ204)*100</f>
        <v>-7.0328997303715113</v>
      </c>
      <c r="AR204" s="19">
        <f>('[1]Short Spot'!AR205-'[1]Short Spot'!AR204)*100</f>
        <v>-7.0610318955017348</v>
      </c>
      <c r="AS204" s="19">
        <f>('[1]Short Spot'!AS205-'[1]Short Spot'!AS204)*100</f>
        <v>-7.0878399223224697</v>
      </c>
      <c r="AT204" s="19">
        <f>('[1]Short Spot'!AT205-'[1]Short Spot'!AT204)*100</f>
        <v>-7.1134373143159735</v>
      </c>
      <c r="AU204" s="19">
        <f>('[1]Short Spot'!AU205-'[1]Short Spot'!AU204)*100</f>
        <v>-7.1379258279164581</v>
      </c>
      <c r="AV204" s="19">
        <f>('[1]Short Spot'!AV205-'[1]Short Spot'!AV204)*100</f>
        <v>-7.1613962776841511</v>
      </c>
      <c r="AW204" s="19">
        <f>('[1]Short Spot'!AW205-'[1]Short Spot'!AW204)*100</f>
        <v>-7.1839296525393337</v>
      </c>
      <c r="AX204" s="19">
        <f>('[1]Short Spot'!AX205-'[1]Short Spot'!AX204)*100</f>
        <v>-7.2055981196415431</v>
      </c>
      <c r="AY204" s="19">
        <f>('[1]Short Spot'!AY205-'[1]Short Spot'!AY204)*100</f>
        <v>-7.22646590656435</v>
      </c>
      <c r="AZ204" s="19">
        <f>('[1]Short Spot'!AZ205-'[1]Short Spot'!AZ204)*100</f>
        <v>-7.2465900796873761</v>
      </c>
      <c r="BA204" s="19">
        <f>('[1]Short Spot'!BA205-'[1]Short Spot'!BA204)*100</f>
        <v>-7.2660212327726903</v>
      </c>
      <c r="BB204" s="19">
        <f>('[1]Short Spot'!BB205-'[1]Short Spot'!BB204)*100</f>
        <v>-7.2848041006458253</v>
      </c>
      <c r="BC204" s="19">
        <f>('[1]Short Spot'!BC205-'[1]Short Spot'!BC204)*100</f>
        <v>-7.3029783504383161</v>
      </c>
      <c r="BD204" s="19">
        <f>('[1]Short Spot'!BD205-'[1]Short Spot'!BD204)*100</f>
        <v>-7.3205790175829399</v>
      </c>
      <c r="BE204" s="19">
        <f>('[1]Short Spot'!BE205-'[1]Short Spot'!BE204)*100</f>
        <v>-7.3376362087637759</v>
      </c>
      <c r="BF204" s="19">
        <f>('[1]Short Spot'!BF205-'[1]Short Spot'!BF204)*100</f>
        <v>-7.3541741634286062</v>
      </c>
      <c r="BG204" s="19">
        <f>('[1]Short Spot'!BG205-'[1]Short Spot'!BG204)*100</f>
        <v>-7.3702123767397154</v>
      </c>
      <c r="BH204" s="19">
        <f>('[1]Short Spot'!BH205-'[1]Short Spot'!BH204)*100</f>
        <v>-7.3857694756958026</v>
      </c>
      <c r="BI204" s="19">
        <f>('[1]Short Spot'!BI205-'[1]Short Spot'!BI204)*100</f>
        <v>-7.4008628161191581</v>
      </c>
    </row>
    <row r="205" spans="1:61" x14ac:dyDescent="0.2">
      <c r="A205" s="18">
        <v>39377</v>
      </c>
      <c r="B205" s="19">
        <f>('[1]Short Spot'!B206-'[1]Short Spot'!B205)*100</f>
        <v>-0.27775790923616483</v>
      </c>
      <c r="C205" s="19">
        <f>('[1]Short Spot'!C206-'[1]Short Spot'!C205)*100</f>
        <v>-1.4143516775676268</v>
      </c>
      <c r="D205" s="19">
        <f>('[1]Short Spot'!D206-'[1]Short Spot'!D205)*100</f>
        <v>-2.2693669000997119</v>
      </c>
      <c r="E205" s="19">
        <f>('[1]Short Spot'!E206-'[1]Short Spot'!E205)*100</f>
        <v>-3.0129526665787054</v>
      </c>
      <c r="F205" s="19">
        <f>('[1]Short Spot'!F206-'[1]Short Spot'!F205)*100</f>
        <v>-3.6316701782940441</v>
      </c>
      <c r="G205" s="19">
        <f>('[1]Short Spot'!G206-'[1]Short Spot'!G205)*100</f>
        <v>-4.0956301742423484</v>
      </c>
      <c r="H205" s="19">
        <f>('[1]Short Spot'!H206-'[1]Short Spot'!H205)*100</f>
        <v>-4.4053319792883627</v>
      </c>
      <c r="I205" s="19">
        <f>('[1]Short Spot'!I206-'[1]Short Spot'!I205)*100</f>
        <v>-4.5786761050382374</v>
      </c>
      <c r="J205" s="19">
        <f>('[1]Short Spot'!J206-'[1]Short Spot'!J205)*100</f>
        <v>-4.6372522238162794</v>
      </c>
      <c r="K205" s="19">
        <f>('[1]Short Spot'!K206-'[1]Short Spot'!K205)*100</f>
        <v>-4.6059230009714014</v>
      </c>
      <c r="L205" s="19">
        <f>('[1]Short Spot'!L206-'[1]Short Spot'!L205)*100</f>
        <v>-4.5120936406885193</v>
      </c>
      <c r="M205" s="19">
        <f>('[1]Short Spot'!M206-'[1]Short Spot'!M205)*100</f>
        <v>-4.3805391143756367</v>
      </c>
      <c r="N205" s="19">
        <f>('[1]Short Spot'!N206-'[1]Short Spot'!N205)*100</f>
        <v>-4.2310825479462189</v>
      </c>
      <c r="O205" s="19">
        <f>('[1]Short Spot'!O206-'[1]Short Spot'!O205)*100</f>
        <v>-4.0742226902288792</v>
      </c>
      <c r="P205" s="19">
        <f>('[1]Short Spot'!P206-'[1]Short Spot'!P205)*100</f>
        <v>-3.9163465289832722</v>
      </c>
      <c r="Q205" s="19">
        <f>('[1]Short Spot'!Q206-'[1]Short Spot'!Q205)*100</f>
        <v>-3.7617911606309562</v>
      </c>
      <c r="R205" s="19">
        <f>('[1]Short Spot'!R206-'[1]Short Spot'!R205)*100</f>
        <v>-3.6134440055492156</v>
      </c>
      <c r="S205" s="19">
        <f>('[1]Short Spot'!S206-'[1]Short Spot'!S205)*100</f>
        <v>-3.4730592445561648</v>
      </c>
      <c r="T205" s="19">
        <f>('[1]Short Spot'!T206-'[1]Short Spot'!T205)*100</f>
        <v>-3.3415757955768122</v>
      </c>
      <c r="U205" s="19">
        <f>('[1]Short Spot'!U206-'[1]Short Spot'!U205)*100</f>
        <v>-3.2194514479193082</v>
      </c>
      <c r="V205" s="19">
        <f>('[1]Short Spot'!V206-'[1]Short Spot'!V205)*100</f>
        <v>-3.1067853759855879</v>
      </c>
      <c r="W205" s="19">
        <f>('[1]Short Spot'!W206-'[1]Short Spot'!W205)*100</f>
        <v>-3.0033996426598542</v>
      </c>
      <c r="X205" s="19">
        <f>('[1]Short Spot'!X206-'[1]Short Spot'!X205)*100</f>
        <v>-2.9088994409421254</v>
      </c>
      <c r="Y205" s="19">
        <f>('[1]Short Spot'!Y206-'[1]Short Spot'!Y205)*100</f>
        <v>-2.8227143480176409</v>
      </c>
      <c r="Z205" s="19">
        <f>('[1]Short Spot'!Z206-'[1]Short Spot'!Z205)*100</f>
        <v>-2.7441563489939647</v>
      </c>
      <c r="AA205" s="19">
        <f>('[1]Short Spot'!AA206-'[1]Short Spot'!AA205)*100</f>
        <v>-2.6725682391279371</v>
      </c>
      <c r="AB205" s="19">
        <f>('[1]Short Spot'!AB206-'[1]Short Spot'!AB205)*100</f>
        <v>-2.6073541635994069</v>
      </c>
      <c r="AC205" s="19">
        <f>('[1]Short Spot'!AC206-'[1]Short Spot'!AC205)*100</f>
        <v>-2.5479719567661263</v>
      </c>
      <c r="AD205" s="19">
        <f>('[1]Short Spot'!AD206-'[1]Short Spot'!AD205)*100</f>
        <v>-2.4939250905828381</v>
      </c>
      <c r="AE205" s="19">
        <f>('[1]Short Spot'!AE206-'[1]Short Spot'!AE205)*100</f>
        <v>-2.4447550877977342</v>
      </c>
      <c r="AF205" s="19">
        <f>('[1]Short Spot'!AF206-'[1]Short Spot'!AF205)*100</f>
        <v>-2.4000353847277722</v>
      </c>
      <c r="AG205" s="19">
        <f>('[1]Short Spot'!AG206-'[1]Short Spot'!AG205)*100</f>
        <v>-2.3593661531482013</v>
      </c>
      <c r="AH205" s="19">
        <f>('[1]Short Spot'!AH206-'[1]Short Spot'!AH205)*100</f>
        <v>-2.3223706382571763</v>
      </c>
      <c r="AI205" s="19">
        <f>('[1]Short Spot'!AI206-'[1]Short Spot'!AI205)*100</f>
        <v>-2.2887042785040279</v>
      </c>
      <c r="AJ205" s="19">
        <f>('[1]Short Spot'!AJ206-'[1]Short Spot'!AJ205)*100</f>
        <v>-2.2580567592854983</v>
      </c>
      <c r="AK205" s="19">
        <f>('[1]Short Spot'!AK206-'[1]Short Spot'!AK205)*100</f>
        <v>-2.2301473867310406</v>
      </c>
      <c r="AL205" s="19">
        <f>('[1]Short Spot'!AL206-'[1]Short Spot'!AL205)*100</f>
        <v>-2.2047210835399511</v>
      </c>
      <c r="AM205" s="19">
        <f>('[1]Short Spot'!AM206-'[1]Short Spot'!AM205)*100</f>
        <v>-2.1815447937080457</v>
      </c>
      <c r="AN205" s="19">
        <f>('[1]Short Spot'!AN206-'[1]Short Spot'!AN205)*100</f>
        <v>-2.1604056326695265</v>
      </c>
      <c r="AO205" s="19">
        <f>('[1]Short Spot'!AO206-'[1]Short Spot'!AO205)*100</f>
        <v>-2.1411103931546549</v>
      </c>
      <c r="AP205" s="19">
        <f>('[1]Short Spot'!AP206-'[1]Short Spot'!AP205)*100</f>
        <v>-2.1234833625217497</v>
      </c>
      <c r="AQ205" s="19">
        <f>('[1]Short Spot'!AQ206-'[1]Short Spot'!AQ205)*100</f>
        <v>-2.1073642400636139</v>
      </c>
      <c r="AR205" s="19">
        <f>('[1]Short Spot'!AR206-'[1]Short Spot'!AR205)*100</f>
        <v>-2.0926063449222099</v>
      </c>
      <c r="AS205" s="19">
        <f>('[1]Short Spot'!AS206-'[1]Short Spot'!AS205)*100</f>
        <v>-2.0790750683783443</v>
      </c>
      <c r="AT205" s="19">
        <f>('[1]Short Spot'!AT206-'[1]Short Spot'!AT205)*100</f>
        <v>-2.066646549447082</v>
      </c>
      <c r="AU205" s="19">
        <f>('[1]Short Spot'!AU206-'[1]Short Spot'!AU205)*100</f>
        <v>-2.0552070711545412</v>
      </c>
      <c r="AV205" s="19">
        <f>('[1]Short Spot'!AV206-'[1]Short Spot'!AV205)*100</f>
        <v>-2.0446531225811526</v>
      </c>
      <c r="AW205" s="19">
        <f>('[1]Short Spot'!AW206-'[1]Short Spot'!AW205)*100</f>
        <v>-2.0348905815145812</v>
      </c>
      <c r="AX205" s="19">
        <f>('[1]Short Spot'!AX206-'[1]Short Spot'!AX205)*100</f>
        <v>-2.0258337573231699</v>
      </c>
      <c r="AY205" s="19">
        <f>('[1]Short Spot'!AY206-'[1]Short Spot'!AY205)*100</f>
        <v>-2.0174045477980407</v>
      </c>
      <c r="AZ205" s="19">
        <f>('[1]Short Spot'!AZ206-'[1]Short Spot'!AZ205)*100</f>
        <v>-2.0095316951904252</v>
      </c>
      <c r="BA205" s="19">
        <f>('[1]Short Spot'!BA206-'[1]Short Spot'!BA205)*100</f>
        <v>-2.0021501280895748</v>
      </c>
      <c r="BB205" s="19">
        <f>('[1]Short Spot'!BB206-'[1]Short Spot'!BB205)*100</f>
        <v>-1.9952003794061923</v>
      </c>
      <c r="BC205" s="19">
        <f>('[1]Short Spot'!BC206-'[1]Short Spot'!BC205)*100</f>
        <v>-1.9886281061610056</v>
      </c>
      <c r="BD205" s="19">
        <f>('[1]Short Spot'!BD206-'[1]Short Spot'!BD205)*100</f>
        <v>-1.9823833797341983</v>
      </c>
      <c r="BE205" s="19">
        <f>('[1]Short Spot'!BE206-'[1]Short Spot'!BE205)*100</f>
        <v>-1.9764199835308638</v>
      </c>
      <c r="BF205" s="19">
        <f>('[1]Short Spot'!BF206-'[1]Short Spot'!BF205)*100</f>
        <v>-1.9706953239806424</v>
      </c>
      <c r="BG205" s="19">
        <f>('[1]Short Spot'!BG206-'[1]Short Spot'!BG205)*100</f>
        <v>-1.9651719293217518</v>
      </c>
      <c r="BH205" s="19">
        <f>('[1]Short Spot'!BH206-'[1]Short Spot'!BH205)*100</f>
        <v>-1.9598172450324469</v>
      </c>
      <c r="BI205" s="19">
        <f>('[1]Short Spot'!BI206-'[1]Short Spot'!BI205)*100</f>
        <v>-1.9546016101422481</v>
      </c>
    </row>
    <row r="206" spans="1:61" x14ac:dyDescent="0.2">
      <c r="A206" s="18">
        <v>39378</v>
      </c>
      <c r="B206" s="19">
        <f>('[1]Short Spot'!B207-'[1]Short Spot'!B206)*100</f>
        <v>-0.16551322230276</v>
      </c>
      <c r="C206" s="19">
        <f>('[1]Short Spot'!C207-'[1]Short Spot'!C206)*100</f>
        <v>0.38924745577118003</v>
      </c>
      <c r="D206" s="19">
        <f>('[1]Short Spot'!D207-'[1]Short Spot'!D206)*100</f>
        <v>0.80145853941360201</v>
      </c>
      <c r="E206" s="19">
        <f>('[1]Short Spot'!E207-'[1]Short Spot'!E206)*100</f>
        <v>1.0634231649565784</v>
      </c>
      <c r="F206" s="19">
        <f>('[1]Short Spot'!F207-'[1]Short Spot'!F206)*100</f>
        <v>1.193999471733953</v>
      </c>
      <c r="G206" s="19">
        <f>('[1]Short Spot'!G207-'[1]Short Spot'!G206)*100</f>
        <v>1.2529612434104997</v>
      </c>
      <c r="H206" s="19">
        <f>('[1]Short Spot'!H207-'[1]Short Spot'!H206)*100</f>
        <v>1.2945679571232382</v>
      </c>
      <c r="I206" s="19">
        <f>('[1]Short Spot'!I207-'[1]Short Spot'!I206)*100</f>
        <v>1.3488099755963212</v>
      </c>
      <c r="J206" s="19">
        <f>('[1]Short Spot'!J207-'[1]Short Spot'!J206)*100</f>
        <v>1.424818860461663</v>
      </c>
      <c r="K206" s="19">
        <f>('[1]Short Spot'!K207-'[1]Short Spot'!K206)*100</f>
        <v>1.5205983200386797</v>
      </c>
      <c r="L206" s="19">
        <f>('[1]Short Spot'!L207-'[1]Short Spot'!L206)*100</f>
        <v>1.6295367784543657</v>
      </c>
      <c r="M206" s="19">
        <f>('[1]Short Spot'!M207-'[1]Short Spot'!M206)*100</f>
        <v>1.7436910270209438</v>
      </c>
      <c r="N206" s="19">
        <f>('[1]Short Spot'!N207-'[1]Short Spot'!N206)*100</f>
        <v>1.855615435803859</v>
      </c>
      <c r="O206" s="19">
        <f>('[1]Short Spot'!O207-'[1]Short Spot'!O206)*100</f>
        <v>1.9614087865939211</v>
      </c>
      <c r="P206" s="19">
        <f>('[1]Short Spot'!P207-'[1]Short Spot'!P206)*100</f>
        <v>2.0589788932640296</v>
      </c>
      <c r="Q206" s="19">
        <f>('[1]Short Spot'!Q207-'[1]Short Spot'!Q206)*100</f>
        <v>2.1471977927922659</v>
      </c>
      <c r="R206" s="19">
        <f>('[1]Short Spot'!R207-'[1]Short Spot'!R206)*100</f>
        <v>2.2256213171052863</v>
      </c>
      <c r="S206" s="19">
        <f>('[1]Short Spot'!S207-'[1]Short Spot'!S206)*100</f>
        <v>2.2943669033767655</v>
      </c>
      <c r="T206" s="19">
        <f>('[1]Short Spot'!T207-'[1]Short Spot'!T206)*100</f>
        <v>2.3538693749998174</v>
      </c>
      <c r="U206" s="19">
        <f>('[1]Short Spot'!U207-'[1]Short Spot'!U206)*100</f>
        <v>2.4046532741036408</v>
      </c>
      <c r="V206" s="19">
        <f>('[1]Short Spot'!V207-'[1]Short Spot'!V206)*100</f>
        <v>2.4473044915788833</v>
      </c>
      <c r="W206" s="19">
        <f>('[1]Short Spot'!W207-'[1]Short Spot'!W206)*100</f>
        <v>2.4824563241793385</v>
      </c>
      <c r="X206" s="19">
        <f>('[1]Short Spot'!X207-'[1]Short Spot'!X206)*100</f>
        <v>2.510779168898214</v>
      </c>
      <c r="Y206" s="19">
        <f>('[1]Short Spot'!Y207-'[1]Short Spot'!Y206)*100</f>
        <v>2.5329778580060136</v>
      </c>
      <c r="Z206" s="19">
        <f>('[1]Short Spot'!Z207-'[1]Short Spot'!Z206)*100</f>
        <v>2.5497785190216504</v>
      </c>
      <c r="AA206" s="19">
        <f>('[1]Short Spot'!AA207-'[1]Short Spot'!AA206)*100</f>
        <v>2.5618317030836835</v>
      </c>
      <c r="AB206" s="19">
        <f>('[1]Short Spot'!AB207-'[1]Short Spot'!AB206)*100</f>
        <v>2.5697004910774979</v>
      </c>
      <c r="AC206" s="19">
        <f>('[1]Short Spot'!AC207-'[1]Short Spot'!AC206)*100</f>
        <v>2.5738775405506509</v>
      </c>
      <c r="AD206" s="19">
        <f>('[1]Short Spot'!AD207-'[1]Short Spot'!AD206)*100</f>
        <v>2.5747973824755022</v>
      </c>
      <c r="AE206" s="19">
        <f>('[1]Short Spot'!AE207-'[1]Short Spot'!AE206)*100</f>
        <v>2.5728461046748308</v>
      </c>
      <c r="AF206" s="19">
        <f>('[1]Short Spot'!AF207-'[1]Short Spot'!AF206)*100</f>
        <v>2.5683691652330864</v>
      </c>
      <c r="AG206" s="19">
        <f>('[1]Short Spot'!AG207-'[1]Short Spot'!AG206)*100</f>
        <v>2.5616779996465056</v>
      </c>
      <c r="AH206" s="19">
        <f>('[1]Short Spot'!AH207-'[1]Short Spot'!AH206)*100</f>
        <v>2.5530567933152781</v>
      </c>
      <c r="AI206" s="19">
        <f>('[1]Short Spot'!AI207-'[1]Short Spot'!AI206)*100</f>
        <v>2.5427594750468074</v>
      </c>
      <c r="AJ206" s="19">
        <f>('[1]Short Spot'!AJ207-'[1]Short Spot'!AJ206)*100</f>
        <v>2.5310094151633322</v>
      </c>
      <c r="AK206" s="19">
        <f>('[1]Short Spot'!AK207-'[1]Short Spot'!AK206)*100</f>
        <v>2.5180035826278591</v>
      </c>
      <c r="AL206" s="19">
        <f>('[1]Short Spot'!AL207-'[1]Short Spot'!AL206)*100</f>
        <v>2.5039161152203171</v>
      </c>
      <c r="AM206" s="19">
        <f>('[1]Short Spot'!AM207-'[1]Short Spot'!AM206)*100</f>
        <v>2.4889018037599797</v>
      </c>
      <c r="AN206" s="19">
        <f>('[1]Short Spot'!AN207-'[1]Short Spot'!AN206)*100</f>
        <v>2.4730991021247206</v>
      </c>
      <c r="AO206" s="19">
        <f>('[1]Short Spot'!AO207-'[1]Short Spot'!AO206)*100</f>
        <v>2.4566312348552444</v>
      </c>
      <c r="AP206" s="19">
        <f>('[1]Short Spot'!AP207-'[1]Short Spot'!AP206)*100</f>
        <v>2.4396079159640927</v>
      </c>
      <c r="AQ206" s="19">
        <f>('[1]Short Spot'!AQ207-'[1]Short Spot'!AQ206)*100</f>
        <v>2.4221269573316384</v>
      </c>
      <c r="AR206" s="19">
        <f>('[1]Short Spot'!AR207-'[1]Short Spot'!AR206)*100</f>
        <v>2.4042756526752029</v>
      </c>
      <c r="AS206" s="19">
        <f>('[1]Short Spot'!AS207-'[1]Short Spot'!AS206)*100</f>
        <v>2.3861319727942032</v>
      </c>
      <c r="AT206" s="19">
        <f>('[1]Short Spot'!AT207-'[1]Short Spot'!AT206)*100</f>
        <v>2.3677656004381653</v>
      </c>
      <c r="AU206" s="19">
        <f>('[1]Short Spot'!AU207-'[1]Short Spot'!AU206)*100</f>
        <v>2.3492387729830533</v>
      </c>
      <c r="AV206" s="19">
        <f>('[1]Short Spot'!AV207-'[1]Short Spot'!AV206)*100</f>
        <v>2.3306069392839746</v>
      </c>
      <c r="AW206" s="19">
        <f>('[1]Short Spot'!AW207-'[1]Short Spot'!AW206)*100</f>
        <v>2.3119194348634409</v>
      </c>
      <c r="AX206" s="19">
        <f>('[1]Short Spot'!AX207-'[1]Short Spot'!AX206)*100</f>
        <v>2.2932201055921198</v>
      </c>
      <c r="AY206" s="19">
        <f>('[1]Short Spot'!AY207-'[1]Short Spot'!AY206)*100</f>
        <v>2.2745478566547739</v>
      </c>
      <c r="AZ206" s="19">
        <f>('[1]Short Spot'!AZ207-'[1]Short Spot'!AZ206)*100</f>
        <v>2.2559371369306191</v>
      </c>
      <c r="BA206" s="19">
        <f>('[1]Short Spot'!BA207-'[1]Short Spot'!BA206)*100</f>
        <v>2.2374183674851444</v>
      </c>
      <c r="BB206" s="19">
        <f>('[1]Short Spot'!BB207-'[1]Short Spot'!BB206)*100</f>
        <v>2.2190183204749303</v>
      </c>
      <c r="BC206" s="19">
        <f>('[1]Short Spot'!BC207-'[1]Short Spot'!BC206)*100</f>
        <v>2.2007605612642145</v>
      </c>
      <c r="BD206" s="19">
        <f>('[1]Short Spot'!BD207-'[1]Short Spot'!BD206)*100</f>
        <v>2.182666530137034</v>
      </c>
      <c r="BE206" s="19">
        <f>('[1]Short Spot'!BE207-'[1]Short Spot'!BE206)*100</f>
        <v>2.1647562389453867</v>
      </c>
      <c r="BF206" s="19">
        <f>('[1]Short Spot'!BF207-'[1]Short Spot'!BF206)*100</f>
        <v>2.1470479968870748</v>
      </c>
      <c r="BG206" s="19">
        <f>('[1]Short Spot'!BG207-'[1]Short Spot'!BG206)*100</f>
        <v>2.1295565708469688</v>
      </c>
      <c r="BH206" s="19">
        <f>('[1]Short Spot'!BH207-'[1]Short Spot'!BH206)*100</f>
        <v>2.1122932681775453</v>
      </c>
      <c r="BI206" s="19">
        <f>('[1]Short Spot'!BI207-'[1]Short Spot'!BI206)*100</f>
        <v>2.0952676575822338</v>
      </c>
    </row>
    <row r="207" spans="1:61" x14ac:dyDescent="0.2">
      <c r="A207" s="18">
        <v>39379</v>
      </c>
      <c r="B207" s="19">
        <f>('[1]Short Spot'!B208-'[1]Short Spot'!B207)*100</f>
        <v>-0.98309228131512327</v>
      </c>
      <c r="C207" s="19">
        <f>('[1]Short Spot'!C208-'[1]Short Spot'!C207)*100</f>
        <v>-0.93169593904471881</v>
      </c>
      <c r="D207" s="19">
        <f>('[1]Short Spot'!D208-'[1]Short Spot'!D207)*100</f>
        <v>-0.75869401921533353</v>
      </c>
      <c r="E207" s="19">
        <f>('[1]Short Spot'!E208-'[1]Short Spot'!E207)*100</f>
        <v>-0.6426162495244192</v>
      </c>
      <c r="F207" s="19">
        <f>('[1]Short Spot'!F208-'[1]Short Spot'!F207)*100</f>
        <v>-0.64993344776347328</v>
      </c>
      <c r="G207" s="19">
        <f>('[1]Short Spot'!G208-'[1]Short Spot'!G207)*100</f>
        <v>-0.77897939796587323</v>
      </c>
      <c r="H207" s="19">
        <f>('[1]Short Spot'!H208-'[1]Short Spot'!H207)*100</f>
        <v>-0.99737398732360205</v>
      </c>
      <c r="I207" s="19">
        <f>('[1]Short Spot'!I208-'[1]Short Spot'!I207)*100</f>
        <v>-1.2724333981802616</v>
      </c>
      <c r="J207" s="19">
        <f>('[1]Short Spot'!J208-'[1]Short Spot'!J207)*100</f>
        <v>-1.5783222901531779</v>
      </c>
      <c r="K207" s="19">
        <f>('[1]Short Spot'!K208-'[1]Short Spot'!K207)*100</f>
        <v>-1.8936413998442703</v>
      </c>
      <c r="L207" s="19">
        <f>('[1]Short Spot'!L208-'[1]Short Spot'!L207)*100</f>
        <v>-2.2037806333529808</v>
      </c>
      <c r="M207" s="19">
        <f>('[1]Short Spot'!M208-'[1]Short Spot'!M207)*100</f>
        <v>-2.5021552731968377</v>
      </c>
      <c r="N207" s="19">
        <f>('[1]Short Spot'!N208-'[1]Short Spot'!N207)*100</f>
        <v>-2.7856778558670747</v>
      </c>
      <c r="O207" s="19">
        <f>('[1]Short Spot'!O208-'[1]Short Spot'!O207)*100</f>
        <v>-3.0505039814366697</v>
      </c>
      <c r="P207" s="19">
        <f>('[1]Short Spot'!P208-'[1]Short Spot'!P207)*100</f>
        <v>-3.2945721993828947</v>
      </c>
      <c r="Q207" s="19">
        <f>('[1]Short Spot'!Q208-'[1]Short Spot'!Q207)*100</f>
        <v>-3.5175289400894982</v>
      </c>
      <c r="R207" s="19">
        <f>('[1]Short Spot'!R208-'[1]Short Spot'!R207)*100</f>
        <v>-3.720219947154213</v>
      </c>
      <c r="S207" s="19">
        <f>('[1]Short Spot'!S208-'[1]Short Spot'!S207)*100</f>
        <v>-3.9040968783910834</v>
      </c>
      <c r="T207" s="19">
        <f>('[1]Short Spot'!T208-'[1]Short Spot'!T207)*100</f>
        <v>-4.0705862554164973</v>
      </c>
      <c r="U207" s="19">
        <f>('[1]Short Spot'!U208-'[1]Short Spot'!U207)*100</f>
        <v>-4.2210465943641751</v>
      </c>
      <c r="V207" s="19">
        <f>('[1]Short Spot'!V208-'[1]Short Spot'!V207)*100</f>
        <v>-4.3567876803701111</v>
      </c>
      <c r="W207" s="19">
        <f>('[1]Short Spot'!W208-'[1]Short Spot'!W207)*100</f>
        <v>-4.4790816427994429</v>
      </c>
      <c r="X207" s="19">
        <f>('[1]Short Spot'!X208-'[1]Short Spot'!X207)*100</f>
        <v>-4.5891711412838987</v>
      </c>
      <c r="Y207" s="19">
        <f>('[1]Short Spot'!Y208-'[1]Short Spot'!Y207)*100</f>
        <v>-4.6882634339015183</v>
      </c>
      <c r="Z207" s="19">
        <f>('[1]Short Spot'!Z208-'[1]Short Spot'!Z207)*100</f>
        <v>-4.7774455916417935</v>
      </c>
      <c r="AA207" s="19">
        <f>('[1]Short Spot'!AA208-'[1]Short Spot'!AA207)*100</f>
        <v>-4.8576732840612813</v>
      </c>
      <c r="AB207" s="19">
        <f>('[1]Short Spot'!AB208-'[1]Short Spot'!AB207)*100</f>
        <v>-4.9297981688720682</v>
      </c>
      <c r="AC207" s="19">
        <f>('[1]Short Spot'!AC208-'[1]Short Spot'!AC207)*100</f>
        <v>-4.9945752333997895</v>
      </c>
      <c r="AD207" s="19">
        <f>('[1]Short Spot'!AD208-'[1]Short Spot'!AD207)*100</f>
        <v>-5.0526770190057135</v>
      </c>
      <c r="AE207" s="19">
        <f>('[1]Short Spot'!AE208-'[1]Short Spot'!AE207)*100</f>
        <v>-5.1047073533988296</v>
      </c>
      <c r="AF207" s="19">
        <f>('[1]Short Spot'!AF208-'[1]Short Spot'!AF207)*100</f>
        <v>-5.1512124334833764</v>
      </c>
      <c r="AG207" s="19">
        <f>('[1]Short Spot'!AG208-'[1]Short Spot'!AG207)*100</f>
        <v>-5.1926893507996397</v>
      </c>
      <c r="AH207" s="19">
        <f>('[1]Short Spot'!AH208-'[1]Short Spot'!AH207)*100</f>
        <v>-5.229585412447868</v>
      </c>
      <c r="AI207" s="19">
        <f>('[1]Short Spot'!AI208-'[1]Short Spot'!AI207)*100</f>
        <v>-5.2622987455799297</v>
      </c>
      <c r="AJ207" s="19">
        <f>('[1]Short Spot'!AJ208-'[1]Short Spot'!AJ207)*100</f>
        <v>-5.2911864601715486</v>
      </c>
      <c r="AK207" s="19">
        <f>('[1]Short Spot'!AK208-'[1]Short Spot'!AK207)*100</f>
        <v>-5.316570396729059</v>
      </c>
      <c r="AL207" s="19">
        <f>('[1]Short Spot'!AL208-'[1]Short Spot'!AL207)*100</f>
        <v>-5.3387418883616533</v>
      </c>
      <c r="AM207" s="19">
        <f>('[1]Short Spot'!AM208-'[1]Short Spot'!AM207)*100</f>
        <v>-5.3579650901016684</v>
      </c>
      <c r="AN207" s="19">
        <f>('[1]Short Spot'!AN208-'[1]Short Spot'!AN207)*100</f>
        <v>-5.3744790625181338</v>
      </c>
      <c r="AO207" s="19">
        <f>('[1]Short Spot'!AO208-'[1]Short Spot'!AO207)*100</f>
        <v>-5.388501311715288</v>
      </c>
      <c r="AP207" s="19">
        <f>('[1]Short Spot'!AP208-'[1]Short Spot'!AP207)*100</f>
        <v>-5.4002305190163469</v>
      </c>
      <c r="AQ207" s="19">
        <f>('[1]Short Spot'!AQ208-'[1]Short Spot'!AQ207)*100</f>
        <v>-5.4098487820072982</v>
      </c>
      <c r="AR207" s="19">
        <f>('[1]Short Spot'!AR208-'[1]Short Spot'!AR207)*100</f>
        <v>-5.4175235428797208</v>
      </c>
      <c r="AS207" s="19">
        <f>('[1]Short Spot'!AS208-'[1]Short Spot'!AS207)*100</f>
        <v>-5.4234092538156808</v>
      </c>
      <c r="AT207" s="19">
        <f>('[1]Short Spot'!AT208-'[1]Short Spot'!AT207)*100</f>
        <v>-5.4276487983368149</v>
      </c>
      <c r="AU207" s="19">
        <f>('[1]Short Spot'!AU208-'[1]Short Spot'!AU207)*100</f>
        <v>-5.4303743033714547</v>
      </c>
      <c r="AV207" s="19">
        <f>('[1]Short Spot'!AV208-'[1]Short Spot'!AV207)*100</f>
        <v>-5.4317076103511219</v>
      </c>
      <c r="AW207" s="19">
        <f>('[1]Short Spot'!AW208-'[1]Short Spot'!AW207)*100</f>
        <v>-5.4317612432758011</v>
      </c>
      <c r="AX207" s="19">
        <f>('[1]Short Spot'!AX208-'[1]Short Spot'!AX207)*100</f>
        <v>-5.4306393594094615</v>
      </c>
      <c r="AY207" s="19">
        <f>('[1]Short Spot'!AY208-'[1]Short Spot'!AY207)*100</f>
        <v>-5.4284385859548756</v>
      </c>
      <c r="AZ207" s="19">
        <f>('[1]Short Spot'!AZ208-'[1]Short Spot'!AZ207)*100</f>
        <v>-5.425248758293133</v>
      </c>
      <c r="BA207" s="19">
        <f>('[1]Short Spot'!BA208-'[1]Short Spot'!BA207)*100</f>
        <v>-5.4211535730449789</v>
      </c>
      <c r="BB207" s="19">
        <f>('[1]Short Spot'!BB208-'[1]Short Spot'!BB207)*100</f>
        <v>-5.4162311676276609</v>
      </c>
      <c r="BC207" s="19">
        <f>('[1]Short Spot'!BC208-'[1]Short Spot'!BC207)*100</f>
        <v>-5.4105544562702335</v>
      </c>
      <c r="BD207" s="19">
        <f>('[1]Short Spot'!BD208-'[1]Short Spot'!BD207)*100</f>
        <v>-5.4041906422408026</v>
      </c>
      <c r="BE207" s="19">
        <f>('[1]Short Spot'!BE208-'[1]Short Spot'!BE207)*100</f>
        <v>-5.3972012147517567</v>
      </c>
      <c r="BF207" s="19">
        <f>('[1]Short Spot'!BF208-'[1]Short Spot'!BF207)*100</f>
        <v>-5.3896429168331039</v>
      </c>
      <c r="BG207" s="19">
        <f>('[1]Short Spot'!BG208-'[1]Short Spot'!BG207)*100</f>
        <v>-5.3815700443588632</v>
      </c>
      <c r="BH207" s="19">
        <f>('[1]Short Spot'!BH208-'[1]Short Spot'!BH207)*100</f>
        <v>-5.3730346001080065</v>
      </c>
      <c r="BI207" s="19">
        <f>('[1]Short Spot'!BI208-'[1]Short Spot'!BI207)*100</f>
        <v>-5.3640850261559514</v>
      </c>
    </row>
    <row r="208" spans="1:61" x14ac:dyDescent="0.2">
      <c r="A208" s="18">
        <v>39380</v>
      </c>
      <c r="B208" s="19">
        <f>('[1]Short Spot'!B209-'[1]Short Spot'!B208)*100</f>
        <v>-0.71921273838215782</v>
      </c>
      <c r="C208" s="19">
        <f>('[1]Short Spot'!C209-'[1]Short Spot'!C208)*100</f>
        <v>-0.38334423708183962</v>
      </c>
      <c r="D208" s="19">
        <f>('[1]Short Spot'!D209-'[1]Short Spot'!D208)*100</f>
        <v>-0.2154423407728423</v>
      </c>
      <c r="E208" s="19">
        <f>('[1]Short Spot'!E209-'[1]Short Spot'!E208)*100</f>
        <v>-0.12514549120439256</v>
      </c>
      <c r="F208" s="19">
        <f>('[1]Short Spot'!F209-'[1]Short Spot'!F208)*100</f>
        <v>-8.8978454454657907E-2</v>
      </c>
      <c r="G208" s="19">
        <f>('[1]Short Spot'!G209-'[1]Short Spot'!G208)*100</f>
        <v>-8.8114503766956176E-2</v>
      </c>
      <c r="H208" s="19">
        <f>('[1]Short Spot'!H209-'[1]Short Spot'!H208)*100</f>
        <v>-9.8267898702175671E-2</v>
      </c>
      <c r="I208" s="19">
        <f>('[1]Short Spot'!I209-'[1]Short Spot'!I208)*100</f>
        <v>-0.10334705752903517</v>
      </c>
      <c r="J208" s="19">
        <f>('[1]Short Spot'!J209-'[1]Short Spot'!J208)*100</f>
        <v>-9.6858930169307911E-2</v>
      </c>
      <c r="K208" s="19">
        <f>('[1]Short Spot'!K209-'[1]Short Spot'!K208)*100</f>
        <v>-7.7626920361062446E-2</v>
      </c>
      <c r="L208" s="19">
        <f>('[1]Short Spot'!L209-'[1]Short Spot'!L208)*100</f>
        <v>-4.7554722678189165E-2</v>
      </c>
      <c r="M208" s="19">
        <f>('[1]Short Spot'!M209-'[1]Short Spot'!M208)*100</f>
        <v>-1.0511233474375103E-2</v>
      </c>
      <c r="N208" s="19">
        <f>('[1]Short Spot'!N209-'[1]Short Spot'!N208)*100</f>
        <v>2.8707068995892371E-2</v>
      </c>
      <c r="O208" s="19">
        <f>('[1]Short Spot'!O209-'[1]Short Spot'!O208)*100</f>
        <v>6.6604479917486969E-2</v>
      </c>
      <c r="P208" s="19">
        <f>('[1]Short Spot'!P209-'[1]Short Spot'!P208)*100</f>
        <v>0.10123033892854849</v>
      </c>
      <c r="Q208" s="19">
        <f>('[1]Short Spot'!Q209-'[1]Short Spot'!Q208)*100</f>
        <v>0.13158554379391063</v>
      </c>
      <c r="R208" s="19">
        <f>('[1]Short Spot'!R209-'[1]Short Spot'!R208)*100</f>
        <v>0.15734744137398948</v>
      </c>
      <c r="S208" s="19">
        <f>('[1]Short Spot'!S209-'[1]Short Spot'!S208)*100</f>
        <v>0.17873608109697514</v>
      </c>
      <c r="T208" s="19">
        <f>('[1]Short Spot'!T209-'[1]Short Spot'!T208)*100</f>
        <v>0.19618575467621469</v>
      </c>
      <c r="U208" s="19">
        <f>('[1]Short Spot'!U209-'[1]Short Spot'!U208)*100</f>
        <v>0.21012606977235393</v>
      </c>
      <c r="V208" s="19">
        <f>('[1]Short Spot'!V209-'[1]Short Spot'!V208)*100</f>
        <v>0.2209776901505478</v>
      </c>
      <c r="W208" s="19">
        <f>('[1]Short Spot'!W209-'[1]Short Spot'!W208)*100</f>
        <v>0.22915436838273351</v>
      </c>
      <c r="X208" s="19">
        <f>('[1]Short Spot'!X209-'[1]Short Spot'!X208)*100</f>
        <v>0.23506444828189643</v>
      </c>
      <c r="Y208" s="19">
        <f>('[1]Short Spot'!Y209-'[1]Short Spot'!Y208)*100</f>
        <v>0.23911999199679457</v>
      </c>
      <c r="Z208" s="19">
        <f>('[1]Short Spot'!Z209-'[1]Short Spot'!Z208)*100</f>
        <v>0.24174988376426398</v>
      </c>
      <c r="AA208" s="19">
        <f>('[1]Short Spot'!AA209-'[1]Short Spot'!AA208)*100</f>
        <v>0.2433319618055485</v>
      </c>
      <c r="AB208" s="19">
        <f>('[1]Short Spot'!AB209-'[1]Short Spot'!AB208)*100</f>
        <v>0.24418386211966236</v>
      </c>
      <c r="AC208" s="19">
        <f>('[1]Short Spot'!AC209-'[1]Short Spot'!AC208)*100</f>
        <v>0.2445731727436673</v>
      </c>
      <c r="AD208" s="19">
        <f>('[1]Short Spot'!AD209-'[1]Short Spot'!AD208)*100</f>
        <v>0.24472550170502316</v>
      </c>
      <c r="AE208" s="19">
        <f>('[1]Short Spot'!AE209-'[1]Short Spot'!AE208)*100</f>
        <v>0.24483146377622944</v>
      </c>
      <c r="AF208" s="19">
        <f>('[1]Short Spot'!AF209-'[1]Short Spot'!AF208)*100</f>
        <v>0.24505232454838932</v>
      </c>
      <c r="AG208" s="19">
        <f>('[1]Short Spot'!AG209-'[1]Short Spot'!AG208)*100</f>
        <v>0.24552499332131106</v>
      </c>
      <c r="AH208" s="19">
        <f>('[1]Short Spot'!AH209-'[1]Short Spot'!AH208)*100</f>
        <v>0.24636895282954541</v>
      </c>
      <c r="AI208" s="19">
        <f>('[1]Short Spot'!AI209-'[1]Short Spot'!AI208)*100</f>
        <v>0.24768458493218404</v>
      </c>
      <c r="AJ208" s="19">
        <f>('[1]Short Spot'!AJ209-'[1]Short Spot'!AJ208)*100</f>
        <v>0.24955246175517587</v>
      </c>
      <c r="AK208" s="19">
        <f>('[1]Short Spot'!AK209-'[1]Short Spot'!AK208)*100</f>
        <v>0.25203604894858955</v>
      </c>
      <c r="AL208" s="19">
        <f>('[1]Short Spot'!AL209-'[1]Short Spot'!AL208)*100</f>
        <v>0.25518402342052937</v>
      </c>
      <c r="AM208" s="19">
        <f>('[1]Short Spot'!AM209-'[1]Short Spot'!AM208)*100</f>
        <v>0.25903289958337794</v>
      </c>
      <c r="AN208" s="19">
        <f>('[1]Short Spot'!AN209-'[1]Short Spot'!AN208)*100</f>
        <v>0.2636095939406502</v>
      </c>
      <c r="AO208" s="19">
        <f>('[1]Short Spot'!AO209-'[1]Short Spot'!AO208)*100</f>
        <v>0.26893198312647471</v>
      </c>
      <c r="AP208" s="19">
        <f>('[1]Short Spot'!AP209-'[1]Short Spot'!AP208)*100</f>
        <v>0.27500990690985105</v>
      </c>
      <c r="AQ208" s="19">
        <f>('[1]Short Spot'!AQ209-'[1]Short Spot'!AQ208)*100</f>
        <v>0.28184612496362504</v>
      </c>
      <c r="AR208" s="19">
        <f>('[1]Short Spot'!AR209-'[1]Short Spot'!AR208)*100</f>
        <v>0.28943714013225375</v>
      </c>
      <c r="AS208" s="19">
        <f>('[1]Short Spot'!AS209-'[1]Short Spot'!AS208)*100</f>
        <v>0.29777390943497295</v>
      </c>
      <c r="AT208" s="19">
        <f>('[1]Short Spot'!AT209-'[1]Short Spot'!AT208)*100</f>
        <v>0.30684249925583273</v>
      </c>
      <c r="AU208" s="19">
        <f>('[1]Short Spot'!AU209-'[1]Short Spot'!AU208)*100</f>
        <v>0.31662529131306627</v>
      </c>
      <c r="AV208" s="19">
        <f>('[1]Short Spot'!AV209-'[1]Short Spot'!AV208)*100</f>
        <v>0.32710228871275504</v>
      </c>
      <c r="AW208" s="19">
        <f>('[1]Short Spot'!AW209-'[1]Short Spot'!AW208)*100</f>
        <v>0.33825148532757865</v>
      </c>
      <c r="AX208" s="19">
        <f>('[1]Short Spot'!AX209-'[1]Short Spot'!AX208)*100</f>
        <v>0.35004907081788161</v>
      </c>
      <c r="AY208" s="19">
        <f>('[1]Short Spot'!AY209-'[1]Short Spot'!AY208)*100</f>
        <v>0.36246961105428355</v>
      </c>
      <c r="AZ208" s="19">
        <f>('[1]Short Spot'!AZ209-'[1]Short Spot'!AZ208)*100</f>
        <v>0.37548620731095994</v>
      </c>
      <c r="BA208" s="19">
        <f>('[1]Short Spot'!BA209-'[1]Short Spot'!BA208)*100</f>
        <v>0.38907063709423539</v>
      </c>
      <c r="BB208" s="19">
        <f>('[1]Short Spot'!BB209-'[1]Short Spot'!BB208)*100</f>
        <v>0.40319347685198181</v>
      </c>
      <c r="BC208" s="19">
        <f>('[1]Short Spot'!BC209-'[1]Short Spot'!BC208)*100</f>
        <v>0.41782417149001105</v>
      </c>
      <c r="BD208" s="19">
        <f>('[1]Short Spot'!BD209-'[1]Short Spot'!BD208)*100</f>
        <v>0.43293124010004291</v>
      </c>
      <c r="BE208" s="19">
        <f>('[1]Short Spot'!BE209-'[1]Short Spot'!BE208)*100</f>
        <v>0.44848253225264756</v>
      </c>
      <c r="BF208" s="19">
        <f>('[1]Short Spot'!BF209-'[1]Short Spot'!BF208)*100</f>
        <v>0.4644458300399279</v>
      </c>
      <c r="BG208" s="19">
        <f>('[1]Short Spot'!BG209-'[1]Short Spot'!BG208)*100</f>
        <v>0.4807889600180637</v>
      </c>
      <c r="BH208" s="19">
        <f>('[1]Short Spot'!BH209-'[1]Short Spot'!BH208)*100</f>
        <v>0.49747986388837262</v>
      </c>
      <c r="BI208" s="19">
        <f>('[1]Short Spot'!BI209-'[1]Short Spot'!BI208)*100</f>
        <v>0.51448753109823997</v>
      </c>
    </row>
    <row r="209" spans="1:61" x14ac:dyDescent="0.2">
      <c r="A209" s="18">
        <v>39381</v>
      </c>
      <c r="B209" s="19">
        <f>('[1]Short Spot'!B210-'[1]Short Spot'!B209)*100</f>
        <v>-4.1911097616420534E-2</v>
      </c>
      <c r="C209" s="19">
        <f>('[1]Short Spot'!C210-'[1]Short Spot'!C209)*100</f>
        <v>-0.21601377349149686</v>
      </c>
      <c r="D209" s="19">
        <f>('[1]Short Spot'!D210-'[1]Short Spot'!D209)*100</f>
        <v>-0.33602570459247971</v>
      </c>
      <c r="E209" s="19">
        <f>('[1]Short Spot'!E210-'[1]Short Spot'!E209)*100</f>
        <v>-0.50843566168010668</v>
      </c>
      <c r="F209" s="19">
        <f>('[1]Short Spot'!F210-'[1]Short Spot'!F209)*100</f>
        <v>-0.73797813860991823</v>
      </c>
      <c r="G209" s="19">
        <f>('[1]Short Spot'!G210-'[1]Short Spot'!G209)*100</f>
        <v>-1.0010265573149546</v>
      </c>
      <c r="H209" s="19">
        <f>('[1]Short Spot'!H210-'[1]Short Spot'!H209)*100</f>
        <v>-1.2474520568400926</v>
      </c>
      <c r="I209" s="19">
        <f>('[1]Short Spot'!I210-'[1]Short Spot'!I209)*100</f>
        <v>-1.4479434252849366</v>
      </c>
      <c r="J209" s="19">
        <f>('[1]Short Spot'!J210-'[1]Short Spot'!J209)*100</f>
        <v>-1.5975596696842231</v>
      </c>
      <c r="K209" s="19">
        <f>('[1]Short Spot'!K210-'[1]Short Spot'!K209)*100</f>
        <v>-1.703118610108767</v>
      </c>
      <c r="L209" s="19">
        <f>('[1]Short Spot'!L210-'[1]Short Spot'!L209)*100</f>
        <v>-1.7719990786750905</v>
      </c>
      <c r="M209" s="19">
        <f>('[1]Short Spot'!M210-'[1]Short Spot'!M209)*100</f>
        <v>-1.8109722974620546</v>
      </c>
      <c r="N209" s="19">
        <f>('[1]Short Spot'!N210-'[1]Short Spot'!N209)*100</f>
        <v>-1.826975068492942</v>
      </c>
      <c r="O209" s="19">
        <f>('[1]Short Spot'!O210-'[1]Short Spot'!O209)*100</f>
        <v>-1.8265479715817712</v>
      </c>
      <c r="P209" s="19">
        <f>('[1]Short Spot'!P210-'[1]Short Spot'!P209)*100</f>
        <v>-1.8147917313759088</v>
      </c>
      <c r="Q209" s="19">
        <f>('[1]Short Spot'!Q210-'[1]Short Spot'!Q209)*100</f>
        <v>-1.7956058753891391</v>
      </c>
      <c r="R209" s="19">
        <f>('[1]Short Spot'!R210-'[1]Short Spot'!R209)*100</f>
        <v>-1.7720164205898392</v>
      </c>
      <c r="S209" s="19">
        <f>('[1]Short Spot'!S210-'[1]Short Spot'!S209)*100</f>
        <v>-1.7460067968379178</v>
      </c>
      <c r="T209" s="19">
        <f>('[1]Short Spot'!T210-'[1]Short Spot'!T209)*100</f>
        <v>-1.7187647473980938</v>
      </c>
      <c r="U209" s="19">
        <f>('[1]Short Spot'!U210-'[1]Short Spot'!U209)*100</f>
        <v>-1.6911508645168105</v>
      </c>
      <c r="V209" s="19">
        <f>('[1]Short Spot'!V210-'[1]Short Spot'!V209)*100</f>
        <v>-1.6637853852645712</v>
      </c>
      <c r="W209" s="19">
        <f>('[1]Short Spot'!W210-'[1]Short Spot'!W209)*100</f>
        <v>-1.6371028177102787</v>
      </c>
      <c r="X209" s="19">
        <f>('[1]Short Spot'!X210-'[1]Short Spot'!X209)*100</f>
        <v>-1.6113923167694111</v>
      </c>
      <c r="Y209" s="19">
        <f>('[1]Short Spot'!Y210-'[1]Short Spot'!Y209)*100</f>
        <v>-1.5867936742766098</v>
      </c>
      <c r="Z209" s="19">
        <f>('[1]Short Spot'!Z210-'[1]Short Spot'!Z209)*100</f>
        <v>-1.5632318820407498</v>
      </c>
      <c r="AA209" s="19">
        <f>('[1]Short Spot'!AA210-'[1]Short Spot'!AA209)*100</f>
        <v>-1.5405834149622599</v>
      </c>
      <c r="AB209" s="19">
        <f>('[1]Short Spot'!AB210-'[1]Short Spot'!AB209)*100</f>
        <v>-1.5187258497455502</v>
      </c>
      <c r="AC209" s="19">
        <f>('[1]Short Spot'!AC210-'[1]Short Spot'!AC209)*100</f>
        <v>-1.4975436607602255</v>
      </c>
      <c r="AD209" s="19">
        <f>('[1]Short Spot'!AD210-'[1]Short Spot'!AD209)*100</f>
        <v>-1.4769291677396268</v>
      </c>
      <c r="AE209" s="19">
        <f>('[1]Short Spot'!AE210-'[1]Short Spot'!AE209)*100</f>
        <v>-1.456781245386285</v>
      </c>
      <c r="AF209" s="19">
        <f>('[1]Short Spot'!AF210-'[1]Short Spot'!AF209)*100</f>
        <v>-1.4370042661185245</v>
      </c>
      <c r="AG209" s="19">
        <f>('[1]Short Spot'!AG210-'[1]Short Spot'!AG209)*100</f>
        <v>-1.4175056226900296</v>
      </c>
      <c r="AH209" s="19">
        <f>('[1]Short Spot'!AH210-'[1]Short Spot'!AH209)*100</f>
        <v>-1.3981845574647878</v>
      </c>
      <c r="AI209" s="19">
        <f>('[1]Short Spot'!AI210-'[1]Short Spot'!AI209)*100</f>
        <v>-1.378944959664441</v>
      </c>
      <c r="AJ209" s="19">
        <f>('[1]Short Spot'!AJ210-'[1]Short Spot'!AJ209)*100</f>
        <v>-1.359703104959209</v>
      </c>
      <c r="AK209" s="19">
        <f>('[1]Short Spot'!AK210-'[1]Short Spot'!AK209)*100</f>
        <v>-1.3403860083260888</v>
      </c>
      <c r="AL209" s="19">
        <f>('[1]Short Spot'!AL210-'[1]Short Spot'!AL209)*100</f>
        <v>-1.3209299402068275</v>
      </c>
      <c r="AM209" s="19">
        <f>('[1]Short Spot'!AM210-'[1]Short Spot'!AM209)*100</f>
        <v>-1.3012775809961852</v>
      </c>
      <c r="AN209" s="19">
        <f>('[1]Short Spot'!AN210-'[1]Short Spot'!AN209)*100</f>
        <v>-1.2813774770594755</v>
      </c>
      <c r="AO209" s="19">
        <f>('[1]Short Spot'!AO210-'[1]Short Spot'!AO209)*100</f>
        <v>-1.2611866008427342</v>
      </c>
      <c r="AP209" s="19">
        <f>('[1]Short Spot'!AP210-'[1]Short Spot'!AP209)*100</f>
        <v>-1.2406695895730735</v>
      </c>
      <c r="AQ209" s="19">
        <f>('[1]Short Spot'!AQ210-'[1]Short Spot'!AQ209)*100</f>
        <v>-1.2197978327856518</v>
      </c>
      <c r="AR209" s="19">
        <f>('[1]Short Spot'!AR210-'[1]Short Spot'!AR209)*100</f>
        <v>-1.198548687171197</v>
      </c>
      <c r="AS209" s="19">
        <f>('[1]Short Spot'!AS210-'[1]Short Spot'!AS209)*100</f>
        <v>-1.1769047984905967</v>
      </c>
      <c r="AT209" s="19">
        <f>('[1]Short Spot'!AT210-'[1]Short Spot'!AT209)*100</f>
        <v>-1.154853478262563</v>
      </c>
      <c r="AU209" s="19">
        <f>('[1]Short Spot'!AU210-'[1]Short Spot'!AU209)*100</f>
        <v>-1.132386066471458</v>
      </c>
      <c r="AV209" s="19">
        <f>('[1]Short Spot'!AV210-'[1]Short Spot'!AV209)*100</f>
        <v>-1.1094977305956988</v>
      </c>
      <c r="AW209" s="19">
        <f>('[1]Short Spot'!AW210-'[1]Short Spot'!AW209)*100</f>
        <v>-1.086187161618124</v>
      </c>
      <c r="AX209" s="19">
        <f>('[1]Short Spot'!AX210-'[1]Short Spot'!AX209)*100</f>
        <v>-1.062456214646712</v>
      </c>
      <c r="AY209" s="19">
        <f>('[1]Short Spot'!AY210-'[1]Short Spot'!AY209)*100</f>
        <v>-1.0383095925031505</v>
      </c>
      <c r="AZ209" s="19">
        <f>('[1]Short Spot'!AZ210-'[1]Short Spot'!AZ209)*100</f>
        <v>-1.0137545665339864</v>
      </c>
      <c r="BA209" s="19">
        <f>('[1]Short Spot'!BA210-'[1]Short Spot'!BA209)*100</f>
        <v>-0.98880072963911658</v>
      </c>
      <c r="BB209" s="19">
        <f>('[1]Short Spot'!BB210-'[1]Short Spot'!BB209)*100</f>
        <v>-0.96345980247800611</v>
      </c>
      <c r="BC209" s="19">
        <f>('[1]Short Spot'!BC210-'[1]Short Spot'!BC209)*100</f>
        <v>-0.93774647535624922</v>
      </c>
      <c r="BD209" s="19">
        <f>('[1]Short Spot'!BD210-'[1]Short Spot'!BD209)*100</f>
        <v>-0.91168025555967702</v>
      </c>
      <c r="BE209" s="19">
        <f>('[1]Short Spot'!BE210-'[1]Short Spot'!BE209)*100</f>
        <v>-0.88528516174362082</v>
      </c>
      <c r="BF209" s="19">
        <f>('[1]Short Spot'!BF210-'[1]Short Spot'!BF209)*100</f>
        <v>-0.85858632157274073</v>
      </c>
      <c r="BG209" s="19">
        <f>('[1]Short Spot'!BG210-'[1]Short Spot'!BG209)*100</f>
        <v>-0.83160827403165882</v>
      </c>
      <c r="BH209" s="19">
        <f>('[1]Short Spot'!BH210-'[1]Short Spot'!BH209)*100</f>
        <v>-0.80437644925721585</v>
      </c>
      <c r="BI209" s="19">
        <f>('[1]Short Spot'!BI210-'[1]Short Spot'!BI209)*100</f>
        <v>-0.776916028640251</v>
      </c>
    </row>
    <row r="210" spans="1:61" x14ac:dyDescent="0.2">
      <c r="A210" s="18">
        <v>39384</v>
      </c>
      <c r="B210" s="19">
        <f>('[1]Short Spot'!B211-'[1]Short Spot'!B210)*100</f>
        <v>-0.35743861335575389</v>
      </c>
      <c r="C210" s="19">
        <f>('[1]Short Spot'!C211-'[1]Short Spot'!C210)*100</f>
        <v>-0.23140410720188243</v>
      </c>
      <c r="D210" s="19">
        <f>('[1]Short Spot'!D211-'[1]Short Spot'!D210)*100</f>
        <v>8.4631329651863041E-2</v>
      </c>
      <c r="E210" s="19">
        <f>('[1]Short Spot'!E211-'[1]Short Spot'!E210)*100</f>
        <v>0.42191297017311058</v>
      </c>
      <c r="F210" s="19">
        <f>('[1]Short Spot'!F211-'[1]Short Spot'!F210)*100</f>
        <v>0.70106568904027</v>
      </c>
      <c r="G210" s="19">
        <f>('[1]Short Spot'!G211-'[1]Short Spot'!G210)*100</f>
        <v>0.90596111167071669</v>
      </c>
      <c r="H210" s="19">
        <f>('[1]Short Spot'!H211-'[1]Short Spot'!H210)*100</f>
        <v>1.0387222562062703</v>
      </c>
      <c r="I210" s="19">
        <f>('[1]Short Spot'!I211-'[1]Short Spot'!I210)*100</f>
        <v>1.1086304531212399</v>
      </c>
      <c r="J210" s="19">
        <f>('[1]Short Spot'!J211-'[1]Short Spot'!J210)*100</f>
        <v>1.1302816078477385</v>
      </c>
      <c r="K210" s="19">
        <f>('[1]Short Spot'!K211-'[1]Short Spot'!K210)*100</f>
        <v>1.119462715679731</v>
      </c>
      <c r="L210" s="19">
        <f>('[1]Short Spot'!L211-'[1]Short Spot'!L210)*100</f>
        <v>1.0872471217064472</v>
      </c>
      <c r="M210" s="19">
        <f>('[1]Short Spot'!M211-'[1]Short Spot'!M210)*100</f>
        <v>1.0414805495684298</v>
      </c>
      <c r="N210" s="19">
        <f>('[1]Short Spot'!N211-'[1]Short Spot'!N210)*100</f>
        <v>0.98843381188871149</v>
      </c>
      <c r="O210" s="19">
        <f>('[1]Short Spot'!O211-'[1]Short Spot'!O210)*100</f>
        <v>0.93241461558815075</v>
      </c>
      <c r="P210" s="19">
        <f>('[1]Short Spot'!P211-'[1]Short Spot'!P210)*100</f>
        <v>0.87602141060711958</v>
      </c>
      <c r="Q210" s="19">
        <f>('[1]Short Spot'!Q211-'[1]Short Spot'!Q210)*100</f>
        <v>0.82071304390067823</v>
      </c>
      <c r="R210" s="19">
        <f>('[1]Short Spot'!R211-'[1]Short Spot'!R210)*100</f>
        <v>0.76715807263330049</v>
      </c>
      <c r="S210" s="19">
        <f>('[1]Short Spot'!S211-'[1]Short Spot'!S210)*100</f>
        <v>0.715677001349313</v>
      </c>
      <c r="T210" s="19">
        <f>('[1]Short Spot'!T211-'[1]Short Spot'!T210)*100</f>
        <v>0.66647715507706096</v>
      </c>
      <c r="U210" s="19">
        <f>('[1]Short Spot'!U211-'[1]Short Spot'!U210)*100</f>
        <v>0.61963149461679023</v>
      </c>
      <c r="V210" s="19">
        <f>('[1]Short Spot'!V211-'[1]Short Spot'!V210)*100</f>
        <v>0.57510893695829068</v>
      </c>
      <c r="W210" s="19">
        <f>('[1]Short Spot'!W211-'[1]Short Spot'!W210)*100</f>
        <v>0.53279800160037638</v>
      </c>
      <c r="X210" s="19">
        <f>('[1]Short Spot'!X211-'[1]Short Spot'!X210)*100</f>
        <v>0.49252428920505409</v>
      </c>
      <c r="Y210" s="19">
        <f>('[1]Short Spot'!Y211-'[1]Short Spot'!Y210)*100</f>
        <v>0.45408201620187327</v>
      </c>
      <c r="Z210" s="19">
        <f>('[1]Short Spot'!Z211-'[1]Short Spot'!Z210)*100</f>
        <v>0.41731172351804346</v>
      </c>
      <c r="AA210" s="19">
        <f>('[1]Short Spot'!AA211-'[1]Short Spot'!AA210)*100</f>
        <v>0.38208502337333528</v>
      </c>
      <c r="AB210" s="19">
        <f>('[1]Short Spot'!AB211-'[1]Short Spot'!AB210)*100</f>
        <v>0.34829000697955692</v>
      </c>
      <c r="AC210" s="19">
        <f>('[1]Short Spot'!AC211-'[1]Short Spot'!AC210)*100</f>
        <v>0.31582572195913983</v>
      </c>
      <c r="AD210" s="19">
        <f>('[1]Short Spot'!AD211-'[1]Short Spot'!AD210)*100</f>
        <v>0.28459963824492007</v>
      </c>
      <c r="AE210" s="19">
        <f>('[1]Short Spot'!AE211-'[1]Short Spot'!AE210)*100</f>
        <v>0.25452624215116515</v>
      </c>
      <c r="AF210" s="19">
        <f>('[1]Short Spot'!AF211-'[1]Short Spot'!AF210)*100</f>
        <v>0.2255259046995306</v>
      </c>
      <c r="AG210" s="19">
        <f>('[1]Short Spot'!AG211-'[1]Short Spot'!AG210)*100</f>
        <v>0.19752475446344064</v>
      </c>
      <c r="AH210" s="19">
        <f>('[1]Short Spot'!AH211-'[1]Short Spot'!AH210)*100</f>
        <v>0.17045944345372988</v>
      </c>
      <c r="AI210" s="19">
        <f>('[1]Short Spot'!AI211-'[1]Short Spot'!AI210)*100</f>
        <v>0.14427449980694007</v>
      </c>
      <c r="AJ210" s="19">
        <f>('[1]Short Spot'!AJ211-'[1]Short Spot'!AJ210)*100</f>
        <v>0.11891929316085736</v>
      </c>
      <c r="AK210" s="19">
        <f>('[1]Short Spot'!AK211-'[1]Short Spot'!AK210)*100</f>
        <v>9.4347352766899206E-2</v>
      </c>
      <c r="AL210" s="19">
        <f>('[1]Short Spot'!AL211-'[1]Short Spot'!AL210)*100</f>
        <v>7.0515825724282166E-2</v>
      </c>
      <c r="AM210" s="19">
        <f>('[1]Short Spot'!AM211-'[1]Short Spot'!AM210)*100</f>
        <v>4.7385922150677828E-2</v>
      </c>
      <c r="AN210" s="19">
        <f>('[1]Short Spot'!AN211-'[1]Short Spot'!AN210)*100</f>
        <v>2.4923415005417837E-2</v>
      </c>
      <c r="AO210" s="19">
        <f>('[1]Short Spot'!AO211-'[1]Short Spot'!AO210)*100</f>
        <v>3.0975536746247201E-3</v>
      </c>
      <c r="AP210" s="19">
        <f>('[1]Short Spot'!AP211-'[1]Short Spot'!AP210)*100</f>
        <v>-1.8119412616535158E-2</v>
      </c>
      <c r="AQ210" s="19">
        <f>('[1]Short Spot'!AQ211-'[1]Short Spot'!AQ210)*100</f>
        <v>-3.8752591926538571E-2</v>
      </c>
      <c r="AR210" s="19">
        <f>('[1]Short Spot'!AR211-'[1]Short Spot'!AR210)*100</f>
        <v>-5.882475689080735E-2</v>
      </c>
      <c r="AS210" s="19">
        <f>('[1]Short Spot'!AS211-'[1]Short Spot'!AS210)*100</f>
        <v>-7.8356610110041913E-2</v>
      </c>
      <c r="AT210" s="19">
        <f>('[1]Short Spot'!AT211-'[1]Short Spot'!AT210)*100</f>
        <v>-9.7366990671954312E-2</v>
      </c>
      <c r="AU210" s="19">
        <f>('[1]Short Spot'!AU211-'[1]Short Spot'!AU210)*100</f>
        <v>-0.11587292063603982</v>
      </c>
      <c r="AV210" s="19">
        <f>('[1]Short Spot'!AV211-'[1]Short Spot'!AV210)*100</f>
        <v>-0.13388974698553824</v>
      </c>
      <c r="AW210" s="19">
        <f>('[1]Short Spot'!AW211-'[1]Short Spot'!AW210)*100</f>
        <v>-0.15143132825619077</v>
      </c>
      <c r="AX210" s="19">
        <f>('[1]Short Spot'!AX211-'[1]Short Spot'!AX210)*100</f>
        <v>-0.1685101864262073</v>
      </c>
      <c r="AY210" s="19">
        <f>('[1]Short Spot'!AY211-'[1]Short Spot'!AY210)*100</f>
        <v>-0.18513764057193072</v>
      </c>
      <c r="AZ210" s="19">
        <f>('[1]Short Spot'!AZ211-'[1]Short Spot'!AZ210)*100</f>
        <v>-0.20132392479945693</v>
      </c>
      <c r="BA210" s="19">
        <f>('[1]Short Spot'!BA211-'[1]Short Spot'!BA210)*100</f>
        <v>-0.21707829256847333</v>
      </c>
      <c r="BB210" s="19">
        <f>('[1]Short Spot'!BB211-'[1]Short Spot'!BB210)*100</f>
        <v>-0.23240912598190278</v>
      </c>
      <c r="BC210" s="19">
        <f>('[1]Short Spot'!BC211-'[1]Short Spot'!BC210)*100</f>
        <v>-0.24732453511049357</v>
      </c>
      <c r="BD210" s="19">
        <f>('[1]Short Spot'!BD211-'[1]Short Spot'!BD210)*100</f>
        <v>-0.26183328146629492</v>
      </c>
      <c r="BE210" s="19">
        <f>('[1]Short Spot'!BE211-'[1]Short Spot'!BE210)*100</f>
        <v>-0.2759447110400437</v>
      </c>
      <c r="BF210" s="19">
        <f>('[1]Short Spot'!BF211-'[1]Short Spot'!BF210)*100</f>
        <v>-0.2896673508158365</v>
      </c>
      <c r="BG210" s="19">
        <f>('[1]Short Spot'!BG211-'[1]Short Spot'!BG210)*100</f>
        <v>-0.30300842108283987</v>
      </c>
      <c r="BH210" s="19">
        <f>('[1]Short Spot'!BH211-'[1]Short Spot'!BH210)*100</f>
        <v>-0.31597507760272592</v>
      </c>
      <c r="BI210" s="19">
        <f>('[1]Short Spot'!BI211-'[1]Short Spot'!BI210)*100</f>
        <v>-0.32857449217615908</v>
      </c>
    </row>
    <row r="211" spans="1:61" x14ac:dyDescent="0.2">
      <c r="A211" s="18">
        <v>39385</v>
      </c>
      <c r="B211" s="19">
        <f>('[1]Short Spot'!B212-'[1]Short Spot'!B211)*100</f>
        <v>0.70603370087551909</v>
      </c>
      <c r="C211" s="19">
        <f>('[1]Short Spot'!C212-'[1]Short Spot'!C211)*100</f>
        <v>0.59566535692958666</v>
      </c>
      <c r="D211" s="19">
        <f>('[1]Short Spot'!D212-'[1]Short Spot'!D211)*100</f>
        <v>0.75559832254761261</v>
      </c>
      <c r="E211" s="19">
        <f>('[1]Short Spot'!E212-'[1]Short Spot'!E211)*100</f>
        <v>1.131042318348463</v>
      </c>
      <c r="F211" s="19">
        <f>('[1]Short Spot'!F212-'[1]Short Spot'!F211)*100</f>
        <v>1.6036720741434252</v>
      </c>
      <c r="G211" s="19">
        <f>('[1]Short Spot'!G212-'[1]Short Spot'!G211)*100</f>
        <v>2.079870723521271</v>
      </c>
      <c r="H211" s="19">
        <f>('[1]Short Spot'!H212-'[1]Short Spot'!H211)*100</f>
        <v>2.5161705882974061</v>
      </c>
      <c r="I211" s="19">
        <f>('[1]Short Spot'!I212-'[1]Short Spot'!I211)*100</f>
        <v>2.8944323563729668</v>
      </c>
      <c r="J211" s="19">
        <f>('[1]Short Spot'!J212-'[1]Short Spot'!J211)*100</f>
        <v>3.2121314315090466</v>
      </c>
      <c r="K211" s="19">
        <f>('[1]Short Spot'!K212-'[1]Short Spot'!K211)*100</f>
        <v>3.4747265543435546</v>
      </c>
      <c r="L211" s="19">
        <f>('[1]Short Spot'!L212-'[1]Short Spot'!L211)*100</f>
        <v>3.689978903255664</v>
      </c>
      <c r="M211" s="19">
        <f>('[1]Short Spot'!M212-'[1]Short Spot'!M211)*100</f>
        <v>3.8650776058068104</v>
      </c>
      <c r="N211" s="19">
        <f>('[1]Short Spot'!N212-'[1]Short Spot'!N211)*100</f>
        <v>4.006647208015135</v>
      </c>
      <c r="O211" s="19">
        <f>('[1]Short Spot'!O212-'[1]Short Spot'!O211)*100</f>
        <v>4.1204097431887909</v>
      </c>
      <c r="P211" s="19">
        <f>('[1]Short Spot'!P212-'[1]Short Spot'!P211)*100</f>
        <v>4.2109445239385757</v>
      </c>
      <c r="Q211" s="19">
        <f>('[1]Short Spot'!Q212-'[1]Short Spot'!Q211)*100</f>
        <v>4.2819945474564136</v>
      </c>
      <c r="R211" s="19">
        <f>('[1]Short Spot'!R212-'[1]Short Spot'!R211)*100</f>
        <v>4.3367235634123702</v>
      </c>
      <c r="S211" s="19">
        <f>('[1]Short Spot'!S212-'[1]Short Spot'!S211)*100</f>
        <v>4.3779299224146584</v>
      </c>
      <c r="T211" s="19">
        <f>('[1]Short Spot'!T212-'[1]Short Spot'!T211)*100</f>
        <v>4.407922463863656</v>
      </c>
      <c r="U211" s="19">
        <f>('[1]Short Spot'!U212-'[1]Short Spot'!U211)*100</f>
        <v>4.4285197783329622</v>
      </c>
      <c r="V211" s="19">
        <f>('[1]Short Spot'!V212-'[1]Short Spot'!V211)*100</f>
        <v>4.4411653635476611</v>
      </c>
      <c r="W211" s="19">
        <f>('[1]Short Spot'!W212-'[1]Short Spot'!W211)*100</f>
        <v>4.4470128727583713</v>
      </c>
      <c r="X211" s="19">
        <f>('[1]Short Spot'!X212-'[1]Short Spot'!X211)*100</f>
        <v>4.4469891297441499</v>
      </c>
      <c r="Y211" s="19">
        <f>('[1]Short Spot'!Y212-'[1]Short Spot'!Y211)*100</f>
        <v>4.4418576593076686</v>
      </c>
      <c r="Z211" s="19">
        <f>('[1]Short Spot'!Z212-'[1]Short Spot'!Z211)*100</f>
        <v>4.4322856246972187</v>
      </c>
      <c r="AA211" s="19">
        <f>('[1]Short Spot'!AA212-'[1]Short Spot'!AA211)*100</f>
        <v>4.4188233065804994</v>
      </c>
      <c r="AB211" s="19">
        <f>('[1]Short Spot'!AB212-'[1]Short Spot'!AB211)*100</f>
        <v>4.4019257950471236</v>
      </c>
      <c r="AC211" s="19">
        <f>('[1]Short Spot'!AC212-'[1]Short Spot'!AC211)*100</f>
        <v>4.381982680905061</v>
      </c>
      <c r="AD211" s="19">
        <f>('[1]Short Spot'!AD212-'[1]Short Spot'!AD211)*100</f>
        <v>4.3593309988973594</v>
      </c>
      <c r="AE211" s="19">
        <f>('[1]Short Spot'!AE212-'[1]Short Spot'!AE211)*100</f>
        <v>4.3342639870163957</v>
      </c>
      <c r="AF211" s="19">
        <f>('[1]Short Spot'!AF212-'[1]Short Spot'!AF211)*100</f>
        <v>4.307038150495579</v>
      </c>
      <c r="AG211" s="19">
        <f>('[1]Short Spot'!AG212-'[1]Short Spot'!AG211)*100</f>
        <v>4.2778798918998717</v>
      </c>
      <c r="AH211" s="19">
        <f>('[1]Short Spot'!AH212-'[1]Short Spot'!AH211)*100</f>
        <v>4.2469955498824596</v>
      </c>
      <c r="AI211" s="19">
        <f>('[1]Short Spot'!AI212-'[1]Short Spot'!AI211)*100</f>
        <v>4.214572564706387</v>
      </c>
      <c r="AJ211" s="19">
        <f>('[1]Short Spot'!AJ212-'[1]Short Spot'!AJ211)*100</f>
        <v>4.1807803240991426</v>
      </c>
      <c r="AK211" s="19">
        <f>('[1]Short Spot'!AK212-'[1]Short Spot'!AK211)*100</f>
        <v>4.145772664959857</v>
      </c>
      <c r="AL211" s="19">
        <f>('[1]Short Spot'!AL212-'[1]Short Spot'!AL211)*100</f>
        <v>4.1096899980984425</v>
      </c>
      <c r="AM211" s="19">
        <f>('[1]Short Spot'!AM212-'[1]Short Spot'!AM211)*100</f>
        <v>4.0726617303944224</v>
      </c>
      <c r="AN211" s="19">
        <f>('[1]Short Spot'!AN212-'[1]Short Spot'!AN211)*100</f>
        <v>4.0348075108791015</v>
      </c>
      <c r="AO211" s="19">
        <f>('[1]Short Spot'!AO212-'[1]Short Spot'!AO211)*100</f>
        <v>3.996237502806288</v>
      </c>
      <c r="AP211" s="19">
        <f>('[1]Short Spot'!AP212-'[1]Short Spot'!AP211)*100</f>
        <v>3.957053487222062</v>
      </c>
      <c r="AQ211" s="19">
        <f>('[1]Short Spot'!AQ212-'[1]Short Spot'!AQ211)*100</f>
        <v>3.9173498608464641</v>
      </c>
      <c r="AR211" s="19">
        <f>('[1]Short Spot'!AR212-'[1]Short Spot'!AR211)*100</f>
        <v>3.87721449471643</v>
      </c>
      <c r="AS211" s="19">
        <f>('[1]Short Spot'!AS212-'[1]Short Spot'!AS211)*100</f>
        <v>3.8367294757397197</v>
      </c>
      <c r="AT211" s="19">
        <f>('[1]Short Spot'!AT212-'[1]Short Spot'!AT211)*100</f>
        <v>3.7959717210317656</v>
      </c>
      <c r="AU211" s="19">
        <f>('[1]Short Spot'!AU212-'[1]Short Spot'!AU211)*100</f>
        <v>3.7550130627544753</v>
      </c>
      <c r="AV211" s="19">
        <f>('[1]Short Spot'!AV212-'[1]Short Spot'!AV211)*100</f>
        <v>3.7139201752642848</v>
      </c>
      <c r="AW211" s="19">
        <f>('[1]Short Spot'!AW212-'[1]Short Spot'!AW211)*100</f>
        <v>3.6727550375134754</v>
      </c>
      <c r="AX211" s="19">
        <f>('[1]Short Spot'!AX212-'[1]Short Spot'!AX211)*100</f>
        <v>3.6315754121730492</v>
      </c>
      <c r="AY211" s="19">
        <f>('[1]Short Spot'!AY212-'[1]Short Spot'!AY211)*100</f>
        <v>3.5904352672605278</v>
      </c>
      <c r="AZ211" s="19">
        <f>('[1]Short Spot'!AZ212-'[1]Short Spot'!AZ211)*100</f>
        <v>3.5493851481644967</v>
      </c>
      <c r="BA211" s="19">
        <f>('[1]Short Spot'!BA212-'[1]Short Spot'!BA211)*100</f>
        <v>3.5084725067439315</v>
      </c>
      <c r="BB211" s="19">
        <f>('[1]Short Spot'!BB212-'[1]Short Spot'!BB211)*100</f>
        <v>3.4677419792106257</v>
      </c>
      <c r="BC211" s="19">
        <f>('[1]Short Spot'!BC212-'[1]Short Spot'!BC211)*100</f>
        <v>3.4272354178685127</v>
      </c>
      <c r="BD211" s="19">
        <f>('[1]Short Spot'!BD212-'[1]Short Spot'!BD211)*100</f>
        <v>3.3869920599404857</v>
      </c>
      <c r="BE211" s="19">
        <f>('[1]Short Spot'!BE212-'[1]Short Spot'!BE211)*100</f>
        <v>3.3470489972186712</v>
      </c>
      <c r="BF211" s="19">
        <f>('[1]Short Spot'!BF212-'[1]Short Spot'!BF211)*100</f>
        <v>3.3074423308253387</v>
      </c>
      <c r="BG211" s="19">
        <f>('[1]Short Spot'!BG212-'[1]Short Spot'!BG211)*100</f>
        <v>3.2682069986849527</v>
      </c>
      <c r="BH211" s="19">
        <f>('[1]Short Spot'!BH212-'[1]Short Spot'!BH211)*100</f>
        <v>3.2293750876202232</v>
      </c>
      <c r="BI211" s="19">
        <f>('[1]Short Spot'!BI212-'[1]Short Spot'!BI211)*100</f>
        <v>3.1909757142900119</v>
      </c>
    </row>
    <row r="212" spans="1:61" x14ac:dyDescent="0.2">
      <c r="A212" s="18">
        <v>39386</v>
      </c>
      <c r="B212" s="19">
        <f>('[1]Short Spot'!B213-'[1]Short Spot'!B212)*100</f>
        <v>0.32173874733425478</v>
      </c>
      <c r="C212" s="19">
        <f>('[1]Short Spot'!C213-'[1]Short Spot'!C212)*100</f>
        <v>1.0148416558292794</v>
      </c>
      <c r="D212" s="19">
        <f>('[1]Short Spot'!D213-'[1]Short Spot'!D212)*100</f>
        <v>1.6866519854922934</v>
      </c>
      <c r="E212" s="19">
        <f>('[1]Short Spot'!E213-'[1]Short Spot'!E212)*100</f>
        <v>2.1090063823686833</v>
      </c>
      <c r="F212" s="19">
        <f>('[1]Short Spot'!F213-'[1]Short Spot'!F212)*100</f>
        <v>2.2961003240834721</v>
      </c>
      <c r="G212" s="19">
        <f>('[1]Short Spot'!G213-'[1]Short Spot'!G212)*100</f>
        <v>2.381728001173844</v>
      </c>
      <c r="H212" s="19">
        <f>('[1]Short Spot'!H213-'[1]Short Spot'!H212)*100</f>
        <v>2.4595009515111954</v>
      </c>
      <c r="I212" s="19">
        <f>('[1]Short Spot'!I213-'[1]Short Spot'!I212)*100</f>
        <v>2.5765016604448299</v>
      </c>
      <c r="J212" s="19">
        <f>('[1]Short Spot'!J213-'[1]Short Spot'!J212)*100</f>
        <v>2.7428997198212457</v>
      </c>
      <c r="K212" s="19">
        <f>('[1]Short Spot'!K213-'[1]Short Spot'!K212)*100</f>
        <v>2.9493496324707102</v>
      </c>
      <c r="L212" s="19">
        <f>('[1]Short Spot'!L213-'[1]Short Spot'!L212)*100</f>
        <v>3.1811439785802698</v>
      </c>
      <c r="M212" s="19">
        <f>('[1]Short Spot'!M213-'[1]Short Spot'!M212)*100</f>
        <v>3.4253776243620138</v>
      </c>
      <c r="N212" s="19">
        <f>('[1]Short Spot'!N213-'[1]Short Spot'!N212)*100</f>
        <v>3.6708147786397305</v>
      </c>
      <c r="O212" s="19">
        <f>('[1]Short Spot'!O213-'[1]Short Spot'!O212)*100</f>
        <v>3.908828978460388</v>
      </c>
      <c r="P212" s="19">
        <f>('[1]Short Spot'!P213-'[1]Short Spot'!P212)*100</f>
        <v>4.1340737007254269</v>
      </c>
      <c r="Q212" s="19">
        <f>('[1]Short Spot'!Q213-'[1]Short Spot'!Q212)*100</f>
        <v>4.3436017123863024</v>
      </c>
      <c r="R212" s="19">
        <f>('[1]Short Spot'!R213-'[1]Short Spot'!R212)*100</f>
        <v>4.5361683302886924</v>
      </c>
      <c r="S212" s="19">
        <f>('[1]Short Spot'!S213-'[1]Short Spot'!S212)*100</f>
        <v>4.7117195373563625</v>
      </c>
      <c r="T212" s="19">
        <f>('[1]Short Spot'!T213-'[1]Short Spot'!T212)*100</f>
        <v>4.8707058031030037</v>
      </c>
      <c r="U212" s="19">
        <f>('[1]Short Spot'!U213-'[1]Short Spot'!U212)*100</f>
        <v>5.0138164725005652</v>
      </c>
      <c r="V212" s="19">
        <f>('[1]Short Spot'!V213-'[1]Short Spot'!V212)*100</f>
        <v>5.1419217245875615</v>
      </c>
      <c r="W212" s="19">
        <f>('[1]Short Spot'!W213-'[1]Short Spot'!W212)*100</f>
        <v>5.2560314738181013</v>
      </c>
      <c r="X212" s="19">
        <f>('[1]Short Spot'!X213-'[1]Short Spot'!X212)*100</f>
        <v>5.357265006808376</v>
      </c>
      <c r="Y212" s="19">
        <f>('[1]Short Spot'!Y213-'[1]Short Spot'!Y212)*100</f>
        <v>5.446830522781454</v>
      </c>
      <c r="Z212" s="19">
        <f>('[1]Short Spot'!Z213-'[1]Short Spot'!Z212)*100</f>
        <v>5.525923788141629</v>
      </c>
      <c r="AA212" s="19">
        <f>('[1]Short Spot'!AA213-'[1]Short Spot'!AA212)*100</f>
        <v>5.5956049036065103</v>
      </c>
      <c r="AB212" s="19">
        <f>('[1]Short Spot'!AB213-'[1]Short Spot'!AB212)*100</f>
        <v>5.6568108308458598</v>
      </c>
      <c r="AC212" s="19">
        <f>('[1]Short Spot'!AC213-'[1]Short Spot'!AC212)*100</f>
        <v>5.7103770295372946</v>
      </c>
      <c r="AD212" s="19">
        <f>('[1]Short Spot'!AD213-'[1]Short Spot'!AD212)*100</f>
        <v>5.7570545814874308</v>
      </c>
      <c r="AE212" s="19">
        <f>('[1]Short Spot'!AE213-'[1]Short Spot'!AE212)*100</f>
        <v>5.797524252477082</v>
      </c>
      <c r="AF212" s="19">
        <f>('[1]Short Spot'!AF213-'[1]Short Spot'!AF212)*100</f>
        <v>5.832407833556541</v>
      </c>
      <c r="AG212" s="19">
        <f>('[1]Short Spot'!AG213-'[1]Short Spot'!AG212)*100</f>
        <v>5.8622776804338805</v>
      </c>
      <c r="AH212" s="19">
        <f>('[1]Short Spot'!AH213-'[1]Short Spot'!AH212)*100</f>
        <v>5.8876593776530761</v>
      </c>
      <c r="AI212" s="19">
        <f>('[1]Short Spot'!AI213-'[1]Short Spot'!AI212)*100</f>
        <v>5.90902361128256</v>
      </c>
      <c r="AJ212" s="19">
        <f>('[1]Short Spot'!AJ213-'[1]Short Spot'!AJ212)*100</f>
        <v>5.9267906972768181</v>
      </c>
      <c r="AK212" s="19">
        <f>('[1]Short Spot'!AK213-'[1]Short Spot'!AK212)*100</f>
        <v>5.9413375742390251</v>
      </c>
      <c r="AL212" s="19">
        <f>('[1]Short Spot'!AL213-'[1]Short Spot'!AL212)*100</f>
        <v>5.9530036849090529</v>
      </c>
      <c r="AM212" s="19">
        <f>('[1]Short Spot'!AM213-'[1]Short Spot'!AM212)*100</f>
        <v>5.9620958317069039</v>
      </c>
      <c r="AN212" s="19">
        <f>('[1]Short Spot'!AN213-'[1]Short Spot'!AN212)*100</f>
        <v>5.9688897987258294</v>
      </c>
      <c r="AO212" s="19">
        <f>('[1]Short Spot'!AO213-'[1]Short Spot'!AO212)*100</f>
        <v>5.9736325338102247</v>
      </c>
      <c r="AP212" s="19">
        <f>('[1]Short Spot'!AP213-'[1]Short Spot'!AP212)*100</f>
        <v>5.9765456096728009</v>
      </c>
      <c r="AQ212" s="19">
        <f>('[1]Short Spot'!AQ213-'[1]Short Spot'!AQ212)*100</f>
        <v>5.9778282447428666</v>
      </c>
      <c r="AR212" s="19">
        <f>('[1]Short Spot'!AR213-'[1]Short Spot'!AR212)*100</f>
        <v>5.9776599025017418</v>
      </c>
      <c r="AS212" s="19">
        <f>('[1]Short Spot'!AS213-'[1]Short Spot'!AS212)*100</f>
        <v>5.9762025363645499</v>
      </c>
      <c r="AT212" s="19">
        <f>('[1]Short Spot'!AT213-'[1]Short Spot'!AT212)*100</f>
        <v>5.9736024941914323</v>
      </c>
      <c r="AU212" s="19">
        <f>('[1]Short Spot'!AU213-'[1]Short Spot'!AU212)*100</f>
        <v>5.969991680841602</v>
      </c>
      <c r="AV212" s="19">
        <f>('[1]Short Spot'!AV213-'[1]Short Spot'!AV212)*100</f>
        <v>5.9654885025074655</v>
      </c>
      <c r="AW212" s="19">
        <f>('[1]Short Spot'!AW213-'[1]Short Spot'!AW212)*100</f>
        <v>5.9601992115433156</v>
      </c>
      <c r="AX212" s="19">
        <f>('[1]Short Spot'!AX213-'[1]Short Spot'!AX212)*100</f>
        <v>5.9542191466522176</v>
      </c>
      <c r="AY212" s="19">
        <f>('[1]Short Spot'!AY213-'[1]Short Spot'!AY212)*100</f>
        <v>5.9476338242518523</v>
      </c>
      <c r="AZ212" s="19">
        <f>('[1]Short Spot'!AZ213-'[1]Short Spot'!AZ212)*100</f>
        <v>5.9405199014427978</v>
      </c>
      <c r="BA212" s="19">
        <f>('[1]Short Spot'!BA213-'[1]Short Spot'!BA212)*100</f>
        <v>5.9329460278674695</v>
      </c>
      <c r="BB212" s="19">
        <f>('[1]Short Spot'!BB213-'[1]Short Spot'!BB212)*100</f>
        <v>5.9249735934805869</v>
      </c>
      <c r="BC212" s="19">
        <f>('[1]Short Spot'!BC213-'[1]Short Spot'!BC212)*100</f>
        <v>5.9166574901110991</v>
      </c>
      <c r="BD212" s="19">
        <f>('[1]Short Spot'!BD213-'[1]Short Spot'!BD212)*100</f>
        <v>5.9080473336110551</v>
      </c>
      <c r="BE212" s="19">
        <f>('[1]Short Spot'!BE213-'[1]Short Spot'!BE212)*100</f>
        <v>5.8991882782382099</v>
      </c>
      <c r="BF212" s="19">
        <f>('[1]Short Spot'!BF213-'[1]Short Spot'!BF212)*100</f>
        <v>5.8901214047906159</v>
      </c>
      <c r="BG212" s="19">
        <f>('[1]Short Spot'!BG213-'[1]Short Spot'!BG212)*100</f>
        <v>5.8808828891961262</v>
      </c>
      <c r="BH212" s="19">
        <f>('[1]Short Spot'!BH213-'[1]Short Spot'!BH212)*100</f>
        <v>5.871504509878811</v>
      </c>
      <c r="BI212" s="19">
        <f>('[1]Short Spot'!BI213-'[1]Short Spot'!BI212)*100</f>
        <v>5.8620148705893271</v>
      </c>
    </row>
    <row r="213" spans="1:61" x14ac:dyDescent="0.2">
      <c r="A213" s="18">
        <v>39387</v>
      </c>
      <c r="B213" s="19">
        <f>('[1]Short Spot'!B214-'[1]Short Spot'!B213)*100</f>
        <v>0.90501522755719321</v>
      </c>
      <c r="C213" s="19">
        <f>('[1]Short Spot'!C214-'[1]Short Spot'!C213)*100</f>
        <v>1.3746884256830683</v>
      </c>
      <c r="D213" s="19">
        <f>('[1]Short Spot'!D214-'[1]Short Spot'!D213)*100</f>
        <v>1.7387200160889904</v>
      </c>
      <c r="E213" s="19">
        <f>('[1]Short Spot'!E214-'[1]Short Spot'!E213)*100</f>
        <v>2.1045111051744669</v>
      </c>
      <c r="F213" s="19">
        <f>('[1]Short Spot'!F214-'[1]Short Spot'!F213)*100</f>
        <v>2.436278799253877</v>
      </c>
      <c r="G213" s="19">
        <f>('[1]Short Spot'!G214-'[1]Short Spot'!G213)*100</f>
        <v>2.6753710422974919</v>
      </c>
      <c r="H213" s="19">
        <f>('[1]Short Spot'!H214-'[1]Short Spot'!H213)*100</f>
        <v>2.7927246157513075</v>
      </c>
      <c r="I213" s="19">
        <f>('[1]Short Spot'!I214-'[1]Short Spot'!I213)*100</f>
        <v>2.7841516773631447</v>
      </c>
      <c r="J213" s="19">
        <f>('[1]Short Spot'!J214-'[1]Short Spot'!J213)*100</f>
        <v>2.6672246260422305</v>
      </c>
      <c r="K213" s="19">
        <f>('[1]Short Spot'!K214-'[1]Short Spot'!K213)*100</f>
        <v>2.4705967624409908</v>
      </c>
      <c r="L213" s="19">
        <f>('[1]Short Spot'!L214-'[1]Short Spot'!L213)*100</f>
        <v>2.2224638599638524</v>
      </c>
      <c r="M213" s="19">
        <f>('[1]Short Spot'!M214-'[1]Short Spot'!M213)*100</f>
        <v>1.9446871053255599</v>
      </c>
      <c r="N213" s="19">
        <f>('[1]Short Spot'!N214-'[1]Short Spot'!N213)*100</f>
        <v>1.6547571423224383</v>
      </c>
      <c r="O213" s="19">
        <f>('[1]Short Spot'!O214-'[1]Short Spot'!O213)*100</f>
        <v>1.3663978936168775</v>
      </c>
      <c r="P213" s="19">
        <f>('[1]Short Spot'!P214-'[1]Short Spot'!P213)*100</f>
        <v>1.0885748507661219</v>
      </c>
      <c r="Q213" s="19">
        <f>('[1]Short Spot'!Q214-'[1]Short Spot'!Q213)*100</f>
        <v>0.82658835815347942</v>
      </c>
      <c r="R213" s="19">
        <f>('[1]Short Spot'!R214-'[1]Short Spot'!R213)*100</f>
        <v>0.58317713144981909</v>
      </c>
      <c r="S213" s="19">
        <f>('[1]Short Spot'!S214-'[1]Short Spot'!S213)*100</f>
        <v>0.3595712610041879</v>
      </c>
      <c r="T213" s="19">
        <f>('[1]Short Spot'!T214-'[1]Short Spot'!T213)*100</f>
        <v>0.1561744893814776</v>
      </c>
      <c r="U213" s="19">
        <f>('[1]Short Spot'!U214-'[1]Short Spot'!U213)*100</f>
        <v>-2.7239601057615914E-2</v>
      </c>
      <c r="V213" s="19">
        <f>('[1]Short Spot'!V214-'[1]Short Spot'!V213)*100</f>
        <v>-0.19137812866949488</v>
      </c>
      <c r="W213" s="19">
        <f>('[1]Short Spot'!W214-'[1]Short Spot'!W213)*100</f>
        <v>-0.3373196623646102</v>
      </c>
      <c r="X213" s="19">
        <f>('[1]Short Spot'!X214-'[1]Short Spot'!X213)*100</f>
        <v>-0.46643342951622202</v>
      </c>
      <c r="Y213" s="19">
        <f>('[1]Short Spot'!Y214-'[1]Short Spot'!Y213)*100</f>
        <v>-0.58027399882734088</v>
      </c>
      <c r="Z213" s="19">
        <f>('[1]Short Spot'!Z214-'[1]Short Spot'!Z213)*100</f>
        <v>-0.68032905641493002</v>
      </c>
      <c r="AA213" s="19">
        <f>('[1]Short Spot'!AA214-'[1]Short Spot'!AA213)*100</f>
        <v>-0.76793895449691618</v>
      </c>
      <c r="AB213" s="19">
        <f>('[1]Short Spot'!AB214-'[1]Short Spot'!AB213)*100</f>
        <v>-0.84431393010362399</v>
      </c>
      <c r="AC213" s="19">
        <f>('[1]Short Spot'!AC214-'[1]Short Spot'!AC213)*100</f>
        <v>-0.91054690587810683</v>
      </c>
      <c r="AD213" s="19">
        <f>('[1]Short Spot'!AD214-'[1]Short Spot'!AD213)*100</f>
        <v>-0.96763275312605757</v>
      </c>
      <c r="AE213" s="19">
        <f>('[1]Short Spot'!AE214-'[1]Short Spot'!AE213)*100</f>
        <v>-1.0164846341543132</v>
      </c>
      <c r="AF213" s="19">
        <f>('[1]Short Spot'!AF214-'[1]Short Spot'!AF213)*100</f>
        <v>-1.0579471811418273</v>
      </c>
      <c r="AG213" s="19">
        <f>('[1]Short Spot'!AG214-'[1]Short Spot'!AG213)*100</f>
        <v>-1.0928050762706754</v>
      </c>
      <c r="AH213" s="19">
        <f>('[1]Short Spot'!AH214-'[1]Short Spot'!AH213)*100</f>
        <v>-1.121772128943288</v>
      </c>
      <c r="AI213" s="19">
        <f>('[1]Short Spot'!AI214-'[1]Short Spot'!AI213)*100</f>
        <v>-1.1454864288560351</v>
      </c>
      <c r="AJ213" s="19">
        <f>('[1]Short Spot'!AJ214-'[1]Short Spot'!AJ213)*100</f>
        <v>-1.1645206786279338</v>
      </c>
      <c r="AK213" s="19">
        <f>('[1]Short Spot'!AK214-'[1]Short Spot'!AK213)*100</f>
        <v>-1.1793912764097136</v>
      </c>
      <c r="AL213" s="19">
        <f>('[1]Short Spot'!AL214-'[1]Short Spot'!AL213)*100</f>
        <v>-1.1905658701386379</v>
      </c>
      <c r="AM213" s="19">
        <f>('[1]Short Spot'!AM214-'[1]Short Spot'!AM213)*100</f>
        <v>-1.1984675786601784</v>
      </c>
      <c r="AN213" s="19">
        <f>('[1]Short Spot'!AN214-'[1]Short Spot'!AN213)*100</f>
        <v>-1.2034765022613136</v>
      </c>
      <c r="AO213" s="19">
        <f>('[1]Short Spot'!AO214-'[1]Short Spot'!AO213)*100</f>
        <v>-1.2059344930423599</v>
      </c>
      <c r="AP213" s="19">
        <f>('[1]Short Spot'!AP214-'[1]Short Spot'!AP213)*100</f>
        <v>-1.2061498357701872</v>
      </c>
      <c r="AQ213" s="19">
        <f>('[1]Short Spot'!AQ214-'[1]Short Spot'!AQ213)*100</f>
        <v>-1.2044012439908158</v>
      </c>
      <c r="AR213" s="19">
        <f>('[1]Short Spot'!AR214-'[1]Short Spot'!AR213)*100</f>
        <v>-1.2009412985424461</v>
      </c>
      <c r="AS213" s="19">
        <f>('[1]Short Spot'!AS214-'[1]Short Spot'!AS213)*100</f>
        <v>-1.1959994171816923</v>
      </c>
      <c r="AT213" s="19">
        <f>('[1]Short Spot'!AT214-'[1]Short Spot'!AT213)*100</f>
        <v>-1.1897842730451913</v>
      </c>
      <c r="AU213" s="19">
        <f>('[1]Short Spot'!AU214-'[1]Short Spot'!AU213)*100</f>
        <v>-1.1824846316925708</v>
      </c>
      <c r="AV213" s="19">
        <f>('[1]Short Spot'!AV214-'[1]Short Spot'!AV213)*100</f>
        <v>-1.1742702482294476</v>
      </c>
      <c r="AW213" s="19">
        <f>('[1]Short Spot'!AW214-'[1]Short Spot'!AW213)*100</f>
        <v>-1.1652937567587784</v>
      </c>
      <c r="AX213" s="19">
        <f>('[1]Short Spot'!AX214-'[1]Short Spot'!AX213)*100</f>
        <v>-1.1556924174218608</v>
      </c>
      <c r="AY213" s="19">
        <f>('[1]Short Spot'!AY214-'[1]Short Spot'!AY213)*100</f>
        <v>-1.1455896537952981</v>
      </c>
      <c r="AZ213" s="19">
        <f>('[1]Short Spot'!AZ214-'[1]Short Spot'!AZ213)*100</f>
        <v>-1.1350964094153149</v>
      </c>
      <c r="BA213" s="19">
        <f>('[1]Short Spot'!BA214-'[1]Short Spot'!BA213)*100</f>
        <v>-1.1243123477834516</v>
      </c>
      <c r="BB213" s="19">
        <f>('[1]Short Spot'!BB214-'[1]Short Spot'!BB213)*100</f>
        <v>-1.1133269296887072</v>
      </c>
      <c r="BC213" s="19">
        <f>('[1]Short Spot'!BC214-'[1]Short Spot'!BC213)*100</f>
        <v>-1.1022204373293931</v>
      </c>
      <c r="BD213" s="19">
        <f>('[1]Short Spot'!BD214-'[1]Short Spot'!BD213)*100</f>
        <v>-1.0910645707554956</v>
      </c>
      <c r="BE213" s="19">
        <f>('[1]Short Spot'!BE214-'[1]Short Spot'!BE213)*100</f>
        <v>-1.0799228931761107</v>
      </c>
      <c r="BF213" s="19">
        <f>('[1]Short Spot'!BF214-'[1]Short Spot'!BF213)*100</f>
        <v>-1.0688504982334202</v>
      </c>
      <c r="BG213" s="19">
        <f>('[1]Short Spot'!BG214-'[1]Short Spot'!BG213)*100</f>
        <v>-1.0578950751455984</v>
      </c>
      <c r="BH213" s="19">
        <f>('[1]Short Spot'!BH214-'[1]Short Spot'!BH213)*100</f>
        <v>-1.0470990935083968</v>
      </c>
      <c r="BI213" s="19">
        <f>('[1]Short Spot'!BI214-'[1]Short Spot'!BI213)*100</f>
        <v>-1.0365003876596113</v>
      </c>
    </row>
    <row r="214" spans="1:61" x14ac:dyDescent="0.2">
      <c r="A214" s="18">
        <v>39388</v>
      </c>
      <c r="B214" s="19">
        <f>('[1]Short Spot'!B215-'[1]Short Spot'!B214)*100</f>
        <v>-1.0213926442117049</v>
      </c>
      <c r="C214" s="19">
        <f>('[1]Short Spot'!C215-'[1]Short Spot'!C214)*100</f>
        <v>-1.7870405715806115</v>
      </c>
      <c r="D214" s="19">
        <f>('[1]Short Spot'!D215-'[1]Short Spot'!D214)*100</f>
        <v>-2.43134103906959</v>
      </c>
      <c r="E214" s="19">
        <f>('[1]Short Spot'!E215-'[1]Short Spot'!E214)*100</f>
        <v>-2.8278840296475316</v>
      </c>
      <c r="F214" s="19">
        <f>('[1]Short Spot'!F215-'[1]Short Spot'!F214)*100</f>
        <v>-3.128592836248778</v>
      </c>
      <c r="G214" s="19">
        <f>('[1]Short Spot'!G215-'[1]Short Spot'!G214)*100</f>
        <v>-3.451093984725162</v>
      </c>
      <c r="H214" s="19">
        <f>('[1]Short Spot'!H215-'[1]Short Spot'!H214)*100</f>
        <v>-3.8057203694751074</v>
      </c>
      <c r="I214" s="19">
        <f>('[1]Short Spot'!I215-'[1]Short Spot'!I214)*100</f>
        <v>-4.1768592830668361</v>
      </c>
      <c r="J214" s="19">
        <f>('[1]Short Spot'!J215-'[1]Short Spot'!J214)*100</f>
        <v>-4.5502689074470304</v>
      </c>
      <c r="K214" s="19">
        <f>('[1]Short Spot'!K215-'[1]Short Spot'!K214)*100</f>
        <v>-4.9126508740707564</v>
      </c>
      <c r="L214" s="19">
        <f>('[1]Short Spot'!L215-'[1]Short Spot'!L214)*100</f>
        <v>-5.2506112799063587</v>
      </c>
      <c r="M214" s="19">
        <f>('[1]Short Spot'!M215-'[1]Short Spot'!M214)*100</f>
        <v>-5.5558133254199227</v>
      </c>
      <c r="N214" s="19">
        <f>('[1]Short Spot'!N215-'[1]Short Spot'!N214)*100</f>
        <v>-5.824335836137351</v>
      </c>
      <c r="O214" s="19">
        <f>('[1]Short Spot'!O215-'[1]Short Spot'!O214)*100</f>
        <v>-6.0556908891548744</v>
      </c>
      <c r="P214" s="19">
        <f>('[1]Short Spot'!P215-'[1]Short Spot'!P214)*100</f>
        <v>-6.2516530703173423</v>
      </c>
      <c r="Q214" s="19">
        <f>('[1]Short Spot'!Q215-'[1]Short Spot'!Q214)*100</f>
        <v>-6.4154546845782257</v>
      </c>
      <c r="R214" s="19">
        <f>('[1]Short Spot'!R215-'[1]Short Spot'!R214)*100</f>
        <v>-6.5512542755344683</v>
      </c>
      <c r="S214" s="19">
        <f>('[1]Short Spot'!S215-'[1]Short Spot'!S214)*100</f>
        <v>-6.6629144362327253</v>
      </c>
      <c r="T214" s="19">
        <f>('[1]Short Spot'!T215-'[1]Short Spot'!T214)*100</f>
        <v>-6.7536256135151795</v>
      </c>
      <c r="U214" s="19">
        <f>('[1]Short Spot'!U215-'[1]Short Spot'!U214)*100</f>
        <v>-6.8261806529031688</v>
      </c>
      <c r="V214" s="19">
        <f>('[1]Short Spot'!V215-'[1]Short Spot'!V214)*100</f>
        <v>-6.883070438119443</v>
      </c>
      <c r="W214" s="19">
        <f>('[1]Short Spot'!W215-'[1]Short Spot'!W214)*100</f>
        <v>-6.9265525187687693</v>
      </c>
      <c r="X214" s="19">
        <f>('[1]Short Spot'!X215-'[1]Short Spot'!X214)*100</f>
        <v>-6.9587014050361162</v>
      </c>
      <c r="Y214" s="19">
        <f>('[1]Short Spot'!Y215-'[1]Short Spot'!Y214)*100</f>
        <v>-6.9813528056009488</v>
      </c>
      <c r="Z214" s="19">
        <f>('[1]Short Spot'!Z215-'[1]Short Spot'!Z214)*100</f>
        <v>-6.995950167559073</v>
      </c>
      <c r="AA214" s="19">
        <f>('[1]Short Spot'!AA215-'[1]Short Spot'!AA214)*100</f>
        <v>-7.0036818145371882</v>
      </c>
      <c r="AB214" s="19">
        <f>('[1]Short Spot'!AB215-'[1]Short Spot'!AB214)*100</f>
        <v>-7.0055501252547892</v>
      </c>
      <c r="AC214" s="19">
        <f>('[1]Short Spot'!AC215-'[1]Short Spot'!AC214)*100</f>
        <v>-7.0024173468678619</v>
      </c>
      <c r="AD214" s="19">
        <f>('[1]Short Spot'!AD215-'[1]Short Spot'!AD214)*100</f>
        <v>-6.9950320049956716</v>
      </c>
      <c r="AE214" s="19">
        <f>('[1]Short Spot'!AE215-'[1]Short Spot'!AE214)*100</f>
        <v>-6.9840478577992471</v>
      </c>
      <c r="AF214" s="19">
        <f>('[1]Short Spot'!AF215-'[1]Short Spot'!AF214)*100</f>
        <v>-6.9700391810552098</v>
      </c>
      <c r="AG214" s="19">
        <f>('[1]Short Spot'!AG215-'[1]Short Spot'!AG214)*100</f>
        <v>-6.9535084301960204</v>
      </c>
      <c r="AH214" s="19">
        <f>('[1]Short Spot'!AH215-'[1]Short Spot'!AH214)*100</f>
        <v>-6.9348772386825352</v>
      </c>
      <c r="AI214" s="19">
        <f>('[1]Short Spot'!AI215-'[1]Short Spot'!AI214)*100</f>
        <v>-6.9145048771076745</v>
      </c>
      <c r="AJ214" s="19">
        <f>('[1]Short Spot'!AJ215-'[1]Short Spot'!AJ214)*100</f>
        <v>-6.8927012808449817</v>
      </c>
      <c r="AK214" s="19">
        <f>('[1]Short Spot'!AK215-'[1]Short Spot'!AK214)*100</f>
        <v>-6.8697339026299709</v>
      </c>
      <c r="AL214" s="19">
        <f>('[1]Short Spot'!AL215-'[1]Short Spot'!AL214)*100</f>
        <v>-6.845833302289428</v>
      </c>
      <c r="AM214" s="19">
        <f>('[1]Short Spot'!AM215-'[1]Short Spot'!AM214)*100</f>
        <v>-6.8211960237095859</v>
      </c>
      <c r="AN214" s="19">
        <f>('[1]Short Spot'!AN215-'[1]Short Spot'!AN214)*100</f>
        <v>-6.795991019748282</v>
      </c>
      <c r="AO214" s="19">
        <f>('[1]Short Spot'!AO215-'[1]Short Spot'!AO214)*100</f>
        <v>-6.7703657663572336</v>
      </c>
      <c r="AP214" s="19">
        <f>('[1]Short Spot'!AP215-'[1]Short Spot'!AP214)*100</f>
        <v>-6.7444489584519651</v>
      </c>
      <c r="AQ214" s="19">
        <f>('[1]Short Spot'!AQ215-'[1]Short Spot'!AQ214)*100</f>
        <v>-6.7183527457484793</v>
      </c>
      <c r="AR214" s="19">
        <f>('[1]Short Spot'!AR215-'[1]Short Spot'!AR214)*100</f>
        <v>-6.6921746566235285</v>
      </c>
      <c r="AS214" s="19">
        <f>('[1]Short Spot'!AS215-'[1]Short Spot'!AS214)*100</f>
        <v>-6.6659992595695883</v>
      </c>
      <c r="AT214" s="19">
        <f>('[1]Short Spot'!AT215-'[1]Short Spot'!AT214)*100</f>
        <v>-6.6398995605128519</v>
      </c>
      <c r="AU214" s="19">
        <f>('[1]Short Spot'!AU215-'[1]Short Spot'!AU214)*100</f>
        <v>-6.6139384371258991</v>
      </c>
      <c r="AV214" s="19">
        <f>('[1]Short Spot'!AV215-'[1]Short Spot'!AV214)*100</f>
        <v>-6.5881701943041548</v>
      </c>
      <c r="AW214" s="19">
        <f>('[1]Short Spot'!AW215-'[1]Short Spot'!AW214)*100</f>
        <v>-6.5626415222232559</v>
      </c>
      <c r="AX214" s="19">
        <f>('[1]Short Spot'!AX215-'[1]Short Spot'!AX214)*100</f>
        <v>-6.537392273352971</v>
      </c>
      <c r="AY214" s="19">
        <f>('[1]Short Spot'!AY215-'[1]Short Spot'!AY214)*100</f>
        <v>-6.5124561462263308</v>
      </c>
      <c r="AZ214" s="19">
        <f>('[1]Short Spot'!AZ215-'[1]Short Spot'!AZ214)*100</f>
        <v>-6.4878612887679488</v>
      </c>
      <c r="BA214" s="19">
        <f>('[1]Short Spot'!BA215-'[1]Short Spot'!BA214)*100</f>
        <v>-6.4636308320060287</v>
      </c>
      <c r="BB214" s="19">
        <f>('[1]Short Spot'!BB215-'[1]Short Spot'!BB214)*100</f>
        <v>-6.4397834255512265</v>
      </c>
      <c r="BC214" s="19">
        <f>('[1]Short Spot'!BC215-'[1]Short Spot'!BC214)*100</f>
        <v>-6.416334158321213</v>
      </c>
      <c r="BD214" s="19">
        <f>('[1]Short Spot'!BD215-'[1]Short Spot'!BD214)*100</f>
        <v>-6.3932946382910139</v>
      </c>
      <c r="BE214" s="19">
        <f>('[1]Short Spot'!BE215-'[1]Short Spot'!BE214)*100</f>
        <v>-6.370672439169045</v>
      </c>
      <c r="BF214" s="19">
        <f>('[1]Short Spot'!BF215-'[1]Short Spot'!BF214)*100</f>
        <v>-6.3484692182719904</v>
      </c>
      <c r="BG214" s="19">
        <f>('[1]Short Spot'!BG215-'[1]Short Spot'!BG214)*100</f>
        <v>-6.3266833944160439</v>
      </c>
      <c r="BH214" s="19">
        <f>('[1]Short Spot'!BH215-'[1]Short Spot'!BH214)*100</f>
        <v>-6.3053129730889168</v>
      </c>
      <c r="BI214" s="19">
        <f>('[1]Short Spot'!BI215-'[1]Short Spot'!BI214)*100</f>
        <v>-6.2843547563637969</v>
      </c>
    </row>
    <row r="215" spans="1:61" x14ac:dyDescent="0.2">
      <c r="A215" s="18">
        <v>39391</v>
      </c>
      <c r="B215" s="19">
        <f>('[1]Short Spot'!B216-'[1]Short Spot'!B215)*100</f>
        <v>-1.2127567462787425</v>
      </c>
      <c r="C215" s="19">
        <f>('[1]Short Spot'!C216-'[1]Short Spot'!C215)*100</f>
        <v>-1.8014539772741145</v>
      </c>
      <c r="D215" s="19">
        <f>('[1]Short Spot'!D216-'[1]Short Spot'!D215)*100</f>
        <v>-2.4741381972558152</v>
      </c>
      <c r="E215" s="19">
        <f>('[1]Short Spot'!E216-'[1]Short Spot'!E215)*100</f>
        <v>-3.2098128628718747</v>
      </c>
      <c r="F215" s="19">
        <f>('[1]Short Spot'!F216-'[1]Short Spot'!F215)*100</f>
        <v>-3.8953181865588604</v>
      </c>
      <c r="G215" s="19">
        <f>('[1]Short Spot'!G216-'[1]Short Spot'!G215)*100</f>
        <v>-4.4514253808539905</v>
      </c>
      <c r="H215" s="19">
        <f>('[1]Short Spot'!H216-'[1]Short Spot'!H215)*100</f>
        <v>-4.8501185956999926</v>
      </c>
      <c r="I215" s="19">
        <f>('[1]Short Spot'!I216-'[1]Short Spot'!I215)*100</f>
        <v>-5.0940353513253989</v>
      </c>
      <c r="J215" s="19">
        <f>('[1]Short Spot'!J216-'[1]Short Spot'!J215)*100</f>
        <v>-5.2012866839907801</v>
      </c>
      <c r="K215" s="19">
        <f>('[1]Short Spot'!K216-'[1]Short Spot'!K215)*100</f>
        <v>-5.1982812785280608</v>
      </c>
      <c r="L215" s="19">
        <f>('[1]Short Spot'!L216-'[1]Short Spot'!L215)*100</f>
        <v>-5.1147416881151209</v>
      </c>
      <c r="M215" s="19">
        <f>('[1]Short Spot'!M216-'[1]Short Spot'!M215)*100</f>
        <v>-4.975510087810342</v>
      </c>
      <c r="N215" s="19">
        <f>('[1]Short Spot'!N216-'[1]Short Spot'!N215)*100</f>
        <v>-4.8010340222328196</v>
      </c>
      <c r="O215" s="19">
        <f>('[1]Short Spot'!O216-'[1]Short Spot'!O215)*100</f>
        <v>-4.6074884065277821</v>
      </c>
      <c r="P215" s="19">
        <f>('[1]Short Spot'!P216-'[1]Short Spot'!P215)*100</f>
        <v>-4.4060832755776325</v>
      </c>
      <c r="Q215" s="19">
        <f>('[1]Short Spot'!Q216-'[1]Short Spot'!Q215)*100</f>
        <v>-4.2043291301635755</v>
      </c>
      <c r="R215" s="19">
        <f>('[1]Short Spot'!R216-'[1]Short Spot'!R215)*100</f>
        <v>-4.0070988260882068</v>
      </c>
      <c r="S215" s="19">
        <f>('[1]Short Spot'!S216-'[1]Short Spot'!S215)*100</f>
        <v>-3.8173253863934775</v>
      </c>
      <c r="T215" s="19">
        <f>('[1]Short Spot'!T216-'[1]Short Spot'!T215)*100</f>
        <v>-3.6367950605226795</v>
      </c>
      <c r="U215" s="19">
        <f>('[1]Short Spot'!U216-'[1]Short Spot'!U215)*100</f>
        <v>-3.4665215667622817</v>
      </c>
      <c r="V215" s="19">
        <f>('[1]Short Spot'!V216-'[1]Short Spot'!V215)*100</f>
        <v>-3.3069301469717871</v>
      </c>
      <c r="W215" s="19">
        <f>('[1]Short Spot'!W216-'[1]Short Spot'!W215)*100</f>
        <v>-3.1579913112285141</v>
      </c>
      <c r="X215" s="19">
        <f>('[1]Short Spot'!X216-'[1]Short Spot'!X215)*100</f>
        <v>-3.0193194620368402</v>
      </c>
      <c r="Y215" s="19">
        <f>('[1]Short Spot'!Y216-'[1]Short Spot'!Y215)*100</f>
        <v>-2.8902488949401395</v>
      </c>
      <c r="Z215" s="19">
        <f>('[1]Short Spot'!Z216-'[1]Short Spot'!Z215)*100</f>
        <v>-2.7700190421021453</v>
      </c>
      <c r="AA215" s="19">
        <f>('[1]Short Spot'!AA216-'[1]Short Spot'!AA215)*100</f>
        <v>-2.6579175312012815</v>
      </c>
      <c r="AB215" s="19">
        <f>('[1]Short Spot'!AB216-'[1]Short Spot'!AB215)*100</f>
        <v>-2.5532844938934041</v>
      </c>
      <c r="AC215" s="19">
        <f>('[1]Short Spot'!AC216-'[1]Short Spot'!AC215)*100</f>
        <v>-2.4555097616720367</v>
      </c>
      <c r="AD215" s="19">
        <f>('[1]Short Spot'!AD216-'[1]Short Spot'!AD215)*100</f>
        <v>-2.3640250524023187</v>
      </c>
      <c r="AE215" s="19">
        <f>('[1]Short Spot'!AE216-'[1]Short Spot'!AE215)*100</f>
        <v>-2.2782969892586102</v>
      </c>
      <c r="AF215" s="19">
        <f>('[1]Short Spot'!AF216-'[1]Short Spot'!AF215)*100</f>
        <v>-2.1978214707717214</v>
      </c>
      <c r="AG215" s="19">
        <f>('[1]Short Spot'!AG216-'[1]Short Spot'!AG215)*100</f>
        <v>-2.1221190510646082</v>
      </c>
      <c r="AH215" s="19">
        <f>('[1]Short Spot'!AH216-'[1]Short Spot'!AH215)*100</f>
        <v>-2.0507426106633808</v>
      </c>
      <c r="AI215" s="19">
        <f>('[1]Short Spot'!AI216-'[1]Short Spot'!AI215)*100</f>
        <v>-1.9832910991330444</v>
      </c>
      <c r="AJ215" s="19">
        <f>('[1]Short Spot'!AJ216-'[1]Short Spot'!AJ215)*100</f>
        <v>-1.919405334123514</v>
      </c>
      <c r="AK215" s="19">
        <f>('[1]Short Spot'!AK216-'[1]Short Spot'!AK215)*100</f>
        <v>-1.8587621863572323</v>
      </c>
      <c r="AL215" s="19">
        <f>('[1]Short Spot'!AL216-'[1]Short Spot'!AL215)*100</f>
        <v>-1.8010696745558441</v>
      </c>
      <c r="AM215" s="19">
        <f>('[1]Short Spot'!AM216-'[1]Short Spot'!AM215)*100</f>
        <v>-1.7460634615658499</v>
      </c>
      <c r="AN215" s="19">
        <f>('[1]Short Spot'!AN216-'[1]Short Spot'!AN215)*100</f>
        <v>-1.693506771033082</v>
      </c>
      <c r="AO215" s="19">
        <f>('[1]Short Spot'!AO216-'[1]Short Spot'!AO215)*100</f>
        <v>-1.6431883286381677</v>
      </c>
      <c r="AP215" s="19">
        <f>('[1]Short Spot'!AP216-'[1]Short Spot'!AP215)*100</f>
        <v>-1.5949192700146497</v>
      </c>
      <c r="AQ215" s="19">
        <f>('[1]Short Spot'!AQ216-'[1]Short Spot'!AQ215)*100</f>
        <v>-1.5485304728978022</v>
      </c>
      <c r="AR215" s="19">
        <f>('[1]Short Spot'!AR216-'[1]Short Spot'!AR215)*100</f>
        <v>-1.5038702615315813</v>
      </c>
      <c r="AS215" s="19">
        <f>('[1]Short Spot'!AS216-'[1]Short Spot'!AS215)*100</f>
        <v>-1.4608024240656547</v>
      </c>
      <c r="AT215" s="19">
        <f>('[1]Short Spot'!AT216-'[1]Short Spot'!AT215)*100</f>
        <v>-1.4192045367884099</v>
      </c>
      <c r="AU215" s="19">
        <f>('[1]Short Spot'!AU216-'[1]Short Spot'!AU215)*100</f>
        <v>-1.3789669038086316</v>
      </c>
      <c r="AV215" s="19">
        <f>('[1]Short Spot'!AV216-'[1]Short Spot'!AV215)*100</f>
        <v>-1.3399915890626168</v>
      </c>
      <c r="AW215" s="19">
        <f>('[1]Short Spot'!AW216-'[1]Short Spot'!AW215)*100</f>
        <v>-1.3021912192813012</v>
      </c>
      <c r="AX215" s="19">
        <f>('[1]Short Spot'!AX216-'[1]Short Spot'!AX215)*100</f>
        <v>-1.2654879061533286</v>
      </c>
      <c r="AY215" s="19">
        <f>('[1]Short Spot'!AY216-'[1]Short Spot'!AY215)*100</f>
        <v>-1.2298122978299908</v>
      </c>
      <c r="AZ215" s="19">
        <f>('[1]Short Spot'!AZ216-'[1]Short Spot'!AZ215)*100</f>
        <v>-1.1951027420166405</v>
      </c>
      <c r="BA215" s="19">
        <f>('[1]Short Spot'!BA216-'[1]Short Spot'!BA215)*100</f>
        <v>-1.1613045456309479</v>
      </c>
      <c r="BB215" s="19">
        <f>('[1]Short Spot'!BB216-'[1]Short Spot'!BB215)*100</f>
        <v>-1.1283693136769024</v>
      </c>
      <c r="BC215" s="19">
        <f>('[1]Short Spot'!BC216-'[1]Short Spot'!BC215)*100</f>
        <v>-1.0962539301965002</v>
      </c>
      <c r="BD215" s="19">
        <f>('[1]Short Spot'!BD216-'[1]Short Spot'!BD215)*100</f>
        <v>-1.0649190797495933</v>
      </c>
      <c r="BE215" s="19">
        <f>('[1]Short Spot'!BE216-'[1]Short Spot'!BE215)*100</f>
        <v>-1.0343286840133636</v>
      </c>
      <c r="BF215" s="19">
        <f>('[1]Short Spot'!BF216-'[1]Short Spot'!BF215)*100</f>
        <v>-1.0044508840230115</v>
      </c>
      <c r="BG215" s="19">
        <f>('[1]Short Spot'!BG216-'[1]Short Spot'!BG215)*100</f>
        <v>-0.97525940807221545</v>
      </c>
      <c r="BH215" s="19">
        <f>('[1]Short Spot'!BH216-'[1]Short Spot'!BH215)*100</f>
        <v>-0.94673115665040442</v>
      </c>
      <c r="BI215" s="19">
        <f>('[1]Short Spot'!BI216-'[1]Short Spot'!BI215)*100</f>
        <v>-0.9188445333064621</v>
      </c>
    </row>
    <row r="216" spans="1:61" x14ac:dyDescent="0.2">
      <c r="A216" s="18">
        <v>39392</v>
      </c>
      <c r="B216" s="19">
        <f>('[1]Short Spot'!B217-'[1]Short Spot'!B216)*100</f>
        <v>-0.84526454166455878</v>
      </c>
      <c r="C216" s="19">
        <f>('[1]Short Spot'!C217-'[1]Short Spot'!C216)*100</f>
        <v>-1.1059314354713301</v>
      </c>
      <c r="D216" s="19">
        <f>('[1]Short Spot'!D217-'[1]Short Spot'!D216)*100</f>
        <v>-1.279302089055534</v>
      </c>
      <c r="E216" s="19">
        <f>('[1]Short Spot'!E217-'[1]Short Spot'!E216)*100</f>
        <v>-1.3217626961686157</v>
      </c>
      <c r="F216" s="19">
        <f>('[1]Short Spot'!F217-'[1]Short Spot'!F216)*100</f>
        <v>-1.2878698461378235</v>
      </c>
      <c r="G216" s="19">
        <f>('[1]Short Spot'!G217-'[1]Short Spot'!G216)*100</f>
        <v>-1.2384114208960462</v>
      </c>
      <c r="H216" s="19">
        <f>('[1]Short Spot'!H217-'[1]Short Spot'!H216)*100</f>
        <v>-1.1992388472216398</v>
      </c>
      <c r="I216" s="19">
        <f>('[1]Short Spot'!I217-'[1]Short Spot'!I216)*100</f>
        <v>-1.1791624023977043</v>
      </c>
      <c r="J216" s="19">
        <f>('[1]Short Spot'!J217-'[1]Short Spot'!J216)*100</f>
        <v>-1.1774405406633548</v>
      </c>
      <c r="K216" s="19">
        <f>('[1]Short Spot'!K217-'[1]Short Spot'!K216)*100</f>
        <v>-1.1887482958869988</v>
      </c>
      <c r="L216" s="19">
        <f>('[1]Short Spot'!L217-'[1]Short Spot'!L216)*100</f>
        <v>-1.2072488352576904</v>
      </c>
      <c r="M216" s="19">
        <f>('[1]Short Spot'!M217-'[1]Short Spot'!M216)*100</f>
        <v>-1.2286622145984083</v>
      </c>
      <c r="N216" s="19">
        <f>('[1]Short Spot'!N217-'[1]Short Spot'!N216)*100</f>
        <v>-1.249844409381673</v>
      </c>
      <c r="O216" s="19">
        <f>('[1]Short Spot'!O217-'[1]Short Spot'!O216)*100</f>
        <v>-1.2685883124819775</v>
      </c>
      <c r="P216" s="19">
        <f>('[1]Short Spot'!P217-'[1]Short Spot'!P216)*100</f>
        <v>-1.2835186779173391</v>
      </c>
      <c r="Q216" s="19">
        <f>('[1]Short Spot'!Q217-'[1]Short Spot'!Q216)*100</f>
        <v>-1.2938515831302233</v>
      </c>
      <c r="R216" s="19">
        <f>('[1]Short Spot'!R217-'[1]Short Spot'!R216)*100</f>
        <v>-1.2991820341567539</v>
      </c>
      <c r="S216" s="19">
        <f>('[1]Short Spot'!S217-'[1]Short Spot'!S216)*100</f>
        <v>-1.2992098452444978</v>
      </c>
      <c r="T216" s="19">
        <f>('[1]Short Spot'!T217-'[1]Short Spot'!T216)*100</f>
        <v>-1.2938240850098204</v>
      </c>
      <c r="U216" s="19">
        <f>('[1]Short Spot'!U217-'[1]Short Spot'!U216)*100</f>
        <v>-1.2831146483309297</v>
      </c>
      <c r="V216" s="19">
        <f>('[1]Short Spot'!V217-'[1]Short Spot'!V216)*100</f>
        <v>-1.2673244902106973</v>
      </c>
      <c r="W216" s="19">
        <f>('[1]Short Spot'!W217-'[1]Short Spot'!W216)*100</f>
        <v>-1.2468148393829814</v>
      </c>
      <c r="X216" s="19">
        <f>('[1]Short Spot'!X217-'[1]Short Spot'!X216)*100</f>
        <v>-1.2220390581455298</v>
      </c>
      <c r="Y216" s="19">
        <f>('[1]Short Spot'!Y217-'[1]Short Spot'!Y216)*100</f>
        <v>-1.1934860873399344</v>
      </c>
      <c r="Z216" s="19">
        <f>('[1]Short Spot'!Z217-'[1]Short Spot'!Z216)*100</f>
        <v>-1.1616141374165778</v>
      </c>
      <c r="AA216" s="19">
        <f>('[1]Short Spot'!AA217-'[1]Short Spot'!AA216)*100</f>
        <v>-1.1268748567379916</v>
      </c>
      <c r="AB216" s="19">
        <f>('[1]Short Spot'!AB217-'[1]Short Spot'!AB216)*100</f>
        <v>-1.0896932882448418</v>
      </c>
      <c r="AC216" s="19">
        <f>('[1]Short Spot'!AC217-'[1]Short Spot'!AC216)*100</f>
        <v>-1.0504523607907323</v>
      </c>
      <c r="AD216" s="19">
        <f>('[1]Short Spot'!AD217-'[1]Short Spot'!AD216)*100</f>
        <v>-1.0094987520689713</v>
      </c>
      <c r="AE216" s="19">
        <f>('[1]Short Spot'!AE217-'[1]Short Spot'!AE216)*100</f>
        <v>-0.96714893047371575</v>
      </c>
      <c r="AF216" s="19">
        <f>('[1]Short Spot'!AF217-'[1]Short Spot'!AF216)*100</f>
        <v>-0.92369402709842063</v>
      </c>
      <c r="AG216" s="19">
        <f>('[1]Short Spot'!AG217-'[1]Short Spot'!AG216)*100</f>
        <v>-0.87940113723652402</v>
      </c>
      <c r="AH216" s="19">
        <f>('[1]Short Spot'!AH217-'[1]Short Spot'!AH216)*100</f>
        <v>-0.83450514757847927</v>
      </c>
      <c r="AI216" s="19">
        <f>('[1]Short Spot'!AI217-'[1]Short Spot'!AI216)*100</f>
        <v>-0.78921115690082644</v>
      </c>
      <c r="AJ216" s="19">
        <f>('[1]Short Spot'!AJ217-'[1]Short Spot'!AJ216)*100</f>
        <v>-0.74369933521190035</v>
      </c>
      <c r="AK216" s="19">
        <f>('[1]Short Spot'!AK217-'[1]Short Spot'!AK216)*100</f>
        <v>-0.69812838608163119</v>
      </c>
      <c r="AL216" s="19">
        <f>('[1]Short Spot'!AL217-'[1]Short Spot'!AL216)*100</f>
        <v>-0.65263834077580185</v>
      </c>
      <c r="AM216" s="19">
        <f>('[1]Short Spot'!AM217-'[1]Short Spot'!AM216)*100</f>
        <v>-0.6073512271378867</v>
      </c>
      <c r="AN216" s="19">
        <f>('[1]Short Spot'!AN217-'[1]Short Spot'!AN216)*100</f>
        <v>-0.56237175312006116</v>
      </c>
      <c r="AO216" s="19">
        <f>('[1]Short Spot'!AO217-'[1]Short Spot'!AO216)*100</f>
        <v>-0.51778961689894487</v>
      </c>
      <c r="AP216" s="19">
        <f>('[1]Short Spot'!AP217-'[1]Short Spot'!AP216)*100</f>
        <v>-0.47368134564482745</v>
      </c>
      <c r="AQ216" s="19">
        <f>('[1]Short Spot'!AQ217-'[1]Short Spot'!AQ216)*100</f>
        <v>-0.4301118634988832</v>
      </c>
      <c r="AR216" s="19">
        <f>('[1]Short Spot'!AR217-'[1]Short Spot'!AR216)*100</f>
        <v>-0.38713584076193186</v>
      </c>
      <c r="AS216" s="19">
        <f>('[1]Short Spot'!AS217-'[1]Short Spot'!AS216)*100</f>
        <v>-0.34479885906204544</v>
      </c>
      <c r="AT216" s="19">
        <f>('[1]Short Spot'!AT217-'[1]Short Spot'!AT216)*100</f>
        <v>-0.30313846783371901</v>
      </c>
      <c r="AU216" s="19">
        <f>('[1]Short Spot'!AU217-'[1]Short Spot'!AU216)*100</f>
        <v>-0.26218545943530458</v>
      </c>
      <c r="AV216" s="19">
        <f>('[1]Short Spot'!AV217-'[1]Short Spot'!AV216)*100</f>
        <v>-0.2219649047158434</v>
      </c>
      <c r="AW216" s="19">
        <f>('[1]Short Spot'!AW217-'[1]Short Spot'!AW216)*100</f>
        <v>-0.18249676894619427</v>
      </c>
      <c r="AX216" s="19">
        <f>('[1]Short Spot'!AX217-'[1]Short Spot'!AX216)*100</f>
        <v>-0.14379643279633925</v>
      </c>
      <c r="AY216" s="19">
        <f>('[1]Short Spot'!AY217-'[1]Short Spot'!AY216)*100</f>
        <v>-0.1058751507948763</v>
      </c>
      <c r="AZ216" s="19">
        <f>('[1]Short Spot'!AZ217-'[1]Short Spot'!AZ216)*100</f>
        <v>-6.8740455853522064E-2</v>
      </c>
      <c r="BA216" s="19">
        <f>('[1]Short Spot'!BA217-'[1]Short Spot'!BA216)*100</f>
        <v>-3.2396517114019474E-2</v>
      </c>
      <c r="BB216" s="19">
        <f>('[1]Short Spot'!BB217-'[1]Short Spot'!BB216)*100</f>
        <v>3.1555102548708192E-3</v>
      </c>
      <c r="BC216" s="19">
        <f>('[1]Short Spot'!BC217-'[1]Short Spot'!BC216)*100</f>
        <v>3.7916933643789008E-2</v>
      </c>
      <c r="BD216" s="19">
        <f>('[1]Short Spot'!BD217-'[1]Short Spot'!BD216)*100</f>
        <v>7.1891210347008183E-2</v>
      </c>
      <c r="BE216" s="19">
        <f>('[1]Short Spot'!BE217-'[1]Short Spot'!BE216)*100</f>
        <v>0.10508393117039105</v>
      </c>
      <c r="BF216" s="19">
        <f>('[1]Short Spot'!BF217-'[1]Short Spot'!BF216)*100</f>
        <v>0.13750250735853342</v>
      </c>
      <c r="BG216" s="19">
        <f>('[1]Short Spot'!BG217-'[1]Short Spot'!BG216)*100</f>
        <v>0.16915478987424848</v>
      </c>
      <c r="BH216" s="19">
        <f>('[1]Short Spot'!BH217-'[1]Short Spot'!BH216)*100</f>
        <v>0.20004894867691192</v>
      </c>
      <c r="BI216" s="19">
        <f>('[1]Short Spot'!BI217-'[1]Short Spot'!BI216)*100</f>
        <v>0.23019393124137366</v>
      </c>
    </row>
    <row r="217" spans="1:61" x14ac:dyDescent="0.2">
      <c r="A217" s="18">
        <v>39393</v>
      </c>
      <c r="B217" s="19">
        <f>('[1]Short Spot'!B218-'[1]Short Spot'!B217)*100</f>
        <v>-1.0616307503378053</v>
      </c>
      <c r="C217" s="19">
        <f>('[1]Short Spot'!C218-'[1]Short Spot'!C217)*100</f>
        <v>-1.9481088788401379</v>
      </c>
      <c r="D217" s="19">
        <f>('[1]Short Spot'!D218-'[1]Short Spot'!D217)*100</f>
        <v>-2.6763588859592957</v>
      </c>
      <c r="E217" s="19">
        <f>('[1]Short Spot'!E218-'[1]Short Spot'!E217)*100</f>
        <v>-3.0929184868480064</v>
      </c>
      <c r="F217" s="19">
        <f>('[1]Short Spot'!F218-'[1]Short Spot'!F217)*100</f>
        <v>-3.2605885919922528</v>
      </c>
      <c r="G217" s="19">
        <f>('[1]Short Spot'!G218-'[1]Short Spot'!G217)*100</f>
        <v>-3.3065361990187725</v>
      </c>
      <c r="H217" s="19">
        <f>('[1]Short Spot'!H218-'[1]Short Spot'!H217)*100</f>
        <v>-3.3146468695783859</v>
      </c>
      <c r="I217" s="19">
        <f>('[1]Short Spot'!I218-'[1]Short Spot'!I217)*100</f>
        <v>-3.3325533089196391</v>
      </c>
      <c r="J217" s="19">
        <f>('[1]Short Spot'!J218-'[1]Short Spot'!J217)*100</f>
        <v>-3.3761788807622928</v>
      </c>
      <c r="K217" s="19">
        <f>('[1]Short Spot'!K218-'[1]Short Spot'!K217)*100</f>
        <v>-3.4446898298584827</v>
      </c>
      <c r="L217" s="19">
        <f>('[1]Short Spot'!L218-'[1]Short Spot'!L217)*100</f>
        <v>-3.5313261687154096</v>
      </c>
      <c r="M217" s="19">
        <f>('[1]Short Spot'!M218-'[1]Short Spot'!M217)*100</f>
        <v>-3.6288704327968269</v>
      </c>
      <c r="N217" s="19">
        <f>('[1]Short Spot'!N218-'[1]Short Spot'!N217)*100</f>
        <v>-3.730193752521771</v>
      </c>
      <c r="O217" s="19">
        <f>('[1]Short Spot'!O218-'[1]Short Spot'!O217)*100</f>
        <v>-3.8294880592022906</v>
      </c>
      <c r="P217" s="19">
        <f>('[1]Short Spot'!P218-'[1]Short Spot'!P217)*100</f>
        <v>-3.9230931273284142</v>
      </c>
      <c r="Q217" s="19">
        <f>('[1]Short Spot'!Q218-'[1]Short Spot'!Q217)*100</f>
        <v>-4.008944118041935</v>
      </c>
      <c r="R217" s="19">
        <f>('[1]Short Spot'!R218-'[1]Short Spot'!R217)*100</f>
        <v>-4.0860505326906882</v>
      </c>
      <c r="S217" s="19">
        <f>('[1]Short Spot'!S218-'[1]Short Spot'!S217)*100</f>
        <v>-4.1539229857089133</v>
      </c>
      <c r="T217" s="19">
        <f>('[1]Short Spot'!T218-'[1]Short Spot'!T217)*100</f>
        <v>-4.2124458746465976</v>
      </c>
      <c r="U217" s="19">
        <f>('[1]Short Spot'!U218-'[1]Short Spot'!U217)*100</f>
        <v>-4.26182639403061</v>
      </c>
      <c r="V217" s="19">
        <f>('[1]Short Spot'!V218-'[1]Short Spot'!V217)*100</f>
        <v>-4.3025176952459887</v>
      </c>
      <c r="W217" s="19">
        <f>('[1]Short Spot'!W218-'[1]Short Spot'!W217)*100</f>
        <v>-4.3351629872501185</v>
      </c>
      <c r="X217" s="19">
        <f>('[1]Short Spot'!X218-'[1]Short Spot'!X217)*100</f>
        <v>-4.3605535484926072</v>
      </c>
      <c r="Y217" s="19">
        <f>('[1]Short Spot'!Y218-'[1]Short Spot'!Y217)*100</f>
        <v>-4.3795433269194994</v>
      </c>
      <c r="Z217" s="19">
        <f>('[1]Short Spot'!Z218-'[1]Short Spot'!Z217)*100</f>
        <v>-4.3929223146516705</v>
      </c>
      <c r="AA217" s="19">
        <f>('[1]Short Spot'!AA218-'[1]Short Spot'!AA217)*100</f>
        <v>-4.4014227672198203</v>
      </c>
      <c r="AB217" s="19">
        <f>('[1]Short Spot'!AB218-'[1]Short Spot'!AB217)*100</f>
        <v>-4.4057064301841642</v>
      </c>
      <c r="AC217" s="19">
        <f>('[1]Short Spot'!AC218-'[1]Short Spot'!AC217)*100</f>
        <v>-4.4063587913424129</v>
      </c>
      <c r="AD217" s="19">
        <f>('[1]Short Spot'!AD218-'[1]Short Spot'!AD217)*100</f>
        <v>-4.4039012442215864</v>
      </c>
      <c r="AE217" s="19">
        <f>('[1]Short Spot'!AE218-'[1]Short Spot'!AE217)*100</f>
        <v>-4.3988017704562843</v>
      </c>
      <c r="AF217" s="19">
        <f>('[1]Short Spot'!AF218-'[1]Short Spot'!AF217)*100</f>
        <v>-4.3914835529426988</v>
      </c>
      <c r="AG217" s="19">
        <f>('[1]Short Spot'!AG218-'[1]Short Spot'!AG217)*100</f>
        <v>-4.3823287008869727</v>
      </c>
      <c r="AH217" s="19">
        <f>('[1]Short Spot'!AH218-'[1]Short Spot'!AH217)*100</f>
        <v>-4.3716706995552634</v>
      </c>
      <c r="AI217" s="19">
        <f>('[1]Short Spot'!AI218-'[1]Short Spot'!AI217)*100</f>
        <v>-4.3597985863217836</v>
      </c>
      <c r="AJ217" s="19">
        <f>('[1]Short Spot'!AJ218-'[1]Short Spot'!AJ217)*100</f>
        <v>-4.3469638391838927</v>
      </c>
      <c r="AK217" s="19">
        <f>('[1]Short Spot'!AK218-'[1]Short Spot'!AK217)*100</f>
        <v>-4.3333855933413545</v>
      </c>
      <c r="AL217" s="19">
        <f>('[1]Short Spot'!AL218-'[1]Short Spot'!AL217)*100</f>
        <v>-4.3192548981924261</v>
      </c>
      <c r="AM217" s="19">
        <f>('[1]Short Spot'!AM218-'[1]Short Spot'!AM217)*100</f>
        <v>-4.304736989780622</v>
      </c>
      <c r="AN217" s="19">
        <f>('[1]Short Spot'!AN218-'[1]Short Spot'!AN217)*100</f>
        <v>-4.2899740019429089</v>
      </c>
      <c r="AO217" s="19">
        <f>('[1]Short Spot'!AO218-'[1]Short Spot'!AO217)*100</f>
        <v>-4.275088222852208</v>
      </c>
      <c r="AP217" s="19">
        <f>('[1]Short Spot'!AP218-'[1]Short Spot'!AP217)*100</f>
        <v>-4.2601845224861101</v>
      </c>
      <c r="AQ217" s="19">
        <f>('[1]Short Spot'!AQ218-'[1]Short Spot'!AQ217)*100</f>
        <v>-4.2453524262199061</v>
      </c>
      <c r="AR217" s="19">
        <f>('[1]Short Spot'!AR218-'[1]Short Spot'!AR217)*100</f>
        <v>-4.2306678990844837</v>
      </c>
      <c r="AS217" s="19">
        <f>('[1]Short Spot'!AS218-'[1]Short Spot'!AS217)*100</f>
        <v>-4.2161948866592525</v>
      </c>
      <c r="AT217" s="19">
        <f>('[1]Short Spot'!AT218-'[1]Short Spot'!AT217)*100</f>
        <v>-4.2019866776628056</v>
      </c>
      <c r="AU217" s="19">
        <f>('[1]Short Spot'!AU218-'[1]Short Spot'!AU217)*100</f>
        <v>-4.1880872975939454</v>
      </c>
      <c r="AV217" s="19">
        <f>('[1]Short Spot'!AV218-'[1]Short Spot'!AV217)*100</f>
        <v>-4.1745326750924683</v>
      </c>
      <c r="AW217" s="19">
        <f>('[1]Short Spot'!AW218-'[1]Short Spot'!AW217)*100</f>
        <v>-4.1613514960959996</v>
      </c>
      <c r="AX217" s="19">
        <f>('[1]Short Spot'!AX218-'[1]Short Spot'!AX217)*100</f>
        <v>-4.148565942890059</v>
      </c>
      <c r="AY217" s="19">
        <f>('[1]Short Spot'!AY218-'[1]Short Spot'!AY217)*100</f>
        <v>-4.1361923444745763</v>
      </c>
      <c r="AZ217" s="19">
        <f>('[1]Short Spot'!AZ218-'[1]Short Spot'!AZ217)*100</f>
        <v>-4.1242417504142814</v>
      </c>
      <c r="BA217" s="19">
        <f>('[1]Short Spot'!BA218-'[1]Short Spot'!BA217)*100</f>
        <v>-4.1127204384779681</v>
      </c>
      <c r="BB217" s="19">
        <f>('[1]Short Spot'!BB218-'[1]Short Spot'!BB217)*100</f>
        <v>-4.1016304028818951</v>
      </c>
      <c r="BC217" s="19">
        <f>('[1]Short Spot'!BC218-'[1]Short Spot'!BC217)*100</f>
        <v>-4.0909700353100931</v>
      </c>
      <c r="BD217" s="19">
        <f>('[1]Short Spot'!BD218-'[1]Short Spot'!BD217)*100</f>
        <v>-4.0807345245358562</v>
      </c>
      <c r="BE217" s="19">
        <f>('[1]Short Spot'!BE218-'[1]Short Spot'!BE217)*100</f>
        <v>-4.0709158731007555</v>
      </c>
      <c r="BF217" s="19">
        <f>('[1]Short Spot'!BF218-'[1]Short Spot'!BF217)*100</f>
        <v>-4.0615027081349453</v>
      </c>
      <c r="BG217" s="19">
        <f>('[1]Short Spot'!BG218-'[1]Short Spot'!BG217)*100</f>
        <v>-4.0524817519931311</v>
      </c>
      <c r="BH217" s="19">
        <f>('[1]Short Spot'!BH218-'[1]Short Spot'!BH217)*100</f>
        <v>-4.0438393257129945</v>
      </c>
      <c r="BI217" s="19">
        <f>('[1]Short Spot'!BI218-'[1]Short Spot'!BI217)*100</f>
        <v>-4.0355613635050247</v>
      </c>
    </row>
    <row r="218" spans="1:61" x14ac:dyDescent="0.2">
      <c r="A218" s="18">
        <v>39394</v>
      </c>
      <c r="B218" s="19">
        <f>('[1]Short Spot'!B219-'[1]Short Spot'!B218)*100</f>
        <v>-0.81047047237658987</v>
      </c>
      <c r="C218" s="19">
        <f>('[1]Short Spot'!C219-'[1]Short Spot'!C218)*100</f>
        <v>-1.4366249016751098</v>
      </c>
      <c r="D218" s="19">
        <f>('[1]Short Spot'!D219-'[1]Short Spot'!D218)*100</f>
        <v>-2.0752880539611773</v>
      </c>
      <c r="E218" s="19">
        <f>('[1]Short Spot'!E219-'[1]Short Spot'!E218)*100</f>
        <v>-2.3967236392143931</v>
      </c>
      <c r="F218" s="19">
        <f>('[1]Short Spot'!F219-'[1]Short Spot'!F218)*100</f>
        <v>-2.5356264000521378</v>
      </c>
      <c r="G218" s="19">
        <f>('[1]Short Spot'!G219-'[1]Short Spot'!G218)*100</f>
        <v>-2.6651640114602415</v>
      </c>
      <c r="H218" s="19">
        <f>('[1]Short Spot'!H219-'[1]Short Spot'!H218)*100</f>
        <v>-2.8660073755128579</v>
      </c>
      <c r="I218" s="19">
        <f>('[1]Short Spot'!I219-'[1]Short Spot'!I218)*100</f>
        <v>-3.1650273612656044</v>
      </c>
      <c r="J218" s="19">
        <f>('[1]Short Spot'!J219-'[1]Short Spot'!J218)*100</f>
        <v>-3.5520792219982944</v>
      </c>
      <c r="K218" s="19">
        <f>('[1]Short Spot'!K219-'[1]Short Spot'!K218)*100</f>
        <v>-3.9983293332118031</v>
      </c>
      <c r="L218" s="19">
        <f>('[1]Short Spot'!L219-'[1]Short Spot'!L218)*100</f>
        <v>-4.4733621814867064</v>
      </c>
      <c r="M218" s="19">
        <f>('[1]Short Spot'!M219-'[1]Short Spot'!M218)*100</f>
        <v>-4.9538767095255842</v>
      </c>
      <c r="N218" s="19">
        <f>('[1]Short Spot'!N219-'[1]Short Spot'!N218)*100</f>
        <v>-5.4215824612282582</v>
      </c>
      <c r="O218" s="19">
        <f>('[1]Short Spot'!O219-'[1]Short Spot'!O218)*100</f>
        <v>-5.8625905503607356</v>
      </c>
      <c r="P218" s="19">
        <f>('[1]Short Spot'!P219-'[1]Short Spot'!P218)*100</f>
        <v>-6.2686958046177743</v>
      </c>
      <c r="Q218" s="19">
        <f>('[1]Short Spot'!Q219-'[1]Short Spot'!Q218)*100</f>
        <v>-6.6360809258171116</v>
      </c>
      <c r="R218" s="19">
        <f>('[1]Short Spot'!R219-'[1]Short Spot'!R218)*100</f>
        <v>-6.9639300117808389</v>
      </c>
      <c r="S218" s="19">
        <f>('[1]Short Spot'!S219-'[1]Short Spot'!S218)*100</f>
        <v>-7.2529073079689255</v>
      </c>
      <c r="T218" s="19">
        <f>('[1]Short Spot'!T219-'[1]Short Spot'!T218)*100</f>
        <v>-7.5043821242020137</v>
      </c>
      <c r="U218" s="19">
        <f>('[1]Short Spot'!U219-'[1]Short Spot'!U218)*100</f>
        <v>-7.7202559602377541</v>
      </c>
      <c r="V218" s="19">
        <f>('[1]Short Spot'!V219-'[1]Short Spot'!V218)*100</f>
        <v>-7.9028357968322638</v>
      </c>
      <c r="W218" s="19">
        <f>('[1]Short Spot'!W219-'[1]Short Spot'!W218)*100</f>
        <v>-8.0547419409694676</v>
      </c>
      <c r="X218" s="19">
        <f>('[1]Short Spot'!X219-'[1]Short Spot'!X218)*100</f>
        <v>-8.1788386340386765</v>
      </c>
      <c r="Y218" s="19">
        <f>('[1]Short Spot'!Y219-'[1]Short Spot'!Y218)*100</f>
        <v>-8.2780716299559742</v>
      </c>
      <c r="Z218" s="19">
        <f>('[1]Short Spot'!Z219-'[1]Short Spot'!Z218)*100</f>
        <v>-8.3551447484496499</v>
      </c>
      <c r="AA218" s="19">
        <f>('[1]Short Spot'!AA219-'[1]Short Spot'!AA218)*100</f>
        <v>-8.4124829972686221</v>
      </c>
      <c r="AB218" s="19">
        <f>('[1]Short Spot'!AB219-'[1]Short Spot'!AB218)*100</f>
        <v>-8.4522511317571158</v>
      </c>
      <c r="AC218" s="19">
        <f>('[1]Short Spot'!AC219-'[1]Short Spot'!AC218)*100</f>
        <v>-8.4763787276296299</v>
      </c>
      <c r="AD218" s="19">
        <f>('[1]Short Spot'!AD219-'[1]Short Spot'!AD218)*100</f>
        <v>-8.4865997802505255</v>
      </c>
      <c r="AE218" s="19">
        <f>('[1]Short Spot'!AE219-'[1]Short Spot'!AE218)*100</f>
        <v>-8.4844853013599675</v>
      </c>
      <c r="AF218" s="19">
        <f>('[1]Short Spot'!AF219-'[1]Short Spot'!AF218)*100</f>
        <v>-8.4714696016957802</v>
      </c>
      <c r="AG218" s="19">
        <f>('[1]Short Spot'!AG219-'[1]Short Spot'!AG218)*100</f>
        <v>-8.4488649309307107</v>
      </c>
      <c r="AH218" s="19">
        <f>('[1]Short Spot'!AH219-'[1]Short Spot'!AH218)*100</f>
        <v>-8.4178450407227601</v>
      </c>
      <c r="AI218" s="19">
        <f>('[1]Short Spot'!AI219-'[1]Short Spot'!AI218)*100</f>
        <v>-8.3794486201877127</v>
      </c>
      <c r="AJ218" s="19">
        <f>('[1]Short Spot'!AJ219-'[1]Short Spot'!AJ218)*100</f>
        <v>-8.33459833064083</v>
      </c>
      <c r="AK218" s="19">
        <f>('[1]Short Spot'!AK219-'[1]Short Spot'!AK218)*100</f>
        <v>-8.2841169205678078</v>
      </c>
      <c r="AL218" s="19">
        <f>('[1]Short Spot'!AL219-'[1]Short Spot'!AL218)*100</f>
        <v>-8.2287405291267213</v>
      </c>
      <c r="AM218" s="19">
        <f>('[1]Short Spot'!AM219-'[1]Short Spot'!AM218)*100</f>
        <v>-8.1691270104623293</v>
      </c>
      <c r="AN218" s="19">
        <f>('[1]Short Spot'!AN219-'[1]Short Spot'!AN218)*100</f>
        <v>-8.1058627470310896</v>
      </c>
      <c r="AO218" s="19">
        <f>('[1]Short Spot'!AO219-'[1]Short Spot'!AO218)*100</f>
        <v>-8.0394714659710154</v>
      </c>
      <c r="AP218" s="19">
        <f>('[1]Short Spot'!AP219-'[1]Short Spot'!AP218)*100</f>
        <v>-7.9704218845511932</v>
      </c>
      <c r="AQ218" s="19">
        <f>('[1]Short Spot'!AQ219-'[1]Short Spot'!AQ218)*100</f>
        <v>-7.8991342589658231</v>
      </c>
      <c r="AR218" s="19">
        <f>('[1]Short Spot'!AR219-'[1]Short Spot'!AR218)*100</f>
        <v>-7.8259860193433894</v>
      </c>
      <c r="AS218" s="19">
        <f>('[1]Short Spot'!AS219-'[1]Short Spot'!AS218)*100</f>
        <v>-7.7513166357591423</v>
      </c>
      <c r="AT218" s="19">
        <f>('[1]Short Spot'!AT219-'[1]Short Spot'!AT218)*100</f>
        <v>-7.6754316122620736</v>
      </c>
      <c r="AU218" s="19">
        <f>('[1]Short Spot'!AU219-'[1]Short Spot'!AU218)*100</f>
        <v>-7.5986050916107217</v>
      </c>
      <c r="AV218" s="19">
        <f>('[1]Short Spot'!AV219-'[1]Short Spot'!AV218)*100</f>
        <v>-7.521082635928078</v>
      </c>
      <c r="AW218" s="19">
        <f>('[1]Short Spot'!AW219-'[1]Short Spot'!AW218)*100</f>
        <v>-7.4430841856511165</v>
      </c>
      <c r="AX218" s="19">
        <f>('[1]Short Spot'!AX219-'[1]Short Spot'!AX218)*100</f>
        <v>-7.3648066739887774</v>
      </c>
      <c r="AY218" s="19">
        <f>('[1]Short Spot'!AY219-'[1]Short Spot'!AY218)*100</f>
        <v>-7.2864263276448682</v>
      </c>
      <c r="AZ218" s="19">
        <f>('[1]Short Spot'!AZ219-'[1]Short Spot'!AZ218)*100</f>
        <v>-7.2081006968670813</v>
      </c>
      <c r="BA218" s="19">
        <f>('[1]Short Spot'!BA219-'[1]Short Spot'!BA218)*100</f>
        <v>-7.1299704512606255</v>
      </c>
      <c r="BB218" s="19">
        <f>('[1]Short Spot'!BB219-'[1]Short Spot'!BB218)*100</f>
        <v>-7.0521609791109441</v>
      </c>
      <c r="BC218" s="19">
        <f>('[1]Short Spot'!BC219-'[1]Short Spot'!BC218)*100</f>
        <v>-6.9747835699405236</v>
      </c>
      <c r="BD218" s="19">
        <f>('[1]Short Spot'!BD219-'[1]Short Spot'!BD218)*100</f>
        <v>-6.8979361232926806</v>
      </c>
      <c r="BE218" s="19">
        <f>('[1]Short Spot'!BE219-'[1]Short Spot'!BE218)*100</f>
        <v>-6.8217041303048731</v>
      </c>
      <c r="BF218" s="19">
        <f>('[1]Short Spot'!BF219-'[1]Short Spot'!BF218)*100</f>
        <v>-6.7461622903858931</v>
      </c>
      <c r="BG218" s="19">
        <f>('[1]Short Spot'!BG219-'[1]Short Spot'!BG218)*100</f>
        <v>-6.6713770175836906</v>
      </c>
      <c r="BH218" s="19">
        <f>('[1]Short Spot'!BH219-'[1]Short Spot'!BH218)*100</f>
        <v>-6.5974075047618541</v>
      </c>
      <c r="BI218" s="19">
        <f>('[1]Short Spot'!BI219-'[1]Short Spot'!BI218)*100</f>
        <v>-6.52430596258462</v>
      </c>
    </row>
    <row r="219" spans="1:61" x14ac:dyDescent="0.2">
      <c r="A219" s="18">
        <v>39395</v>
      </c>
      <c r="B219" s="19">
        <f>('[1]Short Spot'!B220-'[1]Short Spot'!B219)*100</f>
        <v>3.2298322908358656</v>
      </c>
      <c r="C219" s="19">
        <f>('[1]Short Spot'!C220-'[1]Short Spot'!C219)*100</f>
        <v>1.5234570852449281</v>
      </c>
      <c r="D219" s="19">
        <f>('[1]Short Spot'!D220-'[1]Short Spot'!D219)*100</f>
        <v>7.5034332164580775E-2</v>
      </c>
      <c r="E219" s="19">
        <f>('[1]Short Spot'!E220-'[1]Short Spot'!E219)*100</f>
        <v>-0.87947855397318975</v>
      </c>
      <c r="F219" s="19">
        <f>('[1]Short Spot'!F220-'[1]Short Spot'!F219)*100</f>
        <v>-1.5507344556912273</v>
      </c>
      <c r="G219" s="19">
        <f>('[1]Short Spot'!G220-'[1]Short Spot'!G219)*100</f>
        <v>-2.1110558495238685</v>
      </c>
      <c r="H219" s="19">
        <f>('[1]Short Spot'!H220-'[1]Short Spot'!H219)*100</f>
        <v>-2.6348509549857901</v>
      </c>
      <c r="I219" s="19">
        <f>('[1]Short Spot'!I220-'[1]Short Spot'!I219)*100</f>
        <v>-3.1546080468545235</v>
      </c>
      <c r="J219" s="19">
        <f>('[1]Short Spot'!J220-'[1]Short Spot'!J219)*100</f>
        <v>-3.6754098360626486</v>
      </c>
      <c r="K219" s="19">
        <f>('[1]Short Spot'!K220-'[1]Short Spot'!K219)*100</f>
        <v>-4.187175909258567</v>
      </c>
      <c r="L219" s="19">
        <f>('[1]Short Spot'!L220-'[1]Short Spot'!L219)*100</f>
        <v>-4.6731885223804781</v>
      </c>
      <c r="M219" s="19">
        <f>('[1]Short Spot'!M220-'[1]Short Spot'!M219)*100</f>
        <v>-5.122113884707602</v>
      </c>
      <c r="N219" s="19">
        <f>('[1]Short Spot'!N220-'[1]Short Spot'!N219)*100</f>
        <v>-5.5278916634367903</v>
      </c>
      <c r="O219" s="19">
        <f>('[1]Short Spot'!O220-'[1]Short Spot'!O219)*100</f>
        <v>-5.888640437089343</v>
      </c>
      <c r="P219" s="19">
        <f>('[1]Short Spot'!P220-'[1]Short Spot'!P219)*100</f>
        <v>-6.2053035669070944</v>
      </c>
      <c r="Q219" s="19">
        <f>('[1]Short Spot'!Q220-'[1]Short Spot'!Q219)*100</f>
        <v>-6.4806548531657349</v>
      </c>
      <c r="R219" s="19">
        <f>('[1]Short Spot'!R220-'[1]Short Spot'!R219)*100</f>
        <v>-6.7184842170791903</v>
      </c>
      <c r="S219" s="19">
        <f>('[1]Short Spot'!S220-'[1]Short Spot'!S219)*100</f>
        <v>-6.9221749046097791</v>
      </c>
      <c r="T219" s="19">
        <f>('[1]Short Spot'!T220-'[1]Short Spot'!T219)*100</f>
        <v>-7.0948045018181638</v>
      </c>
      <c r="U219" s="19">
        <f>('[1]Short Spot'!U220-'[1]Short Spot'!U219)*100</f>
        <v>-7.2393302662052683</v>
      </c>
      <c r="V219" s="19">
        <f>('[1]Short Spot'!V220-'[1]Short Spot'!V219)*100</f>
        <v>-7.3586177764592975</v>
      </c>
      <c r="W219" s="19">
        <f>('[1]Short Spot'!W220-'[1]Short Spot'!W219)*100</f>
        <v>-7.4554617685478775</v>
      </c>
      <c r="X219" s="19">
        <f>('[1]Short Spot'!X220-'[1]Short Spot'!X219)*100</f>
        <v>-7.5325961233113858</v>
      </c>
      <c r="Y219" s="19">
        <f>('[1]Short Spot'!Y220-'[1]Short Spot'!Y219)*100</f>
        <v>-7.5925084952498167</v>
      </c>
      <c r="Z219" s="19">
        <f>('[1]Short Spot'!Z220-'[1]Short Spot'!Z219)*100</f>
        <v>-7.6372778971348865</v>
      </c>
      <c r="AA219" s="19">
        <f>('[1]Short Spot'!AA220-'[1]Short Spot'!AA219)*100</f>
        <v>-7.6687279748734127</v>
      </c>
      <c r="AB219" s="19">
        <f>('[1]Short Spot'!AB220-'[1]Short Spot'!AB219)*100</f>
        <v>-7.6884525395447767</v>
      </c>
      <c r="AC219" s="19">
        <f>('[1]Short Spot'!AC220-'[1]Short Spot'!AC219)*100</f>
        <v>-7.6978537476207087</v>
      </c>
      <c r="AD219" s="19">
        <f>('[1]Short Spot'!AD220-'[1]Short Spot'!AD219)*100</f>
        <v>-7.6981763657939517</v>
      </c>
      <c r="AE219" s="19">
        <f>('[1]Short Spot'!AE220-'[1]Short Spot'!AE219)*100</f>
        <v>-7.6905340026063307</v>
      </c>
      <c r="AF219" s="19">
        <f>('[1]Short Spot'!AF220-'[1]Short Spot'!AF219)*100</f>
        <v>-7.6759302084323799</v>
      </c>
      <c r="AG219" s="19">
        <f>('[1]Short Spot'!AG220-'[1]Short Spot'!AG219)*100</f>
        <v>-7.6552622081901056</v>
      </c>
      <c r="AH219" s="19">
        <f>('[1]Short Spot'!AH220-'[1]Short Spot'!AH219)*100</f>
        <v>-7.6293050875334778</v>
      </c>
      <c r="AI219" s="19">
        <f>('[1]Short Spot'!AI220-'[1]Short Spot'!AI219)*100</f>
        <v>-7.5987363552617815</v>
      </c>
      <c r="AJ219" s="19">
        <f>('[1]Short Spot'!AJ220-'[1]Short Spot'!AJ219)*100</f>
        <v>-7.5641522062004363</v>
      </c>
      <c r="AK219" s="19">
        <f>('[1]Short Spot'!AK220-'[1]Short Spot'!AK219)*100</f>
        <v>-7.5260788148082014</v>
      </c>
      <c r="AL219" s="19">
        <f>('[1]Short Spot'!AL220-'[1]Short Spot'!AL219)*100</f>
        <v>-7.4849813101445228</v>
      </c>
      <c r="AM219" s="19">
        <f>('[1]Short Spot'!AM220-'[1]Short Spot'!AM219)*100</f>
        <v>-7.4412687418580425</v>
      </c>
      <c r="AN219" s="19">
        <f>('[1]Short Spot'!AN220-'[1]Short Spot'!AN219)*100</f>
        <v>-7.3953033824250447</v>
      </c>
      <c r="AO219" s="19">
        <f>('[1]Short Spot'!AO220-'[1]Short Spot'!AO219)*100</f>
        <v>-7.3474082155009057</v>
      </c>
      <c r="AP219" s="19">
        <f>('[1]Short Spot'!AP220-'[1]Short Spot'!AP219)*100</f>
        <v>-7.2978717363684886</v>
      </c>
      <c r="AQ219" s="19">
        <f>('[1]Short Spot'!AQ220-'[1]Short Spot'!AQ219)*100</f>
        <v>-7.246952057696987</v>
      </c>
      <c r="AR219" s="19">
        <f>('[1]Short Spot'!AR220-'[1]Short Spot'!AR219)*100</f>
        <v>-7.1948804424025958</v>
      </c>
      <c r="AS219" s="19">
        <f>('[1]Short Spot'!AS220-'[1]Short Spot'!AS219)*100</f>
        <v>-7.1418643527092485</v>
      </c>
      <c r="AT219" s="19">
        <f>('[1]Short Spot'!AT220-'[1]Short Spot'!AT219)*100</f>
        <v>-7.0880899509825568</v>
      </c>
      <c r="AU219" s="19">
        <f>('[1]Short Spot'!AU220-'[1]Short Spot'!AU219)*100</f>
        <v>-7.0337242416090184</v>
      </c>
      <c r="AV219" s="19">
        <f>('[1]Short Spot'!AV220-'[1]Short Spot'!AV219)*100</f>
        <v>-6.9789172320740889</v>
      </c>
      <c r="AW219" s="19">
        <f>('[1]Short Spot'!AW220-'[1]Short Spot'!AW219)*100</f>
        <v>-6.9238037187159485</v>
      </c>
      <c r="AX219" s="19">
        <f>('[1]Short Spot'!AX220-'[1]Short Spot'!AX219)*100</f>
        <v>-6.8685048388836378</v>
      </c>
      <c r="AY219" s="19">
        <f>('[1]Short Spot'!AY220-'[1]Short Spot'!AY219)*100</f>
        <v>-6.8131294368359185</v>
      </c>
      <c r="AZ219" s="19">
        <f>('[1]Short Spot'!AZ220-'[1]Short Spot'!AZ219)*100</f>
        <v>-6.7577752689460091</v>
      </c>
      <c r="BA219" s="19">
        <f>('[1]Short Spot'!BA220-'[1]Short Spot'!BA219)*100</f>
        <v>-6.7025300698448476</v>
      </c>
      <c r="BB219" s="19">
        <f>('[1]Short Spot'!BB220-'[1]Short Spot'!BB219)*100</f>
        <v>-6.6474725722854622</v>
      </c>
      <c r="BC219" s="19">
        <f>('[1]Short Spot'!BC220-'[1]Short Spot'!BC219)*100</f>
        <v>-6.5926733249366265</v>
      </c>
      <c r="BD219" s="19">
        <f>('[1]Short Spot'!BD220-'[1]Short Spot'!BD219)*100</f>
        <v>-6.5381947004863328</v>
      </c>
      <c r="BE219" s="19">
        <f>('[1]Short Spot'!BE220-'[1]Short Spot'!BE219)*100</f>
        <v>-6.4840911937076307</v>
      </c>
      <c r="BF219" s="19">
        <f>('[1]Short Spot'!BF220-'[1]Short Spot'!BF219)*100</f>
        <v>-6.4304118721140391</v>
      </c>
      <c r="BG219" s="19">
        <f>('[1]Short Spot'!BG220-'[1]Short Spot'!BG219)*100</f>
        <v>-6.3772041056846085</v>
      </c>
      <c r="BH219" s="19">
        <f>('[1]Short Spot'!BH220-'[1]Short Spot'!BH219)*100</f>
        <v>-6.3245117089808289</v>
      </c>
      <c r="BI219" s="19">
        <f>('[1]Short Spot'!BI220-'[1]Short Spot'!BI219)*100</f>
        <v>-6.2723735127355518</v>
      </c>
    </row>
    <row r="220" spans="1:61" x14ac:dyDescent="0.2">
      <c r="A220" s="18">
        <v>39398</v>
      </c>
      <c r="B220" s="19">
        <f>('[1]Short Spot'!B221-'[1]Short Spot'!B220)*100</f>
        <v>0.2842738762921293</v>
      </c>
      <c r="C220" s="19">
        <f>('[1]Short Spot'!C221-'[1]Short Spot'!C220)*100</f>
        <v>0.52453231476432549</v>
      </c>
      <c r="D220" s="19">
        <f>('[1]Short Spot'!D221-'[1]Short Spot'!D220)*100</f>
        <v>0.58612181752817349</v>
      </c>
      <c r="E220" s="19">
        <f>('[1]Short Spot'!E221-'[1]Short Spot'!E220)*100</f>
        <v>0.56941181979590638</v>
      </c>
      <c r="F220" s="19">
        <f>('[1]Short Spot'!F221-'[1]Short Spot'!F220)*100</f>
        <v>0.48901417417814841</v>
      </c>
      <c r="G220" s="19">
        <f>('[1]Short Spot'!G221-'[1]Short Spot'!G220)*100</f>
        <v>0.38099219531400053</v>
      </c>
      <c r="H220" s="19">
        <f>('[1]Short Spot'!H221-'[1]Short Spot'!H220)*100</f>
        <v>0.25969038587749793</v>
      </c>
      <c r="I220" s="19">
        <f>('[1]Short Spot'!I221-'[1]Short Spot'!I220)*100</f>
        <v>0.13223584479336026</v>
      </c>
      <c r="J220" s="19">
        <f>('[1]Short Spot'!J221-'[1]Short Spot'!J220)*100</f>
        <v>8.4860685816146031E-3</v>
      </c>
      <c r="K220" s="19">
        <f>('[1]Short Spot'!K221-'[1]Short Spot'!K220)*100</f>
        <v>-0.10146559752541862</v>
      </c>
      <c r="L220" s="19">
        <f>('[1]Short Spot'!L221-'[1]Short Spot'!L220)*100</f>
        <v>-0.19412456826746194</v>
      </c>
      <c r="M220" s="19">
        <f>('[1]Short Spot'!M221-'[1]Short Spot'!M220)*100</f>
        <v>-0.26839261972453343</v>
      </c>
      <c r="N220" s="19">
        <f>('[1]Short Spot'!N221-'[1]Short Spot'!N220)*100</f>
        <v>-0.32366428896333233</v>
      </c>
      <c r="O220" s="19">
        <f>('[1]Short Spot'!O221-'[1]Short Spot'!O220)*100</f>
        <v>-0.36048840367852719</v>
      </c>
      <c r="P220" s="19">
        <f>('[1]Short Spot'!P221-'[1]Short Spot'!P220)*100</f>
        <v>-0.38020964799860835</v>
      </c>
      <c r="Q220" s="19">
        <f>('[1]Short Spot'!Q221-'[1]Short Spot'!Q220)*100</f>
        <v>-0.38461476537463568</v>
      </c>
      <c r="R220" s="19">
        <f>('[1]Short Spot'!R221-'[1]Short Spot'!R220)*100</f>
        <v>-0.37568029313685969</v>
      </c>
      <c r="S220" s="19">
        <f>('[1]Short Spot'!S221-'[1]Short Spot'!S220)*100</f>
        <v>-0.35509913095852497</v>
      </c>
      <c r="T220" s="19">
        <f>('[1]Short Spot'!T221-'[1]Short Spot'!T220)*100</f>
        <v>-0.32436644825493133</v>
      </c>
      <c r="U220" s="19">
        <f>('[1]Short Spot'!U221-'[1]Short Spot'!U220)*100</f>
        <v>-0.28486113449570638</v>
      </c>
      <c r="V220" s="19">
        <f>('[1]Short Spot'!V221-'[1]Short Spot'!V220)*100</f>
        <v>-0.23787348490591498</v>
      </c>
      <c r="W220" s="19">
        <f>('[1]Short Spot'!W221-'[1]Short Spot'!W220)*100</f>
        <v>-0.18462533552128235</v>
      </c>
      <c r="X220" s="19">
        <f>('[1]Short Spot'!X221-'[1]Short Spot'!X220)*100</f>
        <v>-0.12628205943032711</v>
      </c>
      <c r="Y220" s="19">
        <f>('[1]Short Spot'!Y221-'[1]Short Spot'!Y220)*100</f>
        <v>-6.3889211173417948E-2</v>
      </c>
      <c r="Z220" s="19">
        <f>('[1]Short Spot'!Z221-'[1]Short Spot'!Z220)*100</f>
        <v>1.6622515760289502E-3</v>
      </c>
      <c r="AA220" s="19">
        <f>('[1]Short Spot'!AA221-'[1]Short Spot'!AA220)*100</f>
        <v>6.9581282803277134E-2</v>
      </c>
      <c r="AB220" s="19">
        <f>('[1]Short Spot'!AB221-'[1]Short Spot'!AB220)*100</f>
        <v>0.13918351680093366</v>
      </c>
      <c r="AC220" s="19">
        <f>('[1]Short Spot'!AC221-'[1]Short Spot'!AC220)*100</f>
        <v>0.20988196996736264</v>
      </c>
      <c r="AD220" s="19">
        <f>('[1]Short Spot'!AD221-'[1]Short Spot'!AD220)*100</f>
        <v>0.28117023892377802</v>
      </c>
      <c r="AE220" s="19">
        <f>('[1]Short Spot'!AE221-'[1]Short Spot'!AE220)*100</f>
        <v>0.35260907047653944</v>
      </c>
      <c r="AF220" s="19">
        <f>('[1]Short Spot'!AF221-'[1]Short Spot'!AF220)*100</f>
        <v>0.42381557494834965</v>
      </c>
      <c r="AG220" s="19">
        <f>('[1]Short Spot'!AG221-'[1]Short Spot'!AG220)*100</f>
        <v>0.49446017462422276</v>
      </c>
      <c r="AH220" s="19">
        <f>('[1]Short Spot'!AH221-'[1]Short Spot'!AH220)*100</f>
        <v>0.56427022959182338</v>
      </c>
      <c r="AI220" s="19">
        <f>('[1]Short Spot'!AI221-'[1]Short Spot'!AI220)*100</f>
        <v>0.63301942158657809</v>
      </c>
      <c r="AJ220" s="19">
        <f>('[1]Short Spot'!AJ221-'[1]Short Spot'!AJ220)*100</f>
        <v>0.70052050026685464</v>
      </c>
      <c r="AK220" s="19">
        <f>('[1]Short Spot'!AK221-'[1]Short Spot'!AK220)*100</f>
        <v>0.7666198571124383</v>
      </c>
      <c r="AL220" s="19">
        <f>('[1]Short Spot'!AL221-'[1]Short Spot'!AL220)*100</f>
        <v>0.83119312500876674</v>
      </c>
      <c r="AM220" s="19">
        <f>('[1]Short Spot'!AM221-'[1]Short Spot'!AM220)*100</f>
        <v>0.89414140726349345</v>
      </c>
      <c r="AN220" s="19">
        <f>('[1]Short Spot'!AN221-'[1]Short Spot'!AN220)*100</f>
        <v>0.95538598494204763</v>
      </c>
      <c r="AO220" s="19">
        <f>('[1]Short Spot'!AO221-'[1]Short Spot'!AO220)*100</f>
        <v>1.0148651712229118</v>
      </c>
      <c r="AP220" s="19">
        <f>('[1]Short Spot'!AP221-'[1]Short Spot'!AP220)*100</f>
        <v>1.0725322333193787</v>
      </c>
      <c r="AQ220" s="19">
        <f>('[1]Short Spot'!AQ221-'[1]Short Spot'!AQ220)*100</f>
        <v>1.128353612236932</v>
      </c>
      <c r="AR220" s="19">
        <f>('[1]Short Spot'!AR221-'[1]Short Spot'!AR220)*100</f>
        <v>1.1823073909362769</v>
      </c>
      <c r="AS220" s="19">
        <f>('[1]Short Spot'!AS221-'[1]Short Spot'!AS220)*100</f>
        <v>1.2343819713847459</v>
      </c>
      <c r="AT220" s="19">
        <f>('[1]Short Spot'!AT221-'[1]Short Spot'!AT220)*100</f>
        <v>1.2845748143247349</v>
      </c>
      <c r="AU220" s="19">
        <f>('[1]Short Spot'!AU221-'[1]Short Spot'!AU220)*100</f>
        <v>1.3328908751620183</v>
      </c>
      <c r="AV220" s="19">
        <f>('[1]Short Spot'!AV221-'[1]Short Spot'!AV220)*100</f>
        <v>1.3793415092544059</v>
      </c>
      <c r="AW220" s="19">
        <f>('[1]Short Spot'!AW221-'[1]Short Spot'!AW220)*100</f>
        <v>1.4239437959091994</v>
      </c>
      <c r="AX220" s="19">
        <f>('[1]Short Spot'!AX221-'[1]Short Spot'!AX220)*100</f>
        <v>1.466719954306317</v>
      </c>
      <c r="AY220" s="19">
        <f>('[1]Short Spot'!AY221-'[1]Short Spot'!AY220)*100</f>
        <v>1.5076968295120174</v>
      </c>
      <c r="AZ220" s="19">
        <f>('[1]Short Spot'!AZ221-'[1]Short Spot'!AZ220)*100</f>
        <v>1.5469054389591008</v>
      </c>
      <c r="BA220" s="19">
        <f>('[1]Short Spot'!BA221-'[1]Short Spot'!BA220)*100</f>
        <v>1.5843805712583148</v>
      </c>
      <c r="BB220" s="19">
        <f>('[1]Short Spot'!BB221-'[1]Short Spot'!BB220)*100</f>
        <v>1.6201601950943889</v>
      </c>
      <c r="BC220" s="19">
        <f>('[1]Short Spot'!BC221-'[1]Short Spot'!BC220)*100</f>
        <v>1.654283203666651</v>
      </c>
      <c r="BD220" s="19">
        <f>('[1]Short Spot'!BD221-'[1]Short Spot'!BD220)*100</f>
        <v>1.6867877928857133</v>
      </c>
      <c r="BE220" s="19">
        <f>('[1]Short Spot'!BE221-'[1]Short Spot'!BE220)*100</f>
        <v>1.7177125737966925</v>
      </c>
      <c r="BF220" s="19">
        <f>('[1]Short Spot'!BF221-'[1]Short Spot'!BF220)*100</f>
        <v>1.7471008754212036</v>
      </c>
      <c r="BG220" s="19">
        <f>('[1]Short Spot'!BG221-'[1]Short Spot'!BG220)*100</f>
        <v>1.774999729481852</v>
      </c>
      <c r="BH220" s="19">
        <f>('[1]Short Spot'!BH221-'[1]Short Spot'!BH220)*100</f>
        <v>1.8014557223817285</v>
      </c>
      <c r="BI220" s="19">
        <f>('[1]Short Spot'!BI221-'[1]Short Spot'!BI220)*100</f>
        <v>1.826514461226747</v>
      </c>
    </row>
    <row r="221" spans="1:61" x14ac:dyDescent="0.2">
      <c r="A221" s="18">
        <v>39399</v>
      </c>
      <c r="B221" s="19">
        <f>('[1]Short Spot'!B222-'[1]Short Spot'!B221)*100</f>
        <v>-0.258465786578288</v>
      </c>
      <c r="C221" s="19">
        <f>('[1]Short Spot'!C222-'[1]Short Spot'!C221)*100</f>
        <v>0.20286121287895753</v>
      </c>
      <c r="D221" s="19">
        <f>('[1]Short Spot'!D222-'[1]Short Spot'!D221)*100</f>
        <v>0.74463510121098864</v>
      </c>
      <c r="E221" s="19">
        <f>('[1]Short Spot'!E222-'[1]Short Spot'!E221)*100</f>
        <v>1.2179864448088829</v>
      </c>
      <c r="F221" s="19">
        <f>('[1]Short Spot'!F222-'[1]Short Spot'!F221)*100</f>
        <v>1.5344861149070077</v>
      </c>
      <c r="G221" s="19">
        <f>('[1]Short Spot'!G222-'[1]Short Spot'!G221)*100</f>
        <v>1.7026284235029721</v>
      </c>
      <c r="H221" s="19">
        <f>('[1]Short Spot'!H222-'[1]Short Spot'!H221)*100</f>
        <v>1.7473675966376057</v>
      </c>
      <c r="I221" s="19">
        <f>('[1]Short Spot'!I222-'[1]Short Spot'!I221)*100</f>
        <v>1.6952395114103069</v>
      </c>
      <c r="J221" s="19">
        <f>('[1]Short Spot'!J222-'[1]Short Spot'!J221)*100</f>
        <v>1.5727521278215306</v>
      </c>
      <c r="K221" s="19">
        <f>('[1]Short Spot'!K222-'[1]Short Spot'!K221)*100</f>
        <v>1.4059154828422571</v>
      </c>
      <c r="L221" s="19">
        <f>('[1]Short Spot'!L222-'[1]Short Spot'!L221)*100</f>
        <v>1.2160947200752226</v>
      </c>
      <c r="M221" s="19">
        <f>('[1]Short Spot'!M222-'[1]Short Spot'!M221)*100</f>
        <v>1.0178640633362157</v>
      </c>
      <c r="N221" s="19">
        <f>('[1]Short Spot'!N222-'[1]Short Spot'!N221)*100</f>
        <v>0.8212204922245725</v>
      </c>
      <c r="O221" s="19">
        <f>('[1]Short Spot'!O222-'[1]Short Spot'!O221)*100</f>
        <v>0.63268459769778573</v>
      </c>
      <c r="P221" s="19">
        <f>('[1]Short Spot'!P222-'[1]Short Spot'!P221)*100</f>
        <v>0.45592404125791575</v>
      </c>
      <c r="Q221" s="19">
        <f>('[1]Short Spot'!Q222-'[1]Short Spot'!Q221)*100</f>
        <v>0.29259510338004446</v>
      </c>
      <c r="R221" s="19">
        <f>('[1]Short Spot'!R222-'[1]Short Spot'!R221)*100</f>
        <v>0.1430820917103226</v>
      </c>
      <c r="S221" s="19">
        <f>('[1]Short Spot'!S222-'[1]Short Spot'!S221)*100</f>
        <v>7.3411847207438541E-3</v>
      </c>
      <c r="T221" s="19">
        <f>('[1]Short Spot'!T222-'[1]Short Spot'!T221)*100</f>
        <v>-0.11497082491063182</v>
      </c>
      <c r="U221" s="19">
        <f>('[1]Short Spot'!U222-'[1]Short Spot'!U221)*100</f>
        <v>-0.22444977263500476</v>
      </c>
      <c r="V221" s="19">
        <f>('[1]Short Spot'!V222-'[1]Short Spot'!V221)*100</f>
        <v>-0.32188397247683298</v>
      </c>
      <c r="W221" s="19">
        <f>('[1]Short Spot'!W222-'[1]Short Spot'!W221)*100</f>
        <v>-0.40821047190453541</v>
      </c>
      <c r="X221" s="19">
        <f>('[1]Short Spot'!X222-'[1]Short Spot'!X221)*100</f>
        <v>-0.48447864719287637</v>
      </c>
      <c r="Y221" s="19">
        <f>('[1]Short Spot'!Y222-'[1]Short Spot'!Y221)*100</f>
        <v>-0.55172063655914982</v>
      </c>
      <c r="Z221" s="19">
        <f>('[1]Short Spot'!Z222-'[1]Short Spot'!Z221)*100</f>
        <v>-0.61083361714819873</v>
      </c>
      <c r="AA221" s="19">
        <f>('[1]Short Spot'!AA222-'[1]Short Spot'!AA221)*100</f>
        <v>-0.66261573260746331</v>
      </c>
      <c r="AB221" s="19">
        <f>('[1]Short Spot'!AB222-'[1]Short Spot'!AB221)*100</f>
        <v>-0.70777965749657668</v>
      </c>
      <c r="AC221" s="19">
        <f>('[1]Short Spot'!AC222-'[1]Short Spot'!AC221)*100</f>
        <v>-0.74697087258650541</v>
      </c>
      <c r="AD221" s="19">
        <f>('[1]Short Spot'!AD222-'[1]Short Spot'!AD221)*100</f>
        <v>-0.78077977044568314</v>
      </c>
      <c r="AE221" s="19">
        <f>('[1]Short Spot'!AE222-'[1]Short Spot'!AE221)*100</f>
        <v>-0.80975083680838722</v>
      </c>
      <c r="AF221" s="19">
        <f>('[1]Short Spot'!AF222-'[1]Short Spot'!AF221)*100</f>
        <v>-0.83438998550073862</v>
      </c>
      <c r="AG221" s="19">
        <f>('[1]Short Spot'!AG222-'[1]Short Spot'!AG221)*100</f>
        <v>-0.85516300267176604</v>
      </c>
      <c r="AH221" s="19">
        <f>('[1]Short Spot'!AH222-'[1]Short Spot'!AH221)*100</f>
        <v>-0.87248445056866686</v>
      </c>
      <c r="AI221" s="19">
        <f>('[1]Short Spot'!AI222-'[1]Short Spot'!AI221)*100</f>
        <v>-0.88672506470395263</v>
      </c>
      <c r="AJ221" s="19">
        <f>('[1]Short Spot'!AJ222-'[1]Short Spot'!AJ221)*100</f>
        <v>-0.89821851532612129</v>
      </c>
      <c r="AK221" s="19">
        <f>('[1]Short Spot'!AK222-'[1]Short Spot'!AK221)*100</f>
        <v>-0.90726655537256562</v>
      </c>
      <c r="AL221" s="19">
        <f>('[1]Short Spot'!AL222-'[1]Short Spot'!AL221)*100</f>
        <v>-0.91414296558864905</v>
      </c>
      <c r="AM221" s="19">
        <f>('[1]Short Spot'!AM222-'[1]Short Spot'!AM221)*100</f>
        <v>-0.91909413519983829</v>
      </c>
      <c r="AN221" s="19">
        <f>('[1]Short Spot'!AN222-'[1]Short Spot'!AN221)*100</f>
        <v>-0.9223408206938899</v>
      </c>
      <c r="AO221" s="19">
        <f>('[1]Short Spot'!AO222-'[1]Short Spot'!AO221)*100</f>
        <v>-0.92408146131406355</v>
      </c>
      <c r="AP221" s="19">
        <f>('[1]Short Spot'!AP222-'[1]Short Spot'!AP221)*100</f>
        <v>-0.92449490109407506</v>
      </c>
      <c r="AQ221" s="19">
        <f>('[1]Short Spot'!AQ222-'[1]Short Spot'!AQ221)*100</f>
        <v>-0.92374272162123461</v>
      </c>
      <c r="AR221" s="19">
        <f>('[1]Short Spot'!AR222-'[1]Short Spot'!AR221)*100</f>
        <v>-0.92197124929640495</v>
      </c>
      <c r="AS221" s="19">
        <f>('[1]Short Spot'!AS222-'[1]Short Spot'!AS221)*100</f>
        <v>-0.91931328383694222</v>
      </c>
      <c r="AT221" s="19">
        <f>('[1]Short Spot'!AT222-'[1]Short Spot'!AT221)*100</f>
        <v>-0.91588912198856676</v>
      </c>
      <c r="AU221" s="19">
        <f>('[1]Short Spot'!AU222-'[1]Short Spot'!AU221)*100</f>
        <v>-0.91180637400132269</v>
      </c>
      <c r="AV221" s="19">
        <f>('[1]Short Spot'!AV222-'[1]Short Spot'!AV221)*100</f>
        <v>-0.90716077636043835</v>
      </c>
      <c r="AW221" s="19">
        <f>('[1]Short Spot'!AW222-'[1]Short Spot'!AW221)*100</f>
        <v>-0.90203742070311677</v>
      </c>
      <c r="AX221" s="19">
        <f>('[1]Short Spot'!AX222-'[1]Short Spot'!AX221)*100</f>
        <v>-0.89651184002708106</v>
      </c>
      <c r="AY221" s="19">
        <f>('[1]Short Spot'!AY222-'[1]Short Spot'!AY221)*100</f>
        <v>-0.89065096455502868</v>
      </c>
      <c r="AZ221" s="19">
        <f>('[1]Short Spot'!AZ222-'[1]Short Spot'!AZ221)*100</f>
        <v>-0.88451396514273029</v>
      </c>
      <c r="BA221" s="19">
        <f>('[1]Short Spot'!BA222-'[1]Short Spot'!BA221)*100</f>
        <v>-0.87815299939215663</v>
      </c>
      <c r="BB221" s="19">
        <f>('[1]Short Spot'!BB222-'[1]Short Spot'!BB221)*100</f>
        <v>-0.87161407619698039</v>
      </c>
      <c r="BC221" s="19">
        <f>('[1]Short Spot'!BC222-'[1]Short Spot'!BC221)*100</f>
        <v>-0.86493893681565126</v>
      </c>
      <c r="BD221" s="19">
        <f>('[1]Short Spot'!BD222-'[1]Short Spot'!BD221)*100</f>
        <v>-0.85816620998686588</v>
      </c>
      <c r="BE221" s="19">
        <f>('[1]Short Spot'!BE222-'[1]Short Spot'!BE221)*100</f>
        <v>-0.85133055250006251</v>
      </c>
      <c r="BF221" s="19">
        <f>('[1]Short Spot'!BF222-'[1]Short Spot'!BF221)*100</f>
        <v>-0.84445937023458484</v>
      </c>
      <c r="BG221" s="19">
        <f>('[1]Short Spot'!BG222-'[1]Short Spot'!BG221)*100</f>
        <v>-0.83757430236142127</v>
      </c>
      <c r="BH221" s="19">
        <f>('[1]Short Spot'!BH222-'[1]Short Spot'!BH221)*100</f>
        <v>-0.8306942661314487</v>
      </c>
      <c r="BI221" s="19">
        <f>('[1]Short Spot'!BI222-'[1]Short Spot'!BI221)*100</f>
        <v>-0.82383586609218185</v>
      </c>
    </row>
    <row r="222" spans="1:61" x14ac:dyDescent="0.2">
      <c r="A222" s="18">
        <v>39400</v>
      </c>
      <c r="B222" s="19">
        <f>('[1]Short Spot'!B223-'[1]Short Spot'!B222)*100</f>
        <v>0.22389496493699923</v>
      </c>
      <c r="C222" s="19">
        <f>('[1]Short Spot'!C223-'[1]Short Spot'!C222)*100</f>
        <v>-3.1927238105211586E-2</v>
      </c>
      <c r="D222" s="19">
        <f>('[1]Short Spot'!D223-'[1]Short Spot'!D222)*100</f>
        <v>-0.21700510234463621</v>
      </c>
      <c r="E222" s="19">
        <f>('[1]Short Spot'!E223-'[1]Short Spot'!E222)*100</f>
        <v>-0.39445753533948746</v>
      </c>
      <c r="F222" s="19">
        <f>('[1]Short Spot'!F223-'[1]Short Spot'!F222)*100</f>
        <v>-0.62178943551955967</v>
      </c>
      <c r="G222" s="19">
        <f>('[1]Short Spot'!G223-'[1]Short Spot'!G222)*100</f>
        <v>-0.88470253361458973</v>
      </c>
      <c r="H222" s="19">
        <f>('[1]Short Spot'!H223-'[1]Short Spot'!H222)*100</f>
        <v>-1.1631801101095185</v>
      </c>
      <c r="I222" s="19">
        <f>('[1]Short Spot'!I223-'[1]Short Spot'!I222)*100</f>
        <v>-1.4420974387912011</v>
      </c>
      <c r="J222" s="19">
        <f>('[1]Short Spot'!J223-'[1]Short Spot'!J222)*100</f>
        <v>-1.7115862854831576</v>
      </c>
      <c r="K222" s="19">
        <f>('[1]Short Spot'!K223-'[1]Short Spot'!K222)*100</f>
        <v>-1.9647259936162342</v>
      </c>
      <c r="L222" s="19">
        <f>('[1]Short Spot'!L223-'[1]Short Spot'!L222)*100</f>
        <v>-2.1970126232071507</v>
      </c>
      <c r="M222" s="19">
        <f>('[1]Short Spot'!M223-'[1]Short Spot'!M222)*100</f>
        <v>-2.4061069386002387</v>
      </c>
      <c r="N222" s="19">
        <f>('[1]Short Spot'!N223-'[1]Short Spot'!N222)*100</f>
        <v>-2.5910837209885962</v>
      </c>
      <c r="O222" s="19">
        <f>('[1]Short Spot'!O223-'[1]Short Spot'!O222)*100</f>
        <v>-2.752118121821745</v>
      </c>
      <c r="P222" s="19">
        <f>('[1]Short Spot'!P223-'[1]Short Spot'!P222)*100</f>
        <v>-2.8903107563674091</v>
      </c>
      <c r="Q222" s="19">
        <f>('[1]Short Spot'!Q223-'[1]Short Spot'!Q222)*100</f>
        <v>-3.007416123745088</v>
      </c>
      <c r="R222" s="19">
        <f>('[1]Short Spot'!R223-'[1]Short Spot'!R222)*100</f>
        <v>-3.1054872289889346</v>
      </c>
      <c r="S222" s="19">
        <f>('[1]Short Spot'!S223-'[1]Short Spot'!S222)*100</f>
        <v>-3.1863254787746875</v>
      </c>
      <c r="T222" s="19">
        <f>('[1]Short Spot'!T223-'[1]Short Spot'!T222)*100</f>
        <v>-3.2515708893124717</v>
      </c>
      <c r="U222" s="19">
        <f>('[1]Short Spot'!U223-'[1]Short Spot'!U222)*100</f>
        <v>-3.3027706099813869</v>
      </c>
      <c r="V222" s="19">
        <f>('[1]Short Spot'!V223-'[1]Short Spot'!V222)*100</f>
        <v>-3.3414010344809952</v>
      </c>
      <c r="W222" s="19">
        <f>('[1]Short Spot'!W223-'[1]Short Spot'!W222)*100</f>
        <v>-3.3688838816667399</v>
      </c>
      <c r="X222" s="19">
        <f>('[1]Short Spot'!X223-'[1]Short Spot'!X222)*100</f>
        <v>-3.3865931457317089</v>
      </c>
      <c r="Y222" s="19">
        <f>('[1]Short Spot'!Y223-'[1]Short Spot'!Y222)*100</f>
        <v>-3.3957606144962682</v>
      </c>
      <c r="Z222" s="19">
        <f>('[1]Short Spot'!Z223-'[1]Short Spot'!Z222)*100</f>
        <v>-3.3974145546265433</v>
      </c>
      <c r="AA222" s="19">
        <f>('[1]Short Spot'!AA223-'[1]Short Spot'!AA222)*100</f>
        <v>-3.392440089603177</v>
      </c>
      <c r="AB222" s="19">
        <f>('[1]Short Spot'!AB223-'[1]Short Spot'!AB222)*100</f>
        <v>-3.3816069352738509</v>
      </c>
      <c r="AC222" s="19">
        <f>('[1]Short Spot'!AC223-'[1]Short Spot'!AC222)*100</f>
        <v>-3.3655960595266876</v>
      </c>
      <c r="AD222" s="19">
        <f>('[1]Short Spot'!AD223-'[1]Short Spot'!AD222)*100</f>
        <v>-3.345015541043761</v>
      </c>
      <c r="AE222" s="19">
        <f>('[1]Short Spot'!AE223-'[1]Short Spot'!AE222)*100</f>
        <v>-3.3204127175010534</v>
      </c>
      <c r="AF222" s="19">
        <f>('[1]Short Spot'!AF223-'[1]Short Spot'!AF222)*100</f>
        <v>-3.292283886898062</v>
      </c>
      <c r="AG222" s="19">
        <f>('[1]Short Spot'!AG223-'[1]Short Spot'!AG222)*100</f>
        <v>-3.2610751032168039</v>
      </c>
      <c r="AH222" s="19">
        <f>('[1]Short Spot'!AH223-'[1]Short Spot'!AH222)*100</f>
        <v>-3.2271781438579339</v>
      </c>
      <c r="AI222" s="19">
        <f>('[1]Short Spot'!AI223-'[1]Short Spot'!AI222)*100</f>
        <v>-3.1909415221539561</v>
      </c>
      <c r="AJ222" s="19">
        <f>('[1]Short Spot'!AJ223-'[1]Short Spot'!AJ222)*100</f>
        <v>-3.1526772160725081</v>
      </c>
      <c r="AK222" s="19">
        <f>('[1]Short Spot'!AK223-'[1]Short Spot'!AK222)*100</f>
        <v>-3.1126657425734727</v>
      </c>
      <c r="AL222" s="19">
        <f>('[1]Short Spot'!AL223-'[1]Short Spot'!AL222)*100</f>
        <v>-3.0711600531006411</v>
      </c>
      <c r="AM222" s="19">
        <f>('[1]Short Spot'!AM223-'[1]Short Spot'!AM222)*100</f>
        <v>-3.0283869621682946</v>
      </c>
      <c r="AN222" s="19">
        <f>('[1]Short Spot'!AN223-'[1]Short Spot'!AN222)*100</f>
        <v>-2.9845501345986847</v>
      </c>
      <c r="AO222" s="19">
        <f>('[1]Short Spot'!AO223-'[1]Short Spot'!AO222)*100</f>
        <v>-2.9398332520206516</v>
      </c>
      <c r="AP222" s="19">
        <f>('[1]Short Spot'!AP223-'[1]Short Spot'!AP222)*100</f>
        <v>-2.8944024500195731</v>
      </c>
      <c r="AQ222" s="19">
        <f>('[1]Short Spot'!AQ223-'[1]Short Spot'!AQ222)*100</f>
        <v>-2.8484084069511084</v>
      </c>
      <c r="AR222" s="19">
        <f>('[1]Short Spot'!AR223-'[1]Short Spot'!AR222)*100</f>
        <v>-2.8019881412953751</v>
      </c>
      <c r="AS222" s="19">
        <f>('[1]Short Spot'!AS223-'[1]Short Spot'!AS222)*100</f>
        <v>-2.7552665577339042</v>
      </c>
      <c r="AT222" s="19">
        <f>('[1]Short Spot'!AT223-'[1]Short Spot'!AT222)*100</f>
        <v>-2.7083574012763734</v>
      </c>
      <c r="AU222" s="19">
        <f>('[1]Short Spot'!AU223-'[1]Short Spot'!AU222)*100</f>
        <v>-2.6613634418255927</v>
      </c>
      <c r="AV222" s="19">
        <f>('[1]Short Spot'!AV223-'[1]Short Spot'!AV222)*100</f>
        <v>-2.6143773644855095</v>
      </c>
      <c r="AW222" s="19">
        <f>('[1]Short Spot'!AW223-'[1]Short Spot'!AW222)*100</f>
        <v>-2.5674828189551135</v>
      </c>
      <c r="AX222" s="19">
        <f>('[1]Short Spot'!AX223-'[1]Short Spot'!AX222)*100</f>
        <v>-2.5207553415078188</v>
      </c>
      <c r="AY222" s="19">
        <f>('[1]Short Spot'!AY223-'[1]Short Spot'!AY222)*100</f>
        <v>-2.4742631663343673</v>
      </c>
      <c r="AZ222" s="19">
        <f>('[1]Short Spot'!AZ223-'[1]Short Spot'!AZ222)*100</f>
        <v>-2.4280679414338202</v>
      </c>
      <c r="BA222" s="19">
        <f>('[1]Short Spot'!BA223-'[1]Short Spot'!BA222)*100</f>
        <v>-2.3822253619612432</v>
      </c>
      <c r="BB222" s="19">
        <f>('[1]Short Spot'!BB223-'[1]Short Spot'!BB222)*100</f>
        <v>-2.3367858158244381</v>
      </c>
      <c r="BC222" s="19">
        <f>('[1]Short Spot'!BC223-'[1]Short Spot'!BC222)*100</f>
        <v>-2.2917949847034436</v>
      </c>
      <c r="BD222" s="19">
        <f>('[1]Short Spot'!BD223-'[1]Short Spot'!BD222)*100</f>
        <v>-2.2472939798062974</v>
      </c>
      <c r="BE222" s="19">
        <f>('[1]Short Spot'!BE223-'[1]Short Spot'!BE222)*100</f>
        <v>-2.2033190486205889</v>
      </c>
      <c r="BF222" s="19">
        <f>('[1]Short Spot'!BF223-'[1]Short Spot'!BF222)*100</f>
        <v>-2.1599010507226346</v>
      </c>
      <c r="BG222" s="19">
        <f>('[1]Short Spot'!BG223-'[1]Short Spot'!BG222)*100</f>
        <v>-2.1170671786352457</v>
      </c>
      <c r="BH222" s="19">
        <f>('[1]Short Spot'!BH223-'[1]Short Spot'!BH222)*100</f>
        <v>-2.0748416565564476</v>
      </c>
      <c r="BI222" s="19">
        <f>('[1]Short Spot'!BI223-'[1]Short Spot'!BI222)*100</f>
        <v>-2.0332456846662517</v>
      </c>
    </row>
    <row r="223" spans="1:61" x14ac:dyDescent="0.2">
      <c r="A223" s="18">
        <v>39401</v>
      </c>
      <c r="B223" s="19">
        <f>('[1]Short Spot'!B224-'[1]Short Spot'!B223)*100</f>
        <v>-1.0435530664596016</v>
      </c>
      <c r="C223" s="19">
        <f>('[1]Short Spot'!C224-'[1]Short Spot'!C223)*100</f>
        <v>-2.6307827067429734</v>
      </c>
      <c r="D223" s="19">
        <f>('[1]Short Spot'!D224-'[1]Short Spot'!D223)*100</f>
        <v>-3.681056890740475</v>
      </c>
      <c r="E223" s="19">
        <f>('[1]Short Spot'!E224-'[1]Short Spot'!E223)*100</f>
        <v>-4.2584758194876393</v>
      </c>
      <c r="F223" s="19">
        <f>('[1]Short Spot'!F224-'[1]Short Spot'!F223)*100</f>
        <v>-4.5878195319938975</v>
      </c>
      <c r="G223" s="19">
        <f>('[1]Short Spot'!G224-'[1]Short Spot'!G223)*100</f>
        <v>-4.8350187498870767</v>
      </c>
      <c r="H223" s="19">
        <f>('[1]Short Spot'!H224-'[1]Short Spot'!H223)*100</f>
        <v>-5.0767462914811823</v>
      </c>
      <c r="I223" s="19">
        <f>('[1]Short Spot'!I224-'[1]Short Spot'!I223)*100</f>
        <v>-5.3453682368813205</v>
      </c>
      <c r="J223" s="19">
        <f>('[1]Short Spot'!J224-'[1]Short Spot'!J223)*100</f>
        <v>-5.644174874778507</v>
      </c>
      <c r="K223" s="19">
        <f>('[1]Short Spot'!K224-'[1]Short Spot'!K223)*100</f>
        <v>-5.961737064301964</v>
      </c>
      <c r="L223" s="19">
        <f>('[1]Short Spot'!L224-'[1]Short Spot'!L223)*100</f>
        <v>-6.2842325155424206</v>
      </c>
      <c r="M223" s="19">
        <f>('[1]Short Spot'!M224-'[1]Short Spot'!M223)*100</f>
        <v>-6.6017024097448029</v>
      </c>
      <c r="N223" s="19">
        <f>('[1]Short Spot'!N224-'[1]Short Spot'!N223)*100</f>
        <v>-6.9067881593360525</v>
      </c>
      <c r="O223" s="19">
        <f>('[1]Short Spot'!O224-'[1]Short Spot'!O223)*100</f>
        <v>-7.1934150769082272</v>
      </c>
      <c r="P223" s="19">
        <f>('[1]Short Spot'!P224-'[1]Short Spot'!P223)*100</f>
        <v>-7.4578449916623768</v>
      </c>
      <c r="Q223" s="19">
        <f>('[1]Short Spot'!Q224-'[1]Short Spot'!Q223)*100</f>
        <v>-7.6983500965776663</v>
      </c>
      <c r="R223" s="19">
        <f>('[1]Short Spot'!R224-'[1]Short Spot'!R223)*100</f>
        <v>-7.9144533798491956</v>
      </c>
      <c r="S223" s="19">
        <f>('[1]Short Spot'!S224-'[1]Short Spot'!S223)*100</f>
        <v>-8.1061997566420629</v>
      </c>
      <c r="T223" s="19">
        <f>('[1]Short Spot'!T224-'[1]Short Spot'!T223)*100</f>
        <v>-8.2741140063483876</v>
      </c>
      <c r="U223" s="19">
        <f>('[1]Short Spot'!U224-'[1]Short Spot'!U223)*100</f>
        <v>-8.419109940919256</v>
      </c>
      <c r="V223" s="19">
        <f>('[1]Short Spot'!V224-'[1]Short Spot'!V223)*100</f>
        <v>-8.5423977780646254</v>
      </c>
      <c r="W223" s="19">
        <f>('[1]Short Spot'!W224-'[1]Short Spot'!W223)*100</f>
        <v>-8.6454167763078793</v>
      </c>
      <c r="X223" s="19">
        <f>('[1]Short Spot'!X224-'[1]Short Spot'!X223)*100</f>
        <v>-8.7297786243453857</v>
      </c>
      <c r="Y223" s="19">
        <f>('[1]Short Spot'!Y224-'[1]Short Spot'!Y223)*100</f>
        <v>-8.7970910509016065</v>
      </c>
      <c r="Z223" s="19">
        <f>('[1]Short Spot'!Z224-'[1]Short Spot'!Z223)*100</f>
        <v>-8.8488114416584551</v>
      </c>
      <c r="AA223" s="19">
        <f>('[1]Short Spot'!AA224-'[1]Short Spot'!AA223)*100</f>
        <v>-8.8862800898081851</v>
      </c>
      <c r="AB223" s="19">
        <f>('[1]Short Spot'!AB224-'[1]Short Spot'!AB223)*100</f>
        <v>-8.9107286205405423</v>
      </c>
      <c r="AC223" s="19">
        <f>('[1]Short Spot'!AC224-'[1]Short Spot'!AC223)*100</f>
        <v>-8.9232986274974557</v>
      </c>
      <c r="AD223" s="19">
        <f>('[1]Short Spot'!AD224-'[1]Short Spot'!AD223)*100</f>
        <v>-8.9250574919105041</v>
      </c>
      <c r="AE223" s="19">
        <f>('[1]Short Spot'!AE224-'[1]Short Spot'!AE223)*100</f>
        <v>-8.9170107513349528</v>
      </c>
      <c r="AF223" s="19">
        <f>('[1]Short Spot'!AF224-'[1]Short Spot'!AF223)*100</f>
        <v>-8.9001119206518986</v>
      </c>
      <c r="AG223" s="19">
        <f>('[1]Short Spot'!AG224-'[1]Short Spot'!AG223)*100</f>
        <v>-8.8752591763476829</v>
      </c>
      <c r="AH223" s="19">
        <f>('[1]Short Spot'!AH224-'[1]Short Spot'!AH223)*100</f>
        <v>-8.8432783375695045</v>
      </c>
      <c r="AI223" s="19">
        <f>('[1]Short Spot'!AI224-'[1]Short Spot'!AI223)*100</f>
        <v>-8.8049309103649165</v>
      </c>
      <c r="AJ223" s="19">
        <f>('[1]Short Spot'!AJ224-'[1]Short Spot'!AJ223)*100</f>
        <v>-8.7609236305945082</v>
      </c>
      <c r="AK223" s="19">
        <f>('[1]Short Spot'!AK224-'[1]Short Spot'!AK223)*100</f>
        <v>-8.7119160709010046</v>
      </c>
      <c r="AL223" s="19">
        <f>('[1]Short Spot'!AL224-'[1]Short Spot'!AL223)*100</f>
        <v>-8.658528727394188</v>
      </c>
      <c r="AM223" s="19">
        <f>('[1]Short Spot'!AM224-'[1]Short Spot'!AM223)*100</f>
        <v>-8.6013548489771274</v>
      </c>
      <c r="AN223" s="19">
        <f>('[1]Short Spot'!AN224-'[1]Short Spot'!AN223)*100</f>
        <v>-8.540942533829643</v>
      </c>
      <c r="AO223" s="19">
        <f>('[1]Short Spot'!AO224-'[1]Short Spot'!AO223)*100</f>
        <v>-8.4777893991772046</v>
      </c>
      <c r="AP223" s="19">
        <f>('[1]Short Spot'!AP224-'[1]Short Spot'!AP223)*100</f>
        <v>-8.4123486198644848</v>
      </c>
      <c r="AQ223" s="19">
        <f>('[1]Short Spot'!AQ224-'[1]Short Spot'!AQ223)*100</f>
        <v>-8.3450342191152771</v>
      </c>
      <c r="AR223" s="19">
        <f>('[1]Short Spot'!AR224-'[1]Short Spot'!AR223)*100</f>
        <v>-8.2762256210467733</v>
      </c>
      <c r="AS223" s="19">
        <f>('[1]Short Spot'!AS224-'[1]Short Spot'!AS223)*100</f>
        <v>-8.2062715497076333</v>
      </c>
      <c r="AT223" s="19">
        <f>('[1]Short Spot'!AT224-'[1]Short Spot'!AT223)*100</f>
        <v>-8.1354912340599661</v>
      </c>
      <c r="AU223" s="19">
        <f>('[1]Short Spot'!AU224-'[1]Short Spot'!AU223)*100</f>
        <v>-8.0641713785033708</v>
      </c>
      <c r="AV223" s="19">
        <f>('[1]Short Spot'!AV224-'[1]Short Spot'!AV223)*100</f>
        <v>-7.9925677084707658</v>
      </c>
      <c r="AW223" s="19">
        <f>('[1]Short Spot'!AW224-'[1]Short Spot'!AW223)*100</f>
        <v>-7.92090817629445</v>
      </c>
      <c r="AX223" s="19">
        <f>('[1]Short Spot'!AX224-'[1]Short Spot'!AX223)*100</f>
        <v>-7.8493957951970117</v>
      </c>
      <c r="AY223" s="19">
        <f>('[1]Short Spot'!AY224-'[1]Short Spot'!AY223)*100</f>
        <v>-7.7782111332019177</v>
      </c>
      <c r="AZ223" s="19">
        <f>('[1]Short Spot'!AZ224-'[1]Short Spot'!AZ223)*100</f>
        <v>-7.7075145136432432</v>
      </c>
      <c r="BA223" s="19">
        <f>('[1]Short Spot'!BA224-'[1]Short Spot'!BA223)*100</f>
        <v>-7.6374479618941393</v>
      </c>
      <c r="BB223" s="19">
        <f>('[1]Short Spot'!BB224-'[1]Short Spot'!BB223)*100</f>
        <v>-7.5681369406847665</v>
      </c>
      <c r="BC223" s="19">
        <f>('[1]Short Spot'!BC224-'[1]Short Spot'!BC223)*100</f>
        <v>-7.4996913933703446</v>
      </c>
      <c r="BD223" s="19">
        <f>('[1]Short Spot'!BD224-'[1]Short Spot'!BD223)*100</f>
        <v>-7.432206437137534</v>
      </c>
      <c r="BE223" s="19">
        <f>('[1]Short Spot'!BE224-'[1]Short Spot'!BE223)*100</f>
        <v>-7.3657623706896658</v>
      </c>
      <c r="BF223" s="19">
        <f>('[1]Short Spot'!BF224-'[1]Short Spot'!BF223)*100</f>
        <v>-7.3004231732433311</v>
      </c>
      <c r="BG223" s="19">
        <f>('[1]Short Spot'!BG224-'[1]Short Spot'!BG223)*100</f>
        <v>-7.2362402505654622</v>
      </c>
      <c r="BH223" s="19">
        <f>('[1]Short Spot'!BH224-'[1]Short Spot'!BH223)*100</f>
        <v>-7.1732568329021973</v>
      </c>
      <c r="BI223" s="19">
        <f>('[1]Short Spot'!BI224-'[1]Short Spot'!BI223)*100</f>
        <v>-7.1115088909961877</v>
      </c>
    </row>
    <row r="224" spans="1:61" x14ac:dyDescent="0.2">
      <c r="A224" s="18">
        <v>39402</v>
      </c>
      <c r="B224" s="19">
        <f>('[1]Short Spot'!B225-'[1]Short Spot'!B224)*100</f>
        <v>-0.46836935945435698</v>
      </c>
      <c r="C224" s="19">
        <f>('[1]Short Spot'!C225-'[1]Short Spot'!C224)*100</f>
        <v>-1.3859229172804355</v>
      </c>
      <c r="D224" s="19">
        <f>('[1]Short Spot'!D225-'[1]Short Spot'!D224)*100</f>
        <v>-1.4454367994103379</v>
      </c>
      <c r="E224" s="19">
        <f>('[1]Short Spot'!E225-'[1]Short Spot'!E224)*100</f>
        <v>-1.246163088165364</v>
      </c>
      <c r="F224" s="19">
        <f>('[1]Short Spot'!F225-'[1]Short Spot'!F224)*100</f>
        <v>-1.2049618159667652</v>
      </c>
      <c r="G224" s="19">
        <f>('[1]Short Spot'!G225-'[1]Short Spot'!G224)*100</f>
        <v>-1.4125197607122608</v>
      </c>
      <c r="H224" s="19">
        <f>('[1]Short Spot'!H225-'[1]Short Spot'!H224)*100</f>
        <v>-1.80987041027727</v>
      </c>
      <c r="I224" s="19">
        <f>('[1]Short Spot'!I225-'[1]Short Spot'!I224)*100</f>
        <v>-2.3213394911884677</v>
      </c>
      <c r="J224" s="19">
        <f>('[1]Short Spot'!J225-'[1]Short Spot'!J224)*100</f>
        <v>-2.8931103129792746</v>
      </c>
      <c r="K224" s="19">
        <f>('[1]Short Spot'!K225-'[1]Short Spot'!K224)*100</f>
        <v>-3.4832934165915042</v>
      </c>
      <c r="L224" s="19">
        <f>('[1]Short Spot'!L225-'[1]Short Spot'!L224)*100</f>
        <v>-4.0559586128114056</v>
      </c>
      <c r="M224" s="19">
        <f>('[1]Short Spot'!M225-'[1]Short Spot'!M224)*100</f>
        <v>-4.5883200015444103</v>
      </c>
      <c r="N224" s="19">
        <f>('[1]Short Spot'!N225-'[1]Short Spot'!N224)*100</f>
        <v>-5.0680211097949623</v>
      </c>
      <c r="O224" s="19">
        <f>('[1]Short Spot'!O225-'[1]Short Spot'!O224)*100</f>
        <v>-5.4902738555139941</v>
      </c>
      <c r="P224" s="19">
        <f>('[1]Short Spot'!P225-'[1]Short Spot'!P224)*100</f>
        <v>-5.8552979905105218</v>
      </c>
      <c r="Q224" s="19">
        <f>('[1]Short Spot'!Q225-'[1]Short Spot'!Q224)*100</f>
        <v>-6.1666087677878956</v>
      </c>
      <c r="R224" s="19">
        <f>('[1]Short Spot'!R225-'[1]Short Spot'!R224)*100</f>
        <v>-6.4293100870973063</v>
      </c>
      <c r="S224" s="19">
        <f>('[1]Short Spot'!S225-'[1]Short Spot'!S224)*100</f>
        <v>-6.6480081752831488</v>
      </c>
      <c r="T224" s="19">
        <f>('[1]Short Spot'!T225-'[1]Short Spot'!T224)*100</f>
        <v>-6.8270406522054294</v>
      </c>
      <c r="U224" s="19">
        <f>('[1]Short Spot'!U225-'[1]Short Spot'!U224)*100</f>
        <v>-6.9706094332376622</v>
      </c>
      <c r="V224" s="19">
        <f>('[1]Short Spot'!V225-'[1]Short Spot'!V224)*100</f>
        <v>-7.0828130398592926</v>
      </c>
      <c r="W224" s="19">
        <f>('[1]Short Spot'!W225-'[1]Short Spot'!W224)*100</f>
        <v>-7.167670098268708</v>
      </c>
      <c r="X224" s="19">
        <f>('[1]Short Spot'!X225-'[1]Short Spot'!X224)*100</f>
        <v>-7.2291081897003728</v>
      </c>
      <c r="Y224" s="19">
        <f>('[1]Short Spot'!Y225-'[1]Short Spot'!Y224)*100</f>
        <v>-7.2705859063744604</v>
      </c>
      <c r="Z224" s="19">
        <f>('[1]Short Spot'!Z225-'[1]Short Spot'!Z224)*100</f>
        <v>-7.2949633553032633</v>
      </c>
      <c r="AA224" s="19">
        <f>('[1]Short Spot'!AA225-'[1]Short Spot'!AA224)*100</f>
        <v>-7.3046885956710383</v>
      </c>
      <c r="AB224" s="19">
        <f>('[1]Short Spot'!AB225-'[1]Short Spot'!AB224)*100</f>
        <v>-7.301860610234634</v>
      </c>
      <c r="AC224" s="19">
        <f>('[1]Short Spot'!AC225-'[1]Short Spot'!AC224)*100</f>
        <v>-7.2883022855688928</v>
      </c>
      <c r="AD224" s="19">
        <f>('[1]Short Spot'!AD225-'[1]Short Spot'!AD224)*100</f>
        <v>-7.2656090074008084</v>
      </c>
      <c r="AE224" s="19">
        <f>('[1]Short Spot'!AE225-'[1]Short Spot'!AE224)*100</f>
        <v>-7.2351865774170854</v>
      </c>
      <c r="AF224" s="19">
        <f>('[1]Short Spot'!AF225-'[1]Short Spot'!AF224)*100</f>
        <v>-7.1982810594658275</v>
      </c>
      <c r="AG224" s="19">
        <f>('[1]Short Spot'!AG225-'[1]Short Spot'!AG224)*100</f>
        <v>-7.1559765398666819</v>
      </c>
      <c r="AH224" s="19">
        <f>('[1]Short Spot'!AH225-'[1]Short Spot'!AH224)*100</f>
        <v>-7.1091933959485765</v>
      </c>
      <c r="AI224" s="19">
        <f>('[1]Short Spot'!AI225-'[1]Short Spot'!AI224)*100</f>
        <v>-7.0587271367311466</v>
      </c>
      <c r="AJ224" s="19">
        <f>('[1]Short Spot'!AJ225-'[1]Short Spot'!AJ224)*100</f>
        <v>-7.0052675249836938</v>
      </c>
      <c r="AK224" s="19">
        <f>('[1]Short Spot'!AK225-'[1]Short Spot'!AK224)*100</f>
        <v>-6.9494132642061501</v>
      </c>
      <c r="AL224" s="19">
        <f>('[1]Short Spot'!AL225-'[1]Short Spot'!AL224)*100</f>
        <v>-6.8916839314772993</v>
      </c>
      <c r="AM224" s="19">
        <f>('[1]Short Spot'!AM225-'[1]Short Spot'!AM224)*100</f>
        <v>-6.8325257004540951</v>
      </c>
      <c r="AN224" s="19">
        <f>('[1]Short Spot'!AN225-'[1]Short Spot'!AN224)*100</f>
        <v>-6.7723217786792134</v>
      </c>
      <c r="AO224" s="19">
        <f>('[1]Short Spot'!AO225-'[1]Short Spot'!AO224)*100</f>
        <v>-6.7114035434710395</v>
      </c>
      <c r="AP224" s="19">
        <f>('[1]Short Spot'!AP225-'[1]Short Spot'!AP224)*100</f>
        <v>-6.650056938943294</v>
      </c>
      <c r="AQ224" s="19">
        <f>('[1]Short Spot'!AQ225-'[1]Short Spot'!AQ224)*100</f>
        <v>-6.5885278847220619</v>
      </c>
      <c r="AR224" s="19">
        <f>('[1]Short Spot'!AR225-'[1]Short Spot'!AR224)*100</f>
        <v>-6.5270269299541717</v>
      </c>
      <c r="AS224" s="19">
        <f>('[1]Short Spot'!AS225-'[1]Short Spot'!AS224)*100</f>
        <v>-6.4657332412664914</v>
      </c>
      <c r="AT224" s="19">
        <f>('[1]Short Spot'!AT225-'[1]Short Spot'!AT224)*100</f>
        <v>-6.4047980455468334</v>
      </c>
      <c r="AU224" s="19">
        <f>('[1]Short Spot'!AU225-'[1]Short Spot'!AU224)*100</f>
        <v>-6.3443496201233351</v>
      </c>
      <c r="AV224" s="19">
        <f>('[1]Short Spot'!AV225-'[1]Short Spot'!AV224)*100</f>
        <v>-6.2844969203879053</v>
      </c>
      <c r="AW224" s="19">
        <f>('[1]Short Spot'!AW225-'[1]Short Spot'!AW224)*100</f>
        <v>-6.2253316206698273</v>
      </c>
      <c r="AX224" s="19">
        <f>('[1]Short Spot'!AX225-'[1]Short Spot'!AX224)*100</f>
        <v>-6.1669298776085846</v>
      </c>
      <c r="AY224" s="19">
        <f>('[1]Short Spot'!AY225-'[1]Short Spot'!AY224)*100</f>
        <v>-6.1093538819237736</v>
      </c>
      <c r="AZ224" s="19">
        <f>('[1]Short Spot'!AZ225-'[1]Short Spot'!AZ224)*100</f>
        <v>-6.0526532276224287</v>
      </c>
      <c r="BA224" s="19">
        <f>('[1]Short Spot'!BA225-'[1]Short Spot'!BA224)*100</f>
        <v>-5.9968661255522804</v>
      </c>
      <c r="BB224" s="19">
        <f>('[1]Short Spot'!BB225-'[1]Short Spot'!BB224)*100</f>
        <v>-5.9420213687266354</v>
      </c>
      <c r="BC224" s="19">
        <f>('[1]Short Spot'!BC225-'[1]Short Spot'!BC224)*100</f>
        <v>-5.8881427969104116</v>
      </c>
      <c r="BD224" s="19">
        <f>('[1]Short Spot'!BD225-'[1]Short Spot'!BD224)*100</f>
        <v>-5.8352508931919012</v>
      </c>
      <c r="BE224" s="19">
        <f>('[1]Short Spot'!BE225-'[1]Short Spot'!BE224)*100</f>
        <v>-5.783359120534648</v>
      </c>
      <c r="BF224" s="19">
        <f>('[1]Short Spot'!BF225-'[1]Short Spot'!BF224)*100</f>
        <v>-5.7324685902541361</v>
      </c>
      <c r="BG224" s="19">
        <f>('[1]Short Spot'!BG225-'[1]Short Spot'!BG224)*100</f>
        <v>-5.6825751429324889</v>
      </c>
      <c r="BH224" s="19">
        <f>('[1]Short Spot'!BH225-'[1]Short Spot'!BH224)*100</f>
        <v>-5.6336732822019897</v>
      </c>
      <c r="BI224" s="19">
        <f>('[1]Short Spot'!BI225-'[1]Short Spot'!BI224)*100</f>
        <v>-5.5857556995324131</v>
      </c>
    </row>
    <row r="225" spans="1:61" x14ac:dyDescent="0.2">
      <c r="A225" s="18">
        <v>39405</v>
      </c>
      <c r="B225" s="19">
        <f>('[1]Short Spot'!B226-'[1]Short Spot'!B225)*100</f>
        <v>-0.80754047449271837</v>
      </c>
      <c r="C225" s="19">
        <f>('[1]Short Spot'!C226-'[1]Short Spot'!C225)*100</f>
        <v>-0.71656877980990075</v>
      </c>
      <c r="D225" s="19">
        <f>('[1]Short Spot'!D226-'[1]Short Spot'!D225)*100</f>
        <v>-0.18003395759205176</v>
      </c>
      <c r="E225" s="19">
        <f>('[1]Short Spot'!E226-'[1]Short Spot'!E225)*100</f>
        <v>0.31235624501260162</v>
      </c>
      <c r="F225" s="19">
        <f>('[1]Short Spot'!F226-'[1]Short Spot'!F225)*100</f>
        <v>0.58654677910521258</v>
      </c>
      <c r="G225" s="19">
        <f>('[1]Short Spot'!G226-'[1]Short Spot'!G225)*100</f>
        <v>0.65539394263964823</v>
      </c>
      <c r="H225" s="19">
        <f>('[1]Short Spot'!H226-'[1]Short Spot'!H225)*100</f>
        <v>0.56687406986384303</v>
      </c>
      <c r="I225" s="19">
        <f>('[1]Short Spot'!I226-'[1]Short Spot'!I225)*100</f>
        <v>0.37038212119782088</v>
      </c>
      <c r="J225" s="19">
        <f>('[1]Short Spot'!J226-'[1]Short Spot'!J225)*100</f>
        <v>0.10889122246826588</v>
      </c>
      <c r="K225" s="19">
        <f>('[1]Short Spot'!K226-'[1]Short Spot'!K225)*100</f>
        <v>-0.18069356416887672</v>
      </c>
      <c r="L225" s="19">
        <f>('[1]Short Spot'!L226-'[1]Short Spot'!L225)*100</f>
        <v>-0.47579319072292847</v>
      </c>
      <c r="M225" s="19">
        <f>('[1]Short Spot'!M226-'[1]Short Spot'!M225)*100</f>
        <v>-0.76228826214554957</v>
      </c>
      <c r="N225" s="19">
        <f>('[1]Short Spot'!N226-'[1]Short Spot'!N225)*100</f>
        <v>-1.0301903119069422</v>
      </c>
      <c r="O225" s="19">
        <f>('[1]Short Spot'!O226-'[1]Short Spot'!O225)*100</f>
        <v>-1.2739021979541576</v>
      </c>
      <c r="P225" s="19">
        <f>('[1]Short Spot'!P226-'[1]Short Spot'!P225)*100</f>
        <v>-1.4915293737757018</v>
      </c>
      <c r="Q225" s="19">
        <f>('[1]Short Spot'!Q226-'[1]Short Spot'!Q225)*100</f>
        <v>-1.6836636007481864</v>
      </c>
      <c r="R225" s="19">
        <f>('[1]Short Spot'!R226-'[1]Short Spot'!R225)*100</f>
        <v>-1.8522559292975416</v>
      </c>
      <c r="S225" s="19">
        <f>('[1]Short Spot'!S226-'[1]Short Spot'!S225)*100</f>
        <v>-1.9993116259933608</v>
      </c>
      <c r="T225" s="19">
        <f>('[1]Short Spot'!T226-'[1]Short Spot'!T225)*100</f>
        <v>-2.1267745780253478</v>
      </c>
      <c r="U225" s="19">
        <f>('[1]Short Spot'!U226-'[1]Short Spot'!U225)*100</f>
        <v>-2.2365572677681023</v>
      </c>
      <c r="V225" s="19">
        <f>('[1]Short Spot'!V226-'[1]Short Spot'!V225)*100</f>
        <v>-2.3305482501177366</v>
      </c>
      <c r="W225" s="19">
        <f>('[1]Short Spot'!W226-'[1]Short Spot'!W225)*100</f>
        <v>-2.4106175905545868</v>
      </c>
      <c r="X225" s="19">
        <f>('[1]Short Spot'!X226-'[1]Short Spot'!X225)*100</f>
        <v>-2.4786060574649049</v>
      </c>
      <c r="Y225" s="19">
        <f>('[1]Short Spot'!Y226-'[1]Short Spot'!Y225)*100</f>
        <v>-2.5361530564441459</v>
      </c>
      <c r="Z225" s="19">
        <f>('[1]Short Spot'!Z226-'[1]Short Spot'!Z225)*100</f>
        <v>-2.5846285435005001</v>
      </c>
      <c r="AA225" s="19">
        <f>('[1]Short Spot'!AA226-'[1]Short Spot'!AA225)*100</f>
        <v>-2.6252016544216161</v>
      </c>
      <c r="AB225" s="19">
        <f>('[1]Short Spot'!AB226-'[1]Short Spot'!AB225)*100</f>
        <v>-2.6588760107845388</v>
      </c>
      <c r="AC225" s="19">
        <f>('[1]Short Spot'!AC226-'[1]Short Spot'!AC225)*100</f>
        <v>-2.6865236731683062</v>
      </c>
      <c r="AD225" s="19">
        <f>('[1]Short Spot'!AD226-'[1]Short Spot'!AD225)*100</f>
        <v>-2.7089080817321864</v>
      </c>
      <c r="AE225" s="19">
        <f>('[1]Short Spot'!AE226-'[1]Short Spot'!AE225)*100</f>
        <v>-2.7267021596200536</v>
      </c>
      <c r="AF225" s="19">
        <f>('[1]Short Spot'!AF226-'[1]Short Spot'!AF225)*100</f>
        <v>-2.7405025160724961</v>
      </c>
      <c r="AG225" s="19">
        <f>('[1]Short Spot'!AG226-'[1]Short Spot'!AG225)*100</f>
        <v>-2.7508305215120821</v>
      </c>
      <c r="AH225" s="19">
        <f>('[1]Short Spot'!AH226-'[1]Short Spot'!AH225)*100</f>
        <v>-2.7581348656824822</v>
      </c>
      <c r="AI225" s="19">
        <f>('[1]Short Spot'!AI226-'[1]Short Spot'!AI225)*100</f>
        <v>-2.7628070276439765</v>
      </c>
      <c r="AJ225" s="19">
        <f>('[1]Short Spot'!AJ226-'[1]Short Spot'!AJ225)*100</f>
        <v>-2.7651897609781706</v>
      </c>
      <c r="AK225" s="19">
        <f>('[1]Short Spot'!AK226-'[1]Short Spot'!AK225)*100</f>
        <v>-2.7655838612155925</v>
      </c>
      <c r="AL225" s="19">
        <f>('[1]Short Spot'!AL226-'[1]Short Spot'!AL225)*100</f>
        <v>-2.7642536641484305</v>
      </c>
      <c r="AM225" s="19">
        <f>('[1]Short Spot'!AM226-'[1]Short Spot'!AM225)*100</f>
        <v>-2.7614300971065653</v>
      </c>
      <c r="AN225" s="19">
        <f>('[1]Short Spot'!AN226-'[1]Short Spot'!AN225)*100</f>
        <v>-2.7573153261206684</v>
      </c>
      <c r="AO225" s="19">
        <f>('[1]Short Spot'!AO226-'[1]Short Spot'!AO225)*100</f>
        <v>-2.7520872927909501</v>
      </c>
      <c r="AP225" s="19">
        <f>('[1]Short Spot'!AP226-'[1]Short Spot'!AP225)*100</f>
        <v>-2.7459026825747301</v>
      </c>
      <c r="AQ225" s="19">
        <f>('[1]Short Spot'!AQ226-'[1]Short Spot'!AQ225)*100</f>
        <v>-2.7388994552781654</v>
      </c>
      <c r="AR225" s="19">
        <f>('[1]Short Spot'!AR226-'[1]Short Spot'!AR225)*100</f>
        <v>-2.7311990224573535</v>
      </c>
      <c r="AS225" s="19">
        <f>('[1]Short Spot'!AS226-'[1]Short Spot'!AS225)*100</f>
        <v>-2.7229081125883958</v>
      </c>
      <c r="AT225" s="19">
        <f>('[1]Short Spot'!AT226-'[1]Short Spot'!AT225)*100</f>
        <v>-2.7141202884655158</v>
      </c>
      <c r="AU225" s="19">
        <f>('[1]Short Spot'!AU226-'[1]Short Spot'!AU225)*100</f>
        <v>-2.7049177151718951</v>
      </c>
      <c r="AV225" s="19">
        <f>('[1]Short Spot'!AV226-'[1]Short Spot'!AV225)*100</f>
        <v>-2.6953726146259349</v>
      </c>
      <c r="AW225" s="19">
        <f>('[1]Short Spot'!AW226-'[1]Short Spot'!AW225)*100</f>
        <v>-2.6855483058824348</v>
      </c>
      <c r="AX225" s="19">
        <f>('[1]Short Spot'!AX226-'[1]Short Spot'!AX225)*100</f>
        <v>-2.6755001135891021</v>
      </c>
      <c r="AY225" s="19">
        <f>('[1]Short Spot'!AY226-'[1]Short Spot'!AY225)*100</f>
        <v>-2.6652761674260006</v>
      </c>
      <c r="AZ225" s="19">
        <f>('[1]Short Spot'!AZ226-'[1]Short Spot'!AZ225)*100</f>
        <v>-2.6549181074956074</v>
      </c>
      <c r="BA225" s="19">
        <f>('[1]Short Spot'!BA226-'[1]Short Spot'!BA225)*100</f>
        <v>-2.6444617104334434</v>
      </c>
      <c r="BB225" s="19">
        <f>('[1]Short Spot'!BB226-'[1]Short Spot'!BB225)*100</f>
        <v>-2.6339378168930949</v>
      </c>
      <c r="BC225" s="19">
        <f>('[1]Short Spot'!BC226-'[1]Short Spot'!BC225)*100</f>
        <v>-2.6233739316074534</v>
      </c>
      <c r="BD225" s="19">
        <f>('[1]Short Spot'!BD226-'[1]Short Spot'!BD225)*100</f>
        <v>-2.6127946989983997</v>
      </c>
      <c r="BE225" s="19">
        <f>('[1]Short Spot'!BE226-'[1]Short Spot'!BE225)*100</f>
        <v>-2.6022205089297756</v>
      </c>
      <c r="BF225" s="19">
        <f>('[1]Short Spot'!BF226-'[1]Short Spot'!BF225)*100</f>
        <v>-2.591665963178702</v>
      </c>
      <c r="BG225" s="19">
        <f>('[1]Short Spot'!BG226-'[1]Short Spot'!BG225)*100</f>
        <v>-2.5811428437354067</v>
      </c>
      <c r="BH225" s="19">
        <f>('[1]Short Spot'!BH226-'[1]Short Spot'!BH225)*100</f>
        <v>-2.5706614022626084</v>
      </c>
      <c r="BI225" s="19">
        <f>('[1]Short Spot'!BI226-'[1]Short Spot'!BI225)*100</f>
        <v>-2.5602302728032988</v>
      </c>
    </row>
    <row r="226" spans="1:61" x14ac:dyDescent="0.2">
      <c r="A226" s="18">
        <v>39406</v>
      </c>
      <c r="B226" s="19">
        <f>('[1]Short Spot'!B227-'[1]Short Spot'!B226)*100</f>
        <v>-9.6666357521968393E-2</v>
      </c>
      <c r="C226" s="19">
        <f>('[1]Short Spot'!C227-'[1]Short Spot'!C226)*100</f>
        <v>-1.1320912272068107</v>
      </c>
      <c r="D226" s="19">
        <f>('[1]Short Spot'!D227-'[1]Short Spot'!D226)*100</f>
        <v>-1.9438020636432185</v>
      </c>
      <c r="E226" s="19">
        <f>('[1]Short Spot'!E227-'[1]Short Spot'!E226)*100</f>
        <v>-2.403117263941823</v>
      </c>
      <c r="F226" s="19">
        <f>('[1]Short Spot'!F227-'[1]Short Spot'!F226)*100</f>
        <v>-2.644004573182368</v>
      </c>
      <c r="G226" s="19">
        <f>('[1]Short Spot'!G227-'[1]Short Spot'!G226)*100</f>
        <v>-2.7460498618317786</v>
      </c>
      <c r="H226" s="19">
        <f>('[1]Short Spot'!H227-'[1]Short Spot'!H226)*100</f>
        <v>-2.7503612162949054</v>
      </c>
      <c r="I226" s="19">
        <f>('[1]Short Spot'!I227-'[1]Short Spot'!I226)*100</f>
        <v>-2.6840178691925232</v>
      </c>
      <c r="J226" s="19">
        <f>('[1]Short Spot'!J227-'[1]Short Spot'!J226)*100</f>
        <v>-2.5668719155474307</v>
      </c>
      <c r="K226" s="19">
        <f>('[1]Short Spot'!K227-'[1]Short Spot'!K226)*100</f>
        <v>-2.4149819547084839</v>
      </c>
      <c r="L226" s="19">
        <f>('[1]Short Spot'!L227-'[1]Short Spot'!L226)*100</f>
        <v>-2.2412868799729146</v>
      </c>
      <c r="M226" s="19">
        <f>('[1]Short Spot'!M227-'[1]Short Spot'!M226)*100</f>
        <v>-2.0559253479961903</v>
      </c>
      <c r="N226" s="19">
        <f>('[1]Short Spot'!N227-'[1]Short Spot'!N226)*100</f>
        <v>-1.8671498549579724</v>
      </c>
      <c r="O226" s="19">
        <f>('[1]Short Spot'!O227-'[1]Short Spot'!O226)*100</f>
        <v>-1.6811151808910907</v>
      </c>
      <c r="P226" s="19">
        <f>('[1]Short Spot'!P227-'[1]Short Spot'!P226)*100</f>
        <v>-1.5016900190560456</v>
      </c>
      <c r="Q226" s="19">
        <f>('[1]Short Spot'!Q227-'[1]Short Spot'!Q226)*100</f>
        <v>-1.331083668033628</v>
      </c>
      <c r="R226" s="19">
        <f>('[1]Short Spot'!R227-'[1]Short Spot'!R226)*100</f>
        <v>-1.1701672745853209</v>
      </c>
      <c r="S226" s="19">
        <f>('[1]Short Spot'!S227-'[1]Short Spot'!S226)*100</f>
        <v>-1.0189905986395686</v>
      </c>
      <c r="T226" s="19">
        <f>('[1]Short Spot'!T227-'[1]Short Spot'!T226)*100</f>
        <v>-0.87738293195815942</v>
      </c>
      <c r="U226" s="19">
        <f>('[1]Short Spot'!U227-'[1]Short Spot'!U226)*100</f>
        <v>-0.74503356826411959</v>
      </c>
      <c r="V226" s="19">
        <f>('[1]Short Spot'!V227-'[1]Short Spot'!V226)*100</f>
        <v>-0.62152513610840288</v>
      </c>
      <c r="W226" s="19">
        <f>('[1]Short Spot'!W227-'[1]Short Spot'!W226)*100</f>
        <v>-0.50635784095449665</v>
      </c>
      <c r="X226" s="19">
        <f>('[1]Short Spot'!X227-'[1]Short Spot'!X226)*100</f>
        <v>-0.39895635006308439</v>
      </c>
      <c r="Y226" s="19">
        <f>('[1]Short Spot'!Y227-'[1]Short Spot'!Y226)*100</f>
        <v>-0.29864038999214415</v>
      </c>
      <c r="Z226" s="19">
        <f>('[1]Short Spot'!Z227-'[1]Short Spot'!Z226)*100</f>
        <v>-0.20477130037699354</v>
      </c>
      <c r="AA226" s="19">
        <f>('[1]Short Spot'!AA227-'[1]Short Spot'!AA226)*100</f>
        <v>-0.11679646754219064</v>
      </c>
      <c r="AB226" s="19">
        <f>('[1]Short Spot'!AB227-'[1]Short Spot'!AB226)*100</f>
        <v>-3.4226518479485435E-2</v>
      </c>
      <c r="AC226" s="19">
        <f>('[1]Short Spot'!AC227-'[1]Short Spot'!AC226)*100</f>
        <v>4.3373323911932715E-2</v>
      </c>
      <c r="AD226" s="19">
        <f>('[1]Short Spot'!AD227-'[1]Short Spot'!AD226)*100</f>
        <v>0.11639245812622434</v>
      </c>
      <c r="AE226" s="19">
        <f>('[1]Short Spot'!AE227-'[1]Short Spot'!AE226)*100</f>
        <v>0.1851824671524227</v>
      </c>
      <c r="AF226" s="19">
        <f>('[1]Short Spot'!AF227-'[1]Short Spot'!AF226)*100</f>
        <v>0.25006361636981111</v>
      </c>
      <c r="AG226" s="19">
        <f>('[1]Short Spot'!AG227-'[1]Short Spot'!AG226)*100</f>
        <v>0.31133558218083834</v>
      </c>
      <c r="AH226" s="19">
        <f>('[1]Short Spot'!AH227-'[1]Short Spot'!AH226)*100</f>
        <v>0.36927333760710113</v>
      </c>
      <c r="AI226" s="19">
        <f>('[1]Short Spot'!AI227-'[1]Short Spot'!AI226)*100</f>
        <v>0.42412138568099778</v>
      </c>
      <c r="AJ226" s="19">
        <f>('[1]Short Spot'!AJ227-'[1]Short Spot'!AJ226)*100</f>
        <v>0.4760978018048867</v>
      </c>
      <c r="AK226" s="19">
        <f>('[1]Short Spot'!AK227-'[1]Short Spot'!AK226)*100</f>
        <v>0.52539790425738531</v>
      </c>
      <c r="AL226" s="19">
        <f>('[1]Short Spot'!AL227-'[1]Short Spot'!AL226)*100</f>
        <v>0.5721975314075145</v>
      </c>
      <c r="AM226" s="19">
        <f>('[1]Short Spot'!AM227-'[1]Short Spot'!AM226)*100</f>
        <v>0.61665746445616065</v>
      </c>
      <c r="AN226" s="19">
        <f>('[1]Short Spot'!AN227-'[1]Short Spot'!AN226)*100</f>
        <v>0.65892500409541199</v>
      </c>
      <c r="AO226" s="19">
        <f>('[1]Short Spot'!AO227-'[1]Short Spot'!AO226)*100</f>
        <v>0.69913478412821917</v>
      </c>
      <c r="AP226" s="19">
        <f>('[1]Short Spot'!AP227-'[1]Short Spot'!AP226)*100</f>
        <v>0.73741030608411862</v>
      </c>
      <c r="AQ226" s="19">
        <f>('[1]Short Spot'!AQ227-'[1]Short Spot'!AQ226)*100</f>
        <v>0.77386526448943727</v>
      </c>
      <c r="AR226" s="19">
        <f>('[1]Short Spot'!AR227-'[1]Short Spot'!AR226)*100</f>
        <v>0.80860468721670742</v>
      </c>
      <c r="AS226" s="19">
        <f>('[1]Short Spot'!AS227-'[1]Short Spot'!AS226)*100</f>
        <v>0.8417259413379341</v>
      </c>
      <c r="AT226" s="19">
        <f>('[1]Short Spot'!AT227-'[1]Short Spot'!AT226)*100</f>
        <v>0.8733198231647421</v>
      </c>
      <c r="AU226" s="19">
        <f>('[1]Short Spot'!AU227-'[1]Short Spot'!AU226)*100</f>
        <v>0.90347120073124287</v>
      </c>
      <c r="AV226" s="19">
        <f>('[1]Short Spot'!AV227-'[1]Short Spot'!AV226)*100</f>
        <v>0.93225948311523865</v>
      </c>
      <c r="AW226" s="19">
        <f>('[1]Short Spot'!AW227-'[1]Short Spot'!AW226)*100</f>
        <v>0.95975918596034049</v>
      </c>
      <c r="AX226" s="19">
        <f>('[1]Short Spot'!AX227-'[1]Short Spot'!AX226)*100</f>
        <v>0.98604043080667836</v>
      </c>
      <c r="AY226" s="19">
        <f>('[1]Short Spot'!AY227-'[1]Short Spot'!AY226)*100</f>
        <v>1.0111693845006542</v>
      </c>
      <c r="AZ226" s="19">
        <f>('[1]Short Spot'!AZ227-'[1]Short Spot'!AZ226)*100</f>
        <v>1.0352086469107569</v>
      </c>
      <c r="BA226" s="19">
        <f>('[1]Short Spot'!BA227-'[1]Short Spot'!BA226)*100</f>
        <v>1.0582175917384973</v>
      </c>
      <c r="BB226" s="19">
        <f>('[1]Short Spot'!BB227-'[1]Short Spot'!BB226)*100</f>
        <v>1.0802526149403135</v>
      </c>
      <c r="BC226" s="19">
        <f>('[1]Short Spot'!BC227-'[1]Short Spot'!BC226)*100</f>
        <v>1.1013680006207949</v>
      </c>
      <c r="BD226" s="19">
        <f>('[1]Short Spot'!BD227-'[1]Short Spot'!BD226)*100</f>
        <v>1.1216168587849573</v>
      </c>
      <c r="BE226" s="19">
        <f>('[1]Short Spot'!BE227-'[1]Short Spot'!BE226)*100</f>
        <v>1.1410517287021804</v>
      </c>
      <c r="BF226" s="19">
        <f>('[1]Short Spot'!BF227-'[1]Short Spot'!BF226)*100</f>
        <v>1.1597231590378954</v>
      </c>
      <c r="BG226" s="19">
        <f>('[1]Short Spot'!BG227-'[1]Short Spot'!BG226)*100</f>
        <v>1.177677661250609</v>
      </c>
      <c r="BH226" s="19">
        <f>('[1]Short Spot'!BH227-'[1]Short Spot'!BH226)*100</f>
        <v>1.1949587463053746</v>
      </c>
      <c r="BI226" s="19">
        <f>('[1]Short Spot'!BI227-'[1]Short Spot'!BI226)*100</f>
        <v>1.2116075877281141</v>
      </c>
    </row>
    <row r="227" spans="1:61" x14ac:dyDescent="0.2">
      <c r="A227" s="18">
        <v>39407</v>
      </c>
      <c r="B227" s="19">
        <f>('[1]Short Spot'!B228-'[1]Short Spot'!B227)*100</f>
        <v>-0.98187422838895699</v>
      </c>
      <c r="C227" s="19">
        <f>('[1]Short Spot'!C228-'[1]Short Spot'!C227)*100</f>
        <v>-0.30779537365441811</v>
      </c>
      <c r="D227" s="19">
        <f>('[1]Short Spot'!D228-'[1]Short Spot'!D227)*100</f>
        <v>0.15259856537142014</v>
      </c>
      <c r="E227" s="19">
        <f>('[1]Short Spot'!E228-'[1]Short Spot'!E227)*100</f>
        <v>0.48410733345924939</v>
      </c>
      <c r="F227" s="19">
        <f>('[1]Short Spot'!F228-'[1]Short Spot'!F227)*100</f>
        <v>0.57176954305351302</v>
      </c>
      <c r="G227" s="19">
        <f>('[1]Short Spot'!G228-'[1]Short Spot'!G227)*100</f>
        <v>0.40581285893379615</v>
      </c>
      <c r="H227" s="19">
        <f>('[1]Short Spot'!H228-'[1]Short Spot'!H227)*100</f>
        <v>3.4312499517330508E-2</v>
      </c>
      <c r="I227" s="19">
        <f>('[1]Short Spot'!I228-'[1]Short Spot'!I227)*100</f>
        <v>-0.48542894282919136</v>
      </c>
      <c r="J227" s="19">
        <f>('[1]Short Spot'!J228-'[1]Short Spot'!J227)*100</f>
        <v>-1.1014765536483395</v>
      </c>
      <c r="K227" s="19">
        <f>('[1]Short Spot'!K228-'[1]Short Spot'!K227)*100</f>
        <v>-1.7659805412038487</v>
      </c>
      <c r="L227" s="19">
        <f>('[1]Short Spot'!L228-'[1]Short Spot'!L227)*100</f>
        <v>-2.4401093894944381</v>
      </c>
      <c r="M227" s="19">
        <f>('[1]Short Spot'!M228-'[1]Short Spot'!M227)*100</f>
        <v>-3.0966290630137117</v>
      </c>
      <c r="N227" s="19">
        <f>('[1]Short Spot'!N228-'[1]Short Spot'!N227)*100</f>
        <v>-3.7161716368565578</v>
      </c>
      <c r="O227" s="19">
        <f>('[1]Short Spot'!O228-'[1]Short Spot'!O227)*100</f>
        <v>-4.2865028218763257</v>
      </c>
      <c r="P227" s="19">
        <f>('[1]Short Spot'!P228-'[1]Short Spot'!P227)*100</f>
        <v>-4.8022266259175161</v>
      </c>
      <c r="Q227" s="19">
        <f>('[1]Short Spot'!Q228-'[1]Short Spot'!Q227)*100</f>
        <v>-5.262834486365886</v>
      </c>
      <c r="R227" s="19">
        <f>('[1]Short Spot'!R228-'[1]Short Spot'!R227)*100</f>
        <v>-5.6706709540657485</v>
      </c>
      <c r="S227" s="19">
        <f>('[1]Short Spot'!S228-'[1]Short Spot'!S227)*100</f>
        <v>-6.0287825231520209</v>
      </c>
      <c r="T227" s="19">
        <f>('[1]Short Spot'!T228-'[1]Short Spot'!T227)*100</f>
        <v>-6.3405053809960421</v>
      </c>
      <c r="U227" s="19">
        <f>('[1]Short Spot'!U228-'[1]Short Spot'!U227)*100</f>
        <v>-6.6094020614364979</v>
      </c>
      <c r="V227" s="19">
        <f>('[1]Short Spot'!V228-'[1]Short Spot'!V227)*100</f>
        <v>-6.8392075527635932</v>
      </c>
      <c r="W227" s="19">
        <f>('[1]Short Spot'!W228-'[1]Short Spot'!W227)*100</f>
        <v>-7.0337901035253836</v>
      </c>
      <c r="X227" s="19">
        <f>('[1]Short Spot'!X228-'[1]Short Spot'!X227)*100</f>
        <v>-7.1970955384863977</v>
      </c>
      <c r="Y227" s="19">
        <f>('[1]Short Spot'!Y228-'[1]Short Spot'!Y227)*100</f>
        <v>-7.3328128765544065</v>
      </c>
      <c r="Z227" s="19">
        <f>('[1]Short Spot'!Z228-'[1]Short Spot'!Z227)*100</f>
        <v>-7.4441526946352532</v>
      </c>
      <c r="AA227" s="19">
        <f>('[1]Short Spot'!AA228-'[1]Short Spot'!AA227)*100</f>
        <v>-7.5339242502697523</v>
      </c>
      <c r="AB227" s="19">
        <f>('[1]Short Spot'!AB228-'[1]Short Spot'!AB227)*100</f>
        <v>-7.6045972487821523</v>
      </c>
      <c r="AC227" s="19">
        <f>('[1]Short Spot'!AC228-'[1]Short Spot'!AC227)*100</f>
        <v>-7.6583635523967963</v>
      </c>
      <c r="AD227" s="19">
        <f>('[1]Short Spot'!AD228-'[1]Short Spot'!AD227)*100</f>
        <v>-7.6971852354120962</v>
      </c>
      <c r="AE227" s="19">
        <f>('[1]Short Spot'!AE228-'[1]Short Spot'!AE227)*100</f>
        <v>-7.7228328821896675</v>
      </c>
      <c r="AF227" s="19">
        <f>('[1]Short Spot'!AF228-'[1]Short Spot'!AF227)*100</f>
        <v>-7.7369156686151186</v>
      </c>
      <c r="AG227" s="19">
        <f>('[1]Short Spot'!AG228-'[1]Short Spot'!AG227)*100</f>
        <v>-7.7408838514828382</v>
      </c>
      <c r="AH227" s="19">
        <f>('[1]Short Spot'!AH228-'[1]Short Spot'!AH227)*100</f>
        <v>-7.7360186010015042</v>
      </c>
      <c r="AI227" s="19">
        <f>('[1]Short Spot'!AI228-'[1]Short Spot'!AI227)*100</f>
        <v>-7.7234543012210111</v>
      </c>
      <c r="AJ227" s="19">
        <f>('[1]Short Spot'!AJ228-'[1]Short Spot'!AJ227)*100</f>
        <v>-7.7041996721250783</v>
      </c>
      <c r="AK227" s="19">
        <f>('[1]Short Spot'!AK228-'[1]Short Spot'!AK227)*100</f>
        <v>-7.6791552229749982</v>
      </c>
      <c r="AL227" s="19">
        <f>('[1]Short Spot'!AL228-'[1]Short Spot'!AL227)*100</f>
        <v>-7.6491274823792033</v>
      </c>
      <c r="AM227" s="19">
        <f>('[1]Short Spot'!AM228-'[1]Short Spot'!AM227)*100</f>
        <v>-7.6148358872720756</v>
      </c>
      <c r="AN227" s="19">
        <f>('[1]Short Spot'!AN228-'[1]Short Spot'!AN227)*100</f>
        <v>-7.5769186564828672</v>
      </c>
      <c r="AO227" s="19">
        <f>('[1]Short Spot'!AO228-'[1]Short Spot'!AO227)*100</f>
        <v>-7.5359428080663982</v>
      </c>
      <c r="AP227" s="19">
        <f>('[1]Short Spot'!AP228-'[1]Short Spot'!AP227)*100</f>
        <v>-7.4924128481952401</v>
      </c>
      <c r="AQ227" s="19">
        <f>('[1]Short Spot'!AQ228-'[1]Short Spot'!AQ227)*100</f>
        <v>-7.4467782130495763</v>
      </c>
      <c r="AR227" s="19">
        <f>('[1]Short Spot'!AR228-'[1]Short Spot'!AR227)*100</f>
        <v>-7.3994396723056965</v>
      </c>
      <c r="AS227" s="19">
        <f>('[1]Short Spot'!AS228-'[1]Short Spot'!AS227)*100</f>
        <v>-7.3507548131550138</v>
      </c>
      <c r="AT227" s="19">
        <f>('[1]Short Spot'!AT228-'[1]Short Spot'!AT227)*100</f>
        <v>-7.3010419463480858</v>
      </c>
      <c r="AU227" s="19">
        <f>('[1]Short Spot'!AU228-'[1]Short Spot'!AU227)*100</f>
        <v>-7.250583229588603</v>
      </c>
      <c r="AV227" s="19">
        <f>('[1]Short Spot'!AV228-'[1]Short Spot'!AV227)*100</f>
        <v>-7.1996284171357949</v>
      </c>
      <c r="AW227" s="19">
        <f>('[1]Short Spot'!AW228-'[1]Short Spot'!AW227)*100</f>
        <v>-7.148398236761988</v>
      </c>
      <c r="AX227" s="19">
        <f>('[1]Short Spot'!AX228-'[1]Short Spot'!AX227)*100</f>
        <v>-7.0970873516405852</v>
      </c>
      <c r="AY227" s="19">
        <f>('[1]Short Spot'!AY228-'[1]Short Spot'!AY227)*100</f>
        <v>-7.0458669668048479</v>
      </c>
      <c r="AZ227" s="19">
        <f>('[1]Short Spot'!AZ228-'[1]Short Spot'!AZ227)*100</f>
        <v>-6.9948871289657433</v>
      </c>
      <c r="BA227" s="19">
        <f>('[1]Short Spot'!BA228-'[1]Short Spot'!BA227)*100</f>
        <v>-6.9442787637036929</v>
      </c>
      <c r="BB227" s="19">
        <f>('[1]Short Spot'!BB228-'[1]Short Spot'!BB227)*100</f>
        <v>-6.8941555324385284</v>
      </c>
      <c r="BC227" s="19">
        <f>('[1]Short Spot'!BC228-'[1]Short Spot'!BC227)*100</f>
        <v>-6.844614866310117</v>
      </c>
      <c r="BD227" s="19">
        <f>('[1]Short Spot'!BD228-'[1]Short Spot'!BD227)*100</f>
        <v>-6.7957387623312826</v>
      </c>
      <c r="BE227" s="19">
        <f>('[1]Short Spot'!BE228-'[1]Short Spot'!BE227)*100</f>
        <v>-6.7475943629343504</v>
      </c>
      <c r="BF227" s="19">
        <f>('[1]Short Spot'!BF228-'[1]Short Spot'!BF227)*100</f>
        <v>-6.7002361081602402</v>
      </c>
      <c r="BG227" s="19">
        <f>('[1]Short Spot'!BG228-'[1]Short Spot'!BG227)*100</f>
        <v>-6.6537099939326438</v>
      </c>
      <c r="BH227" s="19">
        <f>('[1]Short Spot'!BH228-'[1]Short Spot'!BH227)*100</f>
        <v>-6.6080549009817524</v>
      </c>
      <c r="BI227" s="19">
        <f>('[1]Short Spot'!BI228-'[1]Short Spot'!BI227)*100</f>
        <v>-6.5633029503458395</v>
      </c>
    </row>
    <row r="228" spans="1:61" x14ac:dyDescent="0.2">
      <c r="A228" s="18">
        <v>39408</v>
      </c>
      <c r="B228" s="19">
        <f>('[1]Short Spot'!B229-'[1]Short Spot'!B228)*100</f>
        <v>-0.72248228765294797</v>
      </c>
      <c r="C228" s="19">
        <f>('[1]Short Spot'!C229-'[1]Short Spot'!C228)*100</f>
        <v>-1.3174169194492436</v>
      </c>
      <c r="D228" s="19">
        <f>('[1]Short Spot'!D229-'[1]Short Spot'!D228)*100</f>
        <v>-1.7799598327392196</v>
      </c>
      <c r="E228" s="19">
        <f>('[1]Short Spot'!E229-'[1]Short Spot'!E228)*100</f>
        <v>-2.1049469056188208</v>
      </c>
      <c r="F228" s="19">
        <f>('[1]Short Spot'!F229-'[1]Short Spot'!F228)*100</f>
        <v>-2.3799373013284608</v>
      </c>
      <c r="G228" s="19">
        <f>('[1]Short Spot'!G229-'[1]Short Spot'!G228)*100</f>
        <v>-2.6503826788545126</v>
      </c>
      <c r="H228" s="19">
        <f>('[1]Short Spot'!H229-'[1]Short Spot'!H228)*100</f>
        <v>-2.9291476423816576</v>
      </c>
      <c r="I228" s="19">
        <f>('[1]Short Spot'!I229-'[1]Short Spot'!I228)*100</f>
        <v>-3.2167047380928793</v>
      </c>
      <c r="J228" s="19">
        <f>('[1]Short Spot'!J229-'[1]Short Spot'!J228)*100</f>
        <v>-3.5067007645136705</v>
      </c>
      <c r="K228" s="19">
        <f>('[1]Short Spot'!K229-'[1]Short Spot'!K228)*100</f>
        <v>-3.7895901789381625</v>
      </c>
      <c r="L228" s="19">
        <f>('[1]Short Spot'!L229-'[1]Short Spot'!L228)*100</f>
        <v>-4.0573978193845228</v>
      </c>
      <c r="M228" s="19">
        <f>('[1]Short Spot'!M229-'[1]Short Spot'!M228)*100</f>
        <v>-4.3061551970493994</v>
      </c>
      <c r="N228" s="19">
        <f>('[1]Short Spot'!N229-'[1]Short Spot'!N228)*100</f>
        <v>-4.5342677864308456</v>
      </c>
      <c r="O228" s="19">
        <f>('[1]Short Spot'!O229-'[1]Short Spot'!O228)*100</f>
        <v>-4.7402743840458506</v>
      </c>
      <c r="P228" s="19">
        <f>('[1]Short Spot'!P229-'[1]Short Spot'!P228)*100</f>
        <v>-4.923646250437308</v>
      </c>
      <c r="Q228" s="19">
        <f>('[1]Short Spot'!Q229-'[1]Short Spot'!Q228)*100</f>
        <v>-5.0848838130810314</v>
      </c>
      <c r="R228" s="19">
        <f>('[1]Short Spot'!R229-'[1]Short Spot'!R228)*100</f>
        <v>-5.2248706496597741</v>
      </c>
      <c r="S228" s="19">
        <f>('[1]Short Spot'!S229-'[1]Short Spot'!S228)*100</f>
        <v>-5.3444960343727033</v>
      </c>
      <c r="T228" s="19">
        <f>('[1]Short Spot'!T229-'[1]Short Spot'!T228)*100</f>
        <v>-5.4448735617778077</v>
      </c>
      <c r="U228" s="19">
        <f>('[1]Short Spot'!U229-'[1]Short Spot'!U228)*100</f>
        <v>-5.527302002183454</v>
      </c>
      <c r="V228" s="19">
        <f>('[1]Short Spot'!V229-'[1]Short Spot'!V228)*100</f>
        <v>-5.593221212181998</v>
      </c>
      <c r="W228" s="19">
        <f>('[1]Short Spot'!W229-'[1]Short Spot'!W228)*100</f>
        <v>-5.6441800695863797</v>
      </c>
      <c r="X228" s="19">
        <f>('[1]Short Spot'!X229-'[1]Short Spot'!X228)*100</f>
        <v>-5.6817889923169496</v>
      </c>
      <c r="Y228" s="19">
        <f>('[1]Short Spot'!Y229-'[1]Short Spot'!Y228)*100</f>
        <v>-5.7075181561883959</v>
      </c>
      <c r="Z228" s="19">
        <f>('[1]Short Spot'!Z229-'[1]Short Spot'!Z228)*100</f>
        <v>-5.7226764228373028</v>
      </c>
      <c r="AA228" s="19">
        <f>('[1]Short Spot'!AA229-'[1]Short Spot'!AA228)*100</f>
        <v>-5.7284542330698685</v>
      </c>
      <c r="AB228" s="19">
        <f>('[1]Short Spot'!AB229-'[1]Short Spot'!AB228)*100</f>
        <v>-5.7259168901000912</v>
      </c>
      <c r="AC228" s="19">
        <f>('[1]Short Spot'!AC229-'[1]Short Spot'!AC228)*100</f>
        <v>-5.7160239279309799</v>
      </c>
      <c r="AD228" s="19">
        <f>('[1]Short Spot'!AD229-'[1]Short Spot'!AD228)*100</f>
        <v>-5.6996474458141044</v>
      </c>
      <c r="AE228" s="19">
        <f>('[1]Short Spot'!AE229-'[1]Short Spot'!AE228)*100</f>
        <v>-5.6775866807067032</v>
      </c>
      <c r="AF228" s="19">
        <f>('[1]Short Spot'!AF229-'[1]Short Spot'!AF228)*100</f>
        <v>-5.6505788851959338</v>
      </c>
      <c r="AG228" s="19">
        <f>('[1]Short Spot'!AG229-'[1]Short Spot'!AG228)*100</f>
        <v>-5.619291286122241</v>
      </c>
      <c r="AH228" s="19">
        <f>('[1]Short Spot'!AH229-'[1]Short Spot'!AH228)*100</f>
        <v>-5.5843152492986547</v>
      </c>
      <c r="AI228" s="19">
        <f>('[1]Short Spot'!AI229-'[1]Short Spot'!AI228)*100</f>
        <v>-5.5461802816167527</v>
      </c>
      <c r="AJ228" s="19">
        <f>('[1]Short Spot'!AJ229-'[1]Short Spot'!AJ228)*100</f>
        <v>-5.5053630421634914</v>
      </c>
      <c r="AK228" s="19">
        <f>('[1]Short Spot'!AK229-'[1]Short Spot'!AK228)*100</f>
        <v>-5.4622946821941021</v>
      </c>
      <c r="AL228" s="19">
        <f>('[1]Short Spot'!AL229-'[1]Short Spot'!AL228)*100</f>
        <v>-5.4173665306103125</v>
      </c>
      <c r="AM228" s="19">
        <f>('[1]Short Spot'!AM229-'[1]Short Spot'!AM228)*100</f>
        <v>-5.3709298719984311</v>
      </c>
      <c r="AN228" s="19">
        <f>('[1]Short Spot'!AN229-'[1]Short Spot'!AN228)*100</f>
        <v>-5.3232967854460078</v>
      </c>
      <c r="AO228" s="19">
        <f>('[1]Short Spot'!AO229-'[1]Short Spot'!AO228)*100</f>
        <v>-5.2747451584376215</v>
      </c>
      <c r="AP228" s="19">
        <f>('[1]Short Spot'!AP229-'[1]Short Spot'!AP228)*100</f>
        <v>-5.2255228611769233</v>
      </c>
      <c r="AQ228" s="19">
        <f>('[1]Short Spot'!AQ229-'[1]Short Spot'!AQ228)*100</f>
        <v>-5.1758513200731215</v>
      </c>
      <c r="AR228" s="19">
        <f>('[1]Short Spot'!AR229-'[1]Short Spot'!AR228)*100</f>
        <v>-5.1259285926000153</v>
      </c>
      <c r="AS228" s="19">
        <f>('[1]Short Spot'!AS229-'[1]Short Spot'!AS228)*100</f>
        <v>-5.0759319614839704</v>
      </c>
      <c r="AT228" s="19">
        <f>('[1]Short Spot'!AT229-'[1]Short Spot'!AT228)*100</f>
        <v>-5.026019202995613</v>
      </c>
      <c r="AU228" s="19">
        <f>('[1]Short Spot'!AU229-'[1]Short Spot'!AU228)*100</f>
        <v>-4.976329494098497</v>
      </c>
      <c r="AV228" s="19">
        <f>('[1]Short Spot'!AV229-'[1]Short Spot'!AV228)*100</f>
        <v>-4.9269853099401573</v>
      </c>
      <c r="AW228" s="19">
        <f>('[1]Short Spot'!AW229-'[1]Short Spot'!AW228)*100</f>
        <v>-4.8780941650778509</v>
      </c>
      <c r="AX228" s="19">
        <f>('[1]Short Spot'!AX229-'[1]Short Spot'!AX228)*100</f>
        <v>-4.8297501400678122</v>
      </c>
      <c r="AY228" s="19">
        <f>('[1]Short Spot'!AY229-'[1]Short Spot'!AY228)*100</f>
        <v>-4.7820352248664655</v>
      </c>
      <c r="AZ228" s="19">
        <f>('[1]Short Spot'!AZ229-'[1]Short Spot'!AZ228)*100</f>
        <v>-4.7350205041833071</v>
      </c>
      <c r="BA228" s="19">
        <f>('[1]Short Spot'!BA229-'[1]Short Spot'!BA228)*100</f>
        <v>-4.6887672087399856</v>
      </c>
      <c r="BB228" s="19">
        <f>('[1]Short Spot'!BB229-'[1]Short Spot'!BB228)*100</f>
        <v>-4.6433275765600079</v>
      </c>
      <c r="BC228" s="19">
        <f>('[1]Short Spot'!BC229-'[1]Short Spot'!BC228)*100</f>
        <v>-4.598744671264221</v>
      </c>
      <c r="BD228" s="19">
        <f>('[1]Short Spot'!BD229-'[1]Short Spot'!BD228)*100</f>
        <v>-4.5550524143097348</v>
      </c>
      <c r="BE228" s="19">
        <f>('[1]Short Spot'!BE229-'[1]Short Spot'!BE228)*100</f>
        <v>-4.5122763876840111</v>
      </c>
      <c r="BF228" s="19">
        <f>('[1]Short Spot'!BF229-'[1]Short Spot'!BF228)*100</f>
        <v>-4.4704371009651744</v>
      </c>
      <c r="BG228" s="19">
        <f>('[1]Short Spot'!BG229-'[1]Short Spot'!BG228)*100</f>
        <v>-4.4295523659434011</v>
      </c>
      <c r="BH228" s="19">
        <f>('[1]Short Spot'!BH229-'[1]Short Spot'!BH228)*100</f>
        <v>-4.3896362849577208</v>
      </c>
      <c r="BI228" s="19">
        <f>('[1]Short Spot'!BI229-'[1]Short Spot'!BI228)*100</f>
        <v>-4.350699157121074</v>
      </c>
    </row>
    <row r="229" spans="1:61" x14ac:dyDescent="0.2">
      <c r="A229" s="18">
        <v>39409</v>
      </c>
      <c r="B229" s="19">
        <f>('[1]Short Spot'!B230-'[1]Short Spot'!B229)*100</f>
        <v>-1.2106049330484758</v>
      </c>
      <c r="C229" s="19">
        <f>('[1]Short Spot'!C230-'[1]Short Spot'!C229)*100</f>
        <v>-1.9386451903395496</v>
      </c>
      <c r="D229" s="19">
        <f>('[1]Short Spot'!D230-'[1]Short Spot'!D229)*100</f>
        <v>-1.787851571244925</v>
      </c>
      <c r="E229" s="19">
        <f>('[1]Short Spot'!E230-'[1]Short Spot'!E229)*100</f>
        <v>-1.3980550119398139</v>
      </c>
      <c r="F229" s="19">
        <f>('[1]Short Spot'!F230-'[1]Short Spot'!F229)*100</f>
        <v>-1.0756036211132525</v>
      </c>
      <c r="G229" s="19">
        <f>('[1]Short Spot'!G230-'[1]Short Spot'!G229)*100</f>
        <v>-0.88167679429460577</v>
      </c>
      <c r="H229" s="19">
        <f>('[1]Short Spot'!H230-'[1]Short Spot'!H229)*100</f>
        <v>-0.78611685090406169</v>
      </c>
      <c r="I229" s="19">
        <f>('[1]Short Spot'!I230-'[1]Short Spot'!I229)*100</f>
        <v>-0.75139454760790869</v>
      </c>
      <c r="J229" s="19">
        <f>('[1]Short Spot'!J230-'[1]Short Spot'!J229)*100</f>
        <v>-0.7568538052590057</v>
      </c>
      <c r="K229" s="19">
        <f>('[1]Short Spot'!K230-'[1]Short Spot'!K229)*100</f>
        <v>-0.78883537326337461</v>
      </c>
      <c r="L229" s="19">
        <f>('[1]Short Spot'!L230-'[1]Short Spot'!L229)*100</f>
        <v>-0.82750351277987022</v>
      </c>
      <c r="M229" s="19">
        <f>('[1]Short Spot'!M230-'[1]Short Spot'!M229)*100</f>
        <v>-0.85819089151133454</v>
      </c>
      <c r="N229" s="19">
        <f>('[1]Short Spot'!N230-'[1]Short Spot'!N229)*100</f>
        <v>-0.87291087988576876</v>
      </c>
      <c r="O229" s="19">
        <f>('[1]Short Spot'!O230-'[1]Short Spot'!O229)*100</f>
        <v>-0.86867030813886359</v>
      </c>
      <c r="P229" s="19">
        <f>('[1]Short Spot'!P230-'[1]Short Spot'!P229)*100</f>
        <v>-0.84539661074316541</v>
      </c>
      <c r="Q229" s="19">
        <f>('[1]Short Spot'!Q230-'[1]Short Spot'!Q229)*100</f>
        <v>-0.80477068810802521</v>
      </c>
      <c r="R229" s="19">
        <f>('[1]Short Spot'!R230-'[1]Short Spot'!R229)*100</f>
        <v>-0.74853782193056162</v>
      </c>
      <c r="S229" s="19">
        <f>('[1]Short Spot'!S230-'[1]Short Spot'!S229)*100</f>
        <v>-0.677816390924324</v>
      </c>
      <c r="T229" s="19">
        <f>('[1]Short Spot'!T230-'[1]Short Spot'!T229)*100</f>
        <v>-0.59392626979564156</v>
      </c>
      <c r="U229" s="19">
        <f>('[1]Short Spot'!U230-'[1]Short Spot'!U229)*100</f>
        <v>-0.49837566653261334</v>
      </c>
      <c r="V229" s="19">
        <f>('[1]Short Spot'!V230-'[1]Short Spot'!V229)*100</f>
        <v>-0.39281628114853362</v>
      </c>
      <c r="W229" s="19">
        <f>('[1]Short Spot'!W230-'[1]Short Spot'!W229)*100</f>
        <v>-0.27901069385771748</v>
      </c>
      <c r="X229" s="19">
        <f>('[1]Short Spot'!X230-'[1]Short Spot'!X229)*100</f>
        <v>-0.15872508096848037</v>
      </c>
      <c r="Y229" s="19">
        <f>('[1]Short Spot'!Y230-'[1]Short Spot'!Y229)*100</f>
        <v>-3.3293935425149357E-2</v>
      </c>
      <c r="Z229" s="19">
        <f>('[1]Short Spot'!Z230-'[1]Short Spot'!Z229)*100</f>
        <v>9.6183524607429405E-2</v>
      </c>
      <c r="AA229" s="19">
        <f>('[1]Short Spot'!AA230-'[1]Short Spot'!AA229)*100</f>
        <v>0.22872836602374491</v>
      </c>
      <c r="AB229" s="19">
        <f>('[1]Short Spot'!AB230-'[1]Short Spot'!AB229)*100</f>
        <v>0.36348545272337773</v>
      </c>
      <c r="AC229" s="19">
        <f>('[1]Short Spot'!AC230-'[1]Short Spot'!AC229)*100</f>
        <v>0.49969269246012971</v>
      </c>
      <c r="AD229" s="19">
        <f>('[1]Short Spot'!AD230-'[1]Short Spot'!AD229)*100</f>
        <v>0.63666467285790063</v>
      </c>
      <c r="AE229" s="19">
        <f>('[1]Short Spot'!AE230-'[1]Short Spot'!AE229)*100</f>
        <v>0.77377988143272347</v>
      </c>
      <c r="AF229" s="19">
        <f>('[1]Short Spot'!AF230-'[1]Short Spot'!AF229)*100</f>
        <v>0.91047381969646679</v>
      </c>
      <c r="AG229" s="19">
        <f>('[1]Short Spot'!AG230-'[1]Short Spot'!AG229)*100</f>
        <v>1.0462741837913292</v>
      </c>
      <c r="AH229" s="19">
        <f>('[1]Short Spot'!AH230-'[1]Short Spot'!AH229)*100</f>
        <v>1.1807980236952176</v>
      </c>
      <c r="AI229" s="19">
        <f>('[1]Short Spot'!AI230-'[1]Short Spot'!AI229)*100</f>
        <v>1.3137216052222733</v>
      </c>
      <c r="AJ229" s="19">
        <f>('[1]Short Spot'!AJ230-'[1]Short Spot'!AJ229)*100</f>
        <v>1.4447715732491595</v>
      </c>
      <c r="AK229" s="19">
        <f>('[1]Short Spot'!AK230-'[1]Short Spot'!AK229)*100</f>
        <v>1.5737179546234437</v>
      </c>
      <c r="AL229" s="19">
        <f>('[1]Short Spot'!AL230-'[1]Short Spot'!AL229)*100</f>
        <v>1.7003694711172024</v>
      </c>
      <c r="AM229" s="19">
        <f>('[1]Short Spot'!AM230-'[1]Short Spot'!AM229)*100</f>
        <v>1.8245742900466766</v>
      </c>
      <c r="AN229" s="19">
        <f>('[1]Short Spot'!AN230-'[1]Short Spot'!AN229)*100</f>
        <v>1.9462103232349648</v>
      </c>
      <c r="AO229" s="19">
        <f>('[1]Short Spot'!AO230-'[1]Short Spot'!AO229)*100</f>
        <v>2.065178802615808</v>
      </c>
      <c r="AP229" s="19">
        <f>('[1]Short Spot'!AP230-'[1]Short Spot'!AP229)*100</f>
        <v>2.1814014300107765</v>
      </c>
      <c r="AQ229" s="19">
        <f>('[1]Short Spot'!AQ230-'[1]Short Spot'!AQ229)*100</f>
        <v>2.2948179402390245</v>
      </c>
      <c r="AR229" s="19">
        <f>('[1]Short Spot'!AR230-'[1]Short Spot'!AR229)*100</f>
        <v>2.4053840042552288</v>
      </c>
      <c r="AS229" s="19">
        <f>('[1]Short Spot'!AS230-'[1]Short Spot'!AS229)*100</f>
        <v>2.5130695473335685</v>
      </c>
      <c r="AT229" s="19">
        <f>('[1]Short Spot'!AT230-'[1]Short Spot'!AT229)*100</f>
        <v>2.6178578456776513</v>
      </c>
      <c r="AU229" s="19">
        <f>('[1]Short Spot'!AU230-'[1]Short Spot'!AU229)*100</f>
        <v>2.7197430640902631</v>
      </c>
      <c r="AV229" s="19">
        <f>('[1]Short Spot'!AV230-'[1]Short Spot'!AV229)*100</f>
        <v>2.8187285217371461</v>
      </c>
      <c r="AW229" s="19">
        <f>('[1]Short Spot'!AW230-'[1]Short Spot'!AW229)*100</f>
        <v>2.9148257352538565</v>
      </c>
      <c r="AX229" s="19">
        <f>('[1]Short Spot'!AX230-'[1]Short Spot'!AX229)*100</f>
        <v>3.0080535822680332</v>
      </c>
      <c r="AY229" s="19">
        <f>('[1]Short Spot'!AY230-'[1]Short Spot'!AY229)*100</f>
        <v>3.0984375653011931</v>
      </c>
      <c r="AZ229" s="19">
        <f>('[1]Short Spot'!AZ230-'[1]Short Spot'!AZ229)*100</f>
        <v>3.1860091622689879</v>
      </c>
      <c r="BA229" s="19">
        <f>('[1]Short Spot'!BA230-'[1]Short Spot'!BA229)*100</f>
        <v>3.2708052424996303</v>
      </c>
      <c r="BB229" s="19">
        <f>('[1]Short Spot'!BB230-'[1]Short Spot'!BB229)*100</f>
        <v>3.3528677941453644</v>
      </c>
      <c r="BC229" s="19">
        <f>('[1]Short Spot'!BC230-'[1]Short Spot'!BC229)*100</f>
        <v>3.432245990883942</v>
      </c>
      <c r="BD229" s="19">
        <f>('[1]Short Spot'!BD230-'[1]Short Spot'!BD229)*100</f>
        <v>3.5089972529773306</v>
      </c>
      <c r="BE229" s="19">
        <f>('[1]Short Spot'!BE230-'[1]Short Spot'!BE229)*100</f>
        <v>3.583184630838776</v>
      </c>
      <c r="BF229" s="19">
        <f>('[1]Short Spot'!BF230-'[1]Short Spot'!BF229)*100</f>
        <v>3.6548665312457373</v>
      </c>
      <c r="BG229" s="19">
        <f>('[1]Short Spot'!BG230-'[1]Short Spot'!BG229)*100</f>
        <v>3.724094266639888</v>
      </c>
      <c r="BH229" s="19">
        <f>('[1]Short Spot'!BH230-'[1]Short Spot'!BH229)*100</f>
        <v>3.7909184722654032</v>
      </c>
      <c r="BI229" s="19">
        <f>('[1]Short Spot'!BI230-'[1]Short Spot'!BI229)*100</f>
        <v>3.8553902806413021</v>
      </c>
    </row>
    <row r="230" spans="1:61" x14ac:dyDescent="0.2">
      <c r="A230" s="18">
        <v>39412</v>
      </c>
      <c r="B230" s="19">
        <f>('[1]Short Spot'!B231-'[1]Short Spot'!B230)*100</f>
        <v>-0.78236769509114623</v>
      </c>
      <c r="C230" s="19">
        <f>('[1]Short Spot'!C231-'[1]Short Spot'!C230)*100</f>
        <v>0.111883301018878</v>
      </c>
      <c r="D230" s="19">
        <f>('[1]Short Spot'!D231-'[1]Short Spot'!D230)*100</f>
        <v>0.92603665365995624</v>
      </c>
      <c r="E230" s="19">
        <f>('[1]Short Spot'!E231-'[1]Short Spot'!E230)*100</f>
        <v>1.3807724783427844</v>
      </c>
      <c r="F230" s="19">
        <f>('[1]Short Spot'!F231-'[1]Short Spot'!F230)*100</f>
        <v>1.5718520577839179</v>
      </c>
      <c r="G230" s="19">
        <f>('[1]Short Spot'!G231-'[1]Short Spot'!G230)*100</f>
        <v>1.6925979930827673</v>
      </c>
      <c r="H230" s="19">
        <f>('[1]Short Spot'!H231-'[1]Short Spot'!H230)*100</f>
        <v>1.7866726644534481</v>
      </c>
      <c r="I230" s="19">
        <f>('[1]Short Spot'!I231-'[1]Short Spot'!I230)*100</f>
        <v>1.8595763914088792</v>
      </c>
      <c r="J230" s="19">
        <f>('[1]Short Spot'!J231-'[1]Short Spot'!J230)*100</f>
        <v>1.9195585113251923</v>
      </c>
      <c r="K230" s="19">
        <f>('[1]Short Spot'!K231-'[1]Short Spot'!K230)*100</f>
        <v>1.9748384870307945</v>
      </c>
      <c r="L230" s="19">
        <f>('[1]Short Spot'!L231-'[1]Short Spot'!L230)*100</f>
        <v>2.0222130283443107</v>
      </c>
      <c r="M230" s="19">
        <f>('[1]Short Spot'!M231-'[1]Short Spot'!M230)*100</f>
        <v>2.0592677594470032</v>
      </c>
      <c r="N230" s="19">
        <f>('[1]Short Spot'!N231-'[1]Short Spot'!N230)*100</f>
        <v>2.0869963001911351</v>
      </c>
      <c r="O230" s="19">
        <f>('[1]Short Spot'!O231-'[1]Short Spot'!O230)*100</f>
        <v>2.1066856142160084</v>
      </c>
      <c r="P230" s="19">
        <f>('[1]Short Spot'!P231-'[1]Short Spot'!P230)*100</f>
        <v>2.1190467089672538</v>
      </c>
      <c r="Q230" s="19">
        <f>('[1]Short Spot'!Q231-'[1]Short Spot'!Q230)*100</f>
        <v>2.1244943997827725</v>
      </c>
      <c r="R230" s="19">
        <f>('[1]Short Spot'!R231-'[1]Short Spot'!R230)*100</f>
        <v>2.1236169227617729</v>
      </c>
      <c r="S230" s="19">
        <f>('[1]Short Spot'!S231-'[1]Short Spot'!S230)*100</f>
        <v>2.1171633943546375</v>
      </c>
      <c r="T230" s="19">
        <f>('[1]Short Spot'!T231-'[1]Short Spot'!T230)*100</f>
        <v>2.1057465828469013</v>
      </c>
      <c r="U230" s="19">
        <f>('[1]Short Spot'!U231-'[1]Short Spot'!U230)*100</f>
        <v>2.0898681653143569</v>
      </c>
      <c r="V230" s="19">
        <f>('[1]Short Spot'!V231-'[1]Short Spot'!V230)*100</f>
        <v>2.0699451779102596</v>
      </c>
      <c r="W230" s="19">
        <f>('[1]Short Spot'!W231-'[1]Short Spot'!W230)*100</f>
        <v>2.0463292524391719</v>
      </c>
      <c r="X230" s="19">
        <f>('[1]Short Spot'!X231-'[1]Short Spot'!X230)*100</f>
        <v>2.019350942281406</v>
      </c>
      <c r="Y230" s="19">
        <f>('[1]Short Spot'!Y231-'[1]Short Spot'!Y230)*100</f>
        <v>1.9894125807224938</v>
      </c>
      <c r="Z230" s="19">
        <f>('[1]Short Spot'!Z231-'[1]Short Spot'!Z230)*100</f>
        <v>1.9568636377075954</v>
      </c>
      <c r="AA230" s="19">
        <f>('[1]Short Spot'!AA231-'[1]Short Spot'!AA230)*100</f>
        <v>1.9219892330868404</v>
      </c>
      <c r="AB230" s="19">
        <f>('[1]Short Spot'!AB231-'[1]Short Spot'!AB230)*100</f>
        <v>1.8850308175005992</v>
      </c>
      <c r="AC230" s="19">
        <f>('[1]Short Spot'!AC231-'[1]Short Spot'!AC230)*100</f>
        <v>1.8461911305079681</v>
      </c>
      <c r="AD230" s="19">
        <f>('[1]Short Spot'!AD231-'[1]Short Spot'!AD230)*100</f>
        <v>1.8056408084563103</v>
      </c>
      <c r="AE230" s="19">
        <f>('[1]Short Spot'!AE231-'[1]Short Spot'!AE230)*100</f>
        <v>1.7635237350156707</v>
      </c>
      <c r="AF230" s="19">
        <f>('[1]Short Spot'!AF231-'[1]Short Spot'!AF230)*100</f>
        <v>1.719962833453792</v>
      </c>
      <c r="AG230" s="19">
        <f>('[1]Short Spot'!AG231-'[1]Short Spot'!AG230)*100</f>
        <v>1.6750768148807715</v>
      </c>
      <c r="AH230" s="19">
        <f>('[1]Short Spot'!AH231-'[1]Short Spot'!AH230)*100</f>
        <v>1.6289782711192302</v>
      </c>
      <c r="AI230" s="19">
        <f>('[1]Short Spot'!AI231-'[1]Short Spot'!AI230)*100</f>
        <v>1.5817683581382802</v>
      </c>
      <c r="AJ230" s="19">
        <f>('[1]Short Spot'!AJ231-'[1]Short Spot'!AJ230)*100</f>
        <v>1.5335383587189888</v>
      </c>
      <c r="AK230" s="19">
        <f>('[1]Short Spot'!AK231-'[1]Short Spot'!AK230)*100</f>
        <v>1.484371053729916</v>
      </c>
      <c r="AL230" s="19">
        <f>('[1]Short Spot'!AL231-'[1]Short Spot'!AL230)*100</f>
        <v>1.4343424314879449</v>
      </c>
      <c r="AM230" s="19">
        <f>('[1]Short Spot'!AM231-'[1]Short Spot'!AM230)*100</f>
        <v>1.3835254384958695</v>
      </c>
      <c r="AN230" s="19">
        <f>('[1]Short Spot'!AN231-'[1]Short Spot'!AN230)*100</f>
        <v>1.3319897238652345</v>
      </c>
      <c r="AO230" s="19">
        <f>('[1]Short Spot'!AO231-'[1]Short Spot'!AO230)*100</f>
        <v>1.2798014098630794</v>
      </c>
      <c r="AP230" s="19">
        <f>('[1]Short Spot'!AP231-'[1]Short Spot'!AP230)*100</f>
        <v>1.22702352168087</v>
      </c>
      <c r="AQ230" s="19">
        <f>('[1]Short Spot'!AQ231-'[1]Short Spot'!AQ230)*100</f>
        <v>1.1737163561332586</v>
      </c>
      <c r="AR230" s="19">
        <f>('[1]Short Spot'!AR231-'[1]Short Spot'!AR230)*100</f>
        <v>1.1199377989126624</v>
      </c>
      <c r="AS230" s="19">
        <f>('[1]Short Spot'!AS231-'[1]Short Spot'!AS230)*100</f>
        <v>1.0657436830064704</v>
      </c>
      <c r="AT230" s="19">
        <f>('[1]Short Spot'!AT231-'[1]Short Spot'!AT230)*100</f>
        <v>1.0111887550685594</v>
      </c>
      <c r="AU230" s="19">
        <f>('[1]Short Spot'!AU231-'[1]Short Spot'!AU230)*100</f>
        <v>0.95632713954838522</v>
      </c>
      <c r="AV230" s="19">
        <f>('[1]Short Spot'!AV231-'[1]Short Spot'!AV230)*100</f>
        <v>0.90121233851796489</v>
      </c>
      <c r="AW230" s="19">
        <f>('[1]Short Spot'!AW231-'[1]Short Spot'!AW230)*100</f>
        <v>0.84589729616091347</v>
      </c>
      <c r="AX230" s="19">
        <f>('[1]Short Spot'!AX231-'[1]Short Spot'!AX230)*100</f>
        <v>0.79043445570219362</v>
      </c>
      <c r="AY230" s="19">
        <f>('[1]Short Spot'!AY231-'[1]Short Spot'!AY230)*100</f>
        <v>0.73487580950155618</v>
      </c>
      <c r="AZ230" s="19">
        <f>('[1]Short Spot'!AZ231-'[1]Short Spot'!AZ230)*100</f>
        <v>0.67927294325791365</v>
      </c>
      <c r="BA230" s="19">
        <f>('[1]Short Spot'!BA231-'[1]Short Spot'!BA230)*100</f>
        <v>0.62367707069084233</v>
      </c>
      <c r="BB230" s="19">
        <f>('[1]Short Spot'!BB231-'[1]Short Spot'!BB230)*100</f>
        <v>0.56813908120085799</v>
      </c>
      <c r="BC230" s="19">
        <f>('[1]Short Spot'!BC231-'[1]Short Spot'!BC230)*100</f>
        <v>0.51271004985506963</v>
      </c>
      <c r="BD230" s="19">
        <f>('[1]Short Spot'!BD231-'[1]Short Spot'!BD230)*100</f>
        <v>0.457441587067553</v>
      </c>
      <c r="BE230" s="19">
        <f>('[1]Short Spot'!BE231-'[1]Short Spot'!BE230)*100</f>
        <v>0.40238588582859336</v>
      </c>
      <c r="BF230" s="19">
        <f>('[1]Short Spot'!BF231-'[1]Short Spot'!BF230)*100</f>
        <v>0.34759391220307023</v>
      </c>
      <c r="BG230" s="19">
        <f>('[1]Short Spot'!BG231-'[1]Short Spot'!BG230)*100</f>
        <v>0.29311326996239728</v>
      </c>
      <c r="BH230" s="19">
        <f>('[1]Short Spot'!BH231-'[1]Short Spot'!BH230)*100</f>
        <v>0.23898874173635676</v>
      </c>
      <c r="BI230" s="19">
        <f>('[1]Short Spot'!BI231-'[1]Short Spot'!BI230)*100</f>
        <v>0.18526270179295423</v>
      </c>
    </row>
    <row r="231" spans="1:61" x14ac:dyDescent="0.2">
      <c r="A231" s="18">
        <v>39413</v>
      </c>
      <c r="B231" s="19">
        <f>('[1]Short Spot'!B232-'[1]Short Spot'!B231)*100</f>
        <v>-0.34261355847444719</v>
      </c>
      <c r="C231" s="19">
        <f>('[1]Short Spot'!C232-'[1]Short Spot'!C231)*100</f>
        <v>8.2512824216163239E-2</v>
      </c>
      <c r="D231" s="19">
        <f>('[1]Short Spot'!D232-'[1]Short Spot'!D231)*100</f>
        <v>0.43675858505398679</v>
      </c>
      <c r="E231" s="19">
        <f>('[1]Short Spot'!E232-'[1]Short Spot'!E231)*100</f>
        <v>0.50914708475167103</v>
      </c>
      <c r="F231" s="19">
        <f>('[1]Short Spot'!F232-'[1]Short Spot'!F231)*100</f>
        <v>0.46633033002301261</v>
      </c>
      <c r="G231" s="19">
        <f>('[1]Short Spot'!G232-'[1]Short Spot'!G231)*100</f>
        <v>0.495112341209758</v>
      </c>
      <c r="H231" s="19">
        <f>('[1]Short Spot'!H232-'[1]Short Spot'!H231)*100</f>
        <v>0.64933595796503596</v>
      </c>
      <c r="I231" s="19">
        <f>('[1]Short Spot'!I232-'[1]Short Spot'!I231)*100</f>
        <v>0.93216690784174716</v>
      </c>
      <c r="J231" s="19">
        <f>('[1]Short Spot'!J232-'[1]Short Spot'!J231)*100</f>
        <v>1.3228784460298293</v>
      </c>
      <c r="K231" s="19">
        <f>('[1]Short Spot'!K232-'[1]Short Spot'!K231)*100</f>
        <v>1.7890638876274068</v>
      </c>
      <c r="L231" s="19">
        <f>('[1]Short Spot'!L232-'[1]Short Spot'!L231)*100</f>
        <v>2.2978937321119552</v>
      </c>
      <c r="M231" s="19">
        <f>('[1]Short Spot'!M232-'[1]Short Spot'!M231)*100</f>
        <v>2.821842888014725</v>
      </c>
      <c r="N231" s="19">
        <f>('[1]Short Spot'!N232-'[1]Short Spot'!N231)*100</f>
        <v>3.337422505159271</v>
      </c>
      <c r="O231" s="19">
        <f>('[1]Short Spot'!O232-'[1]Short Spot'!O231)*100</f>
        <v>3.8270564666432527</v>
      </c>
      <c r="P231" s="19">
        <f>('[1]Short Spot'!P232-'[1]Short Spot'!P231)*100</f>
        <v>4.2804375740178813</v>
      </c>
      <c r="Q231" s="19">
        <f>('[1]Short Spot'!Q232-'[1]Short Spot'!Q231)*100</f>
        <v>4.6925847008065347</v>
      </c>
      <c r="R231" s="19">
        <f>('[1]Short Spot'!R232-'[1]Short Spot'!R231)*100</f>
        <v>5.0622523942230657</v>
      </c>
      <c r="S231" s="19">
        <f>('[1]Short Spot'!S232-'[1]Short Spot'!S231)*100</f>
        <v>5.3899515770864603</v>
      </c>
      <c r="T231" s="19">
        <f>('[1]Short Spot'!T232-'[1]Short Spot'!T231)*100</f>
        <v>5.6770086931087427</v>
      </c>
      <c r="U231" s="19">
        <f>('[1]Short Spot'!U232-'[1]Short Spot'!U231)*100</f>
        <v>5.9253532844615542</v>
      </c>
      <c r="V231" s="19">
        <f>('[1]Short Spot'!V232-'[1]Short Spot'!V231)*100</f>
        <v>6.1373743969051375</v>
      </c>
      <c r="W231" s="19">
        <f>('[1]Short Spot'!W232-'[1]Short Spot'!W231)*100</f>
        <v>6.3158161471580598</v>
      </c>
      <c r="X231" s="19">
        <f>('[1]Short Spot'!X232-'[1]Short Spot'!X231)*100</f>
        <v>6.4637097727814563</v>
      </c>
      <c r="Y231" s="19">
        <f>('[1]Short Spot'!Y232-'[1]Short Spot'!Y231)*100</f>
        <v>6.5841550492687695</v>
      </c>
      <c r="Z231" s="19">
        <f>('[1]Short Spot'!Z232-'[1]Short Spot'!Z231)*100</f>
        <v>6.67996545836953</v>
      </c>
      <c r="AA231" s="19">
        <f>('[1]Short Spot'!AA232-'[1]Short Spot'!AA231)*100</f>
        <v>6.7536653302801675</v>
      </c>
      <c r="AB231" s="19">
        <f>('[1]Short Spot'!AB232-'[1]Short Spot'!AB231)*100</f>
        <v>6.8075144572852686</v>
      </c>
      <c r="AC231" s="19">
        <f>('[1]Short Spot'!AC232-'[1]Short Spot'!AC231)*100</f>
        <v>6.8435457670734223</v>
      </c>
      <c r="AD231" s="19">
        <f>('[1]Short Spot'!AD232-'[1]Short Spot'!AD231)*100</f>
        <v>6.8636043747751785</v>
      </c>
      <c r="AE231" s="19">
        <f>('[1]Short Spot'!AE232-'[1]Short Spot'!AE231)*100</f>
        <v>6.8693788850563209</v>
      </c>
      <c r="AF231" s="19">
        <f>('[1]Short Spot'!AF232-'[1]Short Spot'!AF231)*100</f>
        <v>6.8624272389438801</v>
      </c>
      <c r="AG231" s="19">
        <f>('[1]Short Spot'!AG232-'[1]Short Spot'!AG231)*100</f>
        <v>6.8441864878283631</v>
      </c>
      <c r="AH231" s="19">
        <f>('[1]Short Spot'!AH232-'[1]Short Spot'!AH231)*100</f>
        <v>6.8159486245351175</v>
      </c>
      <c r="AI231" s="19">
        <f>('[1]Short Spot'!AI232-'[1]Short Spot'!AI231)*100</f>
        <v>6.7788695373288022</v>
      </c>
      <c r="AJ231" s="19">
        <f>('[1]Short Spot'!AJ232-'[1]Short Spot'!AJ231)*100</f>
        <v>6.7339883963775549</v>
      </c>
      <c r="AK231" s="19">
        <f>('[1]Short Spot'!AK232-'[1]Short Spot'!AK231)*100</f>
        <v>6.6822438645995241</v>
      </c>
      <c r="AL231" s="19">
        <f>('[1]Short Spot'!AL232-'[1]Short Spot'!AL231)*100</f>
        <v>6.6244876742466374</v>
      </c>
      <c r="AM231" s="19">
        <f>('[1]Short Spot'!AM232-'[1]Short Spot'!AM231)*100</f>
        <v>6.5614913904888716</v>
      </c>
      <c r="AN231" s="19">
        <f>('[1]Short Spot'!AN232-'[1]Short Spot'!AN231)*100</f>
        <v>6.4939479792005095</v>
      </c>
      <c r="AO231" s="19">
        <f>('[1]Short Spot'!AO232-'[1]Short Spot'!AO231)*100</f>
        <v>6.4224802583949803</v>
      </c>
      <c r="AP231" s="19">
        <f>('[1]Short Spot'!AP232-'[1]Short Spot'!AP231)*100</f>
        <v>6.3476494527609617</v>
      </c>
      <c r="AQ231" s="19">
        <f>('[1]Short Spot'!AQ232-'[1]Short Spot'!AQ231)*100</f>
        <v>6.2699625262036207</v>
      </c>
      <c r="AR231" s="19">
        <f>('[1]Short Spot'!AR232-'[1]Short Spot'!AR231)*100</f>
        <v>6.189878491235401</v>
      </c>
      <c r="AS231" s="19">
        <f>('[1]Short Spot'!AS232-'[1]Short Spot'!AS231)*100</f>
        <v>6.1078138405451732</v>
      </c>
      <c r="AT231" s="19">
        <f>('[1]Short Spot'!AT232-'[1]Short Spot'!AT231)*100</f>
        <v>6.0241462960141767</v>
      </c>
      <c r="AU231" s="19">
        <f>('[1]Short Spot'!AU232-'[1]Short Spot'!AU231)*100</f>
        <v>5.939217153167764</v>
      </c>
      <c r="AV231" s="19">
        <f>('[1]Short Spot'!AV232-'[1]Short Spot'!AV231)*100</f>
        <v>5.8533348219429016</v>
      </c>
      <c r="AW231" s="19">
        <f>('[1]Short Spot'!AW232-'[1]Short Spot'!AW231)*100</f>
        <v>5.7667782520650412</v>
      </c>
      <c r="AX231" s="19">
        <f>('[1]Short Spot'!AX232-'[1]Short Spot'!AX231)*100</f>
        <v>5.6797999391899445</v>
      </c>
      <c r="AY231" s="19">
        <f>('[1]Short Spot'!AY232-'[1]Short Spot'!AY231)*100</f>
        <v>5.5926285703124634</v>
      </c>
      <c r="AZ231" s="19">
        <f>('[1]Short Spot'!AZ232-'[1]Short Spot'!AZ231)*100</f>
        <v>5.5054713579477443</v>
      </c>
      <c r="BA231" s="19">
        <f>('[1]Short Spot'!BA232-'[1]Short Spot'!BA231)*100</f>
        <v>5.4185160868141402</v>
      </c>
      <c r="BB231" s="19">
        <f>('[1]Short Spot'!BB232-'[1]Short Spot'!BB231)*100</f>
        <v>5.3319321557293797</v>
      </c>
      <c r="BC231" s="19">
        <f>('[1]Short Spot'!BC232-'[1]Short Spot'!BC231)*100</f>
        <v>5.2458705333993549</v>
      </c>
      <c r="BD231" s="19">
        <f>('[1]Short Spot'!BD232-'[1]Short Spot'!BD231)*100</f>
        <v>5.160465220395416</v>
      </c>
      <c r="BE231" s="19">
        <f>('[1]Short Spot'!BE232-'[1]Short Spot'!BE231)*100</f>
        <v>5.0758369993181951</v>
      </c>
      <c r="BF231" s="19">
        <f>('[1]Short Spot'!BF232-'[1]Short Spot'!BF231)*100</f>
        <v>4.9920960625359001</v>
      </c>
      <c r="BG231" s="19">
        <f>('[1]Short Spot'!BG232-'[1]Short Spot'!BG231)*100</f>
        <v>4.909341010198176</v>
      </c>
      <c r="BH231" s="19">
        <f>('[1]Short Spot'!BH232-'[1]Short Spot'!BH231)*100</f>
        <v>4.8276599931733166</v>
      </c>
      <c r="BI231" s="19">
        <f>('[1]Short Spot'!BI232-'[1]Short Spot'!BI231)*100</f>
        <v>4.7471317410610503</v>
      </c>
    </row>
    <row r="232" spans="1:61" x14ac:dyDescent="0.2">
      <c r="A232" s="18">
        <v>39414</v>
      </c>
      <c r="B232" s="19">
        <f>('[1]Short Spot'!B233-'[1]Short Spot'!B232)*100</f>
        <v>1.0095697540881687</v>
      </c>
      <c r="C232" s="19">
        <f>('[1]Short Spot'!C233-'[1]Short Spot'!C232)*100</f>
        <v>2.8559906363922138</v>
      </c>
      <c r="D232" s="19">
        <f>('[1]Short Spot'!D233-'[1]Short Spot'!D232)*100</f>
        <v>4.3447272249637514</v>
      </c>
      <c r="E232" s="19">
        <f>('[1]Short Spot'!E233-'[1]Short Spot'!E232)*100</f>
        <v>5.1651650581006514</v>
      </c>
      <c r="F232" s="19">
        <f>('[1]Short Spot'!F233-'[1]Short Spot'!F232)*100</f>
        <v>5.6603230330789955</v>
      </c>
      <c r="G232" s="19">
        <f>('[1]Short Spot'!G233-'[1]Short Spot'!G232)*100</f>
        <v>6.1143550765716981</v>
      </c>
      <c r="H232" s="19">
        <f>('[1]Short Spot'!H233-'[1]Short Spot'!H232)*100</f>
        <v>6.6266890514169674</v>
      </c>
      <c r="I232" s="19">
        <f>('[1]Short Spot'!I233-'[1]Short Spot'!I232)*100</f>
        <v>7.2198313730536867</v>
      </c>
      <c r="J232" s="19">
        <f>('[1]Short Spot'!J233-'[1]Short Spot'!J232)*100</f>
        <v>7.8763838800999686</v>
      </c>
      <c r="K232" s="19">
        <f>('[1]Short Spot'!K233-'[1]Short Spot'!K232)*100</f>
        <v>8.5596669672599823</v>
      </c>
      <c r="L232" s="19">
        <f>('[1]Short Spot'!L233-'[1]Short Spot'!L232)*100</f>
        <v>9.2339214996290941</v>
      </c>
      <c r="M232" s="19">
        <f>('[1]Short Spot'!M233-'[1]Short Spot'!M232)*100</f>
        <v>9.8745994891767275</v>
      </c>
      <c r="N232" s="19">
        <f>('[1]Short Spot'!N233-'[1]Short Spot'!N232)*100</f>
        <v>10.465119629752362</v>
      </c>
      <c r="O232" s="19">
        <f>('[1]Short Spot'!O233-'[1]Short Spot'!O232)*100</f>
        <v>10.995711346556014</v>
      </c>
      <c r="P232" s="19">
        <f>('[1]Short Spot'!P233-'[1]Short Spot'!P232)*100</f>
        <v>11.462838473106718</v>
      </c>
      <c r="Q232" s="19">
        <f>('[1]Short Spot'!Q233-'[1]Short Spot'!Q232)*100</f>
        <v>11.867421113416476</v>
      </c>
      <c r="R232" s="19">
        <f>('[1]Short Spot'!R233-'[1]Short Spot'!R232)*100</f>
        <v>12.213245369303571</v>
      </c>
      <c r="S232" s="19">
        <f>('[1]Short Spot'!S233-'[1]Short Spot'!S232)*100</f>
        <v>12.504768027844637</v>
      </c>
      <c r="T232" s="19">
        <f>('[1]Short Spot'!T233-'[1]Short Spot'!T232)*100</f>
        <v>12.746409249377511</v>
      </c>
      <c r="U232" s="19">
        <f>('[1]Short Spot'!U233-'[1]Short Spot'!U232)*100</f>
        <v>12.942555072776951</v>
      </c>
      <c r="V232" s="19">
        <f>('[1]Short Spot'!V233-'[1]Short Spot'!V232)*100</f>
        <v>13.097565539612699</v>
      </c>
      <c r="W232" s="19">
        <f>('[1]Short Spot'!W233-'[1]Short Spot'!W232)*100</f>
        <v>13.215780603475213</v>
      </c>
      <c r="X232" s="19">
        <f>('[1]Short Spot'!X233-'[1]Short Spot'!X232)*100</f>
        <v>13.301529058120742</v>
      </c>
      <c r="Y232" s="19">
        <f>('[1]Short Spot'!Y233-'[1]Short Spot'!Y232)*100</f>
        <v>13.358938927297626</v>
      </c>
      <c r="Z232" s="19">
        <f>('[1]Short Spot'!Z233-'[1]Short Spot'!Z232)*100</f>
        <v>13.391641536438303</v>
      </c>
      <c r="AA232" s="19">
        <f>('[1]Short Spot'!AA233-'[1]Short Spot'!AA232)*100</f>
        <v>13.402814812912833</v>
      </c>
      <c r="AB232" s="19">
        <f>('[1]Short Spot'!AB233-'[1]Short Spot'!AB232)*100</f>
        <v>13.395238165069312</v>
      </c>
      <c r="AC232" s="19">
        <f>('[1]Short Spot'!AC233-'[1]Short Spot'!AC232)*100</f>
        <v>13.371355183089495</v>
      </c>
      <c r="AD232" s="19">
        <f>('[1]Short Spot'!AD233-'[1]Short Spot'!AD232)*100</f>
        <v>13.333331499707501</v>
      </c>
      <c r="AE232" s="19">
        <f>('[1]Short Spot'!AE233-'[1]Short Spot'!AE232)*100</f>
        <v>13.283101116450258</v>
      </c>
      <c r="AF232" s="19">
        <f>('[1]Short Spot'!AF233-'[1]Short Spot'!AF232)*100</f>
        <v>13.222404349884531</v>
      </c>
      <c r="AG232" s="19">
        <f>('[1]Short Spot'!AG233-'[1]Short Spot'!AG232)*100</f>
        <v>13.152807714510573</v>
      </c>
      <c r="AH232" s="19">
        <f>('[1]Short Spot'!AH233-'[1]Short Spot'!AH232)*100</f>
        <v>13.075692351952739</v>
      </c>
      <c r="AI232" s="19">
        <f>('[1]Short Spot'!AI233-'[1]Short Spot'!AI232)*100</f>
        <v>12.992271123150001</v>
      </c>
      <c r="AJ232" s="19">
        <f>('[1]Short Spot'!AJ233-'[1]Short Spot'!AJ232)*100</f>
        <v>12.903612615742599</v>
      </c>
      <c r="AK232" s="19">
        <f>('[1]Short Spot'!AK233-'[1]Short Spot'!AK232)*100</f>
        <v>12.810661182031335</v>
      </c>
      <c r="AL232" s="19">
        <f>('[1]Short Spot'!AL233-'[1]Short Spot'!AL232)*100</f>
        <v>12.714253837421197</v>
      </c>
      <c r="AM232" s="19">
        <f>('[1]Short Spot'!AM233-'[1]Short Spot'!AM232)*100</f>
        <v>12.615131478924457</v>
      </c>
      <c r="AN232" s="19">
        <f>('[1]Short Spot'!AN233-'[1]Short Spot'!AN232)*100</f>
        <v>12.513945165945106</v>
      </c>
      <c r="AO232" s="19">
        <f>('[1]Short Spot'!AO233-'[1]Short Spot'!AO232)*100</f>
        <v>12.411266405557786</v>
      </c>
      <c r="AP232" s="19">
        <f>('[1]Short Spot'!AP233-'[1]Short Spot'!AP232)*100</f>
        <v>12.307596854009528</v>
      </c>
      <c r="AQ232" s="19">
        <f>('[1]Short Spot'!AQ233-'[1]Short Spot'!AQ232)*100</f>
        <v>12.203376632291274</v>
      </c>
      <c r="AR232" s="19">
        <f>('[1]Short Spot'!AR233-'[1]Short Spot'!AR232)*100</f>
        <v>12.098991481402965</v>
      </c>
      <c r="AS232" s="19">
        <f>('[1]Short Spot'!AS233-'[1]Short Spot'!AS232)*100</f>
        <v>11.994779015600177</v>
      </c>
      <c r="AT232" s="19">
        <f>('[1]Short Spot'!AT233-'[1]Short Spot'!AT232)*100</f>
        <v>11.891034462782013</v>
      </c>
      <c r="AU232" s="19">
        <f>('[1]Short Spot'!AU233-'[1]Short Spot'!AU232)*100</f>
        <v>11.788015193868162</v>
      </c>
      <c r="AV232" s="19">
        <f>('[1]Short Spot'!AV233-'[1]Short Spot'!AV232)*100</f>
        <v>11.68594466057602</v>
      </c>
      <c r="AW232" s="19">
        <f>('[1]Short Spot'!AW233-'[1]Short Spot'!AW232)*100</f>
        <v>11.585015928606257</v>
      </c>
      <c r="AX232" s="19">
        <f>('[1]Short Spot'!AX233-'[1]Short Spot'!AX232)*100</f>
        <v>11.48539477825663</v>
      </c>
      <c r="AY232" s="19">
        <f>('[1]Short Spot'!AY233-'[1]Short Spot'!AY232)*100</f>
        <v>11.387222432962663</v>
      </c>
      <c r="AZ232" s="19">
        <f>('[1]Short Spot'!AZ233-'[1]Short Spot'!AZ232)*100</f>
        <v>11.29061796683315</v>
      </c>
      <c r="BA232" s="19">
        <f>('[1]Short Spot'!BA233-'[1]Short Spot'!BA232)*100</f>
        <v>11.195680413124354</v>
      </c>
      <c r="BB232" s="19">
        <f>('[1]Short Spot'!BB233-'[1]Short Spot'!BB232)*100</f>
        <v>11.10248997572425</v>
      </c>
      <c r="BC232" s="19">
        <f>('[1]Short Spot'!BC233-'[1]Short Spot'!BC232)*100</f>
        <v>11.011108586097329</v>
      </c>
      <c r="BD232" s="19">
        <f>('[1]Short Spot'!BD233-'[1]Short Spot'!BD232)*100</f>
        <v>10.921581611976805</v>
      </c>
      <c r="BE232" s="19">
        <f>('[1]Short Spot'!BE233-'[1]Short Spot'!BE232)*100</f>
        <v>10.833941700235794</v>
      </c>
      <c r="BF232" s="19">
        <f>('[1]Short Spot'!BF233-'[1]Short Spot'!BF232)*100</f>
        <v>10.748211426125209</v>
      </c>
      <c r="BG232" s="19">
        <f>('[1]Short Spot'!BG233-'[1]Short Spot'!BG232)*100</f>
        <v>10.664404440952424</v>
      </c>
      <c r="BH232" s="19">
        <f>('[1]Short Spot'!BH233-'[1]Short Spot'!BH232)*100</f>
        <v>10.58252799683137</v>
      </c>
      <c r="BI232" s="19">
        <f>('[1]Short Spot'!BI233-'[1]Short Spot'!BI232)*100</f>
        <v>10.502583708440039</v>
      </c>
    </row>
    <row r="233" spans="1:61" x14ac:dyDescent="0.2">
      <c r="A233" s="18">
        <v>39415</v>
      </c>
      <c r="B233" s="19">
        <f>('[1]Short Spot'!B234-'[1]Short Spot'!B233)*100</f>
        <v>-0.4256428431030912</v>
      </c>
      <c r="C233" s="19">
        <f>('[1]Short Spot'!C234-'[1]Short Spot'!C233)*100</f>
        <v>-1.3712734299492269</v>
      </c>
      <c r="D233" s="19">
        <f>('[1]Short Spot'!D234-'[1]Short Spot'!D233)*100</f>
        <v>-1.6171785991200949</v>
      </c>
      <c r="E233" s="19">
        <f>('[1]Short Spot'!E234-'[1]Short Spot'!E233)*100</f>
        <v>-1.4947453201469507</v>
      </c>
      <c r="F233" s="19">
        <f>('[1]Short Spot'!F234-'[1]Short Spot'!F233)*100</f>
        <v>-1.4247369402428767</v>
      </c>
      <c r="G233" s="19">
        <f>('[1]Short Spot'!G234-'[1]Short Spot'!G233)*100</f>
        <v>-1.5706435939335961</v>
      </c>
      <c r="H233" s="19">
        <f>('[1]Short Spot'!H234-'[1]Short Spot'!H233)*100</f>
        <v>-1.9601449640983759</v>
      </c>
      <c r="I233" s="19">
        <f>('[1]Short Spot'!I234-'[1]Short Spot'!I233)*100</f>
        <v>-2.5660441722320293</v>
      </c>
      <c r="J233" s="19">
        <f>('[1]Short Spot'!J234-'[1]Short Spot'!J233)*100</f>
        <v>-3.3332652622563685</v>
      </c>
      <c r="K233" s="19">
        <f>('[1]Short Spot'!K234-'[1]Short Spot'!K233)*100</f>
        <v>-4.1940156847253718</v>
      </c>
      <c r="L233" s="19">
        <f>('[1]Short Spot'!L234-'[1]Short Spot'!L233)*100</f>
        <v>-5.0888797950636722</v>
      </c>
      <c r="M233" s="19">
        <f>('[1]Short Spot'!M234-'[1]Short Spot'!M233)*100</f>
        <v>-5.9776196078926702</v>
      </c>
      <c r="N233" s="19">
        <f>('[1]Short Spot'!N234-'[1]Short Spot'!N233)*100</f>
        <v>-6.8328854860572719</v>
      </c>
      <c r="O233" s="19">
        <f>('[1]Short Spot'!O234-'[1]Short Spot'!O233)*100</f>
        <v>-7.6363434319813628</v>
      </c>
      <c r="P233" s="19">
        <f>('[1]Short Spot'!P234-'[1]Short Spot'!P233)*100</f>
        <v>-8.3783824312904542</v>
      </c>
      <c r="Q233" s="19">
        <f>('[1]Short Spot'!Q234-'[1]Short Spot'!Q233)*100</f>
        <v>-9.0558735576267146</v>
      </c>
      <c r="R233" s="19">
        <f>('[1]Short Spot'!R234-'[1]Short Spot'!R233)*100</f>
        <v>-9.6692806644171014</v>
      </c>
      <c r="S233" s="19">
        <f>('[1]Short Spot'!S234-'[1]Short Spot'!S233)*100</f>
        <v>-10.220461586840557</v>
      </c>
      <c r="T233" s="19">
        <f>('[1]Short Spot'!T234-'[1]Short Spot'!T233)*100</f>
        <v>-10.712227432986143</v>
      </c>
      <c r="U233" s="19">
        <f>('[1]Short Spot'!U234-'[1]Short Spot'!U233)*100</f>
        <v>-11.148106780683076</v>
      </c>
      <c r="V233" s="19">
        <f>('[1]Short Spot'!V234-'[1]Short Spot'!V233)*100</f>
        <v>-11.532174851371035</v>
      </c>
      <c r="W233" s="19">
        <f>('[1]Short Spot'!W234-'[1]Short Spot'!W233)*100</f>
        <v>-11.868929264398176</v>
      </c>
      <c r="X233" s="19">
        <f>('[1]Short Spot'!X234-'[1]Short Spot'!X233)*100</f>
        <v>-12.163113126024516</v>
      </c>
      <c r="Y233" s="19">
        <f>('[1]Short Spot'!Y234-'[1]Short Spot'!Y233)*100</f>
        <v>-12.419156949715671</v>
      </c>
      <c r="Z233" s="19">
        <f>('[1]Short Spot'!Z234-'[1]Short Spot'!Z233)*100</f>
        <v>-12.640973249004794</v>
      </c>
      <c r="AA233" s="19">
        <f>('[1]Short Spot'!AA234-'[1]Short Spot'!AA233)*100</f>
        <v>-12.832025761336219</v>
      </c>
      <c r="AB233" s="19">
        <f>('[1]Short Spot'!AB234-'[1]Short Spot'!AB233)*100</f>
        <v>-12.995387815264436</v>
      </c>
      <c r="AC233" s="19">
        <f>('[1]Short Spot'!AC234-'[1]Short Spot'!AC233)*100</f>
        <v>-13.133811347720492</v>
      </c>
      <c r="AD233" s="19">
        <f>('[1]Short Spot'!AD234-'[1]Short Spot'!AD233)*100</f>
        <v>-13.249782333324767</v>
      </c>
      <c r="AE233" s="19">
        <f>('[1]Short Spot'!AE234-'[1]Short Spot'!AE233)*100</f>
        <v>-13.345565111438518</v>
      </c>
      <c r="AF233" s="19">
        <f>('[1]Short Spot'!AF234-'[1]Short Spot'!AF233)*100</f>
        <v>-13.423234579796972</v>
      </c>
      <c r="AG233" s="19">
        <f>('[1]Short Spot'!AG234-'[1]Short Spot'!AG233)*100</f>
        <v>-13.484663057999491</v>
      </c>
      <c r="AH233" s="19">
        <f>('[1]Short Spot'!AH234-'[1]Short Spot'!AH233)*100</f>
        <v>-13.531511498976556</v>
      </c>
      <c r="AI233" s="19">
        <f>('[1]Short Spot'!AI234-'[1]Short Spot'!AI233)*100</f>
        <v>-13.565258695676796</v>
      </c>
      <c r="AJ233" s="19">
        <f>('[1]Short Spot'!AJ234-'[1]Short Spot'!AJ233)*100</f>
        <v>-13.587227317505945</v>
      </c>
      <c r="AK233" s="19">
        <f>('[1]Short Spot'!AK234-'[1]Short Spot'!AK233)*100</f>
        <v>-13.598605594146029</v>
      </c>
      <c r="AL233" s="19">
        <f>('[1]Short Spot'!AL234-'[1]Short Spot'!AL233)*100</f>
        <v>-13.600464438938431</v>
      </c>
      <c r="AM233" s="19">
        <f>('[1]Short Spot'!AM234-'[1]Short Spot'!AM233)*100</f>
        <v>-13.593766458578216</v>
      </c>
      <c r="AN233" s="19">
        <f>('[1]Short Spot'!AN234-'[1]Short Spot'!AN233)*100</f>
        <v>-13.579376803715704</v>
      </c>
      <c r="AO233" s="19">
        <f>('[1]Short Spot'!AO234-'[1]Short Spot'!AO233)*100</f>
        <v>-13.558075436150752</v>
      </c>
      <c r="AP233" s="19">
        <f>('[1]Short Spot'!AP234-'[1]Short Spot'!AP233)*100</f>
        <v>-13.530567517716729</v>
      </c>
      <c r="AQ233" s="19">
        <f>('[1]Short Spot'!AQ234-'[1]Short Spot'!AQ233)*100</f>
        <v>-13.497492315038873</v>
      </c>
      <c r="AR233" s="19">
        <f>('[1]Short Spot'!AR234-'[1]Short Spot'!AR233)*100</f>
        <v>-13.45943086176673</v>
      </c>
      <c r="AS233" s="19">
        <f>('[1]Short Spot'!AS234-'[1]Short Spot'!AS233)*100</f>
        <v>-13.416912354243493</v>
      </c>
      <c r="AT233" s="19">
        <f>('[1]Short Spot'!AT234-'[1]Short Spot'!AT233)*100</f>
        <v>-13.370417824385861</v>
      </c>
      <c r="AU233" s="19">
        <f>('[1]Short Spot'!AU234-'[1]Short Spot'!AU233)*100</f>
        <v>-13.320383656737977</v>
      </c>
      <c r="AV233" s="19">
        <f>('[1]Short Spot'!AV234-'[1]Short Spot'!AV233)*100</f>
        <v>-13.2672062393282</v>
      </c>
      <c r="AW233" s="19">
        <f>('[1]Short Spot'!AW234-'[1]Short Spot'!AW233)*100</f>
        <v>-13.211246129991316</v>
      </c>
      <c r="AX233" s="19">
        <f>('[1]Short Spot'!AX234-'[1]Short Spot'!AX233)*100</f>
        <v>-13.152831712510071</v>
      </c>
      <c r="AY233" s="19">
        <f>('[1]Short Spot'!AY234-'[1]Short Spot'!AY233)*100</f>
        <v>-13.092262414020706</v>
      </c>
      <c r="AZ233" s="19">
        <f>('[1]Short Spot'!AZ234-'[1]Short Spot'!AZ233)*100</f>
        <v>-13.029811543900127</v>
      </c>
      <c r="BA233" s="19">
        <f>('[1]Short Spot'!BA234-'[1]Short Spot'!BA233)*100</f>
        <v>-12.965728836263146</v>
      </c>
      <c r="BB233" s="19">
        <f>('[1]Short Spot'!BB234-'[1]Short Spot'!BB233)*100</f>
        <v>-12.90024355551127</v>
      </c>
      <c r="BC233" s="19">
        <f>('[1]Short Spot'!BC234-'[1]Short Spot'!BC233)*100</f>
        <v>-12.833567848069549</v>
      </c>
      <c r="BD233" s="19">
        <f>('[1]Short Spot'!BD234-'[1]Short Spot'!BD233)*100</f>
        <v>-12.765898208142001</v>
      </c>
      <c r="BE233" s="19">
        <f>('[1]Short Spot'!BE234-'[1]Short Spot'!BE233)*100</f>
        <v>-12.69741392849939</v>
      </c>
      <c r="BF233" s="19">
        <f>('[1]Short Spot'!BF234-'[1]Short Spot'!BF233)*100</f>
        <v>-12.628277072499472</v>
      </c>
      <c r="BG233" s="19">
        <f>('[1]Short Spot'!BG234-'[1]Short Spot'!BG233)*100</f>
        <v>-12.558635978411914</v>
      </c>
      <c r="BH233" s="19">
        <f>('[1]Short Spot'!BH234-'[1]Short Spot'!BH233)*100</f>
        <v>-12.488626241604273</v>
      </c>
      <c r="BI233" s="19">
        <f>('[1]Short Spot'!BI234-'[1]Short Spot'!BI233)*100</f>
        <v>-12.418371651256432</v>
      </c>
    </row>
    <row r="234" spans="1:61" x14ac:dyDescent="0.2">
      <c r="A234" s="18">
        <v>39416</v>
      </c>
      <c r="B234" s="19">
        <f>('[1]Short Spot'!B235-'[1]Short Spot'!B234)*100</f>
        <v>0.88061021241845339</v>
      </c>
      <c r="C234" s="19">
        <f>('[1]Short Spot'!C235-'[1]Short Spot'!C234)*100</f>
        <v>1.7974713475198634</v>
      </c>
      <c r="D234" s="19">
        <f>('[1]Short Spot'!D235-'[1]Short Spot'!D234)*100</f>
        <v>2.1309132206961401</v>
      </c>
      <c r="E234" s="19">
        <f>('[1]Short Spot'!E235-'[1]Short Spot'!E234)*100</f>
        <v>1.8838383126826841</v>
      </c>
      <c r="F234" s="19">
        <f>('[1]Short Spot'!F235-'[1]Short Spot'!F234)*100</f>
        <v>1.3824663528480663</v>
      </c>
      <c r="G234" s="19">
        <f>('[1]Short Spot'!G235-'[1]Short Spot'!G234)*100</f>
        <v>0.90800499452035055</v>
      </c>
      <c r="H234" s="19">
        <f>('[1]Short Spot'!H235-'[1]Short Spot'!H234)*100</f>
        <v>0.60885288032288543</v>
      </c>
      <c r="I234" s="19">
        <f>('[1]Short Spot'!I235-'[1]Short Spot'!I234)*100</f>
        <v>0.54305186260217297</v>
      </c>
      <c r="J234" s="19">
        <f>('[1]Short Spot'!J235-'[1]Short Spot'!J234)*100</f>
        <v>0.69149124703091758</v>
      </c>
      <c r="K234" s="19">
        <f>('[1]Short Spot'!K235-'[1]Short Spot'!K234)*100</f>
        <v>0.99668835947603895</v>
      </c>
      <c r="L234" s="19">
        <f>('[1]Short Spot'!L235-'[1]Short Spot'!L234)*100</f>
        <v>1.4036231429787271</v>
      </c>
      <c r="M234" s="19">
        <f>('[1]Short Spot'!M235-'[1]Short Spot'!M234)*100</f>
        <v>1.8709389694875789</v>
      </c>
      <c r="N234" s="19">
        <f>('[1]Short Spot'!N235-'[1]Short Spot'!N234)*100</f>
        <v>2.3655534017300361</v>
      </c>
      <c r="O234" s="19">
        <f>('[1]Short Spot'!O235-'[1]Short Spot'!O234)*100</f>
        <v>2.8620007148136395</v>
      </c>
      <c r="P234" s="19">
        <f>('[1]Short Spot'!P235-'[1]Short Spot'!P234)*100</f>
        <v>3.3433939015695913</v>
      </c>
      <c r="Q234" s="19">
        <f>('[1]Short Spot'!Q235-'[1]Short Spot'!Q234)*100</f>
        <v>3.7993680879131908</v>
      </c>
      <c r="R234" s="19">
        <f>('[1]Short Spot'!R235-'[1]Short Spot'!R234)*100</f>
        <v>4.2248960210184983</v>
      </c>
      <c r="S234" s="19">
        <f>('[1]Short Spot'!S235-'[1]Short Spot'!S234)*100</f>
        <v>4.6177515539123526</v>
      </c>
      <c r="T234" s="19">
        <f>('[1]Short Spot'!T235-'[1]Short Spot'!T234)*100</f>
        <v>4.9770832191666337</v>
      </c>
      <c r="U234" s="19">
        <f>('[1]Short Spot'!U235-'[1]Short Spot'!U234)*100</f>
        <v>5.3030639469284324</v>
      </c>
      <c r="V234" s="19">
        <f>('[1]Short Spot'!V235-'[1]Short Spot'!V234)*100</f>
        <v>5.5966471607344914</v>
      </c>
      <c r="W234" s="19">
        <f>('[1]Short Spot'!W235-'[1]Short Spot'!W234)*100</f>
        <v>5.8593896167440818</v>
      </c>
      <c r="X234" s="19">
        <f>('[1]Short Spot'!X235-'[1]Short Spot'!X234)*100</f>
        <v>6.0934215135700853</v>
      </c>
      <c r="Y234" s="19">
        <f>('[1]Short Spot'!Y235-'[1]Short Spot'!Y234)*100</f>
        <v>6.3012929356887959</v>
      </c>
      <c r="Z234" s="19">
        <f>('[1]Short Spot'!Z235-'[1]Short Spot'!Z234)*100</f>
        <v>6.4854110064290538</v>
      </c>
      <c r="AA234" s="19">
        <f>('[1]Short Spot'!AA235-'[1]Short Spot'!AA234)*100</f>
        <v>6.6479907746948008</v>
      </c>
      <c r="AB234" s="19">
        <f>('[1]Short Spot'!AB235-'[1]Short Spot'!AB234)*100</f>
        <v>6.791033515937972</v>
      </c>
      <c r="AC234" s="19">
        <f>('[1]Short Spot'!AC235-'[1]Short Spot'!AC234)*100</f>
        <v>6.9163494849741269</v>
      </c>
      <c r="AD234" s="19">
        <f>('[1]Short Spot'!AD235-'[1]Short Spot'!AD234)*100</f>
        <v>7.0255908252840449</v>
      </c>
      <c r="AE234" s="19">
        <f>('[1]Short Spot'!AE235-'[1]Short Spot'!AE234)*100</f>
        <v>7.1202779209031064</v>
      </c>
      <c r="AF234" s="19">
        <f>('[1]Short Spot'!AF235-'[1]Short Spot'!AF234)*100</f>
        <v>7.2018256596805053</v>
      </c>
      <c r="AG234" s="19">
        <f>('[1]Short Spot'!AG235-'[1]Short Spot'!AG234)*100</f>
        <v>7.2715619149554378</v>
      </c>
      <c r="AH234" s="19">
        <f>('[1]Short Spot'!AH235-'[1]Short Spot'!AH234)*100</f>
        <v>7.330680098838549</v>
      </c>
      <c r="AI234" s="19">
        <f>('[1]Short Spot'!AI235-'[1]Short Spot'!AI234)*100</f>
        <v>7.3802417614706961</v>
      </c>
      <c r="AJ234" s="19">
        <f>('[1]Short Spot'!AJ235-'[1]Short Spot'!AJ234)*100</f>
        <v>7.4211954114663747</v>
      </c>
      <c r="AK234" s="19">
        <f>('[1]Short Spot'!AK235-'[1]Short Spot'!AK234)*100</f>
        <v>7.454392217397654</v>
      </c>
      <c r="AL234" s="19">
        <f>('[1]Short Spot'!AL235-'[1]Short Spot'!AL234)*100</f>
        <v>7.4806010078151353</v>
      </c>
      <c r="AM234" s="19">
        <f>('[1]Short Spot'!AM235-'[1]Short Spot'!AM234)*100</f>
        <v>7.5005212616695793</v>
      </c>
      <c r="AN234" s="19">
        <f>('[1]Short Spot'!AN235-'[1]Short Spot'!AN234)*100</f>
        <v>7.5147851781133923</v>
      </c>
      <c r="AO234" s="19">
        <f>('[1]Short Spot'!AO235-'[1]Short Spot'!AO234)*100</f>
        <v>7.5239647665306109</v>
      </c>
      <c r="AP234" s="19">
        <f>('[1]Short Spot'!AP235-'[1]Short Spot'!AP234)*100</f>
        <v>7.5285791867506724</v>
      </c>
      <c r="AQ234" s="19">
        <f>('[1]Short Spot'!AQ235-'[1]Short Spot'!AQ234)*100</f>
        <v>7.5291010406644432</v>
      </c>
      <c r="AR234" s="19">
        <f>('[1]Short Spot'!AR235-'[1]Short Spot'!AR234)*100</f>
        <v>7.5259617859403605</v>
      </c>
      <c r="AS234" s="19">
        <f>('[1]Short Spot'!AS235-'[1]Short Spot'!AS234)*100</f>
        <v>7.5195564457909647</v>
      </c>
      <c r="AT234" s="19">
        <f>('[1]Short Spot'!AT235-'[1]Short Spot'!AT234)*100</f>
        <v>7.5102458158446517</v>
      </c>
      <c r="AU234" s="19">
        <f>('[1]Short Spot'!AU235-'[1]Short Spot'!AU234)*100</f>
        <v>7.4983567809320029</v>
      </c>
      <c r="AV234" s="19">
        <f>('[1]Short Spot'!AV235-'[1]Short Spot'!AV234)*100</f>
        <v>7.4841854295593535</v>
      </c>
      <c r="AW234" s="19">
        <f>('[1]Short Spot'!AW235-'[1]Short Spot'!AW234)*100</f>
        <v>7.4680002618570995</v>
      </c>
      <c r="AX234" s="19">
        <f>('[1]Short Spot'!AX235-'[1]Short Spot'!AX234)*100</f>
        <v>7.4500450047191968</v>
      </c>
      <c r="AY234" s="19">
        <f>('[1]Short Spot'!AY235-'[1]Short Spot'!AY234)*100</f>
        <v>7.4305410891280843</v>
      </c>
      <c r="AZ234" s="19">
        <f>('[1]Short Spot'!AZ235-'[1]Short Spot'!AZ234)*100</f>
        <v>7.4096898360267893</v>
      </c>
      <c r="BA234" s="19">
        <f>('[1]Short Spot'!BA235-'[1]Short Spot'!BA234)*100</f>
        <v>7.3876742916757721</v>
      </c>
      <c r="BB234" s="19">
        <f>('[1]Short Spot'!BB235-'[1]Short Spot'!BB234)*100</f>
        <v>7.3646595625420197</v>
      </c>
      <c r="BC234" s="19">
        <f>('[1]Short Spot'!BC235-'[1]Short Spot'!BC234)*100</f>
        <v>7.3407938283747143</v>
      </c>
      <c r="BD234" s="19">
        <f>('[1]Short Spot'!BD235-'[1]Short Spot'!BD234)*100</f>
        <v>7.3162111405396857</v>
      </c>
      <c r="BE234" s="19">
        <f>('[1]Short Spot'!BE235-'[1]Short Spot'!BE234)*100</f>
        <v>7.2910377729266784</v>
      </c>
      <c r="BF234" s="19">
        <f>('[1]Short Spot'!BF235-'[1]Short Spot'!BF234)*100</f>
        <v>7.2653910600606331</v>
      </c>
      <c r="BG234" s="19">
        <f>('[1]Short Spot'!BG235-'[1]Short Spot'!BG234)*100</f>
        <v>7.2393753400602279</v>
      </c>
      <c r="BH234" s="19">
        <f>('[1]Short Spot'!BH235-'[1]Short Spot'!BH234)*100</f>
        <v>7.2130850567111437</v>
      </c>
      <c r="BI234" s="19">
        <f>('[1]Short Spot'!BI235-'[1]Short Spot'!BI234)*100</f>
        <v>7.1866059473125077</v>
      </c>
    </row>
    <row r="235" spans="1:61" x14ac:dyDescent="0.2">
      <c r="A235" s="18">
        <v>39419</v>
      </c>
      <c r="B235" s="19">
        <f>('[1]Short Spot'!B236-'[1]Short Spot'!B235)*100</f>
        <v>-2.252639803097356</v>
      </c>
      <c r="C235" s="19">
        <f>('[1]Short Spot'!C236-'[1]Short Spot'!C235)*100</f>
        <v>-1.3535029207830895</v>
      </c>
      <c r="D235" s="19">
        <f>('[1]Short Spot'!D236-'[1]Short Spot'!D235)*100</f>
        <v>-1.0984087416805899</v>
      </c>
      <c r="E235" s="19">
        <f>('[1]Short Spot'!E236-'[1]Short Spot'!E235)*100</f>
        <v>-1.0274566653227346</v>
      </c>
      <c r="F235" s="19">
        <f>('[1]Short Spot'!F236-'[1]Short Spot'!F235)*100</f>
        <v>-1.0646082639249599</v>
      </c>
      <c r="G235" s="19">
        <f>('[1]Short Spot'!G236-'[1]Short Spot'!G235)*100</f>
        <v>-1.1600929715084085</v>
      </c>
      <c r="H235" s="19">
        <f>('[1]Short Spot'!H236-'[1]Short Spot'!H235)*100</f>
        <v>-1.2903531143762415</v>
      </c>
      <c r="I235" s="19">
        <f>('[1]Short Spot'!I236-'[1]Short Spot'!I235)*100</f>
        <v>-1.4423644987052953</v>
      </c>
      <c r="J235" s="19">
        <f>('[1]Short Spot'!J236-'[1]Short Spot'!J235)*100</f>
        <v>-1.6065065184349692</v>
      </c>
      <c r="K235" s="19">
        <f>('[1]Short Spot'!K236-'[1]Short Spot'!K235)*100</f>
        <v>-1.7753096943176061</v>
      </c>
      <c r="L235" s="19">
        <f>('[1]Short Spot'!L236-'[1]Short Spot'!L235)*100</f>
        <v>-1.9452632085071642</v>
      </c>
      <c r="M235" s="19">
        <f>('[1]Short Spot'!M236-'[1]Short Spot'!M235)*100</f>
        <v>-2.1129842686338662</v>
      </c>
      <c r="N235" s="19">
        <f>('[1]Short Spot'!N236-'[1]Short Spot'!N235)*100</f>
        <v>-2.2745334044996568</v>
      </c>
      <c r="O235" s="19">
        <f>('[1]Short Spot'!O236-'[1]Short Spot'!O235)*100</f>
        <v>-2.4272127908930408</v>
      </c>
      <c r="P235" s="19">
        <f>('[1]Short Spot'!P236-'[1]Short Spot'!P235)*100</f>
        <v>-2.5699729843505104</v>
      </c>
      <c r="Q235" s="19">
        <f>('[1]Short Spot'!Q236-'[1]Short Spot'!Q235)*100</f>
        <v>-2.7028065004278012</v>
      </c>
      <c r="R235" s="19">
        <f>('[1]Short Spot'!R236-'[1]Short Spot'!R235)*100</f>
        <v>-2.8259061721466416</v>
      </c>
      <c r="S235" s="19">
        <f>('[1]Short Spot'!S236-'[1]Short Spot'!S235)*100</f>
        <v>-2.9395401459923143</v>
      </c>
      <c r="T235" s="19">
        <f>('[1]Short Spot'!T236-'[1]Short Spot'!T235)*100</f>
        <v>-3.0441579439419719</v>
      </c>
      <c r="U235" s="19">
        <f>('[1]Short Spot'!U236-'[1]Short Spot'!U235)*100</f>
        <v>-3.1403459886408136</v>
      </c>
      <c r="V235" s="19">
        <f>('[1]Short Spot'!V236-'[1]Short Spot'!V235)*100</f>
        <v>-3.22879500800477</v>
      </c>
      <c r="W235" s="19">
        <f>('[1]Short Spot'!W236-'[1]Short Spot'!W235)*100</f>
        <v>-3.3102760865755698</v>
      </c>
      <c r="X235" s="19">
        <f>('[1]Short Spot'!X236-'[1]Short Spot'!X235)*100</f>
        <v>-3.3855591033901788</v>
      </c>
      <c r="Y235" s="19">
        <f>('[1]Short Spot'!Y236-'[1]Short Spot'!Y235)*100</f>
        <v>-3.4552732075999515</v>
      </c>
      <c r="Z235" s="19">
        <f>('[1]Short Spot'!Z236-'[1]Short Spot'!Z235)*100</f>
        <v>-3.5199784767261377</v>
      </c>
      <c r="AA235" s="19">
        <f>('[1]Short Spot'!AA236-'[1]Short Spot'!AA235)*100</f>
        <v>-3.5801748515664755</v>
      </c>
      <c r="AB235" s="19">
        <f>('[1]Short Spot'!AB236-'[1]Short Spot'!AB235)*100</f>
        <v>-3.6363080970544637</v>
      </c>
      <c r="AC235" s="19">
        <f>('[1]Short Spot'!AC236-'[1]Short Spot'!AC235)*100</f>
        <v>-3.6887808739338723</v>
      </c>
      <c r="AD235" s="19">
        <f>('[1]Short Spot'!AD236-'[1]Short Spot'!AD235)*100</f>
        <v>-3.7379601716105881</v>
      </c>
      <c r="AE235" s="19">
        <f>('[1]Short Spot'!AE236-'[1]Short Spot'!AE235)*100</f>
        <v>-3.7841832533752395</v>
      </c>
      <c r="AF235" s="19">
        <f>('[1]Short Spot'!AF236-'[1]Short Spot'!AF235)*100</f>
        <v>-3.8277591716874504</v>
      </c>
      <c r="AG235" s="19">
        <f>('[1]Short Spot'!AG236-'[1]Short Spot'!AG235)*100</f>
        <v>-3.8689569063381946</v>
      </c>
      <c r="AH235" s="19">
        <f>('[1]Short Spot'!AH236-'[1]Short Spot'!AH235)*100</f>
        <v>-3.9080127711324408</v>
      </c>
      <c r="AI235" s="19">
        <f>('[1]Short Spot'!AI236-'[1]Short Spot'!AI235)*100</f>
        <v>-3.9451378468133846</v>
      </c>
      <c r="AJ235" s="19">
        <f>('[1]Short Spot'!AJ236-'[1]Short Spot'!AJ235)*100</f>
        <v>-3.9805215861533405</v>
      </c>
      <c r="AK235" s="19">
        <f>('[1]Short Spot'!AK236-'[1]Short Spot'!AK235)*100</f>
        <v>-4.0143348158607317</v>
      </c>
      <c r="AL235" s="19">
        <f>('[1]Short Spot'!AL236-'[1]Short Spot'!AL235)*100</f>
        <v>-4.046731113316504</v>
      </c>
      <c r="AM235" s="19">
        <f>('[1]Short Spot'!AM236-'[1]Short Spot'!AM235)*100</f>
        <v>-4.0778456051103085</v>
      </c>
      <c r="AN235" s="19">
        <f>('[1]Short Spot'!AN236-'[1]Short Spot'!AN235)*100</f>
        <v>-4.1077975029599756</v>
      </c>
      <c r="AO235" s="19">
        <f>('[1]Short Spot'!AO236-'[1]Short Spot'!AO235)*100</f>
        <v>-4.1366923229194441</v>
      </c>
      <c r="AP235" s="19">
        <f>('[1]Short Spot'!AP236-'[1]Short Spot'!AP235)*100</f>
        <v>-4.1646235555812261</v>
      </c>
      <c r="AQ235" s="19">
        <f>('[1]Short Spot'!AQ236-'[1]Short Spot'!AQ235)*100</f>
        <v>-4.1916740976796873</v>
      </c>
      <c r="AR235" s="19">
        <f>('[1]Short Spot'!AR236-'[1]Short Spot'!AR235)*100</f>
        <v>-4.217917483901612</v>
      </c>
      <c r="AS235" s="19">
        <f>('[1]Short Spot'!AS236-'[1]Short Spot'!AS235)*100</f>
        <v>-4.2434188028415143</v>
      </c>
      <c r="AT235" s="19">
        <f>('[1]Short Spot'!AT236-'[1]Short Spot'!AT235)*100</f>
        <v>-4.2682349938892195</v>
      </c>
      <c r="AU235" s="19">
        <f>('[1]Short Spot'!AU236-'[1]Short Spot'!AU235)*100</f>
        <v>-4.2924156244612099</v>
      </c>
      <c r="AV235" s="19">
        <f>('[1]Short Spot'!AV236-'[1]Short Spot'!AV235)*100</f>
        <v>-4.3160037097466741</v>
      </c>
      <c r="AW235" s="19">
        <f>('[1]Short Spot'!AW236-'[1]Short Spot'!AW235)*100</f>
        <v>-4.3390363952317657</v>
      </c>
      <c r="AX235" s="19">
        <f>('[1]Short Spot'!AX236-'[1]Short Spot'!AX235)*100</f>
        <v>-4.3615455556476057</v>
      </c>
      <c r="AY235" s="19">
        <f>('[1]Short Spot'!AY236-'[1]Short Spot'!AY235)*100</f>
        <v>-4.383558322047687</v>
      </c>
      <c r="AZ235" s="19">
        <f>('[1]Short Spot'!AZ236-'[1]Short Spot'!AZ235)*100</f>
        <v>-4.4050975468725717</v>
      </c>
      <c r="BA235" s="19">
        <f>('[1]Short Spot'!BA236-'[1]Short Spot'!BA235)*100</f>
        <v>-4.4261822716889831</v>
      </c>
      <c r="BB235" s="19">
        <f>('[1]Short Spot'!BB236-'[1]Short Spot'!BB235)*100</f>
        <v>-4.4468288544686096</v>
      </c>
      <c r="BC235" s="19">
        <f>('[1]Short Spot'!BC236-'[1]Short Spot'!BC235)*100</f>
        <v>-4.4670518184179997</v>
      </c>
      <c r="BD235" s="19">
        <f>('[1]Short Spot'!BD236-'[1]Short Spot'!BD235)*100</f>
        <v>-4.486863524965834</v>
      </c>
      <c r="BE235" s="19">
        <f>('[1]Short Spot'!BE236-'[1]Short Spot'!BE235)*100</f>
        <v>-4.5062718859144368</v>
      </c>
      <c r="BF235" s="19">
        <f>('[1]Short Spot'!BF236-'[1]Short Spot'!BF235)*100</f>
        <v>-4.5252812838687539</v>
      </c>
      <c r="BG235" s="19">
        <f>('[1]Short Spot'!BG236-'[1]Short Spot'!BG235)*100</f>
        <v>-4.5438954792611952</v>
      </c>
      <c r="BH235" s="19">
        <f>('[1]Short Spot'!BH236-'[1]Short Spot'!BH235)*100</f>
        <v>-4.5621174785319241</v>
      </c>
      <c r="BI235" s="19">
        <f>('[1]Short Spot'!BI236-'[1]Short Spot'!BI235)*100</f>
        <v>-4.5799495150832037</v>
      </c>
    </row>
    <row r="236" spans="1:61" x14ac:dyDescent="0.2">
      <c r="A236" s="18">
        <v>39420</v>
      </c>
      <c r="B236" s="19">
        <f>('[1]Short Spot'!B237-'[1]Short Spot'!B236)*100</f>
        <v>-0.99867133374607064</v>
      </c>
      <c r="C236" s="19">
        <f>('[1]Short Spot'!C237-'[1]Short Spot'!C236)*100</f>
        <v>-1.1745500482641447</v>
      </c>
      <c r="D236" s="19">
        <f>('[1]Short Spot'!D237-'[1]Short Spot'!D236)*100</f>
        <v>-0.9538376200143972</v>
      </c>
      <c r="E236" s="19">
        <f>('[1]Short Spot'!E237-'[1]Short Spot'!E236)*100</f>
        <v>-0.57454517125892224</v>
      </c>
      <c r="F236" s="19">
        <f>('[1]Short Spot'!F237-'[1]Short Spot'!F236)*100</f>
        <v>-0.34370677578650088</v>
      </c>
      <c r="G236" s="19">
        <f>('[1]Short Spot'!G237-'[1]Short Spot'!G236)*100</f>
        <v>-0.32736457293811583</v>
      </c>
      <c r="H236" s="19">
        <f>('[1]Short Spot'!H237-'[1]Short Spot'!H236)*100</f>
        <v>-0.4958368733456453</v>
      </c>
      <c r="I236" s="19">
        <f>('[1]Short Spot'!I237-'[1]Short Spot'!I236)*100</f>
        <v>-0.79777078494336351</v>
      </c>
      <c r="J236" s="19">
        <f>('[1]Short Spot'!J237-'[1]Short Spot'!J236)*100</f>
        <v>-1.1852684202342978</v>
      </c>
      <c r="K236" s="19">
        <f>('[1]Short Spot'!K237-'[1]Short Spot'!K236)*100</f>
        <v>-1.6139699814941011</v>
      </c>
      <c r="L236" s="19">
        <f>('[1]Short Spot'!L237-'[1]Short Spot'!L236)*100</f>
        <v>-2.0492075358463424</v>
      </c>
      <c r="M236" s="19">
        <f>('[1]Short Spot'!M237-'[1]Short Spot'!M236)*100</f>
        <v>-2.4697493080060084</v>
      </c>
      <c r="N236" s="19">
        <f>('[1]Short Spot'!N237-'[1]Short Spot'!N236)*100</f>
        <v>-2.8633955884517448</v>
      </c>
      <c r="O236" s="19">
        <f>('[1]Short Spot'!O237-'[1]Short Spot'!O236)*100</f>
        <v>-3.2240753240199815</v>
      </c>
      <c r="P236" s="19">
        <f>('[1]Short Spot'!P237-'[1]Short Spot'!P236)*100</f>
        <v>-3.5501264421572643</v>
      </c>
      <c r="Q236" s="19">
        <f>('[1]Short Spot'!Q237-'[1]Short Spot'!Q236)*100</f>
        <v>-3.8428435674472183</v>
      </c>
      <c r="R236" s="19">
        <f>('[1]Short Spot'!R237-'[1]Short Spot'!R236)*100</f>
        <v>-4.1045459438343812</v>
      </c>
      <c r="S236" s="19">
        <f>('[1]Short Spot'!S237-'[1]Short Spot'!S236)*100</f>
        <v>-4.3375675006676495</v>
      </c>
      <c r="T236" s="19">
        <f>('[1]Short Spot'!T237-'[1]Short Spot'!T236)*100</f>
        <v>-4.5442818456754352</v>
      </c>
      <c r="U236" s="19">
        <f>('[1]Short Spot'!U237-'[1]Short Spot'!U236)*100</f>
        <v>-4.7270928557045622</v>
      </c>
      <c r="V236" s="19">
        <f>('[1]Short Spot'!V237-'[1]Short Spot'!V236)*100</f>
        <v>-4.8884274697883257</v>
      </c>
      <c r="W236" s="19">
        <f>('[1]Short Spot'!W237-'[1]Short Spot'!W236)*100</f>
        <v>-5.0307300055655979</v>
      </c>
      <c r="X236" s="19">
        <f>('[1]Short Spot'!X237-'[1]Short Spot'!X236)*100</f>
        <v>-5.1563608754354284</v>
      </c>
      <c r="Y236" s="19">
        <f>('[1]Short Spot'!Y237-'[1]Short Spot'!Y236)*100</f>
        <v>-5.2673315281350774</v>
      </c>
      <c r="Z236" s="19">
        <f>('[1]Short Spot'!Z237-'[1]Short Spot'!Z236)*100</f>
        <v>-5.3653409092361493</v>
      </c>
      <c r="AA236" s="19">
        <f>('[1]Short Spot'!AA237-'[1]Short Spot'!AA236)*100</f>
        <v>-5.4518424939640653</v>
      </c>
      <c r="AB236" s="19">
        <f>('[1]Short Spot'!AB237-'[1]Short Spot'!AB236)*100</f>
        <v>-5.5281023636347015</v>
      </c>
      <c r="AC236" s="19">
        <f>('[1]Short Spot'!AC237-'[1]Short Spot'!AC236)*100</f>
        <v>-5.5952357362709648</v>
      </c>
      <c r="AD236" s="19">
        <f>('[1]Short Spot'!AD237-'[1]Short Spot'!AD236)*100</f>
        <v>-5.654232977787288</v>
      </c>
      <c r="AE236" s="19">
        <f>('[1]Short Spot'!AE237-'[1]Short Spot'!AE236)*100</f>
        <v>-5.7059804106742718</v>
      </c>
      <c r="AF236" s="19">
        <f>('[1]Short Spot'!AF237-'[1]Short Spot'!AF236)*100</f>
        <v>-5.7512729011059527</v>
      </c>
      <c r="AG236" s="19">
        <f>('[1]Short Spot'!AG237-'[1]Short Spot'!AG236)*100</f>
        <v>-5.7908066966350979</v>
      </c>
      <c r="AH236" s="19">
        <f>('[1]Short Spot'!AH237-'[1]Short Spot'!AH236)*100</f>
        <v>-5.8251917589525526</v>
      </c>
      <c r="AI236" s="19">
        <f>('[1]Short Spot'!AI237-'[1]Short Spot'!AI236)*100</f>
        <v>-5.8549665273291751</v>
      </c>
      <c r="AJ236" s="19">
        <f>('[1]Short Spot'!AJ237-'[1]Short Spot'!AJ236)*100</f>
        <v>-5.8806081361309381</v>
      </c>
      <c r="AK236" s="19">
        <f>('[1]Short Spot'!AK237-'[1]Short Spot'!AK236)*100</f>
        <v>-5.9025409256831196</v>
      </c>
      <c r="AL236" s="19">
        <f>('[1]Short Spot'!AL237-'[1]Short Spot'!AL236)*100</f>
        <v>-5.9211423892254977</v>
      </c>
      <c r="AM236" s="19">
        <f>('[1]Short Spot'!AM237-'[1]Short Spot'!AM236)*100</f>
        <v>-5.9367464465432285</v>
      </c>
      <c r="AN236" s="19">
        <f>('[1]Short Spot'!AN237-'[1]Short Spot'!AN236)*100</f>
        <v>-5.9496497235056012</v>
      </c>
      <c r="AO236" s="19">
        <f>('[1]Short Spot'!AO237-'[1]Short Spot'!AO236)*100</f>
        <v>-5.9601164505600046</v>
      </c>
      <c r="AP236" s="19">
        <f>('[1]Short Spot'!AP237-'[1]Short Spot'!AP236)*100</f>
        <v>-5.9683824133924368</v>
      </c>
      <c r="AQ236" s="19">
        <f>('[1]Short Spot'!AQ237-'[1]Short Spot'!AQ236)*100</f>
        <v>-5.9746583392084496</v>
      </c>
      <c r="AR236" s="19">
        <f>('[1]Short Spot'!AR237-'[1]Short Spot'!AR236)*100</f>
        <v>-5.9791328104205732</v>
      </c>
      <c r="AS236" s="19">
        <f>('[1]Short Spot'!AS237-'[1]Short Spot'!AS236)*100</f>
        <v>-5.9819747155350989</v>
      </c>
      <c r="AT236" s="19">
        <f>('[1]Short Spot'!AT237-'[1]Short Spot'!AT236)*100</f>
        <v>-5.9833355809082889</v>
      </c>
      <c r="AU236" s="19">
        <f>('[1]Short Spot'!AU237-'[1]Short Spot'!AU236)*100</f>
        <v>-5.9833519842316107</v>
      </c>
      <c r="AV236" s="19">
        <f>('[1]Short Spot'!AV237-'[1]Short Spot'!AV236)*100</f>
        <v>-5.9821472179838686</v>
      </c>
      <c r="AW236" s="19">
        <f>('[1]Short Spot'!AW237-'[1]Short Spot'!AW236)*100</f>
        <v>-5.979832673308394</v>
      </c>
      <c r="AX236" s="19">
        <f>('[1]Short Spot'!AX237-'[1]Short Spot'!AX236)*100</f>
        <v>-5.9765090544342314</v>
      </c>
      <c r="AY236" s="19">
        <f>('[1]Short Spot'!AY237-'[1]Short Spot'!AY236)*100</f>
        <v>-5.9722674473678516</v>
      </c>
      <c r="AZ236" s="19">
        <f>('[1]Short Spot'!AZ237-'[1]Short Spot'!AZ236)*100</f>
        <v>-5.9671902628561035</v>
      </c>
      <c r="BA236" s="19">
        <f>('[1]Short Spot'!BA237-'[1]Short Spot'!BA236)*100</f>
        <v>-5.961352149543675</v>
      </c>
      <c r="BB236" s="19">
        <f>('[1]Short Spot'!BB237-'[1]Short Spot'!BB236)*100</f>
        <v>-5.954821782065256</v>
      </c>
      <c r="BC236" s="19">
        <f>('[1]Short Spot'!BC237-'[1]Short Spot'!BC236)*100</f>
        <v>-5.9476633495703091</v>
      </c>
      <c r="BD236" s="19">
        <f>('[1]Short Spot'!BD237-'[1]Short Spot'!BD236)*100</f>
        <v>-5.9399364925933895</v>
      </c>
      <c r="BE236" s="19">
        <f>('[1]Short Spot'!BE237-'[1]Short Spot'!BE236)*100</f>
        <v>-5.9316945791406006</v>
      </c>
      <c r="BF236" s="19">
        <f>('[1]Short Spot'!BF237-'[1]Short Spot'!BF236)*100</f>
        <v>-5.9229861774415582</v>
      </c>
      <c r="BG236" s="19">
        <f>('[1]Short Spot'!BG237-'[1]Short Spot'!BG236)*100</f>
        <v>-5.9138569789825013</v>
      </c>
      <c r="BH236" s="19">
        <f>('[1]Short Spot'!BH237-'[1]Short Spot'!BH236)*100</f>
        <v>-5.9043492883307458</v>
      </c>
      <c r="BI236" s="19">
        <f>('[1]Short Spot'!BI237-'[1]Short Spot'!BI236)*100</f>
        <v>-5.8945022169318406</v>
      </c>
    </row>
    <row r="237" spans="1:61" x14ac:dyDescent="0.2">
      <c r="A237" s="18">
        <v>39421</v>
      </c>
      <c r="B237" s="19">
        <f>('[1]Short Spot'!B238-'[1]Short Spot'!B237)*100</f>
        <v>-4.5768693881283795</v>
      </c>
      <c r="C237" s="19">
        <f>('[1]Short Spot'!C238-'[1]Short Spot'!C237)*100</f>
        <v>-5.697430277357185</v>
      </c>
      <c r="D237" s="19">
        <f>('[1]Short Spot'!D238-'[1]Short Spot'!D237)*100</f>
        <v>-6.6590451141904872</v>
      </c>
      <c r="E237" s="19">
        <f>('[1]Short Spot'!E238-'[1]Short Spot'!E237)*100</f>
        <v>-7.4123526948743468</v>
      </c>
      <c r="F237" s="19">
        <f>('[1]Short Spot'!F238-'[1]Short Spot'!F237)*100</f>
        <v>-7.9608186176391982</v>
      </c>
      <c r="G237" s="19">
        <f>('[1]Short Spot'!G238-'[1]Short Spot'!G237)*100</f>
        <v>-8.3210124766201155</v>
      </c>
      <c r="H237" s="19">
        <f>('[1]Short Spot'!H238-'[1]Short Spot'!H237)*100</f>
        <v>-8.5247632126018935</v>
      </c>
      <c r="I237" s="19">
        <f>('[1]Short Spot'!I238-'[1]Short Spot'!I237)*100</f>
        <v>-8.6054668486344355</v>
      </c>
      <c r="J237" s="19">
        <f>('[1]Short Spot'!J238-'[1]Short Spot'!J237)*100</f>
        <v>-8.5933789996587961</v>
      </c>
      <c r="K237" s="19">
        <f>('[1]Short Spot'!K238-'[1]Short Spot'!K237)*100</f>
        <v>-8.5165393056470862</v>
      </c>
      <c r="L237" s="19">
        <f>('[1]Short Spot'!L238-'[1]Short Spot'!L237)*100</f>
        <v>-8.3982057629459206</v>
      </c>
      <c r="M237" s="19">
        <f>('[1]Short Spot'!M238-'[1]Short Spot'!M237)*100</f>
        <v>-8.2552646762289683</v>
      </c>
      <c r="N237" s="19">
        <f>('[1]Short Spot'!N238-'[1]Short Spot'!N237)*100</f>
        <v>-8.1002710866273198</v>
      </c>
      <c r="O237" s="19">
        <f>('[1]Short Spot'!O238-'[1]Short Spot'!O237)*100</f>
        <v>-7.9421868645463967</v>
      </c>
      <c r="P237" s="19">
        <f>('[1]Short Spot'!P238-'[1]Short Spot'!P237)*100</f>
        <v>-7.7867674313523594</v>
      </c>
      <c r="Q237" s="19">
        <f>('[1]Short Spot'!Q238-'[1]Short Spot'!Q237)*100</f>
        <v>-7.6374209403191173</v>
      </c>
      <c r="R237" s="19">
        <f>('[1]Short Spot'!R238-'[1]Short Spot'!R237)*100</f>
        <v>-7.4956924323846152</v>
      </c>
      <c r="S237" s="19">
        <f>('[1]Short Spot'!S238-'[1]Short Spot'!S237)*100</f>
        <v>-7.3622835703187839</v>
      </c>
      <c r="T237" s="19">
        <f>('[1]Short Spot'!T238-'[1]Short Spot'!T237)*100</f>
        <v>-7.2374645075404587</v>
      </c>
      <c r="U237" s="19">
        <f>('[1]Short Spot'!U238-'[1]Short Spot'!U237)*100</f>
        <v>-7.1211821077280746</v>
      </c>
      <c r="V237" s="19">
        <f>('[1]Short Spot'!V238-'[1]Short Spot'!V237)*100</f>
        <v>-7.0131369185663317</v>
      </c>
      <c r="W237" s="19">
        <f>('[1]Short Spot'!W238-'[1]Short Spot'!W237)*100</f>
        <v>-6.9128385892492261</v>
      </c>
      <c r="X237" s="19">
        <f>('[1]Short Spot'!X238-'[1]Short Spot'!X237)*100</f>
        <v>-6.8196045411760942</v>
      </c>
      <c r="Y237" s="19">
        <f>('[1]Short Spot'!Y238-'[1]Short Spot'!Y237)*100</f>
        <v>-6.7326529271350743</v>
      </c>
      <c r="Z237" s="19">
        <f>('[1]Short Spot'!Z238-'[1]Short Spot'!Z237)*100</f>
        <v>-6.6512794263548614</v>
      </c>
      <c r="AA237" s="19">
        <f>('[1]Short Spot'!AA238-'[1]Short Spot'!AA237)*100</f>
        <v>-6.574855169945959</v>
      </c>
      <c r="AB237" s="19">
        <f>('[1]Short Spot'!AB238-'[1]Short Spot'!AB237)*100</f>
        <v>-6.5028241235267181</v>
      </c>
      <c r="AC237" s="19">
        <f>('[1]Short Spot'!AC238-'[1]Short Spot'!AC237)*100</f>
        <v>-6.4346926826054585</v>
      </c>
      <c r="AD237" s="19">
        <f>('[1]Short Spot'!AD238-'[1]Short Spot'!AD237)*100</f>
        <v>-6.3700189088232939</v>
      </c>
      <c r="AE237" s="19">
        <f>('[1]Short Spot'!AE238-'[1]Short Spot'!AE237)*100</f>
        <v>-6.3084039189038599</v>
      </c>
      <c r="AF237" s="19">
        <f>('[1]Short Spot'!AF238-'[1]Short Spot'!AF237)*100</f>
        <v>-6.2494823833982416</v>
      </c>
      <c r="AG237" s="19">
        <f>('[1]Short Spot'!AG238-'[1]Short Spot'!AG237)*100</f>
        <v>-6.19291724256259</v>
      </c>
      <c r="AH237" s="19">
        <f>('[1]Short Spot'!AH238-'[1]Short Spot'!AH237)*100</f>
        <v>-6.1384137587809917</v>
      </c>
      <c r="AI237" s="19">
        <f>('[1]Short Spot'!AI238-'[1]Short Spot'!AI237)*100</f>
        <v>-6.0857169191272931</v>
      </c>
      <c r="AJ237" s="19">
        <f>('[1]Short Spot'!AJ238-'[1]Short Spot'!AJ237)*100</f>
        <v>-6.0346057604077075</v>
      </c>
      <c r="AK237" s="19">
        <f>('[1]Short Spot'!AK238-'[1]Short Spot'!AK237)*100</f>
        <v>-5.9848886339860741</v>
      </c>
      <c r="AL237" s="19">
        <f>('[1]Short Spot'!AL238-'[1]Short Spot'!AL237)*100</f>
        <v>-5.9363981407328126</v>
      </c>
      <c r="AM237" s="19">
        <f>('[1]Short Spot'!AM238-'[1]Short Spot'!AM237)*100</f>
        <v>-5.8889863040406887</v>
      </c>
      <c r="AN237" s="19">
        <f>('[1]Short Spot'!AN238-'[1]Short Spot'!AN237)*100</f>
        <v>-5.8425235952566545</v>
      </c>
      <c r="AO237" s="19">
        <f>('[1]Short Spot'!AO238-'[1]Short Spot'!AO237)*100</f>
        <v>-5.7968968771280771</v>
      </c>
      <c r="AP237" s="19">
        <f>('[1]Short Spot'!AP238-'[1]Short Spot'!AP237)*100</f>
        <v>-5.7520074048506231</v>
      </c>
      <c r="AQ237" s="19">
        <f>('[1]Short Spot'!AQ238-'[1]Short Spot'!AQ237)*100</f>
        <v>-5.7077691126832697</v>
      </c>
      <c r="AR237" s="19">
        <f>('[1]Short Spot'!AR238-'[1]Short Spot'!AR237)*100</f>
        <v>-5.6641071394299303</v>
      </c>
      <c r="AS237" s="19">
        <f>('[1]Short Spot'!AS238-'[1]Short Spot'!AS237)*100</f>
        <v>-5.6209564437665449</v>
      </c>
      <c r="AT237" s="19">
        <f>('[1]Short Spot'!AT238-'[1]Short Spot'!AT237)*100</f>
        <v>-5.578260555043002</v>
      </c>
      <c r="AU237" s="19">
        <f>('[1]Short Spot'!AU238-'[1]Short Spot'!AU237)*100</f>
        <v>-5.5359709128484091</v>
      </c>
      <c r="AV237" s="19">
        <f>('[1]Short Spot'!AV238-'[1]Short Spot'!AV237)*100</f>
        <v>-5.4940460750334097</v>
      </c>
      <c r="AW237" s="19">
        <f>('[1]Short Spot'!AW238-'[1]Short Spot'!AW237)*100</f>
        <v>-5.4524509762228668</v>
      </c>
      <c r="AX237" s="19">
        <f>('[1]Short Spot'!AX238-'[1]Short Spot'!AX237)*100</f>
        <v>-5.4111562771264055</v>
      </c>
      <c r="AY237" s="19">
        <f>('[1]Short Spot'!AY238-'[1]Short Spot'!AY237)*100</f>
        <v>-5.3701377919291637</v>
      </c>
      <c r="AZ237" s="19">
        <f>('[1]Short Spot'!AZ238-'[1]Short Spot'!AZ237)*100</f>
        <v>-5.3293759830484788</v>
      </c>
      <c r="BA237" s="19">
        <f>('[1]Short Spot'!BA238-'[1]Short Spot'!BA237)*100</f>
        <v>-5.288855587734087</v>
      </c>
      <c r="BB237" s="19">
        <f>('[1]Short Spot'!BB238-'[1]Short Spot'!BB237)*100</f>
        <v>-5.2485658783340661</v>
      </c>
      <c r="BC237" s="19">
        <f>('[1]Short Spot'!BC238-'[1]Short Spot'!BC237)*100</f>
        <v>-5.2085004023449066</v>
      </c>
      <c r="BD237" s="19">
        <f>('[1]Short Spot'!BD238-'[1]Short Spot'!BD237)*100</f>
        <v>-5.1686560399741843</v>
      </c>
      <c r="BE237" s="19">
        <f>('[1]Short Spot'!BE238-'[1]Short Spot'!BE237)*100</f>
        <v>-5.1290315939904296</v>
      </c>
      <c r="BF237" s="19">
        <f>('[1]Short Spot'!BF238-'[1]Short Spot'!BF237)*100</f>
        <v>-5.089629111906202</v>
      </c>
      <c r="BG237" s="19">
        <f>('[1]Short Spot'!BG238-'[1]Short Spot'!BG237)*100</f>
        <v>-5.0504531292136612</v>
      </c>
      <c r="BH237" s="19">
        <f>('[1]Short Spot'!BH238-'[1]Short Spot'!BH237)*100</f>
        <v>-5.0115088773172722</v>
      </c>
      <c r="BI237" s="19">
        <f>('[1]Short Spot'!BI238-'[1]Short Spot'!BI237)*100</f>
        <v>-4.9728021303405257</v>
      </c>
    </row>
    <row r="238" spans="1:61" x14ac:dyDescent="0.2">
      <c r="A238" s="18">
        <v>39422</v>
      </c>
      <c r="B238" s="19">
        <f>('[1]Short Spot'!B239-'[1]Short Spot'!B238)*100</f>
        <v>-1.5745254797178809</v>
      </c>
      <c r="C238" s="19">
        <f>('[1]Short Spot'!C239-'[1]Short Spot'!C238)*100</f>
        <v>-1.1481894965546857</v>
      </c>
      <c r="D238" s="19">
        <f>('[1]Short Spot'!D239-'[1]Short Spot'!D238)*100</f>
        <v>-1.1754608786174181</v>
      </c>
      <c r="E238" s="19">
        <f>('[1]Short Spot'!E239-'[1]Short Spot'!E238)*100</f>
        <v>-1.3453707596856823</v>
      </c>
      <c r="F238" s="19">
        <f>('[1]Short Spot'!F239-'[1]Short Spot'!F238)*100</f>
        <v>-1.4471356512142819</v>
      </c>
      <c r="G238" s="19">
        <f>('[1]Short Spot'!G239-'[1]Short Spot'!G238)*100</f>
        <v>-1.4039454014356245</v>
      </c>
      <c r="H238" s="19">
        <f>('[1]Short Spot'!H239-'[1]Short Spot'!H238)*100</f>
        <v>-1.2085304682645237</v>
      </c>
      <c r="I238" s="19">
        <f>('[1]Short Spot'!I239-'[1]Short Spot'!I238)*100</f>
        <v>-0.88238496455108617</v>
      </c>
      <c r="J238" s="19">
        <f>('[1]Short Spot'!J239-'[1]Short Spot'!J238)*100</f>
        <v>-0.46226045060988596</v>
      </c>
      <c r="K238" s="19">
        <f>('[1]Short Spot'!K239-'[1]Short Spot'!K238)*100</f>
        <v>9.394112463123605E-3</v>
      </c>
      <c r="L238" s="19">
        <f>('[1]Short Spot'!L239-'[1]Short Spot'!L238)*100</f>
        <v>0.50017501444843404</v>
      </c>
      <c r="M238" s="19">
        <f>('[1]Short Spot'!M239-'[1]Short Spot'!M238)*100</f>
        <v>0.98736407901052203</v>
      </c>
      <c r="N238" s="19">
        <f>('[1]Short Spot'!N239-'[1]Short Spot'!N238)*100</f>
        <v>1.4536355010497104</v>
      </c>
      <c r="O238" s="19">
        <f>('[1]Short Spot'!O239-'[1]Short Spot'!O238)*100</f>
        <v>1.8881488782239941</v>
      </c>
      <c r="P238" s="19">
        <f>('[1]Short Spot'!P239-'[1]Short Spot'!P238)*100</f>
        <v>2.286085003646221</v>
      </c>
      <c r="Q238" s="19">
        <f>('[1]Short Spot'!Q239-'[1]Short Spot'!Q238)*100</f>
        <v>2.6467600672829938</v>
      </c>
      <c r="R238" s="19">
        <f>('[1]Short Spot'!R239-'[1]Short Spot'!R238)*100</f>
        <v>2.9719467283079837</v>
      </c>
      <c r="S238" s="19">
        <f>('[1]Short Spot'!S239-'[1]Short Spot'!S238)*100</f>
        <v>3.2639231531102375</v>
      </c>
      <c r="T238" s="19">
        <f>('[1]Short Spot'!T239-'[1]Short Spot'!T238)*100</f>
        <v>3.52508255650541</v>
      </c>
      <c r="U238" s="19">
        <f>('[1]Short Spot'!U239-'[1]Short Spot'!U238)*100</f>
        <v>3.7579042761864301</v>
      </c>
      <c r="V238" s="19">
        <f>('[1]Short Spot'!V239-'[1]Short Spot'!V238)*100</f>
        <v>3.9649332672769155</v>
      </c>
      <c r="W238" s="19">
        <f>('[1]Short Spot'!W239-'[1]Short Spot'!W238)*100</f>
        <v>4.1487658645390724</v>
      </c>
      <c r="X238" s="19">
        <f>('[1]Short Spot'!X239-'[1]Short Spot'!X238)*100</f>
        <v>4.3120515290811845</v>
      </c>
      <c r="Y238" s="19">
        <f>('[1]Short Spot'!Y239-'[1]Short Spot'!Y238)*100</f>
        <v>4.4572822778459198</v>
      </c>
      <c r="Z238" s="19">
        <f>('[1]Short Spot'!Z239-'[1]Short Spot'!Z238)*100</f>
        <v>4.5866085166098358</v>
      </c>
      <c r="AA238" s="19">
        <f>('[1]Short Spot'!AA239-'[1]Short Spot'!AA238)*100</f>
        <v>4.7018952456601149</v>
      </c>
      <c r="AB238" s="19">
        <f>('[1]Short Spot'!AB239-'[1]Short Spot'!AB238)*100</f>
        <v>4.8047670957691579</v>
      </c>
      <c r="AC238" s="19">
        <f>('[1]Short Spot'!AC239-'[1]Short Spot'!AC238)*100</f>
        <v>4.8966492318269772</v>
      </c>
      <c r="AD238" s="19">
        <f>('[1]Short Spot'!AD239-'[1]Short Spot'!AD238)*100</f>
        <v>4.9788017435105303</v>
      </c>
      <c r="AE238" s="19">
        <f>('[1]Short Spot'!AE239-'[1]Short Spot'!AE238)*100</f>
        <v>5.0523471582382129</v>
      </c>
      <c r="AF238" s="19">
        <f>('[1]Short Spot'!AF239-'[1]Short Spot'!AF238)*100</f>
        <v>5.1182945233371413</v>
      </c>
      <c r="AG238" s="19">
        <f>('[1]Short Spot'!AG239-'[1]Short Spot'!AG238)*100</f>
        <v>5.1775495351318312</v>
      </c>
      <c r="AH238" s="19">
        <f>('[1]Short Spot'!AH239-'[1]Short Spot'!AH238)*100</f>
        <v>5.2309067047780822</v>
      </c>
      <c r="AI238" s="19">
        <f>('[1]Short Spot'!AI239-'[1]Short Spot'!AI238)*100</f>
        <v>5.2790621402219351</v>
      </c>
      <c r="AJ238" s="19">
        <f>('[1]Short Spot'!AJ239-'[1]Short Spot'!AJ238)*100</f>
        <v>5.3226276038011555</v>
      </c>
      <c r="AK238" s="19">
        <f>('[1]Short Spot'!AK239-'[1]Short Spot'!AK238)*100</f>
        <v>5.3621422358635762</v>
      </c>
      <c r="AL238" s="19">
        <f>('[1]Short Spot'!AL239-'[1]Short Spot'!AL238)*100</f>
        <v>5.3980833478602719</v>
      </c>
      <c r="AM238" s="19">
        <f>('[1]Short Spot'!AM239-'[1]Short Spot'!AM238)*100</f>
        <v>5.4308749712805415</v>
      </c>
      <c r="AN238" s="19">
        <f>('[1]Short Spot'!AN239-'[1]Short Spot'!AN238)*100</f>
        <v>5.4608925352086501</v>
      </c>
      <c r="AO238" s="19">
        <f>('[1]Short Spot'!AO239-'[1]Short Spot'!AO238)*100</f>
        <v>5.4884686966215845</v>
      </c>
      <c r="AP238" s="19">
        <f>('[1]Short Spot'!AP239-'[1]Short Spot'!AP238)*100</f>
        <v>5.5138985564981979</v>
      </c>
      <c r="AQ238" s="19">
        <f>('[1]Short Spot'!AQ239-'[1]Short Spot'!AQ238)*100</f>
        <v>5.5374441307724176</v>
      </c>
      <c r="AR238" s="19">
        <f>('[1]Short Spot'!AR239-'[1]Short Spot'!AR238)*100</f>
        <v>5.5593381977845802</v>
      </c>
      <c r="AS238" s="19">
        <f>('[1]Short Spot'!AS239-'[1]Short Spot'!AS238)*100</f>
        <v>5.5797876815622871</v>
      </c>
      <c r="AT238" s="19">
        <f>('[1]Short Spot'!AT239-'[1]Short Spot'!AT238)*100</f>
        <v>5.5989762875534588</v>
      </c>
      <c r="AU238" s="19">
        <f>('[1]Short Spot'!AU239-'[1]Short Spot'!AU238)*100</f>
        <v>5.6170665076185067</v>
      </c>
      <c r="AV238" s="19">
        <f>('[1]Short Spot'!AV239-'[1]Short Spot'!AV238)*100</f>
        <v>5.6342018204754929</v>
      </c>
      <c r="AW238" s="19">
        <f>('[1]Short Spot'!AW239-'[1]Short Spot'!AW238)*100</f>
        <v>5.6505086722342668</v>
      </c>
      <c r="AX238" s="19">
        <f>('[1]Short Spot'!AX239-'[1]Short Spot'!AX238)*100</f>
        <v>5.6660982144188132</v>
      </c>
      <c r="AY238" s="19">
        <f>('[1]Short Spot'!AY239-'[1]Short Spot'!AY238)*100</f>
        <v>5.6810678334252351</v>
      </c>
      <c r="AZ238" s="19">
        <f>('[1]Short Spot'!AZ239-'[1]Short Spot'!AZ238)*100</f>
        <v>5.695502500044114</v>
      </c>
      <c r="BA238" s="19">
        <f>('[1]Short Spot'!BA239-'[1]Short Spot'!BA238)*100</f>
        <v>5.7094759163914155</v>
      </c>
      <c r="BB238" s="19">
        <f>('[1]Short Spot'!BB239-'[1]Short Spot'!BB238)*100</f>
        <v>5.7230515926466552</v>
      </c>
      <c r="BC238" s="19">
        <f>('[1]Short Spot'!BC239-'[1]Short Spot'!BC238)*100</f>
        <v>5.7362846623860264</v>
      </c>
      <c r="BD238" s="19">
        <f>('[1]Short Spot'!BD239-'[1]Short Spot'!BD238)*100</f>
        <v>5.749223145229454</v>
      </c>
      <c r="BE238" s="19">
        <f>('[1]Short Spot'!BE239-'[1]Short Spot'!BE238)*100</f>
        <v>5.7619077512827133</v>
      </c>
      <c r="BF238" s="19">
        <f>('[1]Short Spot'!BF239-'[1]Short Spot'!BF238)*100</f>
        <v>5.7743699263768988</v>
      </c>
      <c r="BG238" s="19">
        <f>('[1]Short Spot'!BG239-'[1]Short Spot'!BG238)*100</f>
        <v>5.7866346697490023</v>
      </c>
      <c r="BH238" s="19">
        <f>('[1]Short Spot'!BH239-'[1]Short Spot'!BH238)*100</f>
        <v>5.7987231479181389</v>
      </c>
      <c r="BI238" s="19">
        <f>('[1]Short Spot'!BI239-'[1]Short Spot'!BI238)*100</f>
        <v>5.8106531030105657</v>
      </c>
    </row>
    <row r="239" spans="1:61" x14ac:dyDescent="0.2">
      <c r="A239" s="18">
        <v>39423</v>
      </c>
      <c r="B239" s="19">
        <f>('[1]Short Spot'!B240-'[1]Short Spot'!B239)*100</f>
        <v>0.62288262274980966</v>
      </c>
      <c r="C239" s="19">
        <f>('[1]Short Spot'!C240-'[1]Short Spot'!C239)*100</f>
        <v>6.8206701811166504</v>
      </c>
      <c r="D239" s="19">
        <f>('[1]Short Spot'!D240-'[1]Short Spot'!D239)*100</f>
        <v>9.7392107610109413</v>
      </c>
      <c r="E239" s="19">
        <f>('[1]Short Spot'!E240-'[1]Short Spot'!E239)*100</f>
        <v>9.8758811446526984</v>
      </c>
      <c r="F239" s="19">
        <f>('[1]Short Spot'!F240-'[1]Short Spot'!F239)*100</f>
        <v>8.876186919622242</v>
      </c>
      <c r="G239" s="19">
        <f>('[1]Short Spot'!G240-'[1]Short Spot'!G239)*100</f>
        <v>7.5812569875875369</v>
      </c>
      <c r="H239" s="19">
        <f>('[1]Short Spot'!H240-'[1]Short Spot'!H239)*100</f>
        <v>6.393451694545238</v>
      </c>
      <c r="I239" s="19">
        <f>('[1]Short Spot'!I240-'[1]Short Spot'!I239)*100</f>
        <v>5.4985323295704269</v>
      </c>
      <c r="J239" s="19">
        <f>('[1]Short Spot'!J240-'[1]Short Spot'!J239)*100</f>
        <v>4.9268503531677332</v>
      </c>
      <c r="K239" s="19">
        <f>('[1]Short Spot'!K240-'[1]Short Spot'!K239)*100</f>
        <v>4.6258898763634981</v>
      </c>
      <c r="L239" s="19">
        <f>('[1]Short Spot'!L240-'[1]Short Spot'!L239)*100</f>
        <v>4.5210321596586667</v>
      </c>
      <c r="M239" s="19">
        <f>('[1]Short Spot'!M240-'[1]Short Spot'!M239)*100</f>
        <v>4.5544944776337637</v>
      </c>
      <c r="N239" s="19">
        <f>('[1]Short Spot'!N240-'[1]Short Spot'!N239)*100</f>
        <v>4.6826612942927781</v>
      </c>
      <c r="O239" s="19">
        <f>('[1]Short Spot'!O240-'[1]Short Spot'!O239)*100</f>
        <v>4.8722594207836423</v>
      </c>
      <c r="P239" s="19">
        <f>('[1]Short Spot'!P240-'[1]Short Spot'!P239)*100</f>
        <v>5.0989291698193995</v>
      </c>
      <c r="Q239" s="19">
        <f>('[1]Short Spot'!Q240-'[1]Short Spot'!Q239)*100</f>
        <v>5.3450566328606008</v>
      </c>
      <c r="R239" s="19">
        <f>('[1]Short Spot'!R240-'[1]Short Spot'!R239)*100</f>
        <v>5.5989984388842728</v>
      </c>
      <c r="S239" s="19">
        <f>('[1]Short Spot'!S240-'[1]Short Spot'!S239)*100</f>
        <v>5.8527792044465343</v>
      </c>
      <c r="T239" s="19">
        <f>('[1]Short Spot'!T240-'[1]Short Spot'!T239)*100</f>
        <v>6.1008145169481054</v>
      </c>
      <c r="U239" s="19">
        <f>('[1]Short Spot'!U240-'[1]Short Spot'!U239)*100</f>
        <v>6.3393131265289782</v>
      </c>
      <c r="V239" s="19">
        <f>('[1]Short Spot'!V240-'[1]Short Spot'!V239)*100</f>
        <v>6.5658500025574718</v>
      </c>
      <c r="W239" s="19">
        <f>('[1]Short Spot'!W240-'[1]Short Spot'!W239)*100</f>
        <v>6.7790598220664577</v>
      </c>
      <c r="X239" s="19">
        <f>('[1]Short Spot'!X240-'[1]Short Spot'!X239)*100</f>
        <v>6.9785568702644518</v>
      </c>
      <c r="Y239" s="19">
        <f>('[1]Short Spot'!Y240-'[1]Short Spot'!Y239)*100</f>
        <v>7.164618469505335</v>
      </c>
      <c r="Z239" s="19">
        <f>('[1]Short Spot'!Z240-'[1]Short Spot'!Z239)*100</f>
        <v>7.3377147644302809</v>
      </c>
      <c r="AA239" s="19">
        <f>('[1]Short Spot'!AA240-'[1]Short Spot'!AA239)*100</f>
        <v>7.4984224634955687</v>
      </c>
      <c r="AB239" s="19">
        <f>('[1]Short Spot'!AB240-'[1]Short Spot'!AB239)*100</f>
        <v>7.6473542983602094</v>
      </c>
      <c r="AC239" s="19">
        <f>('[1]Short Spot'!AC240-'[1]Short Spot'!AC239)*100</f>
        <v>7.7851461533422928</v>
      </c>
      <c r="AD239" s="19">
        <f>('[1]Short Spot'!AD240-'[1]Short Spot'!AD239)*100</f>
        <v>7.9124530735811938</v>
      </c>
      <c r="AE239" s="19">
        <f>('[1]Short Spot'!AE240-'[1]Short Spot'!AE239)*100</f>
        <v>8.0299460863751726</v>
      </c>
      <c r="AF239" s="19">
        <f>('[1]Short Spot'!AF240-'[1]Short Spot'!AF239)*100</f>
        <v>8.1383168596956601</v>
      </c>
      <c r="AG239" s="19">
        <f>('[1]Short Spot'!AG240-'[1]Short Spot'!AG239)*100</f>
        <v>8.2382602120945947</v>
      </c>
      <c r="AH239" s="19">
        <f>('[1]Short Spot'!AH240-'[1]Short Spot'!AH239)*100</f>
        <v>8.3304206381854762</v>
      </c>
      <c r="AI239" s="19">
        <f>('[1]Short Spot'!AI240-'[1]Short Spot'!AI239)*100</f>
        <v>8.4153925276270414</v>
      </c>
      <c r="AJ239" s="19">
        <f>('[1]Short Spot'!AJ240-'[1]Short Spot'!AJ239)*100</f>
        <v>8.4937273229735766</v>
      </c>
      <c r="AK239" s="19">
        <f>('[1]Short Spot'!AK240-'[1]Short Spot'!AK239)*100</f>
        <v>8.5659395267352778</v>
      </c>
      <c r="AL239" s="19">
        <f>('[1]Short Spot'!AL240-'[1]Short Spot'!AL239)*100</f>
        <v>8.6325126667944119</v>
      </c>
      <c r="AM239" s="19">
        <f>('[1]Short Spot'!AM240-'[1]Short Spot'!AM239)*100</f>
        <v>8.693894606189545</v>
      </c>
      <c r="AN239" s="19">
        <f>('[1]Short Spot'!AN240-'[1]Short Spot'!AN239)*100</f>
        <v>8.750491979860886</v>
      </c>
      <c r="AO239" s="19">
        <f>('[1]Short Spot'!AO240-'[1]Short Spot'!AO239)*100</f>
        <v>8.8026746986709092</v>
      </c>
      <c r="AP239" s="19">
        <f>('[1]Short Spot'!AP240-'[1]Short Spot'!AP239)*100</f>
        <v>8.8507804279505997</v>
      </c>
      <c r="AQ239" s="19">
        <f>('[1]Short Spot'!AQ240-'[1]Short Spot'!AQ239)*100</f>
        <v>8.8951184262534788</v>
      </c>
      <c r="AR239" s="19">
        <f>('[1]Short Spot'!AR240-'[1]Short Spot'!AR239)*100</f>
        <v>8.9359728505207237</v>
      </c>
      <c r="AS239" s="19">
        <f>('[1]Short Spot'!AS240-'[1]Short Spot'!AS239)*100</f>
        <v>8.9736055978528739</v>
      </c>
      <c r="AT239" s="19">
        <f>('[1]Short Spot'!AT240-'[1]Short Spot'!AT239)*100</f>
        <v>9.008257091920413</v>
      </c>
      <c r="AU239" s="19">
        <f>('[1]Short Spot'!AU240-'[1]Short Spot'!AU239)*100</f>
        <v>9.040146805280358</v>
      </c>
      <c r="AV239" s="19">
        <f>('[1]Short Spot'!AV240-'[1]Short Spot'!AV239)*100</f>
        <v>9.0694753537369444</v>
      </c>
      <c r="AW239" s="19">
        <f>('[1]Short Spot'!AW240-'[1]Short Spot'!AW239)*100</f>
        <v>9.0964264605887912</v>
      </c>
      <c r="AX239" s="19">
        <f>('[1]Short Spot'!AX240-'[1]Short Spot'!AX239)*100</f>
        <v>9.1211686803527314</v>
      </c>
      <c r="AY239" s="19">
        <f>('[1]Short Spot'!AY240-'[1]Short Spot'!AY239)*100</f>
        <v>9.143856915643056</v>
      </c>
      <c r="AZ239" s="19">
        <f>('[1]Short Spot'!AZ240-'[1]Short Spot'!AZ239)*100</f>
        <v>9.1646337555916446</v>
      </c>
      <c r="BA239" s="19">
        <f>('[1]Short Spot'!BA240-'[1]Short Spot'!BA239)*100</f>
        <v>9.1836305862225132</v>
      </c>
      <c r="BB239" s="19">
        <f>('[1]Short Spot'!BB240-'[1]Short Spot'!BB239)*100</f>
        <v>9.2009698618023883</v>
      </c>
      <c r="BC239" s="19">
        <f>('[1]Short Spot'!BC240-'[1]Short Spot'!BC239)*100</f>
        <v>9.2167695214553369</v>
      </c>
      <c r="BD239" s="19">
        <f>('[1]Short Spot'!BD240-'[1]Short Spot'!BD239)*100</f>
        <v>9.2311445116657787</v>
      </c>
      <c r="BE239" s="19">
        <f>('[1]Short Spot'!BE240-'[1]Short Spot'!BE239)*100</f>
        <v>9.2442023394011308</v>
      </c>
      <c r="BF239" s="19">
        <f>('[1]Short Spot'!BF240-'[1]Short Spot'!BF239)*100</f>
        <v>9.2560349349493976</v>
      </c>
      <c r="BG239" s="19">
        <f>('[1]Short Spot'!BG240-'[1]Short Spot'!BG239)*100</f>
        <v>9.2667232119120868</v>
      </c>
      <c r="BH239" s="19">
        <f>('[1]Short Spot'!BH240-'[1]Short Spot'!BH239)*100</f>
        <v>9.2763421301906845</v>
      </c>
      <c r="BI239" s="19">
        <f>('[1]Short Spot'!BI240-'[1]Short Spot'!BI239)*100</f>
        <v>9.2849613464529135</v>
      </c>
    </row>
    <row r="240" spans="1:61" x14ac:dyDescent="0.2">
      <c r="A240" s="18">
        <v>39426</v>
      </c>
      <c r="B240" s="19">
        <f>('[1]Short Spot'!B241-'[1]Short Spot'!B240)*100</f>
        <v>0.76265502106478422</v>
      </c>
      <c r="C240" s="19">
        <f>('[1]Short Spot'!C241-'[1]Short Spot'!C240)*100</f>
        <v>0.48564948126950114</v>
      </c>
      <c r="D240" s="19">
        <f>('[1]Short Spot'!D241-'[1]Short Spot'!D240)*100</f>
        <v>0.26367943335232624</v>
      </c>
      <c r="E240" s="19">
        <f>('[1]Short Spot'!E241-'[1]Short Spot'!E240)*100</f>
        <v>0.12737313596673516</v>
      </c>
      <c r="F240" s="19">
        <f>('[1]Short Spot'!F241-'[1]Short Spot'!F240)*100</f>
        <v>3.8494447297043877E-2</v>
      </c>
      <c r="G240" s="19">
        <f>('[1]Short Spot'!G241-'[1]Short Spot'!G240)*100</f>
        <v>-1.7568631056086303E-2</v>
      </c>
      <c r="H240" s="19">
        <f>('[1]Short Spot'!H241-'[1]Short Spot'!H240)*100</f>
        <v>-4.7505451825013978E-2</v>
      </c>
      <c r="I240" s="19">
        <f>('[1]Short Spot'!I241-'[1]Short Spot'!I240)*100</f>
        <v>-5.9845653546641842E-2</v>
      </c>
      <c r="J240" s="19">
        <f>('[1]Short Spot'!J241-'[1]Short Spot'!J240)*100</f>
        <v>-5.7192216493717751E-2</v>
      </c>
      <c r="K240" s="19">
        <f>('[1]Short Spot'!K241-'[1]Short Spot'!K240)*100</f>
        <v>-3.7721791009115435E-2</v>
      </c>
      <c r="L240" s="19">
        <f>('[1]Short Spot'!L241-'[1]Short Spot'!L240)*100</f>
        <v>-2.5856714858107921E-4</v>
      </c>
      <c r="M240" s="19">
        <f>('[1]Short Spot'!M241-'[1]Short Spot'!M240)*100</f>
        <v>5.5716892319868094E-2</v>
      </c>
      <c r="N240" s="19">
        <f>('[1]Short Spot'!N241-'[1]Short Spot'!N240)*100</f>
        <v>0.13049756102105903</v>
      </c>
      <c r="O240" s="19">
        <f>('[1]Short Spot'!O241-'[1]Short Spot'!O240)*100</f>
        <v>0.22305212756359438</v>
      </c>
      <c r="P240" s="19">
        <f>('[1]Short Spot'!P241-'[1]Short Spot'!P240)*100</f>
        <v>0.33083369018527264</v>
      </c>
      <c r="Q240" s="19">
        <f>('[1]Short Spot'!Q241-'[1]Short Spot'!Q240)*100</f>
        <v>0.45046081098982782</v>
      </c>
      <c r="R240" s="19">
        <f>('[1]Short Spot'!R241-'[1]Short Spot'!R240)*100</f>
        <v>0.57896949400912945</v>
      </c>
      <c r="S240" s="19">
        <f>('[1]Short Spot'!S241-'[1]Short Spot'!S240)*100</f>
        <v>0.71398795122039616</v>
      </c>
      <c r="T240" s="19">
        <f>('[1]Short Spot'!T241-'[1]Short Spot'!T240)*100</f>
        <v>0.85353542358106438</v>
      </c>
      <c r="U240" s="19">
        <f>('[1]Short Spot'!U241-'[1]Short Spot'!U240)*100</f>
        <v>0.99592442378408919</v>
      </c>
      <c r="V240" s="19">
        <f>('[1]Short Spot'!V241-'[1]Short Spot'!V240)*100</f>
        <v>1.1396909096542451</v>
      </c>
      <c r="W240" s="19">
        <f>('[1]Short Spot'!W241-'[1]Short Spot'!W240)*100</f>
        <v>1.2835460574536661</v>
      </c>
      <c r="X240" s="19">
        <f>('[1]Short Spot'!X241-'[1]Short Spot'!X240)*100</f>
        <v>1.4264413979015345</v>
      </c>
      <c r="Y240" s="19">
        <f>('[1]Short Spot'!Y241-'[1]Short Spot'!Y240)*100</f>
        <v>1.5676418647590395</v>
      </c>
      <c r="Z240" s="19">
        <f>('[1]Short Spot'!Z241-'[1]Short Spot'!Z240)*100</f>
        <v>1.7066238802773803</v>
      </c>
      <c r="AA240" s="19">
        <f>('[1]Short Spot'!AA241-'[1]Short Spot'!AA240)*100</f>
        <v>1.8430097894031938</v>
      </c>
      <c r="AB240" s="19">
        <f>('[1]Short Spot'!AB241-'[1]Short Spot'!AB240)*100</f>
        <v>1.976518926678672</v>
      </c>
      <c r="AC240" s="19">
        <f>('[1]Short Spot'!AC241-'[1]Short Spot'!AC240)*100</f>
        <v>2.1069484538558392</v>
      </c>
      <c r="AD240" s="19">
        <f>('[1]Short Spot'!AD241-'[1]Short Spot'!AD240)*100</f>
        <v>2.2341599414118285</v>
      </c>
      <c r="AE240" s="19">
        <f>('[1]Short Spot'!AE241-'[1]Short Spot'!AE240)*100</f>
        <v>2.3580686494841352</v>
      </c>
      <c r="AF240" s="19">
        <f>('[1]Short Spot'!AF241-'[1]Short Spot'!AF240)*100</f>
        <v>2.4786383319130856</v>
      </c>
      <c r="AG240" s="19">
        <f>('[1]Short Spot'!AG241-'[1]Short Spot'!AG240)*100</f>
        <v>2.5958740169247818</v>
      </c>
      <c r="AH240" s="19">
        <f>('[1]Short Spot'!AH241-'[1]Short Spot'!AH240)*100</f>
        <v>2.7098041326440558</v>
      </c>
      <c r="AI240" s="19">
        <f>('[1]Short Spot'!AI241-'[1]Short Spot'!AI240)*100</f>
        <v>2.8204755582998509</v>
      </c>
      <c r="AJ240" s="19">
        <f>('[1]Short Spot'!AJ241-'[1]Short Spot'!AJ240)*100</f>
        <v>2.9279509883517463</v>
      </c>
      <c r="AK240" s="19">
        <f>('[1]Short Spot'!AK241-'[1]Short Spot'!AK240)*100</f>
        <v>3.0323067507582735</v>
      </c>
      <c r="AL240" s="19">
        <f>('[1]Short Spot'!AL241-'[1]Short Spot'!AL240)*100</f>
        <v>3.1336303511283248</v>
      </c>
      <c r="AM240" s="19">
        <f>('[1]Short Spot'!AM241-'[1]Short Spot'!AM240)*100</f>
        <v>3.2320128881197618</v>
      </c>
      <c r="AN240" s="19">
        <f>('[1]Short Spot'!AN241-'[1]Short Spot'!AN240)*100</f>
        <v>3.3275445434436612</v>
      </c>
      <c r="AO240" s="19">
        <f>('[1]Short Spot'!AO241-'[1]Short Spot'!AO240)*100</f>
        <v>3.4203145328125295</v>
      </c>
      <c r="AP240" s="19">
        <f>('[1]Short Spot'!AP241-'[1]Short Spot'!AP240)*100</f>
        <v>3.5104112237431373</v>
      </c>
      <c r="AQ240" s="19">
        <f>('[1]Short Spot'!AQ241-'[1]Short Spot'!AQ240)*100</f>
        <v>3.597922236533968</v>
      </c>
      <c r="AR240" s="19">
        <f>('[1]Short Spot'!AR241-'[1]Short Spot'!AR240)*100</f>
        <v>3.6829345305696926</v>
      </c>
      <c r="AS240" s="19">
        <f>('[1]Short Spot'!AS241-'[1]Short Spot'!AS240)*100</f>
        <v>3.7655339855978909</v>
      </c>
      <c r="AT240" s="19">
        <f>('[1]Short Spot'!AT241-'[1]Short Spot'!AT240)*100</f>
        <v>3.845802804693399</v>
      </c>
      <c r="AU240" s="19">
        <f>('[1]Short Spot'!AU241-'[1]Short Spot'!AU240)*100</f>
        <v>3.9238183746569177</v>
      </c>
      <c r="AV240" s="19">
        <f>('[1]Short Spot'!AV241-'[1]Short Spot'!AV240)*100</f>
        <v>3.9996537182787506</v>
      </c>
      <c r="AW240" s="19">
        <f>('[1]Short Spot'!AW241-'[1]Short Spot'!AW240)*100</f>
        <v>4.0733779489227295</v>
      </c>
      <c r="AX240" s="19">
        <f>('[1]Short Spot'!AX241-'[1]Short Spot'!AX240)*100</f>
        <v>4.1450566694471114</v>
      </c>
      <c r="AY240" s="19">
        <f>('[1]Short Spot'!AY241-'[1]Short Spot'!AY240)*100</f>
        <v>4.2147523232551443</v>
      </c>
      <c r="AZ240" s="19">
        <f>('[1]Short Spot'!AZ241-'[1]Short Spot'!AZ240)*100</f>
        <v>4.2825245040464033</v>
      </c>
      <c r="BA240" s="19">
        <f>('[1]Short Spot'!BA241-'[1]Short Spot'!BA240)*100</f>
        <v>4.3484301294536287</v>
      </c>
      <c r="BB240" s="19">
        <f>('[1]Short Spot'!BB241-'[1]Short Spot'!BB240)*100</f>
        <v>4.4125231493481465</v>
      </c>
      <c r="BC240" s="19">
        <f>('[1]Short Spot'!BC241-'[1]Short Spot'!BC240)*100</f>
        <v>4.4748547900251623</v>
      </c>
      <c r="BD240" s="19">
        <f>('[1]Short Spot'!BD241-'[1]Short Spot'!BD240)*100</f>
        <v>4.5354738746078205</v>
      </c>
      <c r="BE240" s="19">
        <f>('[1]Short Spot'!BE241-'[1]Short Spot'!BE240)*100</f>
        <v>4.5944250008845167</v>
      </c>
      <c r="BF240" s="19">
        <f>('[1]Short Spot'!BF241-'[1]Short Spot'!BF240)*100</f>
        <v>4.6517465591634277</v>
      </c>
      <c r="BG240" s="19">
        <f>('[1]Short Spot'!BG241-'[1]Short Spot'!BG240)*100</f>
        <v>4.7074733506932809</v>
      </c>
      <c r="BH240" s="19">
        <f>('[1]Short Spot'!BH241-'[1]Short Spot'!BH240)*100</f>
        <v>4.7616382892758047</v>
      </c>
      <c r="BI240" s="19">
        <f>('[1]Short Spot'!BI241-'[1]Short Spot'!BI240)*100</f>
        <v>4.8142725915272244</v>
      </c>
    </row>
    <row r="241" spans="1:61" x14ac:dyDescent="0.2">
      <c r="A241" s="18">
        <v>39427</v>
      </c>
      <c r="B241" s="19">
        <f>('[1]Short Spot'!B242-'[1]Short Spot'!B241)*100</f>
        <v>-0.79099031484597404</v>
      </c>
      <c r="C241" s="19">
        <f>('[1]Short Spot'!C242-'[1]Short Spot'!C241)*100</f>
        <v>-0.52438255797699895</v>
      </c>
      <c r="D241" s="19">
        <f>('[1]Short Spot'!D242-'[1]Short Spot'!D241)*100</f>
        <v>0.30613249818003396</v>
      </c>
      <c r="E241" s="19">
        <f>('[1]Short Spot'!E242-'[1]Short Spot'!E241)*100</f>
        <v>1.0636706299342435</v>
      </c>
      <c r="F241" s="19">
        <f>('[1]Short Spot'!F242-'[1]Short Spot'!F241)*100</f>
        <v>1.5865490770551105</v>
      </c>
      <c r="G241" s="19">
        <f>('[1]Short Spot'!G242-'[1]Short Spot'!G241)*100</f>
        <v>1.855978954474935</v>
      </c>
      <c r="H241" s="19">
        <f>('[1]Short Spot'!H242-'[1]Short Spot'!H241)*100</f>
        <v>1.898704060443368</v>
      </c>
      <c r="I241" s="19">
        <f>('[1]Short Spot'!I242-'[1]Short Spot'!I241)*100</f>
        <v>1.7558892242700352</v>
      </c>
      <c r="J241" s="19">
        <f>('[1]Short Spot'!J242-'[1]Short Spot'!J241)*100</f>
        <v>1.4726636181024766</v>
      </c>
      <c r="K241" s="19">
        <f>('[1]Short Spot'!K242-'[1]Short Spot'!K241)*100</f>
        <v>1.0953528950543578</v>
      </c>
      <c r="L241" s="19">
        <f>('[1]Short Spot'!L242-'[1]Short Spot'!L241)*100</f>
        <v>0.66443498766011189</v>
      </c>
      <c r="M241" s="19">
        <f>('[1]Short Spot'!M242-'[1]Short Spot'!M241)*100</f>
        <v>0.21045908326984275</v>
      </c>
      <c r="N241" s="19">
        <f>('[1]Short Spot'!N242-'[1]Short Spot'!N241)*100</f>
        <v>-0.24298413894392468</v>
      </c>
      <c r="O241" s="19">
        <f>('[1]Short Spot'!O242-'[1]Short Spot'!O241)*100</f>
        <v>-0.67939835265304893</v>
      </c>
      <c r="P241" s="19">
        <f>('[1]Short Spot'!P242-'[1]Short Spot'!P241)*100</f>
        <v>-1.089644985695859</v>
      </c>
      <c r="Q241" s="19">
        <f>('[1]Short Spot'!Q242-'[1]Short Spot'!Q241)*100</f>
        <v>-1.4696442243783636</v>
      </c>
      <c r="R241" s="19">
        <f>('[1]Short Spot'!R242-'[1]Short Spot'!R241)*100</f>
        <v>-1.8176753391685452</v>
      </c>
      <c r="S241" s="19">
        <f>('[1]Short Spot'!S242-'[1]Short Spot'!S241)*100</f>
        <v>-2.133344197981657</v>
      </c>
      <c r="T241" s="19">
        <f>('[1]Short Spot'!T242-'[1]Short Spot'!T241)*100</f>
        <v>-2.4172726997417904</v>
      </c>
      <c r="U241" s="19">
        <f>('[1]Short Spot'!U242-'[1]Short Spot'!U241)*100</f>
        <v>-2.6708447666308643</v>
      </c>
      <c r="V241" s="19">
        <f>('[1]Short Spot'!V242-'[1]Short Spot'!V241)*100</f>
        <v>-2.896024909978312</v>
      </c>
      <c r="W241" s="19">
        <f>('[1]Short Spot'!W242-'[1]Short Spot'!W241)*100</f>
        <v>-3.0952220540855002</v>
      </c>
      <c r="X241" s="19">
        <f>('[1]Short Spot'!X242-'[1]Short Spot'!X241)*100</f>
        <v>-3.2710047320321678</v>
      </c>
      <c r="Y241" s="19">
        <f>('[1]Short Spot'!Y242-'[1]Short Spot'!Y241)*100</f>
        <v>-3.4257143125945966</v>
      </c>
      <c r="Z241" s="19">
        <f>('[1]Short Spot'!Z242-'[1]Short Spot'!Z241)*100</f>
        <v>-3.5614636752392848</v>
      </c>
      <c r="AA241" s="19">
        <f>('[1]Short Spot'!AA242-'[1]Short Spot'!AA241)*100</f>
        <v>-3.6801445595775917</v>
      </c>
      <c r="AB241" s="19">
        <f>('[1]Short Spot'!AB242-'[1]Short Spot'!AB241)*100</f>
        <v>-3.7834504548913017</v>
      </c>
      <c r="AC241" s="19">
        <f>('[1]Short Spot'!AC242-'[1]Short Spot'!AC241)*100</f>
        <v>-3.8729116628107185</v>
      </c>
      <c r="AD241" s="19">
        <f>('[1]Short Spot'!AD242-'[1]Short Spot'!AD241)*100</f>
        <v>-3.9499234331165312</v>
      </c>
      <c r="AE241" s="19">
        <f>('[1]Short Spot'!AE242-'[1]Short Spot'!AE241)*100</f>
        <v>-4.0157684384295678</v>
      </c>
      <c r="AF241" s="19">
        <f>('[1]Short Spot'!AF242-'[1]Short Spot'!AF241)*100</f>
        <v>-4.0716243993534462</v>
      </c>
      <c r="AG241" s="19">
        <f>('[1]Short Spot'!AG242-'[1]Short Spot'!AG241)*100</f>
        <v>-4.1185414682384014</v>
      </c>
      <c r="AH241" s="19">
        <f>('[1]Short Spot'!AH242-'[1]Short Spot'!AH241)*100</f>
        <v>-4.1574497001199084</v>
      </c>
      <c r="AI241" s="19">
        <f>('[1]Short Spot'!AI242-'[1]Short Spot'!AI241)*100</f>
        <v>-4.1891770359174352</v>
      </c>
      <c r="AJ241" s="19">
        <f>('[1]Short Spot'!AJ242-'[1]Short Spot'!AJ241)*100</f>
        <v>-4.2144638901641329</v>
      </c>
      <c r="AK241" s="19">
        <f>('[1]Short Spot'!AK242-'[1]Short Spot'!AK241)*100</f>
        <v>-4.2339752694634747</v>
      </c>
      <c r="AL241" s="19">
        <f>('[1]Short Spot'!AL242-'[1]Short Spot'!AL241)*100</f>
        <v>-4.2483089992290779</v>
      </c>
      <c r="AM241" s="19">
        <f>('[1]Short Spot'!AM242-'[1]Short Spot'!AM241)*100</f>
        <v>-4.2580010122322598</v>
      </c>
      <c r="AN241" s="19">
        <f>('[1]Short Spot'!AN242-'[1]Short Spot'!AN241)*100</f>
        <v>-4.263533209506587</v>
      </c>
      <c r="AO241" s="19">
        <f>('[1]Short Spot'!AO242-'[1]Short Spot'!AO241)*100</f>
        <v>-4.2653402688491937</v>
      </c>
      <c r="AP241" s="19">
        <f>('[1]Short Spot'!AP242-'[1]Short Spot'!AP241)*100</f>
        <v>-4.2638154037504705</v>
      </c>
      <c r="AQ241" s="19">
        <f>('[1]Short Spot'!AQ242-'[1]Short Spot'!AQ241)*100</f>
        <v>-4.2593152996223793</v>
      </c>
      <c r="AR241" s="19">
        <f>('[1]Short Spot'!AR242-'[1]Short Spot'!AR241)*100</f>
        <v>-4.252164358359245</v>
      </c>
      <c r="AS241" s="19">
        <f>('[1]Short Spot'!AS242-'[1]Short Spot'!AS241)*100</f>
        <v>-4.2426579079912763</v>
      </c>
      <c r="AT241" s="19">
        <f>('[1]Short Spot'!AT242-'[1]Short Spot'!AT241)*100</f>
        <v>-4.2310637066273138</v>
      </c>
      <c r="AU241" s="19">
        <f>('[1]Short Spot'!AU242-'[1]Short Spot'!AU241)*100</f>
        <v>-4.2176242505423289</v>
      </c>
      <c r="AV241" s="19">
        <f>('[1]Short Spot'!AV242-'[1]Short Spot'!AV241)*100</f>
        <v>-4.2025594485098239</v>
      </c>
      <c r="AW241" s="19">
        <f>('[1]Short Spot'!AW242-'[1]Short Spot'!AW241)*100</f>
        <v>-4.1860689746681778</v>
      </c>
      <c r="AX241" s="19">
        <f>('[1]Short Spot'!AX242-'[1]Short Spot'!AX241)*100</f>
        <v>-4.1683343332776346</v>
      </c>
      <c r="AY241" s="19">
        <f>('[1]Short Spot'!AY242-'[1]Short Spot'!AY241)*100</f>
        <v>-4.1495206757090841</v>
      </c>
      <c r="AZ241" s="19">
        <f>('[1]Short Spot'!AZ242-'[1]Short Spot'!AZ241)*100</f>
        <v>-4.1297784036683716</v>
      </c>
      <c r="BA241" s="19">
        <f>('[1]Short Spot'!BA242-'[1]Short Spot'!BA241)*100</f>
        <v>-4.1092445719018933</v>
      </c>
      <c r="BB241" s="19">
        <f>('[1]Short Spot'!BB242-'[1]Short Spot'!BB241)*100</f>
        <v>-4.0880432936269528</v>
      </c>
      <c r="BC241" s="19">
        <f>('[1]Short Spot'!BC242-'[1]Short Spot'!BC241)*100</f>
        <v>-4.0662855548144528</v>
      </c>
      <c r="BD241" s="19">
        <f>('[1]Short Spot'!BD242-'[1]Short Spot'!BD241)*100</f>
        <v>-4.0440703193459271</v>
      </c>
      <c r="BE241" s="19">
        <f>('[1]Short Spot'!BE242-'[1]Short Spot'!BE241)*100</f>
        <v>-4.0214880157194877</v>
      </c>
      <c r="BF241" s="19">
        <f>('[1]Short Spot'!BF242-'[1]Short Spot'!BF241)*100</f>
        <v>-3.9986237616582265</v>
      </c>
      <c r="BG241" s="19">
        <f>('[1]Short Spot'!BG242-'[1]Short Spot'!BG241)*100</f>
        <v>-3.9755562486622154</v>
      </c>
      <c r="BH241" s="19">
        <f>('[1]Short Spot'!BH242-'[1]Short Spot'!BH241)*100</f>
        <v>-3.952357170912979</v>
      </c>
      <c r="BI241" s="19">
        <f>('[1]Short Spot'!BI242-'[1]Short Spot'!BI241)*100</f>
        <v>-3.9290917848152418</v>
      </c>
    </row>
    <row r="242" spans="1:61" x14ac:dyDescent="0.2">
      <c r="A242" s="18">
        <v>39428</v>
      </c>
      <c r="B242" s="19">
        <f>('[1]Short Spot'!B243-'[1]Short Spot'!B242)*100</f>
        <v>0.59060980438543353</v>
      </c>
      <c r="C242" s="19">
        <f>('[1]Short Spot'!C243-'[1]Short Spot'!C242)*100</f>
        <v>-0.45324424369121985</v>
      </c>
      <c r="D242" s="19">
        <f>('[1]Short Spot'!D243-'[1]Short Spot'!D242)*100</f>
        <v>-1.251566818350458</v>
      </c>
      <c r="E242" s="19">
        <f>('[1]Short Spot'!E243-'[1]Short Spot'!E242)*100</f>
        <v>-1.6468802606282473</v>
      </c>
      <c r="F242" s="19">
        <f>('[1]Short Spot'!F243-'[1]Short Spot'!F242)*100</f>
        <v>-1.5426976730340769</v>
      </c>
      <c r="G242" s="19">
        <f>('[1]Short Spot'!G243-'[1]Short Spot'!G242)*100</f>
        <v>-0.98749173122749667</v>
      </c>
      <c r="H242" s="19">
        <f>('[1]Short Spot'!H243-'[1]Short Spot'!H242)*100</f>
        <v>-8.0261314271989903E-2</v>
      </c>
      <c r="I242" s="19">
        <f>('[1]Short Spot'!I243-'[1]Short Spot'!I242)*100</f>
        <v>1.0748372162806774</v>
      </c>
      <c r="J242" s="19">
        <f>('[1]Short Spot'!J243-'[1]Short Spot'!J242)*100</f>
        <v>2.3840605289523253</v>
      </c>
      <c r="K242" s="19">
        <f>('[1]Short Spot'!K243-'[1]Short Spot'!K242)*100</f>
        <v>3.7610382635534734</v>
      </c>
      <c r="L242" s="19">
        <f>('[1]Short Spot'!L243-'[1]Short Spot'!L242)*100</f>
        <v>5.1355699208614602</v>
      </c>
      <c r="M242" s="19">
        <f>('[1]Short Spot'!M243-'[1]Short Spot'!M242)*100</f>
        <v>6.4590678580310978</v>
      </c>
      <c r="N242" s="19">
        <f>('[1]Short Spot'!N243-'[1]Short Spot'!N242)*100</f>
        <v>7.697750638072165</v>
      </c>
      <c r="O242" s="19">
        <f>('[1]Short Spot'!O243-'[1]Short Spot'!O242)*100</f>
        <v>8.8313560678898284</v>
      </c>
      <c r="P242" s="19">
        <f>('[1]Short Spot'!P243-'[1]Short Spot'!P242)*100</f>
        <v>9.852646771085638</v>
      </c>
      <c r="Q242" s="19">
        <f>('[1]Short Spot'!Q243-'[1]Short Spot'!Q242)*100</f>
        <v>10.76356285854656</v>
      </c>
      <c r="R242" s="19">
        <f>('[1]Short Spot'!R243-'[1]Short Spot'!R242)*100</f>
        <v>11.570336274314297</v>
      </c>
      <c r="S242" s="19">
        <f>('[1]Short Spot'!S243-'[1]Short Spot'!S242)*100</f>
        <v>12.279994327798338</v>
      </c>
      <c r="T242" s="19">
        <f>('[1]Short Spot'!T243-'[1]Short Spot'!T242)*100</f>
        <v>12.899939912111247</v>
      </c>
      <c r="U242" s="19">
        <f>('[1]Short Spot'!U243-'[1]Short Spot'!U242)*100</f>
        <v>13.4378576081426</v>
      </c>
      <c r="V242" s="19">
        <f>('[1]Short Spot'!V243-'[1]Short Spot'!V242)*100</f>
        <v>13.901646616041141</v>
      </c>
      <c r="W242" s="19">
        <f>('[1]Short Spot'!W243-'[1]Short Spot'!W242)*100</f>
        <v>14.299372147195566</v>
      </c>
      <c r="X242" s="19">
        <f>('[1]Short Spot'!X243-'[1]Short Spot'!X242)*100</f>
        <v>14.639047937804062</v>
      </c>
      <c r="Y242" s="19">
        <f>('[1]Short Spot'!Y243-'[1]Short Spot'!Y242)*100</f>
        <v>14.927875644878341</v>
      </c>
      <c r="Z242" s="19">
        <f>('[1]Short Spot'!Z243-'[1]Short Spot'!Z242)*100</f>
        <v>15.172078839920999</v>
      </c>
      <c r="AA242" s="19">
        <f>('[1]Short Spot'!AA243-'[1]Short Spot'!AA242)*100</f>
        <v>15.377056839229208</v>
      </c>
      <c r="AB242" s="19">
        <f>('[1]Short Spot'!AB243-'[1]Short Spot'!AB242)*100</f>
        <v>15.547513650052736</v>
      </c>
      <c r="AC242" s="19">
        <f>('[1]Short Spot'!AC243-'[1]Short Spot'!AC242)*100</f>
        <v>15.687580564599557</v>
      </c>
      <c r="AD242" s="19">
        <f>('[1]Short Spot'!AD243-'[1]Short Spot'!AD242)*100</f>
        <v>15.800914904009655</v>
      </c>
      <c r="AE242" s="19">
        <f>('[1]Short Spot'!AE243-'[1]Short Spot'!AE242)*100</f>
        <v>15.890779037667802</v>
      </c>
      <c r="AF242" s="19">
        <f>('[1]Short Spot'!AF243-'[1]Short Spot'!AF242)*100</f>
        <v>15.960098447916859</v>
      </c>
      <c r="AG242" s="19">
        <f>('[1]Short Spot'!AG243-'[1]Short Spot'!AG242)*100</f>
        <v>16.011461336607358</v>
      </c>
      <c r="AH242" s="19">
        <f>('[1]Short Spot'!AH243-'[1]Short Spot'!AH242)*100</f>
        <v>16.047128818665612</v>
      </c>
      <c r="AI242" s="19">
        <f>('[1]Short Spot'!AI243-'[1]Short Spot'!AI242)*100</f>
        <v>16.069080663043334</v>
      </c>
      <c r="AJ242" s="19">
        <f>('[1]Short Spot'!AJ243-'[1]Short Spot'!AJ242)*100</f>
        <v>16.079055485000016</v>
      </c>
      <c r="AK242" s="19">
        <f>('[1]Short Spot'!AK243-'[1]Short Spot'!AK242)*100</f>
        <v>16.078584274770336</v>
      </c>
      <c r="AL242" s="19">
        <f>('[1]Short Spot'!AL243-'[1]Short Spot'!AL242)*100</f>
        <v>16.06901911235763</v>
      </c>
      <c r="AM242" s="19">
        <f>('[1]Short Spot'!AM243-'[1]Short Spot'!AM242)*100</f>
        <v>16.051555311179833</v>
      </c>
      <c r="AN242" s="19">
        <f>('[1]Short Spot'!AN243-'[1]Short Spot'!AN242)*100</f>
        <v>16.027249736418714</v>
      </c>
      <c r="AO242" s="19">
        <f>('[1]Short Spot'!AO243-'[1]Short Spot'!AO242)*100</f>
        <v>15.99703803190593</v>
      </c>
      <c r="AP242" s="19">
        <f>('[1]Short Spot'!AP243-'[1]Short Spot'!AP242)*100</f>
        <v>15.96174940321351</v>
      </c>
      <c r="AQ242" s="19">
        <f>('[1]Short Spot'!AQ243-'[1]Short Spot'!AQ242)*100</f>
        <v>15.92211928887588</v>
      </c>
      <c r="AR242" s="19">
        <f>('[1]Short Spot'!AR243-'[1]Short Spot'!AR242)*100</f>
        <v>15.878800267285431</v>
      </c>
      <c r="AS242" s="19">
        <f>('[1]Short Spot'!AS243-'[1]Short Spot'!AS242)*100</f>
        <v>15.83237183272761</v>
      </c>
      <c r="AT242" s="19">
        <f>('[1]Short Spot'!AT243-'[1]Short Spot'!AT242)*100</f>
        <v>15.783349576336647</v>
      </c>
      <c r="AU242" s="19">
        <f>('[1]Short Spot'!AU243-'[1]Short Spot'!AU242)*100</f>
        <v>15.7321924337535</v>
      </c>
      <c r="AV242" s="19">
        <f>('[1]Short Spot'!AV243-'[1]Short Spot'!AV242)*100</f>
        <v>15.679308711847817</v>
      </c>
      <c r="AW242" s="19">
        <f>('[1]Short Spot'!AW243-'[1]Short Spot'!AW242)*100</f>
        <v>15.625061362548021</v>
      </c>
      <c r="AX242" s="19">
        <f>('[1]Short Spot'!AX243-'[1]Short Spot'!AX242)*100</f>
        <v>15.56977261089747</v>
      </c>
      <c r="AY242" s="19">
        <f>('[1]Short Spot'!AY243-'[1]Short Spot'!AY242)*100</f>
        <v>15.513728027741447</v>
      </c>
      <c r="AZ242" s="19">
        <f>('[1]Short Spot'!AZ243-'[1]Short Spot'!AZ242)*100</f>
        <v>15.457180123276615</v>
      </c>
      <c r="BA242" s="19">
        <f>('[1]Short Spot'!BA243-'[1]Short Spot'!BA242)*100</f>
        <v>15.400351609086549</v>
      </c>
      <c r="BB242" s="19">
        <f>('[1]Short Spot'!BB243-'[1]Short Spot'!BB242)*100</f>
        <v>15.343439621172106</v>
      </c>
      <c r="BC242" s="19">
        <f>('[1]Short Spot'!BC243-'[1]Short Spot'!BC242)*100</f>
        <v>15.286619827814363</v>
      </c>
      <c r="BD242" s="19">
        <f>('[1]Short Spot'!BD243-'[1]Short Spot'!BD242)*100</f>
        <v>15.230048264259377</v>
      </c>
      <c r="BE242" s="19">
        <f>('[1]Short Spot'!BE243-'[1]Short Spot'!BE242)*100</f>
        <v>15.173859951873325</v>
      </c>
      <c r="BF242" s="19">
        <f>('[1]Short Spot'!BF243-'[1]Short Spot'!BF242)*100</f>
        <v>15.118169238154433</v>
      </c>
      <c r="BG242" s="19">
        <f>('[1]Short Spot'!BG243-'[1]Short Spot'!BG242)*100</f>
        <v>15.06307553188746</v>
      </c>
      <c r="BH242" s="19">
        <f>('[1]Short Spot'!BH243-'[1]Short Spot'!BH242)*100</f>
        <v>15.008666137689719</v>
      </c>
      <c r="BI242" s="19">
        <f>('[1]Short Spot'!BI243-'[1]Short Spot'!BI242)*100</f>
        <v>14.955017285128491</v>
      </c>
    </row>
    <row r="243" spans="1:61" x14ac:dyDescent="0.2">
      <c r="A243" s="18">
        <v>39429</v>
      </c>
      <c r="B243" s="19">
        <f>('[1]Short Spot'!B244-'[1]Short Spot'!B243)*100</f>
        <v>-0.96744277706353188</v>
      </c>
      <c r="C243" s="19">
        <f>('[1]Short Spot'!C244-'[1]Short Spot'!C243)*100</f>
        <v>9.4124290721264714E-2</v>
      </c>
      <c r="D243" s="19">
        <f>('[1]Short Spot'!D244-'[1]Short Spot'!D243)*100</f>
        <v>0.32631468914416928</v>
      </c>
      <c r="E243" s="19">
        <f>('[1]Short Spot'!E244-'[1]Short Spot'!E243)*100</f>
        <v>0.29526172251523874</v>
      </c>
      <c r="F243" s="19">
        <f>('[1]Short Spot'!F244-'[1]Short Spot'!F243)*100</f>
        <v>0.15074269004342611</v>
      </c>
      <c r="G243" s="19">
        <f>('[1]Short Spot'!G244-'[1]Short Spot'!G243)*100</f>
        <v>-4.9390380730773842E-2</v>
      </c>
      <c r="H243" s="19">
        <f>('[1]Short Spot'!H244-'[1]Short Spot'!H243)*100</f>
        <v>-0.2757706647948055</v>
      </c>
      <c r="I243" s="19">
        <f>('[1]Short Spot'!I244-'[1]Short Spot'!I243)*100</f>
        <v>-0.51151123238595275</v>
      </c>
      <c r="J243" s="19">
        <f>('[1]Short Spot'!J244-'[1]Short Spot'!J243)*100</f>
        <v>-0.74692830617646422</v>
      </c>
      <c r="K243" s="19">
        <f>('[1]Short Spot'!K244-'[1]Short Spot'!K243)*100</f>
        <v>-0.97536805236568824</v>
      </c>
      <c r="L243" s="19">
        <f>('[1]Short Spot'!L244-'[1]Short Spot'!L243)*100</f>
        <v>-1.1897523577004243</v>
      </c>
      <c r="M243" s="19">
        <f>('[1]Short Spot'!M244-'[1]Short Spot'!M243)*100</f>
        <v>-1.3857427972835623</v>
      </c>
      <c r="N243" s="19">
        <f>('[1]Short Spot'!N244-'[1]Short Spot'!N243)*100</f>
        <v>-1.5615378628641707</v>
      </c>
      <c r="O243" s="19">
        <f>('[1]Short Spot'!O244-'[1]Short Spot'!O243)*100</f>
        <v>-1.716427298893386</v>
      </c>
      <c r="P243" s="19">
        <f>('[1]Short Spot'!P244-'[1]Short Spot'!P243)*100</f>
        <v>-1.8509114338512767</v>
      </c>
      <c r="Q243" s="19">
        <f>('[1]Short Spot'!Q244-'[1]Short Spot'!Q243)*100</f>
        <v>-1.9663265767791316</v>
      </c>
      <c r="R243" s="19">
        <f>('[1]Short Spot'!R244-'[1]Short Spot'!R243)*100</f>
        <v>-2.0640457185266747</v>
      </c>
      <c r="S243" s="19">
        <f>('[1]Short Spot'!S244-'[1]Short Spot'!S243)*100</f>
        <v>-2.1455565685124967</v>
      </c>
      <c r="T243" s="19">
        <f>('[1]Short Spot'!T244-'[1]Short Spot'!T243)*100</f>
        <v>-2.2124803614554267</v>
      </c>
      <c r="U243" s="19">
        <f>('[1]Short Spot'!U244-'[1]Short Spot'!U243)*100</f>
        <v>-2.2665384760491847</v>
      </c>
      <c r="V243" s="19">
        <f>('[1]Short Spot'!V244-'[1]Short Spot'!V243)*100</f>
        <v>-2.3095285911587382</v>
      </c>
      <c r="W243" s="19">
        <f>('[1]Short Spot'!W244-'[1]Short Spot'!W243)*100</f>
        <v>-2.3433023275416964</v>
      </c>
      <c r="X243" s="19">
        <f>('[1]Short Spot'!X244-'[1]Short Spot'!X243)*100</f>
        <v>-2.3696085482233897</v>
      </c>
      <c r="Y243" s="19">
        <f>('[1]Short Spot'!Y244-'[1]Short Spot'!Y243)*100</f>
        <v>-2.3899229401692423</v>
      </c>
      <c r="Z243" s="19">
        <f>('[1]Short Spot'!Z244-'[1]Short Spot'!Z243)*100</f>
        <v>-2.4055016505928783</v>
      </c>
      <c r="AA243" s="19">
        <f>('[1]Short Spot'!AA244-'[1]Short Spot'!AA243)*100</f>
        <v>-2.4174029646546913</v>
      </c>
      <c r="AB243" s="19">
        <f>('[1]Short Spot'!AB244-'[1]Short Spot'!AB243)*100</f>
        <v>-2.4265178431051027</v>
      </c>
      <c r="AC243" s="19">
        <f>('[1]Short Spot'!AC244-'[1]Short Spot'!AC243)*100</f>
        <v>-2.4335999883408732</v>
      </c>
      <c r="AD243" s="19">
        <f>('[1]Short Spot'!AD244-'[1]Short Spot'!AD243)*100</f>
        <v>-2.4392895096405631</v>
      </c>
      <c r="AE243" s="19">
        <f>('[1]Short Spot'!AE244-'[1]Short Spot'!AE243)*100</f>
        <v>-2.444131795445692</v>
      </c>
      <c r="AF243" s="19">
        <f>('[1]Short Spot'!AF244-'[1]Short Spot'!AF243)*100</f>
        <v>-2.4485858237358826</v>
      </c>
      <c r="AG243" s="19">
        <f>('[1]Short Spot'!AG244-'[1]Short Spot'!AG243)*100</f>
        <v>-2.4530232543407138</v>
      </c>
      <c r="AH243" s="19">
        <f>('[1]Short Spot'!AH244-'[1]Short Spot'!AH243)*100</f>
        <v>-2.4577434378241669</v>
      </c>
      <c r="AI243" s="19">
        <f>('[1]Short Spot'!AI244-'[1]Short Spot'!AI243)*100</f>
        <v>-2.4629846857130211</v>
      </c>
      <c r="AJ243" s="19">
        <f>('[1]Short Spot'!AJ244-'[1]Short Spot'!AJ243)*100</f>
        <v>-2.468932990359729</v>
      </c>
      <c r="AK243" s="19">
        <f>('[1]Short Spot'!AK244-'[1]Short Spot'!AK243)*100</f>
        <v>-2.4757292665032793</v>
      </c>
      <c r="AL243" s="19">
        <f>('[1]Short Spot'!AL244-'[1]Short Spot'!AL243)*100</f>
        <v>-2.4834760701670788</v>
      </c>
      <c r="AM243" s="19">
        <f>('[1]Short Spot'!AM244-'[1]Short Spot'!AM243)*100</f>
        <v>-2.4922478910891499</v>
      </c>
      <c r="AN243" s="19">
        <f>('[1]Short Spot'!AN244-'[1]Short Spot'!AN243)*100</f>
        <v>-2.5020976317233767</v>
      </c>
      <c r="AO243" s="19">
        <f>('[1]Short Spot'!AO244-'[1]Short Spot'!AO243)*100</f>
        <v>-2.513059385200922</v>
      </c>
      <c r="AP243" s="19">
        <f>('[1]Short Spot'!AP244-'[1]Short Spot'!AP243)*100</f>
        <v>-2.5251507291496722</v>
      </c>
      <c r="AQ243" s="19">
        <f>('[1]Short Spot'!AQ244-'[1]Short Spot'!AQ243)*100</f>
        <v>-2.5383746918254957</v>
      </c>
      <c r="AR243" s="19">
        <f>('[1]Short Spot'!AR244-'[1]Short Spot'!AR243)*100</f>
        <v>-2.5527214462391257</v>
      </c>
      <c r="AS243" s="19">
        <f>('[1]Short Spot'!AS244-'[1]Short Spot'!AS243)*100</f>
        <v>-2.56817038569217</v>
      </c>
      <c r="AT243" s="19">
        <f>('[1]Short Spot'!AT244-'[1]Short Spot'!AT243)*100</f>
        <v>-2.5846939820340253</v>
      </c>
      <c r="AU243" s="19">
        <f>('[1]Short Spot'!AU244-'[1]Short Spot'!AU243)*100</f>
        <v>-2.6022597578791995</v>
      </c>
      <c r="AV243" s="19">
        <f>('[1]Short Spot'!AV244-'[1]Short Spot'!AV243)*100</f>
        <v>-2.6208308456592277</v>
      </c>
      <c r="AW243" s="19">
        <f>('[1]Short Spot'!AW244-'[1]Short Spot'!AW243)*100</f>
        <v>-2.6403664449319741</v>
      </c>
      <c r="AX243" s="19">
        <f>('[1]Short Spot'!AX244-'[1]Short Spot'!AX243)*100</f>
        <v>-2.660822223697501</v>
      </c>
      <c r="AY243" s="19">
        <f>('[1]Short Spot'!AY244-'[1]Short Spot'!AY243)*100</f>
        <v>-2.6821506715508647</v>
      </c>
      <c r="AZ243" s="19">
        <f>('[1]Short Spot'!AZ244-'[1]Short Spot'!AZ243)*100</f>
        <v>-2.7043014113043995</v>
      </c>
      <c r="BA243" s="19">
        <f>('[1]Short Spot'!BA244-'[1]Short Spot'!BA243)*100</f>
        <v>-2.7272217534569876</v>
      </c>
      <c r="BB243" s="19">
        <f>('[1]Short Spot'!BB244-'[1]Short Spot'!BB243)*100</f>
        <v>-2.7508589467379885</v>
      </c>
      <c r="BC243" s="19">
        <f>('[1]Short Spot'!BC244-'[1]Short Spot'!BC243)*100</f>
        <v>-2.7751615767630966</v>
      </c>
      <c r="BD243" s="19">
        <f>('[1]Short Spot'!BD244-'[1]Short Spot'!BD243)*100</f>
        <v>-2.8000785741984835</v>
      </c>
      <c r="BE243" s="19">
        <f>('[1]Short Spot'!BE244-'[1]Short Spot'!BE243)*100</f>
        <v>-2.8255564256959964</v>
      </c>
      <c r="BF243" s="19">
        <f>('[1]Short Spot'!BF244-'[1]Short Spot'!BF243)*100</f>
        <v>-2.8515409598504071</v>
      </c>
      <c r="BG243" s="19">
        <f>('[1]Short Spot'!BG244-'[1]Short Spot'!BG243)*100</f>
        <v>-2.877980372398703</v>
      </c>
      <c r="BH243" s="19">
        <f>('[1]Short Spot'!BH244-'[1]Short Spot'!BH243)*100</f>
        <v>-2.9048251934260527</v>
      </c>
      <c r="BI243" s="19">
        <f>('[1]Short Spot'!BI244-'[1]Short Spot'!BI243)*100</f>
        <v>-2.9320280853053049</v>
      </c>
    </row>
    <row r="244" spans="1:61" x14ac:dyDescent="0.2">
      <c r="A244" s="18">
        <v>39430</v>
      </c>
      <c r="B244" s="19">
        <f>('[1]Short Spot'!B245-'[1]Short Spot'!B244)*100</f>
        <v>-1.1755312160734555</v>
      </c>
      <c r="C244" s="19">
        <f>('[1]Short Spot'!C245-'[1]Short Spot'!C244)*100</f>
        <v>-1.2563509881583279</v>
      </c>
      <c r="D244" s="19">
        <f>('[1]Short Spot'!D245-'[1]Short Spot'!D244)*100</f>
        <v>-1.2339932500581519</v>
      </c>
      <c r="E244" s="19">
        <f>('[1]Short Spot'!E245-'[1]Short Spot'!E244)*100</f>
        <v>-1.1607476696883445</v>
      </c>
      <c r="F244" s="19">
        <f>('[1]Short Spot'!F245-'[1]Short Spot'!F244)*100</f>
        <v>-0.97463441426937081</v>
      </c>
      <c r="G244" s="19">
        <f>('[1]Short Spot'!G245-'[1]Short Spot'!G244)*100</f>
        <v>-0.6854473267240202</v>
      </c>
      <c r="H244" s="19">
        <f>('[1]Short Spot'!H245-'[1]Short Spot'!H244)*100</f>
        <v>-0.32826261813889701</v>
      </c>
      <c r="I244" s="19">
        <f>('[1]Short Spot'!I245-'[1]Short Spot'!I244)*100</f>
        <v>6.679884353841814E-2</v>
      </c>
      <c r="J244" s="19">
        <f>('[1]Short Spot'!J245-'[1]Short Spot'!J244)*100</f>
        <v>0.4766365040734577</v>
      </c>
      <c r="K244" s="19">
        <f>('[1]Short Spot'!K245-'[1]Short Spot'!K244)*100</f>
        <v>0.88089197111891337</v>
      </c>
      <c r="L244" s="19">
        <f>('[1]Short Spot'!L245-'[1]Short Spot'!L244)*100</f>
        <v>1.2630556122044112</v>
      </c>
      <c r="M244" s="19">
        <f>('[1]Short Spot'!M245-'[1]Short Spot'!M244)*100</f>
        <v>1.6140233829313289</v>
      </c>
      <c r="N244" s="19">
        <f>('[1]Short Spot'!N245-'[1]Short Spot'!N244)*100</f>
        <v>1.9300583477710909</v>
      </c>
      <c r="O244" s="19">
        <f>('[1]Short Spot'!O245-'[1]Short Spot'!O244)*100</f>
        <v>2.2102659274573888</v>
      </c>
      <c r="P244" s="19">
        <f>('[1]Short Spot'!P245-'[1]Short Spot'!P244)*100</f>
        <v>2.4555239854803013</v>
      </c>
      <c r="Q244" s="19">
        <f>('[1]Short Spot'!Q245-'[1]Short Spot'!Q244)*100</f>
        <v>2.6683998885192572</v>
      </c>
      <c r="R244" s="19">
        <f>('[1]Short Spot'!R245-'[1]Short Spot'!R244)*100</f>
        <v>2.8526698959768559</v>
      </c>
      <c r="S244" s="19">
        <f>('[1]Short Spot'!S245-'[1]Short Spot'!S244)*100</f>
        <v>3.0116640106322201</v>
      </c>
      <c r="T244" s="19">
        <f>('[1]Short Spot'!T245-'[1]Short Spot'!T244)*100</f>
        <v>3.1482169909522462</v>
      </c>
      <c r="U244" s="19">
        <f>('[1]Short Spot'!U245-'[1]Short Spot'!U244)*100</f>
        <v>3.2647921621686393</v>
      </c>
      <c r="V244" s="19">
        <f>('[1]Short Spot'!V245-'[1]Short Spot'!V244)*100</f>
        <v>3.3635698527627156</v>
      </c>
      <c r="W244" s="19">
        <f>('[1]Short Spot'!W245-'[1]Short Spot'!W244)*100</f>
        <v>3.4465277387252691</v>
      </c>
      <c r="X244" s="19">
        <f>('[1]Short Spot'!X245-'[1]Short Spot'!X244)*100</f>
        <v>3.5156759064014054</v>
      </c>
      <c r="Y244" s="19">
        <f>('[1]Short Spot'!Y245-'[1]Short Spot'!Y244)*100</f>
        <v>3.5728879840873695</v>
      </c>
      <c r="Z244" s="19">
        <f>('[1]Short Spot'!Z245-'[1]Short Spot'!Z244)*100</f>
        <v>3.619733007278203</v>
      </c>
      <c r="AA244" s="19">
        <f>('[1]Short Spot'!AA245-'[1]Short Spot'!AA244)*100</f>
        <v>3.6575516896408367</v>
      </c>
      <c r="AB244" s="19">
        <f>('[1]Short Spot'!AB245-'[1]Short Spot'!AB244)*100</f>
        <v>3.6874904307410361</v>
      </c>
      <c r="AC244" s="19">
        <f>('[1]Short Spot'!AC245-'[1]Short Spot'!AC244)*100</f>
        <v>3.7105346692219321</v>
      </c>
      <c r="AD244" s="19">
        <f>('[1]Short Spot'!AD245-'[1]Short Spot'!AD244)*100</f>
        <v>3.7275366346884553</v>
      </c>
      <c r="AE244" s="19">
        <f>('[1]Short Spot'!AE245-'[1]Short Spot'!AE244)*100</f>
        <v>3.7392378585128228</v>
      </c>
      <c r="AF244" s="19">
        <f>('[1]Short Spot'!AF245-'[1]Short Spot'!AF244)*100</f>
        <v>3.7463018183552244</v>
      </c>
      <c r="AG244" s="19">
        <f>('[1]Short Spot'!AG245-'[1]Short Spot'!AG244)*100</f>
        <v>3.7493274444949876</v>
      </c>
      <c r="AH244" s="19">
        <f>('[1]Short Spot'!AH245-'[1]Short Spot'!AH244)*100</f>
        <v>3.7488340855144742</v>
      </c>
      <c r="AI244" s="19">
        <f>('[1]Short Spot'!AI245-'[1]Short Spot'!AI244)*100</f>
        <v>3.7452712148128064</v>
      </c>
      <c r="AJ244" s="19">
        <f>('[1]Short Spot'!AJ245-'[1]Short Spot'!AJ244)*100</f>
        <v>3.7390284127750917</v>
      </c>
      <c r="AK244" s="19">
        <f>('[1]Short Spot'!AK245-'[1]Short Spot'!AK244)*100</f>
        <v>3.7304438990302557</v>
      </c>
      <c r="AL244" s="19">
        <f>('[1]Short Spot'!AL245-'[1]Short Spot'!AL244)*100</f>
        <v>3.7198158309863061</v>
      </c>
      <c r="AM244" s="19">
        <f>('[1]Short Spot'!AM245-'[1]Short Spot'!AM244)*100</f>
        <v>3.7074097908512016</v>
      </c>
      <c r="AN244" s="19">
        <f>('[1]Short Spot'!AN245-'[1]Short Spot'!AN244)*100</f>
        <v>3.6934608060464669</v>
      </c>
      <c r="AO244" s="19">
        <f>('[1]Short Spot'!AO245-'[1]Short Spot'!AO244)*100</f>
        <v>3.6781770720974549</v>
      </c>
      <c r="AP244" s="19">
        <f>('[1]Short Spot'!AP245-'[1]Short Spot'!AP244)*100</f>
        <v>3.6617432248175596</v>
      </c>
      <c r="AQ244" s="19">
        <f>('[1]Short Spot'!AQ245-'[1]Short Spot'!AQ244)*100</f>
        <v>3.6443231450340896</v>
      </c>
      <c r="AR244" s="19">
        <f>('[1]Short Spot'!AR245-'[1]Short Spot'!AR244)*100</f>
        <v>3.6260623826589011</v>
      </c>
      <c r="AS244" s="19">
        <f>('[1]Short Spot'!AS245-'[1]Short Spot'!AS244)*100</f>
        <v>3.6070906054026963</v>
      </c>
      <c r="AT244" s="19">
        <f>('[1]Short Spot'!AT245-'[1]Short Spot'!AT244)*100</f>
        <v>3.5875237979601238</v>
      </c>
      <c r="AU244" s="19">
        <f>('[1]Short Spot'!AU245-'[1]Short Spot'!AU244)*100</f>
        <v>3.567465646800283</v>
      </c>
      <c r="AV244" s="19">
        <f>('[1]Short Spot'!AV245-'[1]Short Spot'!AV244)*100</f>
        <v>3.5470088375722852</v>
      </c>
      <c r="AW244" s="19">
        <f>('[1]Short Spot'!AW245-'[1]Short Spot'!AW244)*100</f>
        <v>3.5262362010238135</v>
      </c>
      <c r="AX244" s="19">
        <f>('[1]Short Spot'!AX245-'[1]Short Spot'!AX244)*100</f>
        <v>3.5052217186039236</v>
      </c>
      <c r="AY244" s="19">
        <f>('[1]Short Spot'!AY245-'[1]Short Spot'!AY244)*100</f>
        <v>3.4840314073918854</v>
      </c>
      <c r="AZ244" s="19">
        <f>('[1]Short Spot'!AZ245-'[1]Short Spot'!AZ244)*100</f>
        <v>3.4627241002934461</v>
      </c>
      <c r="BA244" s="19">
        <f>('[1]Short Spot'!BA245-'[1]Short Spot'!BA244)*100</f>
        <v>3.44135138520274</v>
      </c>
      <c r="BB244" s="19">
        <f>('[1]Short Spot'!BB245-'[1]Short Spot'!BB244)*100</f>
        <v>3.4199548731980833</v>
      </c>
      <c r="BC244" s="19">
        <f>('[1]Short Spot'!BC245-'[1]Short Spot'!BC244)*100</f>
        <v>3.3985660209359558</v>
      </c>
      <c r="BD244" s="19">
        <f>('[1]Short Spot'!BD245-'[1]Short Spot'!BD244)*100</f>
        <v>3.3772107521187422</v>
      </c>
      <c r="BE244" s="19">
        <f>('[1]Short Spot'!BE245-'[1]Short Spot'!BE244)*100</f>
        <v>3.3559181828163531</v>
      </c>
      <c r="BF244" s="19">
        <f>('[1]Short Spot'!BF245-'[1]Short Spot'!BF244)*100</f>
        <v>3.3347164174425181</v>
      </c>
      <c r="BG244" s="19">
        <f>('[1]Short Spot'!BG245-'[1]Short Spot'!BG244)*100</f>
        <v>3.3136293592836097</v>
      </c>
      <c r="BH244" s="19">
        <f>('[1]Short Spot'!BH245-'[1]Short Spot'!BH244)*100</f>
        <v>3.2926779270739281</v>
      </c>
      <c r="BI244" s="19">
        <f>('[1]Short Spot'!BI245-'[1]Short Spot'!BI244)*100</f>
        <v>3.2718803221629678</v>
      </c>
    </row>
    <row r="245" spans="1:61" x14ac:dyDescent="0.2">
      <c r="A245" s="18">
        <v>39433</v>
      </c>
      <c r="B245" s="19">
        <f>('[1]Short Spot'!B246-'[1]Short Spot'!B245)*100</f>
        <v>-0.50220227653250404</v>
      </c>
      <c r="C245" s="19">
        <f>('[1]Short Spot'!C246-'[1]Short Spot'!C245)*100</f>
        <v>-0.31041775934257387</v>
      </c>
      <c r="D245" s="19">
        <f>('[1]Short Spot'!D246-'[1]Short Spot'!D245)*100</f>
        <v>-0.1044680495542849</v>
      </c>
      <c r="E245" s="19">
        <f>('[1]Short Spot'!E246-'[1]Short Spot'!E245)*100</f>
        <v>9.0398680472336679E-2</v>
      </c>
      <c r="F245" s="19">
        <f>('[1]Short Spot'!F246-'[1]Short Spot'!F245)*100</f>
        <v>0.19513848994625604</v>
      </c>
      <c r="G245" s="19">
        <f>('[1]Short Spot'!G246-'[1]Short Spot'!G245)*100</f>
        <v>0.19461225764363377</v>
      </c>
      <c r="H245" s="19">
        <f>('[1]Short Spot'!H246-'[1]Short Spot'!H245)*100</f>
        <v>9.6630491926497086E-2</v>
      </c>
      <c r="I245" s="19">
        <f>('[1]Short Spot'!I246-'[1]Short Spot'!I245)*100</f>
        <v>-8.5958914848127677E-2</v>
      </c>
      <c r="J245" s="19">
        <f>('[1]Short Spot'!J246-'[1]Short Spot'!J245)*100</f>
        <v>-0.33287441919185312</v>
      </c>
      <c r="K245" s="19">
        <f>('[1]Short Spot'!K246-'[1]Short Spot'!K245)*100</f>
        <v>-0.6193243959341288</v>
      </c>
      <c r="L245" s="19">
        <f>('[1]Short Spot'!L246-'[1]Short Spot'!L245)*100</f>
        <v>-0.92384307473745153</v>
      </c>
      <c r="M245" s="19">
        <f>('[1]Short Spot'!M246-'[1]Short Spot'!M245)*100</f>
        <v>-1.2304375425943093</v>
      </c>
      <c r="N245" s="19">
        <f>('[1]Short Spot'!N246-'[1]Short Spot'!N245)*100</f>
        <v>-1.5267588447300362</v>
      </c>
      <c r="O245" s="19">
        <f>('[1]Short Spot'!O246-'[1]Short Spot'!O245)*100</f>
        <v>-1.8048561605181312</v>
      </c>
      <c r="P245" s="19">
        <f>('[1]Short Spot'!P246-'[1]Short Spot'!P245)*100</f>
        <v>-2.0612306871735875</v>
      </c>
      <c r="Q245" s="19">
        <f>('[1]Short Spot'!Q246-'[1]Short Spot'!Q245)*100</f>
        <v>-2.2951574511589357</v>
      </c>
      <c r="R245" s="19">
        <f>('[1]Short Spot'!R246-'[1]Short Spot'!R245)*100</f>
        <v>-2.5068452626606508</v>
      </c>
      <c r="S245" s="19">
        <f>('[1]Short Spot'!S246-'[1]Short Spot'!S245)*100</f>
        <v>-2.6970188094412428</v>
      </c>
      <c r="T245" s="19">
        <f>('[1]Short Spot'!T246-'[1]Short Spot'!T245)*100</f>
        <v>-2.8668028996411188</v>
      </c>
      <c r="U245" s="19">
        <f>('[1]Short Spot'!U246-'[1]Short Spot'!U245)*100</f>
        <v>-3.0176224316817546</v>
      </c>
      <c r="V245" s="19">
        <f>('[1]Short Spot'!V246-'[1]Short Spot'!V245)*100</f>
        <v>-3.1511309442000091</v>
      </c>
      <c r="W245" s="19">
        <f>('[1]Short Spot'!W246-'[1]Short Spot'!W245)*100</f>
        <v>-3.2691476114547591</v>
      </c>
      <c r="X245" s="19">
        <f>('[1]Short Spot'!X246-'[1]Short Spot'!X245)*100</f>
        <v>-3.3734302433451546</v>
      </c>
      <c r="Y245" s="19">
        <f>('[1]Short Spot'!Y246-'[1]Short Spot'!Y245)*100</f>
        <v>-3.4655003930247119</v>
      </c>
      <c r="Z245" s="19">
        <f>('[1]Short Spot'!Z246-'[1]Short Spot'!Z245)*100</f>
        <v>-3.5466910461177115</v>
      </c>
      <c r="AA245" s="19">
        <f>('[1]Short Spot'!AA246-'[1]Short Spot'!AA245)*100</f>
        <v>-3.618170230112483</v>
      </c>
      <c r="AB245" s="19">
        <f>('[1]Short Spot'!AB246-'[1]Short Spot'!AB245)*100</f>
        <v>-3.6809721404335249</v>
      </c>
      <c r="AC245" s="19">
        <f>('[1]Short Spot'!AC246-'[1]Short Spot'!AC245)*100</f>
        <v>-3.7360213426881117</v>
      </c>
      <c r="AD245" s="19">
        <f>('[1]Short Spot'!AD246-'[1]Short Spot'!AD245)*100</f>
        <v>-3.7841516743604586</v>
      </c>
      <c r="AE245" s="19">
        <f>('[1]Short Spot'!AE246-'[1]Short Spot'!AE245)*100</f>
        <v>-3.8261211470311807</v>
      </c>
      <c r="AF245" s="19">
        <f>('[1]Short Spot'!AF246-'[1]Short Spot'!AF245)*100</f>
        <v>-3.8626128289607209</v>
      </c>
      <c r="AG245" s="19">
        <f>('[1]Short Spot'!AG246-'[1]Short Spot'!AG245)*100</f>
        <v>-3.8942262182779963</v>
      </c>
      <c r="AH245" s="19">
        <f>('[1]Short Spot'!AH246-'[1]Short Spot'!AH245)*100</f>
        <v>-3.9214896127737653</v>
      </c>
      <c r="AI245" s="19">
        <f>('[1]Short Spot'!AI246-'[1]Short Spot'!AI245)*100</f>
        <v>-3.9448709019369588</v>
      </c>
      <c r="AJ245" s="19">
        <f>('[1]Short Spot'!AJ246-'[1]Short Spot'!AJ245)*100</f>
        <v>-3.9647861967108788</v>
      </c>
      <c r="AK245" s="19">
        <f>('[1]Short Spot'!AK246-'[1]Short Spot'!AK245)*100</f>
        <v>-3.9816069043477675</v>
      </c>
      <c r="AL245" s="19">
        <f>('[1]Short Spot'!AL246-'[1]Short Spot'!AL245)*100</f>
        <v>-3.9956636652235034</v>
      </c>
      <c r="AM245" s="19">
        <f>('[1]Short Spot'!AM246-'[1]Short Spot'!AM245)*100</f>
        <v>-4.0072501023594498</v>
      </c>
      <c r="AN245" s="19">
        <f>('[1]Short Spot'!AN246-'[1]Short Spot'!AN245)*100</f>
        <v>-4.0166280219118278</v>
      </c>
      <c r="AO245" s="19">
        <f>('[1]Short Spot'!AO246-'[1]Short Spot'!AO245)*100</f>
        <v>-4.0240314099940555</v>
      </c>
      <c r="AP245" s="19">
        <f>('[1]Short Spot'!AP246-'[1]Short Spot'!AP245)*100</f>
        <v>-4.029669825364568</v>
      </c>
      <c r="AQ245" s="19">
        <f>('[1]Short Spot'!AQ246-'[1]Short Spot'!AQ245)*100</f>
        <v>-4.0337313074450876</v>
      </c>
      <c r="AR245" s="19">
        <f>('[1]Short Spot'!AR246-'[1]Short Spot'!AR245)*100</f>
        <v>-4.0363848762572374</v>
      </c>
      <c r="AS245" s="19">
        <f>('[1]Short Spot'!AS246-'[1]Short Spot'!AS245)*100</f>
        <v>-4.0377827499501251</v>
      </c>
      <c r="AT245" s="19">
        <f>('[1]Short Spot'!AT246-'[1]Short Spot'!AT245)*100</f>
        <v>-4.0380626118793117</v>
      </c>
      <c r="AU245" s="19">
        <f>('[1]Short Spot'!AU246-'[1]Short Spot'!AU245)*100</f>
        <v>-4.0373493873943289</v>
      </c>
      <c r="AV245" s="19">
        <f>('[1]Short Spot'!AV246-'[1]Short Spot'!AV245)*100</f>
        <v>-4.0357566053964788</v>
      </c>
      <c r="AW245" s="19">
        <f>('[1]Short Spot'!AW246-'[1]Short Spot'!AW245)*100</f>
        <v>-4.033387585469228</v>
      </c>
      <c r="AX245" s="19">
        <f>('[1]Short Spot'!AX246-'[1]Short Spot'!AX245)*100</f>
        <v>-4.0303364796451469</v>
      </c>
      <c r="AY245" s="19">
        <f>('[1]Short Spot'!AY246-'[1]Short Spot'!AY245)*100</f>
        <v>-4.0266891891612033</v>
      </c>
      <c r="AZ245" s="19">
        <f>('[1]Short Spot'!AZ246-'[1]Short Spot'!AZ245)*100</f>
        <v>-4.0225241740818873</v>
      </c>
      <c r="BA245" s="19">
        <f>('[1]Short Spot'!BA246-'[1]Short Spot'!BA245)*100</f>
        <v>-4.0179133994921123</v>
      </c>
      <c r="BB245" s="19">
        <f>('[1]Short Spot'!BB246-'[1]Short Spot'!BB245)*100</f>
        <v>-4.01292350024125</v>
      </c>
      <c r="BC245" s="19">
        <f>('[1]Short Spot'!BC246-'[1]Short Spot'!BC245)*100</f>
        <v>-4.0076160941928229</v>
      </c>
      <c r="BD245" s="19">
        <f>('[1]Short Spot'!BD246-'[1]Short Spot'!BD245)*100</f>
        <v>-4.0020471917333822</v>
      </c>
      <c r="BE245" s="19">
        <f>('[1]Short Spot'!BE246-'[1]Short Spot'!BE245)*100</f>
        <v>-3.9962667244004102</v>
      </c>
      <c r="BF245" s="19">
        <f>('[1]Short Spot'!BF246-'[1]Short Spot'!BF245)*100</f>
        <v>-3.9903208432614967</v>
      </c>
      <c r="BG245" s="19">
        <f>('[1]Short Spot'!BG246-'[1]Short Spot'!BG245)*100</f>
        <v>-3.9842521762547989</v>
      </c>
      <c r="BH245" s="19">
        <f>('[1]Short Spot'!BH246-'[1]Short Spot'!BH245)*100</f>
        <v>-3.9780996549268366</v>
      </c>
      <c r="BI245" s="19">
        <f>('[1]Short Spot'!BI246-'[1]Short Spot'!BI245)*100</f>
        <v>-3.9718988191192572</v>
      </c>
    </row>
    <row r="246" spans="1:61" x14ac:dyDescent="0.2">
      <c r="A246" s="18">
        <v>39434</v>
      </c>
      <c r="B246" s="19">
        <f>('[1]Short Spot'!B247-'[1]Short Spot'!B246)*100</f>
        <v>-0.76317576487463512</v>
      </c>
      <c r="C246" s="19">
        <f>('[1]Short Spot'!C247-'[1]Short Spot'!C246)*100</f>
        <v>-1.7111254126439768</v>
      </c>
      <c r="D246" s="19">
        <f>('[1]Short Spot'!D247-'[1]Short Spot'!D246)*100</f>
        <v>-1.96561457068265</v>
      </c>
      <c r="E246" s="19">
        <f>('[1]Short Spot'!E247-'[1]Short Spot'!E246)*100</f>
        <v>-2.0174336082930289</v>
      </c>
      <c r="F246" s="19">
        <f>('[1]Short Spot'!F247-'[1]Short Spot'!F246)*100</f>
        <v>-1.9901718972072935</v>
      </c>
      <c r="G246" s="19">
        <f>('[1]Short Spot'!G247-'[1]Short Spot'!G246)*100</f>
        <v>-1.9246846928941075</v>
      </c>
      <c r="H246" s="19">
        <f>('[1]Short Spot'!H247-'[1]Short Spot'!H246)*100</f>
        <v>-1.8366879654354129</v>
      </c>
      <c r="I246" s="19">
        <f>('[1]Short Spot'!I247-'[1]Short Spot'!I246)*100</f>
        <v>-1.7339400901299484</v>
      </c>
      <c r="J246" s="19">
        <f>('[1]Short Spot'!J247-'[1]Short Spot'!J246)*100</f>
        <v>-1.6220167807598607</v>
      </c>
      <c r="K246" s="19">
        <f>('[1]Short Spot'!K247-'[1]Short Spot'!K246)*100</f>
        <v>-1.5055047998029814</v>
      </c>
      <c r="L246" s="19">
        <f>('[1]Short Spot'!L247-'[1]Short Spot'!L246)*100</f>
        <v>-1.3882956414280834</v>
      </c>
      <c r="M246" s="19">
        <f>('[1]Short Spot'!M247-'[1]Short Spot'!M246)*100</f>
        <v>-1.2737189732577647</v>
      </c>
      <c r="N246" s="19">
        <f>('[1]Short Spot'!N247-'[1]Short Spot'!N246)*100</f>
        <v>-1.164704144889317</v>
      </c>
      <c r="O246" s="19">
        <f>('[1]Short Spot'!O247-'[1]Short Spot'!O246)*100</f>
        <v>-1.0634751476981563</v>
      </c>
      <c r="P246" s="19">
        <f>('[1]Short Spot'!P247-'[1]Short Spot'!P246)*100</f>
        <v>-0.97133394285640051</v>
      </c>
      <c r="Q246" s="19">
        <f>('[1]Short Spot'!Q247-'[1]Short Spot'!Q246)*100</f>
        <v>-0.888703161775517</v>
      </c>
      <c r="R246" s="19">
        <f>('[1]Short Spot'!R247-'[1]Short Spot'!R246)*100</f>
        <v>-0.81529559314486022</v>
      </c>
      <c r="S246" s="19">
        <f>('[1]Short Spot'!S247-'[1]Short Spot'!S246)*100</f>
        <v>-0.75066494632212155</v>
      </c>
      <c r="T246" s="19">
        <f>('[1]Short Spot'!T247-'[1]Short Spot'!T246)*100</f>
        <v>-0.69428362002517119</v>
      </c>
      <c r="U246" s="19">
        <f>('[1]Short Spot'!U247-'[1]Short Spot'!U246)*100</f>
        <v>-0.64556302999250192</v>
      </c>
      <c r="V246" s="19">
        <f>('[1]Short Spot'!V247-'[1]Short Spot'!V246)*100</f>
        <v>-0.60386812874035911</v>
      </c>
      <c r="W246" s="19">
        <f>('[1]Short Spot'!W247-'[1]Short Spot'!W246)*100</f>
        <v>-0.56851945821190242</v>
      </c>
      <c r="X246" s="19">
        <f>('[1]Short Spot'!X247-'[1]Short Spot'!X246)*100</f>
        <v>-0.53874285116766174</v>
      </c>
      <c r="Y246" s="19">
        <f>('[1]Short Spot'!Y247-'[1]Short Spot'!Y246)*100</f>
        <v>-0.5137805275161611</v>
      </c>
      <c r="Z246" s="19">
        <f>('[1]Short Spot'!Z247-'[1]Short Spot'!Z246)*100</f>
        <v>-0.49295416355192856</v>
      </c>
      <c r="AA246" s="19">
        <f>('[1]Short Spot'!AA247-'[1]Short Spot'!AA246)*100</f>
        <v>-0.4756692746752833</v>
      </c>
      <c r="AB246" s="19">
        <f>('[1]Short Spot'!AB247-'[1]Short Spot'!AB246)*100</f>
        <v>-0.46141283250547005</v>
      </c>
      <c r="AC246" s="19">
        <f>('[1]Short Spot'!AC247-'[1]Short Spot'!AC246)*100</f>
        <v>-0.44973922877913353</v>
      </c>
      <c r="AD246" s="19">
        <f>('[1]Short Spot'!AD247-'[1]Short Spot'!AD246)*100</f>
        <v>-0.44025865119134977</v>
      </c>
      <c r="AE246" s="19">
        <f>('[1]Short Spot'!AE247-'[1]Short Spot'!AE246)*100</f>
        <v>-0.43262757771556082</v>
      </c>
      <c r="AF246" s="19">
        <f>('[1]Short Spot'!AF247-'[1]Short Spot'!AF246)*100</f>
        <v>-0.42653719225915765</v>
      </c>
      <c r="AG246" s="19">
        <f>('[1]Short Spot'!AG247-'[1]Short Spot'!AG246)*100</f>
        <v>-0.42171517790929869</v>
      </c>
      <c r="AH246" s="19">
        <f>('[1]Short Spot'!AH247-'[1]Short Spot'!AH246)*100</f>
        <v>-0.41793023271923246</v>
      </c>
      <c r="AI246" s="19">
        <f>('[1]Short Spot'!AI247-'[1]Short Spot'!AI246)*100</f>
        <v>-0.41498649634652551</v>
      </c>
      <c r="AJ246" s="19">
        <f>('[1]Short Spot'!AJ247-'[1]Short Spot'!AJ246)*100</f>
        <v>-0.41271848696649016</v>
      </c>
      <c r="AK246" s="19">
        <f>('[1]Short Spot'!AK247-'[1]Short Spot'!AK246)*100</f>
        <v>-0.4109867424288538</v>
      </c>
      <c r="AL246" s="19">
        <f>('[1]Short Spot'!AL247-'[1]Short Spot'!AL246)*100</f>
        <v>-0.40967216932212835</v>
      </c>
      <c r="AM246" s="19">
        <f>('[1]Short Spot'!AM247-'[1]Short Spot'!AM246)*100</f>
        <v>-0.40867210988420055</v>
      </c>
      <c r="AN246" s="19">
        <f>('[1]Short Spot'!AN247-'[1]Short Spot'!AN246)*100</f>
        <v>-0.40789877501854477</v>
      </c>
      <c r="AO246" s="19">
        <f>('[1]Short Spot'!AO247-'[1]Short Spot'!AO246)*100</f>
        <v>-0.40727740202992635</v>
      </c>
      <c r="AP246" s="19">
        <f>('[1]Short Spot'!AP247-'[1]Short Spot'!AP246)*100</f>
        <v>-0.40674466604002646</v>
      </c>
      <c r="AQ246" s="19">
        <f>('[1]Short Spot'!AQ247-'[1]Short Spot'!AQ246)*100</f>
        <v>-0.40624731834162375</v>
      </c>
      <c r="AR246" s="19">
        <f>('[1]Short Spot'!AR247-'[1]Short Spot'!AR246)*100</f>
        <v>-0.40574100606685093</v>
      </c>
      <c r="AS246" s="19">
        <f>('[1]Short Spot'!AS247-'[1]Short Spot'!AS246)*100</f>
        <v>-0.40518900011816683</v>
      </c>
      <c r="AT246" s="19">
        <f>('[1]Short Spot'!AT247-'[1]Short Spot'!AT246)*100</f>
        <v>-0.40456091758507284</v>
      </c>
      <c r="AU246" s="19">
        <f>('[1]Short Spot'!AU247-'[1]Short Spot'!AU246)*100</f>
        <v>-0.40383198186146885</v>
      </c>
      <c r="AV246" s="19">
        <f>('[1]Short Spot'!AV247-'[1]Short Spot'!AV246)*100</f>
        <v>-0.40298242754746028</v>
      </c>
      <c r="AW246" s="19">
        <f>('[1]Short Spot'!AW247-'[1]Short Spot'!AW246)*100</f>
        <v>-0.40199697844789384</v>
      </c>
      <c r="AX246" s="19">
        <f>('[1]Short Spot'!AX247-'[1]Short Spot'!AX246)*100</f>
        <v>-0.4008643894910513</v>
      </c>
      <c r="AY246" s="19">
        <f>('[1]Short Spot'!AY247-'[1]Short Spot'!AY246)*100</f>
        <v>-0.3995770436154622</v>
      </c>
      <c r="AZ246" s="19">
        <f>('[1]Short Spot'!AZ247-'[1]Short Spot'!AZ246)*100</f>
        <v>-0.39813059733555534</v>
      </c>
      <c r="BA246" s="19">
        <f>('[1]Short Spot'!BA247-'[1]Short Spot'!BA246)*100</f>
        <v>-0.39652393699141086</v>
      </c>
      <c r="BB246" s="19">
        <f>('[1]Short Spot'!BB247-'[1]Short Spot'!BB246)*100</f>
        <v>-0.39475950614562549</v>
      </c>
      <c r="BC246" s="19">
        <f>('[1]Short Spot'!BC247-'[1]Short Spot'!BC246)*100</f>
        <v>-0.39284282443503571</v>
      </c>
      <c r="BD246" s="19">
        <f>('[1]Short Spot'!BD247-'[1]Short Spot'!BD246)*100</f>
        <v>-0.39078136044548017</v>
      </c>
      <c r="BE246" s="19">
        <f>('[1]Short Spot'!BE247-'[1]Short Spot'!BE246)*100</f>
        <v>-0.38858424069774244</v>
      </c>
      <c r="BF246" s="19">
        <f>('[1]Short Spot'!BF247-'[1]Short Spot'!BF246)*100</f>
        <v>-0.38626315726464355</v>
      </c>
      <c r="BG246" s="19">
        <f>('[1]Short Spot'!BG247-'[1]Short Spot'!BG246)*100</f>
        <v>-0.38383048498547012</v>
      </c>
      <c r="BH246" s="19">
        <f>('[1]Short Spot'!BH247-'[1]Short Spot'!BH246)*100</f>
        <v>-0.38129855440303118</v>
      </c>
      <c r="BI246" s="19">
        <f>('[1]Short Spot'!BI247-'[1]Short Spot'!BI246)*100</f>
        <v>-0.37867965322613273</v>
      </c>
    </row>
    <row r="247" spans="1:61" x14ac:dyDescent="0.2">
      <c r="A247" s="18">
        <v>39435</v>
      </c>
      <c r="B247" s="19">
        <f>('[1]Short Spot'!B248-'[1]Short Spot'!B247)*100</f>
        <v>-1.9709264655742409</v>
      </c>
      <c r="C247" s="19">
        <f>('[1]Short Spot'!C248-'[1]Short Spot'!C247)*100</f>
        <v>-2.9016578708714214</v>
      </c>
      <c r="D247" s="19">
        <f>('[1]Short Spot'!D248-'[1]Short Spot'!D247)*100</f>
        <v>-3.9220121910773287</v>
      </c>
      <c r="E247" s="19">
        <f>('[1]Short Spot'!E248-'[1]Short Spot'!E247)*100</f>
        <v>-4.8203869454563453</v>
      </c>
      <c r="F247" s="19">
        <f>('[1]Short Spot'!F248-'[1]Short Spot'!F247)*100</f>
        <v>-5.5439060801675488</v>
      </c>
      <c r="G247" s="19">
        <f>('[1]Short Spot'!G248-'[1]Short Spot'!G247)*100</f>
        <v>-6.1007854850521959</v>
      </c>
      <c r="H247" s="19">
        <f>('[1]Short Spot'!H248-'[1]Short Spot'!H247)*100</f>
        <v>-6.5187683303169486</v>
      </c>
      <c r="I247" s="19">
        <f>('[1]Short Spot'!I248-'[1]Short Spot'!I247)*100</f>
        <v>-6.8273409656382178</v>
      </c>
      <c r="J247" s="19">
        <f>('[1]Short Spot'!J248-'[1]Short Spot'!J247)*100</f>
        <v>-7.0516237794698178</v>
      </c>
      <c r="K247" s="19">
        <f>('[1]Short Spot'!K248-'[1]Short Spot'!K247)*100</f>
        <v>-7.2138671078052496</v>
      </c>
      <c r="L247" s="19">
        <f>('[1]Short Spot'!L248-'[1]Short Spot'!L247)*100</f>
        <v>-7.3319794842193531</v>
      </c>
      <c r="M247" s="19">
        <f>('[1]Short Spot'!M248-'[1]Short Spot'!M247)*100</f>
        <v>-7.418553046716081</v>
      </c>
      <c r="N247" s="19">
        <f>('[1]Short Spot'!N248-'[1]Short Spot'!N247)*100</f>
        <v>-7.4826273772062635</v>
      </c>
      <c r="O247" s="19">
        <f>('[1]Short Spot'!O248-'[1]Short Spot'!O247)*100</f>
        <v>-7.5307554412731292</v>
      </c>
      <c r="P247" s="19">
        <f>('[1]Short Spot'!P248-'[1]Short Spot'!P247)*100</f>
        <v>-7.5676255007538273</v>
      </c>
      <c r="Q247" s="19">
        <f>('[1]Short Spot'!Q248-'[1]Short Spot'!Q247)*100</f>
        <v>-7.5964005067118201</v>
      </c>
      <c r="R247" s="19">
        <f>('[1]Short Spot'!R248-'[1]Short Spot'!R247)*100</f>
        <v>-7.6190572302906823</v>
      </c>
      <c r="S247" s="19">
        <f>('[1]Short Spot'!S248-'[1]Short Spot'!S247)*100</f>
        <v>-7.6370399849749582</v>
      </c>
      <c r="T247" s="19">
        <f>('[1]Short Spot'!T248-'[1]Short Spot'!T247)*100</f>
        <v>-7.6514310919632678</v>
      </c>
      <c r="U247" s="19">
        <f>('[1]Short Spot'!U248-'[1]Short Spot'!U247)*100</f>
        <v>-7.6630413782417861</v>
      </c>
      <c r="V247" s="19">
        <f>('[1]Short Spot'!V248-'[1]Short Spot'!V247)*100</f>
        <v>-7.6724748180613922</v>
      </c>
      <c r="W247" s="19">
        <f>('[1]Short Spot'!W248-'[1]Short Spot'!W247)*100</f>
        <v>-7.6801652206795801</v>
      </c>
      <c r="X247" s="19">
        <f>('[1]Short Spot'!X248-'[1]Short Spot'!X247)*100</f>
        <v>-7.686335782856446</v>
      </c>
      <c r="Y247" s="19">
        <f>('[1]Short Spot'!Y248-'[1]Short Spot'!Y247)*100</f>
        <v>-7.6911048673705018</v>
      </c>
      <c r="Z247" s="19">
        <f>('[1]Short Spot'!Z248-'[1]Short Spot'!Z247)*100</f>
        <v>-7.6945589244237667</v>
      </c>
      <c r="AA247" s="19">
        <f>('[1]Short Spot'!AA248-'[1]Short Spot'!AA247)*100</f>
        <v>-7.6967660811057215</v>
      </c>
      <c r="AB247" s="19">
        <f>('[1]Short Spot'!AB248-'[1]Short Spot'!AB247)*100</f>
        <v>-7.6977870882835475</v>
      </c>
      <c r="AC247" s="19">
        <f>('[1]Short Spot'!AC248-'[1]Short Spot'!AC247)*100</f>
        <v>-7.6976769602344675</v>
      </c>
      <c r="AD247" s="19">
        <f>('[1]Short Spot'!AD248-'[1]Short Spot'!AD247)*100</f>
        <v>-7.6964859637120853</v>
      </c>
      <c r="AE247" s="19">
        <f>('[1]Short Spot'!AE248-'[1]Short Spot'!AE247)*100</f>
        <v>-7.6942601413019673</v>
      </c>
      <c r="AF247" s="19">
        <f>('[1]Short Spot'!AF248-'[1]Short Spot'!AF247)*100</f>
        <v>-7.6910362357272</v>
      </c>
      <c r="AG247" s="19">
        <f>('[1]Short Spot'!AG248-'[1]Short Spot'!AG247)*100</f>
        <v>-7.6868456792959172</v>
      </c>
      <c r="AH247" s="19">
        <f>('[1]Short Spot'!AH248-'[1]Short Spot'!AH247)*100</f>
        <v>-7.6817230712068252</v>
      </c>
      <c r="AI247" s="19">
        <f>('[1]Short Spot'!AI248-'[1]Short Spot'!AI247)*100</f>
        <v>-7.675706057777365</v>
      </c>
      <c r="AJ247" s="19">
        <f>('[1]Short Spot'!AJ248-'[1]Short Spot'!AJ247)*100</f>
        <v>-7.6688348971423181</v>
      </c>
      <c r="AK247" s="19">
        <f>('[1]Short Spot'!AK248-'[1]Short Spot'!AK247)*100</f>
        <v>-7.6611519364788272</v>
      </c>
      <c r="AL247" s="19">
        <f>('[1]Short Spot'!AL248-'[1]Short Spot'!AL247)*100</f>
        <v>-7.6526993257225229</v>
      </c>
      <c r="AM247" s="19">
        <f>('[1]Short Spot'!AM248-'[1]Short Spot'!AM247)*100</f>
        <v>-7.6435184199294071</v>
      </c>
      <c r="AN247" s="19">
        <f>('[1]Short Spot'!AN248-'[1]Short Spot'!AN247)*100</f>
        <v>-7.6336505397066823</v>
      </c>
      <c r="AO247" s="19">
        <f>('[1]Short Spot'!AO248-'[1]Short Spot'!AO247)*100</f>
        <v>-7.6231369886753164</v>
      </c>
      <c r="AP247" s="19">
        <f>('[1]Short Spot'!AP248-'[1]Short Spot'!AP247)*100</f>
        <v>-7.6120190555405642</v>
      </c>
      <c r="AQ247" s="19">
        <f>('[1]Short Spot'!AQ248-'[1]Short Spot'!AQ247)*100</f>
        <v>-7.6003380158683242</v>
      </c>
      <c r="AR247" s="19">
        <f>('[1]Short Spot'!AR248-'[1]Short Spot'!AR247)*100</f>
        <v>-7.5881351145501874</v>
      </c>
      <c r="AS247" s="19">
        <f>('[1]Short Spot'!AS248-'[1]Short Spot'!AS247)*100</f>
        <v>-7.5754509527030223</v>
      </c>
      <c r="AT247" s="19">
        <f>('[1]Short Spot'!AT248-'[1]Short Spot'!AT247)*100</f>
        <v>-7.5623243826657749</v>
      </c>
      <c r="AU247" s="19">
        <f>('[1]Short Spot'!AU248-'[1]Short Spot'!AU247)*100</f>
        <v>-7.5487924747372759</v>
      </c>
      <c r="AV247" s="19">
        <f>('[1]Short Spot'!AV248-'[1]Short Spot'!AV247)*100</f>
        <v>-7.5348907069294313</v>
      </c>
      <c r="AW247" s="19">
        <f>('[1]Short Spot'!AW248-'[1]Short Spot'!AW247)*100</f>
        <v>-7.5206531308308122</v>
      </c>
      <c r="AX247" s="19">
        <f>('[1]Short Spot'!AX248-'[1]Short Spot'!AX247)*100</f>
        <v>-7.506112517159913</v>
      </c>
      <c r="AY247" s="19">
        <f>('[1]Short Spot'!AY248-'[1]Short Spot'!AY247)*100</f>
        <v>-7.4913004838523811</v>
      </c>
      <c r="AZ247" s="19">
        <f>('[1]Short Spot'!AZ248-'[1]Short Spot'!AZ247)*100</f>
        <v>-7.4762476107922637</v>
      </c>
      <c r="BA247" s="19">
        <f>('[1]Short Spot'!BA248-'[1]Short Spot'!BA247)*100</f>
        <v>-7.4609836973850818</v>
      </c>
      <c r="BB247" s="19">
        <f>('[1]Short Spot'!BB248-'[1]Short Spot'!BB247)*100</f>
        <v>-7.4455377083173957</v>
      </c>
      <c r="BC247" s="19">
        <f>('[1]Short Spot'!BC248-'[1]Short Spot'!BC247)*100</f>
        <v>-7.429937250824814</v>
      </c>
      <c r="BD247" s="19">
        <f>('[1]Short Spot'!BD248-'[1]Short Spot'!BD247)*100</f>
        <v>-7.4142076231874299</v>
      </c>
      <c r="BE247" s="19">
        <f>('[1]Short Spot'!BE248-'[1]Short Spot'!BE247)*100</f>
        <v>-7.3983715299100972</v>
      </c>
      <c r="BF247" s="19">
        <f>('[1]Short Spot'!BF248-'[1]Short Spot'!BF247)*100</f>
        <v>-7.3824508851056514</v>
      </c>
      <c r="BG247" s="19">
        <f>('[1]Short Spot'!BG248-'[1]Short Spot'!BG247)*100</f>
        <v>-7.3664662178959617</v>
      </c>
      <c r="BH247" s="19">
        <f>('[1]Short Spot'!BH248-'[1]Short Spot'!BH247)*100</f>
        <v>-7.3504363245518789</v>
      </c>
      <c r="BI247" s="19">
        <f>('[1]Short Spot'!BI248-'[1]Short Spot'!BI247)*100</f>
        <v>-7.3343784117051669</v>
      </c>
    </row>
    <row r="248" spans="1:61" x14ac:dyDescent="0.2">
      <c r="A248" s="18">
        <v>39436</v>
      </c>
      <c r="B248" s="19">
        <f>('[1]Short Spot'!B249-'[1]Short Spot'!B248)*100</f>
        <v>-1.0322576967332076</v>
      </c>
      <c r="C248" s="19">
        <f>('[1]Short Spot'!C249-'[1]Short Spot'!C248)*100</f>
        <v>-0.48500906689827872</v>
      </c>
      <c r="D248" s="19">
        <f>('[1]Short Spot'!D249-'[1]Short Spot'!D248)*100</f>
        <v>-7.9423193207972531E-3</v>
      </c>
      <c r="E248" s="19">
        <f>('[1]Short Spot'!E249-'[1]Short Spot'!E248)*100</f>
        <v>0.3590035330549135</v>
      </c>
      <c r="F248" s="19">
        <f>('[1]Short Spot'!F249-'[1]Short Spot'!F248)*100</f>
        <v>0.48042537514270123</v>
      </c>
      <c r="G248" s="19">
        <f>('[1]Short Spot'!G249-'[1]Short Spot'!G248)*100</f>
        <v>0.34781490111379654</v>
      </c>
      <c r="H248" s="19">
        <f>('[1]Short Spot'!H249-'[1]Short Spot'!H248)*100</f>
        <v>-3.9144201959828706E-4</v>
      </c>
      <c r="I248" s="19">
        <f>('[1]Short Spot'!I249-'[1]Short Spot'!I248)*100</f>
        <v>-0.51370184619559112</v>
      </c>
      <c r="J248" s="19">
        <f>('[1]Short Spot'!J249-'[1]Short Spot'!J248)*100</f>
        <v>-1.1413790524236411</v>
      </c>
      <c r="K248" s="19">
        <f>('[1]Short Spot'!K249-'[1]Short Spot'!K248)*100</f>
        <v>-1.8328568652875354</v>
      </c>
      <c r="L248" s="19">
        <f>('[1]Short Spot'!L249-'[1]Short Spot'!L248)*100</f>
        <v>-2.5430872588847464</v>
      </c>
      <c r="M248" s="19">
        <f>('[1]Short Spot'!M249-'[1]Short Spot'!M248)*100</f>
        <v>-3.2416662533218066</v>
      </c>
      <c r="N248" s="19">
        <f>('[1]Short Spot'!N249-'[1]Short Spot'!N248)*100</f>
        <v>-3.9090339200493318</v>
      </c>
      <c r="O248" s="19">
        <f>('[1]Short Spot'!O249-'[1]Short Spot'!O248)*100</f>
        <v>-4.5331260943556551</v>
      </c>
      <c r="P248" s="19">
        <f>('[1]Short Spot'!P249-'[1]Short Spot'!P248)*100</f>
        <v>-5.1088116277888673</v>
      </c>
      <c r="Q248" s="19">
        <f>('[1]Short Spot'!Q249-'[1]Short Spot'!Q248)*100</f>
        <v>-5.6355041164411368</v>
      </c>
      <c r="R248" s="19">
        <f>('[1]Short Spot'!R249-'[1]Short Spot'!R248)*100</f>
        <v>-6.1142833057608037</v>
      </c>
      <c r="S248" s="19">
        <f>('[1]Short Spot'!S249-'[1]Short Spot'!S248)*100</f>
        <v>-6.5471283947546866</v>
      </c>
      <c r="T248" s="19">
        <f>('[1]Short Spot'!T249-'[1]Short Spot'!T248)*100</f>
        <v>-6.9366921662712855</v>
      </c>
      <c r="U248" s="19">
        <f>('[1]Short Spot'!U249-'[1]Short Spot'!U248)*100</f>
        <v>-7.2861325910391628</v>
      </c>
      <c r="V248" s="19">
        <f>('[1]Short Spot'!V249-'[1]Short Spot'!V248)*100</f>
        <v>-7.5989925448392448</v>
      </c>
      <c r="W248" s="19">
        <f>('[1]Short Spot'!W249-'[1]Short Spot'!W248)*100</f>
        <v>-7.8790882079643687</v>
      </c>
      <c r="X248" s="19">
        <f>('[1]Short Spot'!X249-'[1]Short Spot'!X248)*100</f>
        <v>-8.130099494439591</v>
      </c>
      <c r="Y248" s="19">
        <f>('[1]Short Spot'!Y249-'[1]Short Spot'!Y248)*100</f>
        <v>-8.355231845907074</v>
      </c>
      <c r="Z248" s="19">
        <f>('[1]Short Spot'!Z249-'[1]Short Spot'!Z248)*100</f>
        <v>-8.5572802039572515</v>
      </c>
      <c r="AA248" s="19">
        <f>('[1]Short Spot'!AA249-'[1]Short Spot'!AA248)*100</f>
        <v>-8.7386918519474222</v>
      </c>
      <c r="AB248" s="19">
        <f>('[1]Short Spot'!AB249-'[1]Short Spot'!AB248)*100</f>
        <v>-8.9016301195269598</v>
      </c>
      <c r="AC248" s="19">
        <f>('[1]Short Spot'!AC249-'[1]Short Spot'!AC248)*100</f>
        <v>-9.0480252434768538</v>
      </c>
      <c r="AD248" s="19">
        <f>('[1]Short Spot'!AD249-'[1]Short Spot'!AD248)*100</f>
        <v>-9.179614556136162</v>
      </c>
      <c r="AE248" s="19">
        <f>('[1]Short Spot'!AE249-'[1]Short Spot'!AE248)*100</f>
        <v>-9.297974080478788</v>
      </c>
      <c r="AF248" s="19">
        <f>('[1]Short Spot'!AF249-'[1]Short Spot'!AF248)*100</f>
        <v>-9.4045237201982879</v>
      </c>
      <c r="AG248" s="19">
        <f>('[1]Short Spot'!AG249-'[1]Short Spot'!AG248)*100</f>
        <v>-9.5005133078950088</v>
      </c>
      <c r="AH248" s="19">
        <f>('[1]Short Spot'!AH249-'[1]Short Spot'!AH248)*100</f>
        <v>-9.587043120188099</v>
      </c>
      <c r="AI248" s="19">
        <f>('[1]Short Spot'!AI249-'[1]Short Spot'!AI248)*100</f>
        <v>-9.6650860136984207</v>
      </c>
      <c r="AJ248" s="19">
        <f>('[1]Short Spot'!AJ249-'[1]Short Spot'!AJ248)*100</f>
        <v>-9.7355056279059937</v>
      </c>
      <c r="AK248" s="19">
        <f>('[1]Short Spot'!AK249-'[1]Short Spot'!AK248)*100</f>
        <v>-9.7990713166958621</v>
      </c>
      <c r="AL248" s="19">
        <f>('[1]Short Spot'!AL249-'[1]Short Spot'!AL248)*100</f>
        <v>-9.8564675387986966</v>
      </c>
      <c r="AM248" s="19">
        <f>('[1]Short Spot'!AM249-'[1]Short Spot'!AM248)*100</f>
        <v>-9.9083023109978186</v>
      </c>
      <c r="AN248" s="19">
        <f>('[1]Short Spot'!AN249-'[1]Short Spot'!AN248)*100</f>
        <v>-9.9551172449773517</v>
      </c>
      <c r="AO248" s="19">
        <f>('[1]Short Spot'!AO249-'[1]Short Spot'!AO248)*100</f>
        <v>-9.9973958569465893</v>
      </c>
      <c r="AP248" s="19">
        <f>('[1]Short Spot'!AP249-'[1]Short Spot'!AP248)*100</f>
        <v>-10.035570652455306</v>
      </c>
      <c r="AQ248" s="19">
        <f>('[1]Short Spot'!AQ249-'[1]Short Spot'!AQ248)*100</f>
        <v>-10.070029199090236</v>
      </c>
      <c r="AR248" s="19">
        <f>('[1]Short Spot'!AR249-'[1]Short Spot'!AR248)*100</f>
        <v>-10.101119339281439</v>
      </c>
      <c r="AS248" s="19">
        <f>('[1]Short Spot'!AS249-'[1]Short Spot'!AS248)*100</f>
        <v>-10.129153511549038</v>
      </c>
      <c r="AT248" s="19">
        <f>('[1]Short Spot'!AT249-'[1]Short Spot'!AT248)*100</f>
        <v>-10.154412598628859</v>
      </c>
      <c r="AU248" s="19">
        <f>('[1]Short Spot'!AU249-'[1]Short Spot'!AU248)*100</f>
        <v>-10.177149426458243</v>
      </c>
      <c r="AV248" s="19">
        <f>('[1]Short Spot'!AV249-'[1]Short Spot'!AV248)*100</f>
        <v>-10.197591750970147</v>
      </c>
      <c r="AW248" s="19">
        <f>('[1]Short Spot'!AW249-'[1]Short Spot'!AW248)*100</f>
        <v>-10.215944869552018</v>
      </c>
      <c r="AX248" s="19">
        <f>('[1]Short Spot'!AX249-'[1]Short Spot'!AX248)*100</f>
        <v>-10.232393912733428</v>
      </c>
      <c r="AY248" s="19">
        <f>('[1]Short Spot'!AY249-'[1]Short Spot'!AY248)*100</f>
        <v>-10.247105860872807</v>
      </c>
      <c r="AZ248" s="19">
        <f>('[1]Short Spot'!AZ249-'[1]Short Spot'!AZ248)*100</f>
        <v>-10.260231326847968</v>
      </c>
      <c r="BA248" s="19">
        <f>('[1]Short Spot'!BA249-'[1]Short Spot'!BA248)*100</f>
        <v>-10.271906592376734</v>
      </c>
      <c r="BB248" s="19">
        <f>('[1]Short Spot'!BB249-'[1]Short Spot'!BB248)*100</f>
        <v>-10.282256266139722</v>
      </c>
      <c r="BC248" s="19">
        <f>('[1]Short Spot'!BC249-'[1]Short Spot'!BC248)*100</f>
        <v>-10.291394522386366</v>
      </c>
      <c r="BD248" s="19">
        <f>('[1]Short Spot'!BD249-'[1]Short Spot'!BD248)*100</f>
        <v>-10.299424374131316</v>
      </c>
      <c r="BE248" s="19">
        <f>('[1]Short Spot'!BE249-'[1]Short Spot'!BE248)*100</f>
        <v>-10.306436872659397</v>
      </c>
      <c r="BF248" s="19">
        <f>('[1]Short Spot'!BF249-'[1]Short Spot'!BF248)*100</f>
        <v>-10.312514607389556</v>
      </c>
      <c r="BG248" s="19">
        <f>('[1]Short Spot'!BG249-'[1]Short Spot'!BG248)*100</f>
        <v>-10.317733324482514</v>
      </c>
      <c r="BH248" s="19">
        <f>('[1]Short Spot'!BH249-'[1]Short Spot'!BH248)*100</f>
        <v>-10.322162272827207</v>
      </c>
      <c r="BI248" s="19">
        <f>('[1]Short Spot'!BI249-'[1]Short Spot'!BI248)*100</f>
        <v>-10.325864744896851</v>
      </c>
    </row>
    <row r="249" spans="1:61" x14ac:dyDescent="0.2">
      <c r="A249" s="18">
        <v>39437</v>
      </c>
      <c r="B249" s="19">
        <f>('[1]Short Spot'!B250-'[1]Short Spot'!B249)*100</f>
        <v>-0.3749647721532412</v>
      </c>
      <c r="C249" s="19">
        <f>('[1]Short Spot'!C250-'[1]Short Spot'!C249)*100</f>
        <v>-0.16298305158333193</v>
      </c>
      <c r="D249" s="19">
        <f>('[1]Short Spot'!D250-'[1]Short Spot'!D249)*100</f>
        <v>-0.34294636201481765</v>
      </c>
      <c r="E249" s="19">
        <f>('[1]Short Spot'!E250-'[1]Short Spot'!E249)*100</f>
        <v>-0.62708195759526575</v>
      </c>
      <c r="F249" s="19">
        <f>('[1]Short Spot'!F250-'[1]Short Spot'!F249)*100</f>
        <v>-0.80230243308943017</v>
      </c>
      <c r="G249" s="19">
        <f>('[1]Short Spot'!G250-'[1]Short Spot'!G249)*100</f>
        <v>-0.82784216672715516</v>
      </c>
      <c r="H249" s="19">
        <f>('[1]Short Spot'!H250-'[1]Short Spot'!H249)*100</f>
        <v>-0.71184940196760138</v>
      </c>
      <c r="I249" s="19">
        <f>('[1]Short Spot'!I250-'[1]Short Spot'!I249)*100</f>
        <v>-0.47476139231612535</v>
      </c>
      <c r="J249" s="19">
        <f>('[1]Short Spot'!J250-'[1]Short Spot'!J249)*100</f>
        <v>-0.14523913401580657</v>
      </c>
      <c r="K249" s="19">
        <f>('[1]Short Spot'!K250-'[1]Short Spot'!K249)*100</f>
        <v>0.24271117770684469</v>
      </c>
      <c r="L249" s="19">
        <f>('[1]Short Spot'!L250-'[1]Short Spot'!L249)*100</f>
        <v>0.65716008340883647</v>
      </c>
      <c r="M249" s="19">
        <f>('[1]Short Spot'!M250-'[1]Short Spot'!M249)*100</f>
        <v>1.0758675279932461</v>
      </c>
      <c r="N249" s="19">
        <f>('[1]Short Spot'!N250-'[1]Short Spot'!N249)*100</f>
        <v>1.4838169220833031</v>
      </c>
      <c r="O249" s="19">
        <f>('[1]Short Spot'!O250-'[1]Short Spot'!O249)*100</f>
        <v>1.8707601538630492</v>
      </c>
      <c r="P249" s="19">
        <f>('[1]Short Spot'!P250-'[1]Short Spot'!P249)*100</f>
        <v>2.2305226978375892</v>
      </c>
      <c r="Q249" s="19">
        <f>('[1]Short Spot'!Q250-'[1]Short Spot'!Q249)*100</f>
        <v>2.560707854871147</v>
      </c>
      <c r="R249" s="19">
        <f>('[1]Short Spot'!R250-'[1]Short Spot'!R249)*100</f>
        <v>2.8614089545476062</v>
      </c>
      <c r="S249" s="19">
        <f>('[1]Short Spot'!S250-'[1]Short Spot'!S249)*100</f>
        <v>3.1333963777649743</v>
      </c>
      <c r="T249" s="19">
        <f>('[1]Short Spot'!T250-'[1]Short Spot'!T249)*100</f>
        <v>3.3778733915602821</v>
      </c>
      <c r="U249" s="19">
        <f>('[1]Short Spot'!U250-'[1]Short Spot'!U249)*100</f>
        <v>3.5963679275750948</v>
      </c>
      <c r="V249" s="19">
        <f>('[1]Short Spot'!V250-'[1]Short Spot'!V249)*100</f>
        <v>3.7906552809578997</v>
      </c>
      <c r="W249" s="19">
        <f>('[1]Short Spot'!W250-'[1]Short Spot'!W249)*100</f>
        <v>3.9627463532857732</v>
      </c>
      <c r="X249" s="19">
        <f>('[1]Short Spot'!X250-'[1]Short Spot'!X249)*100</f>
        <v>4.1149842914562029</v>
      </c>
      <c r="Y249" s="19">
        <f>('[1]Short Spot'!Y250-'[1]Short Spot'!Y249)*100</f>
        <v>4.2495674925237203</v>
      </c>
      <c r="Z249" s="19">
        <f>('[1]Short Spot'!Z250-'[1]Short Spot'!Z249)*100</f>
        <v>4.3684240957858833</v>
      </c>
      <c r="AA249" s="19">
        <f>('[1]Short Spot'!AA250-'[1]Short Spot'!AA249)*100</f>
        <v>4.4732560488267126</v>
      </c>
      <c r="AB249" s="19">
        <f>('[1]Short Spot'!AB250-'[1]Short Spot'!AB249)*100</f>
        <v>4.5655657765121482</v>
      </c>
      <c r="AC249" s="19">
        <f>('[1]Short Spot'!AC250-'[1]Short Spot'!AC249)*100</f>
        <v>4.6466913044615588</v>
      </c>
      <c r="AD249" s="19">
        <f>('[1]Short Spot'!AD250-'[1]Short Spot'!AD249)*100</f>
        <v>4.7178346037465069</v>
      </c>
      <c r="AE249" s="19">
        <f>('[1]Short Spot'!AE250-'[1]Short Spot'!AE249)*100</f>
        <v>4.7800856483720899</v>
      </c>
      <c r="AF249" s="19">
        <f>('[1]Short Spot'!AF250-'[1]Short Spot'!AF249)*100</f>
        <v>4.8344536404788307</v>
      </c>
      <c r="AG249" s="19">
        <f>('[1]Short Spot'!AG250-'[1]Short Spot'!AG249)*100</f>
        <v>4.8818481019066162</v>
      </c>
      <c r="AH249" s="19">
        <f>('[1]Short Spot'!AH250-'[1]Short Spot'!AH249)*100</f>
        <v>4.9230672631354722</v>
      </c>
      <c r="AI249" s="19">
        <f>('[1]Short Spot'!AI250-'[1]Short Spot'!AI249)*100</f>
        <v>4.9588137793205256</v>
      </c>
      <c r="AJ249" s="19">
        <f>('[1]Short Spot'!AJ250-'[1]Short Spot'!AJ249)*100</f>
        <v>4.9897083839101519</v>
      </c>
      <c r="AK249" s="19">
        <f>('[1]Short Spot'!AK250-'[1]Short Spot'!AK249)*100</f>
        <v>5.0163019063045766</v>
      </c>
      <c r="AL249" s="19">
        <f>('[1]Short Spot'!AL250-'[1]Short Spot'!AL249)*100</f>
        <v>5.0390883898085548</v>
      </c>
      <c r="AM249" s="19">
        <f>('[1]Short Spot'!AM250-'[1]Short Spot'!AM249)*100</f>
        <v>5.0585083079334403</v>
      </c>
      <c r="AN249" s="19">
        <f>('[1]Short Spot'!AN250-'[1]Short Spot'!AN249)*100</f>
        <v>5.0749527550904006</v>
      </c>
      <c r="AO249" s="19">
        <f>('[1]Short Spot'!AO250-'[1]Short Spot'!AO249)*100</f>
        <v>5.0887696027649199</v>
      </c>
      <c r="AP249" s="19">
        <f>('[1]Short Spot'!AP250-'[1]Short Spot'!AP249)*100</f>
        <v>5.1002687706039218</v>
      </c>
      <c r="AQ249" s="19">
        <f>('[1]Short Spot'!AQ250-'[1]Short Spot'!AQ249)*100</f>
        <v>5.1097267444928818</v>
      </c>
      <c r="AR249" s="19">
        <f>('[1]Short Spot'!AR250-'[1]Short Spot'!AR249)*100</f>
        <v>5.1173905073659043</v>
      </c>
      <c r="AS249" s="19">
        <f>('[1]Short Spot'!AS250-'[1]Short Spot'!AS249)*100</f>
        <v>5.1234812583176748</v>
      </c>
      <c r="AT249" s="19">
        <f>('[1]Short Spot'!AT250-'[1]Short Spot'!AT249)*100</f>
        <v>5.128196985586353</v>
      </c>
      <c r="AU249" s="19">
        <f>('[1]Short Spot'!AU250-'[1]Short Spot'!AU249)*100</f>
        <v>5.1317146986047391</v>
      </c>
      <c r="AV249" s="19">
        <f>('[1]Short Spot'!AV250-'[1]Short Spot'!AV249)*100</f>
        <v>5.134192655899561</v>
      </c>
      <c r="AW249" s="19">
        <f>('[1]Short Spot'!AW250-'[1]Short Spot'!AW249)*100</f>
        <v>5.1357723183106607</v>
      </c>
      <c r="AX249" s="19">
        <f>('[1]Short Spot'!AX250-'[1]Short Spot'!AX249)*100</f>
        <v>5.1365800630400749</v>
      </c>
      <c r="AY249" s="19">
        <f>('[1]Short Spot'!AY250-'[1]Short Spot'!AY249)*100</f>
        <v>5.1367286920171118</v>
      </c>
      <c r="AZ249" s="19">
        <f>('[1]Short Spot'!AZ250-'[1]Short Spot'!AZ249)*100</f>
        <v>5.1363187484520623</v>
      </c>
      <c r="BA249" s="19">
        <f>('[1]Short Spot'!BA250-'[1]Short Spot'!BA249)*100</f>
        <v>5.1354391483433126</v>
      </c>
      <c r="BB249" s="19">
        <f>('[1]Short Spot'!BB250-'[1]Short Spot'!BB249)*100</f>
        <v>5.1341689979637728</v>
      </c>
      <c r="BC249" s="19">
        <f>('[1]Short Spot'!BC250-'[1]Short Spot'!BC249)*100</f>
        <v>5.1325802971136092</v>
      </c>
      <c r="BD249" s="19">
        <f>('[1]Short Spot'!BD250-'[1]Short Spot'!BD249)*100</f>
        <v>5.1307405425154329</v>
      </c>
      <c r="BE249" s="19">
        <f>('[1]Short Spot'!BE250-'[1]Short Spot'!BE249)*100</f>
        <v>5.1287097716518737</v>
      </c>
      <c r="BF249" s="19">
        <f>('[1]Short Spot'!BF250-'[1]Short Spot'!BF249)*100</f>
        <v>5.1265368785512244</v>
      </c>
      <c r="BG249" s="19">
        <f>('[1]Short Spot'!BG250-'[1]Short Spot'!BG249)*100</f>
        <v>5.1242646518191215</v>
      </c>
      <c r="BH249" s="19">
        <f>('[1]Short Spot'!BH250-'[1]Short Spot'!BH249)*100</f>
        <v>5.121931577946004</v>
      </c>
      <c r="BI249" s="19">
        <f>('[1]Short Spot'!BI250-'[1]Short Spot'!BI249)*100</f>
        <v>5.1195722001557975</v>
      </c>
    </row>
    <row r="250" spans="1:61" x14ac:dyDescent="0.2">
      <c r="A250" s="18">
        <v>39440</v>
      </c>
      <c r="B250" s="19">
        <f>('[1]Short Spot'!B251-'[1]Short Spot'!B250)*100</f>
        <v>0.45995251322761277</v>
      </c>
      <c r="C250" s="19">
        <f>('[1]Short Spot'!C251-'[1]Short Spot'!C250)*100</f>
        <v>-3.0344608474575097E-2</v>
      </c>
      <c r="D250" s="19">
        <f>('[1]Short Spot'!D251-'[1]Short Spot'!D250)*100</f>
        <v>-0.17570087672273971</v>
      </c>
      <c r="E250" s="19">
        <f>('[1]Short Spot'!E251-'[1]Short Spot'!E250)*100</f>
        <v>-0.25037784088430826</v>
      </c>
      <c r="F250" s="19">
        <f>('[1]Short Spot'!F251-'[1]Short Spot'!F250)*100</f>
        <v>-0.38478807846864527</v>
      </c>
      <c r="G250" s="19">
        <f>('[1]Short Spot'!G251-'[1]Short Spot'!G250)*100</f>
        <v>-0.59461767376278729</v>
      </c>
      <c r="H250" s="19">
        <f>('[1]Short Spot'!H251-'[1]Short Spot'!H250)*100</f>
        <v>-0.86529325199347085</v>
      </c>
      <c r="I250" s="19">
        <f>('[1]Short Spot'!I251-'[1]Short Spot'!I250)*100</f>
        <v>-1.1798545583715736</v>
      </c>
      <c r="J250" s="19">
        <f>('[1]Short Spot'!J251-'[1]Short Spot'!J250)*100</f>
        <v>-1.5201966601364525</v>
      </c>
      <c r="K250" s="19">
        <f>('[1]Short Spot'!K251-'[1]Short Spot'!K250)*100</f>
        <v>-1.867239502761997</v>
      </c>
      <c r="L250" s="19">
        <f>('[1]Short Spot'!L251-'[1]Short Spot'!L250)*100</f>
        <v>-2.2060839472580973</v>
      </c>
      <c r="M250" s="19">
        <f>('[1]Short Spot'!M251-'[1]Short Spot'!M250)*100</f>
        <v>-2.5264815838077936</v>
      </c>
      <c r="N250" s="19">
        <f>('[1]Short Spot'!N251-'[1]Short Spot'!N250)*100</f>
        <v>-2.8211799849564123</v>
      </c>
      <c r="O250" s="19">
        <f>('[1]Short Spot'!O251-'[1]Short Spot'!O250)*100</f>
        <v>-3.0869093490400346</v>
      </c>
      <c r="P250" s="19">
        <f>('[1]Short Spot'!P251-'[1]Short Spot'!P250)*100</f>
        <v>-3.324381675726773</v>
      </c>
      <c r="Q250" s="19">
        <f>('[1]Short Spot'!Q251-'[1]Short Spot'!Q250)*100</f>
        <v>-3.5355636575058469</v>
      </c>
      <c r="R250" s="19">
        <f>('[1]Short Spot'!R251-'[1]Short Spot'!R250)*100</f>
        <v>-3.72203012143979</v>
      </c>
      <c r="S250" s="19">
        <f>('[1]Short Spot'!S251-'[1]Short Spot'!S250)*100</f>
        <v>-3.8855848846403696</v>
      </c>
      <c r="T250" s="19">
        <f>('[1]Short Spot'!T251-'[1]Short Spot'!T250)*100</f>
        <v>-4.0282331408027616</v>
      </c>
      <c r="U250" s="19">
        <f>('[1]Short Spot'!U251-'[1]Short Spot'!U250)*100</f>
        <v>-4.1521311160607866</v>
      </c>
      <c r="V250" s="19">
        <f>('[1]Short Spot'!V251-'[1]Short Spot'!V250)*100</f>
        <v>-4.259550108880461</v>
      </c>
      <c r="W250" s="19">
        <f>('[1]Short Spot'!W251-'[1]Short Spot'!W250)*100</f>
        <v>-4.3527638581484673</v>
      </c>
      <c r="X250" s="19">
        <f>('[1]Short Spot'!X251-'[1]Short Spot'!X250)*100</f>
        <v>-4.4335939580748551</v>
      </c>
      <c r="Y250" s="19">
        <f>('[1]Short Spot'!Y251-'[1]Short Spot'!Y250)*100</f>
        <v>-4.5035516997097957</v>
      </c>
      <c r="Z250" s="19">
        <f>('[1]Short Spot'!Z251-'[1]Short Spot'!Z250)*100</f>
        <v>-4.5639582820593994</v>
      </c>
      <c r="AA250" s="19">
        <f>('[1]Short Spot'!AA251-'[1]Short Spot'!AA250)*100</f>
        <v>-4.6159665414070794</v>
      </c>
      <c r="AB250" s="19">
        <f>('[1]Short Spot'!AB251-'[1]Short Spot'!AB250)*100</f>
        <v>-4.6605996560317386</v>
      </c>
      <c r="AC250" s="19">
        <f>('[1]Short Spot'!AC251-'[1]Short Spot'!AC250)*100</f>
        <v>-4.6987745214759791</v>
      </c>
      <c r="AD250" s="19">
        <f>('[1]Short Spot'!AD251-'[1]Short Spot'!AD250)*100</f>
        <v>-4.7313200751581519</v>
      </c>
      <c r="AE250" s="19">
        <f>('[1]Short Spot'!AE251-'[1]Short Spot'!AE250)*100</f>
        <v>-4.758988991182278</v>
      </c>
      <c r="AF250" s="19">
        <f>('[1]Short Spot'!AF251-'[1]Short Spot'!AF250)*100</f>
        <v>-4.7824320494593842</v>
      </c>
      <c r="AG250" s="19">
        <f>('[1]Short Spot'!AG251-'[1]Short Spot'!AG250)*100</f>
        <v>-4.8021998691033296</v>
      </c>
      <c r="AH250" s="19">
        <f>('[1]Short Spot'!AH251-'[1]Short Spot'!AH250)*100</f>
        <v>-4.8187695140603282</v>
      </c>
      <c r="AI250" s="19">
        <f>('[1]Short Spot'!AI251-'[1]Short Spot'!AI250)*100</f>
        <v>-4.8325555568177414</v>
      </c>
      <c r="AJ250" s="19">
        <f>('[1]Short Spot'!AJ251-'[1]Short Spot'!AJ250)*100</f>
        <v>-4.843919005754227</v>
      </c>
      <c r="AK250" s="19">
        <f>('[1]Short Spot'!AK251-'[1]Short Spot'!AK250)*100</f>
        <v>-4.8531738432895821</v>
      </c>
      <c r="AL250" s="19">
        <f>('[1]Short Spot'!AL251-'[1]Short Spot'!AL250)*100</f>
        <v>-4.8605897022582667</v>
      </c>
      <c r="AM250" s="19">
        <f>('[1]Short Spot'!AM251-'[1]Short Spot'!AM250)*100</f>
        <v>-4.8664021012458036</v>
      </c>
      <c r="AN250" s="19">
        <f>('[1]Short Spot'!AN251-'[1]Short Spot'!AN250)*100</f>
        <v>-4.8708188217517545</v>
      </c>
      <c r="AO250" s="19">
        <f>('[1]Short Spot'!AO251-'[1]Short Spot'!AO250)*100</f>
        <v>-4.8740233783555631</v>
      </c>
      <c r="AP250" s="19">
        <f>('[1]Short Spot'!AP251-'[1]Short Spot'!AP250)*100</f>
        <v>-4.8761779780939207</v>
      </c>
      <c r="AQ250" s="19">
        <f>('[1]Short Spot'!AQ251-'[1]Short Spot'!AQ250)*100</f>
        <v>-4.8774260570767503</v>
      </c>
      <c r="AR250" s="19">
        <f>('[1]Short Spot'!AR251-'[1]Short Spot'!AR250)*100</f>
        <v>-4.8778943956301113</v>
      </c>
      <c r="AS250" s="19">
        <f>('[1]Short Spot'!AS251-'[1]Short Spot'!AS250)*100</f>
        <v>-4.8776945586752163</v>
      </c>
      <c r="AT250" s="19">
        <f>('[1]Short Spot'!AT251-'[1]Short Spot'!AT250)*100</f>
        <v>-4.8769248154200362</v>
      </c>
      <c r="AU250" s="19">
        <f>('[1]Short Spot'!AU251-'[1]Short Spot'!AU250)*100</f>
        <v>-4.8756717988736042</v>
      </c>
      <c r="AV250" s="19">
        <f>('[1]Short Spot'!AV251-'[1]Short Spot'!AV250)*100</f>
        <v>-4.8740117449773912</v>
      </c>
      <c r="AW250" s="19">
        <f>('[1]Short Spot'!AW251-'[1]Short Spot'!AW250)*100</f>
        <v>-4.8720115756328397</v>
      </c>
      <c r="AX250" s="19">
        <f>('[1]Short Spot'!AX251-'[1]Short Spot'!AX250)*100</f>
        <v>-4.8697298491130248</v>
      </c>
      <c r="AY250" s="19">
        <f>('[1]Short Spot'!AY251-'[1]Short Spot'!AY250)*100</f>
        <v>-4.8672175964262543</v>
      </c>
      <c r="AZ250" s="19">
        <f>('[1]Short Spot'!AZ251-'[1]Short Spot'!AZ250)*100</f>
        <v>-4.8645190801855698</v>
      </c>
      <c r="BA250" s="19">
        <f>('[1]Short Spot'!BA251-'[1]Short Spot'!BA250)*100</f>
        <v>-4.8616725153342699</v>
      </c>
      <c r="BB250" s="19">
        <f>('[1]Short Spot'!BB251-'[1]Short Spot'!BB250)*100</f>
        <v>-4.8587082982126439</v>
      </c>
      <c r="BC250" s="19">
        <f>('[1]Short Spot'!BC251-'[1]Short Spot'!BC250)*100</f>
        <v>-4.8556477966672063</v>
      </c>
      <c r="BD250" s="19">
        <f>('[1]Short Spot'!BD251-'[1]Short Spot'!BD250)*100</f>
        <v>-4.8525051796183938</v>
      </c>
      <c r="BE250" s="19">
        <f>('[1]Short Spot'!BE251-'[1]Short Spot'!BE250)*100</f>
        <v>-4.8492964560181484</v>
      </c>
      <c r="BF250" s="19">
        <f>('[1]Short Spot'!BF251-'[1]Short Spot'!BF250)*100</f>
        <v>-4.8460417575403092</v>
      </c>
      <c r="BG250" s="19">
        <f>('[1]Short Spot'!BG251-'[1]Short Spot'!BG250)*100</f>
        <v>-4.8427595593844686</v>
      </c>
      <c r="BH250" s="19">
        <f>('[1]Short Spot'!BH251-'[1]Short Spot'!BH250)*100</f>
        <v>-4.839465820268174</v>
      </c>
      <c r="BI250" s="19">
        <f>('[1]Short Spot'!BI251-'[1]Short Spot'!BI250)*100</f>
        <v>-4.8361741921338464</v>
      </c>
    </row>
    <row r="251" spans="1:61" x14ac:dyDescent="0.2">
      <c r="A251" s="18">
        <v>39443</v>
      </c>
      <c r="B251" s="19">
        <f>('[1]Short Spot'!B252-'[1]Short Spot'!B251)*100</f>
        <v>-2.9477378679964694</v>
      </c>
      <c r="C251" s="19">
        <f>('[1]Short Spot'!C252-'[1]Short Spot'!C251)*100</f>
        <v>-2.7108658010202014</v>
      </c>
      <c r="D251" s="19">
        <f>('[1]Short Spot'!D252-'[1]Short Spot'!D251)*100</f>
        <v>-2.3182981763596899</v>
      </c>
      <c r="E251" s="19">
        <f>('[1]Short Spot'!E252-'[1]Short Spot'!E251)*100</f>
        <v>-1.9601497721708938</v>
      </c>
      <c r="F251" s="19">
        <f>('[1]Short Spot'!F252-'[1]Short Spot'!F251)*100</f>
        <v>-1.6562670096229581</v>
      </c>
      <c r="G251" s="19">
        <f>('[1]Short Spot'!G252-'[1]Short Spot'!G251)*100</f>
        <v>-1.3934775852825432</v>
      </c>
      <c r="H251" s="19">
        <f>('[1]Short Spot'!H252-'[1]Short Spot'!H251)*100</f>
        <v>-1.1534099937700049</v>
      </c>
      <c r="I251" s="19">
        <f>('[1]Short Spot'!I252-'[1]Short Spot'!I251)*100</f>
        <v>-0.92336593893476149</v>
      </c>
      <c r="J251" s="19">
        <f>('[1]Short Spot'!J252-'[1]Short Spot'!J251)*100</f>
        <v>-0.70019189310883689</v>
      </c>
      <c r="K251" s="19">
        <f>('[1]Short Spot'!K252-'[1]Short Spot'!K251)*100</f>
        <v>-0.48525722461638665</v>
      </c>
      <c r="L251" s="19">
        <f>('[1]Short Spot'!L252-'[1]Short Spot'!L251)*100</f>
        <v>-0.2792073480406998</v>
      </c>
      <c r="M251" s="19">
        <f>('[1]Short Spot'!M252-'[1]Short Spot'!M251)*100</f>
        <v>-8.4515195123380238E-2</v>
      </c>
      <c r="N251" s="19">
        <f>('[1]Short Spot'!N252-'[1]Short Spot'!N251)*100</f>
        <v>9.460800776119882E-2</v>
      </c>
      <c r="O251" s="19">
        <f>('[1]Short Spot'!O252-'[1]Short Spot'!O251)*100</f>
        <v>0.25555128586054465</v>
      </c>
      <c r="P251" s="19">
        <f>('[1]Short Spot'!P252-'[1]Short Spot'!P251)*100</f>
        <v>0.3982199917803797</v>
      </c>
      <c r="Q251" s="19">
        <f>('[1]Short Spot'!Q252-'[1]Short Spot'!Q251)*100</f>
        <v>0.52425400318840687</v>
      </c>
      <c r="R251" s="19">
        <f>('[1]Short Spot'!R252-'[1]Short Spot'!R251)*100</f>
        <v>0.63567039675573866</v>
      </c>
      <c r="S251" s="19">
        <f>('[1]Short Spot'!S252-'[1]Short Spot'!S251)*100</f>
        <v>0.73426989524829622</v>
      </c>
      <c r="T251" s="19">
        <f>('[1]Short Spot'!T252-'[1]Short Spot'!T251)*100</f>
        <v>0.82168401751605558</v>
      </c>
      <c r="U251" s="19">
        <f>('[1]Short Spot'!U252-'[1]Short Spot'!U251)*100</f>
        <v>0.89941737947398792</v>
      </c>
      <c r="V251" s="19">
        <f>('[1]Short Spot'!V252-'[1]Short Spot'!V251)*100</f>
        <v>0.96887790908484206</v>
      </c>
      <c r="W251" s="19">
        <f>('[1]Short Spot'!W252-'[1]Short Spot'!W251)*100</f>
        <v>1.0314222263411388</v>
      </c>
      <c r="X251" s="19">
        <f>('[1]Short Spot'!X252-'[1]Short Spot'!X251)*100</f>
        <v>1.0883785470326757</v>
      </c>
      <c r="Y251" s="19">
        <f>('[1]Short Spot'!Y252-'[1]Short Spot'!Y251)*100</f>
        <v>1.1408829341156945</v>
      </c>
      <c r="Z251" s="19">
        <f>('[1]Short Spot'!Z252-'[1]Short Spot'!Z251)*100</f>
        <v>1.1898821546013849</v>
      </c>
      <c r="AA251" s="19">
        <f>('[1]Short Spot'!AA252-'[1]Short Spot'!AA251)*100</f>
        <v>1.2361592421846979</v>
      </c>
      <c r="AB251" s="19">
        <f>('[1]Short Spot'!AB252-'[1]Short Spot'!AB251)*100</f>
        <v>1.2803584880362706</v>
      </c>
      <c r="AC251" s="19">
        <f>('[1]Short Spot'!AC252-'[1]Short Spot'!AC251)*100</f>
        <v>1.3230101661632965</v>
      </c>
      <c r="AD251" s="19">
        <f>('[1]Short Spot'!AD252-'[1]Short Spot'!AD251)*100</f>
        <v>1.3645501915424241</v>
      </c>
      <c r="AE251" s="19">
        <f>('[1]Short Spot'!AE252-'[1]Short Spot'!AE251)*100</f>
        <v>1.4053369964703855</v>
      </c>
      <c r="AF251" s="19">
        <f>('[1]Short Spot'!AF252-'[1]Short Spot'!AF251)*100</f>
        <v>1.4456725593173125</v>
      </c>
      <c r="AG251" s="19">
        <f>('[1]Short Spot'!AG252-'[1]Short Spot'!AG251)*100</f>
        <v>1.4858054472680848</v>
      </c>
      <c r="AH251" s="19">
        <f>('[1]Short Spot'!AH252-'[1]Short Spot'!AH251)*100</f>
        <v>1.5259335969511234</v>
      </c>
      <c r="AI251" s="19">
        <f>('[1]Short Spot'!AI252-'[1]Short Spot'!AI251)*100</f>
        <v>1.5662117129438435</v>
      </c>
      <c r="AJ251" s="19">
        <f>('[1]Short Spot'!AJ252-'[1]Short Spot'!AJ251)*100</f>
        <v>1.6067574437801824</v>
      </c>
      <c r="AK251" s="19">
        <f>('[1]Short Spot'!AK252-'[1]Short Spot'!AK251)*100</f>
        <v>1.6476570963251724</v>
      </c>
      <c r="AL251" s="19">
        <f>('[1]Short Spot'!AL252-'[1]Short Spot'!AL251)*100</f>
        <v>1.6889734795667799</v>
      </c>
      <c r="AM251" s="19">
        <f>('[1]Short Spot'!AM252-'[1]Short Spot'!AM251)*100</f>
        <v>1.7307500821014621</v>
      </c>
      <c r="AN251" s="19">
        <f>('[1]Short Spot'!AN252-'[1]Short Spot'!AN251)*100</f>
        <v>1.7730132662632236</v>
      </c>
      <c r="AO251" s="19">
        <f>('[1]Short Spot'!AO252-'[1]Short Spot'!AO251)*100</f>
        <v>1.8157744088088457</v>
      </c>
      <c r="AP251" s="19">
        <f>('[1]Short Spot'!AP252-'[1]Short Spot'!AP251)*100</f>
        <v>1.8590317284254532</v>
      </c>
      <c r="AQ251" s="19">
        <f>('[1]Short Spot'!AQ252-'[1]Short Spot'!AQ251)*100</f>
        <v>1.9027718521695824</v>
      </c>
      <c r="AR251" s="19">
        <f>('[1]Short Spot'!AR252-'[1]Short Spot'!AR251)*100</f>
        <v>1.9469712973150699</v>
      </c>
      <c r="AS251" s="19">
        <f>('[1]Short Spot'!AS252-'[1]Short Spot'!AS251)*100</f>
        <v>1.9915994572664353</v>
      </c>
      <c r="AT251" s="19">
        <f>('[1]Short Spot'!AT252-'[1]Short Spot'!AT251)*100</f>
        <v>2.0366214898415613</v>
      </c>
      <c r="AU251" s="19">
        <f>('[1]Short Spot'!AU252-'[1]Short Spot'!AU251)*100</f>
        <v>2.0819989967576724</v>
      </c>
      <c r="AV251" s="19">
        <f>('[1]Short Spot'!AV252-'[1]Short Spot'!AV251)*100</f>
        <v>2.1276904018574072</v>
      </c>
      <c r="AW251" s="19">
        <f>('[1]Short Spot'!AW252-'[1]Short Spot'!AW251)*100</f>
        <v>2.1736512821370013</v>
      </c>
      <c r="AX251" s="19">
        <f>('[1]Short Spot'!AX252-'[1]Short Spot'!AX251)*100</f>
        <v>2.2198346582409378</v>
      </c>
      <c r="AY251" s="19">
        <f>('[1]Short Spot'!AY252-'[1]Short Spot'!AY251)*100</f>
        <v>2.2661912500966608</v>
      </c>
      <c r="AZ251" s="19">
        <f>('[1]Short Spot'!AZ252-'[1]Short Spot'!AZ251)*100</f>
        <v>2.3126697059739243</v>
      </c>
      <c r="BA251" s="19">
        <f>('[1]Short Spot'!BA252-'[1]Short Spot'!BA251)*100</f>
        <v>2.3592175765918988</v>
      </c>
      <c r="BB251" s="19">
        <f>('[1]Short Spot'!BB252-'[1]Short Spot'!BB251)*100</f>
        <v>2.4057843043708615</v>
      </c>
      <c r="BC251" s="19">
        <f>('[1]Short Spot'!BC252-'[1]Short Spot'!BC251)*100</f>
        <v>2.4523221210249524</v>
      </c>
      <c r="BD251" s="19">
        <f>('[1]Short Spot'!BD252-'[1]Short Spot'!BD251)*100</f>
        <v>2.4987833824795302</v>
      </c>
      <c r="BE251" s="19">
        <f>('[1]Short Spot'!BE252-'[1]Short Spot'!BE251)*100</f>
        <v>2.5451154416165522</v>
      </c>
      <c r="BF251" s="19">
        <f>('[1]Short Spot'!BF252-'[1]Short Spot'!BF251)*100</f>
        <v>2.5912639888424849</v>
      </c>
      <c r="BG251" s="19">
        <f>('[1]Short Spot'!BG252-'[1]Short Spot'!BG251)*100</f>
        <v>2.6371777456838608</v>
      </c>
      <c r="BH251" s="19">
        <f>('[1]Short Spot'!BH252-'[1]Short Spot'!BH251)*100</f>
        <v>2.6828086338081647</v>
      </c>
      <c r="BI251" s="19">
        <f>('[1]Short Spot'!BI252-'[1]Short Spot'!BI251)*100</f>
        <v>2.7281115083453322</v>
      </c>
    </row>
    <row r="252" spans="1:61" x14ac:dyDescent="0.2">
      <c r="A252" s="18">
        <v>39444</v>
      </c>
      <c r="B252" s="19">
        <f>('[1]Short Spot'!B253-'[1]Short Spot'!B252)*100</f>
        <v>0.1907452307746027</v>
      </c>
      <c r="C252" s="19">
        <f>('[1]Short Spot'!C253-'[1]Short Spot'!C252)*100</f>
        <v>0.12138748195553717</v>
      </c>
      <c r="D252" s="19">
        <f>('[1]Short Spot'!D253-'[1]Short Spot'!D252)*100</f>
        <v>9.8267085753978023E-2</v>
      </c>
      <c r="E252" s="19">
        <f>('[1]Short Spot'!E253-'[1]Short Spot'!E252)*100</f>
        <v>2.9909353149726314E-3</v>
      </c>
      <c r="F252" s="19">
        <f>('[1]Short Spot'!F253-'[1]Short Spot'!F252)*100</f>
        <v>-0.19749404739570764</v>
      </c>
      <c r="G252" s="19">
        <f>('[1]Short Spot'!G253-'[1]Short Spot'!G252)*100</f>
        <v>-0.50272262758648267</v>
      </c>
      <c r="H252" s="19">
        <f>('[1]Short Spot'!H253-'[1]Short Spot'!H252)*100</f>
        <v>-0.89924337294267076</v>
      </c>
      <c r="I252" s="19">
        <f>('[1]Short Spot'!I253-'[1]Short Spot'!I252)*100</f>
        <v>-1.3619944957415697</v>
      </c>
      <c r="J252" s="19">
        <f>('[1]Short Spot'!J253-'[1]Short Spot'!J252)*100</f>
        <v>-1.8642765183590981</v>
      </c>
      <c r="K252" s="19">
        <f>('[1]Short Spot'!K253-'[1]Short Spot'!K252)*100</f>
        <v>-2.3808108220164215</v>
      </c>
      <c r="L252" s="19">
        <f>('[1]Short Spot'!L253-'[1]Short Spot'!L252)*100</f>
        <v>-2.8918796212987985</v>
      </c>
      <c r="M252" s="19">
        <f>('[1]Short Spot'!M253-'[1]Short Spot'!M252)*100</f>
        <v>-3.3833417602068927</v>
      </c>
      <c r="N252" s="19">
        <f>('[1]Short Spot'!N253-'[1]Short Spot'!N252)*100</f>
        <v>-3.8445874920323142</v>
      </c>
      <c r="O252" s="19">
        <f>('[1]Short Spot'!O253-'[1]Short Spot'!O252)*100</f>
        <v>-4.2697175184116531</v>
      </c>
      <c r="P252" s="19">
        <f>('[1]Short Spot'!P253-'[1]Short Spot'!P252)*100</f>
        <v>-4.6578005371974207</v>
      </c>
      <c r="Q252" s="19">
        <f>('[1]Short Spot'!Q253-'[1]Short Spot'!Q252)*100</f>
        <v>-5.0095789016621595</v>
      </c>
      <c r="R252" s="19">
        <f>('[1]Short Spot'!R253-'[1]Short Spot'!R252)*100</f>
        <v>-5.3260793289156005</v>
      </c>
      <c r="S252" s="19">
        <f>('[1]Short Spot'!S253-'[1]Short Spot'!S252)*100</f>
        <v>-5.6090399871130181</v>
      </c>
      <c r="T252" s="19">
        <f>('[1]Short Spot'!T253-'[1]Short Spot'!T252)*100</f>
        <v>-5.8607371666212771</v>
      </c>
      <c r="U252" s="19">
        <f>('[1]Short Spot'!U253-'[1]Short Spot'!U252)*100</f>
        <v>-6.0838507494676008</v>
      </c>
      <c r="V252" s="19">
        <f>('[1]Short Spot'!V253-'[1]Short Spot'!V252)*100</f>
        <v>-6.2813680891095736</v>
      </c>
      <c r="W252" s="19">
        <f>('[1]Short Spot'!W253-'[1]Short Spot'!W252)*100</f>
        <v>-6.4563642696793266</v>
      </c>
      <c r="X252" s="19">
        <f>('[1]Short Spot'!X253-'[1]Short Spot'!X252)*100</f>
        <v>-6.6114150009847883</v>
      </c>
      <c r="Y252" s="19">
        <f>('[1]Short Spot'!Y253-'[1]Short Spot'!Y252)*100</f>
        <v>-6.7487326704099182</v>
      </c>
      <c r="Z252" s="19">
        <f>('[1]Short Spot'!Z253-'[1]Short Spot'!Z252)*100</f>
        <v>-6.8702600750910392</v>
      </c>
      <c r="AA252" s="19">
        <f>('[1]Short Spot'!AA253-'[1]Short Spot'!AA252)*100</f>
        <v>-6.9777087223533485</v>
      </c>
      <c r="AB252" s="19">
        <f>('[1]Short Spot'!AB253-'[1]Short Spot'!AB252)*100</f>
        <v>-7.0726079227313221</v>
      </c>
      <c r="AC252" s="19">
        <f>('[1]Short Spot'!AC253-'[1]Short Spot'!AC252)*100</f>
        <v>-7.1563373895090265</v>
      </c>
      <c r="AD252" s="19">
        <f>('[1]Short Spot'!AD253-'[1]Short Spot'!AD252)*100</f>
        <v>-7.2301530313491291</v>
      </c>
      <c r="AE252" s="19">
        <f>('[1]Short Spot'!AE253-'[1]Short Spot'!AE252)*100</f>
        <v>-7.295201663248907</v>
      </c>
      <c r="AF252" s="19">
        <f>('[1]Short Spot'!AF253-'[1]Short Spot'!AF252)*100</f>
        <v>-7.3524880687646288</v>
      </c>
      <c r="AG252" s="19">
        <f>('[1]Short Spot'!AG253-'[1]Short Spot'!AG252)*100</f>
        <v>-7.4028839654523004</v>
      </c>
      <c r="AH252" s="19">
        <f>('[1]Short Spot'!AH253-'[1]Short Spot'!AH252)*100</f>
        <v>-7.4471574588300449</v>
      </c>
      <c r="AI252" s="19">
        <f>('[1]Short Spot'!AI253-'[1]Short Spot'!AI252)*100</f>
        <v>-7.485988340918226</v>
      </c>
      <c r="AJ252" s="19">
        <f>('[1]Short Spot'!AJ253-'[1]Short Spot'!AJ252)*100</f>
        <v>-7.5199807064172397</v>
      </c>
      <c r="AK252" s="19">
        <f>('[1]Short Spot'!AK253-'[1]Short Spot'!AK252)*100</f>
        <v>-7.549671691796167</v>
      </c>
      <c r="AL252" s="19">
        <f>('[1]Short Spot'!AL253-'[1]Short Spot'!AL252)*100</f>
        <v>-7.5755338864129662</v>
      </c>
      <c r="AM252" s="19">
        <f>('[1]Short Spot'!AM253-'[1]Short Spot'!AM252)*100</f>
        <v>-7.5979860837967372</v>
      </c>
      <c r="AN252" s="19">
        <f>('[1]Short Spot'!AN253-'[1]Short Spot'!AN252)*100</f>
        <v>-7.6174013871199264</v>
      </c>
      <c r="AO252" s="19">
        <f>('[1]Short Spot'!AO253-'[1]Short Spot'!AO252)*100</f>
        <v>-7.6341129205067304</v>
      </c>
      <c r="AP252" s="19">
        <f>('[1]Short Spot'!AP253-'[1]Short Spot'!AP252)*100</f>
        <v>-7.6484187045255503</v>
      </c>
      <c r="AQ252" s="19">
        <f>('[1]Short Spot'!AQ253-'[1]Short Spot'!AQ252)*100</f>
        <v>-7.6605858351854295</v>
      </c>
      <c r="AR252" s="19">
        <f>('[1]Short Spot'!AR253-'[1]Short Spot'!AR252)*100</f>
        <v>-7.6708538488388989</v>
      </c>
      <c r="AS252" s="19">
        <f>('[1]Short Spot'!AS253-'[1]Short Spot'!AS252)*100</f>
        <v>-7.6794363890604345</v>
      </c>
      <c r="AT252" s="19">
        <f>('[1]Short Spot'!AT253-'[1]Short Spot'!AT252)*100</f>
        <v>-7.6865237616766002</v>
      </c>
      <c r="AU252" s="19">
        <f>('[1]Short Spot'!AU253-'[1]Short Spot'!AU252)*100</f>
        <v>-7.6922856338175194</v>
      </c>
      <c r="AV252" s="19">
        <f>('[1]Short Spot'!AV253-'[1]Short Spot'!AV252)*100</f>
        <v>-7.6968732296633924</v>
      </c>
      <c r="AW252" s="19">
        <f>('[1]Short Spot'!AW253-'[1]Short Spot'!AW252)*100</f>
        <v>-7.7004212515856096</v>
      </c>
      <c r="AX252" s="19">
        <f>('[1]Short Spot'!AX253-'[1]Short Spot'!AX252)*100</f>
        <v>-7.7030495660451948</v>
      </c>
      <c r="AY252" s="19">
        <f>('[1]Short Spot'!AY253-'[1]Short Spot'!AY252)*100</f>
        <v>-7.7048646871835658</v>
      </c>
      <c r="AZ252" s="19">
        <f>('[1]Short Spot'!AZ253-'[1]Short Spot'!AZ252)*100</f>
        <v>-7.7059611442067855</v>
      </c>
      <c r="BA252" s="19">
        <f>('[1]Short Spot'!BA253-'[1]Short Spot'!BA252)*100</f>
        <v>-7.7064239882274954</v>
      </c>
      <c r="BB252" s="19">
        <f>('[1]Short Spot'!BB253-'[1]Short Spot'!BB252)*100</f>
        <v>-7.7063312931868744</v>
      </c>
      <c r="BC252" s="19">
        <f>('[1]Short Spot'!BC253-'[1]Short Spot'!BC252)*100</f>
        <v>-7.7057543428814768</v>
      </c>
      <c r="BD252" s="19">
        <f>('[1]Short Spot'!BD253-'[1]Short Spot'!BD252)*100</f>
        <v>-7.7047552061881852</v>
      </c>
      <c r="BE252" s="19">
        <f>('[1]Short Spot'!BE253-'[1]Short Spot'!BE252)*100</f>
        <v>-7.7033883345038134</v>
      </c>
      <c r="BF252" s="19">
        <f>('[1]Short Spot'!BF253-'[1]Short Spot'!BF252)*100</f>
        <v>-7.7017045142080853</v>
      </c>
      <c r="BG252" s="19">
        <f>('[1]Short Spot'!BG253-'[1]Short Spot'!BG252)*100</f>
        <v>-7.6997496197702908</v>
      </c>
      <c r="BH252" s="19">
        <f>('[1]Short Spot'!BH253-'[1]Short Spot'!BH252)*100</f>
        <v>-7.6975646690811139</v>
      </c>
      <c r="BI252" s="19">
        <f>('[1]Short Spot'!BI253-'[1]Short Spot'!BI252)*100</f>
        <v>-7.6951862281673833</v>
      </c>
    </row>
    <row r="253" spans="1:61" x14ac:dyDescent="0.2">
      <c r="A253" s="18">
        <v>39447</v>
      </c>
      <c r="B253" s="19">
        <f>('[1]Short Spot'!B254-'[1]Short Spot'!B253)*100</f>
        <v>-0.38400103556899268</v>
      </c>
      <c r="C253" s="19">
        <f>('[1]Short Spot'!C254-'[1]Short Spot'!C253)*100</f>
        <v>-0.36599457386223833</v>
      </c>
      <c r="D253" s="19">
        <f>('[1]Short Spot'!D254-'[1]Short Spot'!D253)*100</f>
        <v>-0.25285562802359607</v>
      </c>
      <c r="E253" s="19">
        <f>('[1]Short Spot'!E254-'[1]Short Spot'!E253)*100</f>
        <v>-0.23888138689764915</v>
      </c>
      <c r="F253" s="19">
        <f>('[1]Short Spot'!F254-'[1]Short Spot'!F253)*100</f>
        <v>-0.35312538897693813</v>
      </c>
      <c r="G253" s="19">
        <f>('[1]Short Spot'!G254-'[1]Short Spot'!G253)*100</f>
        <v>-0.57374915309784669</v>
      </c>
      <c r="H253" s="19">
        <f>('[1]Short Spot'!H254-'[1]Short Spot'!H253)*100</f>
        <v>-0.86627750592782604</v>
      </c>
      <c r="I253" s="19">
        <f>('[1]Short Spot'!I254-'[1]Short Spot'!I253)*100</f>
        <v>-1.2061527776958236</v>
      </c>
      <c r="J253" s="19">
        <f>('[1]Short Spot'!J254-'[1]Short Spot'!J253)*100</f>
        <v>-1.5716928759022863</v>
      </c>
      <c r="K253" s="19">
        <f>('[1]Short Spot'!K254-'[1]Short Spot'!K253)*100</f>
        <v>-1.9420375909970033</v>
      </c>
      <c r="L253" s="19">
        <f>('[1]Short Spot'!L254-'[1]Short Spot'!L253)*100</f>
        <v>-2.3034941327527925</v>
      </c>
      <c r="M253" s="19">
        <f>('[1]Short Spot'!M254-'[1]Short Spot'!M253)*100</f>
        <v>-2.6470599147371487</v>
      </c>
      <c r="N253" s="19">
        <f>('[1]Short Spot'!N254-'[1]Short Spot'!N253)*100</f>
        <v>-2.9661606576431687</v>
      </c>
      <c r="O253" s="19">
        <f>('[1]Short Spot'!O254-'[1]Short Spot'!O253)*100</f>
        <v>-3.2576957227544945</v>
      </c>
      <c r="P253" s="19">
        <f>('[1]Short Spot'!P254-'[1]Short Spot'!P253)*100</f>
        <v>-3.5218539378206515</v>
      </c>
      <c r="Q253" s="19">
        <f>('[1]Short Spot'!Q254-'[1]Short Spot'!Q253)*100</f>
        <v>-3.7596245031578768</v>
      </c>
      <c r="R253" s="19">
        <f>('[1]Short Spot'!R254-'[1]Short Spot'!R253)*100</f>
        <v>-3.9720695842674125</v>
      </c>
      <c r="S253" s="19">
        <f>('[1]Short Spot'!S254-'[1]Short Spot'!S253)*100</f>
        <v>-4.1606336512061581</v>
      </c>
      <c r="T253" s="19">
        <f>('[1]Short Spot'!T254-'[1]Short Spot'!T253)*100</f>
        <v>-4.3270475378341722</v>
      </c>
      <c r="U253" s="19">
        <f>('[1]Short Spot'!U254-'[1]Short Spot'!U253)*100</f>
        <v>-4.4732568508620396</v>
      </c>
      <c r="V253" s="19">
        <f>('[1]Short Spot'!V254-'[1]Short Spot'!V253)*100</f>
        <v>-4.6013706396573539</v>
      </c>
      <c r="W253" s="19">
        <f>('[1]Short Spot'!W254-'[1]Short Spot'!W253)*100</f>
        <v>-4.713492091601168</v>
      </c>
      <c r="X253" s="19">
        <f>('[1]Short Spot'!X254-'[1]Short Spot'!X253)*100</f>
        <v>-4.8113534050137297</v>
      </c>
      <c r="Y253" s="19">
        <f>('[1]Short Spot'!Y254-'[1]Short Spot'!Y253)*100</f>
        <v>-4.8964666543088065</v>
      </c>
      <c r="Z253" s="19">
        <f>('[1]Short Spot'!Z254-'[1]Short Spot'!Z253)*100</f>
        <v>-4.9701671083608012</v>
      </c>
      <c r="AA253" s="19">
        <f>('[1]Short Spot'!AA254-'[1]Short Spot'!AA253)*100</f>
        <v>-5.0336323710411968</v>
      </c>
      <c r="AB253" s="19">
        <f>('[1]Short Spot'!AB254-'[1]Short Spot'!AB253)*100</f>
        <v>-5.0879146834990507</v>
      </c>
      <c r="AC253" s="19">
        <f>('[1]Short Spot'!AC254-'[1]Short Spot'!AC253)*100</f>
        <v>-5.1339633233492776</v>
      </c>
      <c r="AD253" s="19">
        <f>('[1]Short Spot'!AD254-'[1]Short Spot'!AD253)*100</f>
        <v>-5.172642357007895</v>
      </c>
      <c r="AE253" s="19">
        <f>('[1]Short Spot'!AE254-'[1]Short Spot'!AE253)*100</f>
        <v>-5.2047393111821272</v>
      </c>
      <c r="AF253" s="19">
        <f>('[1]Short Spot'!AF254-'[1]Short Spot'!AF253)*100</f>
        <v>-5.2309435296628237</v>
      </c>
      <c r="AG253" s="19">
        <f>('[1]Short Spot'!AG254-'[1]Short Spot'!AG253)*100</f>
        <v>-5.2518612938393439</v>
      </c>
      <c r="AH253" s="19">
        <f>('[1]Short Spot'!AH254-'[1]Short Spot'!AH253)*100</f>
        <v>-5.2680348224403595</v>
      </c>
      <c r="AI253" s="19">
        <f>('[1]Short Spot'!AI254-'[1]Short Spot'!AI253)*100</f>
        <v>-5.2799517018609521</v>
      </c>
      <c r="AJ253" s="19">
        <f>('[1]Short Spot'!AJ254-'[1]Short Spot'!AJ253)*100</f>
        <v>-5.2880526898649194</v>
      </c>
      <c r="AK253" s="19">
        <f>('[1]Short Spot'!AK254-'[1]Short Spot'!AK253)*100</f>
        <v>-5.2927362933390398</v>
      </c>
      <c r="AL253" s="19">
        <f>('[1]Short Spot'!AL254-'[1]Short Spot'!AL253)*100</f>
        <v>-5.2943573537207911</v>
      </c>
      <c r="AM253" s="19">
        <f>('[1]Short Spot'!AM254-'[1]Short Spot'!AM253)*100</f>
        <v>-5.2932326762832993</v>
      </c>
      <c r="AN253" s="19">
        <f>('[1]Short Spot'!AN254-'[1]Short Spot'!AN253)*100</f>
        <v>-5.2896464404665444</v>
      </c>
      <c r="AO253" s="19">
        <f>('[1]Short Spot'!AO254-'[1]Short Spot'!AO253)*100</f>
        <v>-5.2838542781074693</v>
      </c>
      <c r="AP253" s="19">
        <f>('[1]Short Spot'!AP254-'[1]Short Spot'!AP253)*100</f>
        <v>-5.2760867548542478</v>
      </c>
      <c r="AQ253" s="19">
        <f>('[1]Short Spot'!AQ254-'[1]Short Spot'!AQ253)*100</f>
        <v>-5.2665523542356318</v>
      </c>
      <c r="AR253" s="19">
        <f>('[1]Short Spot'!AR254-'[1]Short Spot'!AR253)*100</f>
        <v>-5.2554398852675099</v>
      </c>
      <c r="AS253" s="19">
        <f>('[1]Short Spot'!AS254-'[1]Short Spot'!AS253)*100</f>
        <v>-5.24292024678914</v>
      </c>
      <c r="AT253" s="19">
        <f>('[1]Short Spot'!AT254-'[1]Short Spot'!AT253)*100</f>
        <v>-5.229148870232514</v>
      </c>
      <c r="AU253" s="19">
        <f>('[1]Short Spot'!AU254-'[1]Short Spot'!AU253)*100</f>
        <v>-5.2142675497737656</v>
      </c>
      <c r="AV253" s="19">
        <f>('[1]Short Spot'!AV254-'[1]Short Spot'!AV253)*100</f>
        <v>-5.1984058931068944</v>
      </c>
      <c r="AW253" s="19">
        <f>('[1]Short Spot'!AW254-'[1]Short Spot'!AW253)*100</f>
        <v>-5.181682590867176</v>
      </c>
      <c r="AX253" s="19">
        <f>('[1]Short Spot'!AX254-'[1]Short Spot'!AX253)*100</f>
        <v>-5.164206530618376</v>
      </c>
      <c r="AY253" s="19">
        <f>('[1]Short Spot'!AY254-'[1]Short Spot'!AY253)*100</f>
        <v>-5.1460777771589861</v>
      </c>
      <c r="AZ253" s="19">
        <f>('[1]Short Spot'!AZ254-'[1]Short Spot'!AZ253)*100</f>
        <v>-5.1273885043016776</v>
      </c>
      <c r="BA253" s="19">
        <f>('[1]Short Spot'!BA254-'[1]Short Spot'!BA253)*100</f>
        <v>-5.1082248318524925</v>
      </c>
      <c r="BB253" s="19">
        <f>('[1]Short Spot'!BB254-'[1]Short Spot'!BB253)*100</f>
        <v>-5.0886682929320415</v>
      </c>
      <c r="BC253" s="19">
        <f>('[1]Short Spot'!BC254-'[1]Short Spot'!BC253)*100</f>
        <v>-5.068795582202501</v>
      </c>
      <c r="BD253" s="19">
        <f>('[1]Short Spot'!BD254-'[1]Short Spot'!BD253)*100</f>
        <v>-5.048674692216526</v>
      </c>
      <c r="BE253" s="19">
        <f>('[1]Short Spot'!BE254-'[1]Short Spot'!BE253)*100</f>
        <v>-5.0283647825892785</v>
      </c>
      <c r="BF253" s="19">
        <f>('[1]Short Spot'!BF254-'[1]Short Spot'!BF253)*100</f>
        <v>-5.0079205939741023</v>
      </c>
      <c r="BG253" s="19">
        <f>('[1]Short Spot'!BG254-'[1]Short Spot'!BG253)*100</f>
        <v>-4.9873926649892653</v>
      </c>
      <c r="BH253" s="19">
        <f>('[1]Short Spot'!BH254-'[1]Short Spot'!BH253)*100</f>
        <v>-4.9668275373903725</v>
      </c>
      <c r="BI253" s="19">
        <f>('[1]Short Spot'!BI254-'[1]Short Spot'!BI253)*100</f>
        <v>-4.9462680891420696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FD17-B01C-D549-A71A-7DCA0CD84D3C}">
  <dimension ref="A1:BI61"/>
  <sheetViews>
    <sheetView topLeftCell="AH1" workbookViewId="0">
      <selection activeCell="B1" sqref="B1:BI1"/>
    </sheetView>
  </sheetViews>
  <sheetFormatPr baseColWidth="10" defaultRowHeight="16" x14ac:dyDescent="0.2"/>
  <sheetData>
    <row r="1" spans="1:61" x14ac:dyDescent="0.2">
      <c r="B1" s="17" t="s">
        <v>87</v>
      </c>
      <c r="C1" s="17" t="s">
        <v>88</v>
      </c>
      <c r="D1" s="17" t="s">
        <v>89</v>
      </c>
      <c r="E1" s="17" t="s">
        <v>90</v>
      </c>
      <c r="F1" s="17" t="s">
        <v>91</v>
      </c>
      <c r="G1" s="17" t="s">
        <v>92</v>
      </c>
      <c r="H1" s="17" t="s">
        <v>93</v>
      </c>
      <c r="I1" s="17" t="s">
        <v>94</v>
      </c>
      <c r="J1" s="17" t="s">
        <v>95</v>
      </c>
      <c r="K1" s="17" t="s">
        <v>96</v>
      </c>
      <c r="L1" s="17" t="s">
        <v>97</v>
      </c>
      <c r="M1" s="17" t="s">
        <v>98</v>
      </c>
      <c r="N1" s="17" t="s">
        <v>99</v>
      </c>
      <c r="O1" s="17" t="s">
        <v>100</v>
      </c>
      <c r="P1" s="17" t="s">
        <v>101</v>
      </c>
      <c r="Q1" s="17" t="s">
        <v>102</v>
      </c>
      <c r="R1" s="17" t="s">
        <v>103</v>
      </c>
      <c r="S1" s="17" t="s">
        <v>104</v>
      </c>
      <c r="T1" s="17" t="s">
        <v>105</v>
      </c>
      <c r="U1" s="17" t="s">
        <v>106</v>
      </c>
      <c r="V1" s="17" t="s">
        <v>107</v>
      </c>
      <c r="W1" s="17" t="s">
        <v>108</v>
      </c>
      <c r="X1" s="17" t="s">
        <v>109</v>
      </c>
      <c r="Y1" s="17" t="s">
        <v>110</v>
      </c>
      <c r="Z1" s="17" t="s">
        <v>111</v>
      </c>
      <c r="AA1" s="17" t="s">
        <v>112</v>
      </c>
      <c r="AB1" s="17" t="s">
        <v>113</v>
      </c>
      <c r="AC1" s="17" t="s">
        <v>114</v>
      </c>
      <c r="AD1" s="17" t="s">
        <v>115</v>
      </c>
      <c r="AE1" s="17" t="s">
        <v>116</v>
      </c>
      <c r="AF1" s="17" t="s">
        <v>117</v>
      </c>
      <c r="AG1" s="17" t="s">
        <v>118</v>
      </c>
      <c r="AH1" s="17" t="s">
        <v>119</v>
      </c>
      <c r="AI1" s="17" t="s">
        <v>120</v>
      </c>
      <c r="AJ1" s="17" t="s">
        <v>121</v>
      </c>
      <c r="AK1" s="17" t="s">
        <v>122</v>
      </c>
      <c r="AL1" s="17" t="s">
        <v>123</v>
      </c>
      <c r="AM1" s="17" t="s">
        <v>124</v>
      </c>
      <c r="AN1" s="17" t="s">
        <v>125</v>
      </c>
      <c r="AO1" s="17" t="s">
        <v>126</v>
      </c>
      <c r="AP1" s="17" t="s">
        <v>127</v>
      </c>
      <c r="AQ1" s="17" t="s">
        <v>128</v>
      </c>
      <c r="AR1" s="17" t="s">
        <v>129</v>
      </c>
      <c r="AS1" s="17" t="s">
        <v>130</v>
      </c>
      <c r="AT1" s="17" t="s">
        <v>131</v>
      </c>
      <c r="AU1" s="17" t="s">
        <v>132</v>
      </c>
      <c r="AV1" s="17" t="s">
        <v>133</v>
      </c>
      <c r="AW1" s="17" t="s">
        <v>134</v>
      </c>
      <c r="AX1" s="17" t="s">
        <v>135</v>
      </c>
      <c r="AY1" s="17" t="s">
        <v>136</v>
      </c>
      <c r="AZ1" s="17" t="s">
        <v>137</v>
      </c>
      <c r="BA1" s="17" t="s">
        <v>138</v>
      </c>
      <c r="BB1" s="17" t="s">
        <v>139</v>
      </c>
      <c r="BC1" s="17" t="s">
        <v>140</v>
      </c>
      <c r="BD1" s="17" t="s">
        <v>141</v>
      </c>
      <c r="BE1" s="17" t="s">
        <v>142</v>
      </c>
      <c r="BF1" s="17" t="s">
        <v>143</v>
      </c>
      <c r="BG1" s="17" t="s">
        <v>144</v>
      </c>
      <c r="BH1" s="17" t="s">
        <v>145</v>
      </c>
      <c r="BI1" s="17" t="s">
        <v>146</v>
      </c>
    </row>
    <row r="2" spans="1:61" x14ac:dyDescent="0.2">
      <c r="A2" t="str" cm="1">
        <f t="array" ref="A2:A61">TRANSPOSE(B1:BI1)</f>
        <v>1m</v>
      </c>
      <c r="B2" cm="1">
        <f t="array" ref="B2:BI61">[2]!MCovar('Q3 Returns'!B2:BI253)</f>
        <v>4.9625075912142025</v>
      </c>
      <c r="C2">
        <v>3.9750805040244028</v>
      </c>
      <c r="D2">
        <v>3.5221939238803817</v>
      </c>
      <c r="E2">
        <v>3.2461607179298371</v>
      </c>
      <c r="F2">
        <v>3.0785339975059962</v>
      </c>
      <c r="G2">
        <v>2.9805001540193348</v>
      </c>
      <c r="H2">
        <v>2.9214272767220351</v>
      </c>
      <c r="I2">
        <v>2.8760925003706106</v>
      </c>
      <c r="J2">
        <v>2.8313018417413587</v>
      </c>
      <c r="K2">
        <v>2.7815788354988578</v>
      </c>
      <c r="L2">
        <v>2.7256894660604138</v>
      </c>
      <c r="M2">
        <v>2.6648208361219403</v>
      </c>
      <c r="N2">
        <v>2.6012668195409789</v>
      </c>
      <c r="O2">
        <v>2.5370000377044999</v>
      </c>
      <c r="P2">
        <v>2.4733195406632498</v>
      </c>
      <c r="Q2">
        <v>2.4111461745930938</v>
      </c>
      <c r="R2">
        <v>2.3511187470918271</v>
      </c>
      <c r="S2">
        <v>2.2936668092385522</v>
      </c>
      <c r="T2">
        <v>2.2390507571757512</v>
      </c>
      <c r="U2">
        <v>2.1873779729232692</v>
      </c>
      <c r="V2">
        <v>2.1386414420190327</v>
      </c>
      <c r="W2">
        <v>2.0927541332792563</v>
      </c>
      <c r="X2">
        <v>2.0495812103248556</v>
      </c>
      <c r="Y2">
        <v>2.0089620006805204</v>
      </c>
      <c r="Z2">
        <v>1.9707202015090215</v>
      </c>
      <c r="AA2">
        <v>1.9346699672215499</v>
      </c>
      <c r="AB2">
        <v>1.9006287734428216</v>
      </c>
      <c r="AC2">
        <v>1.8684283495766008</v>
      </c>
      <c r="AD2">
        <v>1.8379175936662955</v>
      </c>
      <c r="AE2">
        <v>1.8089596704633917</v>
      </c>
      <c r="AF2">
        <v>1.7814292438290591</v>
      </c>
      <c r="AG2">
        <v>1.7552097833083757</v>
      </c>
      <c r="AH2">
        <v>1.7301923042357965</v>
      </c>
      <c r="AI2">
        <v>1.7062756986002872</v>
      </c>
      <c r="AJ2">
        <v>1.6833688239205762</v>
      </c>
      <c r="AK2">
        <v>1.6613905145403987</v>
      </c>
      <c r="AL2">
        <v>1.6402680421609139</v>
      </c>
      <c r="AM2">
        <v>1.6199356592060397</v>
      </c>
      <c r="AN2">
        <v>1.600333615621311</v>
      </c>
      <c r="AO2">
        <v>1.5814076514398294</v>
      </c>
      <c r="AP2">
        <v>1.563108684745905</v>
      </c>
      <c r="AQ2">
        <v>1.5453922998617213</v>
      </c>
      <c r="AR2">
        <v>1.5282183671342577</v>
      </c>
      <c r="AS2">
        <v>1.5115506162605308</v>
      </c>
      <c r="AT2">
        <v>1.4953561976034118</v>
      </c>
      <c r="AU2">
        <v>1.4796052668781436</v>
      </c>
      <c r="AV2">
        <v>1.464270672107933</v>
      </c>
      <c r="AW2">
        <v>1.4493277635636321</v>
      </c>
      <c r="AX2">
        <v>1.4347542131036726</v>
      </c>
      <c r="AY2">
        <v>1.4205297686496987</v>
      </c>
      <c r="AZ2">
        <v>1.4066360385861847</v>
      </c>
      <c r="BA2">
        <v>1.3930563289807956</v>
      </c>
      <c r="BB2">
        <v>1.3797755402407346</v>
      </c>
      <c r="BC2">
        <v>1.366779985076966</v>
      </c>
      <c r="BD2">
        <v>1.3540571728655098</v>
      </c>
      <c r="BE2">
        <v>1.3415955841838081</v>
      </c>
      <c r="BF2">
        <v>1.3293845742943786</v>
      </c>
      <c r="BG2">
        <v>1.3174144092895486</v>
      </c>
      <c r="BH2">
        <v>1.3056763397525002</v>
      </c>
      <c r="BI2">
        <v>1.2941625753383288</v>
      </c>
    </row>
    <row r="3" spans="1:61" x14ac:dyDescent="0.2">
      <c r="A3" t="str">
        <v>2m</v>
      </c>
      <c r="B3">
        <v>3.9750805040244028</v>
      </c>
      <c r="C3">
        <v>4.2452657247176928</v>
      </c>
      <c r="D3">
        <v>4.4427318982184021</v>
      </c>
      <c r="E3">
        <v>4.4881765759660093</v>
      </c>
      <c r="F3">
        <v>4.4351856312197562</v>
      </c>
      <c r="G3">
        <v>4.3377150900511019</v>
      </c>
      <c r="H3">
        <v>4.2332809075966225</v>
      </c>
      <c r="I3">
        <v>4.1379438614381021</v>
      </c>
      <c r="J3">
        <v>4.0554490835460184</v>
      </c>
      <c r="K3">
        <v>3.9842988757088045</v>
      </c>
      <c r="L3">
        <v>3.9217026375138557</v>
      </c>
      <c r="M3">
        <v>3.8657759930591067</v>
      </c>
      <c r="N3">
        <v>3.815172126010141</v>
      </c>
      <c r="O3">
        <v>3.7687364963058516</v>
      </c>
      <c r="P3">
        <v>3.7255668810125862</v>
      </c>
      <c r="Q3">
        <v>3.6850394566255549</v>
      </c>
      <c r="R3">
        <v>3.6467334756108465</v>
      </c>
      <c r="S3">
        <v>3.6103300756014813</v>
      </c>
      <c r="T3">
        <v>3.575583288814292</v>
      </c>
      <c r="U3">
        <v>3.5422959169220567</v>
      </c>
      <c r="V3">
        <v>3.51028753269112</v>
      </c>
      <c r="W3">
        <v>3.4793926299500089</v>
      </c>
      <c r="X3">
        <v>3.4494750758769439</v>
      </c>
      <c r="Y3">
        <v>3.4204259973606277</v>
      </c>
      <c r="Z3">
        <v>3.3921470060529497</v>
      </c>
      <c r="AA3">
        <v>3.3645448353001268</v>
      </c>
      <c r="AB3">
        <v>3.3375323170912123</v>
      </c>
      <c r="AC3">
        <v>3.3110360673443067</v>
      </c>
      <c r="AD3">
        <v>3.2849972479869569</v>
      </c>
      <c r="AE3">
        <v>3.2593687122150161</v>
      </c>
      <c r="AF3">
        <v>3.2341128048879488</v>
      </c>
      <c r="AG3">
        <v>3.2091981892062642</v>
      </c>
      <c r="AH3">
        <v>3.1845964115817704</v>
      </c>
      <c r="AI3">
        <v>3.1602818942134672</v>
      </c>
      <c r="AJ3">
        <v>3.1362331350285357</v>
      </c>
      <c r="AK3">
        <v>3.1124332875132197</v>
      </c>
      <c r="AL3">
        <v>3.0888694595050823</v>
      </c>
      <c r="AM3">
        <v>3.0655315714148093</v>
      </c>
      <c r="AN3">
        <v>3.0424113385664513</v>
      </c>
      <c r="AO3">
        <v>3.0195017987772967</v>
      </c>
      <c r="AP3">
        <v>2.996797284115571</v>
      </c>
      <c r="AQ3">
        <v>2.9742934009881044</v>
      </c>
      <c r="AR3">
        <v>2.9519870397031052</v>
      </c>
      <c r="AS3">
        <v>2.9298762491382289</v>
      </c>
      <c r="AT3">
        <v>2.9079599971544097</v>
      </c>
      <c r="AU3">
        <v>2.8862379370337052</v>
      </c>
      <c r="AV3">
        <v>2.8647101921746745</v>
      </c>
      <c r="AW3">
        <v>2.8433772437984537</v>
      </c>
      <c r="AX3">
        <v>2.8222399632075601</v>
      </c>
      <c r="AY3">
        <v>2.8012995470374933</v>
      </c>
      <c r="AZ3">
        <v>2.7805574659893684</v>
      </c>
      <c r="BA3">
        <v>2.760015435645732</v>
      </c>
      <c r="BB3">
        <v>2.739675450718416</v>
      </c>
      <c r="BC3">
        <v>2.7195397841949687</v>
      </c>
      <c r="BD3">
        <v>2.699610825359422</v>
      </c>
      <c r="BE3">
        <v>2.6798908101642103</v>
      </c>
      <c r="BF3">
        <v>2.6603816584699147</v>
      </c>
      <c r="BG3">
        <v>2.6410852659931079</v>
      </c>
      <c r="BH3">
        <v>2.6220037000190541</v>
      </c>
      <c r="BI3">
        <v>2.6031390431438859</v>
      </c>
    </row>
    <row r="4" spans="1:61" x14ac:dyDescent="0.2">
      <c r="A4" t="str">
        <v>3m</v>
      </c>
      <c r="B4">
        <v>3.5221939238803817</v>
      </c>
      <c r="C4">
        <v>4.4427318982184021</v>
      </c>
      <c r="D4">
        <v>5.1787436034189183</v>
      </c>
      <c r="E4">
        <v>5.5693995133618293</v>
      </c>
      <c r="F4">
        <v>5.6808814869395254</v>
      </c>
      <c r="G4">
        <v>5.6254011449567525</v>
      </c>
      <c r="H4">
        <v>5.5014570409028822</v>
      </c>
      <c r="I4">
        <v>5.3682103226524056</v>
      </c>
      <c r="J4">
        <v>5.2498717354624622</v>
      </c>
      <c r="K4">
        <v>5.1527129387041581</v>
      </c>
      <c r="L4">
        <v>5.0755570005159205</v>
      </c>
      <c r="M4">
        <v>5.0154555381582169</v>
      </c>
      <c r="N4">
        <v>4.9685998767324442</v>
      </c>
      <c r="O4">
        <v>4.9312589165014886</v>
      </c>
      <c r="P4">
        <v>4.9005802254267712</v>
      </c>
      <c r="Q4">
        <v>4.8745084216084811</v>
      </c>
      <c r="R4">
        <v>4.8515767058578749</v>
      </c>
      <c r="S4">
        <v>4.8306866068596506</v>
      </c>
      <c r="T4">
        <v>4.8110269516155499</v>
      </c>
      <c r="U4">
        <v>4.7920236109453391</v>
      </c>
      <c r="V4">
        <v>4.7732519810630576</v>
      </c>
      <c r="W4">
        <v>4.7543990676487926</v>
      </c>
      <c r="X4">
        <v>4.7352567884489405</v>
      </c>
      <c r="Y4">
        <v>4.7157019842056052</v>
      </c>
      <c r="Z4">
        <v>4.6956600638371961</v>
      </c>
      <c r="AA4">
        <v>4.6750871630334299</v>
      </c>
      <c r="AB4">
        <v>4.6539564654876413</v>
      </c>
      <c r="AC4">
        <v>4.6322592592240071</v>
      </c>
      <c r="AD4">
        <v>4.6100018671345646</v>
      </c>
      <c r="AE4">
        <v>4.5872020155219468</v>
      </c>
      <c r="AF4">
        <v>4.5638867636907303</v>
      </c>
      <c r="AG4">
        <v>4.5400893118478205</v>
      </c>
      <c r="AH4">
        <v>4.5158443472852783</v>
      </c>
      <c r="AI4">
        <v>4.4911870887467833</v>
      </c>
      <c r="AJ4">
        <v>4.4661528072628673</v>
      </c>
      <c r="AK4">
        <v>4.4407774093351176</v>
      </c>
      <c r="AL4">
        <v>4.4150973079069695</v>
      </c>
      <c r="AM4">
        <v>4.3891486410904141</v>
      </c>
      <c r="AN4">
        <v>4.3629662947203149</v>
      </c>
      <c r="AO4">
        <v>4.3365833056904215</v>
      </c>
      <c r="AP4">
        <v>4.3100309472114011</v>
      </c>
      <c r="AQ4">
        <v>4.2833390410543277</v>
      </c>
      <c r="AR4">
        <v>4.2565362624809202</v>
      </c>
      <c r="AS4">
        <v>4.2296502700210334</v>
      </c>
      <c r="AT4">
        <v>4.2027076702392376</v>
      </c>
      <c r="AU4">
        <v>4.1757339451635085</v>
      </c>
      <c r="AV4">
        <v>4.1487532654511208</v>
      </c>
      <c r="AW4">
        <v>4.1217883682809928</v>
      </c>
      <c r="AX4">
        <v>4.0948607295748261</v>
      </c>
      <c r="AY4">
        <v>4.0679906503976282</v>
      </c>
      <c r="AZ4">
        <v>4.0411973495268541</v>
      </c>
      <c r="BA4">
        <v>4.0144990603948321</v>
      </c>
      <c r="BB4">
        <v>3.9879131846097979</v>
      </c>
      <c r="BC4">
        <v>3.9614564126011418</v>
      </c>
      <c r="BD4">
        <v>3.9351445831399268</v>
      </c>
      <c r="BE4">
        <v>3.9089923633237258</v>
      </c>
      <c r="BF4">
        <v>3.8830130861455299</v>
      </c>
      <c r="BG4">
        <v>3.8572192566453198</v>
      </c>
      <c r="BH4">
        <v>3.8316228827755263</v>
      </c>
      <c r="BI4">
        <v>3.8062352145739919</v>
      </c>
    </row>
    <row r="5" spans="1:61" x14ac:dyDescent="0.2">
      <c r="A5" t="str">
        <v>4m</v>
      </c>
      <c r="B5">
        <v>3.2461607179298371</v>
      </c>
      <c r="C5">
        <v>4.4881765759660093</v>
      </c>
      <c r="D5">
        <v>5.5693995133618293</v>
      </c>
      <c r="E5">
        <v>6.2206986277231575</v>
      </c>
      <c r="F5">
        <v>6.48516280626525</v>
      </c>
      <c r="G5">
        <v>6.4993970538141843</v>
      </c>
      <c r="H5">
        <v>6.3966056968239249</v>
      </c>
      <c r="I5">
        <v>6.2634411738952407</v>
      </c>
      <c r="J5">
        <v>6.1387369913622107</v>
      </c>
      <c r="K5">
        <v>6.0357393147306082</v>
      </c>
      <c r="L5">
        <v>5.9561135559060929</v>
      </c>
      <c r="M5">
        <v>5.8974855520075824</v>
      </c>
      <c r="N5">
        <v>5.8553358880214539</v>
      </c>
      <c r="O5">
        <v>5.8248661899639336</v>
      </c>
      <c r="P5">
        <v>5.8023765974236747</v>
      </c>
      <c r="Q5">
        <v>5.7851735983433903</v>
      </c>
      <c r="R5">
        <v>5.7713054522403677</v>
      </c>
      <c r="S5">
        <v>5.7593050284646345</v>
      </c>
      <c r="T5">
        <v>5.7480915362771201</v>
      </c>
      <c r="U5">
        <v>5.7369119697430069</v>
      </c>
      <c r="V5">
        <v>5.7252296737231756</v>
      </c>
      <c r="W5">
        <v>5.7126678400736388</v>
      </c>
      <c r="X5">
        <v>5.6989898845769638</v>
      </c>
      <c r="Y5">
        <v>5.6840730151552581</v>
      </c>
      <c r="Z5">
        <v>5.6678657582070882</v>
      </c>
      <c r="AA5">
        <v>5.6503629532974617</v>
      </c>
      <c r="AB5">
        <v>5.6315822284073791</v>
      </c>
      <c r="AC5">
        <v>5.6115605325625699</v>
      </c>
      <c r="AD5">
        <v>5.5903485929634558</v>
      </c>
      <c r="AE5">
        <v>5.5680069640076226</v>
      </c>
      <c r="AF5">
        <v>5.5446042131336108</v>
      </c>
      <c r="AG5">
        <v>5.5202142324804147</v>
      </c>
      <c r="AH5">
        <v>5.4949116222351551</v>
      </c>
      <c r="AI5">
        <v>5.4687701614734783</v>
      </c>
      <c r="AJ5">
        <v>5.4418610041959843</v>
      </c>
      <c r="AK5">
        <v>5.4142531713584221</v>
      </c>
      <c r="AL5">
        <v>5.3860138211794286</v>
      </c>
      <c r="AM5">
        <v>5.3572078213618903</v>
      </c>
      <c r="AN5">
        <v>5.327896921289458</v>
      </c>
      <c r="AO5">
        <v>5.2981390703306372</v>
      </c>
      <c r="AP5">
        <v>5.2679885419229429</v>
      </c>
      <c r="AQ5">
        <v>5.2374964459045366</v>
      </c>
      <c r="AR5">
        <v>5.2067112183702262</v>
      </c>
      <c r="AS5">
        <v>5.1756789148340845</v>
      </c>
      <c r="AT5">
        <v>5.144443328887772</v>
      </c>
      <c r="AU5">
        <v>5.11304604386312</v>
      </c>
      <c r="AV5">
        <v>5.0815262602143418</v>
      </c>
      <c r="AW5">
        <v>5.0499206471680607</v>
      </c>
      <c r="AX5">
        <v>5.0182635892917968</v>
      </c>
      <c r="AY5">
        <v>4.9865873667497835</v>
      </c>
      <c r="AZ5">
        <v>4.9549223383846366</v>
      </c>
      <c r="BA5">
        <v>4.9232971214318981</v>
      </c>
      <c r="BB5">
        <v>4.8917388169377984</v>
      </c>
      <c r="BC5">
        <v>4.860273183561282</v>
      </c>
      <c r="BD5">
        <v>4.8289244971380807</v>
      </c>
      <c r="BE5">
        <v>4.7977152157544802</v>
      </c>
      <c r="BF5">
        <v>4.7666658754486715</v>
      </c>
      <c r="BG5">
        <v>4.7357957104659176</v>
      </c>
      <c r="BH5">
        <v>4.7051230421309738</v>
      </c>
      <c r="BI5">
        <v>4.6746649539977803</v>
      </c>
    </row>
    <row r="6" spans="1:61" x14ac:dyDescent="0.2">
      <c r="A6" t="str">
        <v>5m</v>
      </c>
      <c r="B6">
        <v>3.0785339975059962</v>
      </c>
      <c r="C6">
        <v>4.4351856312197562</v>
      </c>
      <c r="D6">
        <v>5.6808814869395254</v>
      </c>
      <c r="E6">
        <v>6.48516280626525</v>
      </c>
      <c r="F6">
        <v>6.8669545063530775</v>
      </c>
      <c r="G6">
        <v>6.9640728927402975</v>
      </c>
      <c r="H6">
        <v>6.9187034251480215</v>
      </c>
      <c r="I6">
        <v>6.8270017417655904</v>
      </c>
      <c r="J6">
        <v>6.7340336783683012</v>
      </c>
      <c r="K6">
        <v>6.6568748740606951</v>
      </c>
      <c r="L6">
        <v>6.5994181941813252</v>
      </c>
      <c r="M6">
        <v>6.5603931344593525</v>
      </c>
      <c r="N6">
        <v>6.535714171449226</v>
      </c>
      <c r="O6">
        <v>6.5207368191901374</v>
      </c>
      <c r="P6">
        <v>6.5118988599372614</v>
      </c>
      <c r="Q6">
        <v>6.5066430019389507</v>
      </c>
      <c r="R6">
        <v>6.5031413314133628</v>
      </c>
      <c r="S6">
        <v>6.500043085085685</v>
      </c>
      <c r="T6">
        <v>6.49638024154733</v>
      </c>
      <c r="U6">
        <v>6.4915094070294712</v>
      </c>
      <c r="V6">
        <v>6.4850007134899066</v>
      </c>
      <c r="W6">
        <v>6.4765801055777574</v>
      </c>
      <c r="X6">
        <v>6.4661064464203211</v>
      </c>
      <c r="Y6">
        <v>6.4535453536960272</v>
      </c>
      <c r="Z6">
        <v>6.4389295407197213</v>
      </c>
      <c r="AA6">
        <v>6.4223338446257641</v>
      </c>
      <c r="AB6">
        <v>6.403848849374854</v>
      </c>
      <c r="AC6">
        <v>6.383576800067349</v>
      </c>
      <c r="AD6">
        <v>6.3616262736849096</v>
      </c>
      <c r="AE6">
        <v>6.3381091933328477</v>
      </c>
      <c r="AF6">
        <v>6.313139974285205</v>
      </c>
      <c r="AG6">
        <v>6.2868338419760637</v>
      </c>
      <c r="AH6">
        <v>6.2593031261387129</v>
      </c>
      <c r="AI6">
        <v>6.2306560672339479</v>
      </c>
      <c r="AJ6">
        <v>6.2009947235296501</v>
      </c>
      <c r="AK6">
        <v>6.1704157041278824</v>
      </c>
      <c r="AL6">
        <v>6.1390109195938196</v>
      </c>
      <c r="AM6">
        <v>6.1068675971493089</v>
      </c>
      <c r="AN6">
        <v>6.0740677847939599</v>
      </c>
      <c r="AO6">
        <v>6.0406878359826486</v>
      </c>
      <c r="AP6">
        <v>6.0067986785082317</v>
      </c>
      <c r="AQ6">
        <v>5.9724665231618337</v>
      </c>
      <c r="AR6">
        <v>5.9377535279380407</v>
      </c>
      <c r="AS6">
        <v>5.9027182442455439</v>
      </c>
      <c r="AT6">
        <v>5.867415888366688</v>
      </c>
      <c r="AU6">
        <v>5.8318985257694296</v>
      </c>
      <c r="AV6">
        <v>5.7962149738318631</v>
      </c>
      <c r="AW6">
        <v>5.7604106914803754</v>
      </c>
      <c r="AX6">
        <v>5.724528089937583</v>
      </c>
      <c r="AY6">
        <v>5.6886067866005456</v>
      </c>
      <c r="AZ6">
        <v>5.6526838572778537</v>
      </c>
      <c r="BA6">
        <v>5.6167940803580398</v>
      </c>
      <c r="BB6">
        <v>5.5809702176307221</v>
      </c>
      <c r="BC6">
        <v>5.5452432207443918</v>
      </c>
      <c r="BD6">
        <v>5.5096420993226358</v>
      </c>
      <c r="BE6">
        <v>5.4741936073657032</v>
      </c>
      <c r="BF6">
        <v>5.4389222169424754</v>
      </c>
      <c r="BG6">
        <v>5.4038508019942659</v>
      </c>
      <c r="BH6">
        <v>5.3690010389958909</v>
      </c>
      <c r="BI6">
        <v>5.334393066680156</v>
      </c>
    </row>
    <row r="7" spans="1:61" x14ac:dyDescent="0.2">
      <c r="A7" t="str">
        <v>6m</v>
      </c>
      <c r="B7">
        <v>2.9805001540193348</v>
      </c>
      <c r="C7">
        <v>4.3377150900511019</v>
      </c>
      <c r="D7">
        <v>5.6254011449567525</v>
      </c>
      <c r="E7">
        <v>6.4993970538141843</v>
      </c>
      <c r="F7">
        <v>6.9640728927402975</v>
      </c>
      <c r="G7">
        <v>7.1466805819810792</v>
      </c>
      <c r="H7">
        <v>7.1814458969624608</v>
      </c>
      <c r="I7">
        <v>7.1610673850518243</v>
      </c>
      <c r="J7">
        <v>7.1301321727496898</v>
      </c>
      <c r="K7">
        <v>7.1063766480226693</v>
      </c>
      <c r="L7">
        <v>7.0946419282249238</v>
      </c>
      <c r="M7">
        <v>7.0945495301796111</v>
      </c>
      <c r="N7">
        <v>7.1028564248901613</v>
      </c>
      <c r="O7">
        <v>7.115687135175393</v>
      </c>
      <c r="P7">
        <v>7.1301752557929214</v>
      </c>
      <c r="Q7">
        <v>7.1443794557163693</v>
      </c>
      <c r="R7">
        <v>7.1570062913698491</v>
      </c>
      <c r="S7">
        <v>7.1671689249142227</v>
      </c>
      <c r="T7">
        <v>7.1743017828606579</v>
      </c>
      <c r="U7">
        <v>7.1781037220662141</v>
      </c>
      <c r="V7">
        <v>7.1784393035083847</v>
      </c>
      <c r="W7">
        <v>7.1752903285506635</v>
      </c>
      <c r="X7">
        <v>7.1687359256327108</v>
      </c>
      <c r="Y7">
        <v>7.1589286388832623</v>
      </c>
      <c r="Z7">
        <v>7.146061033891197</v>
      </c>
      <c r="AA7">
        <v>7.1303459639960485</v>
      </c>
      <c r="AB7">
        <v>7.111992702235586</v>
      </c>
      <c r="AC7">
        <v>7.0912054495432741</v>
      </c>
      <c r="AD7">
        <v>7.0681806235812035</v>
      </c>
      <c r="AE7">
        <v>7.0431061218933291</v>
      </c>
      <c r="AF7">
        <v>7.0161622077214512</v>
      </c>
      <c r="AG7">
        <v>6.9875212316799606</v>
      </c>
      <c r="AH7">
        <v>6.9573452860805718</v>
      </c>
      <c r="AI7">
        <v>6.9257861657105817</v>
      </c>
      <c r="AJ7">
        <v>6.8929839939072721</v>
      </c>
      <c r="AK7">
        <v>6.8590686264448042</v>
      </c>
      <c r="AL7">
        <v>6.8241610765640957</v>
      </c>
      <c r="AM7">
        <v>6.7883741225249086</v>
      </c>
      <c r="AN7">
        <v>6.7518123305369473</v>
      </c>
      <c r="AO7">
        <v>6.7145719882644075</v>
      </c>
      <c r="AP7">
        <v>6.6767416877802974</v>
      </c>
      <c r="AQ7">
        <v>6.638403298820136</v>
      </c>
      <c r="AR7">
        <v>6.5996328630880381</v>
      </c>
      <c r="AS7">
        <v>6.56050124218745</v>
      </c>
      <c r="AT7">
        <v>6.5210745814067614</v>
      </c>
      <c r="AU7">
        <v>6.4814146642951957</v>
      </c>
      <c r="AV7">
        <v>6.4415789724987853</v>
      </c>
      <c r="AW7">
        <v>6.4016206984685979</v>
      </c>
      <c r="AX7">
        <v>6.3615891446703232</v>
      </c>
      <c r="AY7">
        <v>6.3215300615516723</v>
      </c>
      <c r="AZ7">
        <v>6.2814859766938493</v>
      </c>
      <c r="BA7">
        <v>6.2414965103051525</v>
      </c>
      <c r="BB7">
        <v>6.2015987196863263</v>
      </c>
      <c r="BC7">
        <v>6.1618273477231362</v>
      </c>
      <c r="BD7">
        <v>6.1222147226386223</v>
      </c>
      <c r="BE7">
        <v>6.0827904984267436</v>
      </c>
      <c r="BF7">
        <v>6.0435817117052828</v>
      </c>
      <c r="BG7">
        <v>6.0046135155236202</v>
      </c>
      <c r="BH7">
        <v>5.9659095828966615</v>
      </c>
      <c r="BI7">
        <v>5.9274917915006915</v>
      </c>
    </row>
    <row r="8" spans="1:61" x14ac:dyDescent="0.2">
      <c r="A8" t="str">
        <v>7m</v>
      </c>
      <c r="B8">
        <v>2.9214272767220351</v>
      </c>
      <c r="C8">
        <v>4.2332809075966225</v>
      </c>
      <c r="D8">
        <v>5.5014570409028822</v>
      </c>
      <c r="E8">
        <v>6.3966056968239249</v>
      </c>
      <c r="F8">
        <v>6.9187034251480215</v>
      </c>
      <c r="G8">
        <v>7.1814458969624608</v>
      </c>
      <c r="H8">
        <v>7.3038351811855149</v>
      </c>
      <c r="I8">
        <v>7.3687430463823054</v>
      </c>
      <c r="J8">
        <v>7.4164437446100111</v>
      </c>
      <c r="K8">
        <v>7.4630521088322945</v>
      </c>
      <c r="L8">
        <v>7.5130582729135487</v>
      </c>
      <c r="M8">
        <v>7.5663782465373917</v>
      </c>
      <c r="N8">
        <v>7.620445480220341</v>
      </c>
      <c r="O8">
        <v>7.6722082892578598</v>
      </c>
      <c r="P8">
        <v>7.7196217956772522</v>
      </c>
      <c r="Q8">
        <v>7.7615138314302401</v>
      </c>
      <c r="R8">
        <v>7.7972887693489179</v>
      </c>
      <c r="S8">
        <v>7.8266808360296629</v>
      </c>
      <c r="T8">
        <v>7.8496718108291867</v>
      </c>
      <c r="U8">
        <v>7.8664305312643963</v>
      </c>
      <c r="V8">
        <v>7.8772276552619998</v>
      </c>
      <c r="W8">
        <v>7.8823994549075369</v>
      </c>
      <c r="X8">
        <v>7.8823327654003119</v>
      </c>
      <c r="Y8">
        <v>7.8774418373691431</v>
      </c>
      <c r="Z8">
        <v>7.8681408272700439</v>
      </c>
      <c r="AA8">
        <v>7.8548315764838925</v>
      </c>
      <c r="AB8">
        <v>7.8378848141075723</v>
      </c>
      <c r="AC8">
        <v>7.8176429934346228</v>
      </c>
      <c r="AD8">
        <v>7.7944216791867422</v>
      </c>
      <c r="AE8">
        <v>7.7685119447851632</v>
      </c>
      <c r="AF8">
        <v>7.7401835766971772</v>
      </c>
      <c r="AG8">
        <v>7.7096864259451952</v>
      </c>
      <c r="AH8">
        <v>7.6772495623688553</v>
      </c>
      <c r="AI8">
        <v>7.6430828933462234</v>
      </c>
      <c r="AJ8">
        <v>7.6073771589188413</v>
      </c>
      <c r="AK8">
        <v>7.5703063522908121</v>
      </c>
      <c r="AL8">
        <v>7.5320300206743509</v>
      </c>
      <c r="AM8">
        <v>7.4926946175825213</v>
      </c>
      <c r="AN8">
        <v>7.4524341946422119</v>
      </c>
      <c r="AO8">
        <v>7.4113709990343937</v>
      </c>
      <c r="AP8">
        <v>7.3696165263579605</v>
      </c>
      <c r="AQ8">
        <v>7.3272728493205701</v>
      </c>
      <c r="AR8">
        <v>7.2844338217539351</v>
      </c>
      <c r="AS8">
        <v>7.2411859994634504</v>
      </c>
      <c r="AT8">
        <v>7.197609351457376</v>
      </c>
      <c r="AU8">
        <v>7.1537778311583553</v>
      </c>
      <c r="AV8">
        <v>7.109759663148437</v>
      </c>
      <c r="AW8">
        <v>7.0656175497000975</v>
      </c>
      <c r="AX8">
        <v>7.0214091955551723</v>
      </c>
      <c r="AY8">
        <v>6.9771877559675159</v>
      </c>
      <c r="AZ8">
        <v>6.9330022660439736</v>
      </c>
      <c r="BA8">
        <v>6.8888980483755171</v>
      </c>
      <c r="BB8">
        <v>6.8449171421928732</v>
      </c>
      <c r="BC8">
        <v>6.8010986173722605</v>
      </c>
      <c r="BD8">
        <v>6.7574785312077106</v>
      </c>
      <c r="BE8">
        <v>6.7140897451687334</v>
      </c>
      <c r="BF8">
        <v>6.6709620650743098</v>
      </c>
      <c r="BG8">
        <v>6.628123034693683</v>
      </c>
      <c r="BH8">
        <v>6.5855983572701478</v>
      </c>
      <c r="BI8">
        <v>6.5434116306327414</v>
      </c>
    </row>
    <row r="9" spans="1:61" x14ac:dyDescent="0.2">
      <c r="A9" t="str">
        <v>8m</v>
      </c>
      <c r="B9">
        <v>2.8760925003706106</v>
      </c>
      <c r="C9">
        <v>4.1379438614381021</v>
      </c>
      <c r="D9">
        <v>5.3682103226524056</v>
      </c>
      <c r="E9">
        <v>6.2634411738952407</v>
      </c>
      <c r="F9">
        <v>6.8270017417655904</v>
      </c>
      <c r="G9">
        <v>7.1610673850518243</v>
      </c>
      <c r="H9">
        <v>7.3687430463823054</v>
      </c>
      <c r="I9">
        <v>7.5215755880367103</v>
      </c>
      <c r="J9">
        <v>7.6540244172796896</v>
      </c>
      <c r="K9">
        <v>7.7792150093339654</v>
      </c>
      <c r="L9">
        <v>7.9002056952446242</v>
      </c>
      <c r="M9">
        <v>8.0164878970943043</v>
      </c>
      <c r="N9">
        <v>8.1256938128152036</v>
      </c>
      <c r="O9">
        <v>8.2253044460971516</v>
      </c>
      <c r="P9">
        <v>8.313940627708547</v>
      </c>
      <c r="Q9">
        <v>8.3911306758472648</v>
      </c>
      <c r="R9">
        <v>8.456964192074226</v>
      </c>
      <c r="S9">
        <v>8.5118131910060129</v>
      </c>
      <c r="T9">
        <v>8.5562409417476566</v>
      </c>
      <c r="U9">
        <v>8.5909299727476363</v>
      </c>
      <c r="V9">
        <v>8.6166050050679797</v>
      </c>
      <c r="W9">
        <v>8.6340070504220403</v>
      </c>
      <c r="X9">
        <v>8.6438819804333189</v>
      </c>
      <c r="Y9">
        <v>8.6469547145600405</v>
      </c>
      <c r="Z9">
        <v>8.6439051059226522</v>
      </c>
      <c r="AA9">
        <v>8.6353633399403318</v>
      </c>
      <c r="AB9">
        <v>8.6218965333490427</v>
      </c>
      <c r="AC9">
        <v>8.6040164063816302</v>
      </c>
      <c r="AD9">
        <v>8.5821854351608735</v>
      </c>
      <c r="AE9">
        <v>8.5568228900073766</v>
      </c>
      <c r="AF9">
        <v>8.5283107296637706</v>
      </c>
      <c r="AG9">
        <v>8.4969966800614305</v>
      </c>
      <c r="AH9">
        <v>8.463194849396519</v>
      </c>
      <c r="AI9">
        <v>8.4271892463050317</v>
      </c>
      <c r="AJ9">
        <v>8.3892354541956653</v>
      </c>
      <c r="AK9">
        <v>8.3495642965968457</v>
      </c>
      <c r="AL9">
        <v>8.3083851911552387</v>
      </c>
      <c r="AM9">
        <v>8.2658883832842847</v>
      </c>
      <c r="AN9">
        <v>8.2222464188574467</v>
      </c>
      <c r="AO9">
        <v>8.1776155482821427</v>
      </c>
      <c r="AP9">
        <v>8.1321373717481258</v>
      </c>
      <c r="AQ9">
        <v>8.0859406152803306</v>
      </c>
      <c r="AR9">
        <v>8.0391427277469614</v>
      </c>
      <c r="AS9">
        <v>7.9918511497325815</v>
      </c>
      <c r="AT9">
        <v>7.9441643300415006</v>
      </c>
      <c r="AU9">
        <v>7.8961725598228938</v>
      </c>
      <c r="AV9">
        <v>7.8479585392725841</v>
      </c>
      <c r="AW9">
        <v>7.7995978285539067</v>
      </c>
      <c r="AX9">
        <v>7.7511595370652051</v>
      </c>
      <c r="AY9">
        <v>7.70270691366433</v>
      </c>
      <c r="AZ9">
        <v>7.6542979059540599</v>
      </c>
      <c r="BA9">
        <v>7.6059856867996993</v>
      </c>
      <c r="BB9">
        <v>7.5578191941930557</v>
      </c>
      <c r="BC9">
        <v>7.5098435393747218</v>
      </c>
      <c r="BD9">
        <v>7.4621000442013292</v>
      </c>
      <c r="BE9">
        <v>7.4146261473026556</v>
      </c>
      <c r="BF9">
        <v>7.367455625698196</v>
      </c>
      <c r="BG9">
        <v>7.3206194700430052</v>
      </c>
      <c r="BH9">
        <v>7.2741463521733678</v>
      </c>
      <c r="BI9">
        <v>7.2280624241318803</v>
      </c>
    </row>
    <row r="10" spans="1:61" x14ac:dyDescent="0.2">
      <c r="A10" t="str">
        <v>9m</v>
      </c>
      <c r="B10">
        <v>2.8313018417413587</v>
      </c>
      <c r="C10">
        <v>4.0554490835460184</v>
      </c>
      <c r="D10">
        <v>5.2498717354624622</v>
      </c>
      <c r="E10">
        <v>6.1387369913622107</v>
      </c>
      <c r="F10">
        <v>6.7340336783683012</v>
      </c>
      <c r="G10">
        <v>7.1301321727496898</v>
      </c>
      <c r="H10">
        <v>7.4164437446100111</v>
      </c>
      <c r="I10">
        <v>7.6540244172796896</v>
      </c>
      <c r="J10">
        <v>7.871292042191282</v>
      </c>
      <c r="K10">
        <v>8.0776658437764333</v>
      </c>
      <c r="L10">
        <v>8.2739874746611868</v>
      </c>
      <c r="M10">
        <v>8.4586812418383612</v>
      </c>
      <c r="N10">
        <v>8.6290468699420888</v>
      </c>
      <c r="O10">
        <v>8.7827050753765725</v>
      </c>
      <c r="P10">
        <v>8.918688119709163</v>
      </c>
      <c r="Q10">
        <v>9.0370675251560595</v>
      </c>
      <c r="R10">
        <v>9.1385267303655535</v>
      </c>
      <c r="S10">
        <v>9.2240238234750223</v>
      </c>
      <c r="T10">
        <v>9.2946793055108223</v>
      </c>
      <c r="U10">
        <v>9.3516851094301998</v>
      </c>
      <c r="V10">
        <v>9.3962286702434099</v>
      </c>
      <c r="W10">
        <v>9.4294734379258767</v>
      </c>
      <c r="X10">
        <v>9.4525486163776122</v>
      </c>
      <c r="Y10">
        <v>9.4665169962007329</v>
      </c>
      <c r="Z10">
        <v>9.472351241734259</v>
      </c>
      <c r="AA10">
        <v>9.4709359710494034</v>
      </c>
      <c r="AB10">
        <v>9.4630589903922413</v>
      </c>
      <c r="AC10">
        <v>9.4494236400015268</v>
      </c>
      <c r="AD10">
        <v>9.4306598758165148</v>
      </c>
      <c r="AE10">
        <v>9.407334177872583</v>
      </c>
      <c r="AF10">
        <v>9.3799583313946719</v>
      </c>
      <c r="AG10">
        <v>9.348994245329429</v>
      </c>
      <c r="AH10">
        <v>9.3148559136459177</v>
      </c>
      <c r="AI10">
        <v>9.2779149074772835</v>
      </c>
      <c r="AJ10">
        <v>9.2385038250770375</v>
      </c>
      <c r="AK10">
        <v>9.1969213264291447</v>
      </c>
      <c r="AL10">
        <v>9.153436668012187</v>
      </c>
      <c r="AM10">
        <v>9.1082929182601617</v>
      </c>
      <c r="AN10">
        <v>9.0617092831581179</v>
      </c>
      <c r="AO10">
        <v>9.0138833990474527</v>
      </c>
      <c r="AP10">
        <v>8.9649936530368883</v>
      </c>
      <c r="AQ10">
        <v>8.9152014798091628</v>
      </c>
      <c r="AR10">
        <v>8.864653419767901</v>
      </c>
      <c r="AS10">
        <v>8.8134827977510515</v>
      </c>
      <c r="AT10">
        <v>8.7618110920618459</v>
      </c>
      <c r="AU10">
        <v>8.7097490683882555</v>
      </c>
      <c r="AV10">
        <v>8.657397661768389</v>
      </c>
      <c r="AW10">
        <v>8.6048487034330758</v>
      </c>
      <c r="AX10">
        <v>8.5521858064224983</v>
      </c>
      <c r="AY10">
        <v>8.4994851264919014</v>
      </c>
      <c r="AZ10">
        <v>8.4468160781153827</v>
      </c>
      <c r="BA10">
        <v>8.3942420039367587</v>
      </c>
      <c r="BB10">
        <v>8.3418208483535263</v>
      </c>
      <c r="BC10">
        <v>8.2896056852129014</v>
      </c>
      <c r="BD10">
        <v>8.2376448544660512</v>
      </c>
      <c r="BE10">
        <v>8.1859819642628242</v>
      </c>
      <c r="BF10">
        <v>8.1346561912326791</v>
      </c>
      <c r="BG10">
        <v>8.0837032595360014</v>
      </c>
      <c r="BH10">
        <v>8.0331559830175419</v>
      </c>
      <c r="BI10">
        <v>7.9830441345667911</v>
      </c>
    </row>
    <row r="11" spans="1:61" x14ac:dyDescent="0.2">
      <c r="A11" t="str">
        <v>10m</v>
      </c>
      <c r="B11">
        <v>2.7815788354988578</v>
      </c>
      <c r="C11">
        <v>3.9842988757088045</v>
      </c>
      <c r="D11">
        <v>5.1527129387041581</v>
      </c>
      <c r="E11">
        <v>6.0357393147306082</v>
      </c>
      <c r="F11">
        <v>6.6568748740606951</v>
      </c>
      <c r="G11">
        <v>7.1063766480226693</v>
      </c>
      <c r="H11">
        <v>7.4630521088322945</v>
      </c>
      <c r="I11">
        <v>7.7792150093339654</v>
      </c>
      <c r="J11">
        <v>8.0776658437764333</v>
      </c>
      <c r="K11">
        <v>8.3638694038440597</v>
      </c>
      <c r="L11">
        <v>8.6359783500761349</v>
      </c>
      <c r="M11">
        <v>8.8908777639757499</v>
      </c>
      <c r="N11">
        <v>9.1250841159490399</v>
      </c>
      <c r="O11">
        <v>9.3359931748339786</v>
      </c>
      <c r="P11">
        <v>9.5227943233468242</v>
      </c>
      <c r="Q11">
        <v>9.6859285198149632</v>
      </c>
      <c r="R11">
        <v>9.8265558849765977</v>
      </c>
      <c r="S11">
        <v>9.9461401064603923</v>
      </c>
      <c r="T11">
        <v>10.046305455591241</v>
      </c>
      <c r="U11">
        <v>10.128721286225639</v>
      </c>
      <c r="V11">
        <v>10.195020851837292</v>
      </c>
      <c r="W11">
        <v>10.246784102888784</v>
      </c>
      <c r="X11">
        <v>10.285526027163378</v>
      </c>
      <c r="Y11">
        <v>10.312655110254987</v>
      </c>
      <c r="Z11">
        <v>10.329447387115705</v>
      </c>
      <c r="AA11">
        <v>10.337053848722523</v>
      </c>
      <c r="AB11">
        <v>10.336495121533563</v>
      </c>
      <c r="AC11">
        <v>10.328677978773284</v>
      </c>
      <c r="AD11">
        <v>10.314411197545677</v>
      </c>
      <c r="AE11">
        <v>10.294419343519074</v>
      </c>
      <c r="AF11">
        <v>10.269354480101104</v>
      </c>
      <c r="AG11">
        <v>10.239802676740803</v>
      </c>
      <c r="AH11">
        <v>10.206287179450102</v>
      </c>
      <c r="AI11">
        <v>10.169275837171778</v>
      </c>
      <c r="AJ11">
        <v>10.129186285025712</v>
      </c>
      <c r="AK11">
        <v>10.086392378669</v>
      </c>
      <c r="AL11">
        <v>10.041229973759057</v>
      </c>
      <c r="AM11">
        <v>9.9940011759671741</v>
      </c>
      <c r="AN11">
        <v>9.944977549885019</v>
      </c>
      <c r="AO11">
        <v>9.8944033289099806</v>
      </c>
      <c r="AP11">
        <v>9.8424984509450582</v>
      </c>
      <c r="AQ11">
        <v>9.7894614199857148</v>
      </c>
      <c r="AR11">
        <v>9.7354718681098422</v>
      </c>
      <c r="AS11">
        <v>9.680692683091241</v>
      </c>
      <c r="AT11">
        <v>9.6252717591463579</v>
      </c>
      <c r="AU11">
        <v>9.5693434527507328</v>
      </c>
      <c r="AV11">
        <v>9.5130297967759798</v>
      </c>
      <c r="AW11">
        <v>9.4564415166601119</v>
      </c>
      <c r="AX11">
        <v>9.3996791323362068</v>
      </c>
      <c r="AY11">
        <v>9.3428339092089612</v>
      </c>
      <c r="AZ11">
        <v>9.2859887493809676</v>
      </c>
      <c r="BA11">
        <v>9.2292190205706053</v>
      </c>
      <c r="BB11">
        <v>9.17259337900399</v>
      </c>
      <c r="BC11">
        <v>9.116174434371624</v>
      </c>
      <c r="BD11">
        <v>9.0600189977946677</v>
      </c>
      <c r="BE11">
        <v>9.0041781813445372</v>
      </c>
      <c r="BF11">
        <v>8.9486977737870816</v>
      </c>
      <c r="BG11">
        <v>8.8936193394383558</v>
      </c>
      <c r="BH11">
        <v>8.8389808571234756</v>
      </c>
      <c r="BI11">
        <v>8.7848166616562988</v>
      </c>
    </row>
    <row r="12" spans="1:61" x14ac:dyDescent="0.2">
      <c r="A12" t="str">
        <v>11m</v>
      </c>
      <c r="B12">
        <v>2.7256894660604138</v>
      </c>
      <c r="C12">
        <v>3.9217026375138557</v>
      </c>
      <c r="D12">
        <v>5.0755570005159205</v>
      </c>
      <c r="E12">
        <v>5.9561135559060929</v>
      </c>
      <c r="F12">
        <v>6.5994181941813252</v>
      </c>
      <c r="G12">
        <v>7.0946419282249238</v>
      </c>
      <c r="H12">
        <v>7.5130582729135487</v>
      </c>
      <c r="I12">
        <v>7.9002056952446242</v>
      </c>
      <c r="J12">
        <v>8.2739874746611868</v>
      </c>
      <c r="K12">
        <v>8.6359783500761349</v>
      </c>
      <c r="L12">
        <v>8.9814346696932823</v>
      </c>
      <c r="M12">
        <v>9.3054110904365235</v>
      </c>
      <c r="N12">
        <v>9.6033128894844921</v>
      </c>
      <c r="O12">
        <v>9.8720217135063937</v>
      </c>
      <c r="P12">
        <v>10.1106682801546</v>
      </c>
      <c r="Q12">
        <v>10.31990380098282</v>
      </c>
      <c r="R12">
        <v>10.501247398343752</v>
      </c>
      <c r="S12">
        <v>10.656579684804839</v>
      </c>
      <c r="T12">
        <v>10.787962528073894</v>
      </c>
      <c r="U12">
        <v>10.897495683309312</v>
      </c>
      <c r="V12">
        <v>10.987225416423467</v>
      </c>
      <c r="W12">
        <v>11.059125947526267</v>
      </c>
      <c r="X12">
        <v>11.115084177347841</v>
      </c>
      <c r="Y12">
        <v>11.156846717935215</v>
      </c>
      <c r="Z12">
        <v>11.185989703808666</v>
      </c>
      <c r="AA12">
        <v>11.203930094987264</v>
      </c>
      <c r="AB12">
        <v>11.211922529563676</v>
      </c>
      <c r="AC12">
        <v>11.211079332057809</v>
      </c>
      <c r="AD12">
        <v>11.202390796814054</v>
      </c>
      <c r="AE12">
        <v>11.186742690035777</v>
      </c>
      <c r="AF12">
        <v>11.164930803694151</v>
      </c>
      <c r="AG12">
        <v>11.137669060185912</v>
      </c>
      <c r="AH12">
        <v>11.105593753665882</v>
      </c>
      <c r="AI12">
        <v>11.069272795552477</v>
      </c>
      <c r="AJ12">
        <v>11.029212503745242</v>
      </c>
      <c r="AK12">
        <v>10.985865393447785</v>
      </c>
      <c r="AL12">
        <v>10.939637205963422</v>
      </c>
      <c r="AM12">
        <v>10.890892201185247</v>
      </c>
      <c r="AN12">
        <v>10.839957243704974</v>
      </c>
      <c r="AO12">
        <v>10.787125915258976</v>
      </c>
      <c r="AP12">
        <v>10.732662268510545</v>
      </c>
      <c r="AQ12">
        <v>10.676804268113298</v>
      </c>
      <c r="AR12">
        <v>10.619766873511139</v>
      </c>
      <c r="AS12">
        <v>10.561744631434742</v>
      </c>
      <c r="AT12">
        <v>10.502913819132841</v>
      </c>
      <c r="AU12">
        <v>10.443434229232569</v>
      </c>
      <c r="AV12">
        <v>10.383450717019659</v>
      </c>
      <c r="AW12">
        <v>10.323094504495732</v>
      </c>
      <c r="AX12">
        <v>10.26248450661295</v>
      </c>
      <c r="AY12">
        <v>10.201728481702297</v>
      </c>
      <c r="AZ12">
        <v>10.140924107244285</v>
      </c>
      <c r="BA12">
        <v>10.080159976504074</v>
      </c>
      <c r="BB12">
        <v>10.019516578276088</v>
      </c>
      <c r="BC12">
        <v>9.9590671083618467</v>
      </c>
      <c r="BD12">
        <v>9.8988778342939874</v>
      </c>
      <c r="BE12">
        <v>9.8390082900013613</v>
      </c>
      <c r="BF12">
        <v>9.7795117232708311</v>
      </c>
      <c r="BG12">
        <v>9.7204363228831898</v>
      </c>
      <c r="BH12">
        <v>9.6618259687884933</v>
      </c>
      <c r="BI12">
        <v>9.6037202442123455</v>
      </c>
    </row>
    <row r="13" spans="1:61" x14ac:dyDescent="0.2">
      <c r="A13" t="str">
        <v>12m</v>
      </c>
      <c r="B13">
        <v>2.6648208361219403</v>
      </c>
      <c r="C13">
        <v>3.8657759930591067</v>
      </c>
      <c r="D13">
        <v>5.0154555381582169</v>
      </c>
      <c r="E13">
        <v>5.8974855520075824</v>
      </c>
      <c r="F13">
        <v>6.5603931344593525</v>
      </c>
      <c r="G13">
        <v>7.0945495301796111</v>
      </c>
      <c r="H13">
        <v>7.5663782465373917</v>
      </c>
      <c r="I13">
        <v>8.0164878970943043</v>
      </c>
      <c r="J13">
        <v>8.4586812418383612</v>
      </c>
      <c r="K13">
        <v>8.8908777639757499</v>
      </c>
      <c r="L13">
        <v>9.3054110904365235</v>
      </c>
      <c r="M13">
        <v>9.6953610194457376</v>
      </c>
      <c r="N13">
        <v>10.054812538897336</v>
      </c>
      <c r="O13">
        <v>10.379924752010819</v>
      </c>
      <c r="P13">
        <v>10.669600907521881</v>
      </c>
      <c r="Q13">
        <v>10.924568721882327</v>
      </c>
      <c r="R13">
        <v>11.146600033006189</v>
      </c>
      <c r="S13">
        <v>11.337907162675187</v>
      </c>
      <c r="T13">
        <v>11.500921527241179</v>
      </c>
      <c r="U13">
        <v>11.638120732560932</v>
      </c>
      <c r="V13">
        <v>11.751923533461724</v>
      </c>
      <c r="W13">
        <v>11.844667035759993</v>
      </c>
      <c r="X13">
        <v>11.918586116839441</v>
      </c>
      <c r="Y13">
        <v>11.975747837437174</v>
      </c>
      <c r="Z13">
        <v>12.018015618039641</v>
      </c>
      <c r="AA13">
        <v>12.047063150232818</v>
      </c>
      <c r="AB13">
        <v>12.064372271347059</v>
      </c>
      <c r="AC13">
        <v>12.071255767523262</v>
      </c>
      <c r="AD13">
        <v>12.068881635054272</v>
      </c>
      <c r="AE13">
        <v>12.058294040290331</v>
      </c>
      <c r="AF13">
        <v>12.040430553613149</v>
      </c>
      <c r="AG13">
        <v>12.016131730331679</v>
      </c>
      <c r="AH13">
        <v>11.986146288586434</v>
      </c>
      <c r="AI13">
        <v>11.951142019853854</v>
      </c>
      <c r="AJ13">
        <v>11.911714016881211</v>
      </c>
      <c r="AK13">
        <v>11.86839373158214</v>
      </c>
      <c r="AL13">
        <v>11.821657213994152</v>
      </c>
      <c r="AM13">
        <v>11.771931420731644</v>
      </c>
      <c r="AN13">
        <v>11.71959914547651</v>
      </c>
      <c r="AO13">
        <v>11.665003991240271</v>
      </c>
      <c r="AP13">
        <v>11.608454818677711</v>
      </c>
      <c r="AQ13">
        <v>11.550229758531946</v>
      </c>
      <c r="AR13">
        <v>11.490579811804849</v>
      </c>
      <c r="AS13">
        <v>11.429731904795773</v>
      </c>
      <c r="AT13">
        <v>11.367891420833578</v>
      </c>
      <c r="AU13">
        <v>11.305244309421136</v>
      </c>
      <c r="AV13">
        <v>11.241958956351159</v>
      </c>
      <c r="AW13">
        <v>11.178187764214909</v>
      </c>
      <c r="AX13">
        <v>11.114068701604907</v>
      </c>
      <c r="AY13">
        <v>11.049726654058269</v>
      </c>
      <c r="AZ13">
        <v>10.985274686012586</v>
      </c>
      <c r="BA13">
        <v>10.920815206481036</v>
      </c>
      <c r="BB13">
        <v>10.856441106594167</v>
      </c>
      <c r="BC13">
        <v>10.792236720077527</v>
      </c>
      <c r="BD13">
        <v>10.728278304922995</v>
      </c>
      <c r="BE13">
        <v>10.664634328147013</v>
      </c>
      <c r="BF13">
        <v>10.601365980397375</v>
      </c>
      <c r="BG13">
        <v>10.538528534072181</v>
      </c>
      <c r="BH13">
        <v>10.476172212626201</v>
      </c>
      <c r="BI13">
        <v>10.414342269442976</v>
      </c>
    </row>
    <row r="14" spans="1:61" x14ac:dyDescent="0.2">
      <c r="A14" t="str">
        <v>13m</v>
      </c>
      <c r="B14">
        <v>2.6012668195409789</v>
      </c>
      <c r="C14">
        <v>3.815172126010141</v>
      </c>
      <c r="D14">
        <v>4.9685998767324442</v>
      </c>
      <c r="E14">
        <v>5.8553358880214539</v>
      </c>
      <c r="F14">
        <v>6.535714171449226</v>
      </c>
      <c r="G14">
        <v>7.1028564248901613</v>
      </c>
      <c r="H14">
        <v>7.620445480220341</v>
      </c>
      <c r="I14">
        <v>8.1256938128152036</v>
      </c>
      <c r="J14">
        <v>8.6290468699420888</v>
      </c>
      <c r="K14">
        <v>9.1250841159490399</v>
      </c>
      <c r="L14">
        <v>9.6033128894844921</v>
      </c>
      <c r="M14">
        <v>10.054812538897336</v>
      </c>
      <c r="N14">
        <v>10.472248808644897</v>
      </c>
      <c r="O14">
        <v>10.850930326562874</v>
      </c>
      <c r="P14">
        <v>11.189414442003423</v>
      </c>
      <c r="Q14">
        <v>11.488402693707474</v>
      </c>
      <c r="R14">
        <v>11.749831537202374</v>
      </c>
      <c r="S14">
        <v>11.976170160687472</v>
      </c>
      <c r="T14">
        <v>12.170156239748041</v>
      </c>
      <c r="U14">
        <v>12.334593141857439</v>
      </c>
      <c r="V14">
        <v>12.472229169291639</v>
      </c>
      <c r="W14">
        <v>12.585728508824504</v>
      </c>
      <c r="X14">
        <v>12.677644256298096</v>
      </c>
      <c r="Y14">
        <v>12.750339788849912</v>
      </c>
      <c r="Z14">
        <v>12.805946484201236</v>
      </c>
      <c r="AA14">
        <v>12.84637921420174</v>
      </c>
      <c r="AB14">
        <v>12.87333432922526</v>
      </c>
      <c r="AC14">
        <v>12.888314600706964</v>
      </c>
      <c r="AD14">
        <v>12.892656976101442</v>
      </c>
      <c r="AE14">
        <v>12.887556680906245</v>
      </c>
      <c r="AF14">
        <v>12.874086917076719</v>
      </c>
      <c r="AG14">
        <v>12.853209784397416</v>
      </c>
      <c r="AH14">
        <v>12.825782268253146</v>
      </c>
      <c r="AI14">
        <v>12.792568645333205</v>
      </c>
      <c r="AJ14">
        <v>12.75424997179767</v>
      </c>
      <c r="AK14">
        <v>12.711434292035074</v>
      </c>
      <c r="AL14">
        <v>12.664666016348832</v>
      </c>
      <c r="AM14">
        <v>12.614433192141242</v>
      </c>
      <c r="AN14">
        <v>12.561173226370908</v>
      </c>
      <c r="AO14">
        <v>12.505278656789805</v>
      </c>
      <c r="AP14">
        <v>12.447102252852392</v>
      </c>
      <c r="AQ14">
        <v>12.386961573681662</v>
      </c>
      <c r="AR14">
        <v>12.325143065824927</v>
      </c>
      <c r="AS14">
        <v>12.26190556380452</v>
      </c>
      <c r="AT14">
        <v>12.197483194456947</v>
      </c>
      <c r="AU14">
        <v>12.132087796091554</v>
      </c>
      <c r="AV14">
        <v>12.065911093148216</v>
      </c>
      <c r="AW14">
        <v>11.999126535089909</v>
      </c>
      <c r="AX14">
        <v>11.931891059928022</v>
      </c>
      <c r="AY14">
        <v>11.86434663982717</v>
      </c>
      <c r="AZ14">
        <v>11.796621724438381</v>
      </c>
      <c r="BA14">
        <v>11.728832571107553</v>
      </c>
      <c r="BB14">
        <v>11.661084535701542</v>
      </c>
      <c r="BC14">
        <v>11.59347317907628</v>
      </c>
      <c r="BD14">
        <v>11.526084861709602</v>
      </c>
      <c r="BE14">
        <v>11.458997111449568</v>
      </c>
      <c r="BF14">
        <v>11.392279199729815</v>
      </c>
      <c r="BG14">
        <v>11.325993628819701</v>
      </c>
      <c r="BH14">
        <v>11.260197122626892</v>
      </c>
      <c r="BI14">
        <v>11.194940766871389</v>
      </c>
    </row>
    <row r="15" spans="1:61" x14ac:dyDescent="0.2">
      <c r="A15" t="str">
        <v>14m</v>
      </c>
      <c r="B15">
        <v>2.5370000377044999</v>
      </c>
      <c r="C15">
        <v>3.7687364963058516</v>
      </c>
      <c r="D15">
        <v>4.9312589165014886</v>
      </c>
      <c r="E15">
        <v>5.8248661899639336</v>
      </c>
      <c r="F15">
        <v>6.5207368191901374</v>
      </c>
      <c r="G15">
        <v>7.115687135175393</v>
      </c>
      <c r="H15">
        <v>7.6722082892578598</v>
      </c>
      <c r="I15">
        <v>8.2253044460971516</v>
      </c>
      <c r="J15">
        <v>8.7827050753765725</v>
      </c>
      <c r="K15">
        <v>9.3359931748339786</v>
      </c>
      <c r="L15">
        <v>9.8720217135063937</v>
      </c>
      <c r="M15">
        <v>10.379924752010819</v>
      </c>
      <c r="N15">
        <v>10.850930326562874</v>
      </c>
      <c r="O15">
        <v>11.279436058152427</v>
      </c>
      <c r="P15">
        <v>11.663581259393283</v>
      </c>
      <c r="Q15">
        <v>12.00396895284711</v>
      </c>
      <c r="R15">
        <v>12.302631537757589</v>
      </c>
      <c r="S15">
        <v>12.562232691692413</v>
      </c>
      <c r="T15">
        <v>12.785760498417336</v>
      </c>
      <c r="U15">
        <v>12.976295551900574</v>
      </c>
      <c r="V15">
        <v>13.136873606315728</v>
      </c>
      <c r="W15">
        <v>13.270449043366446</v>
      </c>
      <c r="X15">
        <v>13.379860930391759</v>
      </c>
      <c r="Y15">
        <v>13.467741526052357</v>
      </c>
      <c r="Z15">
        <v>13.53646718325068</v>
      </c>
      <c r="AA15">
        <v>13.588174626381717</v>
      </c>
      <c r="AB15">
        <v>13.624758377967867</v>
      </c>
      <c r="AC15">
        <v>13.647897281259606</v>
      </c>
      <c r="AD15">
        <v>13.659085278847666</v>
      </c>
      <c r="AE15">
        <v>13.659658320711014</v>
      </c>
      <c r="AF15">
        <v>13.650816286505938</v>
      </c>
      <c r="AG15">
        <v>13.633635106996145</v>
      </c>
      <c r="AH15">
        <v>13.609073446665461</v>
      </c>
      <c r="AI15">
        <v>13.577986431595473</v>
      </c>
      <c r="AJ15">
        <v>13.541136224301452</v>
      </c>
      <c r="AK15">
        <v>13.499203256628014</v>
      </c>
      <c r="AL15">
        <v>13.452796655086287</v>
      </c>
      <c r="AM15">
        <v>13.402462404324011</v>
      </c>
      <c r="AN15">
        <v>13.348689797242661</v>
      </c>
      <c r="AO15">
        <v>13.291917934614865</v>
      </c>
      <c r="AP15">
        <v>13.232541425930602</v>
      </c>
      <c r="AQ15">
        <v>13.170915455348712</v>
      </c>
      <c r="AR15">
        <v>13.107360346036394</v>
      </c>
      <c r="AS15">
        <v>13.04216547904741</v>
      </c>
      <c r="AT15">
        <v>12.975592546205514</v>
      </c>
      <c r="AU15">
        <v>12.907878258571818</v>
      </c>
      <c r="AV15">
        <v>12.839236802366992</v>
      </c>
      <c r="AW15">
        <v>12.76986191449163</v>
      </c>
      <c r="AX15">
        <v>12.699928846835942</v>
      </c>
      <c r="AY15">
        <v>12.62959609577557</v>
      </c>
      <c r="AZ15">
        <v>12.559007017414578</v>
      </c>
      <c r="BA15">
        <v>12.488291313618834</v>
      </c>
      <c r="BB15">
        <v>12.417566467723647</v>
      </c>
      <c r="BC15">
        <v>12.346938990067363</v>
      </c>
      <c r="BD15">
        <v>12.276505118989524</v>
      </c>
      <c r="BE15">
        <v>12.206351263660878</v>
      </c>
      <c r="BF15">
        <v>12.136554635741723</v>
      </c>
      <c r="BG15">
        <v>12.067184859840966</v>
      </c>
      <c r="BH15">
        <v>11.998305083502101</v>
      </c>
      <c r="BI15">
        <v>11.929972172901069</v>
      </c>
    </row>
    <row r="16" spans="1:61" x14ac:dyDescent="0.2">
      <c r="A16" t="str">
        <v>15m</v>
      </c>
      <c r="B16">
        <v>2.4733195406632498</v>
      </c>
      <c r="C16">
        <v>3.7255668810125862</v>
      </c>
      <c r="D16">
        <v>4.9005802254267712</v>
      </c>
      <c r="E16">
        <v>5.8023765974236747</v>
      </c>
      <c r="F16">
        <v>6.5118988599372614</v>
      </c>
      <c r="G16">
        <v>7.1301752557929214</v>
      </c>
      <c r="H16">
        <v>7.7196217956772522</v>
      </c>
      <c r="I16">
        <v>8.313940627708547</v>
      </c>
      <c r="J16">
        <v>8.918688119709163</v>
      </c>
      <c r="K16">
        <v>9.5227943233468242</v>
      </c>
      <c r="L16">
        <v>10.1106682801546</v>
      </c>
      <c r="M16">
        <v>10.669600907521881</v>
      </c>
      <c r="N16">
        <v>11.189414442003423</v>
      </c>
      <c r="O16">
        <v>11.663581259393283</v>
      </c>
      <c r="P16">
        <v>12.089784491458786</v>
      </c>
      <c r="Q16">
        <v>12.468479813446931</v>
      </c>
      <c r="R16">
        <v>12.801742964236153</v>
      </c>
      <c r="S16">
        <v>13.092380847990494</v>
      </c>
      <c r="T16">
        <v>13.34358358957383</v>
      </c>
      <c r="U16">
        <v>13.558665100727517</v>
      </c>
      <c r="V16">
        <v>13.740909070081157</v>
      </c>
      <c r="W16">
        <v>13.893524281367744</v>
      </c>
      <c r="X16">
        <v>14.019603486706522</v>
      </c>
      <c r="Y16">
        <v>14.122019587949772</v>
      </c>
      <c r="Z16">
        <v>14.203369680938133</v>
      </c>
      <c r="AA16">
        <v>14.265991494877847</v>
      </c>
      <c r="AB16">
        <v>14.311959786495841</v>
      </c>
      <c r="AC16">
        <v>14.34311398004365</v>
      </c>
      <c r="AD16">
        <v>14.361091535665299</v>
      </c>
      <c r="AE16">
        <v>14.367357331400724</v>
      </c>
      <c r="AF16">
        <v>14.363227563753824</v>
      </c>
      <c r="AG16">
        <v>14.349882931804611</v>
      </c>
      <c r="AH16">
        <v>14.328375912855126</v>
      </c>
      <c r="AI16">
        <v>14.299645645222716</v>
      </c>
      <c r="AJ16">
        <v>14.264529428207222</v>
      </c>
      <c r="AK16">
        <v>14.223774852582808</v>
      </c>
      <c r="AL16">
        <v>14.178051174331346</v>
      </c>
      <c r="AM16">
        <v>14.127958292169724</v>
      </c>
      <c r="AN16">
        <v>14.074033856419096</v>
      </c>
      <c r="AO16">
        <v>14.016760423430952</v>
      </c>
      <c r="AP16">
        <v>13.956571699399412</v>
      </c>
      <c r="AQ16">
        <v>13.893858071086216</v>
      </c>
      <c r="AR16">
        <v>13.828971599924991</v>
      </c>
      <c r="AS16">
        <v>13.76223032669049</v>
      </c>
      <c r="AT16">
        <v>13.693921844678977</v>
      </c>
      <c r="AU16">
        <v>13.624306273566425</v>
      </c>
      <c r="AV16">
        <v>13.553618971123482</v>
      </c>
      <c r="AW16">
        <v>13.482072822272432</v>
      </c>
      <c r="AX16">
        <v>13.409860388145097</v>
      </c>
      <c r="AY16">
        <v>13.337155806004725</v>
      </c>
      <c r="AZ16">
        <v>13.264116564313055</v>
      </c>
      <c r="BA16">
        <v>13.19088513354566</v>
      </c>
      <c r="BB16">
        <v>13.117590536245196</v>
      </c>
      <c r="BC16">
        <v>13.044349722448899</v>
      </c>
      <c r="BD16">
        <v>12.971268369098631</v>
      </c>
      <c r="BE16">
        <v>12.8984413900227</v>
      </c>
      <c r="BF16">
        <v>12.825953616839257</v>
      </c>
      <c r="BG16">
        <v>12.753881524094741</v>
      </c>
      <c r="BH16">
        <v>12.682294453000347</v>
      </c>
      <c r="BI16">
        <v>12.611254857080665</v>
      </c>
    </row>
    <row r="17" spans="1:61" x14ac:dyDescent="0.2">
      <c r="A17" t="str">
        <v>16m</v>
      </c>
      <c r="B17">
        <v>2.4111461745930938</v>
      </c>
      <c r="C17">
        <v>3.6850394566255549</v>
      </c>
      <c r="D17">
        <v>4.8745084216084811</v>
      </c>
      <c r="E17">
        <v>5.7851735983433903</v>
      </c>
      <c r="F17">
        <v>6.5066430019389507</v>
      </c>
      <c r="G17">
        <v>7.1443794557163693</v>
      </c>
      <c r="H17">
        <v>7.7615138314302401</v>
      </c>
      <c r="I17">
        <v>8.3911306758472648</v>
      </c>
      <c r="J17">
        <v>9.0370675251560595</v>
      </c>
      <c r="K17">
        <v>9.6859285198149632</v>
      </c>
      <c r="L17">
        <v>10.31990380098282</v>
      </c>
      <c r="M17">
        <v>10.924568721882327</v>
      </c>
      <c r="N17">
        <v>11.488402693707474</v>
      </c>
      <c r="O17">
        <v>12.00396895284711</v>
      </c>
      <c r="P17">
        <v>12.468479813446931</v>
      </c>
      <c r="Q17">
        <v>12.882212123041624</v>
      </c>
      <c r="R17">
        <v>13.24724511330079</v>
      </c>
      <c r="S17">
        <v>13.566487125238528</v>
      </c>
      <c r="T17">
        <v>13.843288938328566</v>
      </c>
      <c r="U17">
        <v>14.081158801666518</v>
      </c>
      <c r="V17">
        <v>14.283592228588528</v>
      </c>
      <c r="W17">
        <v>14.454018898995676</v>
      </c>
      <c r="X17">
        <v>14.595754366108103</v>
      </c>
      <c r="Y17">
        <v>14.711884654421851</v>
      </c>
      <c r="Z17">
        <v>14.805203607067286</v>
      </c>
      <c r="AA17">
        <v>14.878229015001832</v>
      </c>
      <c r="AB17">
        <v>14.933197655899475</v>
      </c>
      <c r="AC17">
        <v>14.972093675263284</v>
      </c>
      <c r="AD17">
        <v>14.996684153611728</v>
      </c>
      <c r="AE17">
        <v>15.008550647866167</v>
      </c>
      <c r="AF17">
        <v>15.009114832101247</v>
      </c>
      <c r="AG17">
        <v>14.999652613554403</v>
      </c>
      <c r="AH17">
        <v>14.981301911748183</v>
      </c>
      <c r="AI17">
        <v>14.955078540607245</v>
      </c>
      <c r="AJ17">
        <v>14.92188848743462</v>
      </c>
      <c r="AK17">
        <v>14.882540820457926</v>
      </c>
      <c r="AL17">
        <v>14.837759910826106</v>
      </c>
      <c r="AM17">
        <v>14.788195144175672</v>
      </c>
      <c r="AN17">
        <v>14.73442861932053</v>
      </c>
      <c r="AO17">
        <v>14.676982885164518</v>
      </c>
      <c r="AP17">
        <v>14.616327670197043</v>
      </c>
      <c r="AQ17">
        <v>14.552885833002092</v>
      </c>
      <c r="AR17">
        <v>14.48703874710311</v>
      </c>
      <c r="AS17">
        <v>14.419130956789257</v>
      </c>
      <c r="AT17">
        <v>14.349474040828374</v>
      </c>
      <c r="AU17">
        <v>14.278349826721653</v>
      </c>
      <c r="AV17">
        <v>14.20601333237474</v>
      </c>
      <c r="AW17">
        <v>14.132695245706058</v>
      </c>
      <c r="AX17">
        <v>14.058604241490308</v>
      </c>
      <c r="AY17">
        <v>13.983929037058395</v>
      </c>
      <c r="AZ17">
        <v>13.908840313892444</v>
      </c>
      <c r="BA17">
        <v>13.833492481115655</v>
      </c>
      <c r="BB17">
        <v>13.75802536842783</v>
      </c>
      <c r="BC17">
        <v>13.682565721186801</v>
      </c>
      <c r="BD17">
        <v>13.607228089687078</v>
      </c>
      <c r="BE17">
        <v>13.532115398611362</v>
      </c>
      <c r="BF17">
        <v>13.457319671239141</v>
      </c>
      <c r="BG17">
        <v>13.382923859542167</v>
      </c>
      <c r="BH17">
        <v>13.309003174449179</v>
      </c>
      <c r="BI17">
        <v>13.235625376193765</v>
      </c>
    </row>
    <row r="18" spans="1:61" x14ac:dyDescent="0.2">
      <c r="A18" t="str">
        <v>17m</v>
      </c>
      <c r="B18">
        <v>2.3511187470918271</v>
      </c>
      <c r="C18">
        <v>3.6467334756108465</v>
      </c>
      <c r="D18">
        <v>4.8515767058578749</v>
      </c>
      <c r="E18">
        <v>5.7713054522403677</v>
      </c>
      <c r="F18">
        <v>6.5031413314133628</v>
      </c>
      <c r="G18">
        <v>7.1570062913698491</v>
      </c>
      <c r="H18">
        <v>7.7972887693489179</v>
      </c>
      <c r="I18">
        <v>8.456964192074226</v>
      </c>
      <c r="J18">
        <v>9.1385267303655535</v>
      </c>
      <c r="K18">
        <v>9.8265558849765977</v>
      </c>
      <c r="L18">
        <v>10.501247398343752</v>
      </c>
      <c r="M18">
        <v>11.146600033006189</v>
      </c>
      <c r="N18">
        <v>11.749831537202374</v>
      </c>
      <c r="O18">
        <v>12.302631537757589</v>
      </c>
      <c r="P18">
        <v>12.801742964236153</v>
      </c>
      <c r="Q18">
        <v>13.24724511330079</v>
      </c>
      <c r="R18">
        <v>13.641190986387963</v>
      </c>
      <c r="S18">
        <v>13.986556602861095</v>
      </c>
      <c r="T18">
        <v>14.286818356507792</v>
      </c>
      <c r="U18">
        <v>14.545644719219148</v>
      </c>
      <c r="V18">
        <v>14.76671063985502</v>
      </c>
      <c r="W18">
        <v>14.953636048625443</v>
      </c>
      <c r="X18">
        <v>15.109930584618525</v>
      </c>
      <c r="Y18">
        <v>15.238867449146298</v>
      </c>
      <c r="Z18">
        <v>15.343414338626637</v>
      </c>
      <c r="AA18">
        <v>15.426248914632758</v>
      </c>
      <c r="AB18">
        <v>15.489752283413132</v>
      </c>
      <c r="AC18">
        <v>15.53603781664537</v>
      </c>
      <c r="AD18">
        <v>15.56698857130468</v>
      </c>
      <c r="AE18">
        <v>15.584290700447985</v>
      </c>
      <c r="AF18">
        <v>15.589460611169208</v>
      </c>
      <c r="AG18">
        <v>15.583859890936285</v>
      </c>
      <c r="AH18">
        <v>15.568703511021621</v>
      </c>
      <c r="AI18">
        <v>15.545076566555604</v>
      </c>
      <c r="AJ18">
        <v>15.513947205108934</v>
      </c>
      <c r="AK18">
        <v>15.476180199885949</v>
      </c>
      <c r="AL18">
        <v>15.43254992332796</v>
      </c>
      <c r="AM18">
        <v>15.383750714498625</v>
      </c>
      <c r="AN18">
        <v>15.330405101216517</v>
      </c>
      <c r="AO18">
        <v>15.273072050847983</v>
      </c>
      <c r="AP18">
        <v>15.212254130294077</v>
      </c>
      <c r="AQ18">
        <v>15.148403831889606</v>
      </c>
      <c r="AR18">
        <v>15.081929309998349</v>
      </c>
      <c r="AS18">
        <v>15.013199353298889</v>
      </c>
      <c r="AT18">
        <v>14.942547509387635</v>
      </c>
      <c r="AU18">
        <v>14.870275514652866</v>
      </c>
      <c r="AV18">
        <v>14.796656440817761</v>
      </c>
      <c r="AW18">
        <v>14.721937343091581</v>
      </c>
      <c r="AX18">
        <v>14.646341727876814</v>
      </c>
      <c r="AY18">
        <v>14.570071749364198</v>
      </c>
      <c r="AZ18">
        <v>14.493310264045755</v>
      </c>
      <c r="BA18">
        <v>14.416222714506112</v>
      </c>
      <c r="BB18">
        <v>14.338958933588982</v>
      </c>
      <c r="BC18">
        <v>14.261654748596664</v>
      </c>
      <c r="BD18">
        <v>14.184432951849439</v>
      </c>
      <c r="BE18">
        <v>14.107403922334596</v>
      </c>
      <c r="BF18">
        <v>14.03066638754086</v>
      </c>
      <c r="BG18">
        <v>13.954309348465568</v>
      </c>
      <c r="BH18">
        <v>13.878413508356616</v>
      </c>
      <c r="BI18">
        <v>13.803051602900682</v>
      </c>
    </row>
    <row r="19" spans="1:61" x14ac:dyDescent="0.2">
      <c r="A19" t="str">
        <v>18m</v>
      </c>
      <c r="B19">
        <v>2.2936668092385522</v>
      </c>
      <c r="C19">
        <v>3.6103300756014813</v>
      </c>
      <c r="D19">
        <v>4.8306866068596506</v>
      </c>
      <c r="E19">
        <v>5.7593050284646345</v>
      </c>
      <c r="F19">
        <v>6.500043085085685</v>
      </c>
      <c r="G19">
        <v>7.1671689249142227</v>
      </c>
      <c r="H19">
        <v>7.8266808360296629</v>
      </c>
      <c r="I19">
        <v>8.5118131910060129</v>
      </c>
      <c r="J19">
        <v>9.2240238234750223</v>
      </c>
      <c r="K19">
        <v>9.9461401064603923</v>
      </c>
      <c r="L19">
        <v>10.656579684804839</v>
      </c>
      <c r="M19">
        <v>11.337907162675187</v>
      </c>
      <c r="N19">
        <v>11.976170160687472</v>
      </c>
      <c r="O19">
        <v>12.562232691692413</v>
      </c>
      <c r="P19">
        <v>13.092380847990494</v>
      </c>
      <c r="Q19">
        <v>13.566487125238528</v>
      </c>
      <c r="R19">
        <v>13.986556602861095</v>
      </c>
      <c r="S19">
        <v>14.355605971229014</v>
      </c>
      <c r="T19">
        <v>14.67720783134755</v>
      </c>
      <c r="U19">
        <v>14.955161315409695</v>
      </c>
      <c r="V19">
        <v>15.193292085581497</v>
      </c>
      <c r="W19">
        <v>15.395382661017539</v>
      </c>
      <c r="X19">
        <v>15.565110474330778</v>
      </c>
      <c r="Y19">
        <v>15.705911873155054</v>
      </c>
      <c r="Z19">
        <v>15.820906999027724</v>
      </c>
      <c r="AA19">
        <v>15.912914347086549</v>
      </c>
      <c r="AB19">
        <v>15.984442572449527</v>
      </c>
      <c r="AC19">
        <v>16.037719510957455</v>
      </c>
      <c r="AD19">
        <v>16.074731147839373</v>
      </c>
      <c r="AE19">
        <v>16.09725663455383</v>
      </c>
      <c r="AF19">
        <v>16.106896758865378</v>
      </c>
      <c r="AG19">
        <v>16.105089570901676</v>
      </c>
      <c r="AH19">
        <v>16.09311894175837</v>
      </c>
      <c r="AI19">
        <v>16.072132034357971</v>
      </c>
      <c r="AJ19">
        <v>16.043152768202255</v>
      </c>
      <c r="AK19">
        <v>16.00709595685673</v>
      </c>
      <c r="AL19">
        <v>15.964780941916588</v>
      </c>
      <c r="AM19">
        <v>15.916942541692263</v>
      </c>
      <c r="AN19">
        <v>15.864239734255174</v>
      </c>
      <c r="AO19">
        <v>15.807264358258022</v>
      </c>
      <c r="AP19">
        <v>15.746548651434109</v>
      </c>
      <c r="AQ19">
        <v>15.682571909277996</v>
      </c>
      <c r="AR19">
        <v>15.615766535598928</v>
      </c>
      <c r="AS19">
        <v>15.546523297571177</v>
      </c>
      <c r="AT19">
        <v>15.475195682581429</v>
      </c>
      <c r="AU19">
        <v>15.402103519850138</v>
      </c>
      <c r="AV19">
        <v>15.32753630806536</v>
      </c>
      <c r="AW19">
        <v>15.251756011446156</v>
      </c>
      <c r="AX19">
        <v>15.174999661931738</v>
      </c>
      <c r="AY19">
        <v>15.097481682058023</v>
      </c>
      <c r="AZ19">
        <v>15.01939605895727</v>
      </c>
      <c r="BA19">
        <v>14.940918336260662</v>
      </c>
      <c r="BB19">
        <v>14.862207518061139</v>
      </c>
      <c r="BC19">
        <v>14.783407771793348</v>
      </c>
      <c r="BD19">
        <v>14.704649471704299</v>
      </c>
      <c r="BE19">
        <v>14.626049865940741</v>
      </c>
      <c r="BF19">
        <v>14.547713870655473</v>
      </c>
      <c r="BG19">
        <v>14.469736079924203</v>
      </c>
      <c r="BH19">
        <v>14.392202284606766</v>
      </c>
      <c r="BI19">
        <v>14.315189837942382</v>
      </c>
    </row>
    <row r="20" spans="1:61" x14ac:dyDescent="0.2">
      <c r="A20" t="str">
        <v>19m</v>
      </c>
      <c r="B20">
        <v>2.2390507571757512</v>
      </c>
      <c r="C20">
        <v>3.575583288814292</v>
      </c>
      <c r="D20">
        <v>4.8110269516155499</v>
      </c>
      <c r="E20">
        <v>5.7480915362771201</v>
      </c>
      <c r="F20">
        <v>6.49638024154733</v>
      </c>
      <c r="G20">
        <v>7.1743017828606579</v>
      </c>
      <c r="H20">
        <v>7.8496718108291867</v>
      </c>
      <c r="I20">
        <v>8.5562409417476566</v>
      </c>
      <c r="J20">
        <v>9.2946793055108223</v>
      </c>
      <c r="K20">
        <v>10.046305455591241</v>
      </c>
      <c r="L20">
        <v>10.787962528073894</v>
      </c>
      <c r="M20">
        <v>11.500921527241179</v>
      </c>
      <c r="N20">
        <v>12.170156239748041</v>
      </c>
      <c r="O20">
        <v>12.785760498417336</v>
      </c>
      <c r="P20">
        <v>13.34358358957383</v>
      </c>
      <c r="Q20">
        <v>13.843288938328566</v>
      </c>
      <c r="R20">
        <v>14.286818356507792</v>
      </c>
      <c r="S20">
        <v>14.67720783134755</v>
      </c>
      <c r="T20">
        <v>15.018101702574704</v>
      </c>
      <c r="U20">
        <v>15.313404371120749</v>
      </c>
      <c r="V20">
        <v>15.567066983551339</v>
      </c>
      <c r="W20">
        <v>15.783009940558452</v>
      </c>
      <c r="X20">
        <v>15.965054672385465</v>
      </c>
      <c r="Y20">
        <v>16.116778702697776</v>
      </c>
      <c r="Z20">
        <v>16.24143488630062</v>
      </c>
      <c r="AA20">
        <v>16.341964885870926</v>
      </c>
      <c r="AB20">
        <v>16.420989258591735</v>
      </c>
      <c r="AC20">
        <v>16.480836487711233</v>
      </c>
      <c r="AD20">
        <v>16.523583234865225</v>
      </c>
      <c r="AE20">
        <v>16.551090726483185</v>
      </c>
      <c r="AF20">
        <v>16.565034349751716</v>
      </c>
      <c r="AG20">
        <v>16.566919879203926</v>
      </c>
      <c r="AH20">
        <v>16.558092331174684</v>
      </c>
      <c r="AI20">
        <v>16.539754052353643</v>
      </c>
      <c r="AJ20">
        <v>16.512978622021983</v>
      </c>
      <c r="AK20">
        <v>16.478725462678771</v>
      </c>
      <c r="AL20">
        <v>16.437854049546434</v>
      </c>
      <c r="AM20">
        <v>16.391135370823488</v>
      </c>
      <c r="AN20">
        <v>16.339261013722439</v>
      </c>
      <c r="AO20">
        <v>16.282852256696604</v>
      </c>
      <c r="AP20">
        <v>16.222467938276434</v>
      </c>
      <c r="AQ20">
        <v>16.158611408409062</v>
      </c>
      <c r="AR20">
        <v>16.091736857082132</v>
      </c>
      <c r="AS20">
        <v>16.022254820095185</v>
      </c>
      <c r="AT20">
        <v>15.950536741032009</v>
      </c>
      <c r="AU20">
        <v>15.876918762093561</v>
      </c>
      <c r="AV20">
        <v>15.801705210655188</v>
      </c>
      <c r="AW20">
        <v>15.72517152419791</v>
      </c>
      <c r="AX20">
        <v>15.647566971442561</v>
      </c>
      <c r="AY20">
        <v>15.56911708748043</v>
      </c>
      <c r="AZ20">
        <v>15.490025954318986</v>
      </c>
      <c r="BA20">
        <v>15.410478289172547</v>
      </c>
      <c r="BB20">
        <v>15.330641437264214</v>
      </c>
      <c r="BC20">
        <v>15.250667163295095</v>
      </c>
      <c r="BD20">
        <v>15.170692759821133</v>
      </c>
      <c r="BE20">
        <v>15.090841753572843</v>
      </c>
      <c r="BF20">
        <v>15.011224726897824</v>
      </c>
      <c r="BG20">
        <v>14.931941402893601</v>
      </c>
      <c r="BH20">
        <v>14.853082246007624</v>
      </c>
      <c r="BI20">
        <v>14.774728859019255</v>
      </c>
    </row>
    <row r="21" spans="1:61" x14ac:dyDescent="0.2">
      <c r="A21" t="str">
        <v>20m</v>
      </c>
      <c r="B21">
        <v>2.1873779729232692</v>
      </c>
      <c r="C21">
        <v>3.5422959169220567</v>
      </c>
      <c r="D21">
        <v>4.7920236109453391</v>
      </c>
      <c r="E21">
        <v>5.7369119697430069</v>
      </c>
      <c r="F21">
        <v>6.4915094070294712</v>
      </c>
      <c r="G21">
        <v>7.1781037220662141</v>
      </c>
      <c r="H21">
        <v>7.8664305312643963</v>
      </c>
      <c r="I21">
        <v>8.5909299727476363</v>
      </c>
      <c r="J21">
        <v>9.3516851094301998</v>
      </c>
      <c r="K21">
        <v>10.128721286225639</v>
      </c>
      <c r="L21">
        <v>10.897495683309312</v>
      </c>
      <c r="M21">
        <v>11.638120732560932</v>
      </c>
      <c r="N21">
        <v>12.334593141857439</v>
      </c>
      <c r="O21">
        <v>12.976295551900574</v>
      </c>
      <c r="P21">
        <v>13.558665100727517</v>
      </c>
      <c r="Q21">
        <v>14.081158801666518</v>
      </c>
      <c r="R21">
        <v>14.545644719219148</v>
      </c>
      <c r="S21">
        <v>14.955161315409695</v>
      </c>
      <c r="T21">
        <v>15.313404371120749</v>
      </c>
      <c r="U21">
        <v>15.624361836329962</v>
      </c>
      <c r="V21">
        <v>15.892088301186586</v>
      </c>
      <c r="W21">
        <v>16.120620125872332</v>
      </c>
      <c r="X21">
        <v>16.313901371143235</v>
      </c>
      <c r="Y21">
        <v>16.475630830058243</v>
      </c>
      <c r="Z21">
        <v>16.609176066189288</v>
      </c>
      <c r="AA21">
        <v>16.717585697343701</v>
      </c>
      <c r="AB21">
        <v>16.80357776581026</v>
      </c>
      <c r="AC21">
        <v>16.869568631894584</v>
      </c>
      <c r="AD21">
        <v>16.91771427918686</v>
      </c>
      <c r="AE21">
        <v>16.949947859609146</v>
      </c>
      <c r="AF21">
        <v>16.968010247425315</v>
      </c>
      <c r="AG21">
        <v>16.973466777979144</v>
      </c>
      <c r="AH21">
        <v>16.967716347472379</v>
      </c>
      <c r="AI21">
        <v>16.9520100193362</v>
      </c>
      <c r="AJ21">
        <v>16.927465278763691</v>
      </c>
      <c r="AK21">
        <v>16.89508103518995</v>
      </c>
      <c r="AL21">
        <v>16.855752329292294</v>
      </c>
      <c r="AM21">
        <v>16.810282240353661</v>
      </c>
      <c r="AN21">
        <v>16.759391322256015</v>
      </c>
      <c r="AO21">
        <v>16.703727033822439</v>
      </c>
      <c r="AP21">
        <v>16.643871893853341</v>
      </c>
      <c r="AQ21">
        <v>16.580350687848334</v>
      </c>
      <c r="AR21">
        <v>16.513637041118042</v>
      </c>
      <c r="AS21">
        <v>16.44415914526002</v>
      </c>
      <c r="AT21">
        <v>16.372304499958883</v>
      </c>
      <c r="AU21">
        <v>16.298423852063117</v>
      </c>
      <c r="AV21">
        <v>16.222834820646479</v>
      </c>
      <c r="AW21">
        <v>16.145824933421626</v>
      </c>
      <c r="AX21">
        <v>16.067654452306567</v>
      </c>
      <c r="AY21">
        <v>15.988558907564014</v>
      </c>
      <c r="AZ21">
        <v>15.908751472639864</v>
      </c>
      <c r="BA21">
        <v>15.828425137764288</v>
      </c>
      <c r="BB21">
        <v>15.747754781273949</v>
      </c>
      <c r="BC21">
        <v>15.6668990400883</v>
      </c>
      <c r="BD21">
        <v>15.5860014754433</v>
      </c>
      <c r="BE21">
        <v>15.505191312793364</v>
      </c>
      <c r="BF21">
        <v>15.424584286122197</v>
      </c>
      <c r="BG21">
        <v>15.344284789083925</v>
      </c>
      <c r="BH21">
        <v>15.264387549138792</v>
      </c>
      <c r="BI21">
        <v>15.184978052267796</v>
      </c>
    </row>
    <row r="22" spans="1:61" x14ac:dyDescent="0.2">
      <c r="A22" t="str">
        <v>21m</v>
      </c>
      <c r="B22">
        <v>2.1386414420190327</v>
      </c>
      <c r="C22">
        <v>3.51028753269112</v>
      </c>
      <c r="D22">
        <v>4.7732519810630576</v>
      </c>
      <c r="E22">
        <v>5.7252296737231756</v>
      </c>
      <c r="F22">
        <v>6.4850007134899066</v>
      </c>
      <c r="G22">
        <v>7.1784393035083847</v>
      </c>
      <c r="H22">
        <v>7.8772276552619998</v>
      </c>
      <c r="I22">
        <v>8.6166050050679797</v>
      </c>
      <c r="J22">
        <v>9.3962286702434099</v>
      </c>
      <c r="K22">
        <v>10.195020851837292</v>
      </c>
      <c r="L22">
        <v>10.987225416423467</v>
      </c>
      <c r="M22">
        <v>11.751923533461724</v>
      </c>
      <c r="N22">
        <v>12.472229169291639</v>
      </c>
      <c r="O22">
        <v>13.136873606315728</v>
      </c>
      <c r="P22">
        <v>13.740909070081157</v>
      </c>
      <c r="Q22">
        <v>14.283592228588528</v>
      </c>
      <c r="R22">
        <v>14.76671063985502</v>
      </c>
      <c r="S22">
        <v>15.193292085581497</v>
      </c>
      <c r="T22">
        <v>15.567066983551339</v>
      </c>
      <c r="U22">
        <v>15.892088301186586</v>
      </c>
      <c r="V22">
        <v>16.172494894021291</v>
      </c>
      <c r="W22">
        <v>16.412419736850424</v>
      </c>
      <c r="X22">
        <v>16.615910461574867</v>
      </c>
      <c r="Y22">
        <v>16.786769228946717</v>
      </c>
      <c r="Z22">
        <v>16.928462018077887</v>
      </c>
      <c r="AA22">
        <v>17.044129656145</v>
      </c>
      <c r="AB22">
        <v>17.136574512998806</v>
      </c>
      <c r="AC22">
        <v>17.208289140729633</v>
      </c>
      <c r="AD22">
        <v>17.261498431530661</v>
      </c>
      <c r="AE22">
        <v>17.298198134315431</v>
      </c>
      <c r="AF22">
        <v>17.320186216347324</v>
      </c>
      <c r="AG22">
        <v>17.32908003553505</v>
      </c>
      <c r="AH22">
        <v>17.326325642570744</v>
      </c>
      <c r="AI22">
        <v>17.313216817424905</v>
      </c>
      <c r="AJ22">
        <v>17.29090960316573</v>
      </c>
      <c r="AK22">
        <v>17.260437628408553</v>
      </c>
      <c r="AL22">
        <v>17.22272724063836</v>
      </c>
      <c r="AM22">
        <v>17.178609801677077</v>
      </c>
      <c r="AN22">
        <v>17.128831425503673</v>
      </c>
      <c r="AO22">
        <v>17.07406269865648</v>
      </c>
      <c r="AP22">
        <v>17.014907081420034</v>
      </c>
      <c r="AQ22">
        <v>16.951908335681448</v>
      </c>
      <c r="AR22">
        <v>16.88555731147197</v>
      </c>
      <c r="AS22">
        <v>16.816297866367361</v>
      </c>
      <c r="AT22">
        <v>16.744531763797387</v>
      </c>
      <c r="AU22">
        <v>16.670622741081694</v>
      </c>
      <c r="AV22">
        <v>16.594900254367666</v>
      </c>
      <c r="AW22">
        <v>16.517662610798471</v>
      </c>
      <c r="AX22">
        <v>16.439179885121558</v>
      </c>
      <c r="AY22">
        <v>16.359696540495875</v>
      </c>
      <c r="AZ22">
        <v>16.279433886180257</v>
      </c>
      <c r="BA22">
        <v>16.198592326122245</v>
      </c>
      <c r="BB22">
        <v>16.117353499219664</v>
      </c>
      <c r="BC22">
        <v>16.035882219834711</v>
      </c>
      <c r="BD22">
        <v>15.954327693846762</v>
      </c>
      <c r="BE22">
        <v>15.872824287027402</v>
      </c>
      <c r="BF22">
        <v>15.791492388231129</v>
      </c>
      <c r="BG22">
        <v>15.710440617938175</v>
      </c>
      <c r="BH22">
        <v>15.629767568052779</v>
      </c>
      <c r="BI22">
        <v>15.54956225104424</v>
      </c>
    </row>
    <row r="23" spans="1:61" x14ac:dyDescent="0.2">
      <c r="A23" t="str">
        <v>22m</v>
      </c>
      <c r="B23">
        <v>2.0927541332792563</v>
      </c>
      <c r="C23">
        <v>3.4793926299500089</v>
      </c>
      <c r="D23">
        <v>4.7543990676487926</v>
      </c>
      <c r="E23">
        <v>5.7126678400736388</v>
      </c>
      <c r="F23">
        <v>6.4765801055777574</v>
      </c>
      <c r="G23">
        <v>7.1752903285506635</v>
      </c>
      <c r="H23">
        <v>7.8823994549075369</v>
      </c>
      <c r="I23">
        <v>8.6340070504220403</v>
      </c>
      <c r="J23">
        <v>9.4294734379258767</v>
      </c>
      <c r="K23">
        <v>10.246784102888784</v>
      </c>
      <c r="L23">
        <v>11.059125947526267</v>
      </c>
      <c r="M23">
        <v>11.844667035759993</v>
      </c>
      <c r="N23">
        <v>12.585728508824504</v>
      </c>
      <c r="O23">
        <v>13.270449043366446</v>
      </c>
      <c r="P23">
        <v>13.893524281367744</v>
      </c>
      <c r="Q23">
        <v>14.454018898995676</v>
      </c>
      <c r="R23">
        <v>14.953636048625443</v>
      </c>
      <c r="S23">
        <v>15.395382661017539</v>
      </c>
      <c r="T23">
        <v>15.783009940558452</v>
      </c>
      <c r="U23">
        <v>16.120620125872332</v>
      </c>
      <c r="V23">
        <v>16.412419736850424</v>
      </c>
      <c r="W23">
        <v>16.662621402069082</v>
      </c>
      <c r="X23">
        <v>16.875359450333097</v>
      </c>
      <c r="Y23">
        <v>17.05452344127951</v>
      </c>
      <c r="Z23">
        <v>17.203663150388561</v>
      </c>
      <c r="AA23">
        <v>17.325998321844185</v>
      </c>
      <c r="AB23">
        <v>17.424403755842754</v>
      </c>
      <c r="AC23">
        <v>17.501437606162732</v>
      </c>
      <c r="AD23">
        <v>17.559384217614962</v>
      </c>
      <c r="AE23">
        <v>17.600293449381525</v>
      </c>
      <c r="AF23">
        <v>17.626012710317621</v>
      </c>
      <c r="AG23">
        <v>17.638204494992902</v>
      </c>
      <c r="AH23">
        <v>17.638355851659583</v>
      </c>
      <c r="AI23">
        <v>17.627797772415189</v>
      </c>
      <c r="AJ23">
        <v>17.607719944216122</v>
      </c>
      <c r="AK23">
        <v>17.579186328308094</v>
      </c>
      <c r="AL23">
        <v>17.543150655626253</v>
      </c>
      <c r="AM23">
        <v>17.500469056850427</v>
      </c>
      <c r="AN23">
        <v>17.451910058753096</v>
      </c>
      <c r="AO23">
        <v>17.39816455168118</v>
      </c>
      <c r="AP23">
        <v>17.339854400895284</v>
      </c>
      <c r="AQ23">
        <v>17.277540064444111</v>
      </c>
      <c r="AR23">
        <v>17.21172756473354</v>
      </c>
      <c r="AS23">
        <v>17.142874575425989</v>
      </c>
      <c r="AT23">
        <v>17.071395455000189</v>
      </c>
      <c r="AU23">
        <v>16.997665426196409</v>
      </c>
      <c r="AV23">
        <v>16.922024423991829</v>
      </c>
      <c r="AW23">
        <v>16.844780309416898</v>
      </c>
      <c r="AX23">
        <v>16.766211864991071</v>
      </c>
      <c r="AY23">
        <v>16.686571490843711</v>
      </c>
      <c r="AZ23">
        <v>16.606087734698022</v>
      </c>
      <c r="BA23">
        <v>16.524967605947467</v>
      </c>
      <c r="BB23">
        <v>16.443398776075998</v>
      </c>
      <c r="BC23">
        <v>16.361551580923184</v>
      </c>
      <c r="BD23">
        <v>16.279580280562641</v>
      </c>
      <c r="BE23">
        <v>16.197623851555456</v>
      </c>
      <c r="BF23">
        <v>16.11580686550198</v>
      </c>
      <c r="BG23">
        <v>16.03424174706559</v>
      </c>
      <c r="BH23">
        <v>15.95303057200417</v>
      </c>
      <c r="BI23">
        <v>15.872265537769934</v>
      </c>
    </row>
    <row r="24" spans="1:61" x14ac:dyDescent="0.2">
      <c r="A24" t="str">
        <v>23m</v>
      </c>
      <c r="B24">
        <v>2.0495812103248556</v>
      </c>
      <c r="C24">
        <v>3.4494750758769439</v>
      </c>
      <c r="D24">
        <v>4.7352567884489405</v>
      </c>
      <c r="E24">
        <v>5.6989898845769638</v>
      </c>
      <c r="F24">
        <v>6.4661064464203211</v>
      </c>
      <c r="G24">
        <v>7.1687359256327108</v>
      </c>
      <c r="H24">
        <v>7.8823327654003119</v>
      </c>
      <c r="I24">
        <v>8.6438819804333189</v>
      </c>
      <c r="J24">
        <v>9.4525486163776122</v>
      </c>
      <c r="K24">
        <v>10.285526027163378</v>
      </c>
      <c r="L24">
        <v>11.115084177347841</v>
      </c>
      <c r="M24">
        <v>11.918586116839441</v>
      </c>
      <c r="N24">
        <v>12.677644256298096</v>
      </c>
      <c r="O24">
        <v>13.379860930391759</v>
      </c>
      <c r="P24">
        <v>14.019603486706522</v>
      </c>
      <c r="Q24">
        <v>14.595754366108103</v>
      </c>
      <c r="R24">
        <v>15.109930584618525</v>
      </c>
      <c r="S24">
        <v>15.565110474330778</v>
      </c>
      <c r="T24">
        <v>15.965054672385465</v>
      </c>
      <c r="U24">
        <v>16.313901371143235</v>
      </c>
      <c r="V24">
        <v>16.615910461574867</v>
      </c>
      <c r="W24">
        <v>16.875359450333097</v>
      </c>
      <c r="X24">
        <v>17.096454534928601</v>
      </c>
      <c r="Y24">
        <v>17.283158544490778</v>
      </c>
      <c r="Z24">
        <v>17.439092043963896</v>
      </c>
      <c r="AA24">
        <v>17.567541816183141</v>
      </c>
      <c r="AB24">
        <v>17.67144442943998</v>
      </c>
      <c r="AC24">
        <v>17.753414128733635</v>
      </c>
      <c r="AD24">
        <v>17.815786204611214</v>
      </c>
      <c r="AE24">
        <v>17.860656979074502</v>
      </c>
      <c r="AF24">
        <v>17.889916396333881</v>
      </c>
      <c r="AG24">
        <v>17.905265860654623</v>
      </c>
      <c r="AH24">
        <v>17.908227838803221</v>
      </c>
      <c r="AI24">
        <v>17.900165537710329</v>
      </c>
      <c r="AJ24">
        <v>17.882297820353649</v>
      </c>
      <c r="AK24">
        <v>17.855714987502285</v>
      </c>
      <c r="AL24">
        <v>17.8213945778134</v>
      </c>
      <c r="AM24">
        <v>17.780214284352908</v>
      </c>
      <c r="AN24">
        <v>17.73296217080884</v>
      </c>
      <c r="AO24">
        <v>17.680346847920351</v>
      </c>
      <c r="AP24">
        <v>17.623006262907701</v>
      </c>
      <c r="AQ24">
        <v>17.561515479392028</v>
      </c>
      <c r="AR24">
        <v>17.496393808294673</v>
      </c>
      <c r="AS24">
        <v>17.428111039211636</v>
      </c>
      <c r="AT24">
        <v>17.3570925900374</v>
      </c>
      <c r="AU24">
        <v>17.283723781998994</v>
      </c>
      <c r="AV24">
        <v>17.208353775579582</v>
      </c>
      <c r="AW24">
        <v>17.131298853438526</v>
      </c>
      <c r="AX24">
        <v>17.05284548365038</v>
      </c>
      <c r="AY24">
        <v>16.973253080812317</v>
      </c>
      <c r="AZ24">
        <v>16.892756598698405</v>
      </c>
      <c r="BA24">
        <v>16.811568901174642</v>
      </c>
      <c r="BB24">
        <v>16.729883014821951</v>
      </c>
      <c r="BC24">
        <v>16.647874185396216</v>
      </c>
      <c r="BD24">
        <v>16.565701175615128</v>
      </c>
      <c r="BE24">
        <v>16.483507077169556</v>
      </c>
      <c r="BF24">
        <v>16.401420201531067</v>
      </c>
      <c r="BG24">
        <v>16.319556380287015</v>
      </c>
      <c r="BH24">
        <v>16.238020814514268</v>
      </c>
      <c r="BI24">
        <v>16.156908564195067</v>
      </c>
    </row>
    <row r="25" spans="1:61" x14ac:dyDescent="0.2">
      <c r="A25" t="str">
        <v>24m</v>
      </c>
      <c r="B25">
        <v>2.0089620006805204</v>
      </c>
      <c r="C25">
        <v>3.4204259973606277</v>
      </c>
      <c r="D25">
        <v>4.7157019842056052</v>
      </c>
      <c r="E25">
        <v>5.6840730151552581</v>
      </c>
      <c r="F25">
        <v>6.4535453536960272</v>
      </c>
      <c r="G25">
        <v>7.1589286388832623</v>
      </c>
      <c r="H25">
        <v>7.8774418373691431</v>
      </c>
      <c r="I25">
        <v>8.6469547145600405</v>
      </c>
      <c r="J25">
        <v>9.4665169962007329</v>
      </c>
      <c r="K25">
        <v>10.312655110254987</v>
      </c>
      <c r="L25">
        <v>11.156846717935215</v>
      </c>
      <c r="M25">
        <v>11.975747837437174</v>
      </c>
      <c r="N25">
        <v>12.750339788849912</v>
      </c>
      <c r="O25">
        <v>13.467741526052357</v>
      </c>
      <c r="P25">
        <v>14.122019587949772</v>
      </c>
      <c r="Q25">
        <v>14.711884654421851</v>
      </c>
      <c r="R25">
        <v>15.238867449146298</v>
      </c>
      <c r="S25">
        <v>15.705911873155054</v>
      </c>
      <c r="T25">
        <v>16.116778702697776</v>
      </c>
      <c r="U25">
        <v>16.475630830058243</v>
      </c>
      <c r="V25">
        <v>16.786769228946717</v>
      </c>
      <c r="W25">
        <v>17.05452344127951</v>
      </c>
      <c r="X25">
        <v>17.283158544490778</v>
      </c>
      <c r="Y25">
        <v>17.476698185452648</v>
      </c>
      <c r="Z25">
        <v>17.638822198677438</v>
      </c>
      <c r="AA25">
        <v>17.772873843058971</v>
      </c>
      <c r="AB25">
        <v>17.88184194854124</v>
      </c>
      <c r="AC25">
        <v>17.968388355787475</v>
      </c>
      <c r="AD25">
        <v>18.034891690012277</v>
      </c>
      <c r="AE25">
        <v>18.083487883909349</v>
      </c>
      <c r="AF25">
        <v>18.116103220048622</v>
      </c>
      <c r="AG25">
        <v>18.134472415813924</v>
      </c>
      <c r="AH25">
        <v>18.140148333158013</v>
      </c>
      <c r="AI25">
        <v>18.134521886516946</v>
      </c>
      <c r="AJ25">
        <v>18.118837079628868</v>
      </c>
      <c r="AK25">
        <v>18.094206942386968</v>
      </c>
      <c r="AL25">
        <v>18.061629584697606</v>
      </c>
      <c r="AM25">
        <v>18.022001356436039</v>
      </c>
      <c r="AN25">
        <v>17.97612724913041</v>
      </c>
      <c r="AO25">
        <v>17.924731247640327</v>
      </c>
      <c r="AP25">
        <v>17.868465269266729</v>
      </c>
      <c r="AQ25">
        <v>17.807917080730824</v>
      </c>
      <c r="AR25">
        <v>17.743617565306831</v>
      </c>
      <c r="AS25">
        <v>17.676047077961748</v>
      </c>
      <c r="AT25">
        <v>17.60564069383642</v>
      </c>
      <c r="AU25">
        <v>17.532792564684488</v>
      </c>
      <c r="AV25">
        <v>17.457859929289008</v>
      </c>
      <c r="AW25">
        <v>17.381166454381923</v>
      </c>
      <c r="AX25">
        <v>17.303005355800977</v>
      </c>
      <c r="AY25">
        <v>17.22364221526021</v>
      </c>
      <c r="AZ25">
        <v>17.143317626960492</v>
      </c>
      <c r="BA25">
        <v>17.062249617524632</v>
      </c>
      <c r="BB25">
        <v>16.980635943662541</v>
      </c>
      <c r="BC25">
        <v>16.898656195987751</v>
      </c>
      <c r="BD25">
        <v>16.816473129370742</v>
      </c>
      <c r="BE25">
        <v>16.734233491035926</v>
      </c>
      <c r="BF25">
        <v>16.652068920866828</v>
      </c>
      <c r="BG25">
        <v>16.570098287603273</v>
      </c>
      <c r="BH25">
        <v>16.488429583252543</v>
      </c>
      <c r="BI25">
        <v>16.407160428985502</v>
      </c>
    </row>
    <row r="26" spans="1:61" x14ac:dyDescent="0.2">
      <c r="A26" t="str">
        <v>25m</v>
      </c>
      <c r="B26">
        <v>1.9707202015090215</v>
      </c>
      <c r="C26">
        <v>3.3921470060529497</v>
      </c>
      <c r="D26">
        <v>4.6956600638371961</v>
      </c>
      <c r="E26">
        <v>5.6678657582070882</v>
      </c>
      <c r="F26">
        <v>6.4389295407197213</v>
      </c>
      <c r="G26">
        <v>7.146061033891197</v>
      </c>
      <c r="H26">
        <v>7.8681408272700439</v>
      </c>
      <c r="I26">
        <v>8.6439051059226522</v>
      </c>
      <c r="J26">
        <v>9.472351241734259</v>
      </c>
      <c r="K26">
        <v>10.329447387115705</v>
      </c>
      <c r="L26">
        <v>11.185989703808666</v>
      </c>
      <c r="M26">
        <v>12.018015618039641</v>
      </c>
      <c r="N26">
        <v>12.805946484201236</v>
      </c>
      <c r="O26">
        <v>13.53646718325068</v>
      </c>
      <c r="P26">
        <v>14.203369680938133</v>
      </c>
      <c r="Q26">
        <v>14.805203607067286</v>
      </c>
      <c r="R26">
        <v>15.343414338626637</v>
      </c>
      <c r="S26">
        <v>15.820906999027724</v>
      </c>
      <c r="T26">
        <v>16.24143488630062</v>
      </c>
      <c r="U26">
        <v>16.609176066189288</v>
      </c>
      <c r="V26">
        <v>16.928462018077887</v>
      </c>
      <c r="W26">
        <v>17.203663150388561</v>
      </c>
      <c r="X26">
        <v>17.439092043963896</v>
      </c>
      <c r="Y26">
        <v>17.638822198677438</v>
      </c>
      <c r="Z26">
        <v>17.806582530974858</v>
      </c>
      <c r="AA26">
        <v>17.945763402196146</v>
      </c>
      <c r="AB26">
        <v>18.059397447329474</v>
      </c>
      <c r="AC26">
        <v>18.150186532280543</v>
      </c>
      <c r="AD26">
        <v>18.220545824885761</v>
      </c>
      <c r="AE26">
        <v>18.272644745612642</v>
      </c>
      <c r="AF26">
        <v>18.308440370613209</v>
      </c>
      <c r="AG26">
        <v>18.32969571562256</v>
      </c>
      <c r="AH26">
        <v>18.337989529582366</v>
      </c>
      <c r="AI26">
        <v>18.334736383124152</v>
      </c>
      <c r="AJ26">
        <v>18.321201789293042</v>
      </c>
      <c r="AK26">
        <v>18.298518254764041</v>
      </c>
      <c r="AL26">
        <v>18.267701542365408</v>
      </c>
      <c r="AM26">
        <v>18.229664036119761</v>
      </c>
      <c r="AN26">
        <v>18.185225297882553</v>
      </c>
      <c r="AO26">
        <v>18.135122564516937</v>
      </c>
      <c r="AP26">
        <v>18.080019811544418</v>
      </c>
      <c r="AQ26">
        <v>18.020515784928765</v>
      </c>
      <c r="AR26">
        <v>17.95715138375331</v>
      </c>
      <c r="AS26">
        <v>17.890416120562158</v>
      </c>
      <c r="AT26">
        <v>17.820753453324137</v>
      </c>
      <c r="AU26">
        <v>17.748565210606809</v>
      </c>
      <c r="AV26">
        <v>17.674215664511436</v>
      </c>
      <c r="AW26">
        <v>17.598034919774133</v>
      </c>
      <c r="AX26">
        <v>17.52032208400065</v>
      </c>
      <c r="AY26">
        <v>17.441348131715912</v>
      </c>
      <c r="AZ26">
        <v>17.361358597074556</v>
      </c>
      <c r="BA26">
        <v>17.28057603577717</v>
      </c>
      <c r="BB26">
        <v>17.199202361356313</v>
      </c>
      <c r="BC26">
        <v>17.117420990182406</v>
      </c>
      <c r="BD26">
        <v>17.035398199579312</v>
      </c>
      <c r="BE26">
        <v>16.953283968747083</v>
      </c>
      <c r="BF26">
        <v>16.871212886128049</v>
      </c>
      <c r="BG26">
        <v>16.789306515673115</v>
      </c>
      <c r="BH26">
        <v>16.707675330553091</v>
      </c>
      <c r="BI26">
        <v>16.626419233479979</v>
      </c>
    </row>
    <row r="27" spans="1:61" x14ac:dyDescent="0.2">
      <c r="A27" t="str">
        <v>26m</v>
      </c>
      <c r="B27">
        <v>1.9346699672215499</v>
      </c>
      <c r="C27">
        <v>3.3645448353001268</v>
      </c>
      <c r="D27">
        <v>4.6750871630334299</v>
      </c>
      <c r="E27">
        <v>5.6503629532974617</v>
      </c>
      <c r="F27">
        <v>6.4223338446257641</v>
      </c>
      <c r="G27">
        <v>7.1303459639960485</v>
      </c>
      <c r="H27">
        <v>7.8548315764838925</v>
      </c>
      <c r="I27">
        <v>8.6353633399403318</v>
      </c>
      <c r="J27">
        <v>9.4709359710494034</v>
      </c>
      <c r="K27">
        <v>10.337053848722523</v>
      </c>
      <c r="L27">
        <v>11.203930094987264</v>
      </c>
      <c r="M27">
        <v>12.047063150232818</v>
      </c>
      <c r="N27">
        <v>12.84637921420174</v>
      </c>
      <c r="O27">
        <v>13.588174626381717</v>
      </c>
      <c r="P27">
        <v>14.265991494877847</v>
      </c>
      <c r="Q27">
        <v>14.878229015001832</v>
      </c>
      <c r="R27">
        <v>15.426248914632758</v>
      </c>
      <c r="S27">
        <v>15.912914347086549</v>
      </c>
      <c r="T27">
        <v>16.341964885870926</v>
      </c>
      <c r="U27">
        <v>16.717585697343701</v>
      </c>
      <c r="V27">
        <v>17.044129656145</v>
      </c>
      <c r="W27">
        <v>17.325998321844185</v>
      </c>
      <c r="X27">
        <v>17.567541816183141</v>
      </c>
      <c r="Y27">
        <v>17.772873843058971</v>
      </c>
      <c r="Z27">
        <v>17.945763402196146</v>
      </c>
      <c r="AA27">
        <v>18.089639653135247</v>
      </c>
      <c r="AB27">
        <v>18.207571528051595</v>
      </c>
      <c r="AC27">
        <v>18.302294186278338</v>
      </c>
      <c r="AD27">
        <v>18.376253290467744</v>
      </c>
      <c r="AE27">
        <v>18.431646290056062</v>
      </c>
      <c r="AF27">
        <v>18.470456105360793</v>
      </c>
      <c r="AG27">
        <v>18.494469568248061</v>
      </c>
      <c r="AH27">
        <v>18.505287279511549</v>
      </c>
      <c r="AI27">
        <v>18.504343834802778</v>
      </c>
      <c r="AJ27">
        <v>18.492922997945538</v>
      </c>
      <c r="AK27">
        <v>18.472173831329449</v>
      </c>
      <c r="AL27">
        <v>18.443127127246019</v>
      </c>
      <c r="AM27">
        <v>18.406708943929853</v>
      </c>
      <c r="AN27">
        <v>18.363751290156859</v>
      </c>
      <c r="AO27">
        <v>18.315002741678096</v>
      </c>
      <c r="AP27">
        <v>18.261137607192882</v>
      </c>
      <c r="AQ27">
        <v>18.202764055160159</v>
      </c>
      <c r="AR27">
        <v>18.140431593537709</v>
      </c>
      <c r="AS27">
        <v>18.074637618732062</v>
      </c>
      <c r="AT27">
        <v>18.005832817352587</v>
      </c>
      <c r="AU27">
        <v>17.934425648839941</v>
      </c>
      <c r="AV27">
        <v>17.860786470287444</v>
      </c>
      <c r="AW27">
        <v>17.785250965054381</v>
      </c>
      <c r="AX27">
        <v>17.70812335418924</v>
      </c>
      <c r="AY27">
        <v>17.629679300241609</v>
      </c>
      <c r="AZ27">
        <v>17.550168639013531</v>
      </c>
      <c r="BA27">
        <v>17.469817877140155</v>
      </c>
      <c r="BB27">
        <v>17.388832561257313</v>
      </c>
      <c r="BC27">
        <v>17.3073994586494</v>
      </c>
      <c r="BD27">
        <v>17.225687938819849</v>
      </c>
      <c r="BE27">
        <v>17.143850824353397</v>
      </c>
      <c r="BF27">
        <v>17.062025303202034</v>
      </c>
      <c r="BG27">
        <v>16.980335319836808</v>
      </c>
      <c r="BH27">
        <v>16.898893543058804</v>
      </c>
      <c r="BI27">
        <v>16.81780189893259</v>
      </c>
    </row>
    <row r="28" spans="1:61" x14ac:dyDescent="0.2">
      <c r="A28" t="str">
        <v>27m</v>
      </c>
      <c r="B28">
        <v>1.9006287734428216</v>
      </c>
      <c r="C28">
        <v>3.3375323170912123</v>
      </c>
      <c r="D28">
        <v>4.6539564654876413</v>
      </c>
      <c r="E28">
        <v>5.6315822284073791</v>
      </c>
      <c r="F28">
        <v>6.403848849374854</v>
      </c>
      <c r="G28">
        <v>7.111992702235586</v>
      </c>
      <c r="H28">
        <v>7.8378848141075723</v>
      </c>
      <c r="I28">
        <v>8.6218965333490427</v>
      </c>
      <c r="J28">
        <v>9.4630589903922413</v>
      </c>
      <c r="K28">
        <v>10.336495121533563</v>
      </c>
      <c r="L28">
        <v>11.211922529563676</v>
      </c>
      <c r="M28">
        <v>12.064372271347059</v>
      </c>
      <c r="N28">
        <v>12.87333432922526</v>
      </c>
      <c r="O28">
        <v>13.624758377967867</v>
      </c>
      <c r="P28">
        <v>14.311959786495841</v>
      </c>
      <c r="Q28">
        <v>14.933197655899475</v>
      </c>
      <c r="R28">
        <v>15.489752283413132</v>
      </c>
      <c r="S28">
        <v>15.984442572449527</v>
      </c>
      <c r="T28">
        <v>16.420989258591735</v>
      </c>
      <c r="U28">
        <v>16.80357776581026</v>
      </c>
      <c r="V28">
        <v>17.136574512998806</v>
      </c>
      <c r="W28">
        <v>17.424403755842754</v>
      </c>
      <c r="X28">
        <v>17.67144442943998</v>
      </c>
      <c r="Y28">
        <v>17.88184194854124</v>
      </c>
      <c r="Z28">
        <v>18.059397447329474</v>
      </c>
      <c r="AA28">
        <v>18.207571528051595</v>
      </c>
      <c r="AB28">
        <v>18.329462756977428</v>
      </c>
      <c r="AC28">
        <v>18.427833603546322</v>
      </c>
      <c r="AD28">
        <v>18.50515484292848</v>
      </c>
      <c r="AE28">
        <v>18.563647089584816</v>
      </c>
      <c r="AF28">
        <v>18.605314692740258</v>
      </c>
      <c r="AG28">
        <v>18.631964296861387</v>
      </c>
      <c r="AH28">
        <v>18.645214745576268</v>
      </c>
      <c r="AI28">
        <v>18.646517407618198</v>
      </c>
      <c r="AJ28">
        <v>18.637171376263748</v>
      </c>
      <c r="AK28">
        <v>18.618339648507249</v>
      </c>
      <c r="AL28">
        <v>18.59106568998109</v>
      </c>
      <c r="AM28">
        <v>18.556287111718241</v>
      </c>
      <c r="AN28">
        <v>18.514846458851451</v>
      </c>
      <c r="AO28">
        <v>18.467501923178869</v>
      </c>
      <c r="AP28">
        <v>18.414936591825231</v>
      </c>
      <c r="AQ28">
        <v>18.357766651507863</v>
      </c>
      <c r="AR28">
        <v>18.296548948835621</v>
      </c>
      <c r="AS28">
        <v>18.23178761304835</v>
      </c>
      <c r="AT28">
        <v>18.16393951537998</v>
      </c>
      <c r="AU28">
        <v>18.093418799110673</v>
      </c>
      <c r="AV28">
        <v>18.020601046841659</v>
      </c>
      <c r="AW28">
        <v>17.945826740969501</v>
      </c>
      <c r="AX28">
        <v>17.869404509258612</v>
      </c>
      <c r="AY28">
        <v>17.791614061682242</v>
      </c>
      <c r="AZ28">
        <v>17.712708954877968</v>
      </c>
      <c r="BA28">
        <v>17.63291911973138</v>
      </c>
      <c r="BB28">
        <v>17.552453258300822</v>
      </c>
      <c r="BC28">
        <v>17.471501055121959</v>
      </c>
      <c r="BD28">
        <v>17.390234578373885</v>
      </c>
      <c r="BE28">
        <v>17.308809138128137</v>
      </c>
      <c r="BF28">
        <v>17.227364201679951</v>
      </c>
      <c r="BG28">
        <v>17.146025804954441</v>
      </c>
      <c r="BH28">
        <v>17.064908549711497</v>
      </c>
      <c r="BI28">
        <v>16.984116147485352</v>
      </c>
    </row>
    <row r="29" spans="1:61" x14ac:dyDescent="0.2">
      <c r="A29" t="str">
        <v>28m</v>
      </c>
      <c r="B29">
        <v>1.8684283495766008</v>
      </c>
      <c r="C29">
        <v>3.3110360673443067</v>
      </c>
      <c r="D29">
        <v>4.6322592592240071</v>
      </c>
      <c r="E29">
        <v>5.6115605325625699</v>
      </c>
      <c r="F29">
        <v>6.383576800067349</v>
      </c>
      <c r="G29">
        <v>7.0912054495432741</v>
      </c>
      <c r="H29">
        <v>7.8176429934346228</v>
      </c>
      <c r="I29">
        <v>8.6040164063816302</v>
      </c>
      <c r="J29">
        <v>9.4494236400015268</v>
      </c>
      <c r="K29">
        <v>10.328677978773284</v>
      </c>
      <c r="L29">
        <v>11.211079332057809</v>
      </c>
      <c r="M29">
        <v>12.071255767523262</v>
      </c>
      <c r="N29">
        <v>12.888314600706964</v>
      </c>
      <c r="O29">
        <v>13.647897281259606</v>
      </c>
      <c r="P29">
        <v>14.34311398004365</v>
      </c>
      <c r="Q29">
        <v>14.972093675263284</v>
      </c>
      <c r="R29">
        <v>15.53603781664537</v>
      </c>
      <c r="S29">
        <v>16.037719510957455</v>
      </c>
      <c r="T29">
        <v>16.480836487711233</v>
      </c>
      <c r="U29">
        <v>16.869568631894584</v>
      </c>
      <c r="V29">
        <v>17.208289140729633</v>
      </c>
      <c r="W29">
        <v>17.501437606162732</v>
      </c>
      <c r="X29">
        <v>17.753414128733635</v>
      </c>
      <c r="Y29">
        <v>17.968388355787475</v>
      </c>
      <c r="Z29">
        <v>18.150186532280543</v>
      </c>
      <c r="AA29">
        <v>18.302294186278338</v>
      </c>
      <c r="AB29">
        <v>18.427833603546322</v>
      </c>
      <c r="AC29">
        <v>18.529589244810683</v>
      </c>
      <c r="AD29">
        <v>18.610052207237992</v>
      </c>
      <c r="AE29">
        <v>18.67146193610068</v>
      </c>
      <c r="AF29">
        <v>18.715840270624458</v>
      </c>
      <c r="AG29">
        <v>18.745010091867915</v>
      </c>
      <c r="AH29">
        <v>18.760605258439021</v>
      </c>
      <c r="AI29">
        <v>18.764090999951733</v>
      </c>
      <c r="AJ29">
        <v>18.756779120259601</v>
      </c>
      <c r="AK29">
        <v>18.739844199181842</v>
      </c>
      <c r="AL29">
        <v>18.71434025985997</v>
      </c>
      <c r="AM29">
        <v>18.681214559334141</v>
      </c>
      <c r="AN29">
        <v>18.641318460255327</v>
      </c>
      <c r="AO29">
        <v>18.595418219191171</v>
      </c>
      <c r="AP29">
        <v>18.544204300623569</v>
      </c>
      <c r="AQ29">
        <v>18.488299643055619</v>
      </c>
      <c r="AR29">
        <v>18.428267285134435</v>
      </c>
      <c r="AS29">
        <v>18.364617048945608</v>
      </c>
      <c r="AT29">
        <v>18.297811046151665</v>
      </c>
      <c r="AU29">
        <v>18.228268246551821</v>
      </c>
      <c r="AV29">
        <v>18.156368679441389</v>
      </c>
      <c r="AW29">
        <v>18.082456919195057</v>
      </c>
      <c r="AX29">
        <v>18.006845358708503</v>
      </c>
      <c r="AY29">
        <v>17.929817173238067</v>
      </c>
      <c r="AZ29">
        <v>17.851629111874253</v>
      </c>
      <c r="BA29">
        <v>17.772514050055687</v>
      </c>
      <c r="BB29">
        <v>17.69268340967739</v>
      </c>
      <c r="BC29">
        <v>17.612329396572203</v>
      </c>
      <c r="BD29">
        <v>17.531626417814472</v>
      </c>
      <c r="BE29">
        <v>17.450731945097612</v>
      </c>
      <c r="BF29">
        <v>17.369787431473906</v>
      </c>
      <c r="BG29">
        <v>17.288920738882403</v>
      </c>
      <c r="BH29">
        <v>17.208248160490985</v>
      </c>
      <c r="BI29">
        <v>17.127874974217683</v>
      </c>
    </row>
    <row r="30" spans="1:61" x14ac:dyDescent="0.2">
      <c r="A30" t="str">
        <v>29m</v>
      </c>
      <c r="B30">
        <v>1.8379175936662955</v>
      </c>
      <c r="C30">
        <v>3.2849972479869569</v>
      </c>
      <c r="D30">
        <v>4.6100018671345646</v>
      </c>
      <c r="E30">
        <v>5.5903485929634558</v>
      </c>
      <c r="F30">
        <v>6.3616262736849096</v>
      </c>
      <c r="G30">
        <v>7.0681806235812035</v>
      </c>
      <c r="H30">
        <v>7.7944216791867422</v>
      </c>
      <c r="I30">
        <v>8.5821854351608735</v>
      </c>
      <c r="J30">
        <v>9.4306598758165148</v>
      </c>
      <c r="K30">
        <v>10.314411197545677</v>
      </c>
      <c r="L30">
        <v>11.202390796814054</v>
      </c>
      <c r="M30">
        <v>12.068881635054272</v>
      </c>
      <c r="N30">
        <v>12.892656976101442</v>
      </c>
      <c r="O30">
        <v>13.659085278847666</v>
      </c>
      <c r="P30">
        <v>14.361091535665299</v>
      </c>
      <c r="Q30">
        <v>14.996684153611728</v>
      </c>
      <c r="R30">
        <v>15.56698857130468</v>
      </c>
      <c r="S30">
        <v>16.074731147839373</v>
      </c>
      <c r="T30">
        <v>16.523583234865225</v>
      </c>
      <c r="U30">
        <v>16.91771427918686</v>
      </c>
      <c r="V30">
        <v>17.261498431530661</v>
      </c>
      <c r="W30">
        <v>17.559384217614962</v>
      </c>
      <c r="X30">
        <v>17.815786204611214</v>
      </c>
      <c r="Y30">
        <v>18.034891690012277</v>
      </c>
      <c r="Z30">
        <v>18.220545824885761</v>
      </c>
      <c r="AA30">
        <v>18.376253290467744</v>
      </c>
      <c r="AB30">
        <v>18.50515484292848</v>
      </c>
      <c r="AC30">
        <v>18.610052207237992</v>
      </c>
      <c r="AD30">
        <v>18.693452539816128</v>
      </c>
      <c r="AE30">
        <v>18.757610255618495</v>
      </c>
      <c r="AF30">
        <v>18.804561170940104</v>
      </c>
      <c r="AG30">
        <v>18.836141210243074</v>
      </c>
      <c r="AH30">
        <v>18.85399636101786</v>
      </c>
      <c r="AI30">
        <v>18.85960310654966</v>
      </c>
      <c r="AJ30">
        <v>18.85428361419017</v>
      </c>
      <c r="AK30">
        <v>18.839221937054266</v>
      </c>
      <c r="AL30">
        <v>18.815480756288053</v>
      </c>
      <c r="AM30">
        <v>18.784015261549474</v>
      </c>
      <c r="AN30">
        <v>18.7456840870957</v>
      </c>
      <c r="AO30">
        <v>18.701260157857327</v>
      </c>
      <c r="AP30">
        <v>18.651440053442606</v>
      </c>
      <c r="AQ30">
        <v>18.596852322218879</v>
      </c>
      <c r="AR30">
        <v>18.538065160105972</v>
      </c>
      <c r="AS30">
        <v>18.475593142609249</v>
      </c>
      <c r="AT30">
        <v>18.40990276810432</v>
      </c>
      <c r="AU30">
        <v>18.34141705698207</v>
      </c>
      <c r="AV30">
        <v>18.270519779672117</v>
      </c>
      <c r="AW30">
        <v>18.197558961380448</v>
      </c>
      <c r="AX30">
        <v>18.122850177799947</v>
      </c>
      <c r="AY30">
        <v>18.046679540550475</v>
      </c>
      <c r="AZ30">
        <v>17.969306510571059</v>
      </c>
      <c r="BA30">
        <v>17.890966471020324</v>
      </c>
      <c r="BB30">
        <v>17.811873166489679</v>
      </c>
      <c r="BC30">
        <v>17.732220962636383</v>
      </c>
      <c r="BD30">
        <v>17.652186276527516</v>
      </c>
      <c r="BE30">
        <v>17.571928443149943</v>
      </c>
      <c r="BF30">
        <v>17.491590632133217</v>
      </c>
      <c r="BG30">
        <v>17.411302287715703</v>
      </c>
      <c r="BH30">
        <v>17.331181172376329</v>
      </c>
      <c r="BI30">
        <v>17.251333928672409</v>
      </c>
    </row>
    <row r="31" spans="1:61" x14ac:dyDescent="0.2">
      <c r="A31" t="str">
        <v>30m</v>
      </c>
      <c r="B31">
        <v>1.8089596704633917</v>
      </c>
      <c r="C31">
        <v>3.2593687122150161</v>
      </c>
      <c r="D31">
        <v>4.5872020155219468</v>
      </c>
      <c r="E31">
        <v>5.5680069640076226</v>
      </c>
      <c r="F31">
        <v>6.3381091933328477</v>
      </c>
      <c r="G31">
        <v>7.0431061218933291</v>
      </c>
      <c r="H31">
        <v>7.7685119447851632</v>
      </c>
      <c r="I31">
        <v>8.5568228900073766</v>
      </c>
      <c r="J31">
        <v>9.407334177872583</v>
      </c>
      <c r="K31">
        <v>10.294419343519074</v>
      </c>
      <c r="L31">
        <v>11.186742690035777</v>
      </c>
      <c r="M31">
        <v>12.058294040290331</v>
      </c>
      <c r="N31">
        <v>12.887556680906245</v>
      </c>
      <c r="O31">
        <v>13.659658320711014</v>
      </c>
      <c r="P31">
        <v>14.367357331400724</v>
      </c>
      <c r="Q31">
        <v>15.008550647866167</v>
      </c>
      <c r="R31">
        <v>15.584290700447985</v>
      </c>
      <c r="S31">
        <v>16.09725663455383</v>
      </c>
      <c r="T31">
        <v>16.551090726483185</v>
      </c>
      <c r="U31">
        <v>16.949947859609146</v>
      </c>
      <c r="V31">
        <v>17.298198134315431</v>
      </c>
      <c r="W31">
        <v>17.600293449381525</v>
      </c>
      <c r="X31">
        <v>17.860656979074502</v>
      </c>
      <c r="Y31">
        <v>18.083487883909349</v>
      </c>
      <c r="Z31">
        <v>18.272644745612642</v>
      </c>
      <c r="AA31">
        <v>18.431646290056062</v>
      </c>
      <c r="AB31">
        <v>18.563647089584816</v>
      </c>
      <c r="AC31">
        <v>18.67146193610068</v>
      </c>
      <c r="AD31">
        <v>18.757610255618495</v>
      </c>
      <c r="AE31">
        <v>18.824357996269992</v>
      </c>
      <c r="AF31">
        <v>18.873751821324166</v>
      </c>
      <c r="AG31">
        <v>18.907637849957737</v>
      </c>
      <c r="AH31">
        <v>18.927671620372596</v>
      </c>
      <c r="AI31">
        <v>18.935338537428816</v>
      </c>
      <c r="AJ31">
        <v>18.931969030294564</v>
      </c>
      <c r="AK31">
        <v>18.918754734751825</v>
      </c>
      <c r="AL31">
        <v>18.896765286087792</v>
      </c>
      <c r="AM31">
        <v>18.86696226825012</v>
      </c>
      <c r="AN31">
        <v>18.8302101978515</v>
      </c>
      <c r="AO31">
        <v>18.787287412189265</v>
      </c>
      <c r="AP31">
        <v>18.738895469729439</v>
      </c>
      <c r="AQ31">
        <v>18.685667499862721</v>
      </c>
      <c r="AR31">
        <v>18.628175922639187</v>
      </c>
      <c r="AS31">
        <v>18.566939219001068</v>
      </c>
      <c r="AT31">
        <v>18.502427502664272</v>
      </c>
      <c r="AU31">
        <v>18.435067142817793</v>
      </c>
      <c r="AV31">
        <v>18.365245012239104</v>
      </c>
      <c r="AW31">
        <v>18.293312005943168</v>
      </c>
      <c r="AX31">
        <v>18.219586354173668</v>
      </c>
      <c r="AY31">
        <v>18.144356624617476</v>
      </c>
      <c r="AZ31">
        <v>18.067884553146648</v>
      </c>
      <c r="BA31">
        <v>17.990407633040991</v>
      </c>
      <c r="BB31">
        <v>17.912141569672574</v>
      </c>
      <c r="BC31">
        <v>17.833282558677666</v>
      </c>
      <c r="BD31">
        <v>17.754008726569012</v>
      </c>
      <c r="BE31">
        <v>17.674480998615902</v>
      </c>
      <c r="BF31">
        <v>17.594844014313512</v>
      </c>
      <c r="BG31">
        <v>17.51522857651138</v>
      </c>
      <c r="BH31">
        <v>17.435753712860372</v>
      </c>
      <c r="BI31">
        <v>17.35652724484444</v>
      </c>
    </row>
    <row r="32" spans="1:61" x14ac:dyDescent="0.2">
      <c r="A32" t="str">
        <v>31m</v>
      </c>
      <c r="B32">
        <v>1.7814292438290591</v>
      </c>
      <c r="C32">
        <v>3.2341128048879488</v>
      </c>
      <c r="D32">
        <v>4.5638867636907303</v>
      </c>
      <c r="E32">
        <v>5.5446042131336108</v>
      </c>
      <c r="F32">
        <v>6.313139974285205</v>
      </c>
      <c r="G32">
        <v>7.0161622077214512</v>
      </c>
      <c r="H32">
        <v>7.7401835766971772</v>
      </c>
      <c r="I32">
        <v>8.5283107296637706</v>
      </c>
      <c r="J32">
        <v>9.3799583313946719</v>
      </c>
      <c r="K32">
        <v>10.269354480101104</v>
      </c>
      <c r="L32">
        <v>11.164930803694151</v>
      </c>
      <c r="M32">
        <v>12.040430553613149</v>
      </c>
      <c r="N32">
        <v>12.874086917076719</v>
      </c>
      <c r="O32">
        <v>13.650816286505938</v>
      </c>
      <c r="P32">
        <v>14.363227563753824</v>
      </c>
      <c r="Q32">
        <v>15.009114832101247</v>
      </c>
      <c r="R32">
        <v>15.589460611169208</v>
      </c>
      <c r="S32">
        <v>16.106896758865378</v>
      </c>
      <c r="T32">
        <v>16.565034349751716</v>
      </c>
      <c r="U32">
        <v>16.968010247425315</v>
      </c>
      <c r="V32">
        <v>17.320186216347324</v>
      </c>
      <c r="W32">
        <v>17.626012710317621</v>
      </c>
      <c r="X32">
        <v>17.889916396333881</v>
      </c>
      <c r="Y32">
        <v>18.116103220048622</v>
      </c>
      <c r="Z32">
        <v>18.308440370613209</v>
      </c>
      <c r="AA32">
        <v>18.470456105360793</v>
      </c>
      <c r="AB32">
        <v>18.605314692740258</v>
      </c>
      <c r="AC32">
        <v>18.715840270624458</v>
      </c>
      <c r="AD32">
        <v>18.804561170940104</v>
      </c>
      <c r="AE32">
        <v>18.873751821324166</v>
      </c>
      <c r="AF32">
        <v>18.925466947561869</v>
      </c>
      <c r="AG32">
        <v>18.961560326315492</v>
      </c>
      <c r="AH32">
        <v>18.983694747073887</v>
      </c>
      <c r="AI32">
        <v>18.9933624535016</v>
      </c>
      <c r="AJ32">
        <v>18.991900257496351</v>
      </c>
      <c r="AK32">
        <v>18.980505685596217</v>
      </c>
      <c r="AL32">
        <v>18.960253801118238</v>
      </c>
      <c r="AM32">
        <v>18.932111203164627</v>
      </c>
      <c r="AN32">
        <v>18.896947044031524</v>
      </c>
      <c r="AO32">
        <v>18.855543945268838</v>
      </c>
      <c r="AP32">
        <v>18.808607422732244</v>
      </c>
      <c r="AQ32">
        <v>18.75677426112529</v>
      </c>
      <c r="AR32">
        <v>18.700620264234828</v>
      </c>
      <c r="AS32">
        <v>18.640667053979861</v>
      </c>
      <c r="AT32">
        <v>18.577387663314376</v>
      </c>
      <c r="AU32">
        <v>18.51121117625248</v>
      </c>
      <c r="AV32">
        <v>18.442526990265634</v>
      </c>
      <c r="AW32">
        <v>18.371688344237853</v>
      </c>
      <c r="AX32">
        <v>18.299015644303832</v>
      </c>
      <c r="AY32">
        <v>18.224799478531299</v>
      </c>
      <c r="AZ32">
        <v>18.14930346092736</v>
      </c>
      <c r="BA32">
        <v>18.072766833352855</v>
      </c>
      <c r="BB32">
        <v>17.995406932449082</v>
      </c>
      <c r="BC32">
        <v>17.917421483110463</v>
      </c>
      <c r="BD32">
        <v>17.838990046890284</v>
      </c>
      <c r="BE32">
        <v>17.760274889697069</v>
      </c>
      <c r="BF32">
        <v>17.681421894940062</v>
      </c>
      <c r="BG32">
        <v>17.602563018916666</v>
      </c>
      <c r="BH32">
        <v>17.523818366944642</v>
      </c>
      <c r="BI32">
        <v>17.445296768592563</v>
      </c>
    </row>
    <row r="33" spans="1:61" x14ac:dyDescent="0.2">
      <c r="A33" t="str">
        <v>32m</v>
      </c>
      <c r="B33">
        <v>1.7552097833083757</v>
      </c>
      <c r="C33">
        <v>3.2091981892062642</v>
      </c>
      <c r="D33">
        <v>4.5400893118478205</v>
      </c>
      <c r="E33">
        <v>5.5202142324804147</v>
      </c>
      <c r="F33">
        <v>6.2868338419760637</v>
      </c>
      <c r="G33">
        <v>6.9875212316799606</v>
      </c>
      <c r="H33">
        <v>7.7096864259451952</v>
      </c>
      <c r="I33">
        <v>8.4969966800614305</v>
      </c>
      <c r="J33">
        <v>9.348994245329429</v>
      </c>
      <c r="K33">
        <v>10.239802676740803</v>
      </c>
      <c r="L33">
        <v>11.137669060185912</v>
      </c>
      <c r="M33">
        <v>12.016131730331679</v>
      </c>
      <c r="N33">
        <v>12.853209784397416</v>
      </c>
      <c r="O33">
        <v>13.633635106996145</v>
      </c>
      <c r="P33">
        <v>14.349882931804611</v>
      </c>
      <c r="Q33">
        <v>14.999652613554403</v>
      </c>
      <c r="R33">
        <v>15.583859890936285</v>
      </c>
      <c r="S33">
        <v>16.105089570901676</v>
      </c>
      <c r="T33">
        <v>16.566919879203926</v>
      </c>
      <c r="U33">
        <v>16.973466777979144</v>
      </c>
      <c r="V33">
        <v>17.32908003553505</v>
      </c>
      <c r="W33">
        <v>17.638204494992902</v>
      </c>
      <c r="X33">
        <v>17.905265860654623</v>
      </c>
      <c r="Y33">
        <v>18.134472415813924</v>
      </c>
      <c r="Z33">
        <v>18.32969571562256</v>
      </c>
      <c r="AA33">
        <v>18.494469568248061</v>
      </c>
      <c r="AB33">
        <v>18.631964296861387</v>
      </c>
      <c r="AC33">
        <v>18.745010091867915</v>
      </c>
      <c r="AD33">
        <v>18.836141210243074</v>
      </c>
      <c r="AE33">
        <v>18.907637849957737</v>
      </c>
      <c r="AF33">
        <v>18.961560326315492</v>
      </c>
      <c r="AG33">
        <v>18.999767817341535</v>
      </c>
      <c r="AH33">
        <v>19.023928316351444</v>
      </c>
      <c r="AI33">
        <v>19.035539048714291</v>
      </c>
      <c r="AJ33">
        <v>19.035941531644507</v>
      </c>
      <c r="AK33">
        <v>19.026337670715471</v>
      </c>
      <c r="AL33">
        <v>19.007806592483885</v>
      </c>
      <c r="AM33">
        <v>18.981318676684193</v>
      </c>
      <c r="AN33">
        <v>18.947746594260131</v>
      </c>
      <c r="AO33">
        <v>18.907876239266624</v>
      </c>
      <c r="AP33">
        <v>18.862416168021127</v>
      </c>
      <c r="AQ33">
        <v>18.812005988812071</v>
      </c>
      <c r="AR33">
        <v>18.757224133358584</v>
      </c>
      <c r="AS33">
        <v>18.698594676336093</v>
      </c>
      <c r="AT33">
        <v>18.636592942601649</v>
      </c>
      <c r="AU33">
        <v>18.571650159036803</v>
      </c>
      <c r="AV33">
        <v>18.504157726100185</v>
      </c>
      <c r="AW33">
        <v>18.434470751053752</v>
      </c>
      <c r="AX33">
        <v>18.362911382713936</v>
      </c>
      <c r="AY33">
        <v>18.289771834767759</v>
      </c>
      <c r="AZ33">
        <v>18.215317239396562</v>
      </c>
      <c r="BA33">
        <v>18.139788258646323</v>
      </c>
      <c r="BB33">
        <v>18.063403560731228</v>
      </c>
      <c r="BC33">
        <v>17.986362125911612</v>
      </c>
      <c r="BD33">
        <v>17.908844700488729</v>
      </c>
      <c r="BE33">
        <v>17.831014662951386</v>
      </c>
      <c r="BF33">
        <v>17.753018933871726</v>
      </c>
      <c r="BG33">
        <v>17.674990434985556</v>
      </c>
      <c r="BH33">
        <v>17.59705017719827</v>
      </c>
      <c r="BI33">
        <v>17.519307841133124</v>
      </c>
    </row>
    <row r="34" spans="1:61" x14ac:dyDescent="0.2">
      <c r="A34" t="str">
        <v>33m</v>
      </c>
      <c r="B34">
        <v>1.7301923042357965</v>
      </c>
      <c r="C34">
        <v>3.1845964115817704</v>
      </c>
      <c r="D34">
        <v>4.5158443472852783</v>
      </c>
      <c r="E34">
        <v>5.4949116222351551</v>
      </c>
      <c r="F34">
        <v>6.2593031261387129</v>
      </c>
      <c r="G34">
        <v>6.9573452860805718</v>
      </c>
      <c r="H34">
        <v>7.6772495623688553</v>
      </c>
      <c r="I34">
        <v>8.463194849396519</v>
      </c>
      <c r="J34">
        <v>9.3148559136459177</v>
      </c>
      <c r="K34">
        <v>10.206287179450102</v>
      </c>
      <c r="L34">
        <v>11.105593753665882</v>
      </c>
      <c r="M34">
        <v>11.986146288586434</v>
      </c>
      <c r="N34">
        <v>12.825782268253146</v>
      </c>
      <c r="O34">
        <v>13.609073446665461</v>
      </c>
      <c r="P34">
        <v>14.328375912855126</v>
      </c>
      <c r="Q34">
        <v>14.981301911748183</v>
      </c>
      <c r="R34">
        <v>15.568703511021621</v>
      </c>
      <c r="S34">
        <v>16.09311894175837</v>
      </c>
      <c r="T34">
        <v>16.558092331174684</v>
      </c>
      <c r="U34">
        <v>16.967716347472379</v>
      </c>
      <c r="V34">
        <v>17.326325642570744</v>
      </c>
      <c r="W34">
        <v>17.638355851659583</v>
      </c>
      <c r="X34">
        <v>17.908227838803221</v>
      </c>
      <c r="Y34">
        <v>18.140148333158013</v>
      </c>
      <c r="Z34">
        <v>18.337989529582366</v>
      </c>
      <c r="AA34">
        <v>18.505287279511549</v>
      </c>
      <c r="AB34">
        <v>18.645214745576268</v>
      </c>
      <c r="AC34">
        <v>18.760605258439021</v>
      </c>
      <c r="AD34">
        <v>18.85399636101786</v>
      </c>
      <c r="AE34">
        <v>18.927671620372596</v>
      </c>
      <c r="AF34">
        <v>18.983694747073887</v>
      </c>
      <c r="AG34">
        <v>19.023928316351444</v>
      </c>
      <c r="AH34">
        <v>19.050043704126661</v>
      </c>
      <c r="AI34">
        <v>19.063541463328438</v>
      </c>
      <c r="AJ34">
        <v>19.065766320653967</v>
      </c>
      <c r="AK34">
        <v>19.057923211368205</v>
      </c>
      <c r="AL34">
        <v>19.041094105977244</v>
      </c>
      <c r="AM34">
        <v>19.016252060882461</v>
      </c>
      <c r="AN34">
        <v>18.984272265791237</v>
      </c>
      <c r="AO34">
        <v>18.945942980769882</v>
      </c>
      <c r="AP34">
        <v>18.901974980304622</v>
      </c>
      <c r="AQ34">
        <v>18.85300994968884</v>
      </c>
      <c r="AR34">
        <v>18.799628269474365</v>
      </c>
      <c r="AS34">
        <v>18.742355848071572</v>
      </c>
      <c r="AT34">
        <v>18.681669737383622</v>
      </c>
      <c r="AU34">
        <v>18.618002791604091</v>
      </c>
      <c r="AV34">
        <v>18.551747943407086</v>
      </c>
      <c r="AW34">
        <v>18.483261738912343</v>
      </c>
      <c r="AX34">
        <v>18.412867677864359</v>
      </c>
      <c r="AY34">
        <v>18.340859242172716</v>
      </c>
      <c r="AZ34">
        <v>18.267502755902839</v>
      </c>
      <c r="BA34">
        <v>18.193040003221363</v>
      </c>
      <c r="BB34">
        <v>18.117690711538383</v>
      </c>
      <c r="BC34">
        <v>18.04165486720381</v>
      </c>
      <c r="BD34">
        <v>17.965114173132037</v>
      </c>
      <c r="BE34">
        <v>17.888232912199527</v>
      </c>
      <c r="BF34">
        <v>17.81115885309384</v>
      </c>
      <c r="BG34">
        <v>17.734025710822294</v>
      </c>
      <c r="BH34">
        <v>17.656955244069561</v>
      </c>
      <c r="BI34">
        <v>17.580057840285264</v>
      </c>
    </row>
    <row r="35" spans="1:61" x14ac:dyDescent="0.2">
      <c r="A35" t="str">
        <v>34m</v>
      </c>
      <c r="B35">
        <v>1.7062756986002872</v>
      </c>
      <c r="C35">
        <v>3.1602818942134672</v>
      </c>
      <c r="D35">
        <v>4.4911870887467833</v>
      </c>
      <c r="E35">
        <v>5.4687701614734783</v>
      </c>
      <c r="F35">
        <v>6.2306560672339479</v>
      </c>
      <c r="G35">
        <v>6.9257861657105817</v>
      </c>
      <c r="H35">
        <v>7.6430828933462234</v>
      </c>
      <c r="I35">
        <v>8.4271892463050317</v>
      </c>
      <c r="J35">
        <v>9.2779149074772835</v>
      </c>
      <c r="K35">
        <v>10.169275837171778</v>
      </c>
      <c r="L35">
        <v>11.069272795552477</v>
      </c>
      <c r="M35">
        <v>11.951142019853854</v>
      </c>
      <c r="N35">
        <v>12.792568645333205</v>
      </c>
      <c r="O35">
        <v>13.577986431595473</v>
      </c>
      <c r="P35">
        <v>14.299645645222716</v>
      </c>
      <c r="Q35">
        <v>14.955078540607245</v>
      </c>
      <c r="R35">
        <v>15.545076566555604</v>
      </c>
      <c r="S35">
        <v>16.072132034357971</v>
      </c>
      <c r="T35">
        <v>16.539754052353643</v>
      </c>
      <c r="U35">
        <v>16.9520100193362</v>
      </c>
      <c r="V35">
        <v>17.313216817424905</v>
      </c>
      <c r="W35">
        <v>17.627797772415189</v>
      </c>
      <c r="X35">
        <v>17.900165537710329</v>
      </c>
      <c r="Y35">
        <v>18.134521886516946</v>
      </c>
      <c r="Z35">
        <v>18.334736383124152</v>
      </c>
      <c r="AA35">
        <v>18.504343834802778</v>
      </c>
      <c r="AB35">
        <v>18.646517407618198</v>
      </c>
      <c r="AC35">
        <v>18.764090999951733</v>
      </c>
      <c r="AD35">
        <v>18.85960310654966</v>
      </c>
      <c r="AE35">
        <v>18.935338537428816</v>
      </c>
      <c r="AF35">
        <v>18.9933624535016</v>
      </c>
      <c r="AG35">
        <v>19.035539048714291</v>
      </c>
      <c r="AH35">
        <v>19.063541463328438</v>
      </c>
      <c r="AI35">
        <v>19.078872106054689</v>
      </c>
      <c r="AJ35">
        <v>19.082877580596438</v>
      </c>
      <c r="AK35">
        <v>19.076764648779168</v>
      </c>
      <c r="AL35">
        <v>19.061617036897786</v>
      </c>
      <c r="AM35">
        <v>19.038409491827867</v>
      </c>
      <c r="AN35">
        <v>19.008018827941026</v>
      </c>
      <c r="AO35">
        <v>18.971234859949405</v>
      </c>
      <c r="AP35">
        <v>18.928769843818412</v>
      </c>
      <c r="AQ35">
        <v>18.881266872354377</v>
      </c>
      <c r="AR35">
        <v>18.829307665349209</v>
      </c>
      <c r="AS35">
        <v>18.7734194086926</v>
      </c>
      <c r="AT35">
        <v>18.714080373204286</v>
      </c>
      <c r="AU35">
        <v>18.651724576100527</v>
      </c>
      <c r="AV35">
        <v>18.586746057844742</v>
      </c>
      <c r="AW35">
        <v>18.519502415764233</v>
      </c>
      <c r="AX35">
        <v>18.450318146571657</v>
      </c>
      <c r="AY35">
        <v>18.379487677102993</v>
      </c>
      <c r="AZ35">
        <v>18.307278227781691</v>
      </c>
      <c r="BA35">
        <v>18.233932434578666</v>
      </c>
      <c r="BB35">
        <v>18.159670836748301</v>
      </c>
      <c r="BC35">
        <v>18.084694200034924</v>
      </c>
      <c r="BD35">
        <v>18.009184976187719</v>
      </c>
      <c r="BE35">
        <v>17.933308162558717</v>
      </c>
      <c r="BF35">
        <v>17.85721220322295</v>
      </c>
      <c r="BG35">
        <v>17.781031448921397</v>
      </c>
      <c r="BH35">
        <v>17.704888261511016</v>
      </c>
      <c r="BI35">
        <v>17.628893602903052</v>
      </c>
    </row>
    <row r="36" spans="1:61" x14ac:dyDescent="0.2">
      <c r="A36" t="str">
        <v>35m</v>
      </c>
      <c r="B36">
        <v>1.6833688239205762</v>
      </c>
      <c r="C36">
        <v>3.1362331350285357</v>
      </c>
      <c r="D36">
        <v>4.4661528072628673</v>
      </c>
      <c r="E36">
        <v>5.4418610041959843</v>
      </c>
      <c r="F36">
        <v>6.2009947235296501</v>
      </c>
      <c r="G36">
        <v>6.8929839939072721</v>
      </c>
      <c r="H36">
        <v>7.6073771589188413</v>
      </c>
      <c r="I36">
        <v>8.3892354541956653</v>
      </c>
      <c r="J36">
        <v>9.2385038250770375</v>
      </c>
      <c r="K36">
        <v>10.129186285025712</v>
      </c>
      <c r="L36">
        <v>11.029212503745242</v>
      </c>
      <c r="M36">
        <v>11.911714016881211</v>
      </c>
      <c r="N36">
        <v>12.75424997179767</v>
      </c>
      <c r="O36">
        <v>13.541136224301452</v>
      </c>
      <c r="P36">
        <v>14.264529428207222</v>
      </c>
      <c r="Q36">
        <v>14.92188848743462</v>
      </c>
      <c r="R36">
        <v>15.513947205108934</v>
      </c>
      <c r="S36">
        <v>16.043152768202255</v>
      </c>
      <c r="T36">
        <v>16.512978622021983</v>
      </c>
      <c r="U36">
        <v>16.927465278763691</v>
      </c>
      <c r="V36">
        <v>17.29090960316573</v>
      </c>
      <c r="W36">
        <v>17.607719944216122</v>
      </c>
      <c r="X36">
        <v>17.882297820353649</v>
      </c>
      <c r="Y36">
        <v>18.118837079628868</v>
      </c>
      <c r="Z36">
        <v>18.321201789293042</v>
      </c>
      <c r="AA36">
        <v>18.492922997945538</v>
      </c>
      <c r="AB36">
        <v>18.637171376263748</v>
      </c>
      <c r="AC36">
        <v>18.756779120259601</v>
      </c>
      <c r="AD36">
        <v>18.85428361419017</v>
      </c>
      <c r="AE36">
        <v>18.931969030294564</v>
      </c>
      <c r="AF36">
        <v>18.991900257496351</v>
      </c>
      <c r="AG36">
        <v>19.035941531644507</v>
      </c>
      <c r="AH36">
        <v>19.065766320653967</v>
      </c>
      <c r="AI36">
        <v>19.082877580596438</v>
      </c>
      <c r="AJ36">
        <v>19.088622606192004</v>
      </c>
      <c r="AK36">
        <v>19.08420891391993</v>
      </c>
      <c r="AL36">
        <v>19.070721015483354</v>
      </c>
      <c r="AM36">
        <v>19.049134467911014</v>
      </c>
      <c r="AN36">
        <v>19.020326911315038</v>
      </c>
      <c r="AO36">
        <v>18.985088989346337</v>
      </c>
      <c r="AP36">
        <v>18.944133779902387</v>
      </c>
      <c r="AQ36">
        <v>18.898105183332515</v>
      </c>
      <c r="AR36">
        <v>18.847585711812403</v>
      </c>
      <c r="AS36">
        <v>18.793103329156331</v>
      </c>
      <c r="AT36">
        <v>18.735137068262571</v>
      </c>
      <c r="AU36">
        <v>18.674121691477065</v>
      </c>
      <c r="AV36">
        <v>18.610451964608757</v>
      </c>
      <c r="AW36">
        <v>18.544486186503168</v>
      </c>
      <c r="AX36">
        <v>18.476549531177124</v>
      </c>
      <c r="AY36">
        <v>18.406937078070023</v>
      </c>
      <c r="AZ36">
        <v>18.335916676409084</v>
      </c>
      <c r="BA36">
        <v>18.263731568909805</v>
      </c>
      <c r="BB36">
        <v>18.19060288212377</v>
      </c>
      <c r="BC36">
        <v>18.116731955096643</v>
      </c>
      <c r="BD36">
        <v>18.042301799229868</v>
      </c>
      <c r="BE36">
        <v>17.967477953160536</v>
      </c>
      <c r="BF36">
        <v>17.892409378572172</v>
      </c>
      <c r="BG36">
        <v>17.817230917820993</v>
      </c>
      <c r="BH36">
        <v>17.742065403455662</v>
      </c>
      <c r="BI36">
        <v>17.667024250397144</v>
      </c>
    </row>
    <row r="37" spans="1:61" x14ac:dyDescent="0.2">
      <c r="A37" t="str">
        <v>36m</v>
      </c>
      <c r="B37">
        <v>1.6613905145403987</v>
      </c>
      <c r="C37">
        <v>3.1124332875132197</v>
      </c>
      <c r="D37">
        <v>4.4407774093351176</v>
      </c>
      <c r="E37">
        <v>5.4142531713584221</v>
      </c>
      <c r="F37">
        <v>6.1704157041278824</v>
      </c>
      <c r="G37">
        <v>6.8590686264448042</v>
      </c>
      <c r="H37">
        <v>7.5703063522908121</v>
      </c>
      <c r="I37">
        <v>8.3495642965968457</v>
      </c>
      <c r="J37">
        <v>9.1969213264291447</v>
      </c>
      <c r="K37">
        <v>10.086392378669</v>
      </c>
      <c r="L37">
        <v>10.985865393447785</v>
      </c>
      <c r="M37">
        <v>11.86839373158214</v>
      </c>
      <c r="N37">
        <v>12.711434292035074</v>
      </c>
      <c r="O37">
        <v>13.499203256628014</v>
      </c>
      <c r="P37">
        <v>14.223774852582808</v>
      </c>
      <c r="Q37">
        <v>14.882540820457926</v>
      </c>
      <c r="R37">
        <v>15.476180199885949</v>
      </c>
      <c r="S37">
        <v>16.00709595685673</v>
      </c>
      <c r="T37">
        <v>16.478725462678771</v>
      </c>
      <c r="U37">
        <v>16.89508103518995</v>
      </c>
      <c r="V37">
        <v>17.260437628408553</v>
      </c>
      <c r="W37">
        <v>17.579186328308094</v>
      </c>
      <c r="X37">
        <v>17.855714987502285</v>
      </c>
      <c r="Y37">
        <v>18.094206942386968</v>
      </c>
      <c r="Z37">
        <v>18.298518254764041</v>
      </c>
      <c r="AA37">
        <v>18.472173831329449</v>
      </c>
      <c r="AB37">
        <v>18.618339648507249</v>
      </c>
      <c r="AC37">
        <v>18.739844199181842</v>
      </c>
      <c r="AD37">
        <v>18.839221937054266</v>
      </c>
      <c r="AE37">
        <v>18.918754734751825</v>
      </c>
      <c r="AF37">
        <v>18.980505685596217</v>
      </c>
      <c r="AG37">
        <v>19.026337670715471</v>
      </c>
      <c r="AH37">
        <v>19.057923211368205</v>
      </c>
      <c r="AI37">
        <v>19.076764648779168</v>
      </c>
      <c r="AJ37">
        <v>19.08420891391993</v>
      </c>
      <c r="AK37">
        <v>19.081463323657825</v>
      </c>
      <c r="AL37">
        <v>19.069612310389314</v>
      </c>
      <c r="AM37">
        <v>19.049631456028528</v>
      </c>
      <c r="AN37">
        <v>19.022398513017862</v>
      </c>
      <c r="AO37">
        <v>18.988704305255986</v>
      </c>
      <c r="AP37">
        <v>18.949262142431724</v>
      </c>
      <c r="AQ37">
        <v>18.904716195060523</v>
      </c>
      <c r="AR37">
        <v>18.855649277369583</v>
      </c>
      <c r="AS37">
        <v>18.802589682668081</v>
      </c>
      <c r="AT37">
        <v>18.746016795377383</v>
      </c>
      <c r="AU37">
        <v>18.686365746977934</v>
      </c>
      <c r="AV37">
        <v>18.624031684121086</v>
      </c>
      <c r="AW37">
        <v>18.559373291813106</v>
      </c>
      <c r="AX37">
        <v>18.492716132751944</v>
      </c>
      <c r="AY37">
        <v>18.424355674713347</v>
      </c>
      <c r="AZ37">
        <v>18.354560153533242</v>
      </c>
      <c r="BA37">
        <v>18.283573196531481</v>
      </c>
      <c r="BB37">
        <v>18.211616313723574</v>
      </c>
      <c r="BC37">
        <v>18.138891230094657</v>
      </c>
      <c r="BD37">
        <v>18.065581344440918</v>
      </c>
      <c r="BE37">
        <v>17.991852578728857</v>
      </c>
      <c r="BF37">
        <v>17.917854268107206</v>
      </c>
      <c r="BG37">
        <v>17.843721614682291</v>
      </c>
      <c r="BH37">
        <v>17.769577800298578</v>
      </c>
      <c r="BI37">
        <v>17.695534581421253</v>
      </c>
    </row>
    <row r="38" spans="1:61" x14ac:dyDescent="0.2">
      <c r="A38" t="str">
        <v>37m</v>
      </c>
      <c r="B38">
        <v>1.6402680421609139</v>
      </c>
      <c r="C38">
        <v>3.0888694595050823</v>
      </c>
      <c r="D38">
        <v>4.4150973079069695</v>
      </c>
      <c r="E38">
        <v>5.3860138211794286</v>
      </c>
      <c r="F38">
        <v>6.1390109195938196</v>
      </c>
      <c r="G38">
        <v>6.8241610765640957</v>
      </c>
      <c r="H38">
        <v>7.5320300206743509</v>
      </c>
      <c r="I38">
        <v>8.3083851911552387</v>
      </c>
      <c r="J38">
        <v>9.153436668012187</v>
      </c>
      <c r="K38">
        <v>10.041229973759057</v>
      </c>
      <c r="L38">
        <v>10.939637205963422</v>
      </c>
      <c r="M38">
        <v>11.821657213994152</v>
      </c>
      <c r="N38">
        <v>12.664666016348832</v>
      </c>
      <c r="O38">
        <v>13.452796655086287</v>
      </c>
      <c r="P38">
        <v>14.178051174331346</v>
      </c>
      <c r="Q38">
        <v>14.837759910826106</v>
      </c>
      <c r="R38">
        <v>15.43254992332796</v>
      </c>
      <c r="S38">
        <v>15.964780941916588</v>
      </c>
      <c r="T38">
        <v>16.437854049546434</v>
      </c>
      <c r="U38">
        <v>16.855752329292294</v>
      </c>
      <c r="V38">
        <v>17.22272724063836</v>
      </c>
      <c r="W38">
        <v>17.543150655626253</v>
      </c>
      <c r="X38">
        <v>17.8213945778134</v>
      </c>
      <c r="Y38">
        <v>18.061629584697606</v>
      </c>
      <c r="Z38">
        <v>18.267701542365408</v>
      </c>
      <c r="AA38">
        <v>18.443127127246019</v>
      </c>
      <c r="AB38">
        <v>18.59106568998109</v>
      </c>
      <c r="AC38">
        <v>18.71434025985997</v>
      </c>
      <c r="AD38">
        <v>18.815480756288053</v>
      </c>
      <c r="AE38">
        <v>18.896765286087792</v>
      </c>
      <c r="AF38">
        <v>18.960253801118238</v>
      </c>
      <c r="AG38">
        <v>19.007806592483885</v>
      </c>
      <c r="AH38">
        <v>19.041094105977244</v>
      </c>
      <c r="AI38">
        <v>19.061617036897786</v>
      </c>
      <c r="AJ38">
        <v>19.070721015483354</v>
      </c>
      <c r="AK38">
        <v>19.069612310389314</v>
      </c>
      <c r="AL38">
        <v>19.059374504969387</v>
      </c>
      <c r="AM38">
        <v>19.040982506260924</v>
      </c>
      <c r="AN38">
        <v>19.015313542606396</v>
      </c>
      <c r="AO38">
        <v>18.983158038838972</v>
      </c>
      <c r="AP38">
        <v>18.945229008862057</v>
      </c>
      <c r="AQ38">
        <v>18.902170412440544</v>
      </c>
      <c r="AR38">
        <v>18.854564926543102</v>
      </c>
      <c r="AS38">
        <v>18.802940771727581</v>
      </c>
      <c r="AT38">
        <v>18.747777315223768</v>
      </c>
      <c r="AU38">
        <v>18.689509719556348</v>
      </c>
      <c r="AV38">
        <v>18.628533202066468</v>
      </c>
      <c r="AW38">
        <v>18.565206549668854</v>
      </c>
      <c r="AX38">
        <v>18.499855453263294</v>
      </c>
      <c r="AY38">
        <v>18.432775530153084</v>
      </c>
      <c r="AZ38">
        <v>18.364235183618263</v>
      </c>
      <c r="BA38">
        <v>18.294478224276659</v>
      </c>
      <c r="BB38">
        <v>18.223726360620194</v>
      </c>
      <c r="BC38">
        <v>18.152181533270468</v>
      </c>
      <c r="BD38">
        <v>18.080027371589445</v>
      </c>
      <c r="BE38">
        <v>18.00743003682031</v>
      </c>
      <c r="BF38">
        <v>17.934539105890153</v>
      </c>
      <c r="BG38">
        <v>17.861490019994879</v>
      </c>
      <c r="BH38">
        <v>17.7884061990258</v>
      </c>
      <c r="BI38">
        <v>17.715399638677848</v>
      </c>
    </row>
    <row r="39" spans="1:61" x14ac:dyDescent="0.2">
      <c r="A39" t="str">
        <v>38m</v>
      </c>
      <c r="B39">
        <v>1.6199356592060397</v>
      </c>
      <c r="C39">
        <v>3.0655315714148093</v>
      </c>
      <c r="D39">
        <v>4.3891486410904141</v>
      </c>
      <c r="E39">
        <v>5.3572078213618903</v>
      </c>
      <c r="F39">
        <v>6.1068675971493089</v>
      </c>
      <c r="G39">
        <v>6.7883741225249086</v>
      </c>
      <c r="H39">
        <v>7.4926946175825213</v>
      </c>
      <c r="I39">
        <v>8.2658883832842847</v>
      </c>
      <c r="J39">
        <v>9.1082929182601617</v>
      </c>
      <c r="K39">
        <v>9.9940011759671741</v>
      </c>
      <c r="L39">
        <v>10.890892201185247</v>
      </c>
      <c r="M39">
        <v>11.771931420731644</v>
      </c>
      <c r="N39">
        <v>12.614433192141242</v>
      </c>
      <c r="O39">
        <v>13.402462404324011</v>
      </c>
      <c r="P39">
        <v>14.127958292169724</v>
      </c>
      <c r="Q39">
        <v>14.788195144175672</v>
      </c>
      <c r="R39">
        <v>15.383750714498625</v>
      </c>
      <c r="S39">
        <v>15.916942541692263</v>
      </c>
      <c r="T39">
        <v>16.391135370823488</v>
      </c>
      <c r="U39">
        <v>16.810282240353661</v>
      </c>
      <c r="V39">
        <v>17.178609801677077</v>
      </c>
      <c r="W39">
        <v>17.500469056850427</v>
      </c>
      <c r="X39">
        <v>17.780214284352908</v>
      </c>
      <c r="Y39">
        <v>18.022001356436039</v>
      </c>
      <c r="Z39">
        <v>18.229664036119761</v>
      </c>
      <c r="AA39">
        <v>18.406708943929853</v>
      </c>
      <c r="AB39">
        <v>18.556287111718241</v>
      </c>
      <c r="AC39">
        <v>18.681214559334141</v>
      </c>
      <c r="AD39">
        <v>18.784015261549474</v>
      </c>
      <c r="AE39">
        <v>18.86696226825012</v>
      </c>
      <c r="AF39">
        <v>18.932111203164627</v>
      </c>
      <c r="AG39">
        <v>18.981318676684193</v>
      </c>
      <c r="AH39">
        <v>19.016252060882461</v>
      </c>
      <c r="AI39">
        <v>19.038409491827867</v>
      </c>
      <c r="AJ39">
        <v>19.049134467911014</v>
      </c>
      <c r="AK39">
        <v>19.049631456028528</v>
      </c>
      <c r="AL39">
        <v>19.040982506260924</v>
      </c>
      <c r="AM39">
        <v>19.024161228047394</v>
      </c>
      <c r="AN39">
        <v>19.00004375861521</v>
      </c>
      <c r="AO39">
        <v>18.969419607023813</v>
      </c>
      <c r="AP39">
        <v>18.933001020310574</v>
      </c>
      <c r="AQ39">
        <v>18.891431317593696</v>
      </c>
      <c r="AR39">
        <v>18.84529264541538</v>
      </c>
      <c r="AS39">
        <v>18.795112791135473</v>
      </c>
      <c r="AT39">
        <v>18.741370773977739</v>
      </c>
      <c r="AU39">
        <v>18.684501483783698</v>
      </c>
      <c r="AV39">
        <v>18.62489992959696</v>
      </c>
      <c r="AW39">
        <v>18.562924744230507</v>
      </c>
      <c r="AX39">
        <v>18.498901511880884</v>
      </c>
      <c r="AY39">
        <v>18.433125783722485</v>
      </c>
      <c r="AZ39">
        <v>18.365865932279583</v>
      </c>
      <c r="BA39">
        <v>18.297365769144694</v>
      </c>
      <c r="BB39">
        <v>18.227847033487478</v>
      </c>
      <c r="BC39">
        <v>18.157511726837232</v>
      </c>
      <c r="BD39">
        <v>18.08654356639391</v>
      </c>
      <c r="BE39">
        <v>18.015108821345773</v>
      </c>
      <c r="BF39">
        <v>17.943357190122232</v>
      </c>
      <c r="BG39">
        <v>17.871424242623718</v>
      </c>
      <c r="BH39">
        <v>17.79943353485443</v>
      </c>
      <c r="BI39">
        <v>17.727497207835608</v>
      </c>
    </row>
    <row r="40" spans="1:61" x14ac:dyDescent="0.2">
      <c r="A40" t="str">
        <v>39m</v>
      </c>
      <c r="B40">
        <v>1.600333615621311</v>
      </c>
      <c r="C40">
        <v>3.0424113385664513</v>
      </c>
      <c r="D40">
        <v>4.3629662947203149</v>
      </c>
      <c r="E40">
        <v>5.327896921289458</v>
      </c>
      <c r="F40">
        <v>6.0740677847939599</v>
      </c>
      <c r="G40">
        <v>6.7518123305369473</v>
      </c>
      <c r="H40">
        <v>7.4524341946422119</v>
      </c>
      <c r="I40">
        <v>8.2222464188574467</v>
      </c>
      <c r="J40">
        <v>9.0617092831581179</v>
      </c>
      <c r="K40">
        <v>9.944977549885019</v>
      </c>
      <c r="L40">
        <v>10.839957243704974</v>
      </c>
      <c r="M40">
        <v>11.71959914547651</v>
      </c>
      <c r="N40">
        <v>12.561173226370908</v>
      </c>
      <c r="O40">
        <v>13.348689797242661</v>
      </c>
      <c r="P40">
        <v>14.074033856419096</v>
      </c>
      <c r="Q40">
        <v>14.73442861932053</v>
      </c>
      <c r="R40">
        <v>15.330405101216517</v>
      </c>
      <c r="S40">
        <v>15.864239734255174</v>
      </c>
      <c r="T40">
        <v>16.339261013722439</v>
      </c>
      <c r="U40">
        <v>16.759391322256015</v>
      </c>
      <c r="V40">
        <v>17.128831425503673</v>
      </c>
      <c r="W40">
        <v>17.451910058753096</v>
      </c>
      <c r="X40">
        <v>17.73296217080884</v>
      </c>
      <c r="Y40">
        <v>17.97612724913041</v>
      </c>
      <c r="Z40">
        <v>18.185225297882553</v>
      </c>
      <c r="AA40">
        <v>18.363751290156859</v>
      </c>
      <c r="AB40">
        <v>18.514846458851451</v>
      </c>
      <c r="AC40">
        <v>18.641318460255327</v>
      </c>
      <c r="AD40">
        <v>18.7456840870957</v>
      </c>
      <c r="AE40">
        <v>18.8302101978515</v>
      </c>
      <c r="AF40">
        <v>18.896947044031524</v>
      </c>
      <c r="AG40">
        <v>18.947746594260131</v>
      </c>
      <c r="AH40">
        <v>18.984272265791237</v>
      </c>
      <c r="AI40">
        <v>19.008018827941026</v>
      </c>
      <c r="AJ40">
        <v>19.020326911315038</v>
      </c>
      <c r="AK40">
        <v>19.022398513017862</v>
      </c>
      <c r="AL40">
        <v>19.015313542606396</v>
      </c>
      <c r="AM40">
        <v>19.00004375861521</v>
      </c>
      <c r="AN40">
        <v>18.977463702735662</v>
      </c>
      <c r="AO40">
        <v>18.948361508042623</v>
      </c>
      <c r="AP40">
        <v>18.91344823464792</v>
      </c>
      <c r="AQ40">
        <v>18.873366177237095</v>
      </c>
      <c r="AR40">
        <v>18.828696600490762</v>
      </c>
      <c r="AS40">
        <v>18.779966535961538</v>
      </c>
      <c r="AT40">
        <v>18.727654358388662</v>
      </c>
      <c r="AU40">
        <v>18.672194412361389</v>
      </c>
      <c r="AV40">
        <v>18.61398124792111</v>
      </c>
      <c r="AW40">
        <v>18.553373113419848</v>
      </c>
      <c r="AX40">
        <v>18.490695274692381</v>
      </c>
      <c r="AY40">
        <v>18.426243022192718</v>
      </c>
      <c r="AZ40">
        <v>18.360284518581523</v>
      </c>
      <c r="BA40">
        <v>18.29306341140871</v>
      </c>
      <c r="BB40">
        <v>18.224801318409032</v>
      </c>
      <c r="BC40">
        <v>18.155700161518649</v>
      </c>
      <c r="BD40">
        <v>18.085943615944228</v>
      </c>
      <c r="BE40">
        <v>18.015697939135833</v>
      </c>
      <c r="BF40">
        <v>17.945112841211404</v>
      </c>
      <c r="BG40">
        <v>17.874323919822977</v>
      </c>
      <c r="BH40">
        <v>17.803454773714943</v>
      </c>
      <c r="BI40">
        <v>17.732617603070452</v>
      </c>
    </row>
    <row r="41" spans="1:61" x14ac:dyDescent="0.2">
      <c r="A41" t="str">
        <v>40m</v>
      </c>
      <c r="B41">
        <v>1.5814076514398294</v>
      </c>
      <c r="C41">
        <v>3.0195017987772967</v>
      </c>
      <c r="D41">
        <v>4.3365833056904215</v>
      </c>
      <c r="E41">
        <v>5.2981390703306372</v>
      </c>
      <c r="F41">
        <v>6.0406878359826486</v>
      </c>
      <c r="G41">
        <v>6.7145719882644075</v>
      </c>
      <c r="H41">
        <v>7.4113709990343937</v>
      </c>
      <c r="I41">
        <v>8.1776155482821427</v>
      </c>
      <c r="J41">
        <v>9.0138833990474527</v>
      </c>
      <c r="K41">
        <v>9.8944033289099806</v>
      </c>
      <c r="L41">
        <v>10.787125915258976</v>
      </c>
      <c r="M41">
        <v>11.665003991240271</v>
      </c>
      <c r="N41">
        <v>12.505278656789805</v>
      </c>
      <c r="O41">
        <v>13.291917934614865</v>
      </c>
      <c r="P41">
        <v>14.016760423430952</v>
      </c>
      <c r="Q41">
        <v>14.676982885164518</v>
      </c>
      <c r="R41">
        <v>15.273072050847983</v>
      </c>
      <c r="S41">
        <v>15.807264358258022</v>
      </c>
      <c r="T41">
        <v>16.282852256696604</v>
      </c>
      <c r="U41">
        <v>16.703727033822439</v>
      </c>
      <c r="V41">
        <v>17.07406269865648</v>
      </c>
      <c r="W41">
        <v>17.39816455168118</v>
      </c>
      <c r="X41">
        <v>17.680346847920351</v>
      </c>
      <c r="Y41">
        <v>17.924731247640327</v>
      </c>
      <c r="Z41">
        <v>18.135122564516937</v>
      </c>
      <c r="AA41">
        <v>18.315002741678096</v>
      </c>
      <c r="AB41">
        <v>18.467501923178869</v>
      </c>
      <c r="AC41">
        <v>18.595418219191171</v>
      </c>
      <c r="AD41">
        <v>18.701260157857327</v>
      </c>
      <c r="AE41">
        <v>18.787287412189265</v>
      </c>
      <c r="AF41">
        <v>18.855543945268838</v>
      </c>
      <c r="AG41">
        <v>18.907876239266624</v>
      </c>
      <c r="AH41">
        <v>18.945942980769882</v>
      </c>
      <c r="AI41">
        <v>18.971234859949405</v>
      </c>
      <c r="AJ41">
        <v>18.985088989346337</v>
      </c>
      <c r="AK41">
        <v>18.988704305255986</v>
      </c>
      <c r="AL41">
        <v>18.983158038838972</v>
      </c>
      <c r="AM41">
        <v>18.969419607023813</v>
      </c>
      <c r="AN41">
        <v>18.948361508042623</v>
      </c>
      <c r="AO41">
        <v>18.920770089806734</v>
      </c>
      <c r="AP41">
        <v>18.887354851561607</v>
      </c>
      <c r="AQ41">
        <v>18.848756721483177</v>
      </c>
      <c r="AR41">
        <v>18.805555768733946</v>
      </c>
      <c r="AS41">
        <v>18.75827798072914</v>
      </c>
      <c r="AT41">
        <v>18.707400822377707</v>
      </c>
      <c r="AU41">
        <v>18.653357848721971</v>
      </c>
      <c r="AV41">
        <v>18.596542925783293</v>
      </c>
      <c r="AW41">
        <v>18.537313710408792</v>
      </c>
      <c r="AX41">
        <v>18.475994959560975</v>
      </c>
      <c r="AY41">
        <v>18.412881527561535</v>
      </c>
      <c r="AZ41">
        <v>18.348241205500372</v>
      </c>
      <c r="BA41">
        <v>18.282317327655555</v>
      </c>
      <c r="BB41">
        <v>18.215331252539734</v>
      </c>
      <c r="BC41">
        <v>18.147484695002063</v>
      </c>
      <c r="BD41">
        <v>18.078961170227476</v>
      </c>
      <c r="BE41">
        <v>18.00992681491784</v>
      </c>
      <c r="BF41">
        <v>17.940531250664655</v>
      </c>
      <c r="BG41">
        <v>17.8709100105829</v>
      </c>
      <c r="BH41">
        <v>17.801186650657062</v>
      </c>
      <c r="BI41">
        <v>17.731473351193216</v>
      </c>
    </row>
    <row r="42" spans="1:61" x14ac:dyDescent="0.2">
      <c r="A42" t="str">
        <v>41m</v>
      </c>
      <c r="B42">
        <v>1.563108684745905</v>
      </c>
      <c r="C42">
        <v>2.996797284115571</v>
      </c>
      <c r="D42">
        <v>4.3100309472114011</v>
      </c>
      <c r="E42">
        <v>5.2679885419229429</v>
      </c>
      <c r="F42">
        <v>6.0067986785082317</v>
      </c>
      <c r="G42">
        <v>6.6767416877802974</v>
      </c>
      <c r="H42">
        <v>7.3696165263579605</v>
      </c>
      <c r="I42">
        <v>8.1321373717481258</v>
      </c>
      <c r="J42">
        <v>8.9649936530368883</v>
      </c>
      <c r="K42">
        <v>9.8424984509450582</v>
      </c>
      <c r="L42">
        <v>10.732662268510545</v>
      </c>
      <c r="M42">
        <v>11.608454818677711</v>
      </c>
      <c r="N42">
        <v>12.447102252852392</v>
      </c>
      <c r="O42">
        <v>13.232541425930602</v>
      </c>
      <c r="P42">
        <v>13.956571699399412</v>
      </c>
      <c r="Q42">
        <v>14.616327670197043</v>
      </c>
      <c r="R42">
        <v>15.212254130294077</v>
      </c>
      <c r="S42">
        <v>15.746548651434109</v>
      </c>
      <c r="T42">
        <v>16.222467938276434</v>
      </c>
      <c r="U42">
        <v>16.643871893853341</v>
      </c>
      <c r="V42">
        <v>17.014907081420034</v>
      </c>
      <c r="W42">
        <v>17.339854400895284</v>
      </c>
      <c r="X42">
        <v>17.623006262907701</v>
      </c>
      <c r="Y42">
        <v>17.868465269266729</v>
      </c>
      <c r="Z42">
        <v>18.080019811544418</v>
      </c>
      <c r="AA42">
        <v>18.261137607192882</v>
      </c>
      <c r="AB42">
        <v>18.414936591825231</v>
      </c>
      <c r="AC42">
        <v>18.544204300623569</v>
      </c>
      <c r="AD42">
        <v>18.651440053442606</v>
      </c>
      <c r="AE42">
        <v>18.738895469729439</v>
      </c>
      <c r="AF42">
        <v>18.808607422732244</v>
      </c>
      <c r="AG42">
        <v>18.862416168021127</v>
      </c>
      <c r="AH42">
        <v>18.901974980304622</v>
      </c>
      <c r="AI42">
        <v>18.928769843818412</v>
      </c>
      <c r="AJ42">
        <v>18.944133779902387</v>
      </c>
      <c r="AK42">
        <v>18.949262142431724</v>
      </c>
      <c r="AL42">
        <v>18.945229008862057</v>
      </c>
      <c r="AM42">
        <v>18.933001020310574</v>
      </c>
      <c r="AN42">
        <v>18.91344823464792</v>
      </c>
      <c r="AO42">
        <v>18.887354851561607</v>
      </c>
      <c r="AP42">
        <v>18.855428477198029</v>
      </c>
      <c r="AQ42">
        <v>18.818308368893558</v>
      </c>
      <c r="AR42">
        <v>18.776573120851705</v>
      </c>
      <c r="AS42">
        <v>18.730747419091042</v>
      </c>
      <c r="AT42">
        <v>18.681307581585632</v>
      </c>
      <c r="AU42">
        <v>18.628686155205678</v>
      </c>
      <c r="AV42">
        <v>18.573276120273729</v>
      </c>
      <c r="AW42">
        <v>18.515434356289607</v>
      </c>
      <c r="AX42">
        <v>18.45548494007932</v>
      </c>
      <c r="AY42">
        <v>18.393722131891167</v>
      </c>
      <c r="AZ42">
        <v>18.330413205402028</v>
      </c>
      <c r="BA42">
        <v>18.265801046798686</v>
      </c>
      <c r="BB42">
        <v>18.200106630671552</v>
      </c>
      <c r="BC42">
        <v>18.133531349184231</v>
      </c>
      <c r="BD42">
        <v>18.066258450277012</v>
      </c>
      <c r="BE42">
        <v>17.998453850676466</v>
      </c>
      <c r="BF42">
        <v>17.930266992041918</v>
      </c>
      <c r="BG42">
        <v>17.861833258623314</v>
      </c>
      <c r="BH42">
        <v>17.793276085386541</v>
      </c>
      <c r="BI42">
        <v>17.724707560283022</v>
      </c>
    </row>
    <row r="43" spans="1:61" x14ac:dyDescent="0.2">
      <c r="A43" t="str">
        <v>42m</v>
      </c>
      <c r="B43">
        <v>1.5453922998617213</v>
      </c>
      <c r="C43">
        <v>2.9742934009881044</v>
      </c>
      <c r="D43">
        <v>4.2833390410543277</v>
      </c>
      <c r="E43">
        <v>5.2374964459045366</v>
      </c>
      <c r="F43">
        <v>5.9724665231618337</v>
      </c>
      <c r="G43">
        <v>6.638403298820136</v>
      </c>
      <c r="H43">
        <v>7.3272728493205701</v>
      </c>
      <c r="I43">
        <v>8.0859406152803306</v>
      </c>
      <c r="J43">
        <v>8.9152014798091628</v>
      </c>
      <c r="K43">
        <v>9.7894614199857148</v>
      </c>
      <c r="L43">
        <v>10.676804268113298</v>
      </c>
      <c r="M43">
        <v>11.550229758531946</v>
      </c>
      <c r="N43">
        <v>12.386961573681662</v>
      </c>
      <c r="O43">
        <v>13.170915455348712</v>
      </c>
      <c r="P43">
        <v>13.893858071086216</v>
      </c>
      <c r="Q43">
        <v>14.552885833002092</v>
      </c>
      <c r="R43">
        <v>15.148403831889606</v>
      </c>
      <c r="S43">
        <v>15.682571909277996</v>
      </c>
      <c r="T43">
        <v>16.158611408409062</v>
      </c>
      <c r="U43">
        <v>16.580350687848334</v>
      </c>
      <c r="V43">
        <v>16.951908335681448</v>
      </c>
      <c r="W43">
        <v>17.277540064444111</v>
      </c>
      <c r="X43">
        <v>17.561515479392028</v>
      </c>
      <c r="Y43">
        <v>17.807917080730824</v>
      </c>
      <c r="Z43">
        <v>18.020515784928765</v>
      </c>
      <c r="AA43">
        <v>18.202764055160159</v>
      </c>
      <c r="AB43">
        <v>18.357766651507863</v>
      </c>
      <c r="AC43">
        <v>18.488299643055619</v>
      </c>
      <c r="AD43">
        <v>18.596852322218879</v>
      </c>
      <c r="AE43">
        <v>18.685667499862721</v>
      </c>
      <c r="AF43">
        <v>18.75677426112529</v>
      </c>
      <c r="AG43">
        <v>18.812005988812071</v>
      </c>
      <c r="AH43">
        <v>18.85300994968884</v>
      </c>
      <c r="AI43">
        <v>18.881266872354377</v>
      </c>
      <c r="AJ43">
        <v>18.898105183332515</v>
      </c>
      <c r="AK43">
        <v>18.904716195060523</v>
      </c>
      <c r="AL43">
        <v>18.902170412440544</v>
      </c>
      <c r="AM43">
        <v>18.891431317593696</v>
      </c>
      <c r="AN43">
        <v>18.873366177237095</v>
      </c>
      <c r="AO43">
        <v>18.848756721483177</v>
      </c>
      <c r="AP43">
        <v>18.818308368893558</v>
      </c>
      <c r="AQ43">
        <v>18.782658435822739</v>
      </c>
      <c r="AR43">
        <v>18.74238379308736</v>
      </c>
      <c r="AS43">
        <v>18.69800759623644</v>
      </c>
      <c r="AT43">
        <v>18.650004804844777</v>
      </c>
      <c r="AU43">
        <v>18.598806762309714</v>
      </c>
      <c r="AV43">
        <v>18.544805382801034</v>
      </c>
      <c r="AW43">
        <v>18.488356601925265</v>
      </c>
      <c r="AX43">
        <v>18.429783662640258</v>
      </c>
      <c r="AY43">
        <v>18.369380089108944</v>
      </c>
      <c r="AZ43">
        <v>18.307412506232591</v>
      </c>
      <c r="BA43">
        <v>18.244123230451894</v>
      </c>
      <c r="BB43">
        <v>18.179732739703727</v>
      </c>
      <c r="BC43">
        <v>18.114441998757563</v>
      </c>
      <c r="BD43">
        <v>18.04843389098939</v>
      </c>
      <c r="BE43">
        <v>17.981874022900339</v>
      </c>
      <c r="BF43">
        <v>17.914911572905773</v>
      </c>
      <c r="BG43">
        <v>17.847681699385085</v>
      </c>
      <c r="BH43">
        <v>17.780307644695757</v>
      </c>
      <c r="BI43">
        <v>17.712901338006237</v>
      </c>
    </row>
    <row r="44" spans="1:61" x14ac:dyDescent="0.2">
      <c r="A44" t="str">
        <v>43m</v>
      </c>
      <c r="B44">
        <v>1.5282183671342577</v>
      </c>
      <c r="C44">
        <v>2.9519870397031052</v>
      </c>
      <c r="D44">
        <v>4.2565362624809202</v>
      </c>
      <c r="E44">
        <v>5.2067112183702262</v>
      </c>
      <c r="F44">
        <v>5.9377535279380407</v>
      </c>
      <c r="G44">
        <v>6.5996328630880381</v>
      </c>
      <c r="H44">
        <v>7.2844338217539351</v>
      </c>
      <c r="I44">
        <v>8.0391427277469614</v>
      </c>
      <c r="J44">
        <v>8.864653419767901</v>
      </c>
      <c r="K44">
        <v>9.7354718681098422</v>
      </c>
      <c r="L44">
        <v>10.619766873511139</v>
      </c>
      <c r="M44">
        <v>11.490579811804849</v>
      </c>
      <c r="N44">
        <v>12.325143065824927</v>
      </c>
      <c r="O44">
        <v>13.107360346036394</v>
      </c>
      <c r="P44">
        <v>13.828971599924991</v>
      </c>
      <c r="Q44">
        <v>14.48703874710311</v>
      </c>
      <c r="R44">
        <v>15.081929309998349</v>
      </c>
      <c r="S44">
        <v>15.615766535598928</v>
      </c>
      <c r="T44">
        <v>16.091736857082132</v>
      </c>
      <c r="U44">
        <v>16.513637041118042</v>
      </c>
      <c r="V44">
        <v>16.88555731147197</v>
      </c>
      <c r="W44">
        <v>17.21172756473354</v>
      </c>
      <c r="X44">
        <v>17.496393808294673</v>
      </c>
      <c r="Y44">
        <v>17.743617565306831</v>
      </c>
      <c r="Z44">
        <v>17.95715138375331</v>
      </c>
      <c r="AA44">
        <v>18.140431593537709</v>
      </c>
      <c r="AB44">
        <v>18.296548948835621</v>
      </c>
      <c r="AC44">
        <v>18.428267285134435</v>
      </c>
      <c r="AD44">
        <v>18.538065160105972</v>
      </c>
      <c r="AE44">
        <v>18.628175922639187</v>
      </c>
      <c r="AF44">
        <v>18.700620264234828</v>
      </c>
      <c r="AG44">
        <v>18.757224133358584</v>
      </c>
      <c r="AH44">
        <v>18.799628269474365</v>
      </c>
      <c r="AI44">
        <v>18.829307665349209</v>
      </c>
      <c r="AJ44">
        <v>18.847585711812403</v>
      </c>
      <c r="AK44">
        <v>18.855649277369583</v>
      </c>
      <c r="AL44">
        <v>18.854564926543102</v>
      </c>
      <c r="AM44">
        <v>18.84529264541538</v>
      </c>
      <c r="AN44">
        <v>18.828696600490762</v>
      </c>
      <c r="AO44">
        <v>18.805555768733946</v>
      </c>
      <c r="AP44">
        <v>18.776573120851705</v>
      </c>
      <c r="AQ44">
        <v>18.74238379308736</v>
      </c>
      <c r="AR44">
        <v>18.703562712600515</v>
      </c>
      <c r="AS44">
        <v>18.660631301011321</v>
      </c>
      <c r="AT44">
        <v>18.614062971351824</v>
      </c>
      <c r="AU44">
        <v>18.56428768947919</v>
      </c>
      <c r="AV44">
        <v>18.511696142295644</v>
      </c>
      <c r="AW44">
        <v>18.456643172566601</v>
      </c>
      <c r="AX44">
        <v>18.399451051653738</v>
      </c>
      <c r="AY44">
        <v>18.340412440177666</v>
      </c>
      <c r="AZ44">
        <v>18.279793196145597</v>
      </c>
      <c r="BA44">
        <v>18.217834956652148</v>
      </c>
      <c r="BB44">
        <v>18.154757601221018</v>
      </c>
      <c r="BC44">
        <v>18.090761572513024</v>
      </c>
      <c r="BD44">
        <v>18.026029301119422</v>
      </c>
      <c r="BE44">
        <v>17.960726001324424</v>
      </c>
      <c r="BF44">
        <v>17.895000512444231</v>
      </c>
      <c r="BG44">
        <v>17.8289876967368</v>
      </c>
      <c r="BH44">
        <v>17.762810538519734</v>
      </c>
      <c r="BI44">
        <v>17.696580747343731</v>
      </c>
    </row>
    <row r="45" spans="1:61" x14ac:dyDescent="0.2">
      <c r="A45" t="str">
        <v>44m</v>
      </c>
      <c r="B45">
        <v>1.5115506162605308</v>
      </c>
      <c r="C45">
        <v>2.9298762491382289</v>
      </c>
      <c r="D45">
        <v>4.2296502700210334</v>
      </c>
      <c r="E45">
        <v>5.1756789148340845</v>
      </c>
      <c r="F45">
        <v>5.9027182442455439</v>
      </c>
      <c r="G45">
        <v>6.56050124218745</v>
      </c>
      <c r="H45">
        <v>7.2411859994634504</v>
      </c>
      <c r="I45">
        <v>7.9918511497325815</v>
      </c>
      <c r="J45">
        <v>8.8134827977510515</v>
      </c>
      <c r="K45">
        <v>9.680692683091241</v>
      </c>
      <c r="L45">
        <v>10.561744631434742</v>
      </c>
      <c r="M45">
        <v>11.429731904795773</v>
      </c>
      <c r="N45">
        <v>12.26190556380452</v>
      </c>
      <c r="O45">
        <v>13.04216547904741</v>
      </c>
      <c r="P45">
        <v>13.76223032669049</v>
      </c>
      <c r="Q45">
        <v>14.419130956789257</v>
      </c>
      <c r="R45">
        <v>15.013199353298889</v>
      </c>
      <c r="S45">
        <v>15.546523297571177</v>
      </c>
      <c r="T45">
        <v>16.022254820095185</v>
      </c>
      <c r="U45">
        <v>16.44415914526002</v>
      </c>
      <c r="V45">
        <v>16.816297866367361</v>
      </c>
      <c r="W45">
        <v>17.142874575425989</v>
      </c>
      <c r="X45">
        <v>17.428111039211636</v>
      </c>
      <c r="Y45">
        <v>17.676047077961748</v>
      </c>
      <c r="Z45">
        <v>17.890416120562158</v>
      </c>
      <c r="AA45">
        <v>18.074637618732062</v>
      </c>
      <c r="AB45">
        <v>18.23178761304835</v>
      </c>
      <c r="AC45">
        <v>18.364617048945608</v>
      </c>
      <c r="AD45">
        <v>18.475593142609249</v>
      </c>
      <c r="AE45">
        <v>18.566939219001068</v>
      </c>
      <c r="AF45">
        <v>18.640667053979861</v>
      </c>
      <c r="AG45">
        <v>18.698594676336093</v>
      </c>
      <c r="AH45">
        <v>18.742355848071572</v>
      </c>
      <c r="AI45">
        <v>18.7734194086926</v>
      </c>
      <c r="AJ45">
        <v>18.793103329156331</v>
      </c>
      <c r="AK45">
        <v>18.802589682668081</v>
      </c>
      <c r="AL45">
        <v>18.802940771727581</v>
      </c>
      <c r="AM45">
        <v>18.795112791135473</v>
      </c>
      <c r="AN45">
        <v>18.779966535961538</v>
      </c>
      <c r="AO45">
        <v>18.75827798072914</v>
      </c>
      <c r="AP45">
        <v>18.730747419091042</v>
      </c>
      <c r="AQ45">
        <v>18.69800759623644</v>
      </c>
      <c r="AR45">
        <v>18.660631301011321</v>
      </c>
      <c r="AS45">
        <v>18.619138040970022</v>
      </c>
      <c r="AT45">
        <v>18.573999515712707</v>
      </c>
      <c r="AU45">
        <v>18.525644158859645</v>
      </c>
      <c r="AV45">
        <v>18.474461286590174</v>
      </c>
      <c r="AW45">
        <v>18.420804515965102</v>
      </c>
      <c r="AX45">
        <v>18.364995023663976</v>
      </c>
      <c r="AY45">
        <v>18.307324492638205</v>
      </c>
      <c r="AZ45">
        <v>18.248057908025736</v>
      </c>
      <c r="BA45">
        <v>18.187436129040808</v>
      </c>
      <c r="BB45">
        <v>18.125678345117588</v>
      </c>
      <c r="BC45">
        <v>18.062984391289188</v>
      </c>
      <c r="BD45">
        <v>17.99953616552456</v>
      </c>
      <c r="BE45">
        <v>17.935498415518406</v>
      </c>
      <c r="BF45">
        <v>17.871019572521305</v>
      </c>
      <c r="BG45">
        <v>17.80623413866704</v>
      </c>
      <c r="BH45">
        <v>17.741264780505826</v>
      </c>
      <c r="BI45">
        <v>17.676222932323551</v>
      </c>
    </row>
    <row r="46" spans="1:61" x14ac:dyDescent="0.2">
      <c r="A46" t="str">
        <v>45m</v>
      </c>
      <c r="B46">
        <v>1.4953561976034118</v>
      </c>
      <c r="C46">
        <v>2.9079599971544097</v>
      </c>
      <c r="D46">
        <v>4.2027076702392376</v>
      </c>
      <c r="E46">
        <v>5.144443328887772</v>
      </c>
      <c r="F46">
        <v>5.867415888366688</v>
      </c>
      <c r="G46">
        <v>6.5210745814067614</v>
      </c>
      <c r="H46">
        <v>7.197609351457376</v>
      </c>
      <c r="I46">
        <v>7.9441643300415006</v>
      </c>
      <c r="J46">
        <v>8.7618110920618459</v>
      </c>
      <c r="K46">
        <v>9.6252717591463579</v>
      </c>
      <c r="L46">
        <v>10.502913819132841</v>
      </c>
      <c r="M46">
        <v>11.367891420833578</v>
      </c>
      <c r="N46">
        <v>12.197483194456947</v>
      </c>
      <c r="O46">
        <v>12.975592546205514</v>
      </c>
      <c r="P46">
        <v>13.693921844678977</v>
      </c>
      <c r="Q46">
        <v>14.349474040828374</v>
      </c>
      <c r="R46">
        <v>14.942547509387635</v>
      </c>
      <c r="S46">
        <v>15.475195682581429</v>
      </c>
      <c r="T46">
        <v>15.950536741032009</v>
      </c>
      <c r="U46">
        <v>16.372304499958883</v>
      </c>
      <c r="V46">
        <v>16.744531763797387</v>
      </c>
      <c r="W46">
        <v>17.071395455000189</v>
      </c>
      <c r="X46">
        <v>17.3570925900374</v>
      </c>
      <c r="Y46">
        <v>17.60564069383642</v>
      </c>
      <c r="Z46">
        <v>17.820753453324137</v>
      </c>
      <c r="AA46">
        <v>18.005832817352587</v>
      </c>
      <c r="AB46">
        <v>18.16393951537998</v>
      </c>
      <c r="AC46">
        <v>18.297811046151665</v>
      </c>
      <c r="AD46">
        <v>18.40990276810432</v>
      </c>
      <c r="AE46">
        <v>18.502427502664272</v>
      </c>
      <c r="AF46">
        <v>18.577387663314376</v>
      </c>
      <c r="AG46">
        <v>18.636592942601649</v>
      </c>
      <c r="AH46">
        <v>18.681669737383622</v>
      </c>
      <c r="AI46">
        <v>18.714080373204286</v>
      </c>
      <c r="AJ46">
        <v>18.735137068262571</v>
      </c>
      <c r="AK46">
        <v>18.746016795377383</v>
      </c>
      <c r="AL46">
        <v>18.747777315223768</v>
      </c>
      <c r="AM46">
        <v>18.741370773977739</v>
      </c>
      <c r="AN46">
        <v>18.727654358388662</v>
      </c>
      <c r="AO46">
        <v>18.707400822377707</v>
      </c>
      <c r="AP46">
        <v>18.681307581585632</v>
      </c>
      <c r="AQ46">
        <v>18.650004804844777</v>
      </c>
      <c r="AR46">
        <v>18.614062971351824</v>
      </c>
      <c r="AS46">
        <v>18.573999515712707</v>
      </c>
      <c r="AT46">
        <v>18.530284276595633</v>
      </c>
      <c r="AU46">
        <v>18.483344018374705</v>
      </c>
      <c r="AV46">
        <v>18.43356655919181</v>
      </c>
      <c r="AW46">
        <v>18.38130417225501</v>
      </c>
      <c r="AX46">
        <v>18.326876829884682</v>
      </c>
      <c r="AY46">
        <v>18.270575135456312</v>
      </c>
      <c r="AZ46">
        <v>18.212663106407785</v>
      </c>
      <c r="BA46">
        <v>18.153380735706481</v>
      </c>
      <c r="BB46">
        <v>18.092946440296238</v>
      </c>
      <c r="BC46">
        <v>18.03155937053322</v>
      </c>
      <c r="BD46">
        <v>17.969400819657498</v>
      </c>
      <c r="BE46">
        <v>17.906635001437728</v>
      </c>
      <c r="BF46">
        <v>17.843409876463614</v>
      </c>
      <c r="BG46">
        <v>17.779859528528299</v>
      </c>
      <c r="BH46">
        <v>17.716106251976104</v>
      </c>
      <c r="BI46">
        <v>17.652261154997355</v>
      </c>
    </row>
    <row r="47" spans="1:61" x14ac:dyDescent="0.2">
      <c r="A47" t="str">
        <v>46m</v>
      </c>
      <c r="B47">
        <v>1.4796052668781436</v>
      </c>
      <c r="C47">
        <v>2.8862379370337052</v>
      </c>
      <c r="D47">
        <v>4.1757339451635085</v>
      </c>
      <c r="E47">
        <v>5.11304604386312</v>
      </c>
      <c r="F47">
        <v>5.8318985257694296</v>
      </c>
      <c r="G47">
        <v>6.4814146642951957</v>
      </c>
      <c r="H47">
        <v>7.1537778311583553</v>
      </c>
      <c r="I47">
        <v>7.8961725598228938</v>
      </c>
      <c r="J47">
        <v>8.7097490683882555</v>
      </c>
      <c r="K47">
        <v>9.5693434527507328</v>
      </c>
      <c r="L47">
        <v>10.443434229232569</v>
      </c>
      <c r="M47">
        <v>11.305244309421136</v>
      </c>
      <c r="N47">
        <v>12.132087796091554</v>
      </c>
      <c r="O47">
        <v>12.907878258571818</v>
      </c>
      <c r="P47">
        <v>13.624306273566425</v>
      </c>
      <c r="Q47">
        <v>14.278349826721653</v>
      </c>
      <c r="R47">
        <v>14.870275514652866</v>
      </c>
      <c r="S47">
        <v>15.402103519850138</v>
      </c>
      <c r="T47">
        <v>15.876918762093561</v>
      </c>
      <c r="U47">
        <v>16.298423852063117</v>
      </c>
      <c r="V47">
        <v>16.670622741081694</v>
      </c>
      <c r="W47">
        <v>16.997665426196409</v>
      </c>
      <c r="X47">
        <v>17.283723781998994</v>
      </c>
      <c r="Y47">
        <v>17.532792564684488</v>
      </c>
      <c r="Z47">
        <v>17.748565210606809</v>
      </c>
      <c r="AA47">
        <v>17.934425648839941</v>
      </c>
      <c r="AB47">
        <v>18.093418799110673</v>
      </c>
      <c r="AC47">
        <v>18.228268246551821</v>
      </c>
      <c r="AD47">
        <v>18.34141705698207</v>
      </c>
      <c r="AE47">
        <v>18.435067142817793</v>
      </c>
      <c r="AF47">
        <v>18.51121117625248</v>
      </c>
      <c r="AG47">
        <v>18.571650159036803</v>
      </c>
      <c r="AH47">
        <v>18.618002791604091</v>
      </c>
      <c r="AI47">
        <v>18.651724576100527</v>
      </c>
      <c r="AJ47">
        <v>18.674121691477065</v>
      </c>
      <c r="AK47">
        <v>18.686365746977934</v>
      </c>
      <c r="AL47">
        <v>18.689509719556348</v>
      </c>
      <c r="AM47">
        <v>18.684501483783698</v>
      </c>
      <c r="AN47">
        <v>18.672194412361389</v>
      </c>
      <c r="AO47">
        <v>18.653357848721971</v>
      </c>
      <c r="AP47">
        <v>18.628686155205678</v>
      </c>
      <c r="AQ47">
        <v>18.598806762309714</v>
      </c>
      <c r="AR47">
        <v>18.56428768947919</v>
      </c>
      <c r="AS47">
        <v>18.525644158859645</v>
      </c>
      <c r="AT47">
        <v>18.483344018374705</v>
      </c>
      <c r="AU47">
        <v>18.437812242294939</v>
      </c>
      <c r="AV47">
        <v>18.389435038164862</v>
      </c>
      <c r="AW47">
        <v>18.338563230656138</v>
      </c>
      <c r="AX47">
        <v>18.28551549033449</v>
      </c>
      <c r="AY47">
        <v>18.23058125029759</v>
      </c>
      <c r="AZ47">
        <v>18.174023475682507</v>
      </c>
      <c r="BA47">
        <v>18.116081214187606</v>
      </c>
      <c r="BB47">
        <v>18.05697203640085</v>
      </c>
      <c r="BC47">
        <v>17.996894338755709</v>
      </c>
      <c r="BD47">
        <v>17.936028744789176</v>
      </c>
      <c r="BE47">
        <v>17.874538873507852</v>
      </c>
      <c r="BF47">
        <v>17.812572158140288</v>
      </c>
      <c r="BG47">
        <v>17.750262211283669</v>
      </c>
      <c r="BH47">
        <v>17.687730905544669</v>
      </c>
      <c r="BI47">
        <v>17.625088976661434</v>
      </c>
    </row>
    <row r="48" spans="1:61" x14ac:dyDescent="0.2">
      <c r="A48" t="str">
        <v>47m</v>
      </c>
      <c r="B48">
        <v>1.464270672107933</v>
      </c>
      <c r="C48">
        <v>2.8647101921746745</v>
      </c>
      <c r="D48">
        <v>4.1487532654511208</v>
      </c>
      <c r="E48">
        <v>5.0815262602143418</v>
      </c>
      <c r="F48">
        <v>5.7962149738318631</v>
      </c>
      <c r="G48">
        <v>6.4415789724987853</v>
      </c>
      <c r="H48">
        <v>7.109759663148437</v>
      </c>
      <c r="I48">
        <v>7.8479585392725841</v>
      </c>
      <c r="J48">
        <v>8.657397661768389</v>
      </c>
      <c r="K48">
        <v>9.5130297967759798</v>
      </c>
      <c r="L48">
        <v>10.383450717019659</v>
      </c>
      <c r="M48">
        <v>11.241958956351159</v>
      </c>
      <c r="N48">
        <v>12.065911093148216</v>
      </c>
      <c r="O48">
        <v>12.839236802366992</v>
      </c>
      <c r="P48">
        <v>13.553618971123482</v>
      </c>
      <c r="Q48">
        <v>14.20601333237474</v>
      </c>
      <c r="R48">
        <v>14.796656440817761</v>
      </c>
      <c r="S48">
        <v>15.32753630806536</v>
      </c>
      <c r="T48">
        <v>15.801705210655188</v>
      </c>
      <c r="U48">
        <v>16.222834820646479</v>
      </c>
      <c r="V48">
        <v>16.594900254367666</v>
      </c>
      <c r="W48">
        <v>16.922024423991829</v>
      </c>
      <c r="X48">
        <v>17.208353775579582</v>
      </c>
      <c r="Y48">
        <v>17.457859929289008</v>
      </c>
      <c r="Z48">
        <v>17.674215664511436</v>
      </c>
      <c r="AA48">
        <v>17.860786470287444</v>
      </c>
      <c r="AB48">
        <v>18.020601046841659</v>
      </c>
      <c r="AC48">
        <v>18.156368679441389</v>
      </c>
      <c r="AD48">
        <v>18.270519779672117</v>
      </c>
      <c r="AE48">
        <v>18.365245012239104</v>
      </c>
      <c r="AF48">
        <v>18.442526990265634</v>
      </c>
      <c r="AG48">
        <v>18.504157726100185</v>
      </c>
      <c r="AH48">
        <v>18.551747943407086</v>
      </c>
      <c r="AI48">
        <v>18.586746057844742</v>
      </c>
      <c r="AJ48">
        <v>18.610451964608757</v>
      </c>
      <c r="AK48">
        <v>18.624031684121086</v>
      </c>
      <c r="AL48">
        <v>18.628533202066468</v>
      </c>
      <c r="AM48">
        <v>18.62489992959696</v>
      </c>
      <c r="AN48">
        <v>18.61398124792111</v>
      </c>
      <c r="AO48">
        <v>18.596542925783293</v>
      </c>
      <c r="AP48">
        <v>18.573276120273729</v>
      </c>
      <c r="AQ48">
        <v>18.544805382801034</v>
      </c>
      <c r="AR48">
        <v>18.511696142295644</v>
      </c>
      <c r="AS48">
        <v>18.474461286590174</v>
      </c>
      <c r="AT48">
        <v>18.43356655919181</v>
      </c>
      <c r="AU48">
        <v>18.389435038164862</v>
      </c>
      <c r="AV48">
        <v>18.342451221388096</v>
      </c>
      <c r="AW48">
        <v>18.292964392638147</v>
      </c>
      <c r="AX48">
        <v>18.241291834584111</v>
      </c>
      <c r="AY48">
        <v>18.187721729621877</v>
      </c>
      <c r="AZ48">
        <v>18.132515915381308</v>
      </c>
      <c r="BA48">
        <v>18.075912423861134</v>
      </c>
      <c r="BB48">
        <v>18.018127913285298</v>
      </c>
      <c r="BC48">
        <v>17.959359964111556</v>
      </c>
      <c r="BD48">
        <v>17.899788471782607</v>
      </c>
      <c r="BE48">
        <v>17.839576405715484</v>
      </c>
      <c r="BF48">
        <v>17.778870620534409</v>
      </c>
      <c r="BG48">
        <v>17.717804209754824</v>
      </c>
      <c r="BH48">
        <v>17.656498579268028</v>
      </c>
      <c r="BI48">
        <v>17.595064050161866</v>
      </c>
    </row>
    <row r="49" spans="1:61" x14ac:dyDescent="0.2">
      <c r="A49" t="str">
        <v>48m</v>
      </c>
      <c r="B49">
        <v>1.4493277635636321</v>
      </c>
      <c r="C49">
        <v>2.8433772437984537</v>
      </c>
      <c r="D49">
        <v>4.1217883682809928</v>
      </c>
      <c r="E49">
        <v>5.0499206471680607</v>
      </c>
      <c r="F49">
        <v>5.7604106914803754</v>
      </c>
      <c r="G49">
        <v>6.4016206984685979</v>
      </c>
      <c r="H49">
        <v>7.0656175497000975</v>
      </c>
      <c r="I49">
        <v>7.7995978285539067</v>
      </c>
      <c r="J49">
        <v>8.6048487034330758</v>
      </c>
      <c r="K49">
        <v>9.4564415166601119</v>
      </c>
      <c r="L49">
        <v>10.323094504495732</v>
      </c>
      <c r="M49">
        <v>11.178187764214909</v>
      </c>
      <c r="N49">
        <v>11.999126535089909</v>
      </c>
      <c r="O49">
        <v>12.76986191449163</v>
      </c>
      <c r="P49">
        <v>13.482072822272432</v>
      </c>
      <c r="Q49">
        <v>14.132695245706058</v>
      </c>
      <c r="R49">
        <v>14.721937343091581</v>
      </c>
      <c r="S49">
        <v>15.251756011446156</v>
      </c>
      <c r="T49">
        <v>15.72517152419791</v>
      </c>
      <c r="U49">
        <v>16.145824933421626</v>
      </c>
      <c r="V49">
        <v>16.517662610798471</v>
      </c>
      <c r="W49">
        <v>16.844780309416898</v>
      </c>
      <c r="X49">
        <v>17.131298853438526</v>
      </c>
      <c r="Y49">
        <v>17.381166454381923</v>
      </c>
      <c r="Z49">
        <v>17.598034919774133</v>
      </c>
      <c r="AA49">
        <v>17.785250965054381</v>
      </c>
      <c r="AB49">
        <v>17.945826740969501</v>
      </c>
      <c r="AC49">
        <v>18.082456919195057</v>
      </c>
      <c r="AD49">
        <v>18.197558961380448</v>
      </c>
      <c r="AE49">
        <v>18.293312005943168</v>
      </c>
      <c r="AF49">
        <v>18.371688344237853</v>
      </c>
      <c r="AG49">
        <v>18.434470751053752</v>
      </c>
      <c r="AH49">
        <v>18.483261738912343</v>
      </c>
      <c r="AI49">
        <v>18.519502415764233</v>
      </c>
      <c r="AJ49">
        <v>18.544486186503168</v>
      </c>
      <c r="AK49">
        <v>18.559373291813106</v>
      </c>
      <c r="AL49">
        <v>18.565206549668854</v>
      </c>
      <c r="AM49">
        <v>18.562924744230507</v>
      </c>
      <c r="AN49">
        <v>18.553373113419848</v>
      </c>
      <c r="AO49">
        <v>18.537313710408792</v>
      </c>
      <c r="AP49">
        <v>18.515434356289607</v>
      </c>
      <c r="AQ49">
        <v>18.488356601925265</v>
      </c>
      <c r="AR49">
        <v>18.456643172566601</v>
      </c>
      <c r="AS49">
        <v>18.420804515965102</v>
      </c>
      <c r="AT49">
        <v>18.38130417225501</v>
      </c>
      <c r="AU49">
        <v>18.338563230656138</v>
      </c>
      <c r="AV49">
        <v>18.292964392638147</v>
      </c>
      <c r="AW49">
        <v>18.244855319993622</v>
      </c>
      <c r="AX49">
        <v>18.194551831654323</v>
      </c>
      <c r="AY49">
        <v>18.142340788308552</v>
      </c>
      <c r="AZ49">
        <v>18.088482833491003</v>
      </c>
      <c r="BA49">
        <v>18.033214920961409</v>
      </c>
      <c r="BB49">
        <v>17.97675273779695</v>
      </c>
      <c r="BC49">
        <v>17.919292993049414</v>
      </c>
      <c r="BD49">
        <v>17.861014801745355</v>
      </c>
      <c r="BE49">
        <v>17.802080434432092</v>
      </c>
      <c r="BF49">
        <v>17.742636120932353</v>
      </c>
      <c r="BG49">
        <v>17.682814392395478</v>
      </c>
      <c r="BH49">
        <v>17.622736147241408</v>
      </c>
      <c r="BI49">
        <v>17.562511253569287</v>
      </c>
    </row>
    <row r="50" spans="1:61" x14ac:dyDescent="0.2">
      <c r="A50" t="str">
        <v>49m</v>
      </c>
      <c r="B50">
        <v>1.4347542131036726</v>
      </c>
      <c r="C50">
        <v>2.8222399632075601</v>
      </c>
      <c r="D50">
        <v>4.0948607295748261</v>
      </c>
      <c r="E50">
        <v>5.0182635892917968</v>
      </c>
      <c r="F50">
        <v>5.724528089937583</v>
      </c>
      <c r="G50">
        <v>6.3615891446703232</v>
      </c>
      <c r="H50">
        <v>7.0214091955551723</v>
      </c>
      <c r="I50">
        <v>7.7511595370652051</v>
      </c>
      <c r="J50">
        <v>8.5521858064224983</v>
      </c>
      <c r="K50">
        <v>9.3996791323362068</v>
      </c>
      <c r="L50">
        <v>10.26248450661295</v>
      </c>
      <c r="M50">
        <v>11.114068701604907</v>
      </c>
      <c r="N50">
        <v>11.931891059928022</v>
      </c>
      <c r="O50">
        <v>12.699928846835942</v>
      </c>
      <c r="P50">
        <v>13.409860388145097</v>
      </c>
      <c r="Q50">
        <v>14.058604241490308</v>
      </c>
      <c r="R50">
        <v>14.646341727876814</v>
      </c>
      <c r="S50">
        <v>15.174999661931738</v>
      </c>
      <c r="T50">
        <v>15.647566971442561</v>
      </c>
      <c r="U50">
        <v>16.067654452306567</v>
      </c>
      <c r="V50">
        <v>16.439179885121558</v>
      </c>
      <c r="W50">
        <v>16.766211864991071</v>
      </c>
      <c r="X50">
        <v>17.05284548365038</v>
      </c>
      <c r="Y50">
        <v>17.303005355800977</v>
      </c>
      <c r="Z50">
        <v>17.52032208400065</v>
      </c>
      <c r="AA50">
        <v>17.70812335418924</v>
      </c>
      <c r="AB50">
        <v>17.869404509258612</v>
      </c>
      <c r="AC50">
        <v>18.006845358708503</v>
      </c>
      <c r="AD50">
        <v>18.122850177799947</v>
      </c>
      <c r="AE50">
        <v>18.219586354173668</v>
      </c>
      <c r="AF50">
        <v>18.299015644303832</v>
      </c>
      <c r="AG50">
        <v>18.362911382713936</v>
      </c>
      <c r="AH50">
        <v>18.412867677864359</v>
      </c>
      <c r="AI50">
        <v>18.450318146571657</v>
      </c>
      <c r="AJ50">
        <v>18.476549531177124</v>
      </c>
      <c r="AK50">
        <v>18.492716132751944</v>
      </c>
      <c r="AL50">
        <v>18.499855453263294</v>
      </c>
      <c r="AM50">
        <v>18.498901511880884</v>
      </c>
      <c r="AN50">
        <v>18.490695274692381</v>
      </c>
      <c r="AO50">
        <v>18.475994959560975</v>
      </c>
      <c r="AP50">
        <v>18.45548494007932</v>
      </c>
      <c r="AQ50">
        <v>18.429783662640258</v>
      </c>
      <c r="AR50">
        <v>18.399451051653738</v>
      </c>
      <c r="AS50">
        <v>18.364995023663976</v>
      </c>
      <c r="AT50">
        <v>18.326876829884682</v>
      </c>
      <c r="AU50">
        <v>18.28551549033449</v>
      </c>
      <c r="AV50">
        <v>18.241291834584111</v>
      </c>
      <c r="AW50">
        <v>18.194551831654323</v>
      </c>
      <c r="AX50">
        <v>18.145609770324882</v>
      </c>
      <c r="AY50">
        <v>18.094751127198606</v>
      </c>
      <c r="AZ50">
        <v>18.042235293031762</v>
      </c>
      <c r="BA50">
        <v>17.988298088052701</v>
      </c>
      <c r="BB50">
        <v>17.933154176052948</v>
      </c>
      <c r="BC50">
        <v>17.876999345345766</v>
      </c>
      <c r="BD50">
        <v>17.820011883815443</v>
      </c>
      <c r="BE50">
        <v>17.762353318981642</v>
      </c>
      <c r="BF50">
        <v>17.704169214335206</v>
      </c>
      <c r="BG50">
        <v>17.645591499636193</v>
      </c>
      <c r="BH50">
        <v>17.58674052899233</v>
      </c>
      <c r="BI50">
        <v>17.527725682759556</v>
      </c>
    </row>
    <row r="51" spans="1:61" x14ac:dyDescent="0.2">
      <c r="A51" t="str">
        <v>50m</v>
      </c>
      <c r="B51">
        <v>1.4205297686496987</v>
      </c>
      <c r="C51">
        <v>2.8012995470374933</v>
      </c>
      <c r="D51">
        <v>4.0679906503976282</v>
      </c>
      <c r="E51">
        <v>4.9865873667497835</v>
      </c>
      <c r="F51">
        <v>5.6886067866005456</v>
      </c>
      <c r="G51">
        <v>6.3215300615516723</v>
      </c>
      <c r="H51">
        <v>6.9771877559675159</v>
      </c>
      <c r="I51">
        <v>7.70270691366433</v>
      </c>
      <c r="J51">
        <v>8.4994851264919014</v>
      </c>
      <c r="K51">
        <v>9.3428339092089612</v>
      </c>
      <c r="L51">
        <v>10.201728481702297</v>
      </c>
      <c r="M51">
        <v>11.049726654058269</v>
      </c>
      <c r="N51">
        <v>11.86434663982717</v>
      </c>
      <c r="O51">
        <v>12.62959609577557</v>
      </c>
      <c r="P51">
        <v>13.337155806004725</v>
      </c>
      <c r="Q51">
        <v>13.983929037058395</v>
      </c>
      <c r="R51">
        <v>14.570071749364198</v>
      </c>
      <c r="S51">
        <v>15.097481682058023</v>
      </c>
      <c r="T51">
        <v>15.56911708748043</v>
      </c>
      <c r="U51">
        <v>15.988558907564014</v>
      </c>
      <c r="V51">
        <v>16.359696540495875</v>
      </c>
      <c r="W51">
        <v>16.686571490843711</v>
      </c>
      <c r="X51">
        <v>16.973253080812317</v>
      </c>
      <c r="Y51">
        <v>17.22364221526021</v>
      </c>
      <c r="Z51">
        <v>17.441348131715912</v>
      </c>
      <c r="AA51">
        <v>17.629679300241609</v>
      </c>
      <c r="AB51">
        <v>17.791614061682242</v>
      </c>
      <c r="AC51">
        <v>17.929817173238067</v>
      </c>
      <c r="AD51">
        <v>18.046679540550475</v>
      </c>
      <c r="AE51">
        <v>18.144356624617476</v>
      </c>
      <c r="AF51">
        <v>18.224799478531299</v>
      </c>
      <c r="AG51">
        <v>18.289771834767759</v>
      </c>
      <c r="AH51">
        <v>18.340859242172716</v>
      </c>
      <c r="AI51">
        <v>18.379487677102993</v>
      </c>
      <c r="AJ51">
        <v>18.406937078070023</v>
      </c>
      <c r="AK51">
        <v>18.424355674713347</v>
      </c>
      <c r="AL51">
        <v>18.432775530153084</v>
      </c>
      <c r="AM51">
        <v>18.433125783722485</v>
      </c>
      <c r="AN51">
        <v>18.426243022192718</v>
      </c>
      <c r="AO51">
        <v>18.412881527561535</v>
      </c>
      <c r="AP51">
        <v>18.393722131891167</v>
      </c>
      <c r="AQ51">
        <v>18.369380089108944</v>
      </c>
      <c r="AR51">
        <v>18.340412440177666</v>
      </c>
      <c r="AS51">
        <v>18.307324492638205</v>
      </c>
      <c r="AT51">
        <v>18.270575135456312</v>
      </c>
      <c r="AU51">
        <v>18.23058125029759</v>
      </c>
      <c r="AV51">
        <v>18.187721729621877</v>
      </c>
      <c r="AW51">
        <v>18.142340788308552</v>
      </c>
      <c r="AX51">
        <v>18.094751127198606</v>
      </c>
      <c r="AY51">
        <v>18.045236784338435</v>
      </c>
      <c r="AZ51">
        <v>17.99405584627598</v>
      </c>
      <c r="BA51">
        <v>17.941442951074496</v>
      </c>
      <c r="BB51">
        <v>17.887611693213611</v>
      </c>
      <c r="BC51">
        <v>17.832756896553249</v>
      </c>
      <c r="BD51">
        <v>17.777055980272031</v>
      </c>
      <c r="BE51">
        <v>17.720669689437429</v>
      </c>
      <c r="BF51">
        <v>17.663742883997156</v>
      </c>
      <c r="BG51">
        <v>17.606406857248949</v>
      </c>
      <c r="BH51">
        <v>17.548781385781076</v>
      </c>
      <c r="BI51">
        <v>17.490975330783328</v>
      </c>
    </row>
    <row r="52" spans="1:61" x14ac:dyDescent="0.2">
      <c r="A52" t="str">
        <v>51m</v>
      </c>
      <c r="B52">
        <v>1.4066360385861847</v>
      </c>
      <c r="C52">
        <v>2.7805574659893684</v>
      </c>
      <c r="D52">
        <v>4.0411973495268541</v>
      </c>
      <c r="E52">
        <v>4.9549223383846366</v>
      </c>
      <c r="F52">
        <v>5.6526838572778537</v>
      </c>
      <c r="G52">
        <v>6.2814859766938493</v>
      </c>
      <c r="H52">
        <v>6.9330022660439736</v>
      </c>
      <c r="I52">
        <v>7.6542979059540599</v>
      </c>
      <c r="J52">
        <v>8.4468160781153827</v>
      </c>
      <c r="K52">
        <v>9.2859887493809676</v>
      </c>
      <c r="L52">
        <v>10.140924107244285</v>
      </c>
      <c r="M52">
        <v>10.985274686012586</v>
      </c>
      <c r="N52">
        <v>11.796621724438381</v>
      </c>
      <c r="O52">
        <v>12.559007017414578</v>
      </c>
      <c r="P52">
        <v>13.264116564313055</v>
      </c>
      <c r="Q52">
        <v>13.908840313892444</v>
      </c>
      <c r="R52">
        <v>14.493310264045755</v>
      </c>
      <c r="S52">
        <v>15.01939605895727</v>
      </c>
      <c r="T52">
        <v>15.490025954318986</v>
      </c>
      <c r="U52">
        <v>15.908751472639864</v>
      </c>
      <c r="V52">
        <v>16.279433886180257</v>
      </c>
      <c r="W52">
        <v>16.606087734698022</v>
      </c>
      <c r="X52">
        <v>16.892756598698405</v>
      </c>
      <c r="Y52">
        <v>17.143317626960492</v>
      </c>
      <c r="Z52">
        <v>17.361358597074556</v>
      </c>
      <c r="AA52">
        <v>17.550168639013531</v>
      </c>
      <c r="AB52">
        <v>17.712708954877968</v>
      </c>
      <c r="AC52">
        <v>17.851629111874253</v>
      </c>
      <c r="AD52">
        <v>17.969306510571059</v>
      </c>
      <c r="AE52">
        <v>18.067884553146648</v>
      </c>
      <c r="AF52">
        <v>18.14930346092736</v>
      </c>
      <c r="AG52">
        <v>18.215317239396562</v>
      </c>
      <c r="AH52">
        <v>18.267502755902839</v>
      </c>
      <c r="AI52">
        <v>18.307278227781691</v>
      </c>
      <c r="AJ52">
        <v>18.335916676409084</v>
      </c>
      <c r="AK52">
        <v>18.354560153533242</v>
      </c>
      <c r="AL52">
        <v>18.364235183618263</v>
      </c>
      <c r="AM52">
        <v>18.365865932279583</v>
      </c>
      <c r="AN52">
        <v>18.360284518581523</v>
      </c>
      <c r="AO52">
        <v>18.348241205500372</v>
      </c>
      <c r="AP52">
        <v>18.330413205402028</v>
      </c>
      <c r="AQ52">
        <v>18.307412506232591</v>
      </c>
      <c r="AR52">
        <v>18.279793196145597</v>
      </c>
      <c r="AS52">
        <v>18.248057908025736</v>
      </c>
      <c r="AT52">
        <v>18.212663106407785</v>
      </c>
      <c r="AU52">
        <v>18.174023475682507</v>
      </c>
      <c r="AV52">
        <v>18.132515915381308</v>
      </c>
      <c r="AW52">
        <v>18.088482833491003</v>
      </c>
      <c r="AX52">
        <v>18.042235293031762</v>
      </c>
      <c r="AY52">
        <v>17.99405584627598</v>
      </c>
      <c r="AZ52">
        <v>17.944201230796242</v>
      </c>
      <c r="BA52">
        <v>17.892904859982085</v>
      </c>
      <c r="BB52">
        <v>17.840379218605658</v>
      </c>
      <c r="BC52">
        <v>17.786818127540958</v>
      </c>
      <c r="BD52">
        <v>17.732398100467226</v>
      </c>
      <c r="BE52">
        <v>17.677279064954956</v>
      </c>
      <c r="BF52">
        <v>17.621605144201215</v>
      </c>
      <c r="BG52">
        <v>17.565506963635109</v>
      </c>
      <c r="BH52">
        <v>17.509103692496371</v>
      </c>
      <c r="BI52">
        <v>17.452503644487379</v>
      </c>
    </row>
    <row r="53" spans="1:61" x14ac:dyDescent="0.2">
      <c r="A53" t="str">
        <v>52m</v>
      </c>
      <c r="B53">
        <v>1.3930563289807956</v>
      </c>
      <c r="C53">
        <v>2.760015435645732</v>
      </c>
      <c r="D53">
        <v>4.0144990603948321</v>
      </c>
      <c r="E53">
        <v>4.9232971214318981</v>
      </c>
      <c r="F53">
        <v>5.6167940803580398</v>
      </c>
      <c r="G53">
        <v>6.2414965103051525</v>
      </c>
      <c r="H53">
        <v>6.8888980483755171</v>
      </c>
      <c r="I53">
        <v>7.6059856867996993</v>
      </c>
      <c r="J53">
        <v>8.3942420039367587</v>
      </c>
      <c r="K53">
        <v>9.2292190205706053</v>
      </c>
      <c r="L53">
        <v>10.080159976504074</v>
      </c>
      <c r="M53">
        <v>10.920815206481036</v>
      </c>
      <c r="N53">
        <v>11.728832571107553</v>
      </c>
      <c r="O53">
        <v>12.488291313618834</v>
      </c>
      <c r="P53">
        <v>13.19088513354566</v>
      </c>
      <c r="Q53">
        <v>13.833492481115655</v>
      </c>
      <c r="R53">
        <v>14.416222714506112</v>
      </c>
      <c r="S53">
        <v>14.940918336260662</v>
      </c>
      <c r="T53">
        <v>15.410478289172547</v>
      </c>
      <c r="U53">
        <v>15.828425137764288</v>
      </c>
      <c r="V53">
        <v>16.198592326122245</v>
      </c>
      <c r="W53">
        <v>16.524967605947467</v>
      </c>
      <c r="X53">
        <v>16.811568901174642</v>
      </c>
      <c r="Y53">
        <v>17.062249617524632</v>
      </c>
      <c r="Z53">
        <v>17.28057603577717</v>
      </c>
      <c r="AA53">
        <v>17.469817877140155</v>
      </c>
      <c r="AB53">
        <v>17.63291911973138</v>
      </c>
      <c r="AC53">
        <v>17.772514050055687</v>
      </c>
      <c r="AD53">
        <v>17.890966471020324</v>
      </c>
      <c r="AE53">
        <v>17.990407633040991</v>
      </c>
      <c r="AF53">
        <v>18.072766833352855</v>
      </c>
      <c r="AG53">
        <v>18.139788258646323</v>
      </c>
      <c r="AH53">
        <v>18.193040003221363</v>
      </c>
      <c r="AI53">
        <v>18.233932434578666</v>
      </c>
      <c r="AJ53">
        <v>18.263731568909805</v>
      </c>
      <c r="AK53">
        <v>18.283573196531481</v>
      </c>
      <c r="AL53">
        <v>18.294478224276659</v>
      </c>
      <c r="AM53">
        <v>18.297365769144694</v>
      </c>
      <c r="AN53">
        <v>18.29306341140871</v>
      </c>
      <c r="AO53">
        <v>18.282317327655555</v>
      </c>
      <c r="AP53">
        <v>18.265801046798686</v>
      </c>
      <c r="AQ53">
        <v>18.244123230451894</v>
      </c>
      <c r="AR53">
        <v>18.217834956652148</v>
      </c>
      <c r="AS53">
        <v>18.187436129040808</v>
      </c>
      <c r="AT53">
        <v>18.153380735706481</v>
      </c>
      <c r="AU53">
        <v>18.116081214187606</v>
      </c>
      <c r="AV53">
        <v>18.075912423861134</v>
      </c>
      <c r="AW53">
        <v>18.033214920961409</v>
      </c>
      <c r="AX53">
        <v>17.988298088052701</v>
      </c>
      <c r="AY53">
        <v>17.941442951074496</v>
      </c>
      <c r="AZ53">
        <v>17.892904859982085</v>
      </c>
      <c r="BA53">
        <v>17.842915966621689</v>
      </c>
      <c r="BB53">
        <v>17.791687610854019</v>
      </c>
      <c r="BC53">
        <v>17.739412576819785</v>
      </c>
      <c r="BD53">
        <v>17.686266440316373</v>
      </c>
      <c r="BE53">
        <v>17.632408280430166</v>
      </c>
      <c r="BF53">
        <v>17.57798145411553</v>
      </c>
      <c r="BG53">
        <v>17.523115890934836</v>
      </c>
      <c r="BH53">
        <v>17.467930126094917</v>
      </c>
      <c r="BI53">
        <v>17.412531900381126</v>
      </c>
    </row>
    <row r="54" spans="1:61" x14ac:dyDescent="0.2">
      <c r="A54" t="str">
        <v>53m</v>
      </c>
      <c r="B54">
        <v>1.3797755402407346</v>
      </c>
      <c r="C54">
        <v>2.739675450718416</v>
      </c>
      <c r="D54">
        <v>3.9879131846097979</v>
      </c>
      <c r="E54">
        <v>4.8917388169377984</v>
      </c>
      <c r="F54">
        <v>5.5809702176307221</v>
      </c>
      <c r="G54">
        <v>6.2015987196863263</v>
      </c>
      <c r="H54">
        <v>6.8449171421928732</v>
      </c>
      <c r="I54">
        <v>7.5578191941930557</v>
      </c>
      <c r="J54">
        <v>8.3418208483535263</v>
      </c>
      <c r="K54">
        <v>9.17259337900399</v>
      </c>
      <c r="L54">
        <v>10.019516578276088</v>
      </c>
      <c r="M54">
        <v>10.856441106594167</v>
      </c>
      <c r="N54">
        <v>11.661084535701542</v>
      </c>
      <c r="O54">
        <v>12.417566467723647</v>
      </c>
      <c r="P54">
        <v>13.117590536245196</v>
      </c>
      <c r="Q54">
        <v>13.75802536842783</v>
      </c>
      <c r="R54">
        <v>14.338958933588982</v>
      </c>
      <c r="S54">
        <v>14.862207518061139</v>
      </c>
      <c r="T54">
        <v>15.330641437264214</v>
      </c>
      <c r="U54">
        <v>15.747754781273949</v>
      </c>
      <c r="V54">
        <v>16.117353499219664</v>
      </c>
      <c r="W54">
        <v>16.443398776075998</v>
      </c>
      <c r="X54">
        <v>16.729883014821951</v>
      </c>
      <c r="Y54">
        <v>16.980635943662541</v>
      </c>
      <c r="Z54">
        <v>17.199202361356313</v>
      </c>
      <c r="AA54">
        <v>17.388832561257313</v>
      </c>
      <c r="AB54">
        <v>17.552453258300822</v>
      </c>
      <c r="AC54">
        <v>17.69268340967739</v>
      </c>
      <c r="AD54">
        <v>17.811873166489679</v>
      </c>
      <c r="AE54">
        <v>17.912141569672574</v>
      </c>
      <c r="AF54">
        <v>17.995406932449082</v>
      </c>
      <c r="AG54">
        <v>18.063403560731228</v>
      </c>
      <c r="AH54">
        <v>18.117690711538383</v>
      </c>
      <c r="AI54">
        <v>18.159670836748301</v>
      </c>
      <c r="AJ54">
        <v>18.19060288212377</v>
      </c>
      <c r="AK54">
        <v>18.211616313723574</v>
      </c>
      <c r="AL54">
        <v>18.223726360620194</v>
      </c>
      <c r="AM54">
        <v>18.227847033487478</v>
      </c>
      <c r="AN54">
        <v>18.224801318409032</v>
      </c>
      <c r="AO54">
        <v>18.215331252539734</v>
      </c>
      <c r="AP54">
        <v>18.200106630671552</v>
      </c>
      <c r="AQ54">
        <v>18.179732739703727</v>
      </c>
      <c r="AR54">
        <v>18.154757601221018</v>
      </c>
      <c r="AS54">
        <v>18.125678345117588</v>
      </c>
      <c r="AT54">
        <v>18.092946440296238</v>
      </c>
      <c r="AU54">
        <v>18.05697203640085</v>
      </c>
      <c r="AV54">
        <v>18.018127913285298</v>
      </c>
      <c r="AW54">
        <v>17.97675273779695</v>
      </c>
      <c r="AX54">
        <v>17.933154176052948</v>
      </c>
      <c r="AY54">
        <v>17.887611693213611</v>
      </c>
      <c r="AZ54">
        <v>17.840379218605658</v>
      </c>
      <c r="BA54">
        <v>17.791687610854019</v>
      </c>
      <c r="BB54">
        <v>17.74174703449091</v>
      </c>
      <c r="BC54">
        <v>17.690749207596244</v>
      </c>
      <c r="BD54">
        <v>17.638868739784023</v>
      </c>
      <c r="BE54">
        <v>17.586263834429069</v>
      </c>
      <c r="BF54">
        <v>17.533077056199836</v>
      </c>
      <c r="BG54">
        <v>17.479437613962766</v>
      </c>
      <c r="BH54">
        <v>17.42546338513511</v>
      </c>
      <c r="BI54">
        <v>17.371261514852328</v>
      </c>
    </row>
    <row r="55" spans="1:61" x14ac:dyDescent="0.2">
      <c r="A55" t="str">
        <v>54m</v>
      </c>
      <c r="B55">
        <v>1.366779985076966</v>
      </c>
      <c r="C55">
        <v>2.7195397841949687</v>
      </c>
      <c r="D55">
        <v>3.9614564126011418</v>
      </c>
      <c r="E55">
        <v>4.860273183561282</v>
      </c>
      <c r="F55">
        <v>5.5452432207443918</v>
      </c>
      <c r="G55">
        <v>6.1618273477231362</v>
      </c>
      <c r="H55">
        <v>6.8010986173722605</v>
      </c>
      <c r="I55">
        <v>7.5098435393747218</v>
      </c>
      <c r="J55">
        <v>8.2896056852129014</v>
      </c>
      <c r="K55">
        <v>9.116174434371624</v>
      </c>
      <c r="L55">
        <v>9.9590671083618467</v>
      </c>
      <c r="M55">
        <v>10.792236720077527</v>
      </c>
      <c r="N55">
        <v>11.59347317907628</v>
      </c>
      <c r="O55">
        <v>12.346938990067363</v>
      </c>
      <c r="P55">
        <v>13.044349722448899</v>
      </c>
      <c r="Q55">
        <v>13.682565721186801</v>
      </c>
      <c r="R55">
        <v>14.261654748596664</v>
      </c>
      <c r="S55">
        <v>14.783407771793348</v>
      </c>
      <c r="T55">
        <v>15.250667163295095</v>
      </c>
      <c r="U55">
        <v>15.6668990400883</v>
      </c>
      <c r="V55">
        <v>16.035882219834711</v>
      </c>
      <c r="W55">
        <v>16.361551580923184</v>
      </c>
      <c r="X55">
        <v>16.647874185396216</v>
      </c>
      <c r="Y55">
        <v>16.898656195987751</v>
      </c>
      <c r="Z55">
        <v>17.117420990182406</v>
      </c>
      <c r="AA55">
        <v>17.3073994586494</v>
      </c>
      <c r="AB55">
        <v>17.471501055121959</v>
      </c>
      <c r="AC55">
        <v>17.612329396572203</v>
      </c>
      <c r="AD55">
        <v>17.732220962636383</v>
      </c>
      <c r="AE55">
        <v>17.833282558677666</v>
      </c>
      <c r="AF55">
        <v>17.917421483110463</v>
      </c>
      <c r="AG55">
        <v>17.986362125911612</v>
      </c>
      <c r="AH55">
        <v>18.04165486720381</v>
      </c>
      <c r="AI55">
        <v>18.084694200034924</v>
      </c>
      <c r="AJ55">
        <v>18.116731955096643</v>
      </c>
      <c r="AK55">
        <v>18.138891230094657</v>
      </c>
      <c r="AL55">
        <v>18.152181533270468</v>
      </c>
      <c r="AM55">
        <v>18.157511726837232</v>
      </c>
      <c r="AN55">
        <v>18.155700161518649</v>
      </c>
      <c r="AO55">
        <v>18.147484695002063</v>
      </c>
      <c r="AP55">
        <v>18.133531349184231</v>
      </c>
      <c r="AQ55">
        <v>18.114441998757563</v>
      </c>
      <c r="AR55">
        <v>18.090761572513024</v>
      </c>
      <c r="AS55">
        <v>18.062984391289188</v>
      </c>
      <c r="AT55">
        <v>18.03155937053322</v>
      </c>
      <c r="AU55">
        <v>17.996894338755709</v>
      </c>
      <c r="AV55">
        <v>17.959359964111556</v>
      </c>
      <c r="AW55">
        <v>17.919292993049414</v>
      </c>
      <c r="AX55">
        <v>17.876999345345766</v>
      </c>
      <c r="AY55">
        <v>17.832756896553249</v>
      </c>
      <c r="AZ55">
        <v>17.786818127540958</v>
      </c>
      <c r="BA55">
        <v>17.739412576819785</v>
      </c>
      <c r="BB55">
        <v>17.690749207596244</v>
      </c>
      <c r="BC55">
        <v>17.641018646649783</v>
      </c>
      <c r="BD55">
        <v>17.590394512890985</v>
      </c>
      <c r="BE55">
        <v>17.539034110245861</v>
      </c>
      <c r="BF55">
        <v>17.487079188260125</v>
      </c>
      <c r="BG55">
        <v>17.434658213225696</v>
      </c>
      <c r="BH55">
        <v>17.381888383744386</v>
      </c>
      <c r="BI55">
        <v>17.32887622908834</v>
      </c>
    </row>
    <row r="56" spans="1:61" x14ac:dyDescent="0.2">
      <c r="A56" t="str">
        <v>55m</v>
      </c>
      <c r="B56">
        <v>1.3540571728655098</v>
      </c>
      <c r="C56">
        <v>2.699610825359422</v>
      </c>
      <c r="D56">
        <v>3.9351445831399268</v>
      </c>
      <c r="E56">
        <v>4.8289244971380807</v>
      </c>
      <c r="F56">
        <v>5.5096420993226358</v>
      </c>
      <c r="G56">
        <v>6.1222147226386223</v>
      </c>
      <c r="H56">
        <v>6.7574785312077106</v>
      </c>
      <c r="I56">
        <v>7.4621000442013292</v>
      </c>
      <c r="J56">
        <v>8.2376448544660512</v>
      </c>
      <c r="K56">
        <v>9.0600189977946677</v>
      </c>
      <c r="L56">
        <v>9.8988778342939874</v>
      </c>
      <c r="M56">
        <v>10.728278304922995</v>
      </c>
      <c r="N56">
        <v>11.526084861709602</v>
      </c>
      <c r="O56">
        <v>12.276505118989524</v>
      </c>
      <c r="P56">
        <v>12.971268369098631</v>
      </c>
      <c r="Q56">
        <v>13.607228089687078</v>
      </c>
      <c r="R56">
        <v>14.184432951849439</v>
      </c>
      <c r="S56">
        <v>14.704649471704299</v>
      </c>
      <c r="T56">
        <v>15.170692759821133</v>
      </c>
      <c r="U56">
        <v>15.5860014754433</v>
      </c>
      <c r="V56">
        <v>15.954327693846762</v>
      </c>
      <c r="W56">
        <v>16.279580280562641</v>
      </c>
      <c r="X56">
        <v>16.565701175615128</v>
      </c>
      <c r="Y56">
        <v>16.816473129370742</v>
      </c>
      <c r="Z56">
        <v>17.035398199579312</v>
      </c>
      <c r="AA56">
        <v>17.225687938819849</v>
      </c>
      <c r="AB56">
        <v>17.390234578373885</v>
      </c>
      <c r="AC56">
        <v>17.531626417814472</v>
      </c>
      <c r="AD56">
        <v>17.652186276527516</v>
      </c>
      <c r="AE56">
        <v>17.754008726569012</v>
      </c>
      <c r="AF56">
        <v>17.838990046890284</v>
      </c>
      <c r="AG56">
        <v>17.908844700488729</v>
      </c>
      <c r="AH56">
        <v>17.965114173132037</v>
      </c>
      <c r="AI56">
        <v>18.009184976187719</v>
      </c>
      <c r="AJ56">
        <v>18.042301799229868</v>
      </c>
      <c r="AK56">
        <v>18.065581344440918</v>
      </c>
      <c r="AL56">
        <v>18.080027371589445</v>
      </c>
      <c r="AM56">
        <v>18.08654356639391</v>
      </c>
      <c r="AN56">
        <v>18.085943615944228</v>
      </c>
      <c r="AO56">
        <v>18.078961170227476</v>
      </c>
      <c r="AP56">
        <v>18.066258450277012</v>
      </c>
      <c r="AQ56">
        <v>18.04843389098939</v>
      </c>
      <c r="AR56">
        <v>18.026029301119422</v>
      </c>
      <c r="AS56">
        <v>17.99953616552456</v>
      </c>
      <c r="AT56">
        <v>17.969400819657498</v>
      </c>
      <c r="AU56">
        <v>17.936028744789176</v>
      </c>
      <c r="AV56">
        <v>17.899788471782607</v>
      </c>
      <c r="AW56">
        <v>17.861014801745355</v>
      </c>
      <c r="AX56">
        <v>17.820011883815443</v>
      </c>
      <c r="AY56">
        <v>17.777055980272031</v>
      </c>
      <c r="AZ56">
        <v>17.732398100467226</v>
      </c>
      <c r="BA56">
        <v>17.686266440316373</v>
      </c>
      <c r="BB56">
        <v>17.638868739784023</v>
      </c>
      <c r="BC56">
        <v>17.590394512890985</v>
      </c>
      <c r="BD56">
        <v>17.541016366829755</v>
      </c>
      <c r="BE56">
        <v>17.490890685581149</v>
      </c>
      <c r="BF56">
        <v>17.440158383714557</v>
      </c>
      <c r="BG56">
        <v>17.388947165817864</v>
      </c>
      <c r="BH56">
        <v>17.337373533200232</v>
      </c>
      <c r="BI56">
        <v>17.285543381411838</v>
      </c>
    </row>
    <row r="57" spans="1:61" x14ac:dyDescent="0.2">
      <c r="A57" t="str">
        <v>56m</v>
      </c>
      <c r="B57">
        <v>1.3415955841838081</v>
      </c>
      <c r="C57">
        <v>2.6798908101642103</v>
      </c>
      <c r="D57">
        <v>3.9089923633237258</v>
      </c>
      <c r="E57">
        <v>4.7977152157544802</v>
      </c>
      <c r="F57">
        <v>5.4741936073657032</v>
      </c>
      <c r="G57">
        <v>6.0827904984267436</v>
      </c>
      <c r="H57">
        <v>6.7140897451687334</v>
      </c>
      <c r="I57">
        <v>7.4146261473026556</v>
      </c>
      <c r="J57">
        <v>8.1859819642628242</v>
      </c>
      <c r="K57">
        <v>9.0041781813445372</v>
      </c>
      <c r="L57">
        <v>9.8390082900013613</v>
      </c>
      <c r="M57">
        <v>10.664634328147013</v>
      </c>
      <c r="N57">
        <v>11.458997111449568</v>
      </c>
      <c r="O57">
        <v>12.206351263660878</v>
      </c>
      <c r="P57">
        <v>12.8984413900227</v>
      </c>
      <c r="Q57">
        <v>13.532115398611362</v>
      </c>
      <c r="R57">
        <v>14.107403922334596</v>
      </c>
      <c r="S57">
        <v>14.626049865940741</v>
      </c>
      <c r="T57">
        <v>15.090841753572843</v>
      </c>
      <c r="U57">
        <v>15.505191312793364</v>
      </c>
      <c r="V57">
        <v>15.872824287027402</v>
      </c>
      <c r="W57">
        <v>16.197623851555456</v>
      </c>
      <c r="X57">
        <v>16.483507077169556</v>
      </c>
      <c r="Y57">
        <v>16.734233491035926</v>
      </c>
      <c r="Z57">
        <v>16.953283968747083</v>
      </c>
      <c r="AA57">
        <v>17.143850824353397</v>
      </c>
      <c r="AB57">
        <v>17.308809138128137</v>
      </c>
      <c r="AC57">
        <v>17.450731945097612</v>
      </c>
      <c r="AD57">
        <v>17.571928443149943</v>
      </c>
      <c r="AE57">
        <v>17.674480998615902</v>
      </c>
      <c r="AF57">
        <v>17.760274889697069</v>
      </c>
      <c r="AG57">
        <v>17.831014662951386</v>
      </c>
      <c r="AH57">
        <v>17.888232912199527</v>
      </c>
      <c r="AI57">
        <v>17.933308162558717</v>
      </c>
      <c r="AJ57">
        <v>17.967477953160536</v>
      </c>
      <c r="AK57">
        <v>17.991852578728857</v>
      </c>
      <c r="AL57">
        <v>18.00743003682031</v>
      </c>
      <c r="AM57">
        <v>18.015108821345773</v>
      </c>
      <c r="AN57">
        <v>18.015697939135833</v>
      </c>
      <c r="AO57">
        <v>18.00992681491784</v>
      </c>
      <c r="AP57">
        <v>17.998453850676466</v>
      </c>
      <c r="AQ57">
        <v>17.981874022900339</v>
      </c>
      <c r="AR57">
        <v>17.960726001324424</v>
      </c>
      <c r="AS57">
        <v>17.935498415518406</v>
      </c>
      <c r="AT57">
        <v>17.906635001437728</v>
      </c>
      <c r="AU57">
        <v>17.874538873507852</v>
      </c>
      <c r="AV57">
        <v>17.839576405715484</v>
      </c>
      <c r="AW57">
        <v>17.802080434432092</v>
      </c>
      <c r="AX57">
        <v>17.762353318981642</v>
      </c>
      <c r="AY57">
        <v>17.720669689437429</v>
      </c>
      <c r="AZ57">
        <v>17.677279064954956</v>
      </c>
      <c r="BA57">
        <v>17.632408280430166</v>
      </c>
      <c r="BB57">
        <v>17.586263834429069</v>
      </c>
      <c r="BC57">
        <v>17.539034110245861</v>
      </c>
      <c r="BD57">
        <v>17.490890685581149</v>
      </c>
      <c r="BE57">
        <v>17.441989006978634</v>
      </c>
      <c r="BF57">
        <v>17.392469136948474</v>
      </c>
      <c r="BG57">
        <v>17.34245800180339</v>
      </c>
      <c r="BH57">
        <v>17.292071389457238</v>
      </c>
      <c r="BI57">
        <v>17.241414546078339</v>
      </c>
    </row>
    <row r="58" spans="1:61" x14ac:dyDescent="0.2">
      <c r="A58" t="str">
        <v>57m</v>
      </c>
      <c r="B58">
        <v>1.3293845742943786</v>
      </c>
      <c r="C58">
        <v>2.6603816584699147</v>
      </c>
      <c r="D58">
        <v>3.8830130861455299</v>
      </c>
      <c r="E58">
        <v>4.7666658754486715</v>
      </c>
      <c r="F58">
        <v>5.4389222169424754</v>
      </c>
      <c r="G58">
        <v>6.0435817117052828</v>
      </c>
      <c r="H58">
        <v>6.6709620650743098</v>
      </c>
      <c r="I58">
        <v>7.367455625698196</v>
      </c>
      <c r="J58">
        <v>8.1346561912326791</v>
      </c>
      <c r="K58">
        <v>8.9486977737870816</v>
      </c>
      <c r="L58">
        <v>9.7795117232708311</v>
      </c>
      <c r="M58">
        <v>10.601365980397375</v>
      </c>
      <c r="N58">
        <v>11.392279199729815</v>
      </c>
      <c r="O58">
        <v>12.136554635741723</v>
      </c>
      <c r="P58">
        <v>12.825953616839257</v>
      </c>
      <c r="Q58">
        <v>13.457319671239141</v>
      </c>
      <c r="R58">
        <v>14.03066638754086</v>
      </c>
      <c r="S58">
        <v>14.547713870655473</v>
      </c>
      <c r="T58">
        <v>15.011224726897824</v>
      </c>
      <c r="U58">
        <v>15.424584286122197</v>
      </c>
      <c r="V58">
        <v>15.791492388231129</v>
      </c>
      <c r="W58">
        <v>16.11580686550198</v>
      </c>
      <c r="X58">
        <v>16.401420201531067</v>
      </c>
      <c r="Y58">
        <v>16.652068920866828</v>
      </c>
      <c r="Z58">
        <v>16.871212886128049</v>
      </c>
      <c r="AA58">
        <v>17.062025303202034</v>
      </c>
      <c r="AB58">
        <v>17.227364201679951</v>
      </c>
      <c r="AC58">
        <v>17.369787431473906</v>
      </c>
      <c r="AD58">
        <v>17.491590632133217</v>
      </c>
      <c r="AE58">
        <v>17.594844014313512</v>
      </c>
      <c r="AF58">
        <v>17.681421894940062</v>
      </c>
      <c r="AG58">
        <v>17.753018933871726</v>
      </c>
      <c r="AH58">
        <v>17.81115885309384</v>
      </c>
      <c r="AI58">
        <v>17.85721220322295</v>
      </c>
      <c r="AJ58">
        <v>17.892409378572172</v>
      </c>
      <c r="AK58">
        <v>17.917854268107206</v>
      </c>
      <c r="AL58">
        <v>17.934539105890153</v>
      </c>
      <c r="AM58">
        <v>17.943357190122232</v>
      </c>
      <c r="AN58">
        <v>17.945112841211404</v>
      </c>
      <c r="AO58">
        <v>17.940531250664655</v>
      </c>
      <c r="AP58">
        <v>17.930266992041918</v>
      </c>
      <c r="AQ58">
        <v>17.914911572905773</v>
      </c>
      <c r="AR58">
        <v>17.895000512444231</v>
      </c>
      <c r="AS58">
        <v>17.871019572521305</v>
      </c>
      <c r="AT58">
        <v>17.843409876463614</v>
      </c>
      <c r="AU58">
        <v>17.812572158140288</v>
      </c>
      <c r="AV58">
        <v>17.778870620534409</v>
      </c>
      <c r="AW58">
        <v>17.742636120932353</v>
      </c>
      <c r="AX58">
        <v>17.704169214335206</v>
      </c>
      <c r="AY58">
        <v>17.663742883997156</v>
      </c>
      <c r="AZ58">
        <v>17.621605144201215</v>
      </c>
      <c r="BA58">
        <v>17.57798145411553</v>
      </c>
      <c r="BB58">
        <v>17.533077056199836</v>
      </c>
      <c r="BC58">
        <v>17.487079188260125</v>
      </c>
      <c r="BD58">
        <v>17.440158383714557</v>
      </c>
      <c r="BE58">
        <v>17.392469136948474</v>
      </c>
      <c r="BF58">
        <v>17.344150643893023</v>
      </c>
      <c r="BG58">
        <v>17.295329038385589</v>
      </c>
      <c r="BH58">
        <v>17.246119381046938</v>
      </c>
      <c r="BI58">
        <v>17.196626255048013</v>
      </c>
    </row>
    <row r="59" spans="1:61" x14ac:dyDescent="0.2">
      <c r="A59" t="str">
        <v>58m</v>
      </c>
      <c r="B59">
        <v>1.3174144092895486</v>
      </c>
      <c r="C59">
        <v>2.6410852659931079</v>
      </c>
      <c r="D59">
        <v>3.8572192566453198</v>
      </c>
      <c r="E59">
        <v>4.7357957104659176</v>
      </c>
      <c r="F59">
        <v>5.4038508019942659</v>
      </c>
      <c r="G59">
        <v>6.0046135155236202</v>
      </c>
      <c r="H59">
        <v>6.628123034693683</v>
      </c>
      <c r="I59">
        <v>7.3206194700430052</v>
      </c>
      <c r="J59">
        <v>8.0837032595360014</v>
      </c>
      <c r="K59">
        <v>8.8936193394383558</v>
      </c>
      <c r="L59">
        <v>9.7204363228831898</v>
      </c>
      <c r="M59">
        <v>10.538528534072181</v>
      </c>
      <c r="N59">
        <v>11.325993628819701</v>
      </c>
      <c r="O59">
        <v>12.067184859840966</v>
      </c>
      <c r="P59">
        <v>12.753881524094741</v>
      </c>
      <c r="Q59">
        <v>13.382923859542167</v>
      </c>
      <c r="R59">
        <v>13.954309348465568</v>
      </c>
      <c r="S59">
        <v>14.469736079924203</v>
      </c>
      <c r="T59">
        <v>14.931941402893601</v>
      </c>
      <c r="U59">
        <v>15.344284789083925</v>
      </c>
      <c r="V59">
        <v>15.710440617938175</v>
      </c>
      <c r="W59">
        <v>16.03424174706559</v>
      </c>
      <c r="X59">
        <v>16.319556380287015</v>
      </c>
      <c r="Y59">
        <v>16.570098287603273</v>
      </c>
      <c r="Z59">
        <v>16.789306515673115</v>
      </c>
      <c r="AA59">
        <v>16.980335319836808</v>
      </c>
      <c r="AB59">
        <v>17.146025804954441</v>
      </c>
      <c r="AC59">
        <v>17.288920738882403</v>
      </c>
      <c r="AD59">
        <v>17.411302287715703</v>
      </c>
      <c r="AE59">
        <v>17.51522857651138</v>
      </c>
      <c r="AF59">
        <v>17.602563018916666</v>
      </c>
      <c r="AG59">
        <v>17.674990434985556</v>
      </c>
      <c r="AH59">
        <v>17.734025710822294</v>
      </c>
      <c r="AI59">
        <v>17.781031448921397</v>
      </c>
      <c r="AJ59">
        <v>17.817230917820993</v>
      </c>
      <c r="AK59">
        <v>17.843721614682291</v>
      </c>
      <c r="AL59">
        <v>17.861490019994879</v>
      </c>
      <c r="AM59">
        <v>17.871424242623718</v>
      </c>
      <c r="AN59">
        <v>17.874323919822977</v>
      </c>
      <c r="AO59">
        <v>17.8709100105829</v>
      </c>
      <c r="AP59">
        <v>17.861833258623314</v>
      </c>
      <c r="AQ59">
        <v>17.847681699385085</v>
      </c>
      <c r="AR59">
        <v>17.8289876967368</v>
      </c>
      <c r="AS59">
        <v>17.80623413866704</v>
      </c>
      <c r="AT59">
        <v>17.779859528528299</v>
      </c>
      <c r="AU59">
        <v>17.750262211283669</v>
      </c>
      <c r="AV59">
        <v>17.717804209754824</v>
      </c>
      <c r="AW59">
        <v>17.682814392395478</v>
      </c>
      <c r="AX59">
        <v>17.645591499636193</v>
      </c>
      <c r="AY59">
        <v>17.606406857248949</v>
      </c>
      <c r="AZ59">
        <v>17.565506963635109</v>
      </c>
      <c r="BA59">
        <v>17.523115890934836</v>
      </c>
      <c r="BB59">
        <v>17.479437613962766</v>
      </c>
      <c r="BC59">
        <v>17.434658213225696</v>
      </c>
      <c r="BD59">
        <v>17.388947165817864</v>
      </c>
      <c r="BE59">
        <v>17.34245800180339</v>
      </c>
      <c r="BF59">
        <v>17.295329038385589</v>
      </c>
      <c r="BG59">
        <v>17.247685604924609</v>
      </c>
      <c r="BH59">
        <v>17.199642022898029</v>
      </c>
      <c r="BI59">
        <v>17.151302200765382</v>
      </c>
    </row>
    <row r="60" spans="1:61" x14ac:dyDescent="0.2">
      <c r="A60" t="str">
        <v>59m</v>
      </c>
      <c r="B60">
        <v>1.3056763397525002</v>
      </c>
      <c r="C60">
        <v>2.6220037000190541</v>
      </c>
      <c r="D60">
        <v>3.8316228827755263</v>
      </c>
      <c r="E60">
        <v>4.7051230421309738</v>
      </c>
      <c r="F60">
        <v>5.3690010389958909</v>
      </c>
      <c r="G60">
        <v>5.9659095828966615</v>
      </c>
      <c r="H60">
        <v>6.5855983572701478</v>
      </c>
      <c r="I60">
        <v>7.2741463521733678</v>
      </c>
      <c r="J60">
        <v>8.0331559830175419</v>
      </c>
      <c r="K60">
        <v>8.8389808571234756</v>
      </c>
      <c r="L60">
        <v>9.6618259687884933</v>
      </c>
      <c r="M60">
        <v>10.476172212626201</v>
      </c>
      <c r="N60">
        <v>11.260197122626892</v>
      </c>
      <c r="O60">
        <v>11.998305083502101</v>
      </c>
      <c r="P60">
        <v>12.682294453000347</v>
      </c>
      <c r="Q60">
        <v>13.309003174449179</v>
      </c>
      <c r="R60">
        <v>13.878413508356616</v>
      </c>
      <c r="S60">
        <v>14.392202284606766</v>
      </c>
      <c r="T60">
        <v>14.853082246007624</v>
      </c>
      <c r="U60">
        <v>15.264387549138792</v>
      </c>
      <c r="V60">
        <v>15.629767568052779</v>
      </c>
      <c r="W60">
        <v>15.95303057200417</v>
      </c>
      <c r="X60">
        <v>16.238020814514268</v>
      </c>
      <c r="Y60">
        <v>16.488429583252543</v>
      </c>
      <c r="Z60">
        <v>16.707675330553091</v>
      </c>
      <c r="AA60">
        <v>16.898893543058804</v>
      </c>
      <c r="AB60">
        <v>17.064908549711497</v>
      </c>
      <c r="AC60">
        <v>17.208248160490985</v>
      </c>
      <c r="AD60">
        <v>17.331181172376329</v>
      </c>
      <c r="AE60">
        <v>17.435753712860372</v>
      </c>
      <c r="AF60">
        <v>17.523818366944642</v>
      </c>
      <c r="AG60">
        <v>17.59705017719827</v>
      </c>
      <c r="AH60">
        <v>17.656955244069561</v>
      </c>
      <c r="AI60">
        <v>17.704888261511016</v>
      </c>
      <c r="AJ60">
        <v>17.742065403455662</v>
      </c>
      <c r="AK60">
        <v>17.769577800298578</v>
      </c>
      <c r="AL60">
        <v>17.7884061990258</v>
      </c>
      <c r="AM60">
        <v>17.79943353485443</v>
      </c>
      <c r="AN60">
        <v>17.803454773714943</v>
      </c>
      <c r="AO60">
        <v>17.801186650657062</v>
      </c>
      <c r="AP60">
        <v>17.793276085386541</v>
      </c>
      <c r="AQ60">
        <v>17.780307644695757</v>
      </c>
      <c r="AR60">
        <v>17.762810538519734</v>
      </c>
      <c r="AS60">
        <v>17.741264780505826</v>
      </c>
      <c r="AT60">
        <v>17.716106251976104</v>
      </c>
      <c r="AU60">
        <v>17.687730905544669</v>
      </c>
      <c r="AV60">
        <v>17.656498579268028</v>
      </c>
      <c r="AW60">
        <v>17.622736147241408</v>
      </c>
      <c r="AX60">
        <v>17.58674052899233</v>
      </c>
      <c r="AY60">
        <v>17.548781385781076</v>
      </c>
      <c r="AZ60">
        <v>17.509103692496371</v>
      </c>
      <c r="BA60">
        <v>17.467930126094917</v>
      </c>
      <c r="BB60">
        <v>17.42546338513511</v>
      </c>
      <c r="BC60">
        <v>17.381888383744386</v>
      </c>
      <c r="BD60">
        <v>17.337373533200232</v>
      </c>
      <c r="BE60">
        <v>17.292071389457238</v>
      </c>
      <c r="BF60">
        <v>17.246119381046938</v>
      </c>
      <c r="BG60">
        <v>17.199642022898029</v>
      </c>
      <c r="BH60">
        <v>17.152752887405235</v>
      </c>
      <c r="BI60">
        <v>17.105555198380344</v>
      </c>
    </row>
    <row r="61" spans="1:61" x14ac:dyDescent="0.2">
      <c r="A61" t="str">
        <v>60m</v>
      </c>
      <c r="B61">
        <v>1.2941625753383288</v>
      </c>
      <c r="C61">
        <v>2.6031390431438859</v>
      </c>
      <c r="D61">
        <v>3.8062352145739919</v>
      </c>
      <c r="E61">
        <v>4.6746649539977803</v>
      </c>
      <c r="F61">
        <v>5.334393066680156</v>
      </c>
      <c r="G61">
        <v>5.9274917915006915</v>
      </c>
      <c r="H61">
        <v>6.5434116306327414</v>
      </c>
      <c r="I61">
        <v>7.2280624241318803</v>
      </c>
      <c r="J61">
        <v>7.9830441345667911</v>
      </c>
      <c r="K61">
        <v>8.7848166616562988</v>
      </c>
      <c r="L61">
        <v>9.6037202442123455</v>
      </c>
      <c r="M61">
        <v>10.414342269442976</v>
      </c>
      <c r="N61">
        <v>11.194940766871389</v>
      </c>
      <c r="O61">
        <v>11.929972172901069</v>
      </c>
      <c r="P61">
        <v>12.611254857080665</v>
      </c>
      <c r="Q61">
        <v>13.235625376193765</v>
      </c>
      <c r="R61">
        <v>13.803051602900682</v>
      </c>
      <c r="S61">
        <v>14.315189837942382</v>
      </c>
      <c r="T61">
        <v>14.774728859019255</v>
      </c>
      <c r="U61">
        <v>15.184978052267796</v>
      </c>
      <c r="V61">
        <v>15.54956225104424</v>
      </c>
      <c r="W61">
        <v>15.872265537769934</v>
      </c>
      <c r="X61">
        <v>16.156908564195067</v>
      </c>
      <c r="Y61">
        <v>16.407160428985502</v>
      </c>
      <c r="Z61">
        <v>16.626419233479979</v>
      </c>
      <c r="AA61">
        <v>16.81780189893259</v>
      </c>
      <c r="AB61">
        <v>16.984116147485352</v>
      </c>
      <c r="AC61">
        <v>17.127874974217683</v>
      </c>
      <c r="AD61">
        <v>17.251333928672409</v>
      </c>
      <c r="AE61">
        <v>17.35652724484444</v>
      </c>
      <c r="AF61">
        <v>17.445296768592563</v>
      </c>
      <c r="AG61">
        <v>17.519307841133124</v>
      </c>
      <c r="AH61">
        <v>17.580057840285264</v>
      </c>
      <c r="AI61">
        <v>17.628893602903052</v>
      </c>
      <c r="AJ61">
        <v>17.667024250397144</v>
      </c>
      <c r="AK61">
        <v>17.695534581421253</v>
      </c>
      <c r="AL61">
        <v>17.715399638677848</v>
      </c>
      <c r="AM61">
        <v>17.727497207835608</v>
      </c>
      <c r="AN61">
        <v>17.732617603070452</v>
      </c>
      <c r="AO61">
        <v>17.731473351193216</v>
      </c>
      <c r="AP61">
        <v>17.724707560283022</v>
      </c>
      <c r="AQ61">
        <v>17.712901338006237</v>
      </c>
      <c r="AR61">
        <v>17.696580747343731</v>
      </c>
      <c r="AS61">
        <v>17.676222932323551</v>
      </c>
      <c r="AT61">
        <v>17.652261154997355</v>
      </c>
      <c r="AU61">
        <v>17.625088976661434</v>
      </c>
      <c r="AV61">
        <v>17.595064050161866</v>
      </c>
      <c r="AW61">
        <v>17.562511253569287</v>
      </c>
      <c r="AX61">
        <v>17.527725682759556</v>
      </c>
      <c r="AY61">
        <v>17.490975330783328</v>
      </c>
      <c r="AZ61">
        <v>17.452503644487379</v>
      </c>
      <c r="BA61">
        <v>17.412531900381126</v>
      </c>
      <c r="BB61">
        <v>17.371261514852328</v>
      </c>
      <c r="BC61">
        <v>17.32887622908834</v>
      </c>
      <c r="BD61">
        <v>17.285543381411838</v>
      </c>
      <c r="BE61">
        <v>17.241414546078339</v>
      </c>
      <c r="BF61">
        <v>17.196626255048013</v>
      </c>
      <c r="BG61">
        <v>17.151302200765382</v>
      </c>
      <c r="BH61">
        <v>17.105555198380344</v>
      </c>
      <c r="BI61">
        <v>17.059487778777424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4AF4-C821-7E42-8D6A-39D981F4B287}">
  <dimension ref="A2:BI67"/>
  <sheetViews>
    <sheetView workbookViewId="0">
      <selection activeCell="P14" sqref="P14"/>
    </sheetView>
  </sheetViews>
  <sheetFormatPr baseColWidth="10" defaultRowHeight="16" x14ac:dyDescent="0.2"/>
  <cols>
    <col min="1" max="1" width="28.6640625" bestFit="1" customWidth="1"/>
  </cols>
  <sheetData>
    <row r="2" spans="1:61" x14ac:dyDescent="0.2">
      <c r="B2" s="17" t="s">
        <v>87</v>
      </c>
      <c r="C2" s="17" t="s">
        <v>88</v>
      </c>
      <c r="D2" s="17" t="s">
        <v>89</v>
      </c>
      <c r="E2" s="17" t="s">
        <v>90</v>
      </c>
      <c r="F2" s="17" t="s">
        <v>91</v>
      </c>
      <c r="G2" s="17" t="s">
        <v>92</v>
      </c>
      <c r="H2" s="17" t="s">
        <v>93</v>
      </c>
      <c r="I2" s="17" t="s">
        <v>94</v>
      </c>
      <c r="J2" s="17" t="s">
        <v>95</v>
      </c>
      <c r="K2" s="17" t="s">
        <v>96</v>
      </c>
      <c r="L2" s="17" t="s">
        <v>97</v>
      </c>
      <c r="M2" s="17" t="s">
        <v>98</v>
      </c>
      <c r="N2" s="17" t="s">
        <v>99</v>
      </c>
      <c r="O2" s="17" t="s">
        <v>100</v>
      </c>
      <c r="P2" s="17" t="s">
        <v>101</v>
      </c>
      <c r="Q2" s="17" t="s">
        <v>102</v>
      </c>
      <c r="R2" s="17" t="s">
        <v>103</v>
      </c>
      <c r="S2" s="17" t="s">
        <v>104</v>
      </c>
      <c r="T2" s="17" t="s">
        <v>105</v>
      </c>
      <c r="U2" s="17" t="s">
        <v>106</v>
      </c>
      <c r="V2" s="17" t="s">
        <v>107</v>
      </c>
      <c r="W2" s="17" t="s">
        <v>108</v>
      </c>
      <c r="X2" s="17" t="s">
        <v>109</v>
      </c>
      <c r="Y2" s="17" t="s">
        <v>110</v>
      </c>
      <c r="Z2" s="17" t="s">
        <v>111</v>
      </c>
      <c r="AA2" s="17" t="s">
        <v>112</v>
      </c>
      <c r="AB2" s="17" t="s">
        <v>113</v>
      </c>
      <c r="AC2" s="17" t="s">
        <v>114</v>
      </c>
      <c r="AD2" s="17" t="s">
        <v>115</v>
      </c>
      <c r="AE2" s="17" t="s">
        <v>116</v>
      </c>
      <c r="AF2" s="17" t="s">
        <v>117</v>
      </c>
      <c r="AG2" s="17" t="s">
        <v>118</v>
      </c>
      <c r="AH2" s="17" t="s">
        <v>119</v>
      </c>
      <c r="AI2" s="17" t="s">
        <v>120</v>
      </c>
      <c r="AJ2" s="17" t="s">
        <v>121</v>
      </c>
      <c r="AK2" s="17" t="s">
        <v>122</v>
      </c>
      <c r="AL2" s="17" t="s">
        <v>123</v>
      </c>
      <c r="AM2" s="17" t="s">
        <v>124</v>
      </c>
      <c r="AN2" s="17" t="s">
        <v>125</v>
      </c>
      <c r="AO2" s="17" t="s">
        <v>126</v>
      </c>
      <c r="AP2" s="17" t="s">
        <v>127</v>
      </c>
      <c r="AQ2" s="17" t="s">
        <v>128</v>
      </c>
      <c r="AR2" s="17" t="s">
        <v>129</v>
      </c>
      <c r="AS2" s="17" t="s">
        <v>130</v>
      </c>
      <c r="AT2" s="17" t="s">
        <v>131</v>
      </c>
      <c r="AU2" s="17" t="s">
        <v>132</v>
      </c>
      <c r="AV2" s="17" t="s">
        <v>133</v>
      </c>
      <c r="AW2" s="17" t="s">
        <v>134</v>
      </c>
      <c r="AX2" s="17" t="s">
        <v>135</v>
      </c>
      <c r="AY2" s="17" t="s">
        <v>136</v>
      </c>
      <c r="AZ2" s="17" t="s">
        <v>137</v>
      </c>
      <c r="BA2" s="17" t="s">
        <v>138</v>
      </c>
      <c r="BB2" s="17" t="s">
        <v>139</v>
      </c>
      <c r="BC2" s="17" t="s">
        <v>140</v>
      </c>
      <c r="BD2" s="17" t="s">
        <v>141</v>
      </c>
      <c r="BE2" s="17" t="s">
        <v>142</v>
      </c>
      <c r="BF2" s="17" t="s">
        <v>143</v>
      </c>
      <c r="BG2" s="17" t="s">
        <v>144</v>
      </c>
      <c r="BH2" s="17" t="s">
        <v>145</v>
      </c>
      <c r="BI2" s="17" t="s">
        <v>146</v>
      </c>
    </row>
    <row r="3" spans="1:61" x14ac:dyDescent="0.2">
      <c r="A3" t="s">
        <v>148</v>
      </c>
      <c r="B3" s="17" cm="1">
        <f t="array" ref="B3:BI3">[2]!MEigenvalPow(_xlfn.ANCHORARRAY('Q3 Covariance'!B2))</f>
        <v>856.82287143961673</v>
      </c>
      <c r="C3" s="17">
        <v>45.299972226604716</v>
      </c>
      <c r="D3" s="17">
        <v>9.1526704828468777</v>
      </c>
      <c r="E3" s="17">
        <v>4.1837193745687227</v>
      </c>
      <c r="F3" s="17">
        <v>1.4441000040322678</v>
      </c>
      <c r="G3" s="17">
        <v>0.30876132305909487</v>
      </c>
      <c r="H3" s="17">
        <v>5.2775001014938344E-2</v>
      </c>
      <c r="I3" s="17">
        <v>6.2176962855885892E-3</v>
      </c>
      <c r="J3" s="17">
        <v>1.1587543706785279E-3</v>
      </c>
      <c r="K3" s="17">
        <v>1.8958756470073036E-4</v>
      </c>
      <c r="L3" s="17">
        <v>4.3792974889869356E-5</v>
      </c>
      <c r="M3" s="17">
        <v>2.4222184358055175E-5</v>
      </c>
      <c r="N3" s="17">
        <v>1.3160420795936254E-5</v>
      </c>
      <c r="O3" s="17">
        <v>3.048452892121832E-6</v>
      </c>
      <c r="P3" s="17">
        <v>1.5039670612799456E-6</v>
      </c>
      <c r="Q3" s="17">
        <v>5.6837527090529527E-7</v>
      </c>
      <c r="R3" s="17">
        <v>2.876182939588418E-7</v>
      </c>
      <c r="S3" s="17">
        <v>1.237316189870602E-7</v>
      </c>
      <c r="T3" s="17">
        <v>8.6776049096840987E-8</v>
      </c>
      <c r="U3" s="17">
        <v>2.5534820494811917E-8</v>
      </c>
      <c r="V3" s="17">
        <v>1.4675289076699298E-8</v>
      </c>
      <c r="W3" s="17">
        <v>5.8116445921974735E-9</v>
      </c>
      <c r="X3" s="17">
        <v>2.3226374043682305E-9</v>
      </c>
      <c r="Y3" s="17">
        <v>1.2188893069940132E-9</v>
      </c>
      <c r="Z3" s="17">
        <v>5.5393489058012931E-10</v>
      </c>
      <c r="AA3" s="17">
        <v>3.8021849980153346E-10</v>
      </c>
      <c r="AB3" s="17">
        <v>2.2892166389150671E-10</v>
      </c>
      <c r="AC3" s="17">
        <v>1.0067074121801394E-10</v>
      </c>
      <c r="AD3" s="17">
        <v>6.2012008034133178E-11</v>
      </c>
      <c r="AE3" s="17">
        <v>4.116002767350323E-11</v>
      </c>
      <c r="AF3" s="17">
        <v>2.5264636730626927E-11</v>
      </c>
      <c r="AG3" s="17">
        <v>1.3976404208067901E-11</v>
      </c>
      <c r="AH3" s="17">
        <v>9.5594478861056211E-12</v>
      </c>
      <c r="AI3" s="17">
        <v>6.9360414766941491E-12</v>
      </c>
      <c r="AJ3" s="17">
        <v>4.7425083494679274E-12</v>
      </c>
      <c r="AK3" s="17">
        <v>2.8684611906287165E-12</v>
      </c>
      <c r="AL3" s="17">
        <v>1.3818546231981814E-12</v>
      </c>
      <c r="AM3" s="17">
        <v>1.1284890360706832E-12</v>
      </c>
      <c r="AN3" s="17">
        <v>6.703046922839642E-13</v>
      </c>
      <c r="AO3" s="17">
        <v>3.5665073364288035E-13</v>
      </c>
      <c r="AP3" s="17">
        <v>1.9674199968682621E-13</v>
      </c>
      <c r="AQ3" s="17">
        <v>7.6283215532271211E-14</v>
      </c>
      <c r="AR3" s="17">
        <v>6.5662524951260855E-14</v>
      </c>
      <c r="AS3" s="17">
        <v>6.2627474080034301E-14</v>
      </c>
      <c r="AT3" s="17">
        <v>-5.6835527731782582E-14</v>
      </c>
      <c r="AU3" s="17">
        <v>-4.3234382586746413E-14</v>
      </c>
      <c r="AV3" s="17">
        <v>3.8391477685985328E-14</v>
      </c>
      <c r="AW3" s="17">
        <v>-3.3755056180810031E-14</v>
      </c>
      <c r="AX3" s="17">
        <v>3.1080081247664039E-14</v>
      </c>
      <c r="AY3" s="17">
        <v>2.7992666392014253E-14</v>
      </c>
      <c r="AZ3" s="17">
        <v>2.495538207822931E-14</v>
      </c>
      <c r="BA3" s="17">
        <v>-2.1108014640285323E-14</v>
      </c>
      <c r="BB3" s="17">
        <v>1.8710275663624435E-14</v>
      </c>
      <c r="BC3" s="17">
        <v>1.6574090344027597E-14</v>
      </c>
      <c r="BD3" s="17">
        <v>-1.3458738964082188E-14</v>
      </c>
      <c r="BE3" s="17">
        <v>-1.1154249460611349E-14</v>
      </c>
      <c r="BF3" s="17">
        <v>-9.4497483598084437E-15</v>
      </c>
      <c r="BG3" s="17">
        <v>8.6124982515019207E-15</v>
      </c>
      <c r="BH3" s="17">
        <v>3.2759242629878984E-16</v>
      </c>
      <c r="BI3" s="17">
        <v>6.6666357370047099E-16</v>
      </c>
    </row>
    <row r="4" spans="1:61" x14ac:dyDescent="0.2">
      <c r="A4" t="s">
        <v>150</v>
      </c>
      <c r="B4" s="17">
        <f>B3/SUM($B$3:$BI$3)</f>
        <v>0.93409848240567017</v>
      </c>
      <c r="C4" s="17">
        <f t="shared" ref="C4:BI4" si="0">C3/SUM($B$3:$BI$3)</f>
        <v>4.9385510961903085E-2</v>
      </c>
      <c r="D4" s="17">
        <f t="shared" si="0"/>
        <v>9.9781365471976122E-3</v>
      </c>
      <c r="E4" s="17">
        <f t="shared" si="0"/>
        <v>4.5610429516542775E-3</v>
      </c>
      <c r="F4" s="17">
        <f t="shared" si="0"/>
        <v>1.5743412870645194E-3</v>
      </c>
      <c r="G4" s="17">
        <f t="shared" si="0"/>
        <v>3.3660805857164012E-4</v>
      </c>
      <c r="H4" s="17">
        <f t="shared" si="0"/>
        <v>5.7534701745512104E-5</v>
      </c>
      <c r="I4" s="17">
        <f t="shared" si="0"/>
        <v>6.7784612876513051E-6</v>
      </c>
      <c r="J4" s="17">
        <f t="shared" si="0"/>
        <v>1.2632607452613152E-6</v>
      </c>
      <c r="K4" s="17">
        <f t="shared" si="0"/>
        <v>2.0668619194582204E-7</v>
      </c>
      <c r="L4" s="17">
        <f t="shared" si="0"/>
        <v>4.7742599723004057E-8</v>
      </c>
      <c r="M4" s="17">
        <f t="shared" si="0"/>
        <v>2.6406748003113063E-8</v>
      </c>
      <c r="N4" s="17">
        <f t="shared" si="0"/>
        <v>1.4347340043163653E-8</v>
      </c>
      <c r="O4" s="17">
        <f t="shared" si="0"/>
        <v>3.3233884331679589E-9</v>
      </c>
      <c r="P4" s="17">
        <f t="shared" si="0"/>
        <v>1.6396076672992003E-9</v>
      </c>
      <c r="Q4" s="17">
        <f t="shared" si="0"/>
        <v>6.1963621150484617E-10</v>
      </c>
      <c r="R4" s="17">
        <f t="shared" si="0"/>
        <v>3.135581703691668E-10</v>
      </c>
      <c r="S4" s="17">
        <f t="shared" si="0"/>
        <v>1.3489079408818592E-10</v>
      </c>
      <c r="T4" s="17">
        <f t="shared" si="0"/>
        <v>9.4602254996214206E-11</v>
      </c>
      <c r="U4" s="17">
        <f t="shared" si="0"/>
        <v>2.7837768887552333E-11</v>
      </c>
      <c r="V4" s="17">
        <f t="shared" si="0"/>
        <v>1.5998832095106352E-11</v>
      </c>
      <c r="W4" s="17">
        <f t="shared" si="0"/>
        <v>6.3357883814792115E-12</v>
      </c>
      <c r="X4" s="17">
        <f t="shared" si="0"/>
        <v>2.5321127002057464E-12</v>
      </c>
      <c r="Y4" s="17">
        <f t="shared" si="0"/>
        <v>1.3288191641880619E-12</v>
      </c>
      <c r="Z4" s="17">
        <f t="shared" si="0"/>
        <v>6.0389347424056808E-13</v>
      </c>
      <c r="AA4" s="17">
        <f t="shared" si="0"/>
        <v>4.145098543534881E-13</v>
      </c>
      <c r="AB4" s="17">
        <f t="shared" si="0"/>
        <v>2.4956777644317005E-13</v>
      </c>
      <c r="AC4" s="17">
        <f t="shared" si="0"/>
        <v>1.0975008922953083E-13</v>
      </c>
      <c r="AD4" s="17">
        <f t="shared" si="0"/>
        <v>6.760478101884354E-14</v>
      </c>
      <c r="AE4" s="17">
        <f t="shared" si="0"/>
        <v>4.4872190819318344E-14</v>
      </c>
      <c r="AF4" s="17">
        <f t="shared" si="0"/>
        <v>2.7543217641888441E-14</v>
      </c>
      <c r="AG4" s="17">
        <f t="shared" si="0"/>
        <v>1.5236915814711072E-14</v>
      </c>
      <c r="AH4" s="17">
        <f t="shared" si="0"/>
        <v>1.0421600613956816E-14</v>
      </c>
      <c r="AI4" s="17">
        <f t="shared" si="0"/>
        <v>7.561592988755064E-15</v>
      </c>
      <c r="AJ4" s="17">
        <f t="shared" si="0"/>
        <v>5.1702282930322148E-15</v>
      </c>
      <c r="AK4" s="17">
        <f t="shared" si="0"/>
        <v>3.1271635414025875E-15</v>
      </c>
      <c r="AL4" s="17">
        <f t="shared" si="0"/>
        <v>1.5064820856916711E-15</v>
      </c>
      <c r="AM4" s="17">
        <f t="shared" si="0"/>
        <v>1.2302658240599385E-15</v>
      </c>
      <c r="AN4" s="17">
        <f t="shared" si="0"/>
        <v>7.3075849943155515E-16</v>
      </c>
      <c r="AO4" s="17">
        <f t="shared" si="0"/>
        <v>3.8881654557719336E-16</v>
      </c>
      <c r="AP4" s="17">
        <f t="shared" si="0"/>
        <v>2.1448587503756025E-16</v>
      </c>
      <c r="AQ4" s="17">
        <f t="shared" si="0"/>
        <v>8.3163088004404236E-17</v>
      </c>
      <c r="AR4" s="17">
        <f t="shared" si="0"/>
        <v>7.1584532757444861E-17</v>
      </c>
      <c r="AS4" s="17">
        <f t="shared" si="0"/>
        <v>6.827575505398165E-17</v>
      </c>
      <c r="AT4" s="17">
        <f t="shared" si="0"/>
        <v>-6.196144147247465E-17</v>
      </c>
      <c r="AU4" s="17">
        <f t="shared" si="0"/>
        <v>-4.7133628790944378E-17</v>
      </c>
      <c r="AV4" s="17">
        <f t="shared" si="0"/>
        <v>4.1853949327398786E-17</v>
      </c>
      <c r="AW4" s="17">
        <f t="shared" si="0"/>
        <v>-3.6799375697144716E-17</v>
      </c>
      <c r="AX4" s="17">
        <f t="shared" si="0"/>
        <v>3.388314865791241E-17</v>
      </c>
      <c r="AY4" s="17">
        <f t="shared" si="0"/>
        <v>3.0517284338285141E-17</v>
      </c>
      <c r="AZ4" s="17">
        <f t="shared" si="0"/>
        <v>2.7206071761321382E-17</v>
      </c>
      <c r="BA4" s="17">
        <f t="shared" si="0"/>
        <v>-2.3011715839189885E-17</v>
      </c>
      <c r="BB4" s="17">
        <f t="shared" si="0"/>
        <v>2.0397728264907793E-17</v>
      </c>
      <c r="BC4" s="17">
        <f t="shared" si="0"/>
        <v>1.8068883492335331E-17</v>
      </c>
      <c r="BD4" s="17">
        <f t="shared" si="0"/>
        <v>-1.4672563093840346E-17</v>
      </c>
      <c r="BE4" s="17">
        <f t="shared" si="0"/>
        <v>-1.2160235027369481E-17</v>
      </c>
      <c r="BF4" s="17">
        <f t="shared" si="0"/>
        <v>-1.030200744662849E-17</v>
      </c>
      <c r="BG4" s="17">
        <f t="shared" si="0"/>
        <v>9.3892469664500379E-18</v>
      </c>
      <c r="BH4" s="17">
        <f t="shared" si="0"/>
        <v>3.5713751167630456E-19</v>
      </c>
      <c r="BI4" s="17">
        <f t="shared" si="0"/>
        <v>7.2678899364865574E-19</v>
      </c>
    </row>
    <row r="5" spans="1:61" x14ac:dyDescent="0.2">
      <c r="A5" t="s">
        <v>151</v>
      </c>
      <c r="B5">
        <f>B4</f>
        <v>0.93409848240567017</v>
      </c>
      <c r="C5">
        <f>B5+C4</f>
        <v>0.98348399336757331</v>
      </c>
      <c r="D5">
        <f t="shared" ref="D5:BI5" si="1">C5+D4</f>
        <v>0.9934621299147709</v>
      </c>
      <c r="E5">
        <f t="shared" si="1"/>
        <v>0.99802317286642517</v>
      </c>
      <c r="F5">
        <f t="shared" si="1"/>
        <v>0.99959751415348974</v>
      </c>
      <c r="G5">
        <f t="shared" si="1"/>
        <v>0.99993412221206135</v>
      </c>
      <c r="H5">
        <f t="shared" si="1"/>
        <v>0.99999165691380687</v>
      </c>
      <c r="I5">
        <f t="shared" si="1"/>
        <v>0.99999843537509447</v>
      </c>
      <c r="J5">
        <f t="shared" si="1"/>
        <v>0.99999969863583971</v>
      </c>
      <c r="K5">
        <f t="shared" si="1"/>
        <v>0.99999990532203165</v>
      </c>
      <c r="L5">
        <f t="shared" si="1"/>
        <v>0.99999995306463141</v>
      </c>
      <c r="M5">
        <f t="shared" si="1"/>
        <v>0.99999997947137942</v>
      </c>
      <c r="N5">
        <f t="shared" si="1"/>
        <v>0.99999999381871951</v>
      </c>
      <c r="O5">
        <f t="shared" si="1"/>
        <v>0.99999999714210797</v>
      </c>
      <c r="P5">
        <f t="shared" si="1"/>
        <v>0.99999999878171564</v>
      </c>
      <c r="Q5">
        <f t="shared" si="1"/>
        <v>0.99999999940135187</v>
      </c>
      <c r="R5">
        <f t="shared" si="1"/>
        <v>0.99999999971491005</v>
      </c>
      <c r="S5">
        <f t="shared" si="1"/>
        <v>0.99999999984980081</v>
      </c>
      <c r="T5">
        <f t="shared" si="1"/>
        <v>0.99999999994440303</v>
      </c>
      <c r="U5">
        <f t="shared" si="1"/>
        <v>0.99999999997224076</v>
      </c>
      <c r="V5">
        <f t="shared" si="1"/>
        <v>0.99999999998823963</v>
      </c>
      <c r="W5">
        <f t="shared" si="1"/>
        <v>0.99999999999457545</v>
      </c>
      <c r="X5">
        <f t="shared" si="1"/>
        <v>0.99999999999710754</v>
      </c>
      <c r="Y5">
        <f t="shared" si="1"/>
        <v>0.99999999999843636</v>
      </c>
      <c r="Z5">
        <f t="shared" si="1"/>
        <v>0.99999999999904021</v>
      </c>
      <c r="AA5">
        <f t="shared" si="1"/>
        <v>0.99999999999945477</v>
      </c>
      <c r="AB5">
        <f t="shared" si="1"/>
        <v>0.99999999999970435</v>
      </c>
      <c r="AC5">
        <f t="shared" si="1"/>
        <v>0.99999999999981415</v>
      </c>
      <c r="AD5">
        <f t="shared" si="1"/>
        <v>0.99999999999988176</v>
      </c>
      <c r="AE5">
        <f t="shared" si="1"/>
        <v>0.99999999999992661</v>
      </c>
      <c r="AF5">
        <f t="shared" si="1"/>
        <v>0.99999999999995415</v>
      </c>
      <c r="AG5">
        <f t="shared" si="1"/>
        <v>0.99999999999996936</v>
      </c>
      <c r="AH5">
        <f t="shared" si="1"/>
        <v>0.99999999999997979</v>
      </c>
      <c r="AI5">
        <f t="shared" si="1"/>
        <v>0.99999999999998734</v>
      </c>
      <c r="AJ5">
        <f t="shared" si="1"/>
        <v>0.99999999999999256</v>
      </c>
      <c r="AK5">
        <f t="shared" si="1"/>
        <v>0.99999999999999567</v>
      </c>
      <c r="AL5">
        <f t="shared" si="1"/>
        <v>0.99999999999999722</v>
      </c>
      <c r="AM5">
        <f t="shared" si="1"/>
        <v>0.99999999999999845</v>
      </c>
      <c r="AN5">
        <f t="shared" si="1"/>
        <v>0.99999999999999922</v>
      </c>
      <c r="AO5">
        <f t="shared" si="1"/>
        <v>0.99999999999999967</v>
      </c>
      <c r="AP5">
        <f t="shared" si="1"/>
        <v>0.99999999999999989</v>
      </c>
      <c r="AQ5">
        <f t="shared" si="1"/>
        <v>1</v>
      </c>
      <c r="AR5">
        <f t="shared" si="1"/>
        <v>1</v>
      </c>
      <c r="AS5">
        <f t="shared" si="1"/>
        <v>1</v>
      </c>
      <c r="AT5">
        <f t="shared" si="1"/>
        <v>0.99999999999999989</v>
      </c>
      <c r="AU5">
        <f t="shared" si="1"/>
        <v>0.99999999999999989</v>
      </c>
      <c r="AV5">
        <f t="shared" si="1"/>
        <v>0.99999999999999989</v>
      </c>
      <c r="AW5">
        <f t="shared" si="1"/>
        <v>0.99999999999999989</v>
      </c>
      <c r="AX5">
        <f t="shared" si="1"/>
        <v>0.99999999999999989</v>
      </c>
      <c r="AY5">
        <f t="shared" si="1"/>
        <v>0.99999999999999989</v>
      </c>
      <c r="AZ5">
        <f t="shared" si="1"/>
        <v>0.99999999999999989</v>
      </c>
      <c r="BA5">
        <f t="shared" si="1"/>
        <v>0.99999999999999989</v>
      </c>
      <c r="BB5">
        <f t="shared" si="1"/>
        <v>0.99999999999999989</v>
      </c>
      <c r="BC5">
        <f t="shared" si="1"/>
        <v>0.99999999999999989</v>
      </c>
      <c r="BD5">
        <f t="shared" si="1"/>
        <v>0.99999999999999989</v>
      </c>
      <c r="BE5">
        <f t="shared" si="1"/>
        <v>0.99999999999999989</v>
      </c>
      <c r="BF5">
        <f t="shared" si="1"/>
        <v>0.99999999999999989</v>
      </c>
      <c r="BG5">
        <f t="shared" si="1"/>
        <v>0.99999999999999989</v>
      </c>
      <c r="BH5">
        <f t="shared" si="1"/>
        <v>0.99999999999999989</v>
      </c>
      <c r="BI5">
        <f t="shared" si="1"/>
        <v>0.99999999999999989</v>
      </c>
    </row>
    <row r="7" spans="1:61" x14ac:dyDescent="0.2">
      <c r="A7" t="s">
        <v>149</v>
      </c>
      <c r="B7" s="17" t="s">
        <v>153</v>
      </c>
      <c r="C7" s="17" t="s">
        <v>154</v>
      </c>
      <c r="D7" s="17" t="s">
        <v>155</v>
      </c>
      <c r="E7" s="17" t="s">
        <v>156</v>
      </c>
      <c r="F7" s="17" t="s">
        <v>157</v>
      </c>
      <c r="G7" s="17" t="s">
        <v>158</v>
      </c>
      <c r="H7" s="17" t="s">
        <v>159</v>
      </c>
      <c r="I7" s="17" t="s">
        <v>160</v>
      </c>
      <c r="J7" s="17" t="s">
        <v>161</v>
      </c>
      <c r="K7" s="17" t="s">
        <v>162</v>
      </c>
      <c r="L7" s="17" t="s">
        <v>163</v>
      </c>
      <c r="M7" s="17" t="s">
        <v>164</v>
      </c>
      <c r="N7" s="17" t="s">
        <v>165</v>
      </c>
      <c r="O7" s="17" t="s">
        <v>166</v>
      </c>
      <c r="P7" s="17" t="s">
        <v>167</v>
      </c>
      <c r="Q7" s="17" t="s">
        <v>168</v>
      </c>
      <c r="R7" s="17" t="s">
        <v>169</v>
      </c>
      <c r="S7" s="17" t="s">
        <v>170</v>
      </c>
      <c r="T7" s="17" t="s">
        <v>171</v>
      </c>
      <c r="U7" s="17" t="s">
        <v>172</v>
      </c>
      <c r="V7" s="17" t="s">
        <v>173</v>
      </c>
      <c r="W7" s="17" t="s">
        <v>174</v>
      </c>
      <c r="X7" s="17" t="s">
        <v>175</v>
      </c>
      <c r="Y7" s="17" t="s">
        <v>176</v>
      </c>
      <c r="Z7" s="17" t="s">
        <v>177</v>
      </c>
      <c r="AA7" s="17" t="s">
        <v>178</v>
      </c>
      <c r="AB7" s="17" t="s">
        <v>179</v>
      </c>
      <c r="AC7" s="17" t="s">
        <v>180</v>
      </c>
      <c r="AD7" s="17" t="s">
        <v>181</v>
      </c>
      <c r="AE7" s="17" t="s">
        <v>182</v>
      </c>
      <c r="AF7" s="17" t="s">
        <v>183</v>
      </c>
      <c r="AG7" s="17" t="s">
        <v>184</v>
      </c>
      <c r="AH7" s="17" t="s">
        <v>185</v>
      </c>
      <c r="AI7" s="17" t="s">
        <v>186</v>
      </c>
      <c r="AJ7" s="17" t="s">
        <v>187</v>
      </c>
      <c r="AK7" s="17" t="s">
        <v>188</v>
      </c>
      <c r="AL7" s="17" t="s">
        <v>189</v>
      </c>
      <c r="AM7" s="17" t="s">
        <v>190</v>
      </c>
      <c r="AN7" s="17" t="s">
        <v>191</v>
      </c>
      <c r="AO7" s="17" t="s">
        <v>192</v>
      </c>
      <c r="AP7" s="17" t="s">
        <v>193</v>
      </c>
      <c r="AQ7" s="17" t="s">
        <v>194</v>
      </c>
      <c r="AR7" s="17" t="s">
        <v>195</v>
      </c>
      <c r="AS7" s="17" t="s">
        <v>196</v>
      </c>
      <c r="AT7" s="17" t="s">
        <v>197</v>
      </c>
      <c r="AU7" s="17" t="s">
        <v>198</v>
      </c>
      <c r="AV7" s="17" t="s">
        <v>199</v>
      </c>
      <c r="AW7" s="17" t="s">
        <v>200</v>
      </c>
      <c r="AX7" s="17" t="s">
        <v>201</v>
      </c>
      <c r="AY7" s="17" t="s">
        <v>202</v>
      </c>
      <c r="AZ7" s="17" t="s">
        <v>203</v>
      </c>
      <c r="BA7" s="17" t="s">
        <v>204</v>
      </c>
      <c r="BB7" s="17" t="s">
        <v>205</v>
      </c>
      <c r="BC7" s="17" t="s">
        <v>206</v>
      </c>
      <c r="BD7" s="17" t="s">
        <v>207</v>
      </c>
      <c r="BE7" s="17" t="s">
        <v>208</v>
      </c>
      <c r="BF7" s="17" t="s">
        <v>209</v>
      </c>
      <c r="BG7" s="17" t="s">
        <v>210</v>
      </c>
      <c r="BH7" s="17" t="s">
        <v>211</v>
      </c>
      <c r="BI7" s="17" t="s">
        <v>212</v>
      </c>
    </row>
    <row r="8" spans="1:61" x14ac:dyDescent="0.2">
      <c r="A8" t="str" cm="1">
        <f t="array" ref="A8:A67">TRANSPOSE(B7:BI7)</f>
        <v>w1</v>
      </c>
      <c r="B8" cm="1">
        <f t="array" ref="B8:BI67">[2]!MEigenvecPow(_xlfn.ANCHORARRAY('Q3 Covariance'!B2),TRUE)</f>
        <v>1.6084545830586407E-2</v>
      </c>
      <c r="C8">
        <v>0.19408697205506989</v>
      </c>
      <c r="D8">
        <v>0.22549673863270492</v>
      </c>
      <c r="E8">
        <v>0.75431000145699412</v>
      </c>
      <c r="F8">
        <v>0.28964615059688525</v>
      </c>
      <c r="G8">
        <v>0.4613467026410954</v>
      </c>
      <c r="H8">
        <v>0.17304629134260666</v>
      </c>
      <c r="I8">
        <v>0.10958220217082387</v>
      </c>
      <c r="J8">
        <v>5.4941547377301357E-2</v>
      </c>
      <c r="K8">
        <v>2.1153430684945837E-2</v>
      </c>
      <c r="L8">
        <v>8.7229766211292976E-3</v>
      </c>
      <c r="M8">
        <v>3.2759950672342351E-4</v>
      </c>
      <c r="N8">
        <v>1.8404317946235109E-3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 spans="1:61" x14ac:dyDescent="0.2">
      <c r="A9" t="str">
        <v>w2</v>
      </c>
      <c r="B9">
        <v>2.7964798391484434E-2</v>
      </c>
      <c r="C9">
        <v>0.22564800112783204</v>
      </c>
      <c r="D9">
        <v>0.24529224151555284</v>
      </c>
      <c r="E9">
        <v>0.38549697789305987</v>
      </c>
      <c r="F9">
        <v>-0.10935903915825526</v>
      </c>
      <c r="G9">
        <v>-0.47231497117382654</v>
      </c>
      <c r="H9">
        <v>-0.40799871951021005</v>
      </c>
      <c r="I9">
        <v>-0.43300381029997509</v>
      </c>
      <c r="J9">
        <v>-0.32699898788151677</v>
      </c>
      <c r="K9">
        <v>-0.17737970593317406</v>
      </c>
      <c r="L9">
        <v>-9.880748788859843E-2</v>
      </c>
      <c r="M9">
        <v>-6.0142857427327046E-3</v>
      </c>
      <c r="N9">
        <v>-3.9900741782102511E-2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 spans="1:61" x14ac:dyDescent="0.2">
      <c r="A10" t="str">
        <v>w3</v>
      </c>
      <c r="B10">
        <v>3.8917075194340046E-2</v>
      </c>
      <c r="C10">
        <v>0.25806961656727989</v>
      </c>
      <c r="D10">
        <v>0.26622996044568448</v>
      </c>
      <c r="E10">
        <v>0.10844325554641714</v>
      </c>
      <c r="F10">
        <v>-0.29127325056711029</v>
      </c>
      <c r="G10">
        <v>-0.37290067367479635</v>
      </c>
      <c r="H10">
        <v>-9.3843940779318614E-3</v>
      </c>
      <c r="I10">
        <v>0.26418815417564784</v>
      </c>
      <c r="J10">
        <v>0.43653612143951487</v>
      </c>
      <c r="K10">
        <v>0.41348374836189111</v>
      </c>
      <c r="L10">
        <v>0.35618537373436959</v>
      </c>
      <c r="M10">
        <v>4.1867848920883494E-2</v>
      </c>
      <c r="N10">
        <v>0.21852886401829408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 spans="1:61" x14ac:dyDescent="0.2">
      <c r="A11" t="str">
        <v>w4</v>
      </c>
      <c r="B11">
        <v>4.6961626528896468E-2</v>
      </c>
      <c r="C11">
        <v>0.28016292027947681</v>
      </c>
      <c r="D11">
        <v>0.25682727718331888</v>
      </c>
      <c r="E11">
        <v>-8.1308585372290798E-2</v>
      </c>
      <c r="F11">
        <v>-0.30994929689845074</v>
      </c>
      <c r="G11">
        <v>-7.3718176825427376E-2</v>
      </c>
      <c r="H11">
        <v>0.23941201484432287</v>
      </c>
      <c r="I11">
        <v>0.30377196877830898</v>
      </c>
      <c r="J11">
        <v>0.11867236530302176</v>
      </c>
      <c r="K11">
        <v>-0.18262590351815874</v>
      </c>
      <c r="L11">
        <v>-0.41835274498435937</v>
      </c>
      <c r="M11">
        <v>-9.7351461653225654E-2</v>
      </c>
      <c r="N11">
        <v>-0.47378292728604154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 x14ac:dyDescent="0.2">
      <c r="A12" t="str">
        <v>w5</v>
      </c>
      <c r="B12">
        <v>5.311464302642345E-2</v>
      </c>
      <c r="C12">
        <v>0.28927816570129938</v>
      </c>
      <c r="D12">
        <v>0.21811976593291757</v>
      </c>
      <c r="E12">
        <v>-0.18206845658914106</v>
      </c>
      <c r="F12">
        <v>-0.2278536704891132</v>
      </c>
      <c r="G12">
        <v>0.1443381402067572</v>
      </c>
      <c r="H12">
        <v>0.24871072747036524</v>
      </c>
      <c r="I12">
        <v>6.8529350592723748E-2</v>
      </c>
      <c r="J12">
        <v>-0.24896293447687351</v>
      </c>
      <c r="K12">
        <v>-0.32309571864507181</v>
      </c>
      <c r="L12">
        <v>-0.14417191464386181</v>
      </c>
      <c r="M12">
        <v>2.8691935447227118E-2</v>
      </c>
      <c r="N12">
        <v>0.30961994565726841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 x14ac:dyDescent="0.2">
      <c r="A13" t="str">
        <v>w6</v>
      </c>
      <c r="B13">
        <v>5.8560128154881277E-2</v>
      </c>
      <c r="C13">
        <v>0.28745732538748014</v>
      </c>
      <c r="D13">
        <v>0.16150937691723227</v>
      </c>
      <c r="E13">
        <v>-0.2149221060949697</v>
      </c>
      <c r="F13">
        <v>-0.10326002252479037</v>
      </c>
      <c r="G13">
        <v>0.23330088784193817</v>
      </c>
      <c r="H13">
        <v>0.11805967142156078</v>
      </c>
      <c r="I13">
        <v>-0.14819743437750962</v>
      </c>
      <c r="J13">
        <v>-0.27638239289933447</v>
      </c>
      <c r="K13">
        <v>-2.122486799964942E-2</v>
      </c>
      <c r="L13">
        <v>0.32778904510117585</v>
      </c>
      <c r="M13">
        <v>0.1280389393176451</v>
      </c>
      <c r="N13">
        <v>0.31957680125942894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 spans="1:61" x14ac:dyDescent="0.2">
      <c r="A14" t="str">
        <v>w7</v>
      </c>
      <c r="B14">
        <v>6.4041702816376528E-2</v>
      </c>
      <c r="C14">
        <v>0.27804662180242823</v>
      </c>
      <c r="D14">
        <v>0.10014331681646131</v>
      </c>
      <c r="E14">
        <v>-0.20675315431483213</v>
      </c>
      <c r="F14">
        <v>1.9450306357990724E-2</v>
      </c>
      <c r="G14">
        <v>0.22719445558965548</v>
      </c>
      <c r="H14">
        <v>-3.6227692089267585E-2</v>
      </c>
      <c r="I14">
        <v>-0.24261191459113296</v>
      </c>
      <c r="J14">
        <v>-0.10226975750175694</v>
      </c>
      <c r="K14">
        <v>0.22585041938081382</v>
      </c>
      <c r="L14">
        <v>0.29995565290156234</v>
      </c>
      <c r="M14">
        <v>2.5724276766263193E-2</v>
      </c>
      <c r="N14">
        <v>-0.29202720524207465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 spans="1:61" x14ac:dyDescent="0.2">
      <c r="A15" t="str">
        <v>w8</v>
      </c>
      <c r="B15">
        <v>6.9948806506486064E-2</v>
      </c>
      <c r="C15">
        <v>0.26365260190192003</v>
      </c>
      <c r="D15">
        <v>4.2409205431113955E-2</v>
      </c>
      <c r="E15">
        <v>-0.17898577278302941</v>
      </c>
      <c r="F15">
        <v>0.11537250597104007</v>
      </c>
      <c r="G15">
        <v>0.17243861321343751</v>
      </c>
      <c r="H15">
        <v>-0.14688291773387133</v>
      </c>
      <c r="I15">
        <v>-0.22094649275180031</v>
      </c>
      <c r="J15">
        <v>8.277379130862865E-2</v>
      </c>
      <c r="K15">
        <v>0.25823954320385206</v>
      </c>
      <c r="L15">
        <v>-1.3620047061909963E-2</v>
      </c>
      <c r="M15">
        <v>-0.13011650924120949</v>
      </c>
      <c r="N15">
        <v>-0.37601594905486962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 spans="1:61" x14ac:dyDescent="0.2">
      <c r="A16" t="str">
        <v>w9</v>
      </c>
      <c r="B16">
        <v>7.6311569169560098E-2</v>
      </c>
      <c r="C16">
        <v>0.24608885879495818</v>
      </c>
      <c r="D16">
        <v>-8.2102652718901749E-3</v>
      </c>
      <c r="E16">
        <v>-0.14382963942770674</v>
      </c>
      <c r="F16">
        <v>0.17809746608255284</v>
      </c>
      <c r="G16">
        <v>9.9661357590790367E-2</v>
      </c>
      <c r="H16">
        <v>-0.19831036881296732</v>
      </c>
      <c r="I16">
        <v>-0.12813368220357979</v>
      </c>
      <c r="J16">
        <v>0.19695151606216083</v>
      </c>
      <c r="K16">
        <v>0.14809457164621595</v>
      </c>
      <c r="L16">
        <v>-0.27534878624659614</v>
      </c>
      <c r="M16">
        <v>-0.18703491006133144</v>
      </c>
      <c r="N16">
        <v>4.3623041416558296E-2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 spans="1:61" x14ac:dyDescent="0.2">
      <c r="A17" t="str">
        <v>w10</v>
      </c>
      <c r="B17">
        <v>8.2953805571957959E-2</v>
      </c>
      <c r="C17">
        <v>0.22674174656458906</v>
      </c>
      <c r="D17">
        <v>-5.0665802912988549E-2</v>
      </c>
      <c r="E17">
        <v>-0.10802763013292543</v>
      </c>
      <c r="F17">
        <v>0.21068673663185583</v>
      </c>
      <c r="G17">
        <v>2.7914819957236322E-2</v>
      </c>
      <c r="H17">
        <v>-0.19964580603266643</v>
      </c>
      <c r="I17">
        <v>-1.4341882471897039E-2</v>
      </c>
      <c r="J17">
        <v>0.22455371229041074</v>
      </c>
      <c r="K17">
        <v>-4.3851206220987772E-3</v>
      </c>
      <c r="L17">
        <v>-0.31290936046721041</v>
      </c>
      <c r="M17">
        <v>-9.0046622222569372E-2</v>
      </c>
      <c r="N17">
        <v>0.36546639683640009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 spans="1:61" x14ac:dyDescent="0.2">
      <c r="A18" t="str">
        <v>w11</v>
      </c>
      <c r="B18">
        <v>8.9646908346591114E-2</v>
      </c>
      <c r="C18">
        <v>0.20664384702936625</v>
      </c>
      <c r="D18">
        <v>-8.4994989213701272E-2</v>
      </c>
      <c r="E18">
        <v>-7.5092094887404842E-2</v>
      </c>
      <c r="F18">
        <v>0.21944912381459167</v>
      </c>
      <c r="G18">
        <v>-3.2018529153483397E-2</v>
      </c>
      <c r="H18">
        <v>-0.16727189305997922</v>
      </c>
      <c r="I18">
        <v>8.1780972572331079E-2</v>
      </c>
      <c r="J18">
        <v>0.17896498228516022</v>
      </c>
      <c r="K18">
        <v>-0.14180698558840105</v>
      </c>
      <c r="L18">
        <v>-0.14311644430387738</v>
      </c>
      <c r="M18">
        <v>0.11687823957327345</v>
      </c>
      <c r="N18">
        <v>0.26089977854935614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 spans="1:61" x14ac:dyDescent="0.2">
      <c r="A19" t="str">
        <v>w12</v>
      </c>
      <c r="B19">
        <v>9.6197289179972889E-2</v>
      </c>
      <c r="C19">
        <v>0.18653731995677214</v>
      </c>
      <c r="D19">
        <v>-0.11178705000907885</v>
      </c>
      <c r="E19">
        <v>-4.6445590307851316E-2</v>
      </c>
      <c r="F19">
        <v>0.21064175959349016</v>
      </c>
      <c r="G19">
        <v>-7.6197323943986914E-2</v>
      </c>
      <c r="H19">
        <v>-0.11588655935287757</v>
      </c>
      <c r="I19">
        <v>0.14379338242856932</v>
      </c>
      <c r="J19">
        <v>9.1523219843373971E-2</v>
      </c>
      <c r="K19">
        <v>-0.22313667341372098</v>
      </c>
      <c r="L19">
        <v>8.7178967660128517E-2</v>
      </c>
      <c r="M19">
        <v>0.28937755784822949</v>
      </c>
      <c r="N19">
        <v>-6.8896184621089346E-2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 spans="1:61" x14ac:dyDescent="0.2">
      <c r="A20" t="str">
        <v>w13</v>
      </c>
      <c r="B20">
        <v>0.10244199829802514</v>
      </c>
      <c r="C20">
        <v>0.16697076396486329</v>
      </c>
      <c r="D20">
        <v>-0.13198332133202845</v>
      </c>
      <c r="E20">
        <v>-2.2288689588550941E-2</v>
      </c>
      <c r="F20">
        <v>0.19015215204465738</v>
      </c>
      <c r="G20">
        <v>-0.10502475282620255</v>
      </c>
      <c r="H20">
        <v>-5.8146692418272014E-2</v>
      </c>
      <c r="I20">
        <v>0.1715176515662955</v>
      </c>
      <c r="J20">
        <v>1.4022549326084856E-3</v>
      </c>
      <c r="K20">
        <v>-0.21848180542368228</v>
      </c>
      <c r="L20">
        <v>0.19839176932453279</v>
      </c>
      <c r="M20">
        <v>0.26105689469694354</v>
      </c>
      <c r="N20">
        <v>-0.21061159180720246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 spans="1:61" x14ac:dyDescent="0.2">
      <c r="A21" t="str">
        <v>w14</v>
      </c>
      <c r="B21">
        <v>0.10826691158932802</v>
      </c>
      <c r="C21">
        <v>0.1482980890559947</v>
      </c>
      <c r="D21">
        <v>-0.1466083730661541</v>
      </c>
      <c r="E21">
        <v>-2.3141184208301858E-3</v>
      </c>
      <c r="F21">
        <v>0.16279125165589903</v>
      </c>
      <c r="G21">
        <v>-0.12104325705133462</v>
      </c>
      <c r="H21">
        <v>-2.588770877670234E-3</v>
      </c>
      <c r="I21">
        <v>0.17284379399639918</v>
      </c>
      <c r="J21">
        <v>-7.1609384373118271E-2</v>
      </c>
      <c r="K21">
        <v>-0.15728232895465008</v>
      </c>
      <c r="L21">
        <v>0.19744617617403112</v>
      </c>
      <c r="M21">
        <v>9.9789807855362372E-2</v>
      </c>
      <c r="N21">
        <v>-0.17063602105309569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 spans="1:61" x14ac:dyDescent="0.2">
      <c r="A22" t="str">
        <v>w15</v>
      </c>
      <c r="B22">
        <v>0.11361551258956082</v>
      </c>
      <c r="C22">
        <v>0.13070587897995098</v>
      </c>
      <c r="D22">
        <v>-0.15657827322255838</v>
      </c>
      <c r="E22">
        <v>1.3897153972253383E-2</v>
      </c>
      <c r="F22">
        <v>0.13194232129991626</v>
      </c>
      <c r="G22">
        <v>-0.1268674113072244</v>
      </c>
      <c r="H22">
        <v>4.6160482712800849E-2</v>
      </c>
      <c r="I22">
        <v>0.15526250642357617</v>
      </c>
      <c r="J22">
        <v>-0.12249154669948849</v>
      </c>
      <c r="K22">
        <v>-7.6338182320192391E-2</v>
      </c>
      <c r="L22">
        <v>0.14553845553528577</v>
      </c>
      <c r="M22">
        <v>-7.8465701467848384E-2</v>
      </c>
      <c r="N22">
        <v>-7.1993785647591416E-2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 spans="1:61" x14ac:dyDescent="0.2">
      <c r="A23" t="str">
        <v>w16</v>
      </c>
      <c r="B23">
        <v>0.11847028730213423</v>
      </c>
      <c r="C23">
        <v>0.11427421249736308</v>
      </c>
      <c r="D23">
        <v>-0.16267876747202165</v>
      </c>
      <c r="E23">
        <v>2.6805306482983966E-2</v>
      </c>
      <c r="F23">
        <v>9.9926576576645457E-2</v>
      </c>
      <c r="G23">
        <v>-0.12480055155446598</v>
      </c>
      <c r="H23">
        <v>8.599957830002225E-2</v>
      </c>
      <c r="I23">
        <v>0.12477091998153252</v>
      </c>
      <c r="J23">
        <v>-0.15159713063362887</v>
      </c>
      <c r="K23">
        <v>2.3756675612736687E-3</v>
      </c>
      <c r="L23">
        <v>8.1731545424756233E-2</v>
      </c>
      <c r="M23">
        <v>-0.20763304814852226</v>
      </c>
      <c r="N23">
        <v>1.685081044747052E-2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 spans="1:61" x14ac:dyDescent="0.2">
      <c r="A24" t="str">
        <v>w17</v>
      </c>
      <c r="B24">
        <v>0.12283773766504366</v>
      </c>
      <c r="C24">
        <v>9.9016096483464849E-2</v>
      </c>
      <c r="D24">
        <v>-0.16557850364415649</v>
      </c>
      <c r="E24">
        <v>3.6870796392363597E-2</v>
      </c>
      <c r="F24">
        <v>6.8304144995087995E-2</v>
      </c>
      <c r="G24">
        <v>-0.1168690709832703</v>
      </c>
      <c r="H24">
        <v>0.11630891043040965</v>
      </c>
      <c r="I24">
        <v>8.6677925086161595E-2</v>
      </c>
      <c r="J24">
        <v>-0.16041551767968557</v>
      </c>
      <c r="K24">
        <v>6.7802126336591689E-2</v>
      </c>
      <c r="L24">
        <v>2.5450635081748257E-2</v>
      </c>
      <c r="M24">
        <v>-0.25942744262555767</v>
      </c>
      <c r="N24">
        <v>6.487529455179486E-2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1" x14ac:dyDescent="0.2">
      <c r="A25" t="str">
        <v>w18</v>
      </c>
      <c r="B25">
        <v>0.12673684012856543</v>
      </c>
      <c r="C25">
        <v>8.4905952849418723E-2</v>
      </c>
      <c r="D25">
        <v>-0.16584300085765558</v>
      </c>
      <c r="E25">
        <v>4.4521876442330015E-2</v>
      </c>
      <c r="F25">
        <v>3.8145062308629081E-2</v>
      </c>
      <c r="G25">
        <v>-0.10477543337030015</v>
      </c>
      <c r="H25">
        <v>0.13716186889542362</v>
      </c>
      <c r="I25">
        <v>4.5480881230724489E-2</v>
      </c>
      <c r="J25">
        <v>-0.15184103239842767</v>
      </c>
      <c r="K25">
        <v>0.11499788307343514</v>
      </c>
      <c r="L25">
        <v>-1.8747250033049837E-2</v>
      </c>
      <c r="M25">
        <v>-0.23828981999411103</v>
      </c>
      <c r="N25">
        <v>7.161713637909678E-2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 spans="1:61" x14ac:dyDescent="0.2">
      <c r="A26" t="str">
        <v>w19</v>
      </c>
      <c r="B26">
        <v>0.13019401506598688</v>
      </c>
      <c r="C26">
        <v>7.1895286595630797E-2</v>
      </c>
      <c r="D26">
        <v>-0.16395180912989285</v>
      </c>
      <c r="E26">
        <v>5.0142289149976156E-2</v>
      </c>
      <c r="F26">
        <v>1.0155980476893192E-2</v>
      </c>
      <c r="G26">
        <v>-8.9934723509751069E-2</v>
      </c>
      <c r="H26">
        <v>0.14912178230921286</v>
      </c>
      <c r="I26">
        <v>4.8586686801711963E-3</v>
      </c>
      <c r="J26">
        <v>-0.13020404772488017</v>
      </c>
      <c r="K26">
        <v>0.14273131665334621</v>
      </c>
      <c r="L26">
        <v>-5.0835354892041135E-2</v>
      </c>
      <c r="M26">
        <v>-0.16839950190944997</v>
      </c>
      <c r="N26">
        <v>5.5074234677737179E-2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 spans="1:61" x14ac:dyDescent="0.2">
      <c r="A27" t="str">
        <v>w20</v>
      </c>
      <c r="B27">
        <v>0.13323976368203277</v>
      </c>
      <c r="C27">
        <v>5.9921467067018758E-2</v>
      </c>
      <c r="D27">
        <v>-0.16029906575914582</v>
      </c>
      <c r="E27">
        <v>5.4056893301519762E-2</v>
      </c>
      <c r="F27">
        <v>-1.5236466732318009E-2</v>
      </c>
      <c r="G27">
        <v>-7.3489106302463067E-2</v>
      </c>
      <c r="H27">
        <v>0.15312369473107956</v>
      </c>
      <c r="I27">
        <v>-3.2332506665413922E-2</v>
      </c>
      <c r="J27">
        <v>-0.10020550445180808</v>
      </c>
      <c r="K27">
        <v>0.15243928621610556</v>
      </c>
      <c r="L27">
        <v>-7.2285622144220768E-2</v>
      </c>
      <c r="M27">
        <v>-7.9423126945920006E-2</v>
      </c>
      <c r="N27">
        <v>3.0203737746481732E-2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 spans="1:61" x14ac:dyDescent="0.2">
      <c r="A28" t="str">
        <v>w21</v>
      </c>
      <c r="B28">
        <v>0.13590635887632829</v>
      </c>
      <c r="C28">
        <v>4.8912808619783713E-2</v>
      </c>
      <c r="D28">
        <v>-0.15521065624174121</v>
      </c>
      <c r="E28">
        <v>5.6541507608663381E-2</v>
      </c>
      <c r="F28">
        <v>-3.7803183733604216E-2</v>
      </c>
      <c r="G28">
        <v>-5.6325230979854771E-2</v>
      </c>
      <c r="H28">
        <v>0.15027912512356104</v>
      </c>
      <c r="I28">
        <v>-6.4313160205767786E-2</v>
      </c>
      <c r="J28">
        <v>-6.5901477160395808E-2</v>
      </c>
      <c r="K28">
        <v>0.14714825756136019</v>
      </c>
      <c r="L28">
        <v>-8.5221448135949451E-2</v>
      </c>
      <c r="M28">
        <v>6.1357124796463311E-3</v>
      </c>
      <c r="N28">
        <v>6.2645975492932856E-3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 spans="1:61" x14ac:dyDescent="0.2">
      <c r="A29" t="str">
        <v>w22</v>
      </c>
      <c r="B29">
        <v>0.13822679230174684</v>
      </c>
      <c r="C29">
        <v>3.879241488684719E-2</v>
      </c>
      <c r="D29">
        <v>-0.14896000278997817</v>
      </c>
      <c r="E29">
        <v>5.7834071515035432E-2</v>
      </c>
      <c r="F29">
        <v>-5.7462328525578574E-2</v>
      </c>
      <c r="G29">
        <v>-3.9129278015379618E-2</v>
      </c>
      <c r="H29">
        <v>0.14177500673751237</v>
      </c>
      <c r="I29">
        <v>-9.0105278267257685E-2</v>
      </c>
      <c r="J29">
        <v>-3.0643737423225775E-2</v>
      </c>
      <c r="K29">
        <v>0.13029388256059701</v>
      </c>
      <c r="L29">
        <v>-9.0938514467594031E-2</v>
      </c>
      <c r="M29">
        <v>7.5704972095381753E-2</v>
      </c>
      <c r="N29">
        <v>-1.0188943179667953E-2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 spans="1:61" x14ac:dyDescent="0.2">
      <c r="A30" t="str">
        <v>w23</v>
      </c>
      <c r="B30">
        <v>0.14023392399993673</v>
      </c>
      <c r="C30">
        <v>2.9481950048288037E-2</v>
      </c>
      <c r="D30">
        <v>-0.14177584227184412</v>
      </c>
      <c r="E30">
        <v>5.8141434005302958E-2</v>
      </c>
      <c r="F30">
        <v>-7.4248991108518791E-2</v>
      </c>
      <c r="G30">
        <v>-2.243552910441381E-2</v>
      </c>
      <c r="H30">
        <v>0.12881159231928596</v>
      </c>
      <c r="I30">
        <v>-0.10925565961527699</v>
      </c>
      <c r="J30">
        <v>3.1862395456631505E-3</v>
      </c>
      <c r="K30">
        <v>0.1055663904432867</v>
      </c>
      <c r="L30">
        <v>-8.9795695832221259E-2</v>
      </c>
      <c r="M30">
        <v>0.12502842476967754</v>
      </c>
      <c r="N30">
        <v>-1.6418138845005988E-2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 spans="1:61" x14ac:dyDescent="0.2">
      <c r="A31" t="str">
        <v>w24</v>
      </c>
      <c r="B31">
        <v>0.14195901585904791</v>
      </c>
      <c r="C31">
        <v>2.0906198499484663E-2</v>
      </c>
      <c r="D31">
        <v>-0.13384516501368923</v>
      </c>
      <c r="E31">
        <v>5.7637131063930605E-2</v>
      </c>
      <c r="F31">
        <v>-8.8274573044844276E-2</v>
      </c>
      <c r="G31">
        <v>-6.6324854637720343E-3</v>
      </c>
      <c r="H31">
        <v>0.11248881515168549</v>
      </c>
      <c r="I31">
        <v>-0.12169350857620904</v>
      </c>
      <c r="J31">
        <v>3.4121700282942737E-2</v>
      </c>
      <c r="K31">
        <v>7.6003960733272494E-2</v>
      </c>
      <c r="L31">
        <v>-8.2718609579091384E-2</v>
      </c>
      <c r="M31">
        <v>0.15435158430537804</v>
      </c>
      <c r="N31">
        <v>-1.5175105562477285E-2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 spans="1:61" x14ac:dyDescent="0.2">
      <c r="A32" t="str">
        <v>w25</v>
      </c>
      <c r="B32">
        <v>0.14343083491439207</v>
      </c>
      <c r="C32">
        <v>1.2995339041789643E-2</v>
      </c>
      <c r="D32">
        <v>-0.12532072122514351</v>
      </c>
      <c r="E32">
        <v>5.6462616223311168E-2</v>
      </c>
      <c r="F32">
        <v>-9.969016990281386E-2</v>
      </c>
      <c r="G32">
        <v>8.0330409743283107E-3</v>
      </c>
      <c r="H32">
        <v>9.3754457358172311E-2</v>
      </c>
      <c r="I32">
        <v>-0.1277939213824765</v>
      </c>
      <c r="J32">
        <v>6.1001046714117067E-2</v>
      </c>
      <c r="K32">
        <v>4.3794952064193905E-2</v>
      </c>
      <c r="L32">
        <v>-7.0286567554626575E-2</v>
      </c>
      <c r="M32">
        <v>0.16635036014443941</v>
      </c>
      <c r="N32">
        <v>-1.0996939306005801E-2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 spans="1:61" x14ac:dyDescent="0.2">
      <c r="A33" t="str">
        <v>w26</v>
      </c>
      <c r="B33">
        <v>0.14467564107217448</v>
      </c>
      <c r="C33">
        <v>5.6851440025106094E-3</v>
      </c>
      <c r="D33">
        <v>-0.11632875357564705</v>
      </c>
      <c r="E33">
        <v>5.4732788572490684E-2</v>
      </c>
      <c r="F33">
        <v>-0.10866808735284866</v>
      </c>
      <c r="G33">
        <v>2.1420851957320693E-2</v>
      </c>
      <c r="H33">
        <v>7.3424182857161832E-2</v>
      </c>
      <c r="I33">
        <v>-0.12823852927889434</v>
      </c>
      <c r="J33">
        <v>8.3030533664643302E-2</v>
      </c>
      <c r="K33">
        <v>1.108687130660866E-2</v>
      </c>
      <c r="L33">
        <v>-5.3487907516202943E-2</v>
      </c>
      <c r="M33">
        <v>0.16442766526534017</v>
      </c>
      <c r="N33">
        <v>-6.5461384765569735E-3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 spans="1:61" x14ac:dyDescent="0.2">
      <c r="A34" t="str">
        <v>w27</v>
      </c>
      <c r="B34">
        <v>0.14571699372004959</v>
      </c>
      <c r="C34">
        <v>-1.0826364283430989E-3</v>
      </c>
      <c r="D34">
        <v>-0.10697398930869036</v>
      </c>
      <c r="E34">
        <v>5.2542495876441379E-2</v>
      </c>
      <c r="F34">
        <v>-0.11538344161173315</v>
      </c>
      <c r="G34">
        <v>3.3455057238419822E-2</v>
      </c>
      <c r="H34">
        <v>5.2192870664236647E-2</v>
      </c>
      <c r="I34">
        <v>-0.12378399741821842</v>
      </c>
      <c r="J34">
        <v>9.9783870106067166E-2</v>
      </c>
      <c r="K34">
        <v>-2.0092299960119658E-2</v>
      </c>
      <c r="L34">
        <v>-3.4061254769889068E-2</v>
      </c>
      <c r="M34">
        <v>0.15107296627506217</v>
      </c>
      <c r="N34">
        <v>-2.9487326832653591E-3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</row>
    <row r="35" spans="1:61" x14ac:dyDescent="0.2">
      <c r="A35" t="str">
        <v>w28</v>
      </c>
      <c r="B35">
        <v>0.14657592877548306</v>
      </c>
      <c r="C35">
        <v>-7.36001970366166E-3</v>
      </c>
      <c r="D35">
        <v>-9.7343904320695493E-2</v>
      </c>
      <c r="E35">
        <v>4.997155429888437E-2</v>
      </c>
      <c r="F35">
        <v>-0.12000733435261932</v>
      </c>
      <c r="G35">
        <v>4.4097049966161157E-2</v>
      </c>
      <c r="H35">
        <v>3.0652947851183363E-2</v>
      </c>
      <c r="I35">
        <v>-0.11519084804029991</v>
      </c>
      <c r="J35">
        <v>0.11110724714905013</v>
      </c>
      <c r="K35">
        <v>-4.8122772501948193E-2</v>
      </c>
      <c r="L35">
        <v>-1.3616655057239819E-2</v>
      </c>
      <c r="M35">
        <v>0.12825008536115692</v>
      </c>
      <c r="N35">
        <v>-3.359422263346601E-4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</row>
    <row r="36" spans="1:61" x14ac:dyDescent="0.2">
      <c r="A36" t="str">
        <v>w29</v>
      </c>
      <c r="B36">
        <v>0.14727128711896065</v>
      </c>
      <c r="C36">
        <v>-1.3193538562663427E-2</v>
      </c>
      <c r="D36">
        <v>-8.7511854914000514E-2</v>
      </c>
      <c r="E36">
        <v>4.7088627725710666E-2</v>
      </c>
      <c r="F36">
        <v>-0.12270431023600359</v>
      </c>
      <c r="G36">
        <v>5.3331315280727577E-2</v>
      </c>
      <c r="H36">
        <v>9.3077284457728816E-3</v>
      </c>
      <c r="I36">
        <v>-0.10319207017176271</v>
      </c>
      <c r="J36">
        <v>0.11708942305352325</v>
      </c>
      <c r="K36">
        <v>-7.1845971270094025E-2</v>
      </c>
      <c r="L36">
        <v>6.4773923811279133E-3</v>
      </c>
      <c r="M36">
        <v>9.7987238264901744E-2</v>
      </c>
      <c r="N36">
        <v>1.3567971016298062E-3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</row>
    <row r="37" spans="1:61" x14ac:dyDescent="0.2">
      <c r="A37" t="str">
        <v>w30</v>
      </c>
      <c r="B37">
        <v>0.14782002473116881</v>
      </c>
      <c r="C37">
        <v>-1.8625053881088458E-2</v>
      </c>
      <c r="D37">
        <v>-7.7539552086989316E-2</v>
      </c>
      <c r="E37">
        <v>4.395307746922348E-2</v>
      </c>
      <c r="F37">
        <v>-0.12363223758696698</v>
      </c>
      <c r="G37">
        <v>6.1158607883348981E-2</v>
      </c>
      <c r="H37">
        <v>-1.1411283753365017E-2</v>
      </c>
      <c r="I37">
        <v>-8.8482648289375604E-2</v>
      </c>
      <c r="J37">
        <v>0.11800697758228704</v>
      </c>
      <c r="K37">
        <v>-9.0528263032866915E-2</v>
      </c>
      <c r="L37">
        <v>2.5152042456780873E-2</v>
      </c>
      <c r="M37">
        <v>6.2449633465473844E-2</v>
      </c>
      <c r="N37">
        <v>2.2724921211358232E-3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 spans="1:61" x14ac:dyDescent="0.2">
      <c r="A38" t="str">
        <v>w31</v>
      </c>
      <c r="B38">
        <v>0.14823746518273781</v>
      </c>
      <c r="C38">
        <v>-2.3692353366732973E-2</v>
      </c>
      <c r="D38">
        <v>-6.747902514388382E-2</v>
      </c>
      <c r="E38">
        <v>4.0616165277108776E-2</v>
      </c>
      <c r="F38">
        <v>-0.12294324308100979</v>
      </c>
      <c r="G38">
        <v>6.7592768670548808E-2</v>
      </c>
      <c r="H38">
        <v>-3.1131494627720049E-2</v>
      </c>
      <c r="I38">
        <v>-7.1718765025202594E-2</v>
      </c>
      <c r="J38">
        <v>0.11430002386121355</v>
      </c>
      <c r="K38">
        <v>-0.10378364750791269</v>
      </c>
      <c r="L38">
        <v>4.1643038915255809E-2</v>
      </c>
      <c r="M38">
        <v>2.4000490278253264E-2</v>
      </c>
      <c r="N38">
        <v>2.5817937985029727E-3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 spans="1:61" x14ac:dyDescent="0.2">
      <c r="A39" t="str">
        <v>w32</v>
      </c>
      <c r="B39">
        <v>0.14853743792614224</v>
      </c>
      <c r="C39">
        <v>-2.8429532459917597E-2</v>
      </c>
      <c r="D39">
        <v>-5.7373928425404189E-2</v>
      </c>
      <c r="E39">
        <v>3.7121402869106118E-2</v>
      </c>
      <c r="F39">
        <v>-0.12078317703810716</v>
      </c>
      <c r="G39">
        <v>7.2661451538521604E-2</v>
      </c>
      <c r="H39">
        <v>-4.9537361263490162E-2</v>
      </c>
      <c r="I39">
        <v>-5.3515889471450626E-2</v>
      </c>
      <c r="J39">
        <v>0.10654294575170223</v>
      </c>
      <c r="K39">
        <v>-0.11158038048669847</v>
      </c>
      <c r="L39">
        <v>5.5311914024068723E-2</v>
      </c>
      <c r="M39">
        <v>-1.4818401658375249E-2</v>
      </c>
      <c r="N39">
        <v>2.3319065644910038E-3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 spans="1:61" x14ac:dyDescent="0.2">
      <c r="A40" t="str">
        <v>w33</v>
      </c>
      <c r="B40">
        <v>0.14873235138445864</v>
      </c>
      <c r="C40">
        <v>-3.2867290334618139E-2</v>
      </c>
      <c r="D40">
        <v>-4.7260607648042297E-2</v>
      </c>
      <c r="E40">
        <v>3.3504988498988302E-2</v>
      </c>
      <c r="F40">
        <v>-0.1172893361642319</v>
      </c>
      <c r="G40">
        <v>7.6407904080356304E-2</v>
      </c>
      <c r="H40">
        <v>-6.6374051201566517E-2</v>
      </c>
      <c r="I40">
        <v>-3.4459842220412443E-2</v>
      </c>
      <c r="J40">
        <v>9.5334023026808587E-2</v>
      </c>
      <c r="K40">
        <v>-0.11419260872810384</v>
      </c>
      <c r="L40">
        <v>6.5676837043881386E-2</v>
      </c>
      <c r="M40">
        <v>-5.146621359350087E-2</v>
      </c>
      <c r="N40">
        <v>1.5796562980837771E-3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</row>
    <row r="41" spans="1:61" x14ac:dyDescent="0.2">
      <c r="A41" t="str">
        <v>w34</v>
      </c>
      <c r="B41">
        <v>0.14883334496907141</v>
      </c>
      <c r="C41">
        <v>-3.7033266240100768E-2</v>
      </c>
      <c r="D41">
        <v>-3.716930711874486E-2</v>
      </c>
      <c r="E41">
        <v>2.9797081745846533E-2</v>
      </c>
      <c r="F41">
        <v>-0.11258994947644434</v>
      </c>
      <c r="G41">
        <v>7.8886905781133443E-2</v>
      </c>
      <c r="H41">
        <v>-8.1445282409614336E-2</v>
      </c>
      <c r="I41">
        <v>-1.5098149451280083E-2</v>
      </c>
      <c r="J41">
        <v>8.12749861707949E-2</v>
      </c>
      <c r="K41">
        <v>-0.11201744112716636</v>
      </c>
      <c r="L41">
        <v>7.2518232206860461E-2</v>
      </c>
      <c r="M41">
        <v>-8.3662045363797247E-2</v>
      </c>
      <c r="N41">
        <v>6.1262438661914553E-4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</row>
    <row r="42" spans="1:61" x14ac:dyDescent="0.2">
      <c r="A42" t="str">
        <v>w35</v>
      </c>
      <c r="B42">
        <v>0.14885040120864595</v>
      </c>
      <c r="C42">
        <v>-4.0952292291618037E-2</v>
      </c>
      <c r="D42">
        <v>-2.7125209529593533E-2</v>
      </c>
      <c r="E42">
        <v>2.6023533515841961E-2</v>
      </c>
      <c r="F42">
        <v>-0.10680328094022637</v>
      </c>
      <c r="G42">
        <v>8.0157564642756765E-2</v>
      </c>
      <c r="H42">
        <v>-9.4603462703459554E-2</v>
      </c>
      <c r="I42">
        <v>4.0778703638185742E-3</v>
      </c>
      <c r="J42">
        <v>6.4983467485672353E-2</v>
      </c>
      <c r="K42">
        <v>-0.10549055196794462</v>
      </c>
      <c r="L42">
        <v>7.5755210056921971E-2</v>
      </c>
      <c r="M42">
        <v>-0.10976507045995938</v>
      </c>
      <c r="N42">
        <v>-3.7307922946264372E-4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 spans="1:61" x14ac:dyDescent="0.2">
      <c r="A43" t="str">
        <v>w36</v>
      </c>
      <c r="B43">
        <v>0.14879246584750699</v>
      </c>
      <c r="C43">
        <v>-4.4646574536388831E-2</v>
      </c>
      <c r="D43">
        <v>-1.7149385141879962E-2</v>
      </c>
      <c r="E43">
        <v>2.2206694732747879E-2</v>
      </c>
      <c r="F43">
        <v>-0.10003809196480426</v>
      </c>
      <c r="G43">
        <v>8.0279314412582292E-2</v>
      </c>
      <c r="H43">
        <v>-0.1057366791140377</v>
      </c>
      <c r="I43">
        <v>2.2634569414646907E-2</v>
      </c>
      <c r="J43">
        <v>4.7076302326360786E-2</v>
      </c>
      <c r="K43">
        <v>-9.5106827548673625E-2</v>
      </c>
      <c r="L43">
        <v>7.544609511343893E-2</v>
      </c>
      <c r="M43">
        <v>-0.12876770423882361</v>
      </c>
      <c r="N43">
        <v>-1.2708470842453272E-3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</row>
    <row r="44" spans="1:61" x14ac:dyDescent="0.2">
      <c r="A44" t="str">
        <v>w37</v>
      </c>
      <c r="B44">
        <v>0.14866757277175391</v>
      </c>
      <c r="C44">
        <v>-4.8135972150063953E-2</v>
      </c>
      <c r="D44">
        <v>-7.2594923498604767E-3</v>
      </c>
      <c r="E44">
        <v>1.8365774780113461E-2</v>
      </c>
      <c r="F44">
        <v>-9.2394690546165392E-2</v>
      </c>
      <c r="G44">
        <v>7.9311159034940945E-2</v>
      </c>
      <c r="H44">
        <v>-0.11476224109179228</v>
      </c>
      <c r="I44">
        <v>4.0190306241323429E-2</v>
      </c>
      <c r="J44">
        <v>2.8163464585483425E-2</v>
      </c>
      <c r="K44">
        <v>-8.1414145532169954E-2</v>
      </c>
      <c r="L44">
        <v>7.1798523427514915E-2</v>
      </c>
      <c r="M44">
        <v>-0.14012314155378827</v>
      </c>
      <c r="N44">
        <v>-2.0085075931348235E-3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</row>
    <row r="45" spans="1:61" x14ac:dyDescent="0.2">
      <c r="A45" t="str">
        <v>w38</v>
      </c>
      <c r="B45">
        <v>0.14848294793289929</v>
      </c>
      <c r="C45">
        <v>-5.1438287957866272E-2</v>
      </c>
      <c r="D45">
        <v>2.5297247206133812E-3</v>
      </c>
      <c r="E45">
        <v>1.451712748208811E-2</v>
      </c>
      <c r="F45">
        <v>-8.3965647655945219E-2</v>
      </c>
      <c r="G45">
        <v>7.7312105456187788E-2</v>
      </c>
      <c r="H45">
        <v>-0.12162309658047726</v>
      </c>
      <c r="I45">
        <v>5.6409570117083918E-2</v>
      </c>
      <c r="J45">
        <v>8.8363973700843028E-3</v>
      </c>
      <c r="K45">
        <v>-6.5025264806251717E-2</v>
      </c>
      <c r="L45">
        <v>6.5120366148116948E-2</v>
      </c>
      <c r="M45">
        <v>-0.14369961519284891</v>
      </c>
      <c r="N45">
        <v>-2.5597032842340373E-3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</row>
    <row r="46" spans="1:61" x14ac:dyDescent="0.2">
      <c r="A46" t="str">
        <v>w39</v>
      </c>
      <c r="B46">
        <v>0.14824509084893628</v>
      </c>
      <c r="C46">
        <v>-5.456951148944747E-2</v>
      </c>
      <c r="D46">
        <v>1.2205973839889511E-2</v>
      </c>
      <c r="E46">
        <v>1.0674597460699696E-2</v>
      </c>
      <c r="F46">
        <v>-7.4836154292959631E-2</v>
      </c>
      <c r="G46">
        <v>7.4341286549084576E-2</v>
      </c>
      <c r="H46">
        <v>-0.12628465945364231</v>
      </c>
      <c r="I46">
        <v>7.0996887632105585E-2</v>
      </c>
      <c r="J46">
        <v>-1.0351790636728033E-2</v>
      </c>
      <c r="K46">
        <v>-4.6596439599923156E-2</v>
      </c>
      <c r="L46">
        <v>5.5790956686907082E-2</v>
      </c>
      <c r="M46">
        <v>-0.13971400565378841</v>
      </c>
      <c r="N46">
        <v>-2.9115223926232067E-3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</row>
    <row r="47" spans="1:61" x14ac:dyDescent="0.2">
      <c r="A47" t="str">
        <v>w40</v>
      </c>
      <c r="B47">
        <v>0.14795985546632889</v>
      </c>
      <c r="C47">
        <v>-5.7544049791103558E-2</v>
      </c>
      <c r="D47">
        <v>2.1758967645452289E-2</v>
      </c>
      <c r="E47">
        <v>6.8500252403776423E-3</v>
      </c>
      <c r="F47">
        <v>-6.5084371295450902E-2</v>
      </c>
      <c r="G47">
        <v>7.0456944071634206E-2</v>
      </c>
      <c r="H47">
        <v>-0.12873183157267148</v>
      </c>
      <c r="I47">
        <v>8.3696586387321456E-2</v>
      </c>
      <c r="J47">
        <v>-2.8884030873992543E-2</v>
      </c>
      <c r="K47">
        <v>-2.67997392302315E-2</v>
      </c>
      <c r="L47">
        <v>4.4240536800053014E-2</v>
      </c>
      <c r="M47">
        <v>-0.12867564969262454</v>
      </c>
      <c r="N47">
        <v>-3.0612377770857816E-3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</row>
    <row r="48" spans="1:61" x14ac:dyDescent="0.2">
      <c r="A48" t="str">
        <v>w41</v>
      </c>
      <c r="B48">
        <v>0.14763252039892255</v>
      </c>
      <c r="C48">
        <v>-6.0374896299515611E-2</v>
      </c>
      <c r="D48">
        <v>3.1180113604826237E-2</v>
      </c>
      <c r="E48">
        <v>3.0536100278268172E-3</v>
      </c>
      <c r="F48">
        <v>-5.4781949360829016E-2</v>
      </c>
      <c r="G48">
        <v>6.5715630095078428E-2</v>
      </c>
      <c r="H48">
        <v>-0.12896559272486735</v>
      </c>
      <c r="I48">
        <v>9.4292831015090769E-2</v>
      </c>
      <c r="J48">
        <v>-4.6282623623281768E-2</v>
      </c>
      <c r="K48">
        <v>-6.3106568025894988E-3</v>
      </c>
      <c r="L48">
        <v>3.0941750630293498E-2</v>
      </c>
      <c r="M48">
        <v>-0.11134136390935626</v>
      </c>
      <c r="N48">
        <v>-3.016317202344495E-3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</row>
    <row r="49" spans="1:61" x14ac:dyDescent="0.2">
      <c r="A49" t="str">
        <v>w42</v>
      </c>
      <c r="B49">
        <v>0.14726785149580332</v>
      </c>
      <c r="C49">
        <v>-6.3073765555814468E-2</v>
      </c>
      <c r="D49">
        <v>4.0462278549830075E-2</v>
      </c>
      <c r="E49">
        <v>-7.0590673860612197E-4</v>
      </c>
      <c r="F49">
        <v>-4.3994676758115234E-2</v>
      </c>
      <c r="G49">
        <v>6.017197208710294E-2</v>
      </c>
      <c r="H49">
        <v>-0.12700036517429411</v>
      </c>
      <c r="I49">
        <v>0.10260615507248635</v>
      </c>
      <c r="J49">
        <v>-6.2114406570456346E-2</v>
      </c>
      <c r="K49">
        <v>1.4206767038328608E-2</v>
      </c>
      <c r="L49">
        <v>1.6418231340900681E-2</v>
      </c>
      <c r="M49">
        <v>-8.8662674203120712E-2</v>
      </c>
      <c r="N49">
        <v>-2.7791576906726042E-3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</row>
    <row r="50" spans="1:61" x14ac:dyDescent="0.2">
      <c r="A50" t="str">
        <v>w43</v>
      </c>
      <c r="B50">
        <v>0.14687015980976159</v>
      </c>
      <c r="C50">
        <v>-6.5651224947610234E-2</v>
      </c>
      <c r="D50">
        <v>4.959961938867901E-2</v>
      </c>
      <c r="E50">
        <v>-4.4210631891279393E-3</v>
      </c>
      <c r="F50">
        <v>-3.2783099385413163E-2</v>
      </c>
      <c r="G50">
        <v>5.3878772037248446E-2</v>
      </c>
      <c r="H50">
        <v>-0.12286251344363523</v>
      </c>
      <c r="I50">
        <v>0.10849003686748243</v>
      </c>
      <c r="J50">
        <v>-7.598981964415126E-2</v>
      </c>
      <c r="K50">
        <v>3.4105248104751754E-2</v>
      </c>
      <c r="L50">
        <v>1.233376302631406E-3</v>
      </c>
      <c r="M50">
        <v>-6.1752932244848152E-2</v>
      </c>
      <c r="N50">
        <v>-2.3548454026375751E-3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</row>
    <row r="51" spans="1:61" x14ac:dyDescent="0.2">
      <c r="A51" t="str">
        <v>w44</v>
      </c>
      <c r="B51">
        <v>0.14644335232161743</v>
      </c>
      <c r="C51">
        <v>-6.8116820750068544E-2</v>
      </c>
      <c r="D51">
        <v>5.8587432106070883E-2</v>
      </c>
      <c r="E51">
        <v>-8.085521829693694E-3</v>
      </c>
      <c r="F51">
        <v>-2.1203076992375423E-2</v>
      </c>
      <c r="G51">
        <v>4.6887179996768578E-2</v>
      </c>
      <c r="H51">
        <v>-0.11658879543521881</v>
      </c>
      <c r="I51">
        <v>0.11182789099877743</v>
      </c>
      <c r="J51">
        <v>-8.756036498761674E-2</v>
      </c>
      <c r="K51">
        <v>5.2755586104037772E-2</v>
      </c>
      <c r="L51">
        <v>-1.4027453547856205E-2</v>
      </c>
      <c r="M51">
        <v>-3.1859148524250772E-2</v>
      </c>
      <c r="N51">
        <v>-1.758312874018478E-3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</row>
    <row r="52" spans="1:61" x14ac:dyDescent="0.2">
      <c r="A52" t="str">
        <v>w45</v>
      </c>
      <c r="B52">
        <v>0.14599097363584701</v>
      </c>
      <c r="C52">
        <v>-7.0479184649006571E-2</v>
      </c>
      <c r="D52">
        <v>6.7422000470840432E-2</v>
      </c>
      <c r="E52">
        <v>-1.1693955632672018E-2</v>
      </c>
      <c r="F52">
        <v>-9.3061680555349777E-3</v>
      </c>
      <c r="G52">
        <v>3.9246840461044243E-2</v>
      </c>
      <c r="H52">
        <v>-0.10822425914754913</v>
      </c>
      <c r="I52">
        <v>0.11252856105207001</v>
      </c>
      <c r="J52">
        <v>-9.6518535256872734E-2</v>
      </c>
      <c r="K52">
        <v>6.9552567517836214E-2</v>
      </c>
      <c r="L52">
        <v>-2.8781959446479245E-2</v>
      </c>
      <c r="M52">
        <v>-3.1876085178077224E-4</v>
      </c>
      <c r="N52">
        <v>-1.0244881571848789E-3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</row>
    <row r="53" spans="1:61" x14ac:dyDescent="0.2">
      <c r="A53" t="str">
        <v>w46</v>
      </c>
      <c r="B53">
        <v>0.14551624057869775</v>
      </c>
      <c r="C53">
        <v>-7.2746123487477166E-2</v>
      </c>
      <c r="D53">
        <v>7.61004629567546E-2</v>
      </c>
      <c r="E53">
        <v>-1.5241961554195334E-2</v>
      </c>
      <c r="F53">
        <v>2.860077783980708E-3</v>
      </c>
      <c r="G53">
        <v>3.1005961681914523E-2</v>
      </c>
      <c r="H53">
        <v>-9.7820733318778524E-2</v>
      </c>
      <c r="I53">
        <v>0.11052244702195101</v>
      </c>
      <c r="J53">
        <v>-0.10259869816596592</v>
      </c>
      <c r="K53">
        <v>8.392301371830807E-2</v>
      </c>
      <c r="L53">
        <v>-4.2461895054992413E-2</v>
      </c>
      <c r="M53">
        <v>3.1477162922097991E-2</v>
      </c>
      <c r="N53">
        <v>-2.0731540685207898E-4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</row>
    <row r="54" spans="1:61" x14ac:dyDescent="0.2">
      <c r="A54" t="str">
        <v>w47</v>
      </c>
      <c r="B54">
        <v>0.14502207372184558</v>
      </c>
      <c r="C54">
        <v>-7.4924710630196165E-2</v>
      </c>
      <c r="D54">
        <v>8.4620661941107414E-2</v>
      </c>
      <c r="E54">
        <v>-1.8725904641181845E-2</v>
      </c>
      <c r="F54">
        <v>1.5251866584275837E-2</v>
      </c>
      <c r="G54">
        <v>2.2211128073758767E-2</v>
      </c>
      <c r="H54">
        <v>-8.5435863487496946E-2</v>
      </c>
      <c r="I54">
        <v>0.10575941996254347</v>
      </c>
      <c r="J54">
        <v>-0.10557307109910001</v>
      </c>
      <c r="K54">
        <v>9.5333328511090637E-2</v>
      </c>
      <c r="L54">
        <v>-5.451472747630396E-2</v>
      </c>
      <c r="M54">
        <v>6.2102092694790806E-2</v>
      </c>
      <c r="N54">
        <v>6.3784963215639408E-4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</row>
    <row r="55" spans="1:61" x14ac:dyDescent="0.2">
      <c r="A55" t="str">
        <v>w48</v>
      </c>
      <c r="B55">
        <v>0.14451112349615078</v>
      </c>
      <c r="C55">
        <v>-7.7021359838757825E-2</v>
      </c>
      <c r="D55">
        <v>9.2981009919807595E-2</v>
      </c>
      <c r="E55">
        <v>-2.2142759668030386E-2</v>
      </c>
      <c r="F55">
        <v>2.7828977610737136E-2</v>
      </c>
      <c r="G55">
        <v>1.2906883768897327E-2</v>
      </c>
      <c r="H55">
        <v>-7.1131823200300676E-2</v>
      </c>
      <c r="I55">
        <v>9.8208186517459037E-2</v>
      </c>
      <c r="J55">
        <v>-0.10524802210460743</v>
      </c>
      <c r="K55">
        <v>0.10329127642953435</v>
      </c>
      <c r="L55">
        <v>-6.4412411518553966E-2</v>
      </c>
      <c r="M55">
        <v>9.01103980126024E-2</v>
      </c>
      <c r="N55">
        <v>1.4571703393126848E-3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</row>
    <row r="56" spans="1:61" x14ac:dyDescent="0.2">
      <c r="A56" t="str">
        <v>w49</v>
      </c>
      <c r="B56">
        <v>0.14398579509706594</v>
      </c>
      <c r="C56">
        <v>-7.9041880897024103E-2</v>
      </c>
      <c r="D56">
        <v>0.10118042029961158</v>
      </c>
      <c r="E56">
        <v>-2.54900377563252E-2</v>
      </c>
      <c r="F56">
        <v>4.0554479640821886E-2</v>
      </c>
      <c r="G56">
        <v>3.1356478768779558E-3</v>
      </c>
      <c r="H56">
        <v>-5.4974469101364214E-2</v>
      </c>
      <c r="I56">
        <v>8.7855472396403039E-2</v>
      </c>
      <c r="J56">
        <v>-0.10146398350483225</v>
      </c>
      <c r="K56">
        <v>0.10734645654854651</v>
      </c>
      <c r="L56">
        <v>-7.1654074071121052E-2</v>
      </c>
      <c r="M56">
        <v>0.11405460997451478</v>
      </c>
      <c r="N56">
        <v>2.1998890824808841E-3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</row>
    <row r="57" spans="1:61" x14ac:dyDescent="0.2">
      <c r="A57" t="str">
        <v>w50</v>
      </c>
      <c r="B57">
        <v>0.14344827090225507</v>
      </c>
      <c r="C57">
        <v>-8.0991533375521577E-2</v>
      </c>
      <c r="D57">
        <v>0.10921823867234713</v>
      </c>
      <c r="E57">
        <v>-2.8765734393267947E-2</v>
      </c>
      <c r="F57">
        <v>5.3394420890643744E-2</v>
      </c>
      <c r="G57">
        <v>-7.0621355898259752E-3</v>
      </c>
      <c r="H57">
        <v>-3.7032748580599247E-2</v>
      </c>
      <c r="I57">
        <v>7.4704254841627155E-2</v>
      </c>
      <c r="J57">
        <v>-9.4092939752793855E-2</v>
      </c>
      <c r="K57">
        <v>0.1070907886523105</v>
      </c>
      <c r="L57">
        <v>-7.57656231890146E-2</v>
      </c>
      <c r="M57">
        <v>0.13250540573871183</v>
      </c>
      <c r="N57">
        <v>2.8163501401191719E-3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</row>
    <row r="58" spans="1:61" x14ac:dyDescent="0.2">
      <c r="A58" t="str">
        <v>w51</v>
      </c>
      <c r="B58">
        <v>0.14290053167081679</v>
      </c>
      <c r="C58">
        <v>-8.2875078244744133E-2</v>
      </c>
      <c r="D58">
        <v>0.11709418931418591</v>
      </c>
      <c r="E58">
        <v>-3.1968282669999286E-2</v>
      </c>
      <c r="F58">
        <v>6.6317543264095405E-2</v>
      </c>
      <c r="G58">
        <v>-1.7647820172420677E-2</v>
      </c>
      <c r="H58">
        <v>-1.7378251638544007E-2</v>
      </c>
      <c r="I58">
        <v>5.877201107659908E-2</v>
      </c>
      <c r="J58">
        <v>-8.3034874572906051E-2</v>
      </c>
      <c r="K58">
        <v>0.10215523366369454</v>
      </c>
      <c r="L58">
        <v>-7.6298343263089957E-2</v>
      </c>
      <c r="M58">
        <v>0.14405483514562442</v>
      </c>
      <c r="N58">
        <v>3.2570016317216262E-3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</row>
    <row r="59" spans="1:61" x14ac:dyDescent="0.2">
      <c r="A59" t="str">
        <v>w52</v>
      </c>
      <c r="B59">
        <v>0.14234437603724637</v>
      </c>
      <c r="C59">
        <v>-8.469682491190185E-2</v>
      </c>
      <c r="D59">
        <v>0.1248083346270655</v>
      </c>
      <c r="E59">
        <v>-3.5096510306191549E-2</v>
      </c>
      <c r="F59">
        <v>7.9295056878206996E-2</v>
      </c>
      <c r="G59">
        <v>-2.8584415096153133E-2</v>
      </c>
      <c r="H59">
        <v>3.9153768607136487E-3</v>
      </c>
      <c r="I59">
        <v>4.0088997065246719E-2</v>
      </c>
      <c r="J59">
        <v>-6.8215925350516418E-2</v>
      </c>
      <c r="K59">
        <v>9.2208047728936413E-2</v>
      </c>
      <c r="L59">
        <v>-7.283248024514459E-2</v>
      </c>
      <c r="M59">
        <v>0.14732169771209014</v>
      </c>
      <c r="N59">
        <v>3.472064925044393E-3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</row>
    <row r="60" spans="1:61" x14ac:dyDescent="0.2">
      <c r="A60" t="str">
        <v>w53</v>
      </c>
      <c r="B60">
        <v>0.14178143917345368</v>
      </c>
      <c r="C60">
        <v>-8.6460673680599467E-2</v>
      </c>
      <c r="D60">
        <v>0.13236105105165355</v>
      </c>
      <c r="E60">
        <v>-3.8149599845822002E-2</v>
      </c>
      <c r="F60">
        <v>9.2300471632295739E-2</v>
      </c>
      <c r="G60">
        <v>-3.9836585734802345E-2</v>
      </c>
      <c r="H60">
        <v>2.6773385541282748E-2</v>
      </c>
      <c r="I60">
        <v>1.8696209503781713E-2</v>
      </c>
      <c r="J60">
        <v>-4.9586823218173905E-2</v>
      </c>
      <c r="K60">
        <v>7.6959713041144726E-2</v>
      </c>
      <c r="L60">
        <v>-6.4981551171524515E-2</v>
      </c>
      <c r="M60">
        <v>0.14097318946958634</v>
      </c>
      <c r="N60">
        <v>3.4221326190275701E-3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</row>
    <row r="61" spans="1:61" x14ac:dyDescent="0.2">
      <c r="A61" t="str">
        <v>w54</v>
      </c>
      <c r="B61">
        <v>0.14121321008895349</v>
      </c>
      <c r="C61">
        <v>-8.8170162963534984E-2</v>
      </c>
      <c r="D61">
        <v>0.13975302354054592</v>
      </c>
      <c r="E61">
        <v>-4.1127057975399083E-2</v>
      </c>
      <c r="F61">
        <v>0.10530938460818395</v>
      </c>
      <c r="G61">
        <v>-5.1370692087195725E-2</v>
      </c>
      <c r="H61">
        <v>5.1120315747448589E-2</v>
      </c>
      <c r="I61">
        <v>-5.3549665978704399E-3</v>
      </c>
      <c r="J61">
        <v>-2.7119786561839339E-2</v>
      </c>
      <c r="K61">
        <v>5.6167939560274945E-2</v>
      </c>
      <c r="L61">
        <v>-5.238505890237545E-2</v>
      </c>
      <c r="M61">
        <v>0.12375615781804321</v>
      </c>
      <c r="N61">
        <v>3.1012875152055868E-3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</row>
    <row r="62" spans="1:61" x14ac:dyDescent="0.2">
      <c r="A62" t="str">
        <v>w55</v>
      </c>
      <c r="B62">
        <v>0.1406410420789401</v>
      </c>
      <c r="C62">
        <v>-8.9828510742252635E-2</v>
      </c>
      <c r="D62">
        <v>0.14698519917150249</v>
      </c>
      <c r="E62">
        <v>-4.4028658382239731E-2</v>
      </c>
      <c r="F62">
        <v>0.11829927111185363</v>
      </c>
      <c r="G62">
        <v>-6.315474388455844E-2</v>
      </c>
      <c r="H62">
        <v>7.6880171764025854E-2</v>
      </c>
      <c r="I62">
        <v>-3.2003363015479819E-2</v>
      </c>
      <c r="J62">
        <v>-8.0580367959149518E-4</v>
      </c>
      <c r="K62">
        <v>2.9634430869646188E-2</v>
      </c>
      <c r="L62">
        <v>-3.4698535550442326E-2</v>
      </c>
      <c r="M62">
        <v>9.4532655602753701E-2</v>
      </c>
      <c r="N62">
        <v>2.5242650726366358E-3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</row>
    <row r="63" spans="1:61" x14ac:dyDescent="0.2">
      <c r="A63" t="str">
        <v>w56</v>
      </c>
      <c r="B63">
        <v>0.14006615863403463</v>
      </c>
      <c r="C63">
        <v>-9.1438644575059513E-2</v>
      </c>
      <c r="D63">
        <v>0.15405869607032668</v>
      </c>
      <c r="E63">
        <v>-4.6854385597859038E-2</v>
      </c>
      <c r="F63">
        <v>0.13124938757159604</v>
      </c>
      <c r="G63">
        <v>-7.5158336811479376E-2</v>
      </c>
      <c r="H63">
        <v>0.10397640635527579</v>
      </c>
      <c r="I63">
        <v>-6.1178800320833233E-2</v>
      </c>
      <c r="J63">
        <v>2.9344310488506619E-2</v>
      </c>
      <c r="K63">
        <v>-2.8102787979591677E-3</v>
      </c>
      <c r="L63">
        <v>-1.1604279378141314E-2</v>
      </c>
      <c r="M63">
        <v>5.2288548875996183E-2</v>
      </c>
      <c r="N63">
        <v>1.6712522167010536E-3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</row>
    <row r="64" spans="1:61" x14ac:dyDescent="0.2">
      <c r="A64" t="str">
        <v>w57</v>
      </c>
      <c r="B64">
        <v>0.13948966012199304</v>
      </c>
      <c r="C64">
        <v>-9.30032146680463E-2</v>
      </c>
      <c r="D64">
        <v>0.16097472522057679</v>
      </c>
      <c r="E64">
        <v>-4.9604421638451593E-2</v>
      </c>
      <c r="F64">
        <v>0.1441408002865443</v>
      </c>
      <c r="G64">
        <v>-8.7352426886001491E-2</v>
      </c>
      <c r="H64">
        <v>0.13233238349768395</v>
      </c>
      <c r="I64">
        <v>-9.2805715749645648E-2</v>
      </c>
      <c r="J64">
        <v>6.3294542653327512E-2</v>
      </c>
      <c r="K64">
        <v>-4.1314319931377165E-2</v>
      </c>
      <c r="L64">
        <v>1.7169937280041906E-2</v>
      </c>
      <c r="M64">
        <v>-3.8925068477215908E-3</v>
      </c>
      <c r="N64">
        <v>4.5670681182367065E-4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</row>
    <row r="65" spans="1:61" x14ac:dyDescent="0.2">
      <c r="A65" t="str">
        <v>w58</v>
      </c>
      <c r="B65">
        <v>0.13891254255458871</v>
      </c>
      <c r="C65">
        <v>-9.4524609214654817E-2</v>
      </c>
      <c r="D65">
        <v>0.1677345692902722</v>
      </c>
      <c r="E65">
        <v>-5.2279130159083635E-2</v>
      </c>
      <c r="F65">
        <v>0.15695615531374144</v>
      </c>
      <c r="G65">
        <v>-9.9709382578857003E-2</v>
      </c>
      <c r="H65">
        <v>0.1618725375141867</v>
      </c>
      <c r="I65">
        <v>-0.1268051939196273</v>
      </c>
      <c r="J65">
        <v>0.10099121129133357</v>
      </c>
      <c r="K65">
        <v>-8.5989848311359127E-2</v>
      </c>
      <c r="L65">
        <v>5.1851611361525184E-2</v>
      </c>
      <c r="M65">
        <v>-7.4834908962535404E-2</v>
      </c>
      <c r="N65">
        <v>-1.186925023521443E-3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</row>
    <row r="66" spans="1:61" x14ac:dyDescent="0.2">
      <c r="A66" t="str">
        <v>w59</v>
      </c>
      <c r="B66">
        <v>0.13833571327666888</v>
      </c>
      <c r="C66">
        <v>-9.6004988034715397E-2</v>
      </c>
      <c r="D66">
        <v>0.17433961298765929</v>
      </c>
      <c r="E66">
        <v>-5.4878999796009194E-2</v>
      </c>
      <c r="F66">
        <v>0.16967938662594398</v>
      </c>
      <c r="G66">
        <v>-0.11220278327073328</v>
      </c>
      <c r="H66">
        <v>0.19252296156154472</v>
      </c>
      <c r="I66">
        <v>-0.16309605197889804</v>
      </c>
      <c r="J66">
        <v>0.14237031037253639</v>
      </c>
      <c r="K66">
        <v>-0.13691076677690456</v>
      </c>
      <c r="L66">
        <v>9.2616283070030878E-2</v>
      </c>
      <c r="M66">
        <v>-0.16127377388806238</v>
      </c>
      <c r="N66">
        <v>-3.2853268217032162E-3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</row>
    <row r="67" spans="1:61" x14ac:dyDescent="0.2">
      <c r="A67" t="str">
        <v>w60</v>
      </c>
      <c r="B67">
        <v>0.13775999508477907</v>
      </c>
      <c r="C67">
        <v>-9.7446315084294063E-2</v>
      </c>
      <c r="D67">
        <v>0.18079132545269599</v>
      </c>
      <c r="E67">
        <v>-5.7404570767188794E-2</v>
      </c>
      <c r="F67">
        <v>0.18229574645480157</v>
      </c>
      <c r="G67">
        <v>-0.12480745482017282</v>
      </c>
      <c r="H67">
        <v>0.22421147591779753</v>
      </c>
      <c r="I67">
        <v>-0.20159467649602017</v>
      </c>
      <c r="J67">
        <v>0.18735766949835087</v>
      </c>
      <c r="K67">
        <v>-0.19411795414191865</v>
      </c>
      <c r="L67">
        <v>0.13961028200227557</v>
      </c>
      <c r="M67">
        <v>-0.26382669271219505</v>
      </c>
      <c r="N67">
        <v>-5.8627363276906406E-3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20952-6388-6943-8F60-5220E59F9A5C}">
  <dimension ref="A1:J253"/>
  <sheetViews>
    <sheetView workbookViewId="0">
      <selection activeCell="J19" sqref="J19"/>
    </sheetView>
  </sheetViews>
  <sheetFormatPr baseColWidth="10" defaultRowHeight="16" x14ac:dyDescent="0.2"/>
  <cols>
    <col min="1" max="6" width="10.83203125" style="1"/>
    <col min="7" max="7" width="14.33203125" style="1" bestFit="1" customWidth="1"/>
    <col min="8" max="16384" width="10.83203125" style="1"/>
  </cols>
  <sheetData>
    <row r="1" spans="1:10" x14ac:dyDescent="0.2">
      <c r="A1" s="9"/>
      <c r="B1" s="15" t="s">
        <v>152</v>
      </c>
      <c r="C1" s="15" t="s">
        <v>153</v>
      </c>
      <c r="D1" s="15" t="s">
        <v>154</v>
      </c>
      <c r="E1" s="15" t="s">
        <v>155</v>
      </c>
    </row>
    <row r="2" spans="1:10" x14ac:dyDescent="0.2">
      <c r="A2" s="15" t="s">
        <v>87</v>
      </c>
      <c r="B2" s="21">
        <v>0.59752862224016001</v>
      </c>
      <c r="C2" s="9" cm="1">
        <f t="array" ref="C2:E61">'Q3 PCA'!B8:D67</f>
        <v>1.6084545830586407E-2</v>
      </c>
      <c r="D2" s="9">
        <v>0.19408697205506989</v>
      </c>
      <c r="E2" s="9">
        <v>0.22549673863270492</v>
      </c>
      <c r="H2" s="9" t="s">
        <v>213</v>
      </c>
      <c r="I2" s="9" t="s">
        <v>214</v>
      </c>
      <c r="J2" s="9" t="s">
        <v>215</v>
      </c>
    </row>
    <row r="3" spans="1:10" x14ac:dyDescent="0.2">
      <c r="A3" s="15" t="s">
        <v>88</v>
      </c>
      <c r="B3" s="21">
        <v>0.21709061674204966</v>
      </c>
      <c r="C3" s="9">
        <v>2.7964798391484434E-2</v>
      </c>
      <c r="D3" s="9">
        <v>0.22564800112783204</v>
      </c>
      <c r="E3" s="9">
        <v>0.24529224151555284</v>
      </c>
      <c r="G3" s="9" t="s">
        <v>216</v>
      </c>
      <c r="H3" s="9" cm="1">
        <f t="array" ref="H3:J3">MMULT(TRANSPOSE(B2:B61),_xlfn.ANCHORARRAY(C2))*1000</f>
        <v>428.1480022397443</v>
      </c>
      <c r="I3" s="9">
        <v>-2974.5855898624359</v>
      </c>
      <c r="J3" s="9">
        <v>1041.2108276746819</v>
      </c>
    </row>
    <row r="4" spans="1:10" x14ac:dyDescent="0.2">
      <c r="A4" s="15" t="s">
        <v>89</v>
      </c>
      <c r="B4" s="21">
        <v>0.23420338327224749</v>
      </c>
      <c r="C4" s="9">
        <v>3.8917075194340046E-2</v>
      </c>
      <c r="D4" s="9">
        <v>0.25806961656727989</v>
      </c>
      <c r="E4" s="9">
        <v>0.26622996044568448</v>
      </c>
    </row>
    <row r="5" spans="1:10" x14ac:dyDescent="0.2">
      <c r="A5" s="15" t="s">
        <v>90</v>
      </c>
      <c r="B5" s="21">
        <v>-1.5877420426807149</v>
      </c>
      <c r="C5" s="9">
        <v>4.6961626528896468E-2</v>
      </c>
      <c r="D5" s="9">
        <v>0.28016292027947681</v>
      </c>
      <c r="E5" s="9">
        <v>0.25682727718331888</v>
      </c>
      <c r="G5" s="9" t="s">
        <v>148</v>
      </c>
      <c r="H5" s="9">
        <f>'Q3 PCA'!B3</f>
        <v>856.82287143961673</v>
      </c>
      <c r="I5" s="9">
        <v>0</v>
      </c>
      <c r="J5" s="9">
        <v>0</v>
      </c>
    </row>
    <row r="6" spans="1:10" x14ac:dyDescent="0.2">
      <c r="A6" s="15" t="s">
        <v>91</v>
      </c>
      <c r="B6" s="21">
        <v>-1.7811978797518258</v>
      </c>
      <c r="C6" s="9">
        <v>5.311464302642345E-2</v>
      </c>
      <c r="D6" s="9">
        <v>0.28927816570129938</v>
      </c>
      <c r="E6" s="9">
        <v>0.21811976593291757</v>
      </c>
      <c r="H6" s="9">
        <v>0</v>
      </c>
      <c r="I6" s="9">
        <f>'Q3 PCA'!C3</f>
        <v>45.299972226604716</v>
      </c>
      <c r="J6" s="9">
        <v>0</v>
      </c>
    </row>
    <row r="7" spans="1:10" x14ac:dyDescent="0.2">
      <c r="A7" s="15" t="s">
        <v>92</v>
      </c>
      <c r="B7" s="21">
        <v>0.694192258132595</v>
      </c>
      <c r="C7" s="9">
        <v>5.8560128154881277E-2</v>
      </c>
      <c r="D7" s="9">
        <v>0.28745732538748014</v>
      </c>
      <c r="E7" s="9">
        <v>0.16150937691723227</v>
      </c>
      <c r="H7" s="9">
        <v>0</v>
      </c>
      <c r="I7" s="9">
        <v>0</v>
      </c>
      <c r="J7" s="9">
        <f>'Q3 PCA'!D3</f>
        <v>9.1526704828468777</v>
      </c>
    </row>
    <row r="8" spans="1:10" x14ac:dyDescent="0.2">
      <c r="A8" s="15" t="s">
        <v>93</v>
      </c>
      <c r="B8" s="21">
        <v>-2.9815560984361902</v>
      </c>
      <c r="C8" s="9">
        <v>6.4041702816376528E-2</v>
      </c>
      <c r="D8" s="9">
        <v>0.27804662180242823</v>
      </c>
      <c r="E8" s="9">
        <v>0.10014331681646131</v>
      </c>
    </row>
    <row r="9" spans="1:10" x14ac:dyDescent="0.2">
      <c r="A9" s="15" t="s">
        <v>94</v>
      </c>
      <c r="B9" s="21">
        <v>-0.57158519408394504</v>
      </c>
      <c r="C9" s="9">
        <v>6.9948806506486064E-2</v>
      </c>
      <c r="D9" s="9">
        <v>0.26365260190192003</v>
      </c>
      <c r="E9" s="9">
        <v>4.2409205431113955E-2</v>
      </c>
    </row>
    <row r="10" spans="1:10" x14ac:dyDescent="0.2">
      <c r="A10" s="15" t="s">
        <v>95</v>
      </c>
      <c r="B10" s="21">
        <v>-1.8145940556149154</v>
      </c>
      <c r="C10" s="9">
        <v>7.6311569169560098E-2</v>
      </c>
      <c r="D10" s="9">
        <v>0.24608885879495818</v>
      </c>
      <c r="E10" s="9">
        <v>-8.2102652718901749E-3</v>
      </c>
      <c r="G10" s="2" t="s">
        <v>19</v>
      </c>
      <c r="H10" s="9" cm="1">
        <f t="array" ref="H10">MMULT(_xlfn.ANCHORARRAY(H3),MMULT(H5:J7,TRANSPOSE(_xlfn.ANCHORARRAY(H3))))</f>
        <v>567808779.97962308</v>
      </c>
    </row>
    <row r="11" spans="1:10" x14ac:dyDescent="0.2">
      <c r="A11" s="15" t="s">
        <v>96</v>
      </c>
      <c r="B11" s="21">
        <v>0.31637600763103402</v>
      </c>
      <c r="C11" s="9">
        <v>8.2953805571957959E-2</v>
      </c>
      <c r="D11" s="9">
        <v>0.22674174656458906</v>
      </c>
      <c r="E11" s="9">
        <v>-5.0665802912988549E-2</v>
      </c>
      <c r="G11" s="9" t="s">
        <v>77</v>
      </c>
      <c r="H11" s="9">
        <f>SQRT(H10*10)*_xlfn.NORM.S.INV(0.99)</f>
        <v>175297.49496999325</v>
      </c>
    </row>
    <row r="12" spans="1:10" x14ac:dyDescent="0.2">
      <c r="A12" s="15" t="s">
        <v>97</v>
      </c>
      <c r="B12" s="21">
        <v>0.81908764290883118</v>
      </c>
      <c r="C12" s="9">
        <v>8.9646908346591114E-2</v>
      </c>
      <c r="D12" s="9">
        <v>0.20664384702936625</v>
      </c>
      <c r="E12" s="9">
        <v>-8.4994989213701272E-2</v>
      </c>
    </row>
    <row r="13" spans="1:10" x14ac:dyDescent="0.2">
      <c r="A13" s="15" t="s">
        <v>98</v>
      </c>
      <c r="B13" s="21">
        <v>0.5</v>
      </c>
      <c r="C13" s="9">
        <v>9.6197289179972889E-2</v>
      </c>
      <c r="D13" s="9">
        <v>0.18653731995677214</v>
      </c>
      <c r="E13" s="9">
        <v>-0.11178705000907885</v>
      </c>
    </row>
    <row r="14" spans="1:10" x14ac:dyDescent="0.2">
      <c r="A14" s="15" t="s">
        <v>99</v>
      </c>
      <c r="B14" s="21">
        <v>-1.3442213985900242</v>
      </c>
      <c r="C14" s="9">
        <v>0.10244199829802514</v>
      </c>
      <c r="D14" s="9">
        <v>0.16697076396486329</v>
      </c>
      <c r="E14" s="9">
        <v>-0.13198332133202845</v>
      </c>
    </row>
    <row r="15" spans="1:10" x14ac:dyDescent="0.2">
      <c r="A15" s="15" t="s">
        <v>100</v>
      </c>
      <c r="B15" s="21">
        <v>0.19394765445068129</v>
      </c>
      <c r="C15" s="9">
        <v>0.10826691158932802</v>
      </c>
      <c r="D15" s="9">
        <v>0.1482980890559947</v>
      </c>
      <c r="E15" s="9">
        <v>-0.1466083730661541</v>
      </c>
    </row>
    <row r="16" spans="1:10" x14ac:dyDescent="0.2">
      <c r="A16" s="15" t="s">
        <v>101</v>
      </c>
      <c r="B16" s="21">
        <v>5.9015200504475195E-2</v>
      </c>
      <c r="C16" s="9">
        <v>0.11361551258956082</v>
      </c>
      <c r="D16" s="9">
        <v>0.13070587897995098</v>
      </c>
      <c r="E16" s="9">
        <v>-0.15657827322255838</v>
      </c>
    </row>
    <row r="17" spans="1:5" x14ac:dyDescent="0.2">
      <c r="A17" s="15" t="s">
        <v>102</v>
      </c>
      <c r="B17" s="21">
        <v>-0.78153614530037219</v>
      </c>
      <c r="C17" s="9">
        <v>0.11847028730213423</v>
      </c>
      <c r="D17" s="9">
        <v>0.11427421249736308</v>
      </c>
      <c r="E17" s="9">
        <v>-0.16267876747202165</v>
      </c>
    </row>
    <row r="18" spans="1:5" x14ac:dyDescent="0.2">
      <c r="A18" s="15" t="s">
        <v>103</v>
      </c>
      <c r="B18" s="21">
        <v>0.12354303868093575</v>
      </c>
      <c r="C18" s="9">
        <v>0.12283773766504366</v>
      </c>
      <c r="D18" s="9">
        <v>9.9016096483464849E-2</v>
      </c>
      <c r="E18" s="9">
        <v>-0.16557850364415649</v>
      </c>
    </row>
    <row r="19" spans="1:5" x14ac:dyDescent="0.2">
      <c r="A19" s="15" t="s">
        <v>104</v>
      </c>
      <c r="B19" s="21">
        <v>-1.6912555956229702</v>
      </c>
      <c r="C19" s="9">
        <v>0.12673684012856543</v>
      </c>
      <c r="D19" s="9">
        <v>8.4905952849418723E-2</v>
      </c>
      <c r="E19" s="9">
        <v>-0.16584300085765558</v>
      </c>
    </row>
    <row r="20" spans="1:5" x14ac:dyDescent="0.2">
      <c r="A20" s="15" t="s">
        <v>105</v>
      </c>
      <c r="B20" s="21">
        <v>-1.1544392516643542</v>
      </c>
      <c r="C20" s="9">
        <v>0.13019401506598688</v>
      </c>
      <c r="D20" s="9">
        <v>7.1895286595630797E-2</v>
      </c>
      <c r="E20" s="9">
        <v>-0.16395180912989285</v>
      </c>
    </row>
    <row r="21" spans="1:5" x14ac:dyDescent="0.2">
      <c r="A21" s="15" t="s">
        <v>106</v>
      </c>
      <c r="B21" s="21">
        <v>0.1662029215532872</v>
      </c>
      <c r="C21" s="9">
        <v>0.13323976368203277</v>
      </c>
      <c r="D21" s="9">
        <v>5.9921467067018758E-2</v>
      </c>
      <c r="E21" s="9">
        <v>-0.16029906575914582</v>
      </c>
    </row>
    <row r="22" spans="1:5" x14ac:dyDescent="0.2">
      <c r="A22" s="15" t="s">
        <v>107</v>
      </c>
      <c r="B22" s="21">
        <v>-0.32017051275679353</v>
      </c>
      <c r="C22" s="9">
        <v>0.13590635887632829</v>
      </c>
      <c r="D22" s="9">
        <v>4.8912808619783713E-2</v>
      </c>
      <c r="E22" s="9">
        <v>-0.15521065624174121</v>
      </c>
    </row>
    <row r="23" spans="1:5" x14ac:dyDescent="0.2">
      <c r="A23" s="15" t="s">
        <v>108</v>
      </c>
      <c r="B23" s="21">
        <v>-1.0112388560750185</v>
      </c>
      <c r="C23" s="9">
        <v>0.13822679230174684</v>
      </c>
      <c r="D23" s="9">
        <v>3.879241488684719E-2</v>
      </c>
      <c r="E23" s="9">
        <v>-0.14896000278997817</v>
      </c>
    </row>
    <row r="24" spans="1:5" x14ac:dyDescent="0.2">
      <c r="A24" s="15" t="s">
        <v>109</v>
      </c>
      <c r="B24" s="21">
        <v>1.240891275085465</v>
      </c>
      <c r="C24" s="9">
        <v>0.14023392399993673</v>
      </c>
      <c r="D24" s="9">
        <v>2.9481950048288037E-2</v>
      </c>
      <c r="E24" s="9">
        <v>-0.14177584227184412</v>
      </c>
    </row>
    <row r="25" spans="1:5" x14ac:dyDescent="0.2">
      <c r="A25" s="15" t="s">
        <v>110</v>
      </c>
      <c r="B25" s="21">
        <v>-0.23443282478616378</v>
      </c>
      <c r="C25" s="9">
        <v>0.14195901585904791</v>
      </c>
      <c r="D25" s="9">
        <v>2.0906198499484663E-2</v>
      </c>
      <c r="E25" s="9">
        <v>-0.13384516501368923</v>
      </c>
    </row>
    <row r="26" spans="1:5" x14ac:dyDescent="0.2">
      <c r="A26" s="15" t="s">
        <v>111</v>
      </c>
      <c r="B26" s="21">
        <v>-0.10115069374278196</v>
      </c>
      <c r="C26" s="9">
        <v>0.14343083491439207</v>
      </c>
      <c r="D26" s="9">
        <v>1.2995339041789643E-2</v>
      </c>
      <c r="E26" s="9">
        <v>-0.12532072122514351</v>
      </c>
    </row>
    <row r="27" spans="1:5" x14ac:dyDescent="0.2">
      <c r="A27" s="15" t="s">
        <v>112</v>
      </c>
      <c r="B27" s="21">
        <v>-0.71491271618916019</v>
      </c>
      <c r="C27" s="9">
        <v>0.14467564107217448</v>
      </c>
      <c r="D27" s="9">
        <v>5.6851440025106094E-3</v>
      </c>
      <c r="E27" s="9">
        <v>-0.11632875357564705</v>
      </c>
    </row>
    <row r="28" spans="1:5" x14ac:dyDescent="0.2">
      <c r="A28" s="15" t="s">
        <v>113</v>
      </c>
      <c r="B28" s="21">
        <v>0.73253000252231004</v>
      </c>
      <c r="C28" s="9">
        <v>0.14571699372004959</v>
      </c>
      <c r="D28" s="9">
        <v>-1.0826364283430989E-3</v>
      </c>
      <c r="E28" s="9">
        <v>-0.10697398930869036</v>
      </c>
    </row>
    <row r="29" spans="1:5" x14ac:dyDescent="0.2">
      <c r="A29" s="15" t="s">
        <v>114</v>
      </c>
      <c r="B29" s="21">
        <v>-3.50782832043837</v>
      </c>
      <c r="C29" s="9">
        <v>0.14657592877548306</v>
      </c>
      <c r="D29" s="9">
        <v>-7.36001970366166E-3</v>
      </c>
      <c r="E29" s="9">
        <v>-9.7343904320695493E-2</v>
      </c>
    </row>
    <row r="30" spans="1:5" x14ac:dyDescent="0.2">
      <c r="A30" s="15" t="s">
        <v>115</v>
      </c>
      <c r="B30" s="21">
        <v>1.4980588063007394</v>
      </c>
      <c r="C30" s="9">
        <v>0.14727128711896065</v>
      </c>
      <c r="D30" s="9">
        <v>-1.3193538562663427E-2</v>
      </c>
      <c r="E30" s="9">
        <v>-8.7511854914000514E-2</v>
      </c>
    </row>
    <row r="31" spans="1:5" x14ac:dyDescent="0.2">
      <c r="A31" s="15" t="s">
        <v>116</v>
      </c>
      <c r="B31" s="21">
        <v>0.6</v>
      </c>
      <c r="C31" s="9">
        <v>0.14782002473116881</v>
      </c>
      <c r="D31" s="9">
        <v>-1.8625053881088458E-2</v>
      </c>
      <c r="E31" s="9">
        <v>-7.7539552086989316E-2</v>
      </c>
    </row>
    <row r="32" spans="1:5" x14ac:dyDescent="0.2">
      <c r="A32" s="15" t="s">
        <v>117</v>
      </c>
      <c r="B32" s="21">
        <v>-1.1619048245014452</v>
      </c>
      <c r="C32" s="9">
        <v>0.14823746518273781</v>
      </c>
      <c r="D32" s="9">
        <v>-2.3692353366732973E-2</v>
      </c>
      <c r="E32" s="9">
        <v>-6.747902514388382E-2</v>
      </c>
    </row>
    <row r="33" spans="1:5" x14ac:dyDescent="0.2">
      <c r="A33" s="15" t="s">
        <v>118</v>
      </c>
      <c r="B33" s="21">
        <v>-0.85909973931621031</v>
      </c>
      <c r="C33" s="9">
        <v>0.14853743792614224</v>
      </c>
      <c r="D33" s="9">
        <v>-2.8429532459917597E-2</v>
      </c>
      <c r="E33" s="9">
        <v>-5.7373928425404189E-2</v>
      </c>
    </row>
    <row r="34" spans="1:5" x14ac:dyDescent="0.2">
      <c r="A34" s="15" t="s">
        <v>119</v>
      </c>
      <c r="B34" s="21">
        <v>-0.75011869817119603</v>
      </c>
      <c r="C34" s="9">
        <v>0.14873235138445864</v>
      </c>
      <c r="D34" s="9">
        <v>-3.2867290334618139E-2</v>
      </c>
      <c r="E34" s="9">
        <v>-4.7260607648042297E-2</v>
      </c>
    </row>
    <row r="35" spans="1:5" x14ac:dyDescent="0.2">
      <c r="A35" s="15" t="s">
        <v>120</v>
      </c>
      <c r="B35" s="21">
        <v>0.46463631466264399</v>
      </c>
      <c r="C35" s="9">
        <v>0.14883334496907141</v>
      </c>
      <c r="D35" s="9">
        <v>-3.7033266240100768E-2</v>
      </c>
      <c r="E35" s="9">
        <v>-3.716930711874486E-2</v>
      </c>
    </row>
    <row r="36" spans="1:5" x14ac:dyDescent="0.2">
      <c r="A36" s="15" t="s">
        <v>121</v>
      </c>
      <c r="B36" s="21">
        <v>-0.18842879542496016</v>
      </c>
      <c r="C36" s="9">
        <v>0.14885040120864595</v>
      </c>
      <c r="D36" s="9">
        <v>-4.0952292291618037E-2</v>
      </c>
      <c r="E36" s="9">
        <v>-2.7125209529593533E-2</v>
      </c>
    </row>
    <row r="37" spans="1:5" x14ac:dyDescent="0.2">
      <c r="A37" s="15" t="s">
        <v>122</v>
      </c>
      <c r="B37" s="21">
        <v>2.4500000000000002</v>
      </c>
      <c r="C37" s="9">
        <v>0.14879246584750699</v>
      </c>
      <c r="D37" s="9">
        <v>-4.4646574536388831E-2</v>
      </c>
      <c r="E37" s="9">
        <v>-1.7149385141879962E-2</v>
      </c>
    </row>
    <row r="38" spans="1:5" x14ac:dyDescent="0.2">
      <c r="A38" s="15" t="s">
        <v>123</v>
      </c>
      <c r="B38" s="21">
        <v>0.72499999999999998</v>
      </c>
      <c r="C38" s="9">
        <v>0.14866757277175391</v>
      </c>
      <c r="D38" s="9">
        <v>-4.8135972150063953E-2</v>
      </c>
      <c r="E38" s="9">
        <v>-7.2594923498604767E-3</v>
      </c>
    </row>
    <row r="39" spans="1:5" x14ac:dyDescent="0.2">
      <c r="A39" s="15" t="s">
        <v>124</v>
      </c>
      <c r="B39" s="21">
        <v>0.65</v>
      </c>
      <c r="C39" s="9">
        <v>0.14848294793289929</v>
      </c>
      <c r="D39" s="9">
        <v>-5.1438287957866272E-2</v>
      </c>
      <c r="E39" s="9">
        <v>2.5297247206133812E-3</v>
      </c>
    </row>
    <row r="40" spans="1:5" x14ac:dyDescent="0.2">
      <c r="A40" s="15" t="s">
        <v>125</v>
      </c>
      <c r="B40" s="21">
        <v>0.81473071683587861</v>
      </c>
      <c r="C40" s="9">
        <v>0.14824509084893628</v>
      </c>
      <c r="D40" s="9">
        <v>-5.456951148944747E-2</v>
      </c>
      <c r="E40" s="9">
        <v>1.2205973839889511E-2</v>
      </c>
    </row>
    <row r="41" spans="1:5" x14ac:dyDescent="0.2">
      <c r="A41" s="15" t="s">
        <v>126</v>
      </c>
      <c r="B41" s="21">
        <v>0.10994380365714651</v>
      </c>
      <c r="C41" s="9">
        <v>0.14795985546632889</v>
      </c>
      <c r="D41" s="9">
        <v>-5.7544049791103558E-2</v>
      </c>
      <c r="E41" s="9">
        <v>2.1758967645452289E-2</v>
      </c>
    </row>
    <row r="42" spans="1:5" x14ac:dyDescent="0.2">
      <c r="A42" s="15" t="s">
        <v>127</v>
      </c>
      <c r="B42" s="21">
        <v>0.10610460327906</v>
      </c>
      <c r="C42" s="9">
        <v>0.14763252039892255</v>
      </c>
      <c r="D42" s="9">
        <v>-6.0374896299515611E-2</v>
      </c>
      <c r="E42" s="9">
        <v>3.1180113604826237E-2</v>
      </c>
    </row>
    <row r="43" spans="1:5" x14ac:dyDescent="0.2">
      <c r="A43" s="15" t="s">
        <v>128</v>
      </c>
      <c r="B43" s="21">
        <v>7.2085381366124995E-2</v>
      </c>
      <c r="C43" s="9">
        <v>0.14726785149580332</v>
      </c>
      <c r="D43" s="9">
        <v>-6.3073765555814468E-2</v>
      </c>
      <c r="E43" s="9">
        <v>4.0462278549830075E-2</v>
      </c>
    </row>
    <row r="44" spans="1:5" x14ac:dyDescent="0.2">
      <c r="A44" s="15" t="s">
        <v>129</v>
      </c>
      <c r="B44" s="21">
        <v>0.40279719780252998</v>
      </c>
      <c r="C44" s="9">
        <v>0.14687015980976159</v>
      </c>
      <c r="D44" s="9">
        <v>-6.5651224947610234E-2</v>
      </c>
      <c r="E44" s="9">
        <v>4.959961938867901E-2</v>
      </c>
    </row>
    <row r="45" spans="1:5" x14ac:dyDescent="0.2">
      <c r="A45" s="15" t="s">
        <v>130</v>
      </c>
      <c r="B45" s="21">
        <v>0.91144956340472483</v>
      </c>
      <c r="C45" s="9">
        <v>0.14644335232161743</v>
      </c>
      <c r="D45" s="9">
        <v>-6.8116820750068544E-2</v>
      </c>
      <c r="E45" s="9">
        <v>5.8587432106070883E-2</v>
      </c>
    </row>
    <row r="46" spans="1:5" x14ac:dyDescent="0.2">
      <c r="A46" s="15" t="s">
        <v>131</v>
      </c>
      <c r="B46" s="21">
        <v>0.40203185159998001</v>
      </c>
      <c r="C46" s="9">
        <v>0.14599097363584701</v>
      </c>
      <c r="D46" s="9">
        <v>-7.0479184649006571E-2</v>
      </c>
      <c r="E46" s="9">
        <v>6.7422000470840432E-2</v>
      </c>
    </row>
    <row r="47" spans="1:5" x14ac:dyDescent="0.2">
      <c r="A47" s="15" t="s">
        <v>132</v>
      </c>
      <c r="B47" s="21">
        <v>-9.4405315461604994E-2</v>
      </c>
      <c r="C47" s="9">
        <v>0.14551624057869775</v>
      </c>
      <c r="D47" s="9">
        <v>-7.2746123487477166E-2</v>
      </c>
      <c r="E47" s="9">
        <v>7.61004629567546E-2</v>
      </c>
    </row>
    <row r="48" spans="1:5" x14ac:dyDescent="0.2">
      <c r="A48" s="15" t="s">
        <v>133</v>
      </c>
      <c r="B48" s="21">
        <v>-0.28730791572299003</v>
      </c>
      <c r="C48" s="9">
        <v>0.14502207372184558</v>
      </c>
      <c r="D48" s="9">
        <v>-7.4924710630196165E-2</v>
      </c>
      <c r="E48" s="9">
        <v>8.4620661941107414E-2</v>
      </c>
    </row>
    <row r="49" spans="1:5" x14ac:dyDescent="0.2">
      <c r="A49" s="15" t="s">
        <v>134</v>
      </c>
      <c r="B49" s="21">
        <v>0.1</v>
      </c>
      <c r="C49" s="9">
        <v>0.14451112349615078</v>
      </c>
      <c r="D49" s="9">
        <v>-7.7021359838757825E-2</v>
      </c>
      <c r="E49" s="9">
        <v>9.2981009919807595E-2</v>
      </c>
    </row>
    <row r="50" spans="1:5" x14ac:dyDescent="0.2">
      <c r="A50" s="15" t="s">
        <v>135</v>
      </c>
      <c r="B50" s="21">
        <v>-4.4072162830415706E-2</v>
      </c>
      <c r="C50" s="9">
        <v>0.14398579509706594</v>
      </c>
      <c r="D50" s="9">
        <v>-7.9041880897024103E-2</v>
      </c>
      <c r="E50" s="9">
        <v>0.10118042029961158</v>
      </c>
    </row>
    <row r="51" spans="1:5" x14ac:dyDescent="0.2">
      <c r="A51" s="15" t="s">
        <v>136</v>
      </c>
      <c r="B51" s="21">
        <v>3.0370736897630399</v>
      </c>
      <c r="C51" s="9">
        <v>0.14344827090225507</v>
      </c>
      <c r="D51" s="9">
        <v>-8.0991533375521577E-2</v>
      </c>
      <c r="E51" s="9">
        <v>0.10921823867234713</v>
      </c>
    </row>
    <row r="52" spans="1:5" x14ac:dyDescent="0.2">
      <c r="A52" s="15" t="s">
        <v>137</v>
      </c>
      <c r="B52" s="21">
        <v>0.30568106187656502</v>
      </c>
      <c r="C52" s="9">
        <v>0.14290053167081679</v>
      </c>
      <c r="D52" s="9">
        <v>-8.2875078244744133E-2</v>
      </c>
      <c r="E52" s="9">
        <v>0.11709418931418591</v>
      </c>
    </row>
    <row r="53" spans="1:5" x14ac:dyDescent="0.2">
      <c r="A53" s="15" t="s">
        <v>138</v>
      </c>
      <c r="B53" s="21">
        <v>0.19413885387823501</v>
      </c>
      <c r="C53" s="9">
        <v>0.14234437603724637</v>
      </c>
      <c r="D53" s="9">
        <v>-8.469682491190185E-2</v>
      </c>
      <c r="E53" s="9">
        <v>0.1248083346270655</v>
      </c>
    </row>
    <row r="54" spans="1:5" x14ac:dyDescent="0.2">
      <c r="A54" s="15" t="s">
        <v>139</v>
      </c>
      <c r="B54" s="21">
        <v>3.4245125245752899</v>
      </c>
      <c r="C54" s="9">
        <v>0.14178143917345368</v>
      </c>
      <c r="D54" s="9">
        <v>-8.6460673680599467E-2</v>
      </c>
      <c r="E54" s="9">
        <v>0.13236105105165355</v>
      </c>
    </row>
    <row r="55" spans="1:5" x14ac:dyDescent="0.2">
      <c r="A55" s="15" t="s">
        <v>140</v>
      </c>
      <c r="B55" s="21">
        <v>0.16392097317224</v>
      </c>
      <c r="C55" s="9">
        <v>0.14121321008895349</v>
      </c>
      <c r="D55" s="9">
        <v>-8.8170162963534984E-2</v>
      </c>
      <c r="E55" s="9">
        <v>0.13975302354054592</v>
      </c>
    </row>
    <row r="56" spans="1:5" x14ac:dyDescent="0.2">
      <c r="A56" s="15" t="s">
        <v>141</v>
      </c>
      <c r="B56" s="21">
        <v>1.1515739014329673</v>
      </c>
      <c r="C56" s="9">
        <v>0.1406410420789401</v>
      </c>
      <c r="D56" s="9">
        <v>-8.9828510742252635E-2</v>
      </c>
      <c r="E56" s="9">
        <v>0.14698519917150249</v>
      </c>
    </row>
    <row r="57" spans="1:5" x14ac:dyDescent="0.2">
      <c r="A57" s="15" t="s">
        <v>142</v>
      </c>
      <c r="B57" s="21">
        <v>-0.12523216180618757</v>
      </c>
      <c r="C57" s="9">
        <v>0.14006615863403463</v>
      </c>
      <c r="D57" s="9">
        <v>-9.1438644575059513E-2</v>
      </c>
      <c r="E57" s="9">
        <v>0.15405869607032668</v>
      </c>
    </row>
    <row r="58" spans="1:5" x14ac:dyDescent="0.2">
      <c r="A58" s="15" t="s">
        <v>143</v>
      </c>
      <c r="B58" s="21">
        <v>-0.21832622616452499</v>
      </c>
      <c r="C58" s="9">
        <v>0.13948966012199304</v>
      </c>
      <c r="D58" s="9">
        <v>-9.30032146680463E-2</v>
      </c>
      <c r="E58" s="9">
        <v>0.16097472522057679</v>
      </c>
    </row>
    <row r="59" spans="1:5" x14ac:dyDescent="0.2">
      <c r="A59" s="15" t="s">
        <v>144</v>
      </c>
      <c r="B59" s="21">
        <v>-1.2821784911135501</v>
      </c>
      <c r="C59" s="9">
        <v>0.13891254255458871</v>
      </c>
      <c r="D59" s="9">
        <v>-9.4524609214654817E-2</v>
      </c>
      <c r="E59" s="9">
        <v>0.1677345692902722</v>
      </c>
    </row>
    <row r="60" spans="1:5" x14ac:dyDescent="0.2">
      <c r="A60" s="15" t="s">
        <v>145</v>
      </c>
      <c r="B60" s="21">
        <v>-2.1213604876399117E-2</v>
      </c>
      <c r="C60" s="9">
        <v>0.13833571327666888</v>
      </c>
      <c r="D60" s="9">
        <v>-9.6004988034715397E-2</v>
      </c>
      <c r="E60" s="9">
        <v>0.17433961298765929</v>
      </c>
    </row>
    <row r="61" spans="1:5" x14ac:dyDescent="0.2">
      <c r="A61" s="15" t="s">
        <v>146</v>
      </c>
      <c r="B61" s="21">
        <v>0.2</v>
      </c>
      <c r="C61" s="9">
        <v>0.13775999508477907</v>
      </c>
      <c r="D61" s="9">
        <v>-9.7446315084294063E-2</v>
      </c>
      <c r="E61" s="9">
        <v>0.18079132545269599</v>
      </c>
    </row>
    <row r="62" spans="1:5" x14ac:dyDescent="0.2">
      <c r="A62" s="20"/>
    </row>
    <row r="63" spans="1:5" x14ac:dyDescent="0.2">
      <c r="A63" s="20"/>
    </row>
    <row r="64" spans="1:5" x14ac:dyDescent="0.2">
      <c r="A64" s="20"/>
    </row>
    <row r="65" spans="1:1" x14ac:dyDescent="0.2">
      <c r="A65" s="20"/>
    </row>
    <row r="66" spans="1:1" x14ac:dyDescent="0.2">
      <c r="A66" s="20"/>
    </row>
    <row r="67" spans="1:1" x14ac:dyDescent="0.2">
      <c r="A67" s="20"/>
    </row>
    <row r="68" spans="1:1" x14ac:dyDescent="0.2">
      <c r="A68" s="20"/>
    </row>
    <row r="69" spans="1:1" x14ac:dyDescent="0.2">
      <c r="A69" s="20"/>
    </row>
    <row r="70" spans="1:1" x14ac:dyDescent="0.2">
      <c r="A70" s="20"/>
    </row>
    <row r="71" spans="1:1" x14ac:dyDescent="0.2">
      <c r="A71" s="20"/>
    </row>
    <row r="72" spans="1:1" x14ac:dyDescent="0.2">
      <c r="A72" s="20"/>
    </row>
    <row r="73" spans="1:1" x14ac:dyDescent="0.2">
      <c r="A73" s="20"/>
    </row>
    <row r="74" spans="1:1" x14ac:dyDescent="0.2">
      <c r="A74" s="20"/>
    </row>
    <row r="75" spans="1:1" x14ac:dyDescent="0.2">
      <c r="A75" s="20"/>
    </row>
    <row r="76" spans="1:1" x14ac:dyDescent="0.2">
      <c r="A76" s="20"/>
    </row>
    <row r="77" spans="1:1" x14ac:dyDescent="0.2">
      <c r="A77" s="20"/>
    </row>
    <row r="78" spans="1:1" x14ac:dyDescent="0.2">
      <c r="A78" s="20"/>
    </row>
    <row r="79" spans="1:1" x14ac:dyDescent="0.2">
      <c r="A79" s="20"/>
    </row>
    <row r="80" spans="1:1" x14ac:dyDescent="0.2">
      <c r="A80" s="20"/>
    </row>
    <row r="81" spans="1:1" x14ac:dyDescent="0.2">
      <c r="A81" s="20"/>
    </row>
    <row r="82" spans="1:1" x14ac:dyDescent="0.2">
      <c r="A82" s="20"/>
    </row>
    <row r="83" spans="1:1" x14ac:dyDescent="0.2">
      <c r="A83" s="20"/>
    </row>
    <row r="84" spans="1:1" x14ac:dyDescent="0.2">
      <c r="A84" s="20"/>
    </row>
    <row r="85" spans="1:1" x14ac:dyDescent="0.2">
      <c r="A85" s="20"/>
    </row>
    <row r="86" spans="1:1" x14ac:dyDescent="0.2">
      <c r="A86" s="20"/>
    </row>
    <row r="87" spans="1:1" x14ac:dyDescent="0.2">
      <c r="A87" s="20"/>
    </row>
    <row r="88" spans="1:1" x14ac:dyDescent="0.2">
      <c r="A88" s="20"/>
    </row>
    <row r="89" spans="1:1" x14ac:dyDescent="0.2">
      <c r="A89" s="20"/>
    </row>
    <row r="90" spans="1:1" x14ac:dyDescent="0.2">
      <c r="A90" s="20"/>
    </row>
    <row r="91" spans="1:1" x14ac:dyDescent="0.2">
      <c r="A91" s="20"/>
    </row>
    <row r="92" spans="1:1" x14ac:dyDescent="0.2">
      <c r="A92" s="20"/>
    </row>
    <row r="93" spans="1:1" x14ac:dyDescent="0.2">
      <c r="A93" s="20"/>
    </row>
    <row r="94" spans="1:1" x14ac:dyDescent="0.2">
      <c r="A94" s="20"/>
    </row>
    <row r="95" spans="1:1" x14ac:dyDescent="0.2">
      <c r="A95" s="20"/>
    </row>
    <row r="96" spans="1:1" x14ac:dyDescent="0.2">
      <c r="A96" s="20"/>
    </row>
    <row r="97" spans="1:1" x14ac:dyDescent="0.2">
      <c r="A97" s="20"/>
    </row>
    <row r="98" spans="1:1" x14ac:dyDescent="0.2">
      <c r="A98" s="20"/>
    </row>
    <row r="99" spans="1:1" x14ac:dyDescent="0.2">
      <c r="A99" s="20"/>
    </row>
    <row r="100" spans="1:1" x14ac:dyDescent="0.2">
      <c r="A100" s="20"/>
    </row>
    <row r="101" spans="1:1" x14ac:dyDescent="0.2">
      <c r="A101" s="20"/>
    </row>
    <row r="102" spans="1:1" x14ac:dyDescent="0.2">
      <c r="A102" s="20"/>
    </row>
    <row r="103" spans="1:1" x14ac:dyDescent="0.2">
      <c r="A103" s="20"/>
    </row>
    <row r="104" spans="1:1" x14ac:dyDescent="0.2">
      <c r="A104" s="20"/>
    </row>
    <row r="105" spans="1:1" x14ac:dyDescent="0.2">
      <c r="A105" s="20"/>
    </row>
    <row r="106" spans="1:1" x14ac:dyDescent="0.2">
      <c r="A106" s="20"/>
    </row>
    <row r="107" spans="1:1" x14ac:dyDescent="0.2">
      <c r="A107" s="20"/>
    </row>
    <row r="108" spans="1:1" x14ac:dyDescent="0.2">
      <c r="A108" s="20"/>
    </row>
    <row r="109" spans="1:1" x14ac:dyDescent="0.2">
      <c r="A109" s="20"/>
    </row>
    <row r="110" spans="1:1" x14ac:dyDescent="0.2">
      <c r="A110" s="20"/>
    </row>
    <row r="111" spans="1:1" x14ac:dyDescent="0.2">
      <c r="A111" s="20"/>
    </row>
    <row r="112" spans="1:1" x14ac:dyDescent="0.2">
      <c r="A112" s="20"/>
    </row>
    <row r="113" spans="1:1" x14ac:dyDescent="0.2">
      <c r="A113" s="20"/>
    </row>
    <row r="114" spans="1:1" x14ac:dyDescent="0.2">
      <c r="A114" s="20"/>
    </row>
    <row r="115" spans="1:1" x14ac:dyDescent="0.2">
      <c r="A115" s="20"/>
    </row>
    <row r="116" spans="1:1" x14ac:dyDescent="0.2">
      <c r="A116" s="20"/>
    </row>
    <row r="117" spans="1:1" x14ac:dyDescent="0.2">
      <c r="A117" s="20"/>
    </row>
    <row r="118" spans="1:1" x14ac:dyDescent="0.2">
      <c r="A118" s="20"/>
    </row>
    <row r="119" spans="1:1" x14ac:dyDescent="0.2">
      <c r="A119" s="20"/>
    </row>
    <row r="120" spans="1:1" x14ac:dyDescent="0.2">
      <c r="A120" s="20"/>
    </row>
    <row r="121" spans="1:1" x14ac:dyDescent="0.2">
      <c r="A121" s="20"/>
    </row>
    <row r="122" spans="1:1" x14ac:dyDescent="0.2">
      <c r="A122" s="20"/>
    </row>
    <row r="123" spans="1:1" x14ac:dyDescent="0.2">
      <c r="A123" s="20"/>
    </row>
    <row r="124" spans="1:1" x14ac:dyDescent="0.2">
      <c r="A124" s="20"/>
    </row>
    <row r="125" spans="1:1" x14ac:dyDescent="0.2">
      <c r="A125" s="20"/>
    </row>
    <row r="126" spans="1:1" x14ac:dyDescent="0.2">
      <c r="A126" s="20"/>
    </row>
    <row r="127" spans="1:1" x14ac:dyDescent="0.2">
      <c r="A127" s="20"/>
    </row>
    <row r="128" spans="1:1" x14ac:dyDescent="0.2">
      <c r="A128" s="20"/>
    </row>
    <row r="129" spans="1:1" x14ac:dyDescent="0.2">
      <c r="A129" s="20"/>
    </row>
    <row r="130" spans="1:1" x14ac:dyDescent="0.2">
      <c r="A130" s="20"/>
    </row>
    <row r="131" spans="1:1" x14ac:dyDescent="0.2">
      <c r="A131" s="20"/>
    </row>
    <row r="132" spans="1:1" x14ac:dyDescent="0.2">
      <c r="A132" s="20"/>
    </row>
    <row r="133" spans="1:1" x14ac:dyDescent="0.2">
      <c r="A133" s="20"/>
    </row>
    <row r="134" spans="1:1" x14ac:dyDescent="0.2">
      <c r="A134" s="20"/>
    </row>
    <row r="135" spans="1:1" x14ac:dyDescent="0.2">
      <c r="A135" s="20"/>
    </row>
    <row r="136" spans="1:1" x14ac:dyDescent="0.2">
      <c r="A136" s="20"/>
    </row>
    <row r="137" spans="1:1" x14ac:dyDescent="0.2">
      <c r="A137" s="20"/>
    </row>
    <row r="138" spans="1:1" x14ac:dyDescent="0.2">
      <c r="A138" s="20"/>
    </row>
    <row r="139" spans="1:1" x14ac:dyDescent="0.2">
      <c r="A139" s="20"/>
    </row>
    <row r="140" spans="1:1" x14ac:dyDescent="0.2">
      <c r="A140" s="20"/>
    </row>
    <row r="141" spans="1:1" x14ac:dyDescent="0.2">
      <c r="A141" s="20"/>
    </row>
    <row r="142" spans="1:1" x14ac:dyDescent="0.2">
      <c r="A142" s="20"/>
    </row>
    <row r="143" spans="1:1" x14ac:dyDescent="0.2">
      <c r="A143" s="20"/>
    </row>
    <row r="144" spans="1:1" x14ac:dyDescent="0.2">
      <c r="A144" s="20"/>
    </row>
    <row r="145" spans="1:1" x14ac:dyDescent="0.2">
      <c r="A145" s="20"/>
    </row>
    <row r="146" spans="1:1" x14ac:dyDescent="0.2">
      <c r="A146" s="20"/>
    </row>
    <row r="147" spans="1:1" x14ac:dyDescent="0.2">
      <c r="A147" s="20"/>
    </row>
    <row r="148" spans="1:1" x14ac:dyDescent="0.2">
      <c r="A148" s="20"/>
    </row>
    <row r="149" spans="1:1" x14ac:dyDescent="0.2">
      <c r="A149" s="20"/>
    </row>
    <row r="150" spans="1:1" x14ac:dyDescent="0.2">
      <c r="A150" s="20"/>
    </row>
    <row r="151" spans="1:1" x14ac:dyDescent="0.2">
      <c r="A151" s="20"/>
    </row>
    <row r="152" spans="1:1" x14ac:dyDescent="0.2">
      <c r="A152" s="20"/>
    </row>
    <row r="153" spans="1:1" x14ac:dyDescent="0.2">
      <c r="A153" s="20"/>
    </row>
    <row r="154" spans="1:1" x14ac:dyDescent="0.2">
      <c r="A154" s="20"/>
    </row>
    <row r="155" spans="1:1" x14ac:dyDescent="0.2">
      <c r="A155" s="20"/>
    </row>
    <row r="156" spans="1:1" x14ac:dyDescent="0.2">
      <c r="A156" s="20"/>
    </row>
    <row r="157" spans="1:1" x14ac:dyDescent="0.2">
      <c r="A157" s="20"/>
    </row>
    <row r="158" spans="1:1" x14ac:dyDescent="0.2">
      <c r="A158" s="20"/>
    </row>
    <row r="159" spans="1:1" x14ac:dyDescent="0.2">
      <c r="A159" s="20"/>
    </row>
    <row r="160" spans="1:1" x14ac:dyDescent="0.2">
      <c r="A160" s="20"/>
    </row>
    <row r="161" spans="1:1" x14ac:dyDescent="0.2">
      <c r="A161" s="20"/>
    </row>
    <row r="162" spans="1:1" x14ac:dyDescent="0.2">
      <c r="A162" s="20"/>
    </row>
    <row r="163" spans="1:1" x14ac:dyDescent="0.2">
      <c r="A163" s="20"/>
    </row>
    <row r="164" spans="1:1" x14ac:dyDescent="0.2">
      <c r="A164" s="20"/>
    </row>
    <row r="165" spans="1:1" x14ac:dyDescent="0.2">
      <c r="A165" s="20"/>
    </row>
    <row r="166" spans="1:1" x14ac:dyDescent="0.2">
      <c r="A166" s="20"/>
    </row>
    <row r="167" spans="1:1" x14ac:dyDescent="0.2">
      <c r="A167" s="20"/>
    </row>
    <row r="168" spans="1:1" x14ac:dyDescent="0.2">
      <c r="A168" s="20"/>
    </row>
    <row r="169" spans="1:1" x14ac:dyDescent="0.2">
      <c r="A169" s="20"/>
    </row>
    <row r="170" spans="1:1" x14ac:dyDescent="0.2">
      <c r="A170" s="20"/>
    </row>
    <row r="171" spans="1:1" x14ac:dyDescent="0.2">
      <c r="A171" s="20"/>
    </row>
    <row r="172" spans="1:1" x14ac:dyDescent="0.2">
      <c r="A172" s="20"/>
    </row>
    <row r="173" spans="1:1" x14ac:dyDescent="0.2">
      <c r="A173" s="20"/>
    </row>
    <row r="174" spans="1:1" x14ac:dyDescent="0.2">
      <c r="A174" s="20"/>
    </row>
    <row r="175" spans="1:1" x14ac:dyDescent="0.2">
      <c r="A175" s="20"/>
    </row>
    <row r="176" spans="1:1" x14ac:dyDescent="0.2">
      <c r="A176" s="20"/>
    </row>
    <row r="177" spans="1:1" x14ac:dyDescent="0.2">
      <c r="A177" s="20"/>
    </row>
    <row r="178" spans="1:1" x14ac:dyDescent="0.2">
      <c r="A178" s="20"/>
    </row>
    <row r="179" spans="1:1" x14ac:dyDescent="0.2">
      <c r="A179" s="20"/>
    </row>
    <row r="180" spans="1:1" x14ac:dyDescent="0.2">
      <c r="A180" s="20"/>
    </row>
    <row r="181" spans="1:1" x14ac:dyDescent="0.2">
      <c r="A181" s="20"/>
    </row>
    <row r="182" spans="1:1" x14ac:dyDescent="0.2">
      <c r="A182" s="20"/>
    </row>
    <row r="183" spans="1:1" x14ac:dyDescent="0.2">
      <c r="A183" s="20"/>
    </row>
    <row r="184" spans="1:1" x14ac:dyDescent="0.2">
      <c r="A184" s="20"/>
    </row>
    <row r="185" spans="1:1" x14ac:dyDescent="0.2">
      <c r="A185" s="20"/>
    </row>
    <row r="186" spans="1:1" x14ac:dyDescent="0.2">
      <c r="A186" s="20"/>
    </row>
    <row r="187" spans="1:1" x14ac:dyDescent="0.2">
      <c r="A187" s="20"/>
    </row>
    <row r="188" spans="1:1" x14ac:dyDescent="0.2">
      <c r="A188" s="20"/>
    </row>
    <row r="189" spans="1:1" x14ac:dyDescent="0.2">
      <c r="A189" s="20"/>
    </row>
    <row r="190" spans="1:1" x14ac:dyDescent="0.2">
      <c r="A190" s="20"/>
    </row>
    <row r="191" spans="1:1" x14ac:dyDescent="0.2">
      <c r="A191" s="20"/>
    </row>
    <row r="192" spans="1:1" x14ac:dyDescent="0.2">
      <c r="A192" s="20"/>
    </row>
    <row r="193" spans="1:1" x14ac:dyDescent="0.2">
      <c r="A193" s="20"/>
    </row>
    <row r="194" spans="1:1" x14ac:dyDescent="0.2">
      <c r="A194" s="20"/>
    </row>
    <row r="195" spans="1:1" x14ac:dyDescent="0.2">
      <c r="A195" s="20"/>
    </row>
    <row r="196" spans="1:1" x14ac:dyDescent="0.2">
      <c r="A196" s="20"/>
    </row>
    <row r="197" spans="1:1" x14ac:dyDescent="0.2">
      <c r="A197" s="20"/>
    </row>
    <row r="198" spans="1:1" x14ac:dyDescent="0.2">
      <c r="A198" s="20"/>
    </row>
    <row r="199" spans="1:1" x14ac:dyDescent="0.2">
      <c r="A199" s="20"/>
    </row>
    <row r="200" spans="1:1" x14ac:dyDescent="0.2">
      <c r="A200" s="20"/>
    </row>
    <row r="201" spans="1:1" x14ac:dyDescent="0.2">
      <c r="A201" s="20"/>
    </row>
    <row r="202" spans="1:1" x14ac:dyDescent="0.2">
      <c r="A202" s="20"/>
    </row>
    <row r="203" spans="1:1" x14ac:dyDescent="0.2">
      <c r="A203" s="20"/>
    </row>
    <row r="204" spans="1:1" x14ac:dyDescent="0.2">
      <c r="A204" s="20"/>
    </row>
    <row r="205" spans="1:1" x14ac:dyDescent="0.2">
      <c r="A205" s="20"/>
    </row>
    <row r="206" spans="1:1" x14ac:dyDescent="0.2">
      <c r="A206" s="20"/>
    </row>
    <row r="207" spans="1:1" x14ac:dyDescent="0.2">
      <c r="A207" s="20"/>
    </row>
    <row r="208" spans="1:1" x14ac:dyDescent="0.2">
      <c r="A208" s="20"/>
    </row>
    <row r="209" spans="1:1" x14ac:dyDescent="0.2">
      <c r="A209" s="20"/>
    </row>
    <row r="210" spans="1:1" x14ac:dyDescent="0.2">
      <c r="A210" s="20"/>
    </row>
    <row r="211" spans="1:1" x14ac:dyDescent="0.2">
      <c r="A211" s="20"/>
    </row>
    <row r="212" spans="1:1" x14ac:dyDescent="0.2">
      <c r="A212" s="20"/>
    </row>
    <row r="213" spans="1:1" x14ac:dyDescent="0.2">
      <c r="A213" s="20"/>
    </row>
    <row r="214" spans="1:1" x14ac:dyDescent="0.2">
      <c r="A214" s="20"/>
    </row>
    <row r="215" spans="1:1" x14ac:dyDescent="0.2">
      <c r="A215" s="20"/>
    </row>
    <row r="216" spans="1:1" x14ac:dyDescent="0.2">
      <c r="A216" s="20"/>
    </row>
    <row r="217" spans="1:1" x14ac:dyDescent="0.2">
      <c r="A217" s="20"/>
    </row>
    <row r="218" spans="1:1" x14ac:dyDescent="0.2">
      <c r="A218" s="20"/>
    </row>
    <row r="219" spans="1:1" x14ac:dyDescent="0.2">
      <c r="A219" s="20"/>
    </row>
    <row r="220" spans="1:1" x14ac:dyDescent="0.2">
      <c r="A220" s="20"/>
    </row>
    <row r="221" spans="1:1" x14ac:dyDescent="0.2">
      <c r="A221" s="20"/>
    </row>
    <row r="222" spans="1:1" x14ac:dyDescent="0.2">
      <c r="A222" s="20"/>
    </row>
    <row r="223" spans="1:1" x14ac:dyDescent="0.2">
      <c r="A223" s="20"/>
    </row>
    <row r="224" spans="1:1" x14ac:dyDescent="0.2">
      <c r="A224" s="20"/>
    </row>
    <row r="225" spans="1:1" x14ac:dyDescent="0.2">
      <c r="A225" s="20"/>
    </row>
    <row r="226" spans="1:1" x14ac:dyDescent="0.2">
      <c r="A226" s="20"/>
    </row>
    <row r="227" spans="1:1" x14ac:dyDescent="0.2">
      <c r="A227" s="20"/>
    </row>
    <row r="228" spans="1:1" x14ac:dyDescent="0.2">
      <c r="A228" s="20"/>
    </row>
    <row r="229" spans="1:1" x14ac:dyDescent="0.2">
      <c r="A229" s="20"/>
    </row>
    <row r="230" spans="1:1" x14ac:dyDescent="0.2">
      <c r="A230" s="20"/>
    </row>
    <row r="231" spans="1:1" x14ac:dyDescent="0.2">
      <c r="A231" s="20"/>
    </row>
    <row r="232" spans="1:1" x14ac:dyDescent="0.2">
      <c r="A232" s="20"/>
    </row>
    <row r="233" spans="1:1" x14ac:dyDescent="0.2">
      <c r="A233" s="20"/>
    </row>
    <row r="234" spans="1:1" x14ac:dyDescent="0.2">
      <c r="A234" s="20"/>
    </row>
    <row r="235" spans="1:1" x14ac:dyDescent="0.2">
      <c r="A235" s="20"/>
    </row>
    <row r="236" spans="1:1" x14ac:dyDescent="0.2">
      <c r="A236" s="20"/>
    </row>
    <row r="237" spans="1:1" x14ac:dyDescent="0.2">
      <c r="A237" s="20"/>
    </row>
    <row r="238" spans="1:1" x14ac:dyDescent="0.2">
      <c r="A238" s="20"/>
    </row>
    <row r="239" spans="1:1" x14ac:dyDescent="0.2">
      <c r="A239" s="20"/>
    </row>
    <row r="240" spans="1:1" x14ac:dyDescent="0.2">
      <c r="A240" s="20"/>
    </row>
    <row r="241" spans="1:1" x14ac:dyDescent="0.2">
      <c r="A241" s="20"/>
    </row>
    <row r="242" spans="1:1" x14ac:dyDescent="0.2">
      <c r="A242" s="20"/>
    </row>
    <row r="243" spans="1:1" x14ac:dyDescent="0.2">
      <c r="A243" s="20"/>
    </row>
    <row r="244" spans="1:1" x14ac:dyDescent="0.2">
      <c r="A244" s="20"/>
    </row>
    <row r="245" spans="1:1" x14ac:dyDescent="0.2">
      <c r="A245" s="20"/>
    </row>
    <row r="246" spans="1:1" x14ac:dyDescent="0.2">
      <c r="A246" s="20"/>
    </row>
    <row r="247" spans="1:1" x14ac:dyDescent="0.2">
      <c r="A247" s="20"/>
    </row>
    <row r="248" spans="1:1" x14ac:dyDescent="0.2">
      <c r="A248" s="20"/>
    </row>
    <row r="249" spans="1:1" x14ac:dyDescent="0.2">
      <c r="A249" s="20"/>
    </row>
    <row r="250" spans="1:1" x14ac:dyDescent="0.2">
      <c r="A250" s="20"/>
    </row>
    <row r="251" spans="1:1" x14ac:dyDescent="0.2">
      <c r="A251" s="20"/>
    </row>
    <row r="252" spans="1:1" x14ac:dyDescent="0.2">
      <c r="A252" s="20"/>
    </row>
    <row r="253" spans="1:1" x14ac:dyDescent="0.2">
      <c r="A253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I82"/>
  <sheetViews>
    <sheetView zoomScale="110" zoomScaleNormal="110" workbookViewId="0">
      <selection activeCell="G12" sqref="G12"/>
    </sheetView>
  </sheetViews>
  <sheetFormatPr baseColWidth="10" defaultRowHeight="16" x14ac:dyDescent="0.2"/>
  <cols>
    <col min="2" max="2" width="21.5" customWidth="1"/>
    <col min="5" max="5" width="13.83203125" customWidth="1"/>
    <col min="8" max="8" width="13.83203125" customWidth="1"/>
  </cols>
  <sheetData>
    <row r="3" spans="2:9" x14ac:dyDescent="0.2">
      <c r="B3" s="39" t="s">
        <v>32</v>
      </c>
      <c r="C3" s="39"/>
      <c r="E3" s="39" t="s">
        <v>42</v>
      </c>
      <c r="F3" s="39"/>
      <c r="H3" s="39" t="s">
        <v>35</v>
      </c>
      <c r="I3" s="39"/>
    </row>
    <row r="4" spans="2:9" x14ac:dyDescent="0.2">
      <c r="B4" s="9" t="s">
        <v>31</v>
      </c>
      <c r="C4" s="10">
        <v>2000000</v>
      </c>
      <c r="E4" s="9" t="s">
        <v>29</v>
      </c>
      <c r="F4" s="10">
        <v>1.5</v>
      </c>
      <c r="H4" s="9" t="s">
        <v>34</v>
      </c>
      <c r="I4" s="10">
        <v>0.15</v>
      </c>
    </row>
    <row r="5" spans="2:9" x14ac:dyDescent="0.2">
      <c r="B5" s="9" t="s">
        <v>39</v>
      </c>
      <c r="C5" s="12">
        <v>0.01</v>
      </c>
      <c r="E5" s="9" t="s">
        <v>41</v>
      </c>
      <c r="F5" s="12">
        <v>1</v>
      </c>
      <c r="H5" s="9" t="s">
        <v>33</v>
      </c>
      <c r="I5" s="12">
        <v>0.2</v>
      </c>
    </row>
    <row r="6" spans="2:9" x14ac:dyDescent="0.2">
      <c r="H6" s="9" t="s">
        <v>30</v>
      </c>
      <c r="I6" s="9">
        <v>0.3</v>
      </c>
    </row>
    <row r="8" spans="2:9" x14ac:dyDescent="0.2">
      <c r="B8" s="52" t="s">
        <v>36</v>
      </c>
      <c r="C8" s="53"/>
      <c r="D8" s="54"/>
    </row>
    <row r="9" spans="2:9" x14ac:dyDescent="0.2">
      <c r="B9" s="9"/>
      <c r="C9" s="9" t="str">
        <f t="array" ref="C9:D9">TRANSPOSE(B10:B11)</f>
        <v>FTSE 100</v>
      </c>
      <c r="D9" s="9" t="str">
        <v xml:space="preserve"> $/£</v>
      </c>
    </row>
    <row r="10" spans="2:9" x14ac:dyDescent="0.2">
      <c r="B10" s="9" t="s">
        <v>34</v>
      </c>
      <c r="C10" s="10">
        <f>I4^2</f>
        <v>2.2499999999999999E-2</v>
      </c>
      <c r="D10" s="9">
        <f>I4*I5*I6</f>
        <v>8.9999999999999993E-3</v>
      </c>
    </row>
    <row r="11" spans="2:9" x14ac:dyDescent="0.2">
      <c r="B11" s="9" t="s">
        <v>33</v>
      </c>
      <c r="C11" s="9">
        <f>D10</f>
        <v>8.9999999999999993E-3</v>
      </c>
      <c r="D11" s="12">
        <f>I5^2</f>
        <v>4.0000000000000008E-2</v>
      </c>
    </row>
    <row r="13" spans="2:9" x14ac:dyDescent="0.2">
      <c r="B13" s="52" t="s">
        <v>37</v>
      </c>
      <c r="C13" s="53"/>
      <c r="D13" s="54"/>
    </row>
    <row r="14" spans="2:9" x14ac:dyDescent="0.2">
      <c r="B14" s="9"/>
      <c r="C14" s="9" t="str">
        <f t="array" ref="C14:D14">TRANSPOSE(B15:B16)</f>
        <v>FTSE 100</v>
      </c>
      <c r="D14" s="9" t="str">
        <v xml:space="preserve"> $/£</v>
      </c>
    </row>
    <row r="15" spans="2:9" x14ac:dyDescent="0.2">
      <c r="B15" s="9" t="s">
        <v>34</v>
      </c>
      <c r="C15" s="10">
        <f t="array" ref="C15:D16">(C10:D11)*(10/250)</f>
        <v>8.9999999999999998E-4</v>
      </c>
      <c r="D15" s="9">
        <v>3.5999999999999997E-4</v>
      </c>
    </row>
    <row r="16" spans="2:9" x14ac:dyDescent="0.2">
      <c r="B16" s="9" t="s">
        <v>33</v>
      </c>
      <c r="C16" s="9">
        <v>3.5999999999999997E-4</v>
      </c>
      <c r="D16" s="12">
        <v>1.6000000000000003E-3</v>
      </c>
    </row>
    <row r="18" spans="2:9" x14ac:dyDescent="0.2">
      <c r="B18" s="24" t="s">
        <v>48</v>
      </c>
      <c r="C18" s="24"/>
      <c r="D18" s="24"/>
    </row>
    <row r="20" spans="2:9" x14ac:dyDescent="0.2">
      <c r="B20" s="39" t="s">
        <v>38</v>
      </c>
      <c r="C20" s="39"/>
      <c r="E20" s="45" t="s">
        <v>45</v>
      </c>
      <c r="F20" s="45"/>
      <c r="H20" s="55" t="s">
        <v>46</v>
      </c>
      <c r="I20" s="55"/>
    </row>
    <row r="21" spans="2:9" x14ac:dyDescent="0.2">
      <c r="B21" s="2" t="s">
        <v>19</v>
      </c>
      <c r="C21" s="9">
        <f t="array" ref="C21">MMULT(TRANSPOSE(F4:F5),MMULT(_xlfn.ANCHORARRAY(C15),F4:F5))</f>
        <v>4.7050000000000008E-3</v>
      </c>
      <c r="E21" s="46" t="s">
        <v>19</v>
      </c>
      <c r="F21" s="10">
        <f>F4*C15*F4</f>
        <v>2.0249999999999999E-3</v>
      </c>
      <c r="H21" s="44" t="s">
        <v>19</v>
      </c>
      <c r="I21" s="12">
        <f>F5*D16*F5</f>
        <v>1.6000000000000003E-3</v>
      </c>
    </row>
    <row r="22" spans="2:9" x14ac:dyDescent="0.2">
      <c r="B22" s="9" t="s">
        <v>40</v>
      </c>
      <c r="C22" s="9">
        <f>_xlfn.NORM.S.INV(1-$C$5)</f>
        <v>2.3263478740408408</v>
      </c>
      <c r="E22" s="10" t="s">
        <v>40</v>
      </c>
      <c r="F22" s="10">
        <f>_xlfn.NORM.S.INV(1-$C$5)</f>
        <v>2.3263478740408408</v>
      </c>
      <c r="H22" s="12" t="s">
        <v>40</v>
      </c>
      <c r="I22" s="12">
        <f>_xlfn.NORM.S.INV(1-$C$5)</f>
        <v>2.3263478740408408</v>
      </c>
    </row>
    <row r="23" spans="2:9" x14ac:dyDescent="0.2">
      <c r="B23" s="9" t="s">
        <v>43</v>
      </c>
      <c r="C23" s="9">
        <f>C22*SQRT(C21)</f>
        <v>0.15957118567620746</v>
      </c>
      <c r="E23" s="10" t="s">
        <v>43</v>
      </c>
      <c r="F23" s="10">
        <f>F22*SQRT(F21)</f>
        <v>0.10468565433183782</v>
      </c>
      <c r="H23" s="12" t="s">
        <v>43</v>
      </c>
      <c r="I23" s="12">
        <f>I22*SQRT(I21)</f>
        <v>9.3053914961633635E-2</v>
      </c>
    </row>
    <row r="24" spans="2:9" x14ac:dyDescent="0.2">
      <c r="B24" s="9" t="s">
        <v>44</v>
      </c>
      <c r="C24" s="9">
        <f>C23*$C$4</f>
        <v>319142.37135241489</v>
      </c>
      <c r="E24" s="10" t="s">
        <v>44</v>
      </c>
      <c r="F24" s="10">
        <f>F23*$C$4</f>
        <v>209371.30866367565</v>
      </c>
      <c r="H24" s="12" t="s">
        <v>44</v>
      </c>
      <c r="I24" s="12">
        <f>I23*$C$4</f>
        <v>186107.82992326727</v>
      </c>
    </row>
    <row r="26" spans="2:9" x14ac:dyDescent="0.2">
      <c r="B26" s="39" t="s">
        <v>47</v>
      </c>
      <c r="C26" s="39"/>
    </row>
    <row r="27" spans="2:9" x14ac:dyDescent="0.2">
      <c r="B27" s="22">
        <f>F24+I24</f>
        <v>395479.13858694292</v>
      </c>
      <c r="C27" s="22"/>
    </row>
    <row r="30" spans="2:9" x14ac:dyDescent="0.2">
      <c r="B30" s="24" t="s">
        <v>49</v>
      </c>
      <c r="C30" s="24"/>
      <c r="D30" s="24"/>
    </row>
    <row r="31" spans="2:9" x14ac:dyDescent="0.2">
      <c r="C31" s="40" t="s">
        <v>20</v>
      </c>
      <c r="D31" s="41" t="s">
        <v>241</v>
      </c>
    </row>
    <row r="32" spans="2:9" x14ac:dyDescent="0.2">
      <c r="B32" s="10" t="s">
        <v>34</v>
      </c>
      <c r="C32" s="10">
        <f t="array" ref="C32:C33">MMULT(_xlfn.ANCHORARRAY(C15),F4:F5)</f>
        <v>1.7100000000000001E-3</v>
      </c>
      <c r="D32" s="10">
        <f>C32*_xlfn.NORM.S.INV(1-$C$5)/SQRT($C$21)</f>
        <v>5.7995053667654554E-2</v>
      </c>
    </row>
    <row r="33" spans="2:4" x14ac:dyDescent="0.2">
      <c r="B33" s="12" t="s">
        <v>33</v>
      </c>
      <c r="C33" s="12">
        <v>2.1400000000000004E-3</v>
      </c>
      <c r="D33" s="12">
        <f>C33*_xlfn.NORM.S.INV(1-$C$5)/SQRT($C$21)</f>
        <v>7.2578605174725599E-2</v>
      </c>
    </row>
    <row r="35" spans="2:4" x14ac:dyDescent="0.2">
      <c r="B35" s="10" t="s">
        <v>50</v>
      </c>
      <c r="C35" s="10">
        <f>D32*F4</f>
        <v>8.6992580501481828E-2</v>
      </c>
    </row>
    <row r="36" spans="2:4" x14ac:dyDescent="0.2">
      <c r="B36" s="10" t="s">
        <v>53</v>
      </c>
      <c r="C36" s="10">
        <f>C35*$C$4</f>
        <v>173985.16100296366</v>
      </c>
    </row>
    <row r="37" spans="2:4" x14ac:dyDescent="0.2">
      <c r="B37" s="12" t="s">
        <v>51</v>
      </c>
      <c r="C37" s="12">
        <f>D33*F5</f>
        <v>7.2578605174725599E-2</v>
      </c>
    </row>
    <row r="38" spans="2:4" x14ac:dyDescent="0.2">
      <c r="B38" s="12" t="s">
        <v>52</v>
      </c>
      <c r="C38" s="12">
        <f>C37*$C$4</f>
        <v>145157.2103494512</v>
      </c>
    </row>
    <row r="39" spans="2:4" x14ac:dyDescent="0.2">
      <c r="B39" s="9" t="s">
        <v>54</v>
      </c>
      <c r="C39" s="9">
        <f>C36+C38</f>
        <v>319142.37135241483</v>
      </c>
    </row>
    <row r="72" spans="2:7" x14ac:dyDescent="0.2">
      <c r="B72" s="25" t="s">
        <v>55</v>
      </c>
      <c r="C72" s="25"/>
      <c r="D72" s="25"/>
      <c r="E72" t="s">
        <v>218</v>
      </c>
      <c r="F72" t="s">
        <v>219</v>
      </c>
      <c r="G72" t="s">
        <v>84</v>
      </c>
    </row>
    <row r="73" spans="2:7" x14ac:dyDescent="0.2">
      <c r="B73" s="9">
        <v>-1</v>
      </c>
      <c r="C73" s="9">
        <v>23263.478740408689</v>
      </c>
      <c r="E73" s="9">
        <v>209371.30866367565</v>
      </c>
      <c r="F73">
        <v>186107.82992326727</v>
      </c>
      <c r="G73">
        <v>395479.13858694292</v>
      </c>
    </row>
    <row r="74" spans="2:7" x14ac:dyDescent="0.2">
      <c r="B74" s="9">
        <v>-0.75</v>
      </c>
      <c r="C74" s="9">
        <v>141506.2168065455</v>
      </c>
      <c r="E74" s="9">
        <v>209371.30866367565</v>
      </c>
      <c r="F74">
        <v>186107.82992326727</v>
      </c>
      <c r="G74">
        <v>395479.13858694292</v>
      </c>
    </row>
    <row r="75" spans="2:7" x14ac:dyDescent="0.2">
      <c r="B75" s="9">
        <v>-0.5</v>
      </c>
      <c r="C75" s="9">
        <v>198763.24948716423</v>
      </c>
      <c r="E75" s="9">
        <v>209371.30866367565</v>
      </c>
      <c r="F75">
        <v>186107.82992326727</v>
      </c>
      <c r="G75">
        <v>395479.13858694292</v>
      </c>
    </row>
    <row r="76" spans="2:7" x14ac:dyDescent="0.2">
      <c r="B76" s="9">
        <v>-0.25</v>
      </c>
      <c r="C76" s="9">
        <v>242877.84851338813</v>
      </c>
      <c r="E76" s="9">
        <v>209371.30866367565</v>
      </c>
      <c r="F76">
        <v>186107.82992326727</v>
      </c>
      <c r="G76">
        <v>395479.13858694292</v>
      </c>
    </row>
    <row r="77" spans="2:7" x14ac:dyDescent="0.2">
      <c r="B77" s="9">
        <v>0</v>
      </c>
      <c r="C77" s="9">
        <v>280129.37948435172</v>
      </c>
      <c r="E77" s="9">
        <v>209371.30866367565</v>
      </c>
      <c r="F77">
        <v>186107.82992326727</v>
      </c>
      <c r="G77">
        <v>395479.13858694292</v>
      </c>
    </row>
    <row r="78" spans="2:7" x14ac:dyDescent="0.2">
      <c r="B78" s="9">
        <v>0.25</v>
      </c>
      <c r="C78" s="9">
        <v>312978.09700054658</v>
      </c>
      <c r="E78" s="9">
        <v>209371.30866367565</v>
      </c>
      <c r="F78">
        <v>186107.82992326727</v>
      </c>
      <c r="G78">
        <v>395479.13858694292</v>
      </c>
    </row>
    <row r="79" spans="2:7" x14ac:dyDescent="0.2">
      <c r="B79" s="14">
        <v>0.3</v>
      </c>
      <c r="C79" s="14">
        <v>319142.37135241489</v>
      </c>
      <c r="E79" s="9">
        <v>209371.30866367565</v>
      </c>
      <c r="F79">
        <v>186107.82992326727</v>
      </c>
      <c r="G79">
        <v>395479.13858694292</v>
      </c>
    </row>
    <row r="80" spans="2:7" x14ac:dyDescent="0.2">
      <c r="B80" s="9">
        <v>0.5</v>
      </c>
      <c r="C80" s="9">
        <v>342692.44105156325</v>
      </c>
      <c r="E80" s="9">
        <v>209371.30866367565</v>
      </c>
      <c r="F80">
        <v>186107.82992326727</v>
      </c>
      <c r="G80">
        <v>395479.13858694292</v>
      </c>
    </row>
    <row r="81" spans="2:7" x14ac:dyDescent="0.2">
      <c r="B81" s="9">
        <v>0.75</v>
      </c>
      <c r="C81" s="9">
        <v>370028.2814943674</v>
      </c>
      <c r="E81" s="9">
        <v>209371.30866367565</v>
      </c>
      <c r="F81">
        <v>186107.82992326727</v>
      </c>
      <c r="G81">
        <v>395479.13858694292</v>
      </c>
    </row>
    <row r="82" spans="2:7" x14ac:dyDescent="0.2">
      <c r="B82" s="9">
        <v>1</v>
      </c>
      <c r="C82" s="9">
        <v>395479.13858694292</v>
      </c>
      <c r="E82" s="9">
        <v>209371.30866367565</v>
      </c>
      <c r="F82">
        <v>186107.82992326727</v>
      </c>
      <c r="G82">
        <v>395479.13858694292</v>
      </c>
    </row>
  </sheetData>
  <mergeCells count="13">
    <mergeCell ref="B30:D30"/>
    <mergeCell ref="B72:D72"/>
    <mergeCell ref="E20:F20"/>
    <mergeCell ref="H20:I20"/>
    <mergeCell ref="B26:C26"/>
    <mergeCell ref="B27:C27"/>
    <mergeCell ref="B20:C20"/>
    <mergeCell ref="B8:D8"/>
    <mergeCell ref="B13:D13"/>
    <mergeCell ref="B18:D18"/>
    <mergeCell ref="B3:C3"/>
    <mergeCell ref="H3:I3"/>
    <mergeCell ref="E3:F3"/>
  </mergeCells>
  <pageMargins left="0.7" right="0.7" top="0.75" bottom="0.75" header="0.3" footer="0.3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64"/>
  <sheetViews>
    <sheetView topLeftCell="A5" workbookViewId="0">
      <selection activeCell="K22" sqref="K22"/>
    </sheetView>
  </sheetViews>
  <sheetFormatPr baseColWidth="10" defaultRowHeight="16" x14ac:dyDescent="0.2"/>
  <cols>
    <col min="2" max="2" width="18" customWidth="1"/>
    <col min="3" max="3" width="12.1640625" customWidth="1"/>
    <col min="6" max="6" width="11.1640625" customWidth="1"/>
    <col min="7" max="7" width="13.33203125" customWidth="1"/>
  </cols>
  <sheetData>
    <row r="1" spans="2:11" x14ac:dyDescent="0.2">
      <c r="B1" s="24" t="s">
        <v>32</v>
      </c>
      <c r="C1" s="24"/>
      <c r="E1" s="9" t="s">
        <v>39</v>
      </c>
      <c r="F1" s="9">
        <v>0.01</v>
      </c>
    </row>
    <row r="2" spans="2:11" x14ac:dyDescent="0.2">
      <c r="B2" s="26"/>
      <c r="C2" s="26"/>
      <c r="K2" s="2" t="s">
        <v>220</v>
      </c>
    </row>
    <row r="3" spans="2:11" x14ac:dyDescent="0.2">
      <c r="B3" s="22" t="s">
        <v>72</v>
      </c>
      <c r="C3" s="22"/>
      <c r="D3" s="22"/>
      <c r="E3" s="22"/>
      <c r="F3" s="22"/>
      <c r="G3" s="22"/>
      <c r="J3" s="14" t="s">
        <v>60</v>
      </c>
      <c r="K3" s="14">
        <v>1800000</v>
      </c>
    </row>
    <row r="4" spans="2:11" x14ac:dyDescent="0.2">
      <c r="B4" s="9" t="s">
        <v>59</v>
      </c>
      <c r="C4" s="9" t="s">
        <v>74</v>
      </c>
      <c r="D4" s="9" t="s">
        <v>29</v>
      </c>
      <c r="E4" s="9" t="s">
        <v>56</v>
      </c>
      <c r="F4" s="9" t="s">
        <v>57</v>
      </c>
      <c r="G4" s="9" t="s">
        <v>58</v>
      </c>
      <c r="J4" s="14" t="s">
        <v>34</v>
      </c>
      <c r="K4" s="14">
        <v>2200000</v>
      </c>
    </row>
    <row r="5" spans="2:11" x14ac:dyDescent="0.2">
      <c r="B5" s="9" t="s">
        <v>60</v>
      </c>
      <c r="C5" s="14">
        <v>2000000</v>
      </c>
      <c r="D5" s="14">
        <v>0.9</v>
      </c>
      <c r="E5" s="14" t="s">
        <v>63</v>
      </c>
      <c r="F5" s="10">
        <v>0.2</v>
      </c>
      <c r="G5" s="14">
        <f>C5*D5</f>
        <v>1800000</v>
      </c>
      <c r="J5" s="14" t="s">
        <v>61</v>
      </c>
      <c r="K5" s="14">
        <v>3600000</v>
      </c>
    </row>
    <row r="6" spans="2:11" x14ac:dyDescent="0.2">
      <c r="B6" s="9" t="s">
        <v>34</v>
      </c>
      <c r="C6" s="14">
        <v>2000000</v>
      </c>
      <c r="D6" s="14">
        <v>1.1000000000000001</v>
      </c>
      <c r="E6" s="14" t="s">
        <v>64</v>
      </c>
      <c r="F6" s="10">
        <v>0.22</v>
      </c>
      <c r="G6" s="14">
        <f t="shared" ref="G6:G8" si="0">C6*D6</f>
        <v>2200000</v>
      </c>
      <c r="J6" s="14" t="s">
        <v>62</v>
      </c>
      <c r="K6" s="14">
        <v>5200000</v>
      </c>
    </row>
    <row r="7" spans="2:11" x14ac:dyDescent="0.2">
      <c r="B7" s="9" t="s">
        <v>61</v>
      </c>
      <c r="C7" s="14">
        <v>3000000</v>
      </c>
      <c r="D7" s="14">
        <v>1.2</v>
      </c>
      <c r="E7" s="14" t="s">
        <v>65</v>
      </c>
      <c r="F7" s="10">
        <v>0.25</v>
      </c>
      <c r="G7" s="14">
        <f t="shared" si="0"/>
        <v>3600000</v>
      </c>
      <c r="J7" s="7" t="s">
        <v>67</v>
      </c>
      <c r="K7" s="7">
        <v>2000000</v>
      </c>
    </row>
    <row r="8" spans="2:11" x14ac:dyDescent="0.2">
      <c r="B8" s="9" t="s">
        <v>62</v>
      </c>
      <c r="C8" s="14">
        <v>4000000</v>
      </c>
      <c r="D8" s="14">
        <v>1.3</v>
      </c>
      <c r="E8" s="14" t="s">
        <v>66</v>
      </c>
      <c r="F8" s="10">
        <v>0.27</v>
      </c>
      <c r="G8" s="14">
        <f t="shared" si="0"/>
        <v>5200000</v>
      </c>
      <c r="J8" s="7" t="s">
        <v>69</v>
      </c>
      <c r="K8" s="7">
        <v>7000000</v>
      </c>
    </row>
    <row r="10" spans="2:11" x14ac:dyDescent="0.2">
      <c r="B10" s="22" t="s">
        <v>73</v>
      </c>
      <c r="C10" s="22"/>
      <c r="D10" s="22"/>
      <c r="E10" s="22"/>
    </row>
    <row r="11" spans="2:11" x14ac:dyDescent="0.2">
      <c r="B11" s="9" t="s">
        <v>68</v>
      </c>
      <c r="C11" s="9" t="s">
        <v>56</v>
      </c>
      <c r="D11" s="9" t="s">
        <v>57</v>
      </c>
      <c r="E11" s="9" t="s">
        <v>74</v>
      </c>
    </row>
    <row r="12" spans="2:11" x14ac:dyDescent="0.2">
      <c r="B12" s="7" t="s">
        <v>67</v>
      </c>
      <c r="C12" s="7" t="s">
        <v>70</v>
      </c>
      <c r="D12" s="10">
        <v>0.15</v>
      </c>
      <c r="E12" s="7">
        <v>2000000</v>
      </c>
    </row>
    <row r="13" spans="2:11" x14ac:dyDescent="0.2">
      <c r="B13" s="7" t="s">
        <v>69</v>
      </c>
      <c r="C13" s="7" t="s">
        <v>71</v>
      </c>
      <c r="D13" s="10">
        <v>0.1</v>
      </c>
      <c r="E13" s="7">
        <v>7000000</v>
      </c>
    </row>
    <row r="16" spans="2:11" x14ac:dyDescent="0.2">
      <c r="B16" s="22" t="s">
        <v>8</v>
      </c>
      <c r="C16" s="22"/>
      <c r="D16" s="22"/>
      <c r="E16" s="22"/>
      <c r="F16" s="22"/>
      <c r="G16" s="22"/>
      <c r="H16" s="22"/>
    </row>
    <row r="17" spans="2:9" x14ac:dyDescent="0.2">
      <c r="B17" s="9"/>
      <c r="C17" s="9" t="str">
        <f t="array" ref="C17:H17">TRANSPOSE(B18:B23)</f>
        <v>S&amp;P 500</v>
      </c>
      <c r="D17" s="9" t="str">
        <v>FTSE 100</v>
      </c>
      <c r="E17" s="9" t="str">
        <v>CAC 40</v>
      </c>
      <c r="F17" s="9" t="str">
        <v>DAX 30</v>
      </c>
      <c r="G17" s="9" t="str">
        <v>$/£</v>
      </c>
      <c r="H17" s="9" t="str">
        <v>$/€</v>
      </c>
    </row>
    <row r="18" spans="2:9" x14ac:dyDescent="0.2">
      <c r="B18" s="9" t="s">
        <v>60</v>
      </c>
      <c r="C18" s="14">
        <v>1</v>
      </c>
      <c r="D18" s="14">
        <v>0.75</v>
      </c>
      <c r="E18" s="14">
        <v>0.75</v>
      </c>
      <c r="F18" s="14">
        <v>0.75</v>
      </c>
      <c r="G18" s="12">
        <v>0.2</v>
      </c>
      <c r="H18" s="12">
        <v>0.2</v>
      </c>
    </row>
    <row r="19" spans="2:9" x14ac:dyDescent="0.2">
      <c r="B19" s="9" t="s">
        <v>34</v>
      </c>
      <c r="C19" s="14">
        <v>0.75</v>
      </c>
      <c r="D19" s="14">
        <v>1</v>
      </c>
      <c r="E19" s="14">
        <v>0.75</v>
      </c>
      <c r="F19" s="14">
        <v>0.75</v>
      </c>
      <c r="G19" s="12">
        <v>0.2</v>
      </c>
      <c r="H19" s="12">
        <v>0.2</v>
      </c>
    </row>
    <row r="20" spans="2:9" x14ac:dyDescent="0.2">
      <c r="B20" s="9" t="s">
        <v>61</v>
      </c>
      <c r="C20" s="14">
        <v>0.75</v>
      </c>
      <c r="D20" s="14">
        <v>0.75</v>
      </c>
      <c r="E20" s="14">
        <v>1</v>
      </c>
      <c r="F20" s="14">
        <v>0.75</v>
      </c>
      <c r="G20" s="12">
        <v>0.2</v>
      </c>
      <c r="H20" s="12">
        <v>0.2</v>
      </c>
    </row>
    <row r="21" spans="2:9" x14ac:dyDescent="0.2">
      <c r="B21" s="9" t="s">
        <v>62</v>
      </c>
      <c r="C21" s="14">
        <v>0.75</v>
      </c>
      <c r="D21" s="14">
        <v>0.75</v>
      </c>
      <c r="E21" s="14">
        <v>0.75</v>
      </c>
      <c r="F21" s="14">
        <v>1</v>
      </c>
      <c r="G21" s="12">
        <v>0.2</v>
      </c>
      <c r="H21" s="12">
        <v>0.2</v>
      </c>
    </row>
    <row r="22" spans="2:9" x14ac:dyDescent="0.2">
      <c r="B22" s="9" t="s">
        <v>67</v>
      </c>
      <c r="C22" s="12">
        <v>0.2</v>
      </c>
      <c r="D22" s="12">
        <v>0.2</v>
      </c>
      <c r="E22" s="12">
        <v>0.2</v>
      </c>
      <c r="F22" s="12">
        <v>0.2</v>
      </c>
      <c r="G22" s="7">
        <v>1</v>
      </c>
      <c r="H22" s="7">
        <v>0.5</v>
      </c>
    </row>
    <row r="23" spans="2:9" x14ac:dyDescent="0.2">
      <c r="B23" s="9" t="s">
        <v>69</v>
      </c>
      <c r="C23" s="12">
        <v>0.2</v>
      </c>
      <c r="D23" s="12">
        <v>0.2</v>
      </c>
      <c r="E23" s="12">
        <v>0.2</v>
      </c>
      <c r="F23" s="12">
        <v>0.2</v>
      </c>
      <c r="G23" s="7">
        <v>0.5</v>
      </c>
      <c r="H23" s="7">
        <v>1</v>
      </c>
    </row>
    <row r="26" spans="2:9" x14ac:dyDescent="0.2">
      <c r="B26" s="22" t="s">
        <v>75</v>
      </c>
      <c r="C26" s="22"/>
      <c r="D26" s="22"/>
      <c r="E26" s="22"/>
      <c r="F26" s="22"/>
      <c r="G26" s="22"/>
      <c r="H26" s="22"/>
      <c r="I26" s="22"/>
    </row>
    <row r="27" spans="2:9" x14ac:dyDescent="0.2">
      <c r="B27" s="9" t="s">
        <v>57</v>
      </c>
      <c r="C27" s="9"/>
      <c r="D27" s="10">
        <f t="array" ref="D27:I27">TRANSPOSE(B29:B34)</f>
        <v>0.2</v>
      </c>
      <c r="E27" s="10">
        <v>0.22</v>
      </c>
      <c r="F27" s="10">
        <v>0.25</v>
      </c>
      <c r="G27" s="10">
        <v>0.27</v>
      </c>
      <c r="H27" s="10">
        <v>0.15</v>
      </c>
      <c r="I27" s="10">
        <v>0.1</v>
      </c>
    </row>
    <row r="28" spans="2:9" x14ac:dyDescent="0.2">
      <c r="B28" s="9"/>
      <c r="C28" s="9"/>
      <c r="D28" s="9" t="s">
        <v>60</v>
      </c>
      <c r="E28" s="9" t="s">
        <v>34</v>
      </c>
      <c r="F28" s="9" t="s">
        <v>61</v>
      </c>
      <c r="G28" s="9" t="s">
        <v>62</v>
      </c>
      <c r="H28" s="9" t="s">
        <v>67</v>
      </c>
      <c r="I28" s="9" t="s">
        <v>69</v>
      </c>
    </row>
    <row r="29" spans="2:9" x14ac:dyDescent="0.2">
      <c r="B29" s="10">
        <v>0.2</v>
      </c>
      <c r="C29" s="9" t="s">
        <v>60</v>
      </c>
      <c r="D29" s="14">
        <f>$B29*D$27</f>
        <v>4.0000000000000008E-2</v>
      </c>
      <c r="E29" s="14">
        <f>$B29*E$27*D18</f>
        <v>3.3000000000000002E-2</v>
      </c>
      <c r="F29" s="14">
        <f t="shared" ref="F29:I29" si="1">$B29*F$27*E18</f>
        <v>3.7500000000000006E-2</v>
      </c>
      <c r="G29" s="14">
        <f t="shared" si="1"/>
        <v>4.0500000000000008E-2</v>
      </c>
      <c r="H29" s="12">
        <f t="shared" si="1"/>
        <v>6.0000000000000001E-3</v>
      </c>
      <c r="I29" s="12">
        <f t="shared" si="1"/>
        <v>4.000000000000001E-3</v>
      </c>
    </row>
    <row r="30" spans="2:9" x14ac:dyDescent="0.2">
      <c r="B30" s="10">
        <v>0.22</v>
      </c>
      <c r="C30" s="9" t="s">
        <v>34</v>
      </c>
      <c r="D30" s="14">
        <f t="array" ref="D30:D34">TRANSPOSE(E29:I29)</f>
        <v>3.3000000000000002E-2</v>
      </c>
      <c r="E30" s="14">
        <f>$B30*E$27</f>
        <v>4.8399999999999999E-2</v>
      </c>
      <c r="F30" s="14">
        <f>$B30*F$27*E19</f>
        <v>4.1250000000000002E-2</v>
      </c>
      <c r="G30" s="14">
        <f t="shared" ref="G30:I30" si="2">$B30*G$27*F19</f>
        <v>4.4549999999999999E-2</v>
      </c>
      <c r="H30" s="12">
        <f t="shared" si="2"/>
        <v>6.6000000000000008E-3</v>
      </c>
      <c r="I30" s="12">
        <f t="shared" si="2"/>
        <v>4.4000000000000003E-3</v>
      </c>
    </row>
    <row r="31" spans="2:9" x14ac:dyDescent="0.2">
      <c r="B31" s="10">
        <v>0.25</v>
      </c>
      <c r="C31" s="9" t="s">
        <v>61</v>
      </c>
      <c r="D31" s="14">
        <v>3.7500000000000006E-2</v>
      </c>
      <c r="E31" s="14">
        <f t="array" ref="E31:E34">TRANSPOSE(F30:I30)</f>
        <v>4.1250000000000002E-2</v>
      </c>
      <c r="F31" s="14">
        <f>$B31*F$27</f>
        <v>6.25E-2</v>
      </c>
      <c r="G31" s="14">
        <f>$B31*G$27*F20</f>
        <v>5.0625000000000003E-2</v>
      </c>
      <c r="H31" s="12">
        <f t="shared" ref="H31:I31" si="3">$B31*H$27*G20</f>
        <v>7.4999999999999997E-3</v>
      </c>
      <c r="I31" s="12">
        <f t="shared" si="3"/>
        <v>5.000000000000001E-3</v>
      </c>
    </row>
    <row r="32" spans="2:9" x14ac:dyDescent="0.2">
      <c r="B32" s="10">
        <v>0.27</v>
      </c>
      <c r="C32" s="9" t="s">
        <v>62</v>
      </c>
      <c r="D32" s="14">
        <v>4.0500000000000008E-2</v>
      </c>
      <c r="E32" s="14">
        <v>4.4549999999999999E-2</v>
      </c>
      <c r="F32" s="14">
        <f t="array" ref="F32:F34">TRANSPOSE(G31:I31)</f>
        <v>5.0625000000000003E-2</v>
      </c>
      <c r="G32" s="14">
        <f>$B32*G$27</f>
        <v>7.2900000000000006E-2</v>
      </c>
      <c r="H32" s="12">
        <f>$B32*H$27*G21</f>
        <v>8.1000000000000013E-3</v>
      </c>
      <c r="I32" s="12">
        <f>$B32*I$27*H21</f>
        <v>5.4000000000000012E-3</v>
      </c>
    </row>
    <row r="33" spans="2:9" x14ac:dyDescent="0.2">
      <c r="B33" s="10">
        <v>0.15</v>
      </c>
      <c r="C33" s="9" t="s">
        <v>67</v>
      </c>
      <c r="D33" s="12">
        <v>6.0000000000000001E-3</v>
      </c>
      <c r="E33" s="12">
        <v>6.6000000000000008E-3</v>
      </c>
      <c r="F33" s="12">
        <v>7.4999999999999997E-3</v>
      </c>
      <c r="G33" s="12">
        <f t="array" ref="G33:G34">TRANSPOSE(H32:I32)</f>
        <v>8.1000000000000013E-3</v>
      </c>
      <c r="H33" s="7">
        <f>$B33*H$27</f>
        <v>2.2499999999999999E-2</v>
      </c>
      <c r="I33" s="7">
        <f>$B33*I$27*H22</f>
        <v>7.4999999999999997E-3</v>
      </c>
    </row>
    <row r="34" spans="2:9" x14ac:dyDescent="0.2">
      <c r="B34" s="10">
        <v>0.1</v>
      </c>
      <c r="C34" s="9" t="s">
        <v>69</v>
      </c>
      <c r="D34" s="12">
        <v>4.000000000000001E-3</v>
      </c>
      <c r="E34" s="12">
        <v>4.4000000000000003E-3</v>
      </c>
      <c r="F34" s="12">
        <v>5.000000000000001E-3</v>
      </c>
      <c r="G34" s="12">
        <v>5.4000000000000012E-3</v>
      </c>
      <c r="H34" s="7">
        <f>I33</f>
        <v>7.4999999999999997E-3</v>
      </c>
      <c r="I34" s="7">
        <f>$B34*I$27</f>
        <v>1.0000000000000002E-2</v>
      </c>
    </row>
    <row r="37" spans="2:9" x14ac:dyDescent="0.2">
      <c r="B37" s="24" t="s">
        <v>48</v>
      </c>
      <c r="C37" s="24"/>
      <c r="D37" s="24"/>
    </row>
    <row r="39" spans="2:9" x14ac:dyDescent="0.2">
      <c r="B39" s="22" t="s">
        <v>80</v>
      </c>
      <c r="C39" s="22"/>
      <c r="E39" s="56" t="s">
        <v>78</v>
      </c>
      <c r="F39" s="56"/>
      <c r="H39" s="59" t="s">
        <v>79</v>
      </c>
      <c r="I39" s="59"/>
    </row>
    <row r="40" spans="2:9" x14ac:dyDescent="0.2">
      <c r="B40" s="2" t="s">
        <v>19</v>
      </c>
      <c r="C40" s="9">
        <f t="array" ref="C40">MMULT(TRANSPOSE(K3:K8),MMULT(D29:I34,K3:K8))</f>
        <v>10267896000000</v>
      </c>
      <c r="E40" s="57" t="s">
        <v>19</v>
      </c>
      <c r="F40" s="14">
        <f t="array" ref="F40">MMULT(TRANSPOSE(K3:K6),MMULT(D29:G32,K3:K6))</f>
        <v>8218696000000</v>
      </c>
      <c r="H40" s="60" t="s">
        <v>19</v>
      </c>
      <c r="I40" s="7">
        <f t="array" ref="I40">MMULT(TRANSPOSE(K7:K8),MMULT(H33:I34,K7:K8))</f>
        <v>790000000000.00012</v>
      </c>
    </row>
    <row r="41" spans="2:9" x14ac:dyDescent="0.2">
      <c r="B41" s="9" t="s">
        <v>76</v>
      </c>
      <c r="C41" s="9">
        <f>_xlfn.NORM.S.INV(1-$F$1)</f>
        <v>2.3263478740408408</v>
      </c>
      <c r="E41" s="14" t="s">
        <v>76</v>
      </c>
      <c r="F41" s="14">
        <f>_xlfn.NORM.S.INV(1-$F$1)</f>
        <v>2.3263478740408408</v>
      </c>
      <c r="H41" s="7" t="s">
        <v>76</v>
      </c>
      <c r="I41" s="7">
        <f>_xlfn.NORM.S.INV(1-$F$1)</f>
        <v>2.3263478740408408</v>
      </c>
    </row>
    <row r="42" spans="2:9" x14ac:dyDescent="0.2">
      <c r="B42" s="9" t="s">
        <v>77</v>
      </c>
      <c r="C42" s="9">
        <f>C41*SQRT(C40)*SQRT(10/250)</f>
        <v>1490889.2538487911</v>
      </c>
      <c r="E42" s="14" t="s">
        <v>77</v>
      </c>
      <c r="F42" s="14">
        <f>F41*SQRT(F40)*SQRT(10/250)</f>
        <v>1333847.2943021413</v>
      </c>
      <c r="H42" s="7" t="s">
        <v>77</v>
      </c>
      <c r="I42" s="7">
        <f>I41*SQRT(I40)*SQRT(10/250)</f>
        <v>413540.64373567584</v>
      </c>
    </row>
    <row r="44" spans="2:9" x14ac:dyDescent="0.2">
      <c r="B44" s="22" t="s">
        <v>81</v>
      </c>
      <c r="C44" s="22"/>
    </row>
    <row r="45" spans="2:9" x14ac:dyDescent="0.2">
      <c r="B45" s="22">
        <f>F42+I42</f>
        <v>1747387.9380378171</v>
      </c>
      <c r="C45" s="22"/>
    </row>
    <row r="47" spans="2:9" x14ac:dyDescent="0.2">
      <c r="B47" s="24" t="s">
        <v>49</v>
      </c>
      <c r="C47" s="24"/>
      <c r="D47" s="24"/>
    </row>
    <row r="48" spans="2:9" x14ac:dyDescent="0.2">
      <c r="C48" s="2" t="s">
        <v>20</v>
      </c>
      <c r="D48" s="9" t="s">
        <v>21</v>
      </c>
    </row>
    <row r="49" spans="2:4" x14ac:dyDescent="0.2">
      <c r="B49" s="14" t="s">
        <v>60</v>
      </c>
      <c r="C49" s="14">
        <f t="array" ref="C49:C54">MMULT(D29:I34,K3:K8)</f>
        <v>530200</v>
      </c>
      <c r="D49" s="14">
        <f>C49*_xlfn.NORM.S.INV(1-$F$1)/SQRT($C$40)</f>
        <v>0.38492281300406089</v>
      </c>
    </row>
    <row r="50" spans="2:4" x14ac:dyDescent="0.2">
      <c r="B50" s="14" t="s">
        <v>34</v>
      </c>
      <c r="C50" s="14">
        <v>590040</v>
      </c>
      <c r="D50" s="14">
        <f t="shared" ref="D50:D54" si="4">C50*_xlfn.NORM.S.INV(1-$F$1)/SQRT($C$40)</f>
        <v>0.42836638360036988</v>
      </c>
    </row>
    <row r="51" spans="2:4" x14ac:dyDescent="0.2">
      <c r="B51" s="14" t="s">
        <v>61</v>
      </c>
      <c r="C51" s="14">
        <v>696500</v>
      </c>
      <c r="D51" s="14">
        <f t="shared" si="4"/>
        <v>0.50565586431031395</v>
      </c>
    </row>
    <row r="52" spans="2:4" x14ac:dyDescent="0.2">
      <c r="B52" s="14" t="s">
        <v>62</v>
      </c>
      <c r="C52" s="14">
        <v>786240</v>
      </c>
      <c r="D52" s="14">
        <f t="shared" si="4"/>
        <v>0.57080670029481861</v>
      </c>
    </row>
    <row r="53" spans="2:4" x14ac:dyDescent="0.2">
      <c r="B53" s="7" t="s">
        <v>67</v>
      </c>
      <c r="C53" s="7">
        <v>191940</v>
      </c>
      <c r="D53" s="7">
        <f t="shared" si="4"/>
        <v>0.13934757587325436</v>
      </c>
    </row>
    <row r="54" spans="2:4" x14ac:dyDescent="0.2">
      <c r="B54" s="7" t="s">
        <v>69</v>
      </c>
      <c r="C54" s="7">
        <v>147960</v>
      </c>
      <c r="D54" s="7">
        <f t="shared" si="4"/>
        <v>0.10741829387416231</v>
      </c>
    </row>
    <row r="56" spans="2:4" x14ac:dyDescent="0.2">
      <c r="B56" s="23" t="s">
        <v>85</v>
      </c>
      <c r="C56" s="23"/>
    </row>
    <row r="57" spans="2:4" x14ac:dyDescent="0.2">
      <c r="B57" s="14" t="s">
        <v>82</v>
      </c>
      <c r="C57" s="14">
        <f t="array" ref="C57">MMULT(TRANSPOSE(K3:K6),D49:D52)</f>
        <v>6423823.0603783112</v>
      </c>
    </row>
    <row r="58" spans="2:4" x14ac:dyDescent="0.2">
      <c r="B58" s="7" t="s">
        <v>83</v>
      </c>
      <c r="C58" s="7">
        <f t="array" ref="C58">MMULT(TRANSPOSE(K7:K8),D53:D54)</f>
        <v>1030623.2088656449</v>
      </c>
    </row>
    <row r="61" spans="2:4" x14ac:dyDescent="0.2">
      <c r="B61" s="25" t="s">
        <v>86</v>
      </c>
      <c r="C61" s="25"/>
      <c r="D61" t="s">
        <v>217</v>
      </c>
    </row>
    <row r="62" spans="2:4" x14ac:dyDescent="0.2">
      <c r="B62" s="14" t="s">
        <v>82</v>
      </c>
      <c r="C62" s="14">
        <f>C57*SQRT(10/250)</f>
        <v>1284764.6120756622</v>
      </c>
      <c r="D62" s="58">
        <f>C62/C64</f>
        <v>0.86174382755727175</v>
      </c>
    </row>
    <row r="63" spans="2:4" x14ac:dyDescent="0.2">
      <c r="B63" s="7" t="s">
        <v>83</v>
      </c>
      <c r="C63" s="7">
        <f>C58*SQRT(10/250)</f>
        <v>206124.641773129</v>
      </c>
      <c r="D63" s="61">
        <f>1-D62</f>
        <v>0.13825617244272825</v>
      </c>
    </row>
    <row r="64" spans="2:4" x14ac:dyDescent="0.2">
      <c r="B64" s="9" t="s">
        <v>84</v>
      </c>
      <c r="C64" s="27">
        <f>SUM(C62:C63)</f>
        <v>1490889.2538487911</v>
      </c>
    </row>
  </sheetData>
  <mergeCells count="14">
    <mergeCell ref="B1:C2"/>
    <mergeCell ref="B16:H16"/>
    <mergeCell ref="B26:I26"/>
    <mergeCell ref="H39:I39"/>
    <mergeCell ref="B47:D47"/>
    <mergeCell ref="B44:C44"/>
    <mergeCell ref="B45:C45"/>
    <mergeCell ref="B3:G3"/>
    <mergeCell ref="B10:E10"/>
    <mergeCell ref="B56:C56"/>
    <mergeCell ref="B61:C61"/>
    <mergeCell ref="B37:D37"/>
    <mergeCell ref="B39:C39"/>
    <mergeCell ref="E39:F39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9B62E-83EE-7A41-BFCE-A8FB6780A0B5}">
  <dimension ref="B2:L20"/>
  <sheetViews>
    <sheetView tabSelected="1" workbookViewId="0">
      <selection activeCell="E16" sqref="E16"/>
    </sheetView>
  </sheetViews>
  <sheetFormatPr baseColWidth="10" defaultRowHeight="16" x14ac:dyDescent="0.2"/>
  <cols>
    <col min="2" max="2" width="13.6640625" bestFit="1" customWidth="1"/>
    <col min="3" max="3" width="21" bestFit="1" customWidth="1"/>
    <col min="4" max="4" width="12.83203125" bestFit="1" customWidth="1"/>
    <col min="5" max="7" width="12.1640625" bestFit="1" customWidth="1"/>
  </cols>
  <sheetData>
    <row r="2" spans="2:12" x14ac:dyDescent="0.2">
      <c r="B2" s="62" t="s">
        <v>230</v>
      </c>
      <c r="C2" s="62"/>
      <c r="D2" s="62"/>
      <c r="E2" s="62"/>
      <c r="F2" s="62"/>
      <c r="G2" s="62"/>
      <c r="I2" s="62" t="s">
        <v>235</v>
      </c>
      <c r="J2" s="62"/>
      <c r="K2" s="62"/>
      <c r="L2" s="62"/>
    </row>
    <row r="3" spans="2:12" ht="17" x14ac:dyDescent="0.2">
      <c r="B3" s="28"/>
      <c r="C3" s="29" t="s">
        <v>221</v>
      </c>
      <c r="D3" s="30" t="s">
        <v>222</v>
      </c>
      <c r="E3" s="30" t="s">
        <v>223</v>
      </c>
      <c r="F3" s="30" t="s">
        <v>224</v>
      </c>
      <c r="G3" s="30" t="s">
        <v>225</v>
      </c>
      <c r="I3" s="28"/>
      <c r="J3" s="28" t="s">
        <v>229</v>
      </c>
      <c r="K3" s="30" t="s">
        <v>237</v>
      </c>
      <c r="L3" s="30" t="s">
        <v>238</v>
      </c>
    </row>
    <row r="4" spans="2:12" x14ac:dyDescent="0.2">
      <c r="B4" s="28" t="s">
        <v>226</v>
      </c>
      <c r="C4" s="33">
        <v>0.35522482999999999</v>
      </c>
      <c r="D4" s="33">
        <v>-7.7459000000000002E-4</v>
      </c>
      <c r="E4" s="33">
        <v>7.8160999999999997E-4</v>
      </c>
      <c r="F4" s="33">
        <f>SQRT(0.000247948999)</f>
        <v>1.5746396381394696E-2</v>
      </c>
      <c r="G4" s="33">
        <f>SQRT(0.0000487674198)</f>
        <v>6.9833673682543722E-3</v>
      </c>
      <c r="I4" s="28" t="s">
        <v>226</v>
      </c>
      <c r="J4" s="31">
        <v>4.2943522067259075</v>
      </c>
      <c r="K4" s="36">
        <v>2.2880861794376039E-4</v>
      </c>
      <c r="L4" s="36">
        <v>1.0914183604616618E-2</v>
      </c>
    </row>
    <row r="5" spans="2:12" x14ac:dyDescent="0.2">
      <c r="B5" s="28" t="s">
        <v>227</v>
      </c>
      <c r="C5" s="33">
        <v>0.35663250000000002</v>
      </c>
      <c r="D5" s="33">
        <v>-7.205E-4</v>
      </c>
      <c r="E5" s="33">
        <v>7.5728999999999998E-4</v>
      </c>
      <c r="F5" s="33">
        <f>SQRT(0.000275564762)</f>
        <v>1.6600143433115271E-2</v>
      </c>
      <c r="G5" s="33">
        <f>SQRT(0.0000566977803)</f>
        <v>7.5297928457561166E-3</v>
      </c>
      <c r="I5" s="28" t="s">
        <v>227</v>
      </c>
      <c r="J5" s="31">
        <v>4.5785571211368765</v>
      </c>
      <c r="K5" s="36">
        <v>2.3025915796391657E-4</v>
      </c>
      <c r="L5" s="36">
        <v>1.158889505864528E-2</v>
      </c>
    </row>
    <row r="6" spans="2:12" x14ac:dyDescent="0.2">
      <c r="B6" s="28" t="s">
        <v>228</v>
      </c>
      <c r="C6" s="33">
        <v>0.38922773999999999</v>
      </c>
      <c r="D6" s="33">
        <v>-1.0348099999999999E-3</v>
      </c>
      <c r="E6" s="33">
        <v>1.1481200000000001E-3</v>
      </c>
      <c r="F6" s="33">
        <f>SQRT(0.000262833222)</f>
        <v>1.6212131938767339E-2</v>
      </c>
      <c r="G6" s="33">
        <f>SQRT(0.0000641540438)</f>
        <v>8.0096219511285299E-3</v>
      </c>
      <c r="I6" s="28" t="s">
        <v>228</v>
      </c>
      <c r="J6" s="31">
        <v>3.9916227487439837</v>
      </c>
      <c r="K6" s="36">
        <v>2.984628202846419E-4</v>
      </c>
      <c r="L6" s="36">
        <v>1.190250129171568E-2</v>
      </c>
    </row>
    <row r="9" spans="2:12" x14ac:dyDescent="0.2">
      <c r="B9" s="28"/>
      <c r="C9" s="65" t="s">
        <v>234</v>
      </c>
      <c r="D9" s="65" t="s">
        <v>236</v>
      </c>
      <c r="F9" s="63" t="s">
        <v>231</v>
      </c>
      <c r="G9" s="64"/>
    </row>
    <row r="10" spans="2:12" x14ac:dyDescent="0.2">
      <c r="B10" s="28" t="s">
        <v>226</v>
      </c>
      <c r="C10" s="32">
        <v>3.083086847257669E-2</v>
      </c>
      <c r="D10" s="37">
        <f>TINV($G$10*2,J4)*SQRT(((J4-2)/J4)*$G$11)*L4-K4*$G$11</f>
        <v>2.9662853451175714E-2</v>
      </c>
      <c r="F10" s="34" t="s">
        <v>232</v>
      </c>
      <c r="G10" s="35">
        <v>0.01</v>
      </c>
    </row>
    <row r="11" spans="2:12" x14ac:dyDescent="0.2">
      <c r="B11" s="28" t="s">
        <v>227</v>
      </c>
      <c r="C11" s="32">
        <v>3.2436046018973222E-2</v>
      </c>
      <c r="D11" s="37">
        <f>TINV($G$10*2,J5)*SQRT(((J5-2)/J5)*$G$11)*L5-K5*$G$11</f>
        <v>3.2356688659495543E-2</v>
      </c>
      <c r="F11" s="34" t="s">
        <v>239</v>
      </c>
      <c r="G11" s="34">
        <v>1</v>
      </c>
    </row>
    <row r="12" spans="2:12" x14ac:dyDescent="0.2">
      <c r="B12" s="28" t="s">
        <v>228</v>
      </c>
      <c r="C12" s="32">
        <v>3.2625543059787647E-2</v>
      </c>
      <c r="D12" s="37">
        <f>TINV($G$10*2,J6)*SQRT(((J6-2)/J6)*$G$11)*L6-K6*$G$11</f>
        <v>3.7877510165597081E-2</v>
      </c>
    </row>
    <row r="18" spans="2:3" x14ac:dyDescent="0.2">
      <c r="B18" s="66" t="s">
        <v>240</v>
      </c>
      <c r="C18" s="66"/>
    </row>
    <row r="19" spans="2:3" x14ac:dyDescent="0.2">
      <c r="B19" s="28" t="s">
        <v>233</v>
      </c>
      <c r="C19" s="38">
        <f>G10-(C6*NORMSDIST((-C20-D6)/F6)+(1-C6)*NORMSDIST((-C20-E6)/G6))</f>
        <v>6.793815510164336E-12</v>
      </c>
    </row>
    <row r="20" spans="2:3" x14ac:dyDescent="0.2">
      <c r="B20" s="28" t="s">
        <v>234</v>
      </c>
      <c r="C20" s="32">
        <v>3.2625543059787647E-2</v>
      </c>
    </row>
  </sheetData>
  <mergeCells count="4">
    <mergeCell ref="B2:G2"/>
    <mergeCell ref="F9:G9"/>
    <mergeCell ref="B18:C18"/>
    <mergeCell ref="I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Q2</vt:lpstr>
      <vt:lpstr>Q3 Returns</vt:lpstr>
      <vt:lpstr>Q3 Covariance</vt:lpstr>
      <vt:lpstr>Q3 PCA</vt:lpstr>
      <vt:lpstr>Q3 PC VaR</vt:lpstr>
      <vt:lpstr>Q4 a)</vt:lpstr>
      <vt:lpstr>Q4 b)</vt:lpstr>
      <vt:lpstr>Q5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 Leroth, JM, Mr [24913693@sun.ac.za]</dc:creator>
  <cp:lastModifiedBy>Mc Leroth, JM, Mr [24913693@sun.ac.za]</cp:lastModifiedBy>
  <dcterms:created xsi:type="dcterms:W3CDTF">2025-03-09T09:12:56Z</dcterms:created>
  <dcterms:modified xsi:type="dcterms:W3CDTF">2025-03-10T23:27:19Z</dcterms:modified>
</cp:coreProperties>
</file>