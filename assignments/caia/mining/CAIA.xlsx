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CAIA/tasks/mining/"/>
    </mc:Choice>
  </mc:AlternateContent>
  <xr:revisionPtr revIDLastSave="0" documentId="13_ncr:1_{D924EAF0-554A-C54B-B3F0-35BAF59C300F}" xr6:coauthVersionLast="47" xr6:coauthVersionMax="47" xr10:uidLastSave="{00000000-0000-0000-0000-000000000000}"/>
  <bookViews>
    <workbookView xWindow="0" yWindow="500" windowWidth="25600" windowHeight="14600" xr2:uid="{CF6AB531-1779-4072-93A4-085A5974603A}"/>
  </bookViews>
  <sheets>
    <sheet name="Sheet1" sheetId="5" r:id="rId1"/>
    <sheet name="IMPALA PLATINUM" sheetId="3" r:id="rId2"/>
    <sheet name="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3" i="5" l="1"/>
  <c r="G124" i="5"/>
  <c r="G125" i="5"/>
  <c r="G126" i="5"/>
  <c r="G127" i="5"/>
  <c r="G128" i="5"/>
  <c r="G129" i="5"/>
  <c r="G130" i="5"/>
  <c r="G131" i="5"/>
  <c r="G132" i="5"/>
  <c r="G133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99" i="5"/>
  <c r="G100" i="5"/>
  <c r="G101" i="5"/>
  <c r="G102" i="5"/>
  <c r="G103" i="5"/>
  <c r="G104" i="5"/>
  <c r="G105" i="5"/>
  <c r="G106" i="5"/>
  <c r="G107" i="5"/>
  <c r="G108" i="5"/>
  <c r="G87" i="5"/>
  <c r="G88" i="5"/>
  <c r="G89" i="5"/>
  <c r="G90" i="5"/>
  <c r="G91" i="5"/>
  <c r="G92" i="5"/>
  <c r="G93" i="5"/>
  <c r="G94" i="5"/>
  <c r="G95" i="5"/>
  <c r="G96" i="5"/>
  <c r="G97" i="5"/>
  <c r="G86" i="5"/>
  <c r="G75" i="5"/>
  <c r="G76" i="5"/>
  <c r="G77" i="5"/>
  <c r="G78" i="5"/>
  <c r="G79" i="5"/>
  <c r="G80" i="5"/>
  <c r="G81" i="5"/>
  <c r="G82" i="5"/>
  <c r="G83" i="5"/>
  <c r="G84" i="5"/>
  <c r="G85" i="5"/>
  <c r="G74" i="5"/>
  <c r="G63" i="5"/>
  <c r="G64" i="5"/>
  <c r="G65" i="5"/>
  <c r="G66" i="5"/>
  <c r="G67" i="5"/>
  <c r="G68" i="5"/>
  <c r="G69" i="5"/>
  <c r="G70" i="5"/>
  <c r="G71" i="5"/>
  <c r="G72" i="5"/>
  <c r="G73" i="5"/>
  <c r="G62" i="5"/>
  <c r="G51" i="5"/>
  <c r="G52" i="5"/>
  <c r="G53" i="5"/>
  <c r="G54" i="5"/>
  <c r="G55" i="5"/>
  <c r="G56" i="5"/>
  <c r="G57" i="5"/>
  <c r="G58" i="5"/>
  <c r="G59" i="5"/>
  <c r="G60" i="5"/>
  <c r="G61" i="5"/>
  <c r="G50" i="5"/>
  <c r="G39" i="5"/>
  <c r="G40" i="5"/>
  <c r="G41" i="5"/>
  <c r="G42" i="5"/>
  <c r="G43" i="5"/>
  <c r="G44" i="5"/>
  <c r="G45" i="5"/>
  <c r="G46" i="5"/>
  <c r="G47" i="5"/>
  <c r="G48" i="5"/>
  <c r="G49" i="5"/>
  <c r="G38" i="5"/>
  <c r="G27" i="5"/>
  <c r="G28" i="5"/>
  <c r="G29" i="5"/>
  <c r="G30" i="5"/>
  <c r="G31" i="5"/>
  <c r="G32" i="5"/>
  <c r="G33" i="5"/>
  <c r="G34" i="5"/>
  <c r="G35" i="5"/>
  <c r="G36" i="5"/>
  <c r="G37" i="5"/>
  <c r="G26" i="5"/>
  <c r="G15" i="5"/>
  <c r="G16" i="5"/>
  <c r="G17" i="5"/>
  <c r="G18" i="5"/>
  <c r="G19" i="5"/>
  <c r="G20" i="5"/>
  <c r="G21" i="5"/>
  <c r="G22" i="5"/>
  <c r="G23" i="5"/>
  <c r="G24" i="5"/>
  <c r="G25" i="5"/>
  <c r="G14" i="5"/>
  <c r="D133" i="5"/>
  <c r="D132" i="5"/>
  <c r="D131" i="5"/>
  <c r="D130" i="5"/>
  <c r="D129" i="5"/>
  <c r="D128" i="5"/>
  <c r="D127" i="5"/>
  <c r="D126" i="5"/>
  <c r="D125" i="5"/>
  <c r="D124" i="5"/>
  <c r="D123" i="5"/>
  <c r="D111" i="5"/>
  <c r="D112" i="5"/>
  <c r="D113" i="5"/>
  <c r="D114" i="5"/>
  <c r="D115" i="5"/>
  <c r="D116" i="5"/>
  <c r="D117" i="5"/>
  <c r="D118" i="5"/>
  <c r="D119" i="5"/>
  <c r="D120" i="5"/>
  <c r="D121" i="5"/>
  <c r="D99" i="5"/>
  <c r="D100" i="5"/>
  <c r="D101" i="5"/>
  <c r="D102" i="5"/>
  <c r="D103" i="5"/>
  <c r="D104" i="5"/>
  <c r="D105" i="5"/>
  <c r="D106" i="5"/>
  <c r="D107" i="5"/>
  <c r="D108" i="5"/>
  <c r="D109" i="5"/>
  <c r="D87" i="5"/>
  <c r="D88" i="5"/>
  <c r="D89" i="5"/>
  <c r="D90" i="5"/>
  <c r="D91" i="5"/>
  <c r="D92" i="5"/>
  <c r="D93" i="5"/>
  <c r="D94" i="5"/>
  <c r="D95" i="5"/>
  <c r="D96" i="5"/>
  <c r="D97" i="5"/>
  <c r="D75" i="5"/>
  <c r="D76" i="5"/>
  <c r="D77" i="5"/>
  <c r="D78" i="5"/>
  <c r="D79" i="5"/>
  <c r="D80" i="5"/>
  <c r="D81" i="5"/>
  <c r="D82" i="5"/>
  <c r="D83" i="5"/>
  <c r="D84" i="5"/>
  <c r="D85" i="5"/>
  <c r="D63" i="5"/>
  <c r="D64" i="5"/>
  <c r="D65" i="5"/>
  <c r="D66" i="5"/>
  <c r="D67" i="5"/>
  <c r="D68" i="5"/>
  <c r="D69" i="5"/>
  <c r="D70" i="5"/>
  <c r="D71" i="5"/>
  <c r="D72" i="5"/>
  <c r="D73" i="5"/>
  <c r="D51" i="5"/>
  <c r="D52" i="5"/>
  <c r="D53" i="5"/>
  <c r="D54" i="5"/>
  <c r="D55" i="5"/>
  <c r="D56" i="5"/>
  <c r="D57" i="5"/>
  <c r="D58" i="5"/>
  <c r="D59" i="5"/>
  <c r="D60" i="5"/>
  <c r="D61" i="5"/>
  <c r="D50" i="5"/>
  <c r="D39" i="5"/>
  <c r="D40" i="5"/>
  <c r="D41" i="5"/>
  <c r="D42" i="5"/>
  <c r="D43" i="5"/>
  <c r="D44" i="5"/>
  <c r="D45" i="5"/>
  <c r="D46" i="5"/>
  <c r="D47" i="5"/>
  <c r="D48" i="5"/>
  <c r="D49" i="5"/>
  <c r="D38" i="5"/>
  <c r="D27" i="5"/>
  <c r="D28" i="5"/>
  <c r="D29" i="5"/>
  <c r="D30" i="5"/>
  <c r="D31" i="5"/>
  <c r="D32" i="5"/>
  <c r="D33" i="5"/>
  <c r="D34" i="5"/>
  <c r="D35" i="5"/>
  <c r="D36" i="5"/>
  <c r="D37" i="5"/>
  <c r="D15" i="5"/>
  <c r="D16" i="5"/>
  <c r="D17" i="5"/>
  <c r="D18" i="5"/>
  <c r="D19" i="5"/>
  <c r="D20" i="5"/>
  <c r="D21" i="5"/>
  <c r="D22" i="5"/>
  <c r="D23" i="5"/>
  <c r="D24" i="5"/>
  <c r="D25" i="5"/>
  <c r="K22" i="5"/>
  <c r="G98" i="5"/>
  <c r="K26" i="5"/>
  <c r="J26" i="5"/>
  <c r="D122" i="5"/>
  <c r="D110" i="5"/>
  <c r="D98" i="5"/>
  <c r="D86" i="5"/>
  <c r="D74" i="5"/>
  <c r="D62" i="5"/>
  <c r="D26" i="5"/>
  <c r="D14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3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2" i="4"/>
  <c r="K2" i="5" l="1"/>
</calcChain>
</file>

<file path=xl/sharedStrings.xml><?xml version="1.0" encoding="utf-8"?>
<sst xmlns="http://schemas.openxmlformats.org/spreadsheetml/2006/main" count="22" uniqueCount="21">
  <si>
    <t>Date</t>
  </si>
  <si>
    <t>Last Price($/share)</t>
  </si>
  <si>
    <t>Platinum</t>
  </si>
  <si>
    <t>Palladium</t>
  </si>
  <si>
    <t>Rhodium</t>
  </si>
  <si>
    <t>Average</t>
  </si>
  <si>
    <t>PGMs($/oz)</t>
  </si>
  <si>
    <t>Returns Impala</t>
  </si>
  <si>
    <t>Returns PGM</t>
  </si>
  <si>
    <t>Correlation of returns:</t>
  </si>
  <si>
    <t>pgm</t>
  </si>
  <si>
    <t>last_price</t>
  </si>
  <si>
    <t>date</t>
  </si>
  <si>
    <t>Yearly returns Impala</t>
  </si>
  <si>
    <t>Yearly Returns Impala</t>
  </si>
  <si>
    <t>Yearly Returns PGM</t>
  </si>
  <si>
    <t>Full period</t>
  </si>
  <si>
    <t>Impala</t>
  </si>
  <si>
    <t>PGM</t>
  </si>
  <si>
    <t>Yearly Correl</t>
  </si>
  <si>
    <t>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</si>
</sst>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9" fontId="0" fillId="0" borderId="0" xfId="1" applyFont="1"/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PGM vs IMPALA Price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PGMs($/oz)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Sheet1!$A$2:$A$133</c:f>
              <c:numCache>
                <c:formatCode>m/d/yy</c:formatCode>
                <c:ptCount val="132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41789</c:v>
                </c:pt>
                <c:pt idx="5">
                  <c:v>41820</c:v>
                </c:pt>
                <c:pt idx="6">
                  <c:v>41851</c:v>
                </c:pt>
                <c:pt idx="7">
                  <c:v>41880</c:v>
                </c:pt>
                <c:pt idx="8">
                  <c:v>41912</c:v>
                </c:pt>
                <c:pt idx="9">
                  <c:v>41943</c:v>
                </c:pt>
                <c:pt idx="10">
                  <c:v>41971</c:v>
                </c:pt>
                <c:pt idx="11">
                  <c:v>42004</c:v>
                </c:pt>
                <c:pt idx="12">
                  <c:v>42034</c:v>
                </c:pt>
                <c:pt idx="13">
                  <c:v>42062</c:v>
                </c:pt>
                <c:pt idx="14">
                  <c:v>42094</c:v>
                </c:pt>
                <c:pt idx="15">
                  <c:v>42124</c:v>
                </c:pt>
                <c:pt idx="16">
                  <c:v>42153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42307</c:v>
                </c:pt>
                <c:pt idx="22">
                  <c:v>42338</c:v>
                </c:pt>
                <c:pt idx="23">
                  <c:v>42369</c:v>
                </c:pt>
                <c:pt idx="24">
                  <c:v>42398</c:v>
                </c:pt>
                <c:pt idx="25">
                  <c:v>42429</c:v>
                </c:pt>
                <c:pt idx="26">
                  <c:v>42460</c:v>
                </c:pt>
                <c:pt idx="27">
                  <c:v>42489</c:v>
                </c:pt>
                <c:pt idx="28">
                  <c:v>42521</c:v>
                </c:pt>
                <c:pt idx="29">
                  <c:v>42551</c:v>
                </c:pt>
                <c:pt idx="30">
                  <c:v>42580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42734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42853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43007</c:v>
                </c:pt>
                <c:pt idx="45">
                  <c:v>43039</c:v>
                </c:pt>
                <c:pt idx="46">
                  <c:v>43069</c:v>
                </c:pt>
                <c:pt idx="47">
                  <c:v>43098</c:v>
                </c:pt>
                <c:pt idx="48">
                  <c:v>43131</c:v>
                </c:pt>
                <c:pt idx="49">
                  <c:v>43159</c:v>
                </c:pt>
                <c:pt idx="50">
                  <c:v>43189</c:v>
                </c:pt>
                <c:pt idx="51">
                  <c:v>43220</c:v>
                </c:pt>
                <c:pt idx="52">
                  <c:v>43251</c:v>
                </c:pt>
                <c:pt idx="53">
                  <c:v>43280</c:v>
                </c:pt>
                <c:pt idx="54">
                  <c:v>43312</c:v>
                </c:pt>
                <c:pt idx="55">
                  <c:v>43343</c:v>
                </c:pt>
                <c:pt idx="56">
                  <c:v>43371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43553</c:v>
                </c:pt>
                <c:pt idx="63">
                  <c:v>43585</c:v>
                </c:pt>
                <c:pt idx="64">
                  <c:v>43616</c:v>
                </c:pt>
                <c:pt idx="65">
                  <c:v>43644</c:v>
                </c:pt>
                <c:pt idx="66">
                  <c:v>43677</c:v>
                </c:pt>
                <c:pt idx="67">
                  <c:v>43707</c:v>
                </c:pt>
                <c:pt idx="68">
                  <c:v>43738</c:v>
                </c:pt>
                <c:pt idx="69">
                  <c:v>43769</c:v>
                </c:pt>
                <c:pt idx="70">
                  <c:v>43798</c:v>
                </c:pt>
                <c:pt idx="71">
                  <c:v>43830</c:v>
                </c:pt>
                <c:pt idx="72">
                  <c:v>43861</c:v>
                </c:pt>
                <c:pt idx="73">
                  <c:v>43889</c:v>
                </c:pt>
                <c:pt idx="74">
                  <c:v>43921</c:v>
                </c:pt>
                <c:pt idx="75">
                  <c:v>43951</c:v>
                </c:pt>
                <c:pt idx="76">
                  <c:v>43980</c:v>
                </c:pt>
                <c:pt idx="77">
                  <c:v>44012</c:v>
                </c:pt>
                <c:pt idx="78">
                  <c:v>44043</c:v>
                </c:pt>
                <c:pt idx="79">
                  <c:v>44074</c:v>
                </c:pt>
                <c:pt idx="80">
                  <c:v>44104</c:v>
                </c:pt>
                <c:pt idx="81">
                  <c:v>44134</c:v>
                </c:pt>
                <c:pt idx="82">
                  <c:v>44165</c:v>
                </c:pt>
                <c:pt idx="83">
                  <c:v>44196</c:v>
                </c:pt>
                <c:pt idx="84">
                  <c:v>44225</c:v>
                </c:pt>
                <c:pt idx="85">
                  <c:v>44253</c:v>
                </c:pt>
                <c:pt idx="86">
                  <c:v>44286</c:v>
                </c:pt>
                <c:pt idx="87">
                  <c:v>44316</c:v>
                </c:pt>
                <c:pt idx="88">
                  <c:v>44347</c:v>
                </c:pt>
                <c:pt idx="89">
                  <c:v>44377</c:v>
                </c:pt>
                <c:pt idx="90">
                  <c:v>44407</c:v>
                </c:pt>
                <c:pt idx="91">
                  <c:v>44439</c:v>
                </c:pt>
                <c:pt idx="92">
                  <c:v>44469</c:v>
                </c:pt>
                <c:pt idx="93">
                  <c:v>44498</c:v>
                </c:pt>
                <c:pt idx="94">
                  <c:v>44530</c:v>
                </c:pt>
                <c:pt idx="95">
                  <c:v>44561</c:v>
                </c:pt>
                <c:pt idx="96">
                  <c:v>44592</c:v>
                </c:pt>
                <c:pt idx="97">
                  <c:v>44620</c:v>
                </c:pt>
                <c:pt idx="98">
                  <c:v>44651</c:v>
                </c:pt>
                <c:pt idx="99">
                  <c:v>44680</c:v>
                </c:pt>
                <c:pt idx="100">
                  <c:v>44712</c:v>
                </c:pt>
                <c:pt idx="101">
                  <c:v>44742</c:v>
                </c:pt>
                <c:pt idx="102">
                  <c:v>44771</c:v>
                </c:pt>
                <c:pt idx="103">
                  <c:v>44804</c:v>
                </c:pt>
                <c:pt idx="104">
                  <c:v>44834</c:v>
                </c:pt>
                <c:pt idx="105">
                  <c:v>44865</c:v>
                </c:pt>
                <c:pt idx="106">
                  <c:v>44895</c:v>
                </c:pt>
                <c:pt idx="107">
                  <c:v>44925</c:v>
                </c:pt>
                <c:pt idx="108">
                  <c:v>44957</c:v>
                </c:pt>
                <c:pt idx="109">
                  <c:v>44985</c:v>
                </c:pt>
                <c:pt idx="110">
                  <c:v>45016</c:v>
                </c:pt>
                <c:pt idx="111">
                  <c:v>45044</c:v>
                </c:pt>
                <c:pt idx="112">
                  <c:v>45077</c:v>
                </c:pt>
                <c:pt idx="113">
                  <c:v>45107</c:v>
                </c:pt>
                <c:pt idx="114">
                  <c:v>45138</c:v>
                </c:pt>
                <c:pt idx="115">
                  <c:v>45169</c:v>
                </c:pt>
                <c:pt idx="116">
                  <c:v>45198</c:v>
                </c:pt>
                <c:pt idx="117">
                  <c:v>45230</c:v>
                </c:pt>
                <c:pt idx="118">
                  <c:v>45260</c:v>
                </c:pt>
                <c:pt idx="119">
                  <c:v>45289</c:v>
                </c:pt>
                <c:pt idx="120">
                  <c:v>45322</c:v>
                </c:pt>
                <c:pt idx="121">
                  <c:v>45351</c:v>
                </c:pt>
                <c:pt idx="122">
                  <c:v>45380</c:v>
                </c:pt>
                <c:pt idx="123">
                  <c:v>45412</c:v>
                </c:pt>
                <c:pt idx="124">
                  <c:v>45443</c:v>
                </c:pt>
                <c:pt idx="125">
                  <c:v>45471</c:v>
                </c:pt>
                <c:pt idx="126">
                  <c:v>45504</c:v>
                </c:pt>
                <c:pt idx="127">
                  <c:v>45534</c:v>
                </c:pt>
                <c:pt idx="128">
                  <c:v>45565</c:v>
                </c:pt>
                <c:pt idx="129">
                  <c:v>45596</c:v>
                </c:pt>
                <c:pt idx="130">
                  <c:v>45625</c:v>
                </c:pt>
                <c:pt idx="131">
                  <c:v>45657</c:v>
                </c:pt>
              </c:numCache>
            </c:numRef>
          </c:cat>
          <c:val>
            <c:numRef>
              <c:f>Sheet1!$E$2:$E$133</c:f>
              <c:numCache>
                <c:formatCode>0.00</c:formatCode>
                <c:ptCount val="132"/>
                <c:pt idx="0">
                  <c:v>1043.6666666666667</c:v>
                </c:pt>
                <c:pt idx="1">
                  <c:v>1091.3333333333333</c:v>
                </c:pt>
                <c:pt idx="2">
                  <c:v>1108.0899999999999</c:v>
                </c:pt>
                <c:pt idx="3">
                  <c:v>1105.3399999999999</c:v>
                </c:pt>
                <c:pt idx="4">
                  <c:v>1142.9100000000001</c:v>
                </c:pt>
                <c:pt idx="5">
                  <c:v>1148.25</c:v>
                </c:pt>
                <c:pt idx="6">
                  <c:v>1206.17</c:v>
                </c:pt>
                <c:pt idx="7">
                  <c:v>1218.1266666666668</c:v>
                </c:pt>
                <c:pt idx="8">
                  <c:v>1121.4333333333334</c:v>
                </c:pt>
                <c:pt idx="9">
                  <c:v>1089.6566666666668</c:v>
                </c:pt>
                <c:pt idx="10">
                  <c:v>1073.4433333333334</c:v>
                </c:pt>
                <c:pt idx="11">
                  <c:v>1083.5333333333333</c:v>
                </c:pt>
                <c:pt idx="12">
                  <c:v>1064.6366666666665</c:v>
                </c:pt>
                <c:pt idx="13">
                  <c:v>1062.1333333333334</c:v>
                </c:pt>
                <c:pt idx="14">
                  <c:v>1014.3633333333333</c:v>
                </c:pt>
                <c:pt idx="15">
                  <c:v>1022.8666666666668</c:v>
                </c:pt>
                <c:pt idx="16">
                  <c:v>986.57333333333327</c:v>
                </c:pt>
                <c:pt idx="17">
                  <c:v>868.14333333333343</c:v>
                </c:pt>
                <c:pt idx="18">
                  <c:v>790.12666666666667</c:v>
                </c:pt>
                <c:pt idx="19">
                  <c:v>808.39</c:v>
                </c:pt>
                <c:pt idx="20">
                  <c:v>773.31666666666661</c:v>
                </c:pt>
                <c:pt idx="21">
                  <c:v>803.96</c:v>
                </c:pt>
                <c:pt idx="22">
                  <c:v>701.91</c:v>
                </c:pt>
                <c:pt idx="23">
                  <c:v>704.84333333333325</c:v>
                </c:pt>
                <c:pt idx="24">
                  <c:v>673.63333333333333</c:v>
                </c:pt>
                <c:pt idx="25">
                  <c:v>702.79333333333341</c:v>
                </c:pt>
                <c:pt idx="26">
                  <c:v>759.92666666666673</c:v>
                </c:pt>
                <c:pt idx="27">
                  <c:v>813.06333333333339</c:v>
                </c:pt>
                <c:pt idx="28">
                  <c:v>730.49000000000012</c:v>
                </c:pt>
                <c:pt idx="29">
                  <c:v>758.04</c:v>
                </c:pt>
                <c:pt idx="30">
                  <c:v>827.92</c:v>
                </c:pt>
                <c:pt idx="31">
                  <c:v>796.64333333333332</c:v>
                </c:pt>
                <c:pt idx="32">
                  <c:v>811</c:v>
                </c:pt>
                <c:pt idx="33">
                  <c:v>772.7833333333333</c:v>
                </c:pt>
                <c:pt idx="34">
                  <c:v>815.97666666666657</c:v>
                </c:pt>
                <c:pt idx="35">
                  <c:v>784.68666666666661</c:v>
                </c:pt>
                <c:pt idx="36">
                  <c:v>864.79</c:v>
                </c:pt>
                <c:pt idx="37">
                  <c:v>905.07333333333338</c:v>
                </c:pt>
                <c:pt idx="38">
                  <c:v>924.70666666666659</c:v>
                </c:pt>
                <c:pt idx="39">
                  <c:v>929.17666666666673</c:v>
                </c:pt>
                <c:pt idx="40">
                  <c:v>899.72666666666657</c:v>
                </c:pt>
                <c:pt idx="41">
                  <c:v>936.68333333333339</c:v>
                </c:pt>
                <c:pt idx="42">
                  <c:v>939.33333333333337</c:v>
                </c:pt>
                <c:pt idx="43">
                  <c:v>1030.8433333333332</c:v>
                </c:pt>
                <c:pt idx="44">
                  <c:v>1011.35</c:v>
                </c:pt>
                <c:pt idx="45">
                  <c:v>1137.6333333333334</c:v>
                </c:pt>
                <c:pt idx="46">
                  <c:v>1161.1433333333334</c:v>
                </c:pt>
                <c:pt idx="47">
                  <c:v>1235.5899999999999</c:v>
                </c:pt>
                <c:pt idx="48">
                  <c:v>1282.6533333333334</c:v>
                </c:pt>
                <c:pt idx="49">
                  <c:v>1298.9033333333334</c:v>
                </c:pt>
                <c:pt idx="50">
                  <c:v>1308.5</c:v>
                </c:pt>
                <c:pt idx="51">
                  <c:v>1305.54</c:v>
                </c:pt>
                <c:pt idx="52">
                  <c:v>1378.5733333333335</c:v>
                </c:pt>
                <c:pt idx="53">
                  <c:v>1356.27</c:v>
                </c:pt>
                <c:pt idx="54">
                  <c:v>1366.0666666666666</c:v>
                </c:pt>
                <c:pt idx="55">
                  <c:v>1386.8999999999999</c:v>
                </c:pt>
                <c:pt idx="56">
                  <c:v>1490.3166666666666</c:v>
                </c:pt>
                <c:pt idx="57">
                  <c:v>1447.43</c:v>
                </c:pt>
                <c:pt idx="58">
                  <c:v>1526.3966666666668</c:v>
                </c:pt>
                <c:pt idx="59">
                  <c:v>1505.8100000000002</c:v>
                </c:pt>
                <c:pt idx="60">
                  <c:v>1555.0466666666669</c:v>
                </c:pt>
                <c:pt idx="61">
                  <c:v>1729.0766666666666</c:v>
                </c:pt>
                <c:pt idx="62">
                  <c:v>1814.8866666666665</c:v>
                </c:pt>
                <c:pt idx="63">
                  <c:v>1742.4733333333334</c:v>
                </c:pt>
                <c:pt idx="64">
                  <c:v>1654.0066666666669</c:v>
                </c:pt>
                <c:pt idx="65">
                  <c:v>1907.47</c:v>
                </c:pt>
                <c:pt idx="66">
                  <c:v>2003.22</c:v>
                </c:pt>
                <c:pt idx="67">
                  <c:v>2489.1066666666666</c:v>
                </c:pt>
                <c:pt idx="68">
                  <c:v>2619.6266666666666</c:v>
                </c:pt>
                <c:pt idx="69">
                  <c:v>2701.77</c:v>
                </c:pt>
                <c:pt idx="70">
                  <c:v>2879.2533333333336</c:v>
                </c:pt>
                <c:pt idx="71">
                  <c:v>2987.4</c:v>
                </c:pt>
                <c:pt idx="72">
                  <c:v>4474.6033333333335</c:v>
                </c:pt>
                <c:pt idx="73">
                  <c:v>5444.2833333333338</c:v>
                </c:pt>
                <c:pt idx="74">
                  <c:v>4595.4000000000005</c:v>
                </c:pt>
                <c:pt idx="75">
                  <c:v>3449.2999999999997</c:v>
                </c:pt>
                <c:pt idx="76">
                  <c:v>3925.7866666666669</c:v>
                </c:pt>
                <c:pt idx="77">
                  <c:v>3591.03</c:v>
                </c:pt>
                <c:pt idx="78">
                  <c:v>3965.2999999999997</c:v>
                </c:pt>
                <c:pt idx="79">
                  <c:v>5126.0366666666669</c:v>
                </c:pt>
                <c:pt idx="80">
                  <c:v>5734.6566666666668</c:v>
                </c:pt>
                <c:pt idx="81">
                  <c:v>5487.78</c:v>
                </c:pt>
                <c:pt idx="82">
                  <c:v>6483.3866666666663</c:v>
                </c:pt>
                <c:pt idx="83">
                  <c:v>6856.9766666666665</c:v>
                </c:pt>
                <c:pt idx="84">
                  <c:v>7737.4066666666668</c:v>
                </c:pt>
                <c:pt idx="85">
                  <c:v>10306.756666666666</c:v>
                </c:pt>
                <c:pt idx="86">
                  <c:v>10138.33</c:v>
                </c:pt>
                <c:pt idx="87">
                  <c:v>11214.956666666667</c:v>
                </c:pt>
                <c:pt idx="88">
                  <c:v>9840.5466666666671</c:v>
                </c:pt>
                <c:pt idx="89">
                  <c:v>7986.373333333333</c:v>
                </c:pt>
                <c:pt idx="90">
                  <c:v>7404.829999999999</c:v>
                </c:pt>
                <c:pt idx="91">
                  <c:v>7028.9233333333332</c:v>
                </c:pt>
                <c:pt idx="92">
                  <c:v>5460.1466666666665</c:v>
                </c:pt>
                <c:pt idx="93">
                  <c:v>5708.7599999999993</c:v>
                </c:pt>
                <c:pt idx="94">
                  <c:v>5526.7866666666669</c:v>
                </c:pt>
                <c:pt idx="95">
                  <c:v>5674.5266666666676</c:v>
                </c:pt>
                <c:pt idx="96">
                  <c:v>6742.416666666667</c:v>
                </c:pt>
                <c:pt idx="97">
                  <c:v>7763.3433333333332</c:v>
                </c:pt>
                <c:pt idx="98">
                  <c:v>7584.75</c:v>
                </c:pt>
                <c:pt idx="99">
                  <c:v>7155.4133333333339</c:v>
                </c:pt>
                <c:pt idx="100">
                  <c:v>6073.6733333333332</c:v>
                </c:pt>
                <c:pt idx="101">
                  <c:v>5612.31</c:v>
                </c:pt>
                <c:pt idx="102">
                  <c:v>5793.4866666666667</c:v>
                </c:pt>
                <c:pt idx="103">
                  <c:v>5645.73</c:v>
                </c:pt>
                <c:pt idx="104">
                  <c:v>5676.829999999999</c:v>
                </c:pt>
                <c:pt idx="105">
                  <c:v>5592.1966666666667</c:v>
                </c:pt>
                <c:pt idx="106">
                  <c:v>5406.5566666666664</c:v>
                </c:pt>
                <c:pt idx="107">
                  <c:v>5038.9900000000007</c:v>
                </c:pt>
                <c:pt idx="108">
                  <c:v>4889.2733333333335</c:v>
                </c:pt>
                <c:pt idx="109">
                  <c:v>4124.8033333333333</c:v>
                </c:pt>
                <c:pt idx="110">
                  <c:v>3286.3266666666664</c:v>
                </c:pt>
                <c:pt idx="111">
                  <c:v>3778.3933333333334</c:v>
                </c:pt>
                <c:pt idx="112">
                  <c:v>3088.9233333333336</c:v>
                </c:pt>
                <c:pt idx="113">
                  <c:v>2145.5733333333333</c:v>
                </c:pt>
                <c:pt idx="114">
                  <c:v>2113.83</c:v>
                </c:pt>
                <c:pt idx="115">
                  <c:v>2100.5100000000002</c:v>
                </c:pt>
                <c:pt idx="116">
                  <c:v>2085.3633333333332</c:v>
                </c:pt>
                <c:pt idx="117">
                  <c:v>2136.9266666666667</c:v>
                </c:pt>
                <c:pt idx="118">
                  <c:v>2129.6799999999998</c:v>
                </c:pt>
                <c:pt idx="119">
                  <c:v>2172.3799999999997</c:v>
                </c:pt>
                <c:pt idx="120">
                  <c:v>2151.8333333333335</c:v>
                </c:pt>
                <c:pt idx="121">
                  <c:v>2102.7333333333331</c:v>
                </c:pt>
                <c:pt idx="122">
                  <c:v>2245.2999999999997</c:v>
                </c:pt>
                <c:pt idx="123">
                  <c:v>2232.9</c:v>
                </c:pt>
                <c:pt idx="124">
                  <c:v>2246.8666666666668</c:v>
                </c:pt>
                <c:pt idx="125">
                  <c:v>2226.5333333333333</c:v>
                </c:pt>
                <c:pt idx="126">
                  <c:v>2200.7999999999997</c:v>
                </c:pt>
                <c:pt idx="127">
                  <c:v>2208.5</c:v>
                </c:pt>
                <c:pt idx="128">
                  <c:v>2254.7999999999997</c:v>
                </c:pt>
                <c:pt idx="129">
                  <c:v>2270.5333333333333</c:v>
                </c:pt>
                <c:pt idx="130">
                  <c:v>2180.2999999999997</c:v>
                </c:pt>
                <c:pt idx="131">
                  <c:v>2134.6666666666665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8-C744-9544-9F894A33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373583"/>
        <c:axId val="1910658143"/>
      </c:lineChar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Last Price($/share)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Sheet1!$A$2:$A$133</c:f>
              <c:numCache>
                <c:formatCode>m/d/yy</c:formatCode>
                <c:ptCount val="132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41789</c:v>
                </c:pt>
                <c:pt idx="5">
                  <c:v>41820</c:v>
                </c:pt>
                <c:pt idx="6">
                  <c:v>41851</c:v>
                </c:pt>
                <c:pt idx="7">
                  <c:v>41880</c:v>
                </c:pt>
                <c:pt idx="8">
                  <c:v>41912</c:v>
                </c:pt>
                <c:pt idx="9">
                  <c:v>41943</c:v>
                </c:pt>
                <c:pt idx="10">
                  <c:v>41971</c:v>
                </c:pt>
                <c:pt idx="11">
                  <c:v>42004</c:v>
                </c:pt>
                <c:pt idx="12">
                  <c:v>42034</c:v>
                </c:pt>
                <c:pt idx="13">
                  <c:v>42062</c:v>
                </c:pt>
                <c:pt idx="14">
                  <c:v>42094</c:v>
                </c:pt>
                <c:pt idx="15">
                  <c:v>42124</c:v>
                </c:pt>
                <c:pt idx="16">
                  <c:v>42153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42307</c:v>
                </c:pt>
                <c:pt idx="22">
                  <c:v>42338</c:v>
                </c:pt>
                <c:pt idx="23">
                  <c:v>42369</c:v>
                </c:pt>
                <c:pt idx="24">
                  <c:v>42398</c:v>
                </c:pt>
                <c:pt idx="25">
                  <c:v>42429</c:v>
                </c:pt>
                <c:pt idx="26">
                  <c:v>42460</c:v>
                </c:pt>
                <c:pt idx="27">
                  <c:v>42489</c:v>
                </c:pt>
                <c:pt idx="28">
                  <c:v>42521</c:v>
                </c:pt>
                <c:pt idx="29">
                  <c:v>42551</c:v>
                </c:pt>
                <c:pt idx="30">
                  <c:v>42580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42734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42853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43007</c:v>
                </c:pt>
                <c:pt idx="45">
                  <c:v>43039</c:v>
                </c:pt>
                <c:pt idx="46">
                  <c:v>43069</c:v>
                </c:pt>
                <c:pt idx="47">
                  <c:v>43098</c:v>
                </c:pt>
                <c:pt idx="48">
                  <c:v>43131</c:v>
                </c:pt>
                <c:pt idx="49">
                  <c:v>43159</c:v>
                </c:pt>
                <c:pt idx="50">
                  <c:v>43189</c:v>
                </c:pt>
                <c:pt idx="51">
                  <c:v>43220</c:v>
                </c:pt>
                <c:pt idx="52">
                  <c:v>43251</c:v>
                </c:pt>
                <c:pt idx="53">
                  <c:v>43280</c:v>
                </c:pt>
                <c:pt idx="54">
                  <c:v>43312</c:v>
                </c:pt>
                <c:pt idx="55">
                  <c:v>43343</c:v>
                </c:pt>
                <c:pt idx="56">
                  <c:v>43371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43553</c:v>
                </c:pt>
                <c:pt idx="63">
                  <c:v>43585</c:v>
                </c:pt>
                <c:pt idx="64">
                  <c:v>43616</c:v>
                </c:pt>
                <c:pt idx="65">
                  <c:v>43644</c:v>
                </c:pt>
                <c:pt idx="66">
                  <c:v>43677</c:v>
                </c:pt>
                <c:pt idx="67">
                  <c:v>43707</c:v>
                </c:pt>
                <c:pt idx="68">
                  <c:v>43738</c:v>
                </c:pt>
                <c:pt idx="69">
                  <c:v>43769</c:v>
                </c:pt>
                <c:pt idx="70">
                  <c:v>43798</c:v>
                </c:pt>
                <c:pt idx="71">
                  <c:v>43830</c:v>
                </c:pt>
                <c:pt idx="72">
                  <c:v>43861</c:v>
                </c:pt>
                <c:pt idx="73">
                  <c:v>43889</c:v>
                </c:pt>
                <c:pt idx="74">
                  <c:v>43921</c:v>
                </c:pt>
                <c:pt idx="75">
                  <c:v>43951</c:v>
                </c:pt>
                <c:pt idx="76">
                  <c:v>43980</c:v>
                </c:pt>
                <c:pt idx="77">
                  <c:v>44012</c:v>
                </c:pt>
                <c:pt idx="78">
                  <c:v>44043</c:v>
                </c:pt>
                <c:pt idx="79">
                  <c:v>44074</c:v>
                </c:pt>
                <c:pt idx="80">
                  <c:v>44104</c:v>
                </c:pt>
                <c:pt idx="81">
                  <c:v>44134</c:v>
                </c:pt>
                <c:pt idx="82">
                  <c:v>44165</c:v>
                </c:pt>
                <c:pt idx="83">
                  <c:v>44196</c:v>
                </c:pt>
                <c:pt idx="84">
                  <c:v>44225</c:v>
                </c:pt>
                <c:pt idx="85">
                  <c:v>44253</c:v>
                </c:pt>
                <c:pt idx="86">
                  <c:v>44286</c:v>
                </c:pt>
                <c:pt idx="87">
                  <c:v>44316</c:v>
                </c:pt>
                <c:pt idx="88">
                  <c:v>44347</c:v>
                </c:pt>
                <c:pt idx="89">
                  <c:v>44377</c:v>
                </c:pt>
                <c:pt idx="90">
                  <c:v>44407</c:v>
                </c:pt>
                <c:pt idx="91">
                  <c:v>44439</c:v>
                </c:pt>
                <c:pt idx="92">
                  <c:v>44469</c:v>
                </c:pt>
                <c:pt idx="93">
                  <c:v>44498</c:v>
                </c:pt>
                <c:pt idx="94">
                  <c:v>44530</c:v>
                </c:pt>
                <c:pt idx="95">
                  <c:v>44561</c:v>
                </c:pt>
                <c:pt idx="96">
                  <c:v>44592</c:v>
                </c:pt>
                <c:pt idx="97">
                  <c:v>44620</c:v>
                </c:pt>
                <c:pt idx="98">
                  <c:v>44651</c:v>
                </c:pt>
                <c:pt idx="99">
                  <c:v>44680</c:v>
                </c:pt>
                <c:pt idx="100">
                  <c:v>44712</c:v>
                </c:pt>
                <c:pt idx="101">
                  <c:v>44742</c:v>
                </c:pt>
                <c:pt idx="102">
                  <c:v>44771</c:v>
                </c:pt>
                <c:pt idx="103">
                  <c:v>44804</c:v>
                </c:pt>
                <c:pt idx="104">
                  <c:v>44834</c:v>
                </c:pt>
                <c:pt idx="105">
                  <c:v>44865</c:v>
                </c:pt>
                <c:pt idx="106">
                  <c:v>44895</c:v>
                </c:pt>
                <c:pt idx="107">
                  <c:v>44925</c:v>
                </c:pt>
                <c:pt idx="108">
                  <c:v>44957</c:v>
                </c:pt>
                <c:pt idx="109">
                  <c:v>44985</c:v>
                </c:pt>
                <c:pt idx="110">
                  <c:v>45016</c:v>
                </c:pt>
                <c:pt idx="111">
                  <c:v>45044</c:v>
                </c:pt>
                <c:pt idx="112">
                  <c:v>45077</c:v>
                </c:pt>
                <c:pt idx="113">
                  <c:v>45107</c:v>
                </c:pt>
                <c:pt idx="114">
                  <c:v>45138</c:v>
                </c:pt>
                <c:pt idx="115">
                  <c:v>45169</c:v>
                </c:pt>
                <c:pt idx="116">
                  <c:v>45198</c:v>
                </c:pt>
                <c:pt idx="117">
                  <c:v>45230</c:v>
                </c:pt>
                <c:pt idx="118">
                  <c:v>45260</c:v>
                </c:pt>
                <c:pt idx="119">
                  <c:v>45289</c:v>
                </c:pt>
                <c:pt idx="120">
                  <c:v>45322</c:v>
                </c:pt>
                <c:pt idx="121">
                  <c:v>45351</c:v>
                </c:pt>
                <c:pt idx="122">
                  <c:v>45380</c:v>
                </c:pt>
                <c:pt idx="123">
                  <c:v>45412</c:v>
                </c:pt>
                <c:pt idx="124">
                  <c:v>45443</c:v>
                </c:pt>
                <c:pt idx="125">
                  <c:v>45471</c:v>
                </c:pt>
                <c:pt idx="126">
                  <c:v>45504</c:v>
                </c:pt>
                <c:pt idx="127">
                  <c:v>45534</c:v>
                </c:pt>
                <c:pt idx="128">
                  <c:v>45565</c:v>
                </c:pt>
                <c:pt idx="129">
                  <c:v>45596</c:v>
                </c:pt>
                <c:pt idx="130">
                  <c:v>45625</c:v>
                </c:pt>
                <c:pt idx="131">
                  <c:v>45657</c:v>
                </c:pt>
              </c:numCache>
            </c:numRef>
          </c:cat>
          <c:val>
            <c:numRef>
              <c:f>Sheet1!$B$2:$B$133</c:f>
              <c:numCache>
                <c:formatCode>General</c:formatCode>
                <c:ptCount val="132"/>
                <c:pt idx="0">
                  <c:v>115.44</c:v>
                </c:pt>
                <c:pt idx="1">
                  <c:v>114</c:v>
                </c:pt>
                <c:pt idx="2">
                  <c:v>120</c:v>
                </c:pt>
                <c:pt idx="3">
                  <c:v>118.4</c:v>
                </c:pt>
                <c:pt idx="4">
                  <c:v>110.76</c:v>
                </c:pt>
                <c:pt idx="5">
                  <c:v>106.88</c:v>
                </c:pt>
                <c:pt idx="6">
                  <c:v>106.33</c:v>
                </c:pt>
                <c:pt idx="7">
                  <c:v>96.25</c:v>
                </c:pt>
                <c:pt idx="8">
                  <c:v>87</c:v>
                </c:pt>
                <c:pt idx="9">
                  <c:v>80.290000000000006</c:v>
                </c:pt>
                <c:pt idx="10">
                  <c:v>80.67</c:v>
                </c:pt>
                <c:pt idx="11">
                  <c:v>75.78</c:v>
                </c:pt>
                <c:pt idx="12">
                  <c:v>75.75</c:v>
                </c:pt>
                <c:pt idx="13">
                  <c:v>71.709999999999994</c:v>
                </c:pt>
                <c:pt idx="14">
                  <c:v>58.83</c:v>
                </c:pt>
                <c:pt idx="15">
                  <c:v>66</c:v>
                </c:pt>
                <c:pt idx="16">
                  <c:v>61.3</c:v>
                </c:pt>
                <c:pt idx="17">
                  <c:v>54.3</c:v>
                </c:pt>
                <c:pt idx="18">
                  <c:v>45.51</c:v>
                </c:pt>
                <c:pt idx="19">
                  <c:v>49.52</c:v>
                </c:pt>
                <c:pt idx="20">
                  <c:v>38.42</c:v>
                </c:pt>
                <c:pt idx="21">
                  <c:v>37.82</c:v>
                </c:pt>
                <c:pt idx="22">
                  <c:v>31.62</c:v>
                </c:pt>
                <c:pt idx="23">
                  <c:v>25.04</c:v>
                </c:pt>
                <c:pt idx="24">
                  <c:v>32.880000000000003</c:v>
                </c:pt>
                <c:pt idx="25">
                  <c:v>33.46</c:v>
                </c:pt>
                <c:pt idx="26">
                  <c:v>47</c:v>
                </c:pt>
                <c:pt idx="27">
                  <c:v>59</c:v>
                </c:pt>
                <c:pt idx="28">
                  <c:v>45</c:v>
                </c:pt>
                <c:pt idx="29">
                  <c:v>47.2</c:v>
                </c:pt>
                <c:pt idx="30">
                  <c:v>61</c:v>
                </c:pt>
                <c:pt idx="31">
                  <c:v>56.46</c:v>
                </c:pt>
                <c:pt idx="32">
                  <c:v>69.5</c:v>
                </c:pt>
                <c:pt idx="33">
                  <c:v>54.2</c:v>
                </c:pt>
                <c:pt idx="34">
                  <c:v>44.2</c:v>
                </c:pt>
                <c:pt idx="35">
                  <c:v>42.74</c:v>
                </c:pt>
                <c:pt idx="36">
                  <c:v>53.44</c:v>
                </c:pt>
                <c:pt idx="37">
                  <c:v>44.04</c:v>
                </c:pt>
                <c:pt idx="38">
                  <c:v>45.22</c:v>
                </c:pt>
                <c:pt idx="39">
                  <c:v>42.95</c:v>
                </c:pt>
                <c:pt idx="40">
                  <c:v>36.770000000000003</c:v>
                </c:pt>
                <c:pt idx="41">
                  <c:v>36.85</c:v>
                </c:pt>
                <c:pt idx="42">
                  <c:v>35.21</c:v>
                </c:pt>
                <c:pt idx="43">
                  <c:v>40.200000000000003</c:v>
                </c:pt>
                <c:pt idx="44">
                  <c:v>31</c:v>
                </c:pt>
                <c:pt idx="45">
                  <c:v>39.22</c:v>
                </c:pt>
                <c:pt idx="46">
                  <c:v>39</c:v>
                </c:pt>
                <c:pt idx="47">
                  <c:v>32.44</c:v>
                </c:pt>
                <c:pt idx="48">
                  <c:v>36.35</c:v>
                </c:pt>
                <c:pt idx="49">
                  <c:v>30.1</c:v>
                </c:pt>
                <c:pt idx="50">
                  <c:v>23.54</c:v>
                </c:pt>
                <c:pt idx="51">
                  <c:v>22.34</c:v>
                </c:pt>
                <c:pt idx="52">
                  <c:v>20.260000000000002</c:v>
                </c:pt>
                <c:pt idx="53">
                  <c:v>20.25</c:v>
                </c:pt>
                <c:pt idx="54">
                  <c:v>19.489999999999998</c:v>
                </c:pt>
                <c:pt idx="55">
                  <c:v>17.899999999999999</c:v>
                </c:pt>
                <c:pt idx="56">
                  <c:v>27.5</c:v>
                </c:pt>
                <c:pt idx="57">
                  <c:v>27.2</c:v>
                </c:pt>
                <c:pt idx="58">
                  <c:v>33</c:v>
                </c:pt>
                <c:pt idx="59">
                  <c:v>36.68</c:v>
                </c:pt>
                <c:pt idx="60">
                  <c:v>38.65</c:v>
                </c:pt>
                <c:pt idx="61">
                  <c:v>60.2</c:v>
                </c:pt>
                <c:pt idx="62">
                  <c:v>61</c:v>
                </c:pt>
                <c:pt idx="63">
                  <c:v>57.26</c:v>
                </c:pt>
                <c:pt idx="64">
                  <c:v>58</c:v>
                </c:pt>
                <c:pt idx="65">
                  <c:v>69.75</c:v>
                </c:pt>
                <c:pt idx="66">
                  <c:v>77.069999999999993</c:v>
                </c:pt>
                <c:pt idx="67">
                  <c:v>86.45</c:v>
                </c:pt>
                <c:pt idx="68">
                  <c:v>95.28</c:v>
                </c:pt>
                <c:pt idx="69">
                  <c:v>103.85</c:v>
                </c:pt>
                <c:pt idx="70">
                  <c:v>112.6</c:v>
                </c:pt>
                <c:pt idx="71">
                  <c:v>143.52000000000001</c:v>
                </c:pt>
                <c:pt idx="72">
                  <c:v>141.5</c:v>
                </c:pt>
                <c:pt idx="73">
                  <c:v>124.65</c:v>
                </c:pt>
                <c:pt idx="74">
                  <c:v>75.739999999999995</c:v>
                </c:pt>
                <c:pt idx="75">
                  <c:v>112.2</c:v>
                </c:pt>
                <c:pt idx="76">
                  <c:v>117.08</c:v>
                </c:pt>
                <c:pt idx="77">
                  <c:v>116</c:v>
                </c:pt>
                <c:pt idx="78">
                  <c:v>150.88</c:v>
                </c:pt>
                <c:pt idx="79">
                  <c:v>156.37</c:v>
                </c:pt>
                <c:pt idx="80">
                  <c:v>145.47</c:v>
                </c:pt>
                <c:pt idx="81">
                  <c:v>142.77000000000001</c:v>
                </c:pt>
                <c:pt idx="82">
                  <c:v>162.72</c:v>
                </c:pt>
                <c:pt idx="83">
                  <c:v>201.9</c:v>
                </c:pt>
                <c:pt idx="84">
                  <c:v>207.18</c:v>
                </c:pt>
                <c:pt idx="85">
                  <c:v>246.07</c:v>
                </c:pt>
                <c:pt idx="86">
                  <c:v>273.73</c:v>
                </c:pt>
                <c:pt idx="87">
                  <c:v>271.52999999999997</c:v>
                </c:pt>
                <c:pt idx="88">
                  <c:v>250.5</c:v>
                </c:pt>
                <c:pt idx="89">
                  <c:v>235.49</c:v>
                </c:pt>
                <c:pt idx="90">
                  <c:v>264.01</c:v>
                </c:pt>
                <c:pt idx="91">
                  <c:v>222.9</c:v>
                </c:pt>
                <c:pt idx="92">
                  <c:v>171.67</c:v>
                </c:pt>
                <c:pt idx="93">
                  <c:v>197.99</c:v>
                </c:pt>
                <c:pt idx="94">
                  <c:v>202.35</c:v>
                </c:pt>
                <c:pt idx="95">
                  <c:v>225</c:v>
                </c:pt>
                <c:pt idx="96">
                  <c:v>234.13</c:v>
                </c:pt>
                <c:pt idx="97">
                  <c:v>293.92</c:v>
                </c:pt>
                <c:pt idx="98">
                  <c:v>225.03</c:v>
                </c:pt>
                <c:pt idx="99">
                  <c:v>206.21</c:v>
                </c:pt>
                <c:pt idx="100">
                  <c:v>214.03</c:v>
                </c:pt>
                <c:pt idx="101">
                  <c:v>181.14</c:v>
                </c:pt>
                <c:pt idx="102">
                  <c:v>184.55</c:v>
                </c:pt>
                <c:pt idx="103">
                  <c:v>180.38</c:v>
                </c:pt>
                <c:pt idx="104">
                  <c:v>169.67</c:v>
                </c:pt>
                <c:pt idx="105">
                  <c:v>188.1</c:v>
                </c:pt>
                <c:pt idx="106">
                  <c:v>209.65</c:v>
                </c:pt>
                <c:pt idx="107">
                  <c:v>213.14</c:v>
                </c:pt>
                <c:pt idx="108">
                  <c:v>201.35</c:v>
                </c:pt>
                <c:pt idx="109">
                  <c:v>171.51</c:v>
                </c:pt>
                <c:pt idx="110">
                  <c:v>163.83000000000001</c:v>
                </c:pt>
                <c:pt idx="111">
                  <c:v>177.74</c:v>
                </c:pt>
                <c:pt idx="112">
                  <c:v>158.38</c:v>
                </c:pt>
                <c:pt idx="113">
                  <c:v>125.32</c:v>
                </c:pt>
                <c:pt idx="114">
                  <c:v>129</c:v>
                </c:pt>
                <c:pt idx="115">
                  <c:v>97.46</c:v>
                </c:pt>
                <c:pt idx="116">
                  <c:v>98.86</c:v>
                </c:pt>
                <c:pt idx="117">
                  <c:v>77.680000000000007</c:v>
                </c:pt>
                <c:pt idx="118">
                  <c:v>76.63</c:v>
                </c:pt>
                <c:pt idx="119">
                  <c:v>91.27</c:v>
                </c:pt>
                <c:pt idx="120">
                  <c:v>73.27</c:v>
                </c:pt>
                <c:pt idx="121">
                  <c:v>64.78</c:v>
                </c:pt>
                <c:pt idx="122">
                  <c:v>78.31</c:v>
                </c:pt>
                <c:pt idx="123">
                  <c:v>84.74</c:v>
                </c:pt>
                <c:pt idx="124">
                  <c:v>96.21</c:v>
                </c:pt>
                <c:pt idx="125">
                  <c:v>90.77</c:v>
                </c:pt>
                <c:pt idx="126">
                  <c:v>93.2</c:v>
                </c:pt>
                <c:pt idx="127">
                  <c:v>77</c:v>
                </c:pt>
                <c:pt idx="128">
                  <c:v>96.76</c:v>
                </c:pt>
                <c:pt idx="129">
                  <c:v>115.36</c:v>
                </c:pt>
                <c:pt idx="130">
                  <c:v>101.99</c:v>
                </c:pt>
                <c:pt idx="131">
                  <c:v>87.75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8-C744-9544-9F894A33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038576"/>
        <c:axId val="703036000"/>
      </c:lineChart>
      <c:dateAx>
        <c:axId val="172737358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658143"/>
        <c:crosses val="autoZero"/>
        <c:auto val="1"/>
        <c:lblOffset val="100"/>
        <c:baseTimeUnit val="months"/>
      </c:dateAx>
      <c:valAx>
        <c:axId val="19106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73583"/>
        <c:crosses val="autoZero"/>
        <c:crossBetween val="between"/>
      </c:valAx>
      <c:valAx>
        <c:axId val="7030360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38576"/>
        <c:crosses val="max"/>
        <c:crossBetween val="between"/>
      </c:valAx>
      <c:dateAx>
        <c:axId val="703038576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70303600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Yearly</a:t>
            </a:r>
            <a:r>
              <a:rPr lang="en-GB" baseline="0"/>
              <a:t> Impala vs PGM Returns</a:t>
            </a:r>
            <a:r>
              <a:rPr lang="en-GB"/>
              <a:t>. R_square = </a:t>
            </a:r>
            <a:r>
              <a:rPr lang="en-GB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0.904809472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Sheet1!$K$10:$K$11</c:f>
              <c:strCache>
                <c:ptCount val="2"/>
                <c:pt idx="1">
                  <c:v>Yearly Returns PGM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Sheet1!$J$12:$J$21</c:f>
              <c:numCache>
                <c:formatCode>General</c:formatCode>
                <c:ptCount val="10"/>
                <c:pt idx="0">
                  <c:v>-0.34381496881496881</c:v>
                </c:pt>
                <c:pt idx="1">
                  <c:v>-0.56594059405940589</c:v>
                </c:pt>
                <c:pt idx="2">
                  <c:v>0.62530413625304115</c:v>
                </c:pt>
                <c:pt idx="3">
                  <c:v>-0.31979790419161669</c:v>
                </c:pt>
                <c:pt idx="4">
                  <c:v>6.3273727647867872E-2</c:v>
                </c:pt>
                <c:pt idx="5">
                  <c:v>2.6610608020698576</c:v>
                </c:pt>
                <c:pt idx="6">
                  <c:v>0.46416961130742052</c:v>
                </c:pt>
                <c:pt idx="7">
                  <c:v>0.13008012356405052</c:v>
                </c:pt>
                <c:pt idx="8">
                  <c:v>-0.14000768803656088</c:v>
                </c:pt>
                <c:pt idx="9">
                  <c:v>-0.63610628259250057</c:v>
                </c:pt>
              </c:numCache>
            </c:numRef>
          </c:xVal>
          <c:yVal>
            <c:numRef>
              <c:f>Sheet1!$K$12:$K$21</c:f>
              <c:numCache>
                <c:formatCode>General</c:formatCode>
                <c:ptCount val="10"/>
                <c:pt idx="0">
                  <c:v>2.0092622165442157E-2</c:v>
                </c:pt>
                <c:pt idx="1">
                  <c:v>-0.36726457539504864</c:v>
                </c:pt>
                <c:pt idx="2">
                  <c:v>0.28376960760057396</c:v>
                </c:pt>
                <c:pt idx="3">
                  <c:v>0.48319630584689172</c:v>
                </c:pt>
                <c:pt idx="4">
                  <c:v>0.21236707242279032</c:v>
                </c:pt>
                <c:pt idx="5">
                  <c:v>1.8774720587163511</c:v>
                </c:pt>
                <c:pt idx="6">
                  <c:v>0.72918269850362893</c:v>
                </c:pt>
                <c:pt idx="7">
                  <c:v>-0.12859476603271894</c:v>
                </c:pt>
                <c:pt idx="8">
                  <c:v>-0.34381496900000003</c:v>
                </c:pt>
                <c:pt idx="9">
                  <c:v>-0.34381496900000003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A-7742-B659-1C6DFD39A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651439"/>
        <c:axId val="514525679"/>
      </c:scatterChart>
      <c:valAx>
        <c:axId val="140165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25679"/>
        <c:crosses val="autoZero"/>
        <c:crossBetween val="midCat"/>
      </c:valAx>
      <c:valAx>
        <c:axId val="51452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5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Sheet1!$C$3:$C$133</c:f>
              <c:numCache>
                <c:formatCode>General</c:formatCode>
                <c:ptCount val="131"/>
                <c:pt idx="0">
                  <c:v>-1.2552466071119973E-2</c:v>
                </c:pt>
                <c:pt idx="1">
                  <c:v>5.1293294387550481E-2</c:v>
                </c:pt>
                <c:pt idx="2">
                  <c:v>-1.3423020332140661E-2</c:v>
                </c:pt>
                <c:pt idx="3">
                  <c:v>-6.6703024147144241E-2</c:v>
                </c:pt>
                <c:pt idx="4">
                  <c:v>-3.5658988514425553E-2</c:v>
                </c:pt>
                <c:pt idx="5">
                  <c:v>-5.1592441253408032E-3</c:v>
                </c:pt>
                <c:pt idx="6">
                  <c:v>-9.9598492495101221E-2</c:v>
                </c:pt>
                <c:pt idx="7">
                  <c:v>-0.10104085451330992</c:v>
                </c:pt>
                <c:pt idx="8">
                  <c:v>-8.0263038457991015E-2</c:v>
                </c:pt>
                <c:pt idx="9">
                  <c:v>4.7216787522903984E-3</c:v>
                </c:pt>
                <c:pt idx="10">
                  <c:v>-6.25323533584283E-2</c:v>
                </c:pt>
                <c:pt idx="11">
                  <c:v>-3.9596120097618259E-4</c:v>
                </c:pt>
                <c:pt idx="12">
                  <c:v>-5.4808236494995145E-2</c:v>
                </c:pt>
                <c:pt idx="13">
                  <c:v>-0.19797827901811885</c:v>
                </c:pt>
                <c:pt idx="14">
                  <c:v>0.11500281315006097</c:v>
                </c:pt>
                <c:pt idx="15">
                  <c:v>-7.3874899084259898E-2</c:v>
                </c:pt>
                <c:pt idx="16">
                  <c:v>-0.12125561600227594</c:v>
                </c:pt>
                <c:pt idx="17">
                  <c:v>-0.17659214491133912</c:v>
                </c:pt>
                <c:pt idx="18">
                  <c:v>8.4444546347790167E-2</c:v>
                </c:pt>
                <c:pt idx="19">
                  <c:v>-0.25379847103593006</c:v>
                </c:pt>
                <c:pt idx="20">
                  <c:v>-1.5740094110099238E-2</c:v>
                </c:pt>
                <c:pt idx="21">
                  <c:v>-0.17904823144898543</c:v>
                </c:pt>
                <c:pt idx="22">
                  <c:v>-0.23331528554942821</c:v>
                </c:pt>
                <c:pt idx="23">
                  <c:v>0.27239002395608142</c:v>
                </c:pt>
                <c:pt idx="24">
                  <c:v>1.7486125370698644E-2</c:v>
                </c:pt>
                <c:pt idx="25">
                  <c:v>0.33979690615138058</c:v>
                </c:pt>
                <c:pt idx="26">
                  <c:v>0.2273898421956608</c:v>
                </c:pt>
                <c:pt idx="27">
                  <c:v>-0.27087495413539975</c:v>
                </c:pt>
                <c:pt idx="28">
                  <c:v>4.7731402821190025E-2</c:v>
                </c:pt>
                <c:pt idx="29">
                  <c:v>0.25647997158180147</c:v>
                </c:pt>
                <c:pt idx="30">
                  <c:v>-7.7341441347967915E-2</c:v>
                </c:pt>
                <c:pt idx="31">
                  <c:v>0.2077943297454031</c:v>
                </c:pt>
                <c:pt idx="32">
                  <c:v>-0.24864584412514582</c:v>
                </c:pt>
                <c:pt idx="33">
                  <c:v>-0.20395611936194802</c:v>
                </c:pt>
                <c:pt idx="34">
                  <c:v>-3.3589539192650876E-2</c:v>
                </c:pt>
                <c:pt idx="35">
                  <c:v>0.22342427933738856</c:v>
                </c:pt>
                <c:pt idx="36">
                  <c:v>-0.19346121737391109</c:v>
                </c:pt>
                <c:pt idx="37">
                  <c:v>2.6441154995344579E-2</c:v>
                </c:pt>
                <c:pt idx="38">
                  <c:v>-5.1502818419559303E-2</c:v>
                </c:pt>
                <c:pt idx="39">
                  <c:v>-0.15535435311708368</c:v>
                </c:pt>
                <c:pt idx="40">
                  <c:v>2.1733233221648308E-3</c:v>
                </c:pt>
                <c:pt idx="41">
                  <c:v>-4.552548546838444E-2</c:v>
                </c:pt>
                <c:pt idx="42">
                  <c:v>0.13253686245801435</c:v>
                </c:pt>
                <c:pt idx="43">
                  <c:v>-0.25987979113982923</c:v>
                </c:pt>
                <c:pt idx="44">
                  <c:v>0.23519961628305397</c:v>
                </c:pt>
                <c:pt idx="45">
                  <c:v>-5.6251746385537578E-3</c:v>
                </c:pt>
                <c:pt idx="46">
                  <c:v>-0.18416941688243429</c:v>
                </c:pt>
                <c:pt idx="47">
                  <c:v>0.11380197473231639</c:v>
                </c:pt>
                <c:pt idx="48">
                  <c:v>-0.18866903222469827</c:v>
                </c:pt>
                <c:pt idx="49">
                  <c:v>-0.24582406992269942</c:v>
                </c:pt>
                <c:pt idx="50">
                  <c:v>-5.2322308191075938E-2</c:v>
                </c:pt>
                <c:pt idx="51">
                  <c:v>-9.7730294820517274E-2</c:v>
                </c:pt>
                <c:pt idx="52">
                  <c:v>-4.9370526798929318E-4</c:v>
                </c:pt>
                <c:pt idx="53">
                  <c:v>-3.8253280033078776E-2</c:v>
                </c:pt>
                <c:pt idx="54">
                  <c:v>-8.5100800672760143E-2</c:v>
                </c:pt>
                <c:pt idx="55">
                  <c:v>0.42938529182581636</c:v>
                </c:pt>
                <c:pt idx="56">
                  <c:v>-1.0969031370574046E-2</c:v>
                </c:pt>
                <c:pt idx="57">
                  <c:v>0.19329058816452871</c:v>
                </c:pt>
                <c:pt idx="58">
                  <c:v>0.10572408592178391</c:v>
                </c:pt>
                <c:pt idx="59">
                  <c:v>5.2315127645166735E-2</c:v>
                </c:pt>
                <c:pt idx="60">
                  <c:v>0.44312557728134444</c:v>
                </c:pt>
                <c:pt idx="61">
                  <c:v>1.3201511858535761E-2</c:v>
                </c:pt>
                <c:pt idx="62">
                  <c:v>-6.3271564503342245E-2</c:v>
                </c:pt>
                <c:pt idx="63">
                  <c:v>1.2840710876450348E-2</c:v>
                </c:pt>
                <c:pt idx="64">
                  <c:v>0.18447441015505575</c:v>
                </c:pt>
                <c:pt idx="65">
                  <c:v>9.9796679088426724E-2</c:v>
                </c:pt>
                <c:pt idx="66">
                  <c:v>0.11485211233939782</c:v>
                </c:pt>
                <c:pt idx="67">
                  <c:v>9.7253712917745191E-2</c:v>
                </c:pt>
                <c:pt idx="68">
                  <c:v>8.6127625275076641E-2</c:v>
                </c:pt>
                <c:pt idx="69">
                  <c:v>8.0894165383468677E-2</c:v>
                </c:pt>
                <c:pt idx="70">
                  <c:v>0.24263268260489618</c:v>
                </c:pt>
                <c:pt idx="71">
                  <c:v>-1.417468122719371E-2</c:v>
                </c:pt>
                <c:pt idx="72">
                  <c:v>-0.12678990711372531</c:v>
                </c:pt>
                <c:pt idx="73">
                  <c:v>-0.49820338749591819</c:v>
                </c:pt>
                <c:pt idx="74">
                  <c:v>0.39297657061494723</c:v>
                </c:pt>
                <c:pt idx="75">
                  <c:v>4.2574468735089126E-2</c:v>
                </c:pt>
                <c:pt idx="76">
                  <c:v>-9.2672707173204749E-3</c:v>
                </c:pt>
                <c:pt idx="77">
                  <c:v>0.26289462777878275</c:v>
                </c:pt>
                <c:pt idx="78">
                  <c:v>3.5740174970271585E-2</c:v>
                </c:pt>
                <c:pt idx="79">
                  <c:v>-7.2255114070048324E-2</c:v>
                </c:pt>
                <c:pt idx="80">
                  <c:v>-1.8734935984241693E-2</c:v>
                </c:pt>
                <c:pt idx="81">
                  <c:v>0.130795988499121</c:v>
                </c:pt>
                <c:pt idx="82">
                  <c:v>0.21574159301854204</c:v>
                </c:pt>
                <c:pt idx="83">
                  <c:v>2.5815455311164064E-2</c:v>
                </c:pt>
                <c:pt idx="84">
                  <c:v>0.17202806767045267</c:v>
                </c:pt>
                <c:pt idx="85">
                  <c:v>0.1065261708006061</c:v>
                </c:pt>
                <c:pt idx="86">
                  <c:v>-8.0695885938258955E-3</c:v>
                </c:pt>
                <c:pt idx="87">
                  <c:v>-8.0613709982269563E-2</c:v>
                </c:pt>
                <c:pt idx="88">
                  <c:v>-6.1790470815029752E-2</c:v>
                </c:pt>
                <c:pt idx="89">
                  <c:v>0.11431853150692202</c:v>
                </c:pt>
                <c:pt idx="90">
                  <c:v>-0.16926374082498857</c:v>
                </c:pt>
                <c:pt idx="91">
                  <c:v>-0.26114921110898537</c:v>
                </c:pt>
                <c:pt idx="92">
                  <c:v>0.14264249508576943</c:v>
                </c:pt>
                <c:pt idx="93">
                  <c:v>2.1782346953267428E-2</c:v>
                </c:pt>
                <c:pt idx="94">
                  <c:v>0.10610153088254566</c:v>
                </c:pt>
                <c:pt idx="95">
                  <c:v>3.9776114444981359E-2</c:v>
                </c:pt>
                <c:pt idx="96">
                  <c:v>0.22743110481741421</c:v>
                </c:pt>
                <c:pt idx="97">
                  <c:v>-0.26707389481716098</c:v>
                </c:pt>
                <c:pt idx="98">
                  <c:v>-8.7338659637479679E-2</c:v>
                </c:pt>
                <c:pt idx="99">
                  <c:v>3.7221125100297014E-2</c:v>
                </c:pt>
                <c:pt idx="100">
                  <c:v>-0.16684597916566957</c:v>
                </c:pt>
                <c:pt idx="101">
                  <c:v>1.8650216529205305E-2</c:v>
                </c:pt>
                <c:pt idx="102">
                  <c:v>-2.285469273844561E-2</c:v>
                </c:pt>
                <c:pt idx="103">
                  <c:v>-6.1210362682714035E-2</c:v>
                </c:pt>
                <c:pt idx="104">
                  <c:v>0.10311836225213669</c:v>
                </c:pt>
                <c:pt idx="105">
                  <c:v>0.10846573730978709</c:v>
                </c:pt>
                <c:pt idx="106">
                  <c:v>1.6509753176038273E-2</c:v>
                </c:pt>
                <c:pt idx="107">
                  <c:v>-5.6904539495346851E-2</c:v>
                </c:pt>
                <c:pt idx="108">
                  <c:v>-0.16040311335347363</c:v>
                </c:pt>
                <c:pt idx="109">
                  <c:v>-4.5812269111817489E-2</c:v>
                </c:pt>
                <c:pt idx="110">
                  <c:v>8.1492503478157133E-2</c:v>
                </c:pt>
                <c:pt idx="111">
                  <c:v>-0.11532459952806283</c:v>
                </c:pt>
                <c:pt idx="112">
                  <c:v>-0.23412674269827546</c:v>
                </c:pt>
                <c:pt idx="113">
                  <c:v>2.8941938277681246E-2</c:v>
                </c:pt>
                <c:pt idx="114">
                  <c:v>-0.28037036694631212</c:v>
                </c:pt>
                <c:pt idx="115">
                  <c:v>1.4262670463453262E-2</c:v>
                </c:pt>
                <c:pt idx="116">
                  <c:v>-0.24110688389574372</c:v>
                </c:pt>
                <c:pt idx="117">
                  <c:v>-1.3609179000756668E-2</c:v>
                </c:pt>
                <c:pt idx="118">
                  <c:v>0.17483350154647295</c:v>
                </c:pt>
                <c:pt idx="119">
                  <c:v>-0.21967089835691347</c:v>
                </c:pt>
                <c:pt idx="120">
                  <c:v>-0.12315433442868917</c:v>
                </c:pt>
                <c:pt idx="121">
                  <c:v>0.18967839501966308</c:v>
                </c:pt>
                <c:pt idx="122">
                  <c:v>7.8912436435566682E-2</c:v>
                </c:pt>
                <c:pt idx="123">
                  <c:v>0.12694555717476</c:v>
                </c:pt>
                <c:pt idx="124">
                  <c:v>-5.8204467834637383E-2</c:v>
                </c:pt>
                <c:pt idx="125">
                  <c:v>2.6418887153009721E-2</c:v>
                </c:pt>
                <c:pt idx="126">
                  <c:v>-0.19094229983786173</c:v>
                </c:pt>
                <c:pt idx="127">
                  <c:v>0.22842826388814275</c:v>
                </c:pt>
                <c:pt idx="128">
                  <c:v>0.17582398779481245</c:v>
                </c:pt>
                <c:pt idx="129">
                  <c:v>-0.12318290427421227</c:v>
                </c:pt>
                <c:pt idx="130">
                  <c:v>-0.15038290691645156</c:v>
                </c:pt>
              </c:numCache>
            </c:numRef>
          </c:xVal>
          <c:yVal>
            <c:numRef>
              <c:f>Sheet1!$F$3:$F$133</c:f>
              <c:numCache>
                <c:formatCode>General</c:formatCode>
                <c:ptCount val="131"/>
                <c:pt idx="0">
                  <c:v>4.4660036604674422E-2</c:v>
                </c:pt>
                <c:pt idx="1">
                  <c:v>1.5237622182312179E-2</c:v>
                </c:pt>
                <c:pt idx="2">
                  <c:v>-2.4848325133072593E-3</c:v>
                </c:pt>
                <c:pt idx="3">
                  <c:v>3.3424661605186118E-2</c:v>
                </c:pt>
                <c:pt idx="4">
                  <c:v>4.6614026687412536E-3</c:v>
                </c:pt>
                <c:pt idx="5">
                  <c:v>4.9211006004418668E-2</c:v>
                </c:pt>
                <c:pt idx="6">
                  <c:v>9.8641092735881133E-3</c:v>
                </c:pt>
                <c:pt idx="7">
                  <c:v>-8.2706530487283242E-2</c:v>
                </c:pt>
                <c:pt idx="8">
                  <c:v>-2.8744967101020338E-2</c:v>
                </c:pt>
                <c:pt idx="9">
                  <c:v>-1.4991111804386911E-2</c:v>
                </c:pt>
                <c:pt idx="10">
                  <c:v>9.3557559097465562E-3</c:v>
                </c:pt>
                <c:pt idx="11">
                  <c:v>-1.7593723124558175E-2</c:v>
                </c:pt>
                <c:pt idx="12">
                  <c:v>-2.3541186770827814E-3</c:v>
                </c:pt>
                <c:pt idx="13">
                  <c:v>-4.6018306331586468E-2</c:v>
                </c:pt>
                <c:pt idx="14">
                  <c:v>8.3479849752573967E-3</c:v>
                </c:pt>
                <c:pt idx="15">
                  <c:v>-3.6126762261944917E-2</c:v>
                </c:pt>
                <c:pt idx="16">
                  <c:v>-0.12788082798489572</c:v>
                </c:pt>
                <c:pt idx="17">
                  <c:v>-9.4163561435036874E-2</c:v>
                </c:pt>
                <c:pt idx="18">
                  <c:v>2.285134517803214E-2</c:v>
                </c:pt>
                <c:pt idx="19">
                  <c:v>-4.4355991303284249E-2</c:v>
                </c:pt>
                <c:pt idx="20">
                  <c:v>3.8860892661684923E-2</c:v>
                </c:pt>
                <c:pt idx="21">
                  <c:v>-0.13574432601892519</c:v>
                </c:pt>
                <c:pt idx="22">
                  <c:v>4.1703652164037531E-3</c:v>
                </c:pt>
                <c:pt idx="23">
                  <c:v>-4.52896088389367E-2</c:v>
                </c:pt>
                <c:pt idx="24">
                  <c:v>4.2376923345798435E-2</c:v>
                </c:pt>
                <c:pt idx="25">
                  <c:v>7.8159066994837045E-2</c:v>
                </c:pt>
                <c:pt idx="26">
                  <c:v>6.7587069895981691E-2</c:v>
                </c:pt>
                <c:pt idx="27">
                  <c:v>-0.10709346544959032</c:v>
                </c:pt>
                <c:pt idx="28">
                  <c:v>3.7020612855489236E-2</c:v>
                </c:pt>
                <c:pt idx="29">
                  <c:v>8.8180376661308291E-2</c:v>
                </c:pt>
                <c:pt idx="30">
                  <c:v>-3.8509464234322235E-2</c:v>
                </c:pt>
                <c:pt idx="31">
                  <c:v>1.7860986989817647E-2</c:v>
                </c:pt>
                <c:pt idx="32">
                  <c:v>-4.8269338047320635E-2</c:v>
                </c:pt>
                <c:pt idx="33">
                  <c:v>5.4387043715934599E-2</c:v>
                </c:pt>
                <c:pt idx="34">
                  <c:v>-3.9101272426580173E-2</c:v>
                </c:pt>
                <c:pt idx="35">
                  <c:v>9.7202215533442993E-2</c:v>
                </c:pt>
                <c:pt idx="36">
                  <c:v>4.5529268833728133E-2</c:v>
                </c:pt>
                <c:pt idx="37">
                  <c:v>2.1460598378424716E-2</c:v>
                </c:pt>
                <c:pt idx="38">
                  <c:v>4.8223192711472794E-3</c:v>
                </c:pt>
                <c:pt idx="39">
                  <c:v>-3.2207875880892078E-2</c:v>
                </c:pt>
                <c:pt idx="40">
                  <c:v>4.0254253602386166E-2</c:v>
                </c:pt>
                <c:pt idx="41">
                  <c:v>2.8251366948321001E-3</c:v>
                </c:pt>
                <c:pt idx="42">
                  <c:v>9.2962112650212259E-2</c:v>
                </c:pt>
                <c:pt idx="43">
                  <c:v>-1.9091165441623419E-2</c:v>
                </c:pt>
                <c:pt idx="44">
                  <c:v>0.11766400907394488</c:v>
                </c:pt>
                <c:pt idx="45">
                  <c:v>2.0455070794803278E-2</c:v>
                </c:pt>
                <c:pt idx="46">
                  <c:v>6.2143436909767175E-2</c:v>
                </c:pt>
                <c:pt idx="47">
                  <c:v>3.7382260275444175E-2</c:v>
                </c:pt>
                <c:pt idx="48">
                  <c:v>1.2589469630908333E-2</c:v>
                </c:pt>
                <c:pt idx="49">
                  <c:v>7.3611242862284283E-3</c:v>
                </c:pt>
                <c:pt idx="50">
                  <c:v>-2.2646946987149087E-3</c:v>
                </c:pt>
                <c:pt idx="51">
                  <c:v>5.4432399697851519E-2</c:v>
                </c:pt>
                <c:pt idx="52">
                  <c:v>-1.6310863245518028E-2</c:v>
                </c:pt>
                <c:pt idx="53">
                  <c:v>7.197279510803266E-3</c:v>
                </c:pt>
                <c:pt idx="54">
                  <c:v>1.5135476427666827E-2</c:v>
                </c:pt>
                <c:pt idx="55">
                  <c:v>7.1917584660552772E-2</c:v>
                </c:pt>
                <c:pt idx="56">
                  <c:v>-2.9199055285106575E-2</c:v>
                </c:pt>
                <c:pt idx="57">
                  <c:v>5.3120267866340984E-2</c:v>
                </c:pt>
                <c:pt idx="58">
                  <c:v>-1.3578878521926697E-2</c:v>
                </c:pt>
                <c:pt idx="59">
                  <c:v>3.2174596498985936E-2</c:v>
                </c:pt>
                <c:pt idx="60">
                  <c:v>0.10608199144238313</c:v>
                </c:pt>
                <c:pt idx="61">
                  <c:v>4.8435475817914367E-2</c:v>
                </c:pt>
                <c:pt idx="62">
                  <c:v>-4.0717463306305268E-2</c:v>
                </c:pt>
                <c:pt idx="63">
                  <c:v>-5.2104932626804677E-2</c:v>
                </c:pt>
                <c:pt idx="64">
                  <c:v>0.14257712943473816</c:v>
                </c:pt>
                <c:pt idx="65">
                  <c:v>4.8978129238437182E-2</c:v>
                </c:pt>
                <c:pt idx="66">
                  <c:v>0.21716799179751159</c:v>
                </c:pt>
                <c:pt idx="67">
                  <c:v>5.1107936284272501E-2</c:v>
                </c:pt>
                <c:pt idx="68">
                  <c:v>3.0875299802012986E-2</c:v>
                </c:pt>
                <c:pt idx="69">
                  <c:v>6.3623887491945197E-2</c:v>
                </c:pt>
                <c:pt idx="70">
                  <c:v>3.687244261895134E-2</c:v>
                </c:pt>
                <c:pt idx="71">
                  <c:v>0.40401426330805074</c:v>
                </c:pt>
                <c:pt idx="72">
                  <c:v>0.19614842129771981</c:v>
                </c:pt>
                <c:pt idx="73">
                  <c:v>-0.16951032533835966</c:v>
                </c:pt>
                <c:pt idx="74">
                  <c:v>-0.28688449125561788</c:v>
                </c:pt>
                <c:pt idx="75">
                  <c:v>0.1293954438746413</c:v>
                </c:pt>
                <c:pt idx="76">
                  <c:v>-8.9127686352559285E-2</c:v>
                </c:pt>
                <c:pt idx="77">
                  <c:v>9.9142444839528415E-2</c:v>
                </c:pt>
                <c:pt idx="78">
                  <c:v>0.25675126672466053</c:v>
                </c:pt>
                <c:pt idx="79">
                  <c:v>0.11219510147922487</c:v>
                </c:pt>
                <c:pt idx="80">
                  <c:v>-4.4004080314840349E-2</c:v>
                </c:pt>
                <c:pt idx="81">
                  <c:v>0.16671920542708665</c:v>
                </c:pt>
                <c:pt idx="82">
                  <c:v>5.6023617864177158E-2</c:v>
                </c:pt>
                <c:pt idx="83">
                  <c:v>0.12079995002385163</c:v>
                </c:pt>
                <c:pt idx="84">
                  <c:v>0.28673309175352751</c:v>
                </c:pt>
                <c:pt idx="85">
                  <c:v>-1.6476376905780334E-2</c:v>
                </c:pt>
                <c:pt idx="86">
                  <c:v>0.10092501377255143</c:v>
                </c:pt>
                <c:pt idx="87">
                  <c:v>-0.13073703901535252</c:v>
                </c:pt>
                <c:pt idx="88">
                  <c:v>-0.2087745090517108</c:v>
                </c:pt>
                <c:pt idx="89">
                  <c:v>-7.560426602979356E-2</c:v>
                </c:pt>
                <c:pt idx="90">
                  <c:v>-5.2098949054781907E-2</c:v>
                </c:pt>
                <c:pt idx="91">
                  <c:v>-0.25255788951738078</c:v>
                </c:pt>
                <c:pt idx="92">
                  <c:v>4.4526185789595787E-2</c:v>
                </c:pt>
                <c:pt idx="93">
                  <c:v>-3.2395263502059193E-2</c:v>
                </c:pt>
                <c:pt idx="94">
                  <c:v>2.6380579423722912E-2</c:v>
                </c:pt>
                <c:pt idx="95">
                  <c:v>0.17243126340952056</c:v>
                </c:pt>
                <c:pt idx="96">
                  <c:v>0.14099466679011585</c:v>
                </c:pt>
                <c:pt idx="97">
                  <c:v>-2.3273430865541365E-2</c:v>
                </c:pt>
                <c:pt idx="98">
                  <c:v>-5.8270472668087166E-2</c:v>
                </c:pt>
                <c:pt idx="99">
                  <c:v>-0.16390559576653824</c:v>
                </c:pt>
                <c:pt idx="100">
                  <c:v>-7.9001184544961689E-2</c:v>
                </c:pt>
                <c:pt idx="101">
                  <c:v>3.1771898533903074E-2</c:v>
                </c:pt>
                <c:pt idx="102">
                  <c:v>-2.5834790801278703E-2</c:v>
                </c:pt>
                <c:pt idx="103">
                  <c:v>5.4934711252330763E-3</c:v>
                </c:pt>
                <c:pt idx="104">
                  <c:v>-1.5020804743977574E-2</c:v>
                </c:pt>
                <c:pt idx="105">
                  <c:v>-3.3759759043130048E-2</c:v>
                </c:pt>
                <c:pt idx="106">
                  <c:v>-7.0406749383661565E-2</c:v>
                </c:pt>
                <c:pt idx="107">
                  <c:v>-3.016197532175233E-2</c:v>
                </c:pt>
                <c:pt idx="108">
                  <c:v>-0.17002534797160715</c:v>
                </c:pt>
                <c:pt idx="109">
                  <c:v>-0.22724791556296411</c:v>
                </c:pt>
                <c:pt idx="110">
                  <c:v>0.13952844886351079</c:v>
                </c:pt>
                <c:pt idx="111">
                  <c:v>-0.20147628080560503</c:v>
                </c:pt>
                <c:pt idx="112">
                  <c:v>-0.36441578944521236</c:v>
                </c:pt>
                <c:pt idx="113">
                  <c:v>-1.4905336990108856E-2</c:v>
                </c:pt>
                <c:pt idx="114">
                  <c:v>-6.3212955548024984E-3</c:v>
                </c:pt>
                <c:pt idx="115">
                  <c:v>-7.2370717265339808E-3</c:v>
                </c:pt>
                <c:pt idx="116">
                  <c:v>2.4425559068182438E-2</c:v>
                </c:pt>
                <c:pt idx="117">
                  <c:v>-3.3969260356803846E-3</c:v>
                </c:pt>
                <c:pt idx="118">
                  <c:v>1.9851607035333538E-2</c:v>
                </c:pt>
                <c:pt idx="119">
                  <c:v>-9.5031487639873641E-3</c:v>
                </c:pt>
                <c:pt idx="120">
                  <c:v>-2.3082106264011592E-2</c:v>
                </c:pt>
                <c:pt idx="121">
                  <c:v>6.5601056855502826E-2</c:v>
                </c:pt>
                <c:pt idx="122">
                  <c:v>-5.5379535041802513E-3</c:v>
                </c:pt>
                <c:pt idx="123">
                  <c:v>6.2354640136679735E-3</c:v>
                </c:pt>
                <c:pt idx="124">
                  <c:v>-9.0908362174750065E-3</c:v>
                </c:pt>
                <c:pt idx="125">
                  <c:v>-1.1624886219802956E-2</c:v>
                </c:pt>
                <c:pt idx="126">
                  <c:v>3.4926214262164892E-3</c:v>
                </c:pt>
                <c:pt idx="127">
                  <c:v>2.0747725170838772E-2</c:v>
                </c:pt>
                <c:pt idx="128">
                  <c:v>6.9534752769199511E-3</c:v>
                </c:pt>
                <c:pt idx="129">
                  <c:v>-4.0552270490337564E-2</c:v>
                </c:pt>
                <c:pt idx="130">
                  <c:v>-2.1151975545506786E-2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5-C749-BD96-051FD6841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399712"/>
        <c:axId val="971307824"/>
      </c:scatterChart>
      <c:valAx>
        <c:axId val="97139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07824"/>
        <c:crosses val="autoZero"/>
        <c:crossBetween val="midCat"/>
      </c:valAx>
      <c:valAx>
        <c:axId val="9713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9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Data!$E$2:$E$133</c:f>
              <c:numCache>
                <c:formatCode>0.00</c:formatCode>
                <c:ptCount val="132"/>
                <c:pt idx="0">
                  <c:v>1043.6666666666667</c:v>
                </c:pt>
                <c:pt idx="1">
                  <c:v>1091.3333333333333</c:v>
                </c:pt>
                <c:pt idx="2">
                  <c:v>1108.0899999999999</c:v>
                </c:pt>
                <c:pt idx="3">
                  <c:v>1105.3399999999999</c:v>
                </c:pt>
                <c:pt idx="4">
                  <c:v>1142.9100000000001</c:v>
                </c:pt>
                <c:pt idx="5">
                  <c:v>1148.25</c:v>
                </c:pt>
                <c:pt idx="6">
                  <c:v>1206.17</c:v>
                </c:pt>
                <c:pt idx="7">
                  <c:v>1218.1266666666668</c:v>
                </c:pt>
                <c:pt idx="8">
                  <c:v>1121.4333333333334</c:v>
                </c:pt>
                <c:pt idx="9">
                  <c:v>1089.6566666666668</c:v>
                </c:pt>
                <c:pt idx="10">
                  <c:v>1073.4433333333334</c:v>
                </c:pt>
                <c:pt idx="11">
                  <c:v>1083.5333333333333</c:v>
                </c:pt>
                <c:pt idx="12">
                  <c:v>1064.6366666666665</c:v>
                </c:pt>
                <c:pt idx="13">
                  <c:v>1062.1333333333334</c:v>
                </c:pt>
                <c:pt idx="14">
                  <c:v>1014.3633333333333</c:v>
                </c:pt>
                <c:pt idx="15">
                  <c:v>1022.8666666666668</c:v>
                </c:pt>
                <c:pt idx="16">
                  <c:v>986.57333333333327</c:v>
                </c:pt>
                <c:pt idx="17">
                  <c:v>868.14333333333343</c:v>
                </c:pt>
                <c:pt idx="18">
                  <c:v>790.12666666666667</c:v>
                </c:pt>
                <c:pt idx="19">
                  <c:v>808.39</c:v>
                </c:pt>
                <c:pt idx="20">
                  <c:v>773.31666666666661</c:v>
                </c:pt>
                <c:pt idx="21">
                  <c:v>803.96</c:v>
                </c:pt>
                <c:pt idx="22">
                  <c:v>701.91</c:v>
                </c:pt>
                <c:pt idx="23">
                  <c:v>704.84333333333325</c:v>
                </c:pt>
                <c:pt idx="24">
                  <c:v>673.63333333333333</c:v>
                </c:pt>
                <c:pt idx="25">
                  <c:v>702.79333333333341</c:v>
                </c:pt>
                <c:pt idx="26">
                  <c:v>759.92666666666673</c:v>
                </c:pt>
                <c:pt idx="27">
                  <c:v>813.06333333333339</c:v>
                </c:pt>
                <c:pt idx="28">
                  <c:v>730.49000000000012</c:v>
                </c:pt>
                <c:pt idx="29">
                  <c:v>758.04</c:v>
                </c:pt>
                <c:pt idx="30">
                  <c:v>827.92</c:v>
                </c:pt>
                <c:pt idx="31">
                  <c:v>796.64333333333332</c:v>
                </c:pt>
                <c:pt idx="32">
                  <c:v>811</c:v>
                </c:pt>
                <c:pt idx="33">
                  <c:v>772.7833333333333</c:v>
                </c:pt>
                <c:pt idx="34">
                  <c:v>815.97666666666657</c:v>
                </c:pt>
                <c:pt idx="35">
                  <c:v>784.68666666666661</c:v>
                </c:pt>
                <c:pt idx="36">
                  <c:v>864.79</c:v>
                </c:pt>
                <c:pt idx="37">
                  <c:v>905.07333333333338</c:v>
                </c:pt>
                <c:pt idx="38">
                  <c:v>924.70666666666659</c:v>
                </c:pt>
                <c:pt idx="39">
                  <c:v>929.17666666666673</c:v>
                </c:pt>
                <c:pt idx="40">
                  <c:v>899.72666666666657</c:v>
                </c:pt>
                <c:pt idx="41">
                  <c:v>936.68333333333339</c:v>
                </c:pt>
                <c:pt idx="42">
                  <c:v>939.33333333333337</c:v>
                </c:pt>
                <c:pt idx="43">
                  <c:v>1030.8433333333332</c:v>
                </c:pt>
                <c:pt idx="44">
                  <c:v>1011.35</c:v>
                </c:pt>
                <c:pt idx="45">
                  <c:v>1137.6333333333334</c:v>
                </c:pt>
                <c:pt idx="46">
                  <c:v>1161.1433333333334</c:v>
                </c:pt>
                <c:pt idx="47">
                  <c:v>1235.5899999999999</c:v>
                </c:pt>
                <c:pt idx="48">
                  <c:v>1282.6533333333334</c:v>
                </c:pt>
                <c:pt idx="49">
                  <c:v>1298.9033333333334</c:v>
                </c:pt>
                <c:pt idx="50">
                  <c:v>1308.5</c:v>
                </c:pt>
                <c:pt idx="51">
                  <c:v>1305.54</c:v>
                </c:pt>
                <c:pt idx="52">
                  <c:v>1378.5733333333335</c:v>
                </c:pt>
                <c:pt idx="53">
                  <c:v>1356.27</c:v>
                </c:pt>
                <c:pt idx="54">
                  <c:v>1366.0666666666666</c:v>
                </c:pt>
                <c:pt idx="55">
                  <c:v>1386.8999999999999</c:v>
                </c:pt>
                <c:pt idx="56">
                  <c:v>1490.3166666666666</c:v>
                </c:pt>
                <c:pt idx="57">
                  <c:v>1447.43</c:v>
                </c:pt>
                <c:pt idx="58">
                  <c:v>1526.3966666666668</c:v>
                </c:pt>
                <c:pt idx="59">
                  <c:v>1505.8100000000002</c:v>
                </c:pt>
                <c:pt idx="60">
                  <c:v>1555.0466666666669</c:v>
                </c:pt>
                <c:pt idx="61">
                  <c:v>1729.0766666666666</c:v>
                </c:pt>
                <c:pt idx="62">
                  <c:v>1814.8866666666665</c:v>
                </c:pt>
                <c:pt idx="63">
                  <c:v>1742.4733333333334</c:v>
                </c:pt>
                <c:pt idx="64">
                  <c:v>1654.0066666666669</c:v>
                </c:pt>
                <c:pt idx="65">
                  <c:v>1907.47</c:v>
                </c:pt>
                <c:pt idx="66">
                  <c:v>2003.22</c:v>
                </c:pt>
                <c:pt idx="67">
                  <c:v>2489.1066666666666</c:v>
                </c:pt>
                <c:pt idx="68">
                  <c:v>2619.6266666666666</c:v>
                </c:pt>
                <c:pt idx="69">
                  <c:v>2701.77</c:v>
                </c:pt>
                <c:pt idx="70">
                  <c:v>2879.2533333333336</c:v>
                </c:pt>
                <c:pt idx="71">
                  <c:v>2987.4</c:v>
                </c:pt>
                <c:pt idx="72">
                  <c:v>4474.6033333333335</c:v>
                </c:pt>
                <c:pt idx="73">
                  <c:v>5444.2833333333338</c:v>
                </c:pt>
                <c:pt idx="74">
                  <c:v>4595.4000000000005</c:v>
                </c:pt>
                <c:pt idx="75">
                  <c:v>3449.2999999999997</c:v>
                </c:pt>
                <c:pt idx="76">
                  <c:v>3925.7866666666669</c:v>
                </c:pt>
                <c:pt idx="77">
                  <c:v>3591.03</c:v>
                </c:pt>
                <c:pt idx="78">
                  <c:v>3965.2999999999997</c:v>
                </c:pt>
                <c:pt idx="79">
                  <c:v>5126.0366666666669</c:v>
                </c:pt>
                <c:pt idx="80">
                  <c:v>5734.6566666666668</c:v>
                </c:pt>
                <c:pt idx="81">
                  <c:v>5487.78</c:v>
                </c:pt>
                <c:pt idx="82">
                  <c:v>6483.3866666666663</c:v>
                </c:pt>
                <c:pt idx="83">
                  <c:v>6856.9766666666665</c:v>
                </c:pt>
                <c:pt idx="84">
                  <c:v>7737.4066666666668</c:v>
                </c:pt>
                <c:pt idx="85">
                  <c:v>10306.756666666666</c:v>
                </c:pt>
                <c:pt idx="86">
                  <c:v>10138.33</c:v>
                </c:pt>
                <c:pt idx="87">
                  <c:v>11214.956666666667</c:v>
                </c:pt>
                <c:pt idx="88">
                  <c:v>9840.5466666666671</c:v>
                </c:pt>
                <c:pt idx="89">
                  <c:v>7986.373333333333</c:v>
                </c:pt>
                <c:pt idx="90">
                  <c:v>7404.829999999999</c:v>
                </c:pt>
                <c:pt idx="91">
                  <c:v>7028.9233333333332</c:v>
                </c:pt>
                <c:pt idx="92">
                  <c:v>5460.1466666666665</c:v>
                </c:pt>
                <c:pt idx="93">
                  <c:v>5708.7599999999993</c:v>
                </c:pt>
                <c:pt idx="94">
                  <c:v>5526.7866666666669</c:v>
                </c:pt>
                <c:pt idx="95">
                  <c:v>5674.5266666666676</c:v>
                </c:pt>
                <c:pt idx="96">
                  <c:v>6742.416666666667</c:v>
                </c:pt>
                <c:pt idx="97">
                  <c:v>7763.3433333333332</c:v>
                </c:pt>
                <c:pt idx="98">
                  <c:v>7584.75</c:v>
                </c:pt>
                <c:pt idx="99">
                  <c:v>7155.4133333333339</c:v>
                </c:pt>
                <c:pt idx="100">
                  <c:v>6073.6733333333332</c:v>
                </c:pt>
                <c:pt idx="101">
                  <c:v>5612.31</c:v>
                </c:pt>
                <c:pt idx="102">
                  <c:v>5793.4866666666667</c:v>
                </c:pt>
                <c:pt idx="103">
                  <c:v>5645.73</c:v>
                </c:pt>
                <c:pt idx="104">
                  <c:v>5676.829999999999</c:v>
                </c:pt>
                <c:pt idx="105">
                  <c:v>5592.1966666666667</c:v>
                </c:pt>
                <c:pt idx="106">
                  <c:v>5406.5566666666664</c:v>
                </c:pt>
                <c:pt idx="107">
                  <c:v>5038.9900000000007</c:v>
                </c:pt>
                <c:pt idx="108">
                  <c:v>4889.2733333333335</c:v>
                </c:pt>
                <c:pt idx="109">
                  <c:v>4124.8033333333333</c:v>
                </c:pt>
                <c:pt idx="110">
                  <c:v>3286.3266666666664</c:v>
                </c:pt>
                <c:pt idx="111">
                  <c:v>3778.3933333333334</c:v>
                </c:pt>
                <c:pt idx="112">
                  <c:v>3088.9233333333336</c:v>
                </c:pt>
                <c:pt idx="113">
                  <c:v>2145.5733333333333</c:v>
                </c:pt>
                <c:pt idx="114">
                  <c:v>2113.83</c:v>
                </c:pt>
                <c:pt idx="115">
                  <c:v>2100.5100000000002</c:v>
                </c:pt>
                <c:pt idx="116">
                  <c:v>2085.3633333333332</c:v>
                </c:pt>
                <c:pt idx="117">
                  <c:v>2136.9266666666667</c:v>
                </c:pt>
                <c:pt idx="118">
                  <c:v>2129.6799999999998</c:v>
                </c:pt>
                <c:pt idx="119">
                  <c:v>2172.3799999999997</c:v>
                </c:pt>
                <c:pt idx="120">
                  <c:v>2151.8333333333335</c:v>
                </c:pt>
                <c:pt idx="121">
                  <c:v>2102.7333333333331</c:v>
                </c:pt>
                <c:pt idx="122">
                  <c:v>2245.2999999999997</c:v>
                </c:pt>
                <c:pt idx="123">
                  <c:v>2232.9</c:v>
                </c:pt>
                <c:pt idx="124">
                  <c:v>2246.8666666666668</c:v>
                </c:pt>
                <c:pt idx="125">
                  <c:v>2226.5333333333333</c:v>
                </c:pt>
                <c:pt idx="126">
                  <c:v>2200.7999999999997</c:v>
                </c:pt>
                <c:pt idx="127">
                  <c:v>2208.5</c:v>
                </c:pt>
                <c:pt idx="128">
                  <c:v>2254.7999999999997</c:v>
                </c:pt>
                <c:pt idx="129">
                  <c:v>2270.5333333333333</c:v>
                </c:pt>
                <c:pt idx="130">
                  <c:v>2180.2999999999997</c:v>
                </c:pt>
                <c:pt idx="131">
                  <c:v>2134.6666666666665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1-4289-825E-C8FBC29AC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946032"/>
        <c:axId val="357947280"/>
      </c:lineChart>
      <c:catAx>
        <c:axId val="3579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47280"/>
        <c:crosses val="autoZero"/>
        <c:auto val="1"/>
        <c:lblAlgn val="ctr"/>
        <c:lblOffset val="100"/>
        <c:noMultiLvlLbl val="0"/>
      </c:catAx>
      <c:valAx>
        <c:axId val="3579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4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179916</xdr:colOff>
      <xdr:row>1</xdr:row>
      <xdr:rowOff>74083</xdr:rowOff>
    </xdr:from>
    <xdr:to>
      <xdr:col>26</xdr:col>
      <xdr:colOff>203199</xdr:colOff>
      <xdr:row>36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B91D26-277A-FE35-1669-E015D55B1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222250</xdr:colOff>
      <xdr:row>37</xdr:row>
      <xdr:rowOff>184150</xdr:rowOff>
    </xdr:from>
    <xdr:to>
      <xdr:col>26</xdr:col>
      <xdr:colOff>190500</xdr:colOff>
      <xdr:row>65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D862D-3AE4-87B6-2813-027449867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66</xdr:row>
      <xdr:rowOff>171450</xdr:rowOff>
    </xdr:from>
    <xdr:to>
      <xdr:col>26</xdr:col>
      <xdr:colOff>215900</xdr:colOff>
      <xdr:row>96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F59D94-FB58-76B3-F284-01748136A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247649</xdr:colOff>
      <xdr:row>1</xdr:row>
      <xdr:rowOff>139700</xdr:rowOff>
    </xdr:from>
    <xdr:to>
      <xdr:col>13</xdr:col>
      <xdr:colOff>546099</xdr:colOff>
      <xdr:row>18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7182E-8DFD-4689-8D14-9F616311C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E861-0DC9-3540-844C-1B24ED13D2B5}">
  <dimension ref="A1:U2733"/>
  <sheetViews>
    <sheetView tabSelected="1" zoomScaleNormal="100" workbookViewId="0">
      <selection activeCell="K7" sqref="K7"/>
    </sheetView>
  </sheetViews>
  <sheetFormatPr baseColWidth="10" defaultColWidth="8.83203125" defaultRowHeight="15" x14ac:dyDescent="0.2"/>
  <cols>
    <col min="1" max="1" width="10.6640625" bestFit="1" customWidth="1"/>
    <col min="2" max="2" width="17.6640625" bestFit="1" customWidth="1"/>
    <col min="3" max="4" width="17.6640625" customWidth="1"/>
    <col min="5" max="5" width="11.5" bestFit="1" customWidth="1"/>
    <col min="6" max="9" width="16.5" customWidth="1"/>
    <col min="10" max="10" width="18.1640625" bestFit="1" customWidth="1"/>
    <col min="11" max="11" width="15.83203125" bestFit="1" customWidth="1"/>
    <col min="14" max="14" width="13.6640625" bestFit="1" customWidth="1"/>
    <col min="21" max="21" width="10.6640625" bestFit="1" customWidth="1"/>
    <col min="24" max="24" width="10.6640625" bestFit="1" customWidth="1"/>
  </cols>
  <sheetData>
    <row r="1" spans="1:21" x14ac:dyDescent="0.2">
      <c r="A1" s="2" t="s">
        <v>0</v>
      </c>
      <c r="B1" s="2" t="s">
        <v>1</v>
      </c>
      <c r="C1" s="2" t="s">
        <v>7</v>
      </c>
      <c r="D1" s="2" t="s">
        <v>13</v>
      </c>
      <c r="E1" s="2" t="s">
        <v>6</v>
      </c>
      <c r="F1" s="2" t="s">
        <v>8</v>
      </c>
      <c r="G1" s="2"/>
      <c r="H1" s="2"/>
      <c r="I1" s="2"/>
    </row>
    <row r="2" spans="1:21" x14ac:dyDescent="0.2">
      <c r="A2" s="1">
        <v>41670</v>
      </c>
      <c r="B2">
        <v>115.44</v>
      </c>
      <c r="E2" s="3">
        <v>1043.6666666666667</v>
      </c>
      <c r="F2" s="3"/>
      <c r="G2" s="3"/>
      <c r="H2" s="3"/>
      <c r="I2" s="3"/>
      <c r="J2" t="s">
        <v>9</v>
      </c>
      <c r="K2">
        <f>CORREL(C3:C133,F3:F133)</f>
        <v>0.3755898344222075</v>
      </c>
      <c r="U2" s="1"/>
    </row>
    <row r="3" spans="1:21" x14ac:dyDescent="0.2">
      <c r="A3" s="1">
        <v>41698</v>
      </c>
      <c r="B3">
        <v>114</v>
      </c>
      <c r="C3">
        <f>LN(B3/B2)</f>
        <v>-1.2552466071119973E-2</v>
      </c>
      <c r="E3" s="3">
        <v>1091.3333333333333</v>
      </c>
      <c r="F3">
        <f>LN(E3/E2)</f>
        <v>4.4660036604674422E-2</v>
      </c>
      <c r="J3" t="s">
        <v>20</v>
      </c>
      <c r="U3" s="1"/>
    </row>
    <row r="4" spans="1:21" x14ac:dyDescent="0.2">
      <c r="A4" s="1">
        <v>41729</v>
      </c>
      <c r="B4">
        <v>120</v>
      </c>
      <c r="C4">
        <f t="shared" ref="C4:C67" si="0">LN(B4/B3)</f>
        <v>5.1293294387550481E-2</v>
      </c>
      <c r="E4" s="3">
        <v>1108.0899999999999</v>
      </c>
      <c r="F4">
        <f t="shared" ref="F4:F67" si="1">LN(E4/E3)</f>
        <v>1.5237622182312179E-2</v>
      </c>
      <c r="U4" s="1"/>
    </row>
    <row r="5" spans="1:21" x14ac:dyDescent="0.2">
      <c r="A5" s="1">
        <v>41759</v>
      </c>
      <c r="B5">
        <v>118.4</v>
      </c>
      <c r="C5">
        <f t="shared" si="0"/>
        <v>-1.3423020332140661E-2</v>
      </c>
      <c r="E5" s="3">
        <v>1105.3399999999999</v>
      </c>
      <c r="F5">
        <f t="shared" si="1"/>
        <v>-2.4848325133072593E-3</v>
      </c>
      <c r="U5" s="1"/>
    </row>
    <row r="6" spans="1:21" x14ac:dyDescent="0.2">
      <c r="A6" s="1">
        <v>41789</v>
      </c>
      <c r="B6">
        <v>110.76</v>
      </c>
      <c r="C6">
        <f t="shared" si="0"/>
        <v>-6.6703024147144241E-2</v>
      </c>
      <c r="E6" s="3">
        <v>1142.9100000000001</v>
      </c>
      <c r="F6">
        <f t="shared" si="1"/>
        <v>3.3424661605186118E-2</v>
      </c>
      <c r="U6" s="1"/>
    </row>
    <row r="7" spans="1:21" x14ac:dyDescent="0.2">
      <c r="A7" s="1">
        <v>41820</v>
      </c>
      <c r="B7">
        <v>106.88</v>
      </c>
      <c r="C7">
        <f t="shared" si="0"/>
        <v>-3.5658988514425553E-2</v>
      </c>
      <c r="E7" s="3">
        <v>1148.25</v>
      </c>
      <c r="F7">
        <f t="shared" si="1"/>
        <v>4.6614026687412536E-3</v>
      </c>
      <c r="U7" s="1"/>
    </row>
    <row r="8" spans="1:21" x14ac:dyDescent="0.2">
      <c r="A8" s="1">
        <v>41851</v>
      </c>
      <c r="B8">
        <v>106.33</v>
      </c>
      <c r="C8">
        <f t="shared" si="0"/>
        <v>-5.1592441253408032E-3</v>
      </c>
      <c r="E8" s="3">
        <v>1206.17</v>
      </c>
      <c r="F8">
        <f t="shared" si="1"/>
        <v>4.9211006004418668E-2</v>
      </c>
      <c r="M8" s="2"/>
      <c r="U8" s="1"/>
    </row>
    <row r="9" spans="1:21" x14ac:dyDescent="0.2">
      <c r="A9" s="1">
        <v>41880</v>
      </c>
      <c r="B9">
        <v>96.25</v>
      </c>
      <c r="C9">
        <f t="shared" si="0"/>
        <v>-9.9598492495101221E-2</v>
      </c>
      <c r="E9" s="3">
        <v>1218.1266666666668</v>
      </c>
      <c r="F9">
        <f t="shared" si="1"/>
        <v>9.8641092735881133E-3</v>
      </c>
      <c r="M9" s="2"/>
      <c r="U9" s="1"/>
    </row>
    <row r="10" spans="1:21" x14ac:dyDescent="0.2">
      <c r="A10" s="1">
        <v>41912</v>
      </c>
      <c r="B10">
        <v>87</v>
      </c>
      <c r="C10">
        <f t="shared" si="0"/>
        <v>-0.10104085451330992</v>
      </c>
      <c r="E10" s="3">
        <v>1121.4333333333334</v>
      </c>
      <c r="F10">
        <f t="shared" si="1"/>
        <v>-8.2706530487283242E-2</v>
      </c>
      <c r="M10" s="2"/>
      <c r="U10" s="1"/>
    </row>
    <row r="11" spans="1:21" x14ac:dyDescent="0.2">
      <c r="A11" s="1">
        <v>41943</v>
      </c>
      <c r="B11">
        <v>80.290000000000006</v>
      </c>
      <c r="C11">
        <f t="shared" si="0"/>
        <v>-8.0263038457991015E-2</v>
      </c>
      <c r="E11" s="3">
        <v>1089.6566666666668</v>
      </c>
      <c r="F11">
        <f t="shared" si="1"/>
        <v>-2.8744967101020338E-2</v>
      </c>
      <c r="J11" s="6" t="s">
        <v>14</v>
      </c>
      <c r="K11" s="6" t="s">
        <v>15</v>
      </c>
      <c r="M11" s="2"/>
      <c r="U11" s="1"/>
    </row>
    <row r="12" spans="1:21" x14ac:dyDescent="0.2">
      <c r="A12" s="1">
        <v>41971</v>
      </c>
      <c r="B12">
        <v>80.67</v>
      </c>
      <c r="C12">
        <f t="shared" si="0"/>
        <v>4.7216787522903984E-3</v>
      </c>
      <c r="E12" s="3">
        <v>1073.4433333333334</v>
      </c>
      <c r="F12">
        <f t="shared" si="1"/>
        <v>-1.4991111804386911E-2</v>
      </c>
      <c r="I12" s="7">
        <v>42005</v>
      </c>
      <c r="J12" s="6">
        <v>-0.34381496881496881</v>
      </c>
      <c r="K12" s="6">
        <v>2.0092622165442157E-2</v>
      </c>
      <c r="M12" s="2"/>
      <c r="U12" s="1"/>
    </row>
    <row r="13" spans="1:21" x14ac:dyDescent="0.2">
      <c r="A13" s="1">
        <v>42004</v>
      </c>
      <c r="B13">
        <v>75.78</v>
      </c>
      <c r="C13">
        <f t="shared" si="0"/>
        <v>-6.25323533584283E-2</v>
      </c>
      <c r="E13" s="3">
        <v>1083.5333333333333</v>
      </c>
      <c r="F13">
        <f t="shared" si="1"/>
        <v>9.3557559097465562E-3</v>
      </c>
      <c r="I13" s="7">
        <v>42370</v>
      </c>
      <c r="J13" s="6">
        <v>-0.56594059405940589</v>
      </c>
      <c r="K13" s="6">
        <v>-0.36726457539504864</v>
      </c>
      <c r="M13" s="2"/>
      <c r="U13" s="1"/>
    </row>
    <row r="14" spans="1:21" x14ac:dyDescent="0.2">
      <c r="A14" s="1">
        <v>42034</v>
      </c>
      <c r="B14">
        <v>75.75</v>
      </c>
      <c r="C14">
        <f t="shared" si="0"/>
        <v>-3.9596120097618259E-4</v>
      </c>
      <c r="D14">
        <f>(B14-B2)/B2</f>
        <v>-0.34381496881496881</v>
      </c>
      <c r="E14" s="3">
        <v>1064.6366666666665</v>
      </c>
      <c r="F14">
        <f t="shared" si="1"/>
        <v>-1.7593723124558175E-2</v>
      </c>
      <c r="G14">
        <f>(E14-E2)/E2</f>
        <v>2.0092622165442157E-2</v>
      </c>
      <c r="I14" s="7">
        <v>42736</v>
      </c>
      <c r="J14" s="6">
        <v>0.62530413625304115</v>
      </c>
      <c r="K14" s="6">
        <v>0.28376960760057396</v>
      </c>
      <c r="M14" s="2"/>
      <c r="U14" s="1"/>
    </row>
    <row r="15" spans="1:21" x14ac:dyDescent="0.2">
      <c r="A15" s="1">
        <v>42062</v>
      </c>
      <c r="B15">
        <v>71.709999999999994</v>
      </c>
      <c r="C15">
        <f t="shared" si="0"/>
        <v>-5.4808236494995145E-2</v>
      </c>
      <c r="D15">
        <f t="shared" ref="D15:D25" si="2">(B15-B3)/B3</f>
        <v>-0.37096491228070183</v>
      </c>
      <c r="E15" s="3">
        <v>1062.1333333333334</v>
      </c>
      <c r="F15">
        <f t="shared" si="1"/>
        <v>-2.3541186770827814E-3</v>
      </c>
      <c r="G15">
        <f t="shared" ref="G15:G25" si="3">(E15-E3)/E3</f>
        <v>-2.6756261453878882E-2</v>
      </c>
      <c r="I15" s="7">
        <v>43101</v>
      </c>
      <c r="J15" s="6">
        <v>-0.31979790419161669</v>
      </c>
      <c r="K15" s="6">
        <v>0.48319630584689172</v>
      </c>
      <c r="M15" s="2"/>
      <c r="U15" s="1"/>
    </row>
    <row r="16" spans="1:21" x14ac:dyDescent="0.2">
      <c r="A16" s="1">
        <v>42094</v>
      </c>
      <c r="B16">
        <v>58.83</v>
      </c>
      <c r="C16">
        <f t="shared" si="0"/>
        <v>-0.19797827901811885</v>
      </c>
      <c r="D16">
        <f t="shared" si="2"/>
        <v>-0.50975000000000004</v>
      </c>
      <c r="E16" s="3">
        <v>1014.3633333333333</v>
      </c>
      <c r="F16">
        <f t="shared" si="1"/>
        <v>-4.6018306331586468E-2</v>
      </c>
      <c r="G16">
        <f t="shared" si="3"/>
        <v>-8.4583983852093772E-2</v>
      </c>
      <c r="I16" s="7">
        <v>43466</v>
      </c>
      <c r="J16" s="6">
        <v>6.3273727647867872E-2</v>
      </c>
      <c r="K16" s="6">
        <v>0.21236707242279032</v>
      </c>
      <c r="M16" s="2"/>
      <c r="U16" s="1"/>
    </row>
    <row r="17" spans="1:21" x14ac:dyDescent="0.2">
      <c r="A17" s="1">
        <v>42124</v>
      </c>
      <c r="B17">
        <v>66</v>
      </c>
      <c r="C17">
        <f t="shared" si="0"/>
        <v>0.11500281315006097</v>
      </c>
      <c r="D17">
        <f t="shared" si="2"/>
        <v>-0.4425675675675676</v>
      </c>
      <c r="E17" s="3">
        <v>1022.8666666666668</v>
      </c>
      <c r="F17">
        <f t="shared" si="1"/>
        <v>8.3479849752573967E-3</v>
      </c>
      <c r="G17">
        <f t="shared" si="3"/>
        <v>-7.4613542740996561E-2</v>
      </c>
      <c r="I17" s="7">
        <v>43831</v>
      </c>
      <c r="J17" s="6">
        <v>2.6610608020698576</v>
      </c>
      <c r="K17" s="6">
        <v>1.8774720587163511</v>
      </c>
      <c r="M17" s="2"/>
      <c r="U17" s="1"/>
    </row>
    <row r="18" spans="1:21" x14ac:dyDescent="0.2">
      <c r="A18" s="1">
        <v>42153</v>
      </c>
      <c r="B18">
        <v>61.3</v>
      </c>
      <c r="C18">
        <f t="shared" si="0"/>
        <v>-7.3874899084259898E-2</v>
      </c>
      <c r="D18">
        <f t="shared" si="2"/>
        <v>-0.446551101480679</v>
      </c>
      <c r="E18" s="3">
        <v>986.57333333333327</v>
      </c>
      <c r="F18">
        <f t="shared" si="1"/>
        <v>-3.6126762261944917E-2</v>
      </c>
      <c r="G18">
        <f t="shared" si="3"/>
        <v>-0.13678825687645291</v>
      </c>
      <c r="I18" s="7">
        <v>44197</v>
      </c>
      <c r="J18" s="6">
        <v>0.46416961130742052</v>
      </c>
      <c r="K18" s="6">
        <v>0.72918269850362893</v>
      </c>
      <c r="M18" s="2"/>
      <c r="U18" s="1"/>
    </row>
    <row r="19" spans="1:21" x14ac:dyDescent="0.2">
      <c r="A19" s="1">
        <v>42185</v>
      </c>
      <c r="B19">
        <v>54.3</v>
      </c>
      <c r="C19">
        <f t="shared" si="0"/>
        <v>-0.12125561600227594</v>
      </c>
      <c r="D19">
        <f t="shared" si="2"/>
        <v>-0.49195359281437129</v>
      </c>
      <c r="E19" s="3">
        <v>868.14333333333343</v>
      </c>
      <c r="F19">
        <f t="shared" si="1"/>
        <v>-0.12788082798489572</v>
      </c>
      <c r="G19">
        <f t="shared" si="3"/>
        <v>-0.24394223093112699</v>
      </c>
      <c r="I19" s="7">
        <v>44562</v>
      </c>
      <c r="J19" s="6">
        <v>0.13008012356405052</v>
      </c>
      <c r="K19" s="6">
        <v>-0.12859476603271894</v>
      </c>
      <c r="M19" s="2"/>
      <c r="U19" s="1"/>
    </row>
    <row r="20" spans="1:21" x14ac:dyDescent="0.2">
      <c r="A20" s="1">
        <v>42216</v>
      </c>
      <c r="B20">
        <v>45.51</v>
      </c>
      <c r="C20">
        <f t="shared" si="0"/>
        <v>-0.17659214491133912</v>
      </c>
      <c r="D20">
        <f t="shared" si="2"/>
        <v>-0.57199285244051534</v>
      </c>
      <c r="E20" s="3">
        <v>790.12666666666667</v>
      </c>
      <c r="F20">
        <f t="shared" si="1"/>
        <v>-9.4163561435036874E-2</v>
      </c>
      <c r="G20">
        <f t="shared" si="3"/>
        <v>-0.34492926646603161</v>
      </c>
      <c r="I20" s="7">
        <v>44927</v>
      </c>
      <c r="J20" s="6">
        <v>-0.14000768803656088</v>
      </c>
      <c r="K20" s="6">
        <v>-0.34381496900000003</v>
      </c>
      <c r="U20" s="1"/>
    </row>
    <row r="21" spans="1:21" x14ac:dyDescent="0.2">
      <c r="A21" s="1">
        <v>42247</v>
      </c>
      <c r="B21">
        <v>49.52</v>
      </c>
      <c r="C21">
        <f t="shared" si="0"/>
        <v>8.4444546347790167E-2</v>
      </c>
      <c r="D21">
        <f t="shared" si="2"/>
        <v>-0.4855064935064935</v>
      </c>
      <c r="E21" s="3">
        <v>808.39</v>
      </c>
      <c r="F21">
        <f t="shared" si="1"/>
        <v>2.285134517803214E-2</v>
      </c>
      <c r="G21">
        <f t="shared" si="3"/>
        <v>-0.33636622354544415</v>
      </c>
      <c r="I21" s="7">
        <v>45292</v>
      </c>
      <c r="J21" s="6">
        <v>-0.63610628259250057</v>
      </c>
      <c r="K21" s="6">
        <v>-0.34381496900000003</v>
      </c>
      <c r="U21" s="1"/>
    </row>
    <row r="22" spans="1:21" x14ac:dyDescent="0.2">
      <c r="A22" s="1">
        <v>42277</v>
      </c>
      <c r="B22">
        <v>38.42</v>
      </c>
      <c r="C22">
        <f t="shared" si="0"/>
        <v>-0.25379847103593006</v>
      </c>
      <c r="D22">
        <f t="shared" si="2"/>
        <v>-0.55839080459770118</v>
      </c>
      <c r="E22" s="3">
        <v>773.31666666666661</v>
      </c>
      <c r="F22">
        <f t="shared" si="1"/>
        <v>-4.4355991303284249E-2</v>
      </c>
      <c r="G22">
        <f t="shared" si="3"/>
        <v>-0.31042118717117984</v>
      </c>
      <c r="J22" s="8" t="s">
        <v>19</v>
      </c>
      <c r="K22" s="9">
        <f>CORREL(J12:J21,K12:K21)</f>
        <v>0.90480947202935491</v>
      </c>
      <c r="U22" s="1"/>
    </row>
    <row r="23" spans="1:21" x14ac:dyDescent="0.2">
      <c r="A23" s="1">
        <v>42307</v>
      </c>
      <c r="B23">
        <v>37.82</v>
      </c>
      <c r="C23">
        <f t="shared" si="0"/>
        <v>-1.5740094110099238E-2</v>
      </c>
      <c r="D23">
        <f t="shared" si="2"/>
        <v>-0.52895752895752901</v>
      </c>
      <c r="E23" s="3">
        <v>803.96</v>
      </c>
      <c r="F23">
        <f t="shared" si="1"/>
        <v>3.8860892661684923E-2</v>
      </c>
      <c r="G23">
        <f t="shared" si="3"/>
        <v>-0.26218961936022667</v>
      </c>
      <c r="U23" s="1"/>
    </row>
    <row r="24" spans="1:21" x14ac:dyDescent="0.2">
      <c r="A24" s="1">
        <v>42338</v>
      </c>
      <c r="B24">
        <v>31.62</v>
      </c>
      <c r="C24">
        <f t="shared" si="0"/>
        <v>-0.17904823144898543</v>
      </c>
      <c r="D24">
        <f t="shared" si="2"/>
        <v>-0.60803272592041646</v>
      </c>
      <c r="E24" s="3">
        <v>701.91</v>
      </c>
      <c r="F24">
        <f t="shared" si="1"/>
        <v>-0.13574432601892519</v>
      </c>
      <c r="G24">
        <f t="shared" si="3"/>
        <v>-0.34611359705371814</v>
      </c>
      <c r="J24" t="s">
        <v>16</v>
      </c>
      <c r="U24" s="1"/>
    </row>
    <row r="25" spans="1:21" x14ac:dyDescent="0.2">
      <c r="A25" s="1">
        <v>42369</v>
      </c>
      <c r="B25">
        <v>25.04</v>
      </c>
      <c r="C25">
        <f t="shared" si="0"/>
        <v>-0.23331528554942821</v>
      </c>
      <c r="D25">
        <f t="shared" si="2"/>
        <v>-0.66956980733702831</v>
      </c>
      <c r="E25" s="3">
        <v>704.84333333333325</v>
      </c>
      <c r="F25">
        <f t="shared" si="1"/>
        <v>4.1703652164037531E-3</v>
      </c>
      <c r="G25">
        <f t="shared" si="3"/>
        <v>-0.34949547775795242</v>
      </c>
      <c r="J25" t="s">
        <v>17</v>
      </c>
      <c r="K25" t="s">
        <v>18</v>
      </c>
      <c r="U25" s="1"/>
    </row>
    <row r="26" spans="1:21" x14ac:dyDescent="0.2">
      <c r="A26" s="1">
        <v>42398</v>
      </c>
      <c r="B26">
        <v>32.880000000000003</v>
      </c>
      <c r="C26">
        <f t="shared" si="0"/>
        <v>0.27239002395608142</v>
      </c>
      <c r="D26">
        <f>(B26-B14)/B14</f>
        <v>-0.56594059405940589</v>
      </c>
      <c r="E26" s="3">
        <v>673.63333333333333</v>
      </c>
      <c r="F26">
        <f t="shared" si="1"/>
        <v>-4.52896088389367E-2</v>
      </c>
      <c r="G26">
        <f>(E26-E14)/E14</f>
        <v>-0.36726457539504864</v>
      </c>
      <c r="J26" s="4">
        <f>(B133-B2)/B2</f>
        <v>-0.23986486486486486</v>
      </c>
      <c r="K26" s="4">
        <f>(E133-E2)/E2</f>
        <v>1.0453529223890128</v>
      </c>
      <c r="U26" s="1"/>
    </row>
    <row r="27" spans="1:21" x14ac:dyDescent="0.2">
      <c r="A27" s="1">
        <v>42429</v>
      </c>
      <c r="B27">
        <v>33.46</v>
      </c>
      <c r="C27">
        <f t="shared" si="0"/>
        <v>1.7486125370698644E-2</v>
      </c>
      <c r="D27">
        <f t="shared" ref="D27:D37" si="4">(B27-B15)/B15</f>
        <v>-0.5333984102635615</v>
      </c>
      <c r="E27" s="3">
        <v>702.79333333333341</v>
      </c>
      <c r="F27">
        <f t="shared" si="1"/>
        <v>4.2376923345798435E-2</v>
      </c>
      <c r="G27">
        <f>(E27-E15)/E15</f>
        <v>-0.33831910620135575</v>
      </c>
      <c r="U27" s="1"/>
    </row>
    <row r="28" spans="1:21" x14ac:dyDescent="0.2">
      <c r="A28" s="1">
        <v>42460</v>
      </c>
      <c r="B28">
        <v>47</v>
      </c>
      <c r="C28">
        <f t="shared" si="0"/>
        <v>0.33979690615138058</v>
      </c>
      <c r="D28">
        <f t="shared" si="4"/>
        <v>-0.20108788033316333</v>
      </c>
      <c r="E28" s="3">
        <v>759.92666666666673</v>
      </c>
      <c r="F28">
        <f t="shared" si="1"/>
        <v>7.8159066994837045E-2</v>
      </c>
      <c r="G28">
        <f t="shared" ref="G28:G37" si="5">(E28-E16)/E16</f>
        <v>-0.25083385637624911</v>
      </c>
      <c r="U28" s="1"/>
    </row>
    <row r="29" spans="1:21" x14ac:dyDescent="0.2">
      <c r="A29" s="1">
        <v>42489</v>
      </c>
      <c r="B29">
        <v>59</v>
      </c>
      <c r="C29">
        <f t="shared" si="0"/>
        <v>0.2273898421956608</v>
      </c>
      <c r="D29">
        <f t="shared" si="4"/>
        <v>-0.10606060606060606</v>
      </c>
      <c r="E29" s="3">
        <v>813.06333333333339</v>
      </c>
      <c r="F29">
        <f t="shared" si="1"/>
        <v>6.7587069895981691E-2</v>
      </c>
      <c r="G29">
        <f t="shared" si="5"/>
        <v>-0.20511308088379068</v>
      </c>
      <c r="U29" s="1"/>
    </row>
    <row r="30" spans="1:21" x14ac:dyDescent="0.2">
      <c r="A30" s="1">
        <v>42521</v>
      </c>
      <c r="B30">
        <v>45</v>
      </c>
      <c r="C30">
        <f t="shared" si="0"/>
        <v>-0.27087495413539975</v>
      </c>
      <c r="D30">
        <f t="shared" si="4"/>
        <v>-0.265905383360522</v>
      </c>
      <c r="E30" s="3">
        <v>730.49000000000012</v>
      </c>
      <c r="F30">
        <f t="shared" si="1"/>
        <v>-0.10709346544959032</v>
      </c>
      <c r="G30">
        <f t="shared" si="5"/>
        <v>-0.2595684726933627</v>
      </c>
      <c r="U30" s="1"/>
    </row>
    <row r="31" spans="1:21" x14ac:dyDescent="0.2">
      <c r="A31" s="1">
        <v>42551</v>
      </c>
      <c r="B31">
        <v>47.2</v>
      </c>
      <c r="C31">
        <f t="shared" si="0"/>
        <v>4.7731402821190025E-2</v>
      </c>
      <c r="D31">
        <f t="shared" si="4"/>
        <v>-0.13075506445672183</v>
      </c>
      <c r="E31" s="3">
        <v>758.04</v>
      </c>
      <c r="F31">
        <f t="shared" si="1"/>
        <v>3.7020612855489236E-2</v>
      </c>
      <c r="G31">
        <f t="shared" si="5"/>
        <v>-0.12682621533310565</v>
      </c>
      <c r="U31" s="1"/>
    </row>
    <row r="32" spans="1:21" x14ac:dyDescent="0.2">
      <c r="A32" s="1">
        <v>42580</v>
      </c>
      <c r="B32">
        <v>61</v>
      </c>
      <c r="C32">
        <f t="shared" si="0"/>
        <v>0.25647997158180147</v>
      </c>
      <c r="D32">
        <f t="shared" si="4"/>
        <v>0.3403647549989014</v>
      </c>
      <c r="E32" s="3">
        <v>827.92</v>
      </c>
      <c r="F32">
        <f t="shared" si="1"/>
        <v>8.8180376661308291E-2</v>
      </c>
      <c r="G32">
        <f t="shared" si="5"/>
        <v>4.7831993182527649E-2</v>
      </c>
      <c r="U32" s="1"/>
    </row>
    <row r="33" spans="1:21" x14ac:dyDescent="0.2">
      <c r="A33" s="1">
        <v>42613</v>
      </c>
      <c r="B33">
        <v>56.46</v>
      </c>
      <c r="C33">
        <f t="shared" si="0"/>
        <v>-7.7341441347967915E-2</v>
      </c>
      <c r="D33">
        <f t="shared" si="4"/>
        <v>0.14014539579967683</v>
      </c>
      <c r="E33" s="3">
        <v>796.64333333333332</v>
      </c>
      <c r="F33">
        <f t="shared" si="1"/>
        <v>-3.8509464234322235E-2</v>
      </c>
      <c r="G33">
        <f t="shared" si="5"/>
        <v>-1.4530940099044607E-2</v>
      </c>
      <c r="U33" s="1"/>
    </row>
    <row r="34" spans="1:21" x14ac:dyDescent="0.2">
      <c r="A34" s="1">
        <v>42643</v>
      </c>
      <c r="B34">
        <v>69.5</v>
      </c>
      <c r="C34">
        <f t="shared" si="0"/>
        <v>0.2077943297454031</v>
      </c>
      <c r="D34">
        <f t="shared" si="4"/>
        <v>0.80895366996356055</v>
      </c>
      <c r="E34" s="3">
        <v>811</v>
      </c>
      <c r="F34">
        <f t="shared" si="1"/>
        <v>1.7860986989817647E-2</v>
      </c>
      <c r="G34">
        <f t="shared" si="5"/>
        <v>4.8729498480570788E-2</v>
      </c>
      <c r="U34" s="1"/>
    </row>
    <row r="35" spans="1:21" x14ac:dyDescent="0.2">
      <c r="A35" s="1">
        <v>42674</v>
      </c>
      <c r="B35">
        <v>54.2</v>
      </c>
      <c r="C35">
        <f t="shared" si="0"/>
        <v>-0.24864584412514582</v>
      </c>
      <c r="D35">
        <f t="shared" si="4"/>
        <v>0.43310417768376525</v>
      </c>
      <c r="E35" s="3">
        <v>772.7833333333333</v>
      </c>
      <c r="F35">
        <f t="shared" si="1"/>
        <v>-4.8269338047320635E-2</v>
      </c>
      <c r="G35">
        <f t="shared" si="5"/>
        <v>-3.877887788778886E-2</v>
      </c>
      <c r="U35" s="1"/>
    </row>
    <row r="36" spans="1:21" x14ac:dyDescent="0.2">
      <c r="A36" s="1">
        <v>42704</v>
      </c>
      <c r="B36">
        <v>44.2</v>
      </c>
      <c r="C36">
        <f t="shared" si="0"/>
        <v>-0.20395611936194802</v>
      </c>
      <c r="D36">
        <f t="shared" si="4"/>
        <v>0.39784946236559143</v>
      </c>
      <c r="E36" s="3">
        <v>815.97666666666657</v>
      </c>
      <c r="F36">
        <f t="shared" si="1"/>
        <v>5.4387043715934599E-2</v>
      </c>
      <c r="G36">
        <f t="shared" si="5"/>
        <v>0.16250896363731335</v>
      </c>
      <c r="U36" s="1"/>
    </row>
    <row r="37" spans="1:21" x14ac:dyDescent="0.2">
      <c r="A37" s="1">
        <v>42734</v>
      </c>
      <c r="B37">
        <v>42.74</v>
      </c>
      <c r="C37">
        <f t="shared" si="0"/>
        <v>-3.3589539192650876E-2</v>
      </c>
      <c r="D37">
        <f t="shared" si="4"/>
        <v>0.7068690095846647</v>
      </c>
      <c r="E37" s="3">
        <v>784.68666666666661</v>
      </c>
      <c r="F37">
        <f t="shared" si="1"/>
        <v>-3.9101272426580173E-2</v>
      </c>
      <c r="G37">
        <f t="shared" si="5"/>
        <v>0.11327812800007572</v>
      </c>
      <c r="U37" s="1"/>
    </row>
    <row r="38" spans="1:21" x14ac:dyDescent="0.2">
      <c r="A38" s="1">
        <v>42766</v>
      </c>
      <c r="B38">
        <v>53.44</v>
      </c>
      <c r="C38">
        <f t="shared" si="0"/>
        <v>0.22342427933738856</v>
      </c>
      <c r="D38">
        <f>(B38-B26)/B26</f>
        <v>0.62530413625304115</v>
      </c>
      <c r="E38" s="3">
        <v>864.79</v>
      </c>
      <c r="F38">
        <f t="shared" si="1"/>
        <v>9.7202215533442993E-2</v>
      </c>
      <c r="G38">
        <f>(E38-E26)/E26</f>
        <v>0.28376960760057396</v>
      </c>
      <c r="U38" s="1"/>
    </row>
    <row r="39" spans="1:21" x14ac:dyDescent="0.2">
      <c r="A39" s="1">
        <v>42794</v>
      </c>
      <c r="B39">
        <v>44.04</v>
      </c>
      <c r="C39">
        <f t="shared" si="0"/>
        <v>-0.19346121737391109</v>
      </c>
      <c r="D39">
        <f>(B39-B27)/B27</f>
        <v>0.31619844590555884</v>
      </c>
      <c r="E39" s="3">
        <v>905.07333333333338</v>
      </c>
      <c r="F39">
        <f t="shared" si="1"/>
        <v>4.5529268833728133E-2</v>
      </c>
      <c r="G39">
        <f>(E39-E27)/E27</f>
        <v>0.28782287822878222</v>
      </c>
      <c r="U39" s="1"/>
    </row>
    <row r="40" spans="1:21" x14ac:dyDescent="0.2">
      <c r="A40" s="1">
        <v>42825</v>
      </c>
      <c r="B40">
        <v>45.22</v>
      </c>
      <c r="C40">
        <f t="shared" si="0"/>
        <v>2.6441154995344579E-2</v>
      </c>
      <c r="D40">
        <f t="shared" ref="D40:D49" si="6">(B40-B28)/B28</f>
        <v>-3.787234042553194E-2</v>
      </c>
      <c r="E40" s="3">
        <v>924.70666666666659</v>
      </c>
      <c r="F40">
        <f t="shared" si="1"/>
        <v>2.1460598378424716E-2</v>
      </c>
      <c r="G40">
        <f t="shared" ref="G40:G49" si="7">(E40-E28)/E28</f>
        <v>0.21683671231434593</v>
      </c>
      <c r="U40" s="1"/>
    </row>
    <row r="41" spans="1:21" x14ac:dyDescent="0.2">
      <c r="A41" s="1">
        <v>42853</v>
      </c>
      <c r="B41">
        <v>42.95</v>
      </c>
      <c r="C41">
        <f t="shared" si="0"/>
        <v>-5.1502818419559303E-2</v>
      </c>
      <c r="D41">
        <f t="shared" si="6"/>
        <v>-0.27203389830508468</v>
      </c>
      <c r="E41" s="3">
        <v>929.17666666666673</v>
      </c>
      <c r="F41">
        <f t="shared" si="1"/>
        <v>4.8223192711472794E-3</v>
      </c>
      <c r="G41">
        <f t="shared" si="7"/>
        <v>0.14280970322115127</v>
      </c>
      <c r="U41" s="1"/>
    </row>
    <row r="42" spans="1:21" x14ac:dyDescent="0.2">
      <c r="A42" s="1">
        <v>42886</v>
      </c>
      <c r="B42">
        <v>36.770000000000003</v>
      </c>
      <c r="C42">
        <f t="shared" si="0"/>
        <v>-0.15535435311708368</v>
      </c>
      <c r="D42">
        <f t="shared" si="6"/>
        <v>-0.18288888888888882</v>
      </c>
      <c r="E42" s="3">
        <v>899.72666666666657</v>
      </c>
      <c r="F42">
        <f t="shared" si="1"/>
        <v>-3.2207875880892078E-2</v>
      </c>
      <c r="G42">
        <f t="shared" si="7"/>
        <v>0.2316755419877978</v>
      </c>
      <c r="U42" s="1"/>
    </row>
    <row r="43" spans="1:21" x14ac:dyDescent="0.2">
      <c r="A43" s="1">
        <v>42916</v>
      </c>
      <c r="B43">
        <v>36.85</v>
      </c>
      <c r="C43">
        <f t="shared" si="0"/>
        <v>2.1733233221648308E-3</v>
      </c>
      <c r="D43">
        <f t="shared" si="6"/>
        <v>-0.21927966101694918</v>
      </c>
      <c r="E43" s="3">
        <v>936.68333333333339</v>
      </c>
      <c r="F43">
        <f t="shared" si="1"/>
        <v>4.0254253602386166E-2</v>
      </c>
      <c r="G43">
        <f t="shared" si="7"/>
        <v>0.23566478461998502</v>
      </c>
      <c r="U43" s="1"/>
    </row>
    <row r="44" spans="1:21" x14ac:dyDescent="0.2">
      <c r="A44" s="1">
        <v>42947</v>
      </c>
      <c r="B44">
        <v>35.21</v>
      </c>
      <c r="C44">
        <f t="shared" si="0"/>
        <v>-4.552548546838444E-2</v>
      </c>
      <c r="D44">
        <f t="shared" si="6"/>
        <v>-0.42278688524590163</v>
      </c>
      <c r="E44" s="3">
        <v>939.33333333333337</v>
      </c>
      <c r="F44">
        <f t="shared" si="1"/>
        <v>2.8251366948321001E-3</v>
      </c>
      <c r="G44">
        <f t="shared" si="7"/>
        <v>0.13457016781009448</v>
      </c>
      <c r="U44" s="1"/>
    </row>
    <row r="45" spans="1:21" x14ac:dyDescent="0.2">
      <c r="A45" s="1">
        <v>42978</v>
      </c>
      <c r="B45">
        <v>40.200000000000003</v>
      </c>
      <c r="C45">
        <f t="shared" si="0"/>
        <v>0.13253686245801435</v>
      </c>
      <c r="D45">
        <f t="shared" si="6"/>
        <v>-0.28799149840595106</v>
      </c>
      <c r="E45" s="3">
        <v>1030.8433333333332</v>
      </c>
      <c r="F45">
        <f t="shared" si="1"/>
        <v>9.2962112650212259E-2</v>
      </c>
      <c r="G45">
        <f t="shared" si="7"/>
        <v>0.2939835057930566</v>
      </c>
      <c r="U45" s="1"/>
    </row>
    <row r="46" spans="1:21" x14ac:dyDescent="0.2">
      <c r="A46" s="1">
        <v>43007</v>
      </c>
      <c r="B46">
        <v>31</v>
      </c>
      <c r="C46">
        <f t="shared" si="0"/>
        <v>-0.25987979113982923</v>
      </c>
      <c r="D46">
        <f t="shared" si="6"/>
        <v>-0.5539568345323741</v>
      </c>
      <c r="E46" s="3">
        <v>1011.35</v>
      </c>
      <c r="F46">
        <f t="shared" si="1"/>
        <v>-1.9091165441623419E-2</v>
      </c>
      <c r="G46">
        <f t="shared" si="7"/>
        <v>0.24704069050554872</v>
      </c>
      <c r="U46" s="1"/>
    </row>
    <row r="47" spans="1:21" x14ac:dyDescent="0.2">
      <c r="A47" s="1">
        <v>43039</v>
      </c>
      <c r="B47">
        <v>39.22</v>
      </c>
      <c r="C47">
        <f t="shared" si="0"/>
        <v>0.23519961628305397</v>
      </c>
      <c r="D47">
        <f t="shared" si="6"/>
        <v>-0.27638376383763841</v>
      </c>
      <c r="E47" s="3">
        <v>1137.6333333333334</v>
      </c>
      <c r="F47">
        <f t="shared" si="1"/>
        <v>0.11766400907394488</v>
      </c>
      <c r="G47">
        <f t="shared" si="7"/>
        <v>0.47212457135462743</v>
      </c>
      <c r="U47" s="1"/>
    </row>
    <row r="48" spans="1:21" x14ac:dyDescent="0.2">
      <c r="A48" s="1">
        <v>43069</v>
      </c>
      <c r="B48">
        <v>39</v>
      </c>
      <c r="C48">
        <f t="shared" si="0"/>
        <v>-5.6251746385537578E-3</v>
      </c>
      <c r="D48">
        <f t="shared" si="6"/>
        <v>-0.11764705882352947</v>
      </c>
      <c r="E48" s="3">
        <v>1161.1433333333334</v>
      </c>
      <c r="F48">
        <f t="shared" si="1"/>
        <v>2.0455070794803278E-2</v>
      </c>
      <c r="G48">
        <f t="shared" si="7"/>
        <v>0.4230104619004631</v>
      </c>
      <c r="U48" s="1"/>
    </row>
    <row r="49" spans="1:21" x14ac:dyDescent="0.2">
      <c r="A49" s="1">
        <v>43098</v>
      </c>
      <c r="B49">
        <v>32.44</v>
      </c>
      <c r="C49">
        <f t="shared" si="0"/>
        <v>-0.18416941688243429</v>
      </c>
      <c r="D49">
        <f t="shared" si="6"/>
        <v>-0.24099204492278906</v>
      </c>
      <c r="E49" s="3">
        <v>1235.5899999999999</v>
      </c>
      <c r="F49">
        <f t="shared" si="1"/>
        <v>6.2143436909767175E-2</v>
      </c>
      <c r="G49">
        <f t="shared" si="7"/>
        <v>0.57462851414152571</v>
      </c>
      <c r="U49" s="1"/>
    </row>
    <row r="50" spans="1:21" x14ac:dyDescent="0.2">
      <c r="A50" s="1">
        <v>43131</v>
      </c>
      <c r="B50">
        <v>36.35</v>
      </c>
      <c r="C50">
        <f t="shared" si="0"/>
        <v>0.11380197473231639</v>
      </c>
      <c r="D50">
        <f>(B50-B38)/B38</f>
        <v>-0.31979790419161669</v>
      </c>
      <c r="E50" s="3">
        <v>1282.6533333333334</v>
      </c>
      <c r="F50">
        <f t="shared" si="1"/>
        <v>3.7382260275444175E-2</v>
      </c>
      <c r="G50">
        <f>(E50-E38)/E38</f>
        <v>0.48319630584689172</v>
      </c>
      <c r="U50" s="1"/>
    </row>
    <row r="51" spans="1:21" x14ac:dyDescent="0.2">
      <c r="A51" s="1">
        <v>43159</v>
      </c>
      <c r="B51">
        <v>30.1</v>
      </c>
      <c r="C51">
        <f t="shared" si="0"/>
        <v>-0.18866903222469827</v>
      </c>
      <c r="D51">
        <f>(B51-B39)/B39</f>
        <v>-0.31653042688465027</v>
      </c>
      <c r="E51" s="3">
        <v>1298.9033333333334</v>
      </c>
      <c r="F51">
        <f t="shared" si="1"/>
        <v>1.2589469630908333E-2</v>
      </c>
      <c r="G51">
        <f>(E51-E39)/E39</f>
        <v>0.43513601107829203</v>
      </c>
      <c r="U51" s="1"/>
    </row>
    <row r="52" spans="1:21" x14ac:dyDescent="0.2">
      <c r="A52" s="1">
        <v>43189</v>
      </c>
      <c r="B52">
        <v>23.54</v>
      </c>
      <c r="C52">
        <f t="shared" si="0"/>
        <v>-0.24582406992269942</v>
      </c>
      <c r="D52">
        <f t="shared" ref="D52:D61" si="8">(B52-B40)/B40</f>
        <v>-0.4794338788146838</v>
      </c>
      <c r="E52" s="3">
        <v>1308.5</v>
      </c>
      <c r="F52">
        <f t="shared" si="1"/>
        <v>7.3611242862284283E-3</v>
      </c>
      <c r="G52">
        <f t="shared" ref="G52:G61" si="9">(E52-E40)/E40</f>
        <v>0.41504332905570068</v>
      </c>
      <c r="U52" s="1"/>
    </row>
    <row r="53" spans="1:21" x14ac:dyDescent="0.2">
      <c r="A53" s="1">
        <v>43220</v>
      </c>
      <c r="B53">
        <v>22.34</v>
      </c>
      <c r="C53">
        <f t="shared" si="0"/>
        <v>-5.2322308191075938E-2</v>
      </c>
      <c r="D53">
        <f t="shared" si="8"/>
        <v>-0.47986030267753205</v>
      </c>
      <c r="E53" s="3">
        <v>1305.54</v>
      </c>
      <c r="F53">
        <f t="shared" si="1"/>
        <v>-2.2646946987149087E-3</v>
      </c>
      <c r="G53">
        <f t="shared" si="9"/>
        <v>0.40505034923390942</v>
      </c>
      <c r="U53" s="1"/>
    </row>
    <row r="54" spans="1:21" x14ac:dyDescent="0.2">
      <c r="A54" s="1">
        <v>43251</v>
      </c>
      <c r="B54">
        <v>20.260000000000002</v>
      </c>
      <c r="C54">
        <f t="shared" si="0"/>
        <v>-9.7730294820517274E-2</v>
      </c>
      <c r="D54">
        <f t="shared" si="8"/>
        <v>-0.44900734294261629</v>
      </c>
      <c r="E54" s="3">
        <v>1378.5733333333335</v>
      </c>
      <c r="F54">
        <f t="shared" si="1"/>
        <v>5.4432399697851519E-2</v>
      </c>
      <c r="G54">
        <f t="shared" si="9"/>
        <v>0.53221348705903304</v>
      </c>
      <c r="U54" s="1"/>
    </row>
    <row r="55" spans="1:21" x14ac:dyDescent="0.2">
      <c r="A55" s="1">
        <v>43280</v>
      </c>
      <c r="B55">
        <v>20.25</v>
      </c>
      <c r="C55">
        <f t="shared" si="0"/>
        <v>-4.9370526798929318E-4</v>
      </c>
      <c r="D55">
        <f t="shared" si="8"/>
        <v>-0.45047489823609227</v>
      </c>
      <c r="E55" s="3">
        <v>1356.27</v>
      </c>
      <c r="F55">
        <f t="shared" si="1"/>
        <v>-1.6310863245518028E-2</v>
      </c>
      <c r="G55">
        <f t="shared" si="9"/>
        <v>0.44794932474511118</v>
      </c>
      <c r="U55" s="1"/>
    </row>
    <row r="56" spans="1:21" x14ac:dyDescent="0.2">
      <c r="A56" s="1">
        <v>43312</v>
      </c>
      <c r="B56">
        <v>19.489999999999998</v>
      </c>
      <c r="C56">
        <f t="shared" si="0"/>
        <v>-3.8253280033078776E-2</v>
      </c>
      <c r="D56">
        <f t="shared" si="8"/>
        <v>-0.44646407270661748</v>
      </c>
      <c r="E56" s="3">
        <v>1366.0666666666666</v>
      </c>
      <c r="F56">
        <f t="shared" si="1"/>
        <v>7.197279510803266E-3</v>
      </c>
      <c r="G56">
        <f t="shared" si="9"/>
        <v>0.45429382540809071</v>
      </c>
      <c r="U56" s="1"/>
    </row>
    <row r="57" spans="1:21" x14ac:dyDescent="0.2">
      <c r="A57" s="1">
        <v>43343</v>
      </c>
      <c r="B57">
        <v>17.899999999999999</v>
      </c>
      <c r="C57">
        <f t="shared" si="0"/>
        <v>-8.5100800672760143E-2</v>
      </c>
      <c r="D57">
        <f t="shared" si="8"/>
        <v>-0.55472636815920406</v>
      </c>
      <c r="E57" s="3">
        <v>1386.8999999999999</v>
      </c>
      <c r="F57">
        <f t="shared" si="1"/>
        <v>1.5135476427666827E-2</v>
      </c>
      <c r="G57">
        <f t="shared" si="9"/>
        <v>0.34540327822203826</v>
      </c>
      <c r="U57" s="1"/>
    </row>
    <row r="58" spans="1:21" x14ac:dyDescent="0.2">
      <c r="A58" s="1">
        <v>43371</v>
      </c>
      <c r="B58">
        <v>27.5</v>
      </c>
      <c r="C58">
        <f t="shared" si="0"/>
        <v>0.42938529182581636</v>
      </c>
      <c r="D58">
        <f t="shared" si="8"/>
        <v>-0.11290322580645161</v>
      </c>
      <c r="E58" s="3">
        <v>1490.3166666666666</v>
      </c>
      <c r="F58">
        <f t="shared" si="1"/>
        <v>7.1917584660552772E-2</v>
      </c>
      <c r="G58">
        <f t="shared" si="9"/>
        <v>0.47359140422867113</v>
      </c>
      <c r="U58" s="1"/>
    </row>
    <row r="59" spans="1:21" x14ac:dyDescent="0.2">
      <c r="A59" s="1">
        <v>43404</v>
      </c>
      <c r="B59">
        <v>27.2</v>
      </c>
      <c r="C59">
        <f t="shared" si="0"/>
        <v>-1.0969031370574046E-2</v>
      </c>
      <c r="D59">
        <f t="shared" si="8"/>
        <v>-0.3064762876083631</v>
      </c>
      <c r="E59" s="3">
        <v>1447.43</v>
      </c>
      <c r="F59">
        <f t="shared" si="1"/>
        <v>-2.9199055285106575E-2</v>
      </c>
      <c r="G59">
        <f t="shared" si="9"/>
        <v>0.27231679803099995</v>
      </c>
      <c r="U59" s="1"/>
    </row>
    <row r="60" spans="1:21" x14ac:dyDescent="0.2">
      <c r="A60" s="1">
        <v>43434</v>
      </c>
      <c r="B60">
        <v>33</v>
      </c>
      <c r="C60">
        <f t="shared" si="0"/>
        <v>0.19329058816452871</v>
      </c>
      <c r="D60">
        <f t="shared" si="8"/>
        <v>-0.15384615384615385</v>
      </c>
      <c r="E60" s="3">
        <v>1526.3966666666668</v>
      </c>
      <c r="F60">
        <f t="shared" si="1"/>
        <v>5.3120267866340984E-2</v>
      </c>
      <c r="G60">
        <f t="shared" si="9"/>
        <v>0.31456351928989529</v>
      </c>
      <c r="U60" s="1"/>
    </row>
    <row r="61" spans="1:21" x14ac:dyDescent="0.2">
      <c r="A61" s="1">
        <v>43465</v>
      </c>
      <c r="B61">
        <v>36.68</v>
      </c>
      <c r="C61">
        <f t="shared" si="0"/>
        <v>0.10572408592178391</v>
      </c>
      <c r="D61">
        <f t="shared" si="8"/>
        <v>0.13070283600493227</v>
      </c>
      <c r="E61" s="3">
        <v>1505.8100000000002</v>
      </c>
      <c r="F61">
        <f t="shared" si="1"/>
        <v>-1.3578878521926697E-2</v>
      </c>
      <c r="G61">
        <f t="shared" si="9"/>
        <v>0.21869714063726664</v>
      </c>
      <c r="U61" s="1"/>
    </row>
    <row r="62" spans="1:21" x14ac:dyDescent="0.2">
      <c r="A62" s="1">
        <v>43496</v>
      </c>
      <c r="B62">
        <v>38.65</v>
      </c>
      <c r="C62">
        <f t="shared" si="0"/>
        <v>5.2315127645166735E-2</v>
      </c>
      <c r="D62">
        <f>(B62-B50)/B50</f>
        <v>6.3273727647867872E-2</v>
      </c>
      <c r="E62" s="3">
        <v>1555.0466666666669</v>
      </c>
      <c r="F62">
        <f t="shared" si="1"/>
        <v>3.2174596498985936E-2</v>
      </c>
      <c r="G62">
        <f>(E62-E50)/E50</f>
        <v>0.21236707242279032</v>
      </c>
      <c r="U62" s="1"/>
    </row>
    <row r="63" spans="1:21" x14ac:dyDescent="0.2">
      <c r="A63" s="1">
        <v>43524</v>
      </c>
      <c r="B63">
        <v>60.2</v>
      </c>
      <c r="C63">
        <f t="shared" si="0"/>
        <v>0.44312557728134444</v>
      </c>
      <c r="D63">
        <f t="shared" ref="D63:D73" si="10">(B63-B51)/B51</f>
        <v>1</v>
      </c>
      <c r="E63" s="3">
        <v>1729.0766666666666</v>
      </c>
      <c r="F63">
        <f t="shared" si="1"/>
        <v>0.10608199144238313</v>
      </c>
      <c r="G63">
        <f>(E63-E51)/E51</f>
        <v>0.33118194579529897</v>
      </c>
      <c r="U63" s="1"/>
    </row>
    <row r="64" spans="1:21" x14ac:dyDescent="0.2">
      <c r="A64" s="1">
        <v>43553</v>
      </c>
      <c r="B64">
        <v>61</v>
      </c>
      <c r="C64">
        <f t="shared" si="0"/>
        <v>1.3201511858535761E-2</v>
      </c>
      <c r="D64">
        <f t="shared" si="10"/>
        <v>1.5913338997451147</v>
      </c>
      <c r="E64" s="3">
        <v>1814.8866666666665</v>
      </c>
      <c r="F64">
        <f t="shared" si="1"/>
        <v>4.8435475817914367E-2</v>
      </c>
      <c r="G64">
        <f t="shared" ref="G64:G73" si="11">(E64-E52)/E52</f>
        <v>0.3869978346707425</v>
      </c>
      <c r="U64" s="1"/>
    </row>
    <row r="65" spans="1:21" x14ac:dyDescent="0.2">
      <c r="A65" s="1">
        <v>43585</v>
      </c>
      <c r="B65">
        <v>57.26</v>
      </c>
      <c r="C65">
        <f t="shared" si="0"/>
        <v>-6.3271564503342245E-2</v>
      </c>
      <c r="D65">
        <f t="shared" si="10"/>
        <v>1.5631154879140556</v>
      </c>
      <c r="E65" s="3">
        <v>1742.4733333333334</v>
      </c>
      <c r="F65">
        <f t="shared" si="1"/>
        <v>-4.0717463306305268E-2</v>
      </c>
      <c r="G65">
        <f t="shared" si="11"/>
        <v>0.33467632805837694</v>
      </c>
      <c r="U65" s="1"/>
    </row>
    <row r="66" spans="1:21" x14ac:dyDescent="0.2">
      <c r="A66" s="1">
        <v>43616</v>
      </c>
      <c r="B66">
        <v>58</v>
      </c>
      <c r="C66">
        <f t="shared" si="0"/>
        <v>1.2840710876450348E-2</v>
      </c>
      <c r="D66">
        <f t="shared" si="10"/>
        <v>1.862783810463968</v>
      </c>
      <c r="E66" s="3">
        <v>1654.0066666666669</v>
      </c>
      <c r="F66">
        <f t="shared" si="1"/>
        <v>-5.2104932626804677E-2</v>
      </c>
      <c r="G66">
        <f t="shared" si="11"/>
        <v>0.19979592428887838</v>
      </c>
      <c r="U66" s="1"/>
    </row>
    <row r="67" spans="1:21" x14ac:dyDescent="0.2">
      <c r="A67" s="1">
        <v>43644</v>
      </c>
      <c r="B67">
        <v>69.75</v>
      </c>
      <c r="C67">
        <f t="shared" si="0"/>
        <v>0.18447441015505575</v>
      </c>
      <c r="D67">
        <f t="shared" si="10"/>
        <v>2.4444444444444446</v>
      </c>
      <c r="E67" s="3">
        <v>1907.47</v>
      </c>
      <c r="F67">
        <f t="shared" si="1"/>
        <v>0.14257712943473816</v>
      </c>
      <c r="G67">
        <f t="shared" si="11"/>
        <v>0.40640875341930444</v>
      </c>
      <c r="U67" s="1"/>
    </row>
    <row r="68" spans="1:21" x14ac:dyDescent="0.2">
      <c r="A68" s="1">
        <v>43677</v>
      </c>
      <c r="B68">
        <v>77.069999999999993</v>
      </c>
      <c r="C68">
        <f t="shared" ref="C68:C131" si="12">LN(B68/B67)</f>
        <v>9.9796679088426724E-2</v>
      </c>
      <c r="D68">
        <f t="shared" si="10"/>
        <v>2.9543355566957414</v>
      </c>
      <c r="E68" s="3">
        <v>2003.22</v>
      </c>
      <c r="F68">
        <f t="shared" ref="F68:F131" si="13">LN(E68/E67)</f>
        <v>4.8978129238437182E-2</v>
      </c>
      <c r="G68">
        <f t="shared" si="11"/>
        <v>0.46641452344931927</v>
      </c>
      <c r="U68" s="1"/>
    </row>
    <row r="69" spans="1:21" x14ac:dyDescent="0.2">
      <c r="A69" s="1">
        <v>43707</v>
      </c>
      <c r="B69">
        <v>86.45</v>
      </c>
      <c r="C69">
        <f t="shared" si="12"/>
        <v>0.11485211233939782</v>
      </c>
      <c r="D69">
        <f t="shared" si="10"/>
        <v>3.8296089385474872</v>
      </c>
      <c r="E69" s="3">
        <v>2489.1066666666666</v>
      </c>
      <c r="F69">
        <f t="shared" si="13"/>
        <v>0.21716799179751159</v>
      </c>
      <c r="G69">
        <f t="shared" si="11"/>
        <v>0.79472684884754985</v>
      </c>
      <c r="U69" s="1"/>
    </row>
    <row r="70" spans="1:21" x14ac:dyDescent="0.2">
      <c r="A70" s="1">
        <v>43738</v>
      </c>
      <c r="B70">
        <v>95.28</v>
      </c>
      <c r="C70">
        <f t="shared" si="12"/>
        <v>9.7253712917745191E-2</v>
      </c>
      <c r="D70">
        <f t="shared" si="10"/>
        <v>2.4647272727272727</v>
      </c>
      <c r="E70" s="3">
        <v>2619.6266666666666</v>
      </c>
      <c r="F70">
        <f t="shared" si="13"/>
        <v>5.1107936284272501E-2</v>
      </c>
      <c r="G70">
        <f t="shared" si="11"/>
        <v>0.75776512821659825</v>
      </c>
      <c r="U70" s="1"/>
    </row>
    <row r="71" spans="1:21" x14ac:dyDescent="0.2">
      <c r="A71" s="1">
        <v>43769</v>
      </c>
      <c r="B71">
        <v>103.85</v>
      </c>
      <c r="C71">
        <f t="shared" si="12"/>
        <v>8.6127625275076641E-2</v>
      </c>
      <c r="D71">
        <f t="shared" si="10"/>
        <v>2.8180147058823528</v>
      </c>
      <c r="E71" s="3">
        <v>2701.77</v>
      </c>
      <c r="F71">
        <f t="shared" si="13"/>
        <v>3.0875299802012986E-2</v>
      </c>
      <c r="G71">
        <f t="shared" si="11"/>
        <v>0.8665980392834195</v>
      </c>
      <c r="U71" s="1"/>
    </row>
    <row r="72" spans="1:21" x14ac:dyDescent="0.2">
      <c r="A72" s="1">
        <v>43798</v>
      </c>
      <c r="B72">
        <v>112.6</v>
      </c>
      <c r="C72">
        <f t="shared" si="12"/>
        <v>8.0894165383468677E-2</v>
      </c>
      <c r="D72">
        <f t="shared" si="10"/>
        <v>2.4121212121212121</v>
      </c>
      <c r="E72" s="3">
        <v>2879.2533333333336</v>
      </c>
      <c r="F72">
        <f t="shared" si="13"/>
        <v>6.3623887491945197E-2</v>
      </c>
      <c r="G72">
        <f t="shared" si="11"/>
        <v>0.8863074037111367</v>
      </c>
      <c r="U72" s="1"/>
    </row>
    <row r="73" spans="1:21" x14ac:dyDescent="0.2">
      <c r="A73" s="1">
        <v>43830</v>
      </c>
      <c r="B73">
        <v>143.52000000000001</v>
      </c>
      <c r="C73">
        <f t="shared" si="12"/>
        <v>0.24263268260489618</v>
      </c>
      <c r="D73">
        <f t="shared" si="10"/>
        <v>2.9127589967284626</v>
      </c>
      <c r="E73" s="3">
        <v>2987.4</v>
      </c>
      <c r="F73">
        <f t="shared" si="13"/>
        <v>3.687244261895134E-2</v>
      </c>
      <c r="G73">
        <f t="shared" si="11"/>
        <v>0.98391563344645061</v>
      </c>
      <c r="U73" s="1"/>
    </row>
    <row r="74" spans="1:21" x14ac:dyDescent="0.2">
      <c r="A74" s="1">
        <v>43861</v>
      </c>
      <c r="B74">
        <v>141.5</v>
      </c>
      <c r="C74">
        <f t="shared" si="12"/>
        <v>-1.417468122719371E-2</v>
      </c>
      <c r="D74">
        <f>(B74-B62)/B62</f>
        <v>2.6610608020698576</v>
      </c>
      <c r="E74" s="3">
        <v>4474.6033333333335</v>
      </c>
      <c r="F74">
        <f t="shared" si="13"/>
        <v>0.40401426330805074</v>
      </c>
      <c r="G74">
        <f>(E74-E62)/E62</f>
        <v>1.8774720587163511</v>
      </c>
      <c r="U74" s="1"/>
    </row>
    <row r="75" spans="1:21" x14ac:dyDescent="0.2">
      <c r="A75" s="1">
        <v>43889</v>
      </c>
      <c r="B75">
        <v>124.65</v>
      </c>
      <c r="C75">
        <f t="shared" si="12"/>
        <v>-0.12678990711372531</v>
      </c>
      <c r="D75">
        <f t="shared" ref="D75:D85" si="14">(B75-B63)/B63</f>
        <v>1.0705980066445182</v>
      </c>
      <c r="E75" s="3">
        <v>5444.2833333333338</v>
      </c>
      <c r="F75">
        <f t="shared" si="13"/>
        <v>0.19614842129771981</v>
      </c>
      <c r="G75">
        <f t="shared" ref="G75:G85" si="15">(E75-E63)/E63</f>
        <v>2.1486650871467048</v>
      </c>
      <c r="U75" s="1"/>
    </row>
    <row r="76" spans="1:21" x14ac:dyDescent="0.2">
      <c r="A76" s="1">
        <v>43921</v>
      </c>
      <c r="B76">
        <v>75.739999999999995</v>
      </c>
      <c r="C76">
        <f t="shared" si="12"/>
        <v>-0.49820338749591819</v>
      </c>
      <c r="D76">
        <f t="shared" si="14"/>
        <v>0.241639344262295</v>
      </c>
      <c r="E76" s="3">
        <v>4595.4000000000005</v>
      </c>
      <c r="F76">
        <f t="shared" si="13"/>
        <v>-0.16951032533835966</v>
      </c>
      <c r="G76">
        <f t="shared" si="15"/>
        <v>1.5320589348095204</v>
      </c>
      <c r="U76" s="1"/>
    </row>
    <row r="77" spans="1:21" x14ac:dyDescent="0.2">
      <c r="A77" s="1">
        <v>43951</v>
      </c>
      <c r="B77">
        <v>112.2</v>
      </c>
      <c r="C77">
        <f t="shared" si="12"/>
        <v>0.39297657061494723</v>
      </c>
      <c r="D77">
        <f t="shared" si="14"/>
        <v>0.95948305972755865</v>
      </c>
      <c r="E77" s="3">
        <v>3449.2999999999997</v>
      </c>
      <c r="F77">
        <f t="shared" si="13"/>
        <v>-0.28688449125561788</v>
      </c>
      <c r="G77">
        <f t="shared" si="15"/>
        <v>0.97954248941160249</v>
      </c>
      <c r="U77" s="1"/>
    </row>
    <row r="78" spans="1:21" x14ac:dyDescent="0.2">
      <c r="A78" s="1">
        <v>43980</v>
      </c>
      <c r="B78">
        <v>117.08</v>
      </c>
      <c r="C78">
        <f t="shared" si="12"/>
        <v>4.2574468735089126E-2</v>
      </c>
      <c r="D78">
        <f t="shared" si="14"/>
        <v>1.0186206896551724</v>
      </c>
      <c r="E78" s="3">
        <v>3925.7866666666669</v>
      </c>
      <c r="F78">
        <f t="shared" si="13"/>
        <v>0.1293954438746413</v>
      </c>
      <c r="G78">
        <f t="shared" si="15"/>
        <v>1.3735011144654794</v>
      </c>
      <c r="U78" s="1"/>
    </row>
    <row r="79" spans="1:21" x14ac:dyDescent="0.2">
      <c r="A79" s="1">
        <v>44012</v>
      </c>
      <c r="B79">
        <v>116</v>
      </c>
      <c r="C79">
        <f t="shared" si="12"/>
        <v>-9.2672707173204749E-3</v>
      </c>
      <c r="D79">
        <f t="shared" si="14"/>
        <v>0.6630824372759857</v>
      </c>
      <c r="E79" s="3">
        <v>3591.03</v>
      </c>
      <c r="F79">
        <f t="shared" si="13"/>
        <v>-8.9127686352559285E-2</v>
      </c>
      <c r="G79">
        <f t="shared" si="15"/>
        <v>0.88261414334170396</v>
      </c>
      <c r="U79" s="1"/>
    </row>
    <row r="80" spans="1:21" x14ac:dyDescent="0.2">
      <c r="A80" s="1">
        <v>44043</v>
      </c>
      <c r="B80">
        <v>150.88</v>
      </c>
      <c r="C80">
        <f t="shared" si="12"/>
        <v>0.26289462777878275</v>
      </c>
      <c r="D80">
        <f t="shared" si="14"/>
        <v>0.9577007914882576</v>
      </c>
      <c r="E80" s="3">
        <v>3965.2999999999997</v>
      </c>
      <c r="F80">
        <f t="shared" si="13"/>
        <v>9.9142444839528415E-2</v>
      </c>
      <c r="G80">
        <f t="shared" si="15"/>
        <v>0.97946306446620923</v>
      </c>
      <c r="U80" s="1"/>
    </row>
    <row r="81" spans="1:21" x14ac:dyDescent="0.2">
      <c r="A81" s="1">
        <v>44074</v>
      </c>
      <c r="B81">
        <v>156.37</v>
      </c>
      <c r="C81">
        <f t="shared" si="12"/>
        <v>3.5740174970271585E-2</v>
      </c>
      <c r="D81">
        <f t="shared" si="14"/>
        <v>0.8087912087912088</v>
      </c>
      <c r="E81" s="3">
        <v>5126.0366666666669</v>
      </c>
      <c r="F81">
        <f t="shared" si="13"/>
        <v>0.25675126672466053</v>
      </c>
      <c r="G81">
        <f t="shared" si="15"/>
        <v>1.0593881071120563</v>
      </c>
      <c r="U81" s="1"/>
    </row>
    <row r="82" spans="1:21" x14ac:dyDescent="0.2">
      <c r="A82" s="1">
        <v>44104</v>
      </c>
      <c r="B82">
        <v>145.47</v>
      </c>
      <c r="C82">
        <f t="shared" si="12"/>
        <v>-7.2255114070048324E-2</v>
      </c>
      <c r="D82">
        <f t="shared" si="14"/>
        <v>0.52676322418136012</v>
      </c>
      <c r="E82" s="3">
        <v>5734.6566666666668</v>
      </c>
      <c r="F82">
        <f t="shared" si="13"/>
        <v>0.11219510147922487</v>
      </c>
      <c r="G82">
        <f t="shared" si="15"/>
        <v>1.1891121890142109</v>
      </c>
      <c r="U82" s="1"/>
    </row>
    <row r="83" spans="1:21" x14ac:dyDescent="0.2">
      <c r="A83" s="1">
        <v>44134</v>
      </c>
      <c r="B83">
        <v>142.77000000000001</v>
      </c>
      <c r="C83">
        <f t="shared" si="12"/>
        <v>-1.8734935984241693E-2</v>
      </c>
      <c r="D83">
        <f t="shared" si="14"/>
        <v>0.37477130476649029</v>
      </c>
      <c r="E83" s="3">
        <v>5487.78</v>
      </c>
      <c r="F83">
        <f t="shared" si="13"/>
        <v>-4.4004080314840349E-2</v>
      </c>
      <c r="G83">
        <f t="shared" si="15"/>
        <v>1.0311795600661788</v>
      </c>
      <c r="U83" s="1"/>
    </row>
    <row r="84" spans="1:21" x14ac:dyDescent="0.2">
      <c r="A84" s="1">
        <v>44165</v>
      </c>
      <c r="B84">
        <v>162.72</v>
      </c>
      <c r="C84">
        <f t="shared" si="12"/>
        <v>0.130795988499121</v>
      </c>
      <c r="D84">
        <f t="shared" si="14"/>
        <v>0.44511545293072829</v>
      </c>
      <c r="E84" s="3">
        <v>6483.3866666666663</v>
      </c>
      <c r="F84">
        <f t="shared" si="13"/>
        <v>0.16671920542708665</v>
      </c>
      <c r="G84">
        <f t="shared" si="15"/>
        <v>1.2517597154817912</v>
      </c>
      <c r="U84" s="1"/>
    </row>
    <row r="85" spans="1:21" x14ac:dyDescent="0.2">
      <c r="A85" s="1">
        <v>44196</v>
      </c>
      <c r="B85">
        <v>201.9</v>
      </c>
      <c r="C85">
        <f t="shared" si="12"/>
        <v>0.21574159301854204</v>
      </c>
      <c r="D85">
        <f t="shared" si="14"/>
        <v>0.40677257525083604</v>
      </c>
      <c r="E85" s="3">
        <v>6856.9766666666665</v>
      </c>
      <c r="F85">
        <f t="shared" si="13"/>
        <v>5.6023617864177158E-2</v>
      </c>
      <c r="G85">
        <f t="shared" si="15"/>
        <v>1.2952991452991451</v>
      </c>
      <c r="U85" s="1"/>
    </row>
    <row r="86" spans="1:21" x14ac:dyDescent="0.2">
      <c r="A86" s="1">
        <v>44225</v>
      </c>
      <c r="B86">
        <v>207.18</v>
      </c>
      <c r="C86">
        <f t="shared" si="12"/>
        <v>2.5815455311164064E-2</v>
      </c>
      <c r="D86">
        <f>(B86-B74)/B74</f>
        <v>0.46416961130742052</v>
      </c>
      <c r="E86" s="3">
        <v>7737.4066666666668</v>
      </c>
      <c r="F86">
        <f t="shared" si="13"/>
        <v>0.12079995002385163</v>
      </c>
      <c r="G86">
        <f>(E86-E74)/E74</f>
        <v>0.72918269850362893</v>
      </c>
      <c r="U86" s="1"/>
    </row>
    <row r="87" spans="1:21" x14ac:dyDescent="0.2">
      <c r="A87" s="1">
        <v>44253</v>
      </c>
      <c r="B87">
        <v>246.07</v>
      </c>
      <c r="C87">
        <f t="shared" si="12"/>
        <v>0.17202806767045267</v>
      </c>
      <c r="D87">
        <f t="shared" ref="D87:D97" si="16">(B87-B75)/B75</f>
        <v>0.97408744484556742</v>
      </c>
      <c r="E87" s="3">
        <v>10306.756666666666</v>
      </c>
      <c r="F87">
        <f t="shared" si="13"/>
        <v>0.28673309175352751</v>
      </c>
      <c r="G87">
        <f>(E87-E75)/E75</f>
        <v>0.893133776407669</v>
      </c>
      <c r="U87" s="1"/>
    </row>
    <row r="88" spans="1:21" x14ac:dyDescent="0.2">
      <c r="A88" s="1">
        <v>44286</v>
      </c>
      <c r="B88">
        <v>273.73</v>
      </c>
      <c r="C88">
        <f t="shared" si="12"/>
        <v>0.1065261708006061</v>
      </c>
      <c r="D88">
        <f t="shared" si="16"/>
        <v>2.6140744652759444</v>
      </c>
      <c r="E88" s="3">
        <v>10138.33</v>
      </c>
      <c r="F88">
        <f t="shared" si="13"/>
        <v>-1.6476376905780334E-2</v>
      </c>
      <c r="G88">
        <f t="shared" ref="G88:G97" si="17">(E88-E76)/E76</f>
        <v>1.2061909735822776</v>
      </c>
      <c r="U88" s="1"/>
    </row>
    <row r="89" spans="1:21" x14ac:dyDescent="0.2">
      <c r="A89" s="1">
        <v>44316</v>
      </c>
      <c r="B89">
        <v>271.52999999999997</v>
      </c>
      <c r="C89">
        <f t="shared" si="12"/>
        <v>-8.0695885938258955E-3</v>
      </c>
      <c r="D89">
        <f t="shared" si="16"/>
        <v>1.4200534759358288</v>
      </c>
      <c r="E89" s="3">
        <v>11214.956666666667</v>
      </c>
      <c r="F89">
        <f t="shared" si="13"/>
        <v>0.10092501377255143</v>
      </c>
      <c r="G89">
        <f t="shared" si="17"/>
        <v>2.2513717759158869</v>
      </c>
      <c r="U89" s="1"/>
    </row>
    <row r="90" spans="1:21" x14ac:dyDescent="0.2">
      <c r="A90" s="1">
        <v>44347</v>
      </c>
      <c r="B90">
        <v>250.5</v>
      </c>
      <c r="C90">
        <f t="shared" si="12"/>
        <v>-8.0613709982269563E-2</v>
      </c>
      <c r="D90">
        <f t="shared" si="16"/>
        <v>1.1395626921762898</v>
      </c>
      <c r="E90" s="3">
        <v>9840.5466666666671</v>
      </c>
      <c r="F90">
        <f t="shared" si="13"/>
        <v>-0.13073703901535252</v>
      </c>
      <c r="G90">
        <f t="shared" si="17"/>
        <v>1.5066432545154431</v>
      </c>
      <c r="U90" s="1"/>
    </row>
    <row r="91" spans="1:21" x14ac:dyDescent="0.2">
      <c r="A91" s="1">
        <v>44377</v>
      </c>
      <c r="B91">
        <v>235.49</v>
      </c>
      <c r="C91">
        <f t="shared" si="12"/>
        <v>-6.1790470815029752E-2</v>
      </c>
      <c r="D91">
        <f t="shared" si="16"/>
        <v>1.0300862068965517</v>
      </c>
      <c r="E91" s="3">
        <v>7986.373333333333</v>
      </c>
      <c r="F91">
        <f t="shared" si="13"/>
        <v>-0.2087745090517108</v>
      </c>
      <c r="G91">
        <f t="shared" si="17"/>
        <v>1.2239784500083073</v>
      </c>
      <c r="U91" s="1"/>
    </row>
    <row r="92" spans="1:21" x14ac:dyDescent="0.2">
      <c r="A92" s="1">
        <v>44407</v>
      </c>
      <c r="B92">
        <v>264.01</v>
      </c>
      <c r="C92">
        <f t="shared" si="12"/>
        <v>0.11431853150692202</v>
      </c>
      <c r="D92">
        <f t="shared" si="16"/>
        <v>0.74980116648992579</v>
      </c>
      <c r="E92" s="3">
        <v>7404.829999999999</v>
      </c>
      <c r="F92">
        <f t="shared" si="13"/>
        <v>-7.560426602979356E-2</v>
      </c>
      <c r="G92">
        <f t="shared" si="17"/>
        <v>0.86740725796282736</v>
      </c>
      <c r="U92" s="1"/>
    </row>
    <row r="93" spans="1:21" x14ac:dyDescent="0.2">
      <c r="A93" s="1">
        <v>44439</v>
      </c>
      <c r="B93">
        <v>222.9</v>
      </c>
      <c r="C93">
        <f t="shared" si="12"/>
        <v>-0.16926374082498857</v>
      </c>
      <c r="D93">
        <f t="shared" si="16"/>
        <v>0.4254652426936113</v>
      </c>
      <c r="E93" s="3">
        <v>7028.9233333333332</v>
      </c>
      <c r="F93">
        <f t="shared" si="13"/>
        <v>-5.2098949054781907E-2</v>
      </c>
      <c r="G93">
        <f t="shared" si="17"/>
        <v>0.37121987032216563</v>
      </c>
      <c r="U93" s="1"/>
    </row>
    <row r="94" spans="1:21" x14ac:dyDescent="0.2">
      <c r="A94" s="1">
        <v>44469</v>
      </c>
      <c r="B94">
        <v>171.67</v>
      </c>
      <c r="C94">
        <f t="shared" si="12"/>
        <v>-0.26114921110898537</v>
      </c>
      <c r="D94">
        <f t="shared" si="16"/>
        <v>0.18010586375197626</v>
      </c>
      <c r="E94" s="3">
        <v>5460.1466666666665</v>
      </c>
      <c r="F94">
        <f t="shared" si="13"/>
        <v>-0.25255788951738078</v>
      </c>
      <c r="G94">
        <f t="shared" si="17"/>
        <v>-4.7868602421417883E-2</v>
      </c>
      <c r="U94" s="1"/>
    </row>
    <row r="95" spans="1:21" x14ac:dyDescent="0.2">
      <c r="A95" s="1">
        <v>44498</v>
      </c>
      <c r="B95">
        <v>197.99</v>
      </c>
      <c r="C95">
        <f t="shared" si="12"/>
        <v>0.14264249508576943</v>
      </c>
      <c r="D95">
        <f t="shared" si="16"/>
        <v>0.38677593331932475</v>
      </c>
      <c r="E95" s="3">
        <v>5708.7599999999993</v>
      </c>
      <c r="F95">
        <f t="shared" si="13"/>
        <v>4.4526185789595787E-2</v>
      </c>
      <c r="G95">
        <f t="shared" si="17"/>
        <v>4.0267649213343019E-2</v>
      </c>
      <c r="U95" s="1"/>
    </row>
    <row r="96" spans="1:21" x14ac:dyDescent="0.2">
      <c r="A96" s="1">
        <v>44530</v>
      </c>
      <c r="B96">
        <v>202.35</v>
      </c>
      <c r="C96">
        <f t="shared" si="12"/>
        <v>2.1782346953267428E-2</v>
      </c>
      <c r="D96">
        <f t="shared" si="16"/>
        <v>0.24354719764011798</v>
      </c>
      <c r="E96" s="3">
        <v>5526.7866666666669</v>
      </c>
      <c r="F96">
        <f t="shared" si="13"/>
        <v>-3.2395263502059193E-2</v>
      </c>
      <c r="G96">
        <f t="shared" si="17"/>
        <v>-0.14754634409177089</v>
      </c>
      <c r="U96" s="1"/>
    </row>
    <row r="97" spans="1:21" x14ac:dyDescent="0.2">
      <c r="A97" s="1">
        <v>44561</v>
      </c>
      <c r="B97">
        <v>225</v>
      </c>
      <c r="C97">
        <f t="shared" si="12"/>
        <v>0.10610153088254566</v>
      </c>
      <c r="D97">
        <f t="shared" si="16"/>
        <v>0.11441307578008912</v>
      </c>
      <c r="E97" s="3">
        <v>5674.5266666666676</v>
      </c>
      <c r="F97">
        <f t="shared" si="13"/>
        <v>2.6380579423722912E-2</v>
      </c>
      <c r="G97">
        <f t="shared" si="17"/>
        <v>-0.17244480439143961</v>
      </c>
      <c r="U97" s="1"/>
    </row>
    <row r="98" spans="1:21" x14ac:dyDescent="0.2">
      <c r="A98" s="1">
        <v>44592</v>
      </c>
      <c r="B98">
        <v>234.13</v>
      </c>
      <c r="C98">
        <f t="shared" si="12"/>
        <v>3.9776114444981359E-2</v>
      </c>
      <c r="D98">
        <f>(B98-B86)/B86</f>
        <v>0.13008012356405052</v>
      </c>
      <c r="E98" s="3">
        <v>6742.416666666667</v>
      </c>
      <c r="F98">
        <f t="shared" si="13"/>
        <v>0.17243126340952056</v>
      </c>
      <c r="G98">
        <f>(E98-E86)/E86</f>
        <v>-0.12859476603271894</v>
      </c>
      <c r="U98" s="1"/>
    </row>
    <row r="99" spans="1:21" x14ac:dyDescent="0.2">
      <c r="A99" s="1">
        <v>44620</v>
      </c>
      <c r="B99">
        <v>293.92</v>
      </c>
      <c r="C99">
        <f t="shared" si="12"/>
        <v>0.22743110481741421</v>
      </c>
      <c r="D99">
        <f t="shared" ref="D99:D109" si="18">(B99-B87)/B87</f>
        <v>0.19445686186857408</v>
      </c>
      <c r="E99" s="3">
        <v>7763.3433333333332</v>
      </c>
      <c r="F99">
        <f t="shared" si="13"/>
        <v>0.14099466679011585</v>
      </c>
      <c r="G99">
        <f t="shared" ref="G99:G133" si="19">(E99-E87)/E87</f>
        <v>-0.24677145445366419</v>
      </c>
      <c r="U99" s="1"/>
    </row>
    <row r="100" spans="1:21" x14ac:dyDescent="0.2">
      <c r="A100" s="1">
        <v>44651</v>
      </c>
      <c r="B100">
        <v>225.03</v>
      </c>
      <c r="C100">
        <f t="shared" si="12"/>
        <v>-0.26707389481716098</v>
      </c>
      <c r="D100">
        <f t="shared" si="18"/>
        <v>-0.17791254155554748</v>
      </c>
      <c r="E100" s="3">
        <v>7584.75</v>
      </c>
      <c r="F100">
        <f t="shared" si="13"/>
        <v>-2.3273430865541365E-2</v>
      </c>
      <c r="G100">
        <f t="shared" si="19"/>
        <v>-0.25187382931902985</v>
      </c>
      <c r="U100" s="1"/>
    </row>
    <row r="101" spans="1:21" x14ac:dyDescent="0.2">
      <c r="A101" s="1">
        <v>44680</v>
      </c>
      <c r="B101">
        <v>206.21</v>
      </c>
      <c r="C101">
        <f t="shared" si="12"/>
        <v>-8.7338659637479679E-2</v>
      </c>
      <c r="D101">
        <f t="shared" si="18"/>
        <v>-0.24056273708245857</v>
      </c>
      <c r="E101" s="3">
        <v>7155.4133333333339</v>
      </c>
      <c r="F101">
        <f t="shared" si="13"/>
        <v>-5.8270472668087166E-2</v>
      </c>
      <c r="G101">
        <f t="shared" si="19"/>
        <v>-0.36197583762398244</v>
      </c>
      <c r="U101" s="1"/>
    </row>
    <row r="102" spans="1:21" x14ac:dyDescent="0.2">
      <c r="A102" s="1">
        <v>44712</v>
      </c>
      <c r="B102">
        <v>214.03</v>
      </c>
      <c r="C102">
        <f t="shared" si="12"/>
        <v>3.7221125100297014E-2</v>
      </c>
      <c r="D102">
        <f t="shared" si="18"/>
        <v>-0.14558882235528942</v>
      </c>
      <c r="E102" s="3">
        <v>6073.6733333333332</v>
      </c>
      <c r="F102">
        <f t="shared" si="13"/>
        <v>-0.16390559576653824</v>
      </c>
      <c r="G102">
        <f t="shared" si="19"/>
        <v>-0.38279106445305888</v>
      </c>
      <c r="U102" s="1"/>
    </row>
    <row r="103" spans="1:21" x14ac:dyDescent="0.2">
      <c r="A103" s="1">
        <v>44742</v>
      </c>
      <c r="B103">
        <v>181.14</v>
      </c>
      <c r="C103">
        <f t="shared" si="12"/>
        <v>-0.16684597916566957</v>
      </c>
      <c r="D103">
        <f t="shared" si="18"/>
        <v>-0.2307953628604188</v>
      </c>
      <c r="E103" s="3">
        <v>5612.31</v>
      </c>
      <c r="F103">
        <f t="shared" si="13"/>
        <v>-7.9001184544961689E-2</v>
      </c>
      <c r="G103">
        <f t="shared" si="19"/>
        <v>-0.29726425678405544</v>
      </c>
      <c r="U103" s="1"/>
    </row>
    <row r="104" spans="1:21" x14ac:dyDescent="0.2">
      <c r="A104" s="1">
        <v>44771</v>
      </c>
      <c r="B104">
        <v>184.55</v>
      </c>
      <c r="C104">
        <f t="shared" si="12"/>
        <v>1.8650216529205305E-2</v>
      </c>
      <c r="D104">
        <f t="shared" si="18"/>
        <v>-0.30097344797545539</v>
      </c>
      <c r="E104" s="3">
        <v>5793.4866666666667</v>
      </c>
      <c r="F104">
        <f t="shared" si="13"/>
        <v>3.1771898533903074E-2</v>
      </c>
      <c r="G104">
        <f t="shared" si="19"/>
        <v>-0.21760706637874638</v>
      </c>
      <c r="U104" s="1"/>
    </row>
    <row r="105" spans="1:21" x14ac:dyDescent="0.2">
      <c r="A105" s="1">
        <v>44804</v>
      </c>
      <c r="B105">
        <v>180.38</v>
      </c>
      <c r="C105">
        <f t="shared" si="12"/>
        <v>-2.285469273844561E-2</v>
      </c>
      <c r="D105">
        <f t="shared" si="18"/>
        <v>-0.19075818752803952</v>
      </c>
      <c r="E105" s="3">
        <v>5645.73</v>
      </c>
      <c r="F105">
        <f t="shared" si="13"/>
        <v>-2.5834790801278703E-2</v>
      </c>
      <c r="G105">
        <f t="shared" si="19"/>
        <v>-0.196785946828272</v>
      </c>
      <c r="U105" s="1"/>
    </row>
    <row r="106" spans="1:21" x14ac:dyDescent="0.2">
      <c r="A106" s="1">
        <v>44834</v>
      </c>
      <c r="B106">
        <v>169.67</v>
      </c>
      <c r="C106">
        <f t="shared" si="12"/>
        <v>-6.1210362682714035E-2</v>
      </c>
      <c r="D106">
        <f t="shared" si="18"/>
        <v>-1.1650259218267607E-2</v>
      </c>
      <c r="E106" s="3">
        <v>5676.829999999999</v>
      </c>
      <c r="F106">
        <f t="shared" si="13"/>
        <v>5.4934711252330763E-3</v>
      </c>
      <c r="G106">
        <f t="shared" si="19"/>
        <v>3.9684526178783812E-2</v>
      </c>
      <c r="U106" s="1"/>
    </row>
    <row r="107" spans="1:21" x14ac:dyDescent="0.2">
      <c r="A107" s="1">
        <v>44865</v>
      </c>
      <c r="B107">
        <v>188.1</v>
      </c>
      <c r="C107">
        <f t="shared" si="12"/>
        <v>0.10311836225213669</v>
      </c>
      <c r="D107">
        <f t="shared" si="18"/>
        <v>-4.9952017778675764E-2</v>
      </c>
      <c r="E107" s="3">
        <v>5592.1966666666667</v>
      </c>
      <c r="F107">
        <f t="shared" si="13"/>
        <v>-1.5020804743977574E-2</v>
      </c>
      <c r="G107">
        <f t="shared" si="19"/>
        <v>-2.0418327856370315E-2</v>
      </c>
      <c r="U107" s="1"/>
    </row>
    <row r="108" spans="1:21" x14ac:dyDescent="0.2">
      <c r="A108" s="1">
        <v>44895</v>
      </c>
      <c r="B108">
        <v>209.65</v>
      </c>
      <c r="C108">
        <f t="shared" si="12"/>
        <v>0.10846573730978709</v>
      </c>
      <c r="D108">
        <f t="shared" si="18"/>
        <v>3.6076105757351179E-2</v>
      </c>
      <c r="E108" s="3">
        <v>5406.5566666666664</v>
      </c>
      <c r="F108">
        <f t="shared" si="13"/>
        <v>-3.3759759043130048E-2</v>
      </c>
      <c r="G108">
        <f t="shared" si="19"/>
        <v>-2.1754051178623467E-2</v>
      </c>
      <c r="U108" s="1"/>
    </row>
    <row r="109" spans="1:21" x14ac:dyDescent="0.2">
      <c r="A109" s="1">
        <v>44925</v>
      </c>
      <c r="B109">
        <v>213.14</v>
      </c>
      <c r="C109">
        <f t="shared" si="12"/>
        <v>1.6509753176038273E-2</v>
      </c>
      <c r="D109">
        <f t="shared" si="18"/>
        <v>-5.2711111111111174E-2</v>
      </c>
      <c r="E109" s="3">
        <v>5038.9900000000007</v>
      </c>
      <c r="F109">
        <f t="shared" si="13"/>
        <v>-7.0406749383661565E-2</v>
      </c>
      <c r="G109">
        <f t="shared" si="19"/>
        <v>-0.11199818134610935</v>
      </c>
      <c r="U109" s="1"/>
    </row>
    <row r="110" spans="1:21" x14ac:dyDescent="0.2">
      <c r="A110" s="1">
        <v>44957</v>
      </c>
      <c r="B110">
        <v>201.35</v>
      </c>
      <c r="C110">
        <f t="shared" si="12"/>
        <v>-5.6904539495346851E-2</v>
      </c>
      <c r="D110">
        <f>(B110-B98)/B98</f>
        <v>-0.14000768803656088</v>
      </c>
      <c r="E110" s="3">
        <v>4889.2733333333335</v>
      </c>
      <c r="F110">
        <f t="shared" si="13"/>
        <v>-3.016197532175233E-2</v>
      </c>
      <c r="G110">
        <f t="shared" si="19"/>
        <v>-0.27484853353767813</v>
      </c>
      <c r="I110" s="5"/>
      <c r="U110" s="1"/>
    </row>
    <row r="111" spans="1:21" x14ac:dyDescent="0.2">
      <c r="A111" s="1">
        <v>44985</v>
      </c>
      <c r="B111">
        <v>171.51</v>
      </c>
      <c r="C111">
        <f t="shared" si="12"/>
        <v>-0.16040311335347363</v>
      </c>
      <c r="D111">
        <f t="shared" ref="D111:D121" si="20">(B111-B99)/B99</f>
        <v>-0.41647387044093637</v>
      </c>
      <c r="E111" s="3">
        <v>4124.8033333333333</v>
      </c>
      <c r="F111">
        <f t="shared" si="13"/>
        <v>-0.17002534797160715</v>
      </c>
      <c r="G111">
        <f t="shared" si="19"/>
        <v>-0.46868209272379641</v>
      </c>
      <c r="U111" s="1"/>
    </row>
    <row r="112" spans="1:21" x14ac:dyDescent="0.2">
      <c r="A112" s="1">
        <v>45016</v>
      </c>
      <c r="B112">
        <v>163.83000000000001</v>
      </c>
      <c r="C112">
        <f t="shared" si="12"/>
        <v>-4.5812269111817489E-2</v>
      </c>
      <c r="D112">
        <f t="shared" si="20"/>
        <v>-0.27196373816824421</v>
      </c>
      <c r="E112" s="3">
        <v>3286.3266666666664</v>
      </c>
      <c r="F112">
        <f t="shared" si="13"/>
        <v>-0.22724791556296411</v>
      </c>
      <c r="G112">
        <f t="shared" si="19"/>
        <v>-0.56671918432820256</v>
      </c>
      <c r="U112" s="1"/>
    </row>
    <row r="113" spans="1:21" x14ac:dyDescent="0.2">
      <c r="A113" s="1">
        <v>45044</v>
      </c>
      <c r="B113">
        <v>177.74</v>
      </c>
      <c r="C113">
        <f t="shared" si="12"/>
        <v>8.1492503478157133E-2</v>
      </c>
      <c r="D113">
        <f t="shared" si="20"/>
        <v>-0.13806313951796712</v>
      </c>
      <c r="E113" s="3">
        <v>3778.3933333333334</v>
      </c>
      <c r="F113">
        <f t="shared" si="13"/>
        <v>0.13952844886351079</v>
      </c>
      <c r="G113">
        <f t="shared" si="19"/>
        <v>-0.47195316925553804</v>
      </c>
      <c r="U113" s="1"/>
    </row>
    <row r="114" spans="1:21" x14ac:dyDescent="0.2">
      <c r="A114" s="1">
        <v>45077</v>
      </c>
      <c r="B114">
        <v>158.38</v>
      </c>
      <c r="C114">
        <f t="shared" si="12"/>
        <v>-0.11532459952806283</v>
      </c>
      <c r="D114">
        <f t="shared" si="20"/>
        <v>-0.26001027893285988</v>
      </c>
      <c r="E114" s="3">
        <v>3088.9233333333336</v>
      </c>
      <c r="F114">
        <f t="shared" si="13"/>
        <v>-0.20147628080560503</v>
      </c>
      <c r="G114">
        <f t="shared" si="19"/>
        <v>-0.49142419030328705</v>
      </c>
      <c r="U114" s="1"/>
    </row>
    <row r="115" spans="1:21" x14ac:dyDescent="0.2">
      <c r="A115" s="1">
        <v>45107</v>
      </c>
      <c r="B115">
        <v>125.32</v>
      </c>
      <c r="C115">
        <f t="shared" si="12"/>
        <v>-0.23412674269827546</v>
      </c>
      <c r="D115">
        <f t="shared" si="20"/>
        <v>-0.30815943469139889</v>
      </c>
      <c r="E115" s="3">
        <v>2145.5733333333333</v>
      </c>
      <c r="F115">
        <f t="shared" si="13"/>
        <v>-0.36441578944521236</v>
      </c>
      <c r="G115">
        <f t="shared" si="19"/>
        <v>-0.61770227707782832</v>
      </c>
      <c r="U115" s="1"/>
    </row>
    <row r="116" spans="1:21" x14ac:dyDescent="0.2">
      <c r="A116" s="1">
        <v>45138</v>
      </c>
      <c r="B116">
        <v>129</v>
      </c>
      <c r="C116">
        <f t="shared" si="12"/>
        <v>2.8941938277681246E-2</v>
      </c>
      <c r="D116">
        <f t="shared" si="20"/>
        <v>-0.30100243836358714</v>
      </c>
      <c r="E116" s="3">
        <v>2113.83</v>
      </c>
      <c r="F116">
        <f t="shared" si="13"/>
        <v>-1.4905336990108856E-2</v>
      </c>
      <c r="G116">
        <f t="shared" si="19"/>
        <v>-0.63513681456071935</v>
      </c>
      <c r="U116" s="1"/>
    </row>
    <row r="117" spans="1:21" x14ac:dyDescent="0.2">
      <c r="A117" s="1">
        <v>45169</v>
      </c>
      <c r="B117">
        <v>97.46</v>
      </c>
      <c r="C117">
        <f t="shared" si="12"/>
        <v>-0.28037036694631212</v>
      </c>
      <c r="D117">
        <f t="shared" si="20"/>
        <v>-0.45969619691761837</v>
      </c>
      <c r="E117" s="3">
        <v>2100.5100000000002</v>
      </c>
      <c r="F117">
        <f t="shared" si="13"/>
        <v>-6.3212955548024984E-3</v>
      </c>
      <c r="G117">
        <f t="shared" si="19"/>
        <v>-0.62794713881110142</v>
      </c>
      <c r="U117" s="1"/>
    </row>
    <row r="118" spans="1:21" x14ac:dyDescent="0.2">
      <c r="A118" s="1">
        <v>45198</v>
      </c>
      <c r="B118">
        <v>98.86</v>
      </c>
      <c r="C118">
        <f t="shared" si="12"/>
        <v>1.4262670463453262E-2</v>
      </c>
      <c r="D118">
        <f t="shared" si="20"/>
        <v>-0.41733954146283958</v>
      </c>
      <c r="E118" s="3">
        <v>2085.3633333333332</v>
      </c>
      <c r="F118">
        <f t="shared" si="13"/>
        <v>-7.2370717265339808E-3</v>
      </c>
      <c r="G118">
        <f t="shared" si="19"/>
        <v>-0.63265355254017941</v>
      </c>
      <c r="U118" s="1"/>
    </row>
    <row r="119" spans="1:21" x14ac:dyDescent="0.2">
      <c r="A119" s="1">
        <v>45230</v>
      </c>
      <c r="B119">
        <v>77.680000000000007</v>
      </c>
      <c r="C119">
        <f t="shared" si="12"/>
        <v>-0.24110688389574372</v>
      </c>
      <c r="D119">
        <f t="shared" si="20"/>
        <v>-0.58702817650186068</v>
      </c>
      <c r="E119" s="3">
        <v>2136.9266666666667</v>
      </c>
      <c r="F119">
        <f t="shared" si="13"/>
        <v>2.4425559068182438E-2</v>
      </c>
      <c r="G119">
        <f t="shared" si="19"/>
        <v>-0.61787347726802644</v>
      </c>
    </row>
    <row r="120" spans="1:21" x14ac:dyDescent="0.2">
      <c r="A120" s="1">
        <v>45260</v>
      </c>
      <c r="B120">
        <v>76.63</v>
      </c>
      <c r="C120">
        <f t="shared" si="12"/>
        <v>-1.3609179000756668E-2</v>
      </c>
      <c r="D120">
        <f t="shared" si="20"/>
        <v>-0.63448604817553067</v>
      </c>
      <c r="E120" s="3">
        <v>2129.6799999999998</v>
      </c>
      <c r="F120">
        <f t="shared" si="13"/>
        <v>-3.3969260356803846E-3</v>
      </c>
      <c r="G120">
        <f t="shared" si="19"/>
        <v>-0.60609309560552094</v>
      </c>
    </row>
    <row r="121" spans="1:21" x14ac:dyDescent="0.2">
      <c r="A121" s="1">
        <v>45289</v>
      </c>
      <c r="B121">
        <v>91.27</v>
      </c>
      <c r="C121">
        <f t="shared" si="12"/>
        <v>0.17483350154647295</v>
      </c>
      <c r="D121">
        <f t="shared" si="20"/>
        <v>-0.57178380407244067</v>
      </c>
      <c r="E121" s="3">
        <v>2172.3799999999997</v>
      </c>
      <c r="F121">
        <f t="shared" si="13"/>
        <v>1.9851607035333538E-2</v>
      </c>
      <c r="G121">
        <f t="shared" si="19"/>
        <v>-0.56888582831083223</v>
      </c>
    </row>
    <row r="122" spans="1:21" x14ac:dyDescent="0.2">
      <c r="A122" s="1">
        <v>45322</v>
      </c>
      <c r="B122">
        <v>73.27</v>
      </c>
      <c r="C122">
        <f t="shared" si="12"/>
        <v>-0.21967089835691347</v>
      </c>
      <c r="D122">
        <f>(B122-B110)/B110</f>
        <v>-0.63610628259250057</v>
      </c>
      <c r="E122" s="3">
        <v>2151.8333333333335</v>
      </c>
      <c r="F122">
        <f t="shared" si="13"/>
        <v>-9.5031487639873641E-3</v>
      </c>
      <c r="G122">
        <f t="shared" si="19"/>
        <v>-0.55988688162249056</v>
      </c>
      <c r="I122" s="5"/>
    </row>
    <row r="123" spans="1:21" x14ac:dyDescent="0.2">
      <c r="A123" s="1">
        <v>45351</v>
      </c>
      <c r="B123">
        <v>64.78</v>
      </c>
      <c r="C123">
        <f t="shared" si="12"/>
        <v>-0.12315433442868917</v>
      </c>
      <c r="D123">
        <f t="shared" ref="D123:D133" si="21">(B123-B111)/B111</f>
        <v>-0.62229607603055215</v>
      </c>
      <c r="E123" s="3">
        <v>2102.7333333333331</v>
      </c>
      <c r="F123">
        <f t="shared" si="13"/>
        <v>-2.3082106264011592E-2</v>
      </c>
      <c r="G123">
        <f t="shared" si="19"/>
        <v>-0.4902221600868244</v>
      </c>
    </row>
    <row r="124" spans="1:21" x14ac:dyDescent="0.2">
      <c r="A124" s="1">
        <v>45380</v>
      </c>
      <c r="B124">
        <v>78.31</v>
      </c>
      <c r="C124">
        <f t="shared" si="12"/>
        <v>0.18967839501966308</v>
      </c>
      <c r="D124">
        <f t="shared" si="21"/>
        <v>-0.5220045168772508</v>
      </c>
      <c r="E124" s="3">
        <v>2245.2999999999997</v>
      </c>
      <c r="F124">
        <f t="shared" si="13"/>
        <v>6.5601056855502826E-2</v>
      </c>
      <c r="G124">
        <f t="shared" si="19"/>
        <v>-0.31677516335361267</v>
      </c>
    </row>
    <row r="125" spans="1:21" x14ac:dyDescent="0.2">
      <c r="A125" s="1">
        <v>45412</v>
      </c>
      <c r="B125">
        <v>84.74</v>
      </c>
      <c r="C125">
        <f t="shared" si="12"/>
        <v>7.8912436435566682E-2</v>
      </c>
      <c r="D125">
        <f t="shared" si="21"/>
        <v>-0.52323618768988411</v>
      </c>
      <c r="E125" s="3">
        <v>2232.9</v>
      </c>
      <c r="F125">
        <f t="shared" si="13"/>
        <v>-5.5379535041802513E-3</v>
      </c>
      <c r="G125">
        <f t="shared" si="19"/>
        <v>-0.40903452790339456</v>
      </c>
    </row>
    <row r="126" spans="1:21" x14ac:dyDescent="0.2">
      <c r="A126" s="1">
        <v>45443</v>
      </c>
      <c r="B126">
        <v>96.21</v>
      </c>
      <c r="C126">
        <f t="shared" si="12"/>
        <v>0.12694555717476</v>
      </c>
      <c r="D126">
        <f t="shared" si="21"/>
        <v>-0.39253693648187904</v>
      </c>
      <c r="E126" s="3">
        <v>2246.8666666666668</v>
      </c>
      <c r="F126">
        <f t="shared" si="13"/>
        <v>6.2354640136679735E-3</v>
      </c>
      <c r="G126">
        <f t="shared" si="19"/>
        <v>-0.2726052335387627</v>
      </c>
    </row>
    <row r="127" spans="1:21" x14ac:dyDescent="0.2">
      <c r="A127" s="1">
        <v>45471</v>
      </c>
      <c r="B127">
        <v>90.77</v>
      </c>
      <c r="C127">
        <f t="shared" si="12"/>
        <v>-5.8204467834637383E-2</v>
      </c>
      <c r="D127">
        <f t="shared" si="21"/>
        <v>-0.27569422278965849</v>
      </c>
      <c r="E127" s="3">
        <v>2226.5333333333333</v>
      </c>
      <c r="F127">
        <f t="shared" si="13"/>
        <v>-9.0908362174750065E-3</v>
      </c>
      <c r="G127">
        <f t="shared" si="19"/>
        <v>3.773350402068136E-2</v>
      </c>
    </row>
    <row r="128" spans="1:21" x14ac:dyDescent="0.2">
      <c r="A128" s="1">
        <v>45504</v>
      </c>
      <c r="B128">
        <v>93.2</v>
      </c>
      <c r="C128">
        <f t="shared" si="12"/>
        <v>2.6418887153009721E-2</v>
      </c>
      <c r="D128">
        <f t="shared" si="21"/>
        <v>-0.27751937984496122</v>
      </c>
      <c r="E128" s="3">
        <v>2200.7999999999997</v>
      </c>
      <c r="F128">
        <f t="shared" si="13"/>
        <v>-1.1624886219802956E-2</v>
      </c>
      <c r="G128">
        <f t="shared" si="19"/>
        <v>4.1143327514511482E-2</v>
      </c>
    </row>
    <row r="129" spans="1:7" x14ac:dyDescent="0.2">
      <c r="A129" s="1">
        <v>45534</v>
      </c>
      <c r="B129">
        <v>77</v>
      </c>
      <c r="C129">
        <f t="shared" si="12"/>
        <v>-0.19094229983786173</v>
      </c>
      <c r="D129">
        <f t="shared" si="21"/>
        <v>-0.2099322799097065</v>
      </c>
      <c r="E129" s="3">
        <v>2208.5</v>
      </c>
      <c r="F129">
        <f t="shared" si="13"/>
        <v>3.4926214262164892E-3</v>
      </c>
      <c r="G129">
        <f t="shared" si="19"/>
        <v>5.1411323916572535E-2</v>
      </c>
    </row>
    <row r="130" spans="1:7" x14ac:dyDescent="0.2">
      <c r="A130" s="1">
        <v>45565</v>
      </c>
      <c r="B130">
        <v>96.76</v>
      </c>
      <c r="C130">
        <f t="shared" si="12"/>
        <v>0.22842826388814275</v>
      </c>
      <c r="D130">
        <f t="shared" si="21"/>
        <v>-2.1242160631195574E-2</v>
      </c>
      <c r="E130" s="3">
        <v>2254.7999999999997</v>
      </c>
      <c r="F130">
        <f t="shared" si="13"/>
        <v>2.0747725170838772E-2</v>
      </c>
      <c r="G130">
        <f t="shared" si="19"/>
        <v>8.125042958141579E-2</v>
      </c>
    </row>
    <row r="131" spans="1:7" x14ac:dyDescent="0.2">
      <c r="A131" s="1">
        <v>45596</v>
      </c>
      <c r="B131">
        <v>115.36</v>
      </c>
      <c r="C131">
        <f t="shared" si="12"/>
        <v>0.17582398779481245</v>
      </c>
      <c r="D131">
        <f t="shared" si="21"/>
        <v>0.48506694129763117</v>
      </c>
      <c r="E131" s="3">
        <v>2270.5333333333333</v>
      </c>
      <c r="F131">
        <f t="shared" si="13"/>
        <v>6.9534752769199511E-3</v>
      </c>
      <c r="G131">
        <f t="shared" si="19"/>
        <v>6.2522813136622959E-2</v>
      </c>
    </row>
    <row r="132" spans="1:7" x14ac:dyDescent="0.2">
      <c r="A132" s="1">
        <v>45625</v>
      </c>
      <c r="B132">
        <v>101.99</v>
      </c>
      <c r="C132">
        <f t="shared" ref="C132:C133" si="22">LN(B132/B131)</f>
        <v>-0.12318290427421227</v>
      </c>
      <c r="D132">
        <f t="shared" si="21"/>
        <v>0.33094088477097744</v>
      </c>
      <c r="E132" s="3">
        <v>2180.2999999999997</v>
      </c>
      <c r="F132">
        <f t="shared" ref="F132:F133" si="23">LN(E132/E131)</f>
        <v>-4.0552270490337564E-2</v>
      </c>
      <c r="G132">
        <f t="shared" si="19"/>
        <v>2.3768829119867725E-2</v>
      </c>
    </row>
    <row r="133" spans="1:7" x14ac:dyDescent="0.2">
      <c r="A133" s="1">
        <v>45657</v>
      </c>
      <c r="B133">
        <v>87.75</v>
      </c>
      <c r="C133">
        <f t="shared" si="22"/>
        <v>-0.15038290691645156</v>
      </c>
      <c r="D133">
        <f t="shared" si="21"/>
        <v>-3.8566889448887871E-2</v>
      </c>
      <c r="E133" s="3">
        <v>2134.6666666666665</v>
      </c>
      <c r="F133">
        <f t="shared" si="23"/>
        <v>-2.1151975545506786E-2</v>
      </c>
      <c r="G133">
        <f t="shared" si="19"/>
        <v>-1.736037587039705E-2</v>
      </c>
    </row>
    <row r="134" spans="1:7" x14ac:dyDescent="0.2">
      <c r="A134" s="1"/>
    </row>
    <row r="135" spans="1:7" x14ac:dyDescent="0.2">
      <c r="A135" s="1"/>
    </row>
    <row r="136" spans="1:7" x14ac:dyDescent="0.2">
      <c r="A136" s="1"/>
    </row>
    <row r="137" spans="1:7" x14ac:dyDescent="0.2">
      <c r="A137" s="1"/>
    </row>
    <row r="138" spans="1:7" x14ac:dyDescent="0.2">
      <c r="A138" s="1"/>
    </row>
    <row r="139" spans="1:7" x14ac:dyDescent="0.2">
      <c r="A139" s="1"/>
    </row>
    <row r="140" spans="1:7" x14ac:dyDescent="0.2">
      <c r="A140" s="1"/>
    </row>
    <row r="141" spans="1:7" x14ac:dyDescent="0.2">
      <c r="A141" s="1"/>
    </row>
    <row r="142" spans="1:7" x14ac:dyDescent="0.2">
      <c r="A142" s="1"/>
    </row>
    <row r="143" spans="1:7" x14ac:dyDescent="0.2">
      <c r="A143" s="1"/>
    </row>
    <row r="144" spans="1: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8D52-F254-4C57-A8C5-8BDFF5896820}">
  <dimension ref="A1:P2842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0.6640625" bestFit="1" customWidth="1"/>
    <col min="2" max="2" width="17.6640625" bestFit="1" customWidth="1"/>
    <col min="3" max="3" width="11.5" bestFit="1" customWidth="1"/>
    <col min="4" max="4" width="16.5" customWidth="1"/>
    <col min="9" max="9" width="13.6640625" bestFit="1" customWidth="1"/>
    <col min="16" max="16" width="10.6640625" bestFit="1" customWidth="1"/>
    <col min="19" max="19" width="10.6640625" bestFit="1" customWidth="1"/>
  </cols>
  <sheetData>
    <row r="1" spans="1:16" x14ac:dyDescent="0.2">
      <c r="A1" s="2" t="s">
        <v>12</v>
      </c>
      <c r="B1" s="2" t="s">
        <v>11</v>
      </c>
      <c r="C1" s="2" t="s">
        <v>10</v>
      </c>
      <c r="D1" s="2"/>
    </row>
    <row r="2" spans="1:16" x14ac:dyDescent="0.2">
      <c r="A2" s="1">
        <v>41670</v>
      </c>
      <c r="B2">
        <v>115.44</v>
      </c>
      <c r="C2" s="3">
        <v>1043.6666666666667</v>
      </c>
      <c r="D2" s="3"/>
      <c r="P2" s="1"/>
    </row>
    <row r="3" spans="1:16" x14ac:dyDescent="0.2">
      <c r="A3" s="1">
        <v>41698</v>
      </c>
      <c r="B3">
        <v>114</v>
      </c>
      <c r="C3" s="3">
        <v>1091.3333333333333</v>
      </c>
      <c r="D3" s="3"/>
      <c r="P3" s="1"/>
    </row>
    <row r="4" spans="1:16" x14ac:dyDescent="0.2">
      <c r="A4" s="1">
        <v>41729</v>
      </c>
      <c r="B4">
        <v>120</v>
      </c>
      <c r="C4" s="3">
        <v>1108.0899999999999</v>
      </c>
      <c r="D4" s="3"/>
      <c r="P4" s="1"/>
    </row>
    <row r="5" spans="1:16" x14ac:dyDescent="0.2">
      <c r="A5" s="1">
        <v>41759</v>
      </c>
      <c r="B5">
        <v>118.4</v>
      </c>
      <c r="C5" s="3">
        <v>1105.3399999999999</v>
      </c>
      <c r="D5" s="3"/>
      <c r="P5" s="1"/>
    </row>
    <row r="6" spans="1:16" x14ac:dyDescent="0.2">
      <c r="A6" s="1">
        <v>41789</v>
      </c>
      <c r="B6">
        <v>110.76</v>
      </c>
      <c r="C6" s="3">
        <v>1142.9100000000001</v>
      </c>
      <c r="D6" s="3"/>
      <c r="P6" s="1"/>
    </row>
    <row r="7" spans="1:16" x14ac:dyDescent="0.2">
      <c r="A7" s="1">
        <v>41820</v>
      </c>
      <c r="B7">
        <v>106.88</v>
      </c>
      <c r="C7" s="3">
        <v>1148.25</v>
      </c>
      <c r="D7" s="3"/>
      <c r="P7" s="1"/>
    </row>
    <row r="8" spans="1:16" x14ac:dyDescent="0.2">
      <c r="A8" s="1">
        <v>41851</v>
      </c>
      <c r="B8">
        <v>106.33</v>
      </c>
      <c r="C8" s="3">
        <v>1206.17</v>
      </c>
      <c r="D8" s="3"/>
      <c r="P8" s="1"/>
    </row>
    <row r="9" spans="1:16" x14ac:dyDescent="0.2">
      <c r="A9" s="1">
        <v>41880</v>
      </c>
      <c r="B9">
        <v>96.25</v>
      </c>
      <c r="C9" s="3">
        <v>1218.1266666666668</v>
      </c>
      <c r="D9" s="3"/>
      <c r="P9" s="1"/>
    </row>
    <row r="10" spans="1:16" x14ac:dyDescent="0.2">
      <c r="A10" s="1">
        <v>41912</v>
      </c>
      <c r="B10">
        <v>87</v>
      </c>
      <c r="C10" s="3">
        <v>1121.4333333333334</v>
      </c>
      <c r="D10" s="3"/>
      <c r="P10" s="1"/>
    </row>
    <row r="11" spans="1:16" x14ac:dyDescent="0.2">
      <c r="A11" s="1">
        <v>41943</v>
      </c>
      <c r="B11">
        <v>80.290000000000006</v>
      </c>
      <c r="C11" s="3">
        <v>1089.6566666666668</v>
      </c>
      <c r="D11" s="3"/>
      <c r="P11" s="1"/>
    </row>
    <row r="12" spans="1:16" x14ac:dyDescent="0.2">
      <c r="A12" s="1">
        <v>41971</v>
      </c>
      <c r="B12">
        <v>80.67</v>
      </c>
      <c r="C12" s="3">
        <v>1073.4433333333334</v>
      </c>
      <c r="D12" s="3"/>
      <c r="P12" s="1"/>
    </row>
    <row r="13" spans="1:16" x14ac:dyDescent="0.2">
      <c r="A13" s="1">
        <v>42004</v>
      </c>
      <c r="B13">
        <v>75.78</v>
      </c>
      <c r="C13" s="3">
        <v>1083.5333333333333</v>
      </c>
      <c r="D13" s="3"/>
      <c r="P13" s="1"/>
    </row>
    <row r="14" spans="1:16" x14ac:dyDescent="0.2">
      <c r="A14" s="1">
        <v>42034</v>
      </c>
      <c r="B14">
        <v>75.75</v>
      </c>
      <c r="C14" s="3">
        <v>1064.6366666666665</v>
      </c>
      <c r="D14" s="3"/>
      <c r="P14" s="1"/>
    </row>
    <row r="15" spans="1:16" x14ac:dyDescent="0.2">
      <c r="A15" s="1">
        <v>42062</v>
      </c>
      <c r="B15">
        <v>71.709999999999994</v>
      </c>
      <c r="C15" s="3">
        <v>1062.1333333333334</v>
      </c>
      <c r="D15" s="3"/>
      <c r="P15" s="1"/>
    </row>
    <row r="16" spans="1:16" x14ac:dyDescent="0.2">
      <c r="A16" s="1">
        <v>42094</v>
      </c>
      <c r="B16">
        <v>58.83</v>
      </c>
      <c r="C16" s="3">
        <v>1014.3633333333333</v>
      </c>
      <c r="D16" s="3"/>
      <c r="P16" s="1"/>
    </row>
    <row r="17" spans="1:16" x14ac:dyDescent="0.2">
      <c r="A17" s="1">
        <v>42124</v>
      </c>
      <c r="B17">
        <v>66</v>
      </c>
      <c r="C17" s="3">
        <v>1022.8666666666668</v>
      </c>
      <c r="D17" s="3"/>
      <c r="P17" s="1"/>
    </row>
    <row r="18" spans="1:16" x14ac:dyDescent="0.2">
      <c r="A18" s="1">
        <v>42153</v>
      </c>
      <c r="B18">
        <v>61.3</v>
      </c>
      <c r="C18" s="3">
        <v>986.57333333333327</v>
      </c>
      <c r="D18" s="3"/>
      <c r="P18" s="1"/>
    </row>
    <row r="19" spans="1:16" x14ac:dyDescent="0.2">
      <c r="A19" s="1">
        <v>42185</v>
      </c>
      <c r="B19">
        <v>54.3</v>
      </c>
      <c r="C19" s="3">
        <v>868.14333333333343</v>
      </c>
      <c r="D19" s="3"/>
      <c r="P19" s="1"/>
    </row>
    <row r="20" spans="1:16" x14ac:dyDescent="0.2">
      <c r="A20" s="1">
        <v>42216</v>
      </c>
      <c r="B20">
        <v>45.51</v>
      </c>
      <c r="C20" s="3">
        <v>790.12666666666667</v>
      </c>
      <c r="D20" s="3"/>
      <c r="P20" s="1"/>
    </row>
    <row r="21" spans="1:16" x14ac:dyDescent="0.2">
      <c r="A21" s="1">
        <v>42247</v>
      </c>
      <c r="B21">
        <v>49.52</v>
      </c>
      <c r="C21" s="3">
        <v>808.39</v>
      </c>
      <c r="D21" s="3"/>
      <c r="P21" s="1"/>
    </row>
    <row r="22" spans="1:16" x14ac:dyDescent="0.2">
      <c r="A22" s="1">
        <v>42277</v>
      </c>
      <c r="B22">
        <v>38.42</v>
      </c>
      <c r="C22" s="3">
        <v>773.31666666666661</v>
      </c>
      <c r="D22" s="3"/>
      <c r="P22" s="1"/>
    </row>
    <row r="23" spans="1:16" x14ac:dyDescent="0.2">
      <c r="A23" s="1">
        <v>42307</v>
      </c>
      <c r="B23">
        <v>37.82</v>
      </c>
      <c r="C23" s="3">
        <v>803.96</v>
      </c>
      <c r="D23" s="3"/>
      <c r="I23" s="1"/>
      <c r="P23" s="1"/>
    </row>
    <row r="24" spans="1:16" x14ac:dyDescent="0.2">
      <c r="A24" s="1">
        <v>42338</v>
      </c>
      <c r="B24">
        <v>31.62</v>
      </c>
      <c r="C24" s="3">
        <v>701.91</v>
      </c>
      <c r="D24" s="3"/>
      <c r="I24" s="1"/>
      <c r="P24" s="1"/>
    </row>
    <row r="25" spans="1:16" x14ac:dyDescent="0.2">
      <c r="A25" s="1">
        <v>42369</v>
      </c>
      <c r="B25">
        <v>25.04</v>
      </c>
      <c r="C25" s="3">
        <v>704.84333333333325</v>
      </c>
      <c r="D25" s="3"/>
      <c r="I25" s="1"/>
      <c r="P25" s="1"/>
    </row>
    <row r="26" spans="1:16" x14ac:dyDescent="0.2">
      <c r="A26" s="1">
        <v>42398</v>
      </c>
      <c r="B26">
        <v>32.880000000000003</v>
      </c>
      <c r="C26" s="3">
        <v>673.63333333333333</v>
      </c>
      <c r="D26" s="3"/>
      <c r="I26" s="1"/>
      <c r="P26" s="1"/>
    </row>
    <row r="27" spans="1:16" x14ac:dyDescent="0.2">
      <c r="A27" s="1">
        <v>42429</v>
      </c>
      <c r="B27">
        <v>33.46</v>
      </c>
      <c r="C27" s="3">
        <v>702.79333333333341</v>
      </c>
      <c r="D27" s="3"/>
      <c r="I27" s="1"/>
      <c r="P27" s="1"/>
    </row>
    <row r="28" spans="1:16" x14ac:dyDescent="0.2">
      <c r="A28" s="1">
        <v>42460</v>
      </c>
      <c r="B28">
        <v>47</v>
      </c>
      <c r="C28" s="3">
        <v>759.92666666666673</v>
      </c>
      <c r="D28" s="3"/>
      <c r="I28" s="1"/>
      <c r="P28" s="1"/>
    </row>
    <row r="29" spans="1:16" x14ac:dyDescent="0.2">
      <c r="A29" s="1">
        <v>42489</v>
      </c>
      <c r="B29">
        <v>59</v>
      </c>
      <c r="C29" s="3">
        <v>813.06333333333339</v>
      </c>
      <c r="D29" s="3"/>
      <c r="I29" s="1"/>
      <c r="P29" s="1"/>
    </row>
    <row r="30" spans="1:16" x14ac:dyDescent="0.2">
      <c r="A30" s="1">
        <v>42521</v>
      </c>
      <c r="B30">
        <v>45</v>
      </c>
      <c r="C30" s="3">
        <v>730.49000000000012</v>
      </c>
      <c r="D30" s="3"/>
      <c r="I30" s="1"/>
      <c r="P30" s="1"/>
    </row>
    <row r="31" spans="1:16" x14ac:dyDescent="0.2">
      <c r="A31" s="1">
        <v>42551</v>
      </c>
      <c r="B31">
        <v>47.2</v>
      </c>
      <c r="C31" s="3">
        <v>758.04</v>
      </c>
      <c r="D31" s="3"/>
      <c r="I31" s="1"/>
      <c r="P31" s="1"/>
    </row>
    <row r="32" spans="1:16" x14ac:dyDescent="0.2">
      <c r="A32" s="1">
        <v>42580</v>
      </c>
      <c r="B32">
        <v>61</v>
      </c>
      <c r="C32" s="3">
        <v>827.92</v>
      </c>
      <c r="D32" s="3"/>
      <c r="I32" s="1"/>
      <c r="P32" s="1"/>
    </row>
    <row r="33" spans="1:16" x14ac:dyDescent="0.2">
      <c r="A33" s="1">
        <v>42613</v>
      </c>
      <c r="B33">
        <v>56.46</v>
      </c>
      <c r="C33" s="3">
        <v>796.64333333333332</v>
      </c>
      <c r="D33" s="3"/>
      <c r="I33" s="1"/>
      <c r="P33" s="1"/>
    </row>
    <row r="34" spans="1:16" x14ac:dyDescent="0.2">
      <c r="A34" s="1">
        <v>42643</v>
      </c>
      <c r="B34">
        <v>69.5</v>
      </c>
      <c r="C34" s="3">
        <v>811</v>
      </c>
      <c r="D34" s="3"/>
      <c r="I34" s="1"/>
      <c r="P34" s="1"/>
    </row>
    <row r="35" spans="1:16" x14ac:dyDescent="0.2">
      <c r="A35" s="1">
        <v>42674</v>
      </c>
      <c r="B35">
        <v>54.2</v>
      </c>
      <c r="C35" s="3">
        <v>772.7833333333333</v>
      </c>
      <c r="D35" s="3"/>
      <c r="I35" s="1"/>
      <c r="P35" s="1"/>
    </row>
    <row r="36" spans="1:16" x14ac:dyDescent="0.2">
      <c r="A36" s="1">
        <v>42704</v>
      </c>
      <c r="B36">
        <v>44.2</v>
      </c>
      <c r="C36" s="3">
        <v>815.97666666666657</v>
      </c>
      <c r="D36" s="3"/>
      <c r="I36" s="1"/>
      <c r="P36" s="1"/>
    </row>
    <row r="37" spans="1:16" x14ac:dyDescent="0.2">
      <c r="A37" s="1">
        <v>42734</v>
      </c>
      <c r="B37">
        <v>42.74</v>
      </c>
      <c r="C37" s="3">
        <v>784.68666666666661</v>
      </c>
      <c r="D37" s="3"/>
      <c r="I37" s="1"/>
      <c r="P37" s="1"/>
    </row>
    <row r="38" spans="1:16" x14ac:dyDescent="0.2">
      <c r="A38" s="1">
        <v>42766</v>
      </c>
      <c r="B38">
        <v>53.44</v>
      </c>
      <c r="C38" s="3">
        <v>864.79</v>
      </c>
      <c r="D38" s="3"/>
      <c r="I38" s="1"/>
      <c r="P38" s="1"/>
    </row>
    <row r="39" spans="1:16" x14ac:dyDescent="0.2">
      <c r="A39" s="1">
        <v>42794</v>
      </c>
      <c r="B39">
        <v>44.04</v>
      </c>
      <c r="C39" s="3">
        <v>905.07333333333338</v>
      </c>
      <c r="D39" s="3"/>
      <c r="I39" s="1"/>
      <c r="P39" s="1"/>
    </row>
    <row r="40" spans="1:16" x14ac:dyDescent="0.2">
      <c r="A40" s="1">
        <v>42825</v>
      </c>
      <c r="B40">
        <v>45.22</v>
      </c>
      <c r="C40" s="3">
        <v>924.70666666666659</v>
      </c>
      <c r="D40" s="3"/>
      <c r="I40" s="1"/>
      <c r="P40" s="1"/>
    </row>
    <row r="41" spans="1:16" x14ac:dyDescent="0.2">
      <c r="A41" s="1">
        <v>42853</v>
      </c>
      <c r="B41">
        <v>42.95</v>
      </c>
      <c r="C41" s="3">
        <v>929.17666666666673</v>
      </c>
      <c r="D41" s="3"/>
      <c r="I41" s="1"/>
      <c r="P41" s="1"/>
    </row>
    <row r="42" spans="1:16" x14ac:dyDescent="0.2">
      <c r="A42" s="1">
        <v>42886</v>
      </c>
      <c r="B42">
        <v>36.770000000000003</v>
      </c>
      <c r="C42" s="3">
        <v>899.72666666666657</v>
      </c>
      <c r="D42" s="3"/>
      <c r="I42" s="1"/>
      <c r="P42" s="1"/>
    </row>
    <row r="43" spans="1:16" x14ac:dyDescent="0.2">
      <c r="A43" s="1">
        <v>42916</v>
      </c>
      <c r="B43">
        <v>36.85</v>
      </c>
      <c r="C43" s="3">
        <v>936.68333333333339</v>
      </c>
      <c r="D43" s="3"/>
      <c r="I43" s="1"/>
      <c r="P43" s="1"/>
    </row>
    <row r="44" spans="1:16" x14ac:dyDescent="0.2">
      <c r="A44" s="1">
        <v>42947</v>
      </c>
      <c r="B44">
        <v>35.21</v>
      </c>
      <c r="C44" s="3">
        <v>939.33333333333337</v>
      </c>
      <c r="D44" s="3"/>
      <c r="I44" s="1"/>
      <c r="P44" s="1"/>
    </row>
    <row r="45" spans="1:16" x14ac:dyDescent="0.2">
      <c r="A45" s="1">
        <v>42978</v>
      </c>
      <c r="B45">
        <v>40.200000000000003</v>
      </c>
      <c r="C45" s="3">
        <v>1030.8433333333332</v>
      </c>
      <c r="D45" s="3"/>
      <c r="I45" s="1"/>
      <c r="P45" s="1"/>
    </row>
    <row r="46" spans="1:16" x14ac:dyDescent="0.2">
      <c r="A46" s="1">
        <v>43007</v>
      </c>
      <c r="B46">
        <v>31</v>
      </c>
      <c r="C46" s="3">
        <v>1011.35</v>
      </c>
      <c r="D46" s="3"/>
      <c r="I46" s="1"/>
      <c r="P46" s="1"/>
    </row>
    <row r="47" spans="1:16" x14ac:dyDescent="0.2">
      <c r="A47" s="1">
        <v>43039</v>
      </c>
      <c r="B47">
        <v>39.22</v>
      </c>
      <c r="C47" s="3">
        <v>1137.6333333333334</v>
      </c>
      <c r="D47" s="3"/>
      <c r="I47" s="1"/>
      <c r="P47" s="1"/>
    </row>
    <row r="48" spans="1:16" x14ac:dyDescent="0.2">
      <c r="A48" s="1">
        <v>43069</v>
      </c>
      <c r="B48">
        <v>39</v>
      </c>
      <c r="C48" s="3">
        <v>1161.1433333333334</v>
      </c>
      <c r="D48" s="3"/>
      <c r="I48" s="1"/>
      <c r="P48" s="1"/>
    </row>
    <row r="49" spans="1:16" x14ac:dyDescent="0.2">
      <c r="A49" s="1">
        <v>43098</v>
      </c>
      <c r="B49">
        <v>32.44</v>
      </c>
      <c r="C49" s="3">
        <v>1235.5899999999999</v>
      </c>
      <c r="D49" s="3"/>
      <c r="I49" s="1"/>
      <c r="P49" s="1"/>
    </row>
    <row r="50" spans="1:16" x14ac:dyDescent="0.2">
      <c r="A50" s="1">
        <v>43131</v>
      </c>
      <c r="B50">
        <v>36.35</v>
      </c>
      <c r="C50" s="3">
        <v>1282.6533333333334</v>
      </c>
      <c r="D50" s="3"/>
      <c r="I50" s="1"/>
      <c r="P50" s="1"/>
    </row>
    <row r="51" spans="1:16" x14ac:dyDescent="0.2">
      <c r="A51" s="1">
        <v>43159</v>
      </c>
      <c r="B51">
        <v>30.1</v>
      </c>
      <c r="C51" s="3">
        <v>1298.9033333333334</v>
      </c>
      <c r="D51" s="3"/>
      <c r="I51" s="1"/>
      <c r="P51" s="1"/>
    </row>
    <row r="52" spans="1:16" x14ac:dyDescent="0.2">
      <c r="A52" s="1">
        <v>43189</v>
      </c>
      <c r="B52">
        <v>23.54</v>
      </c>
      <c r="C52" s="3">
        <v>1308.5</v>
      </c>
      <c r="D52" s="3"/>
      <c r="I52" s="1"/>
      <c r="P52" s="1"/>
    </row>
    <row r="53" spans="1:16" x14ac:dyDescent="0.2">
      <c r="A53" s="1">
        <v>43220</v>
      </c>
      <c r="B53">
        <v>22.34</v>
      </c>
      <c r="C53" s="3">
        <v>1305.54</v>
      </c>
      <c r="D53" s="3"/>
      <c r="I53" s="1"/>
      <c r="P53" s="1"/>
    </row>
    <row r="54" spans="1:16" x14ac:dyDescent="0.2">
      <c r="A54" s="1">
        <v>43251</v>
      </c>
      <c r="B54">
        <v>20.260000000000002</v>
      </c>
      <c r="C54" s="3">
        <v>1378.5733333333335</v>
      </c>
      <c r="D54" s="3"/>
      <c r="I54" s="1"/>
      <c r="P54" s="1"/>
    </row>
    <row r="55" spans="1:16" x14ac:dyDescent="0.2">
      <c r="A55" s="1">
        <v>43280</v>
      </c>
      <c r="B55">
        <v>20.25</v>
      </c>
      <c r="C55" s="3">
        <v>1356.27</v>
      </c>
      <c r="D55" s="3"/>
      <c r="I55" s="1"/>
      <c r="P55" s="1"/>
    </row>
    <row r="56" spans="1:16" x14ac:dyDescent="0.2">
      <c r="A56" s="1">
        <v>43312</v>
      </c>
      <c r="B56">
        <v>19.489999999999998</v>
      </c>
      <c r="C56" s="3">
        <v>1366.0666666666666</v>
      </c>
      <c r="D56" s="3"/>
      <c r="I56" s="1"/>
      <c r="P56" s="1"/>
    </row>
    <row r="57" spans="1:16" x14ac:dyDescent="0.2">
      <c r="A57" s="1">
        <v>43343</v>
      </c>
      <c r="B57">
        <v>17.899999999999999</v>
      </c>
      <c r="C57" s="3">
        <v>1386.8999999999999</v>
      </c>
      <c r="D57" s="3"/>
      <c r="I57" s="1"/>
      <c r="P57" s="1"/>
    </row>
    <row r="58" spans="1:16" x14ac:dyDescent="0.2">
      <c r="A58" s="1">
        <v>43371</v>
      </c>
      <c r="B58">
        <v>27.5</v>
      </c>
      <c r="C58" s="3">
        <v>1490.3166666666666</v>
      </c>
      <c r="D58" s="3"/>
      <c r="I58" s="1"/>
      <c r="P58" s="1"/>
    </row>
    <row r="59" spans="1:16" x14ac:dyDescent="0.2">
      <c r="A59" s="1">
        <v>43404</v>
      </c>
      <c r="B59">
        <v>27.2</v>
      </c>
      <c r="C59" s="3">
        <v>1447.43</v>
      </c>
      <c r="D59" s="3"/>
      <c r="I59" s="1"/>
      <c r="P59" s="1"/>
    </row>
    <row r="60" spans="1:16" x14ac:dyDescent="0.2">
      <c r="A60" s="1">
        <v>43434</v>
      </c>
      <c r="B60">
        <v>33</v>
      </c>
      <c r="C60" s="3">
        <v>1526.3966666666668</v>
      </c>
      <c r="D60" s="3"/>
      <c r="I60" s="1"/>
      <c r="P60" s="1"/>
    </row>
    <row r="61" spans="1:16" x14ac:dyDescent="0.2">
      <c r="A61" s="1">
        <v>43465</v>
      </c>
      <c r="B61">
        <v>36.68</v>
      </c>
      <c r="C61" s="3">
        <v>1505.8100000000002</v>
      </c>
      <c r="D61" s="3"/>
      <c r="I61" s="1"/>
      <c r="P61" s="1"/>
    </row>
    <row r="62" spans="1:16" x14ac:dyDescent="0.2">
      <c r="A62" s="1">
        <v>43496</v>
      </c>
      <c r="B62">
        <v>38.65</v>
      </c>
      <c r="C62" s="3">
        <v>1555.0466666666669</v>
      </c>
      <c r="D62" s="3"/>
      <c r="I62" s="1"/>
      <c r="P62" s="1"/>
    </row>
    <row r="63" spans="1:16" x14ac:dyDescent="0.2">
      <c r="A63" s="1">
        <v>43524</v>
      </c>
      <c r="B63">
        <v>60.2</v>
      </c>
      <c r="C63" s="3">
        <v>1729.0766666666666</v>
      </c>
      <c r="D63" s="3"/>
      <c r="I63" s="1"/>
      <c r="P63" s="1"/>
    </row>
    <row r="64" spans="1:16" x14ac:dyDescent="0.2">
      <c r="A64" s="1">
        <v>43553</v>
      </c>
      <c r="B64">
        <v>61</v>
      </c>
      <c r="C64" s="3">
        <v>1814.8866666666665</v>
      </c>
      <c r="D64" s="3"/>
      <c r="I64" s="1"/>
      <c r="P64" s="1"/>
    </row>
    <row r="65" spans="1:16" x14ac:dyDescent="0.2">
      <c r="A65" s="1">
        <v>43585</v>
      </c>
      <c r="B65">
        <v>57.26</v>
      </c>
      <c r="C65" s="3">
        <v>1742.4733333333334</v>
      </c>
      <c r="D65" s="3"/>
      <c r="I65" s="1"/>
      <c r="P65" s="1"/>
    </row>
    <row r="66" spans="1:16" x14ac:dyDescent="0.2">
      <c r="A66" s="1">
        <v>43616</v>
      </c>
      <c r="B66">
        <v>58</v>
      </c>
      <c r="C66" s="3">
        <v>1654.0066666666669</v>
      </c>
      <c r="D66" s="3"/>
      <c r="I66" s="1"/>
      <c r="P66" s="1"/>
    </row>
    <row r="67" spans="1:16" x14ac:dyDescent="0.2">
      <c r="A67" s="1">
        <v>43644</v>
      </c>
      <c r="B67">
        <v>69.75</v>
      </c>
      <c r="C67" s="3">
        <v>1907.47</v>
      </c>
      <c r="D67" s="3"/>
      <c r="I67" s="1"/>
      <c r="P67" s="1"/>
    </row>
    <row r="68" spans="1:16" x14ac:dyDescent="0.2">
      <c r="A68" s="1">
        <v>43677</v>
      </c>
      <c r="B68">
        <v>77.069999999999993</v>
      </c>
      <c r="C68" s="3">
        <v>2003.22</v>
      </c>
      <c r="D68" s="3"/>
      <c r="I68" s="1"/>
      <c r="P68" s="1"/>
    </row>
    <row r="69" spans="1:16" x14ac:dyDescent="0.2">
      <c r="A69" s="1">
        <v>43707</v>
      </c>
      <c r="B69">
        <v>86.45</v>
      </c>
      <c r="C69" s="3">
        <v>2489.1066666666666</v>
      </c>
      <c r="D69" s="3"/>
      <c r="I69" s="1"/>
      <c r="P69" s="1"/>
    </row>
    <row r="70" spans="1:16" x14ac:dyDescent="0.2">
      <c r="A70" s="1">
        <v>43738</v>
      </c>
      <c r="B70">
        <v>95.28</v>
      </c>
      <c r="C70" s="3">
        <v>2619.6266666666666</v>
      </c>
      <c r="D70" s="3"/>
      <c r="I70" s="1"/>
      <c r="P70" s="1"/>
    </row>
    <row r="71" spans="1:16" x14ac:dyDescent="0.2">
      <c r="A71" s="1">
        <v>43769</v>
      </c>
      <c r="B71">
        <v>103.85</v>
      </c>
      <c r="C71" s="3">
        <v>2701.77</v>
      </c>
      <c r="D71" s="3"/>
      <c r="I71" s="1"/>
      <c r="P71" s="1"/>
    </row>
    <row r="72" spans="1:16" x14ac:dyDescent="0.2">
      <c r="A72" s="1">
        <v>43798</v>
      </c>
      <c r="B72">
        <v>112.6</v>
      </c>
      <c r="C72" s="3">
        <v>2879.2533333333336</v>
      </c>
      <c r="D72" s="3"/>
      <c r="I72" s="1"/>
      <c r="P72" s="1"/>
    </row>
    <row r="73" spans="1:16" x14ac:dyDescent="0.2">
      <c r="A73" s="1">
        <v>43830</v>
      </c>
      <c r="B73">
        <v>143.52000000000001</v>
      </c>
      <c r="C73" s="3">
        <v>2987.4</v>
      </c>
      <c r="D73" s="3"/>
      <c r="I73" s="1"/>
      <c r="P73" s="1"/>
    </row>
    <row r="74" spans="1:16" x14ac:dyDescent="0.2">
      <c r="A74" s="1">
        <v>43861</v>
      </c>
      <c r="B74">
        <v>141.5</v>
      </c>
      <c r="C74" s="3">
        <v>4474.6033333333335</v>
      </c>
      <c r="D74" s="3"/>
      <c r="I74" s="1"/>
      <c r="P74" s="1"/>
    </row>
    <row r="75" spans="1:16" x14ac:dyDescent="0.2">
      <c r="A75" s="1">
        <v>43889</v>
      </c>
      <c r="B75">
        <v>124.65</v>
      </c>
      <c r="C75" s="3">
        <v>5444.2833333333338</v>
      </c>
      <c r="D75" s="3"/>
      <c r="I75" s="1"/>
      <c r="P75" s="1"/>
    </row>
    <row r="76" spans="1:16" x14ac:dyDescent="0.2">
      <c r="A76" s="1">
        <v>43921</v>
      </c>
      <c r="B76">
        <v>75.739999999999995</v>
      </c>
      <c r="C76" s="3">
        <v>4595.4000000000005</v>
      </c>
      <c r="D76" s="3"/>
      <c r="I76" s="1"/>
      <c r="P76" s="1"/>
    </row>
    <row r="77" spans="1:16" x14ac:dyDescent="0.2">
      <c r="A77" s="1">
        <v>43951</v>
      </c>
      <c r="B77">
        <v>112.2</v>
      </c>
      <c r="C77" s="3">
        <v>3449.2999999999997</v>
      </c>
      <c r="D77" s="3"/>
      <c r="I77" s="1"/>
      <c r="P77" s="1"/>
    </row>
    <row r="78" spans="1:16" x14ac:dyDescent="0.2">
      <c r="A78" s="1">
        <v>43980</v>
      </c>
      <c r="B78">
        <v>117.08</v>
      </c>
      <c r="C78" s="3">
        <v>3925.7866666666669</v>
      </c>
      <c r="D78" s="3"/>
      <c r="I78" s="1"/>
      <c r="P78" s="1"/>
    </row>
    <row r="79" spans="1:16" x14ac:dyDescent="0.2">
      <c r="A79" s="1">
        <v>44012</v>
      </c>
      <c r="B79">
        <v>116</v>
      </c>
      <c r="C79" s="3">
        <v>3591.03</v>
      </c>
      <c r="D79" s="3"/>
      <c r="I79" s="1"/>
      <c r="P79" s="1"/>
    </row>
    <row r="80" spans="1:16" x14ac:dyDescent="0.2">
      <c r="A80" s="1">
        <v>44043</v>
      </c>
      <c r="B80">
        <v>150.88</v>
      </c>
      <c r="C80" s="3">
        <v>3965.2999999999997</v>
      </c>
      <c r="D80" s="3"/>
      <c r="I80" s="1"/>
      <c r="P80" s="1"/>
    </row>
    <row r="81" spans="1:16" x14ac:dyDescent="0.2">
      <c r="A81" s="1">
        <v>44074</v>
      </c>
      <c r="B81">
        <v>156.37</v>
      </c>
      <c r="C81" s="3">
        <v>5126.0366666666669</v>
      </c>
      <c r="D81" s="3"/>
      <c r="I81" s="1"/>
      <c r="P81" s="1"/>
    </row>
    <row r="82" spans="1:16" x14ac:dyDescent="0.2">
      <c r="A82" s="1">
        <v>44104</v>
      </c>
      <c r="B82">
        <v>145.47</v>
      </c>
      <c r="C82" s="3">
        <v>5734.6566666666668</v>
      </c>
      <c r="D82" s="3"/>
      <c r="I82" s="1"/>
      <c r="P82" s="1"/>
    </row>
    <row r="83" spans="1:16" x14ac:dyDescent="0.2">
      <c r="A83" s="1">
        <v>44134</v>
      </c>
      <c r="B83">
        <v>142.77000000000001</v>
      </c>
      <c r="C83" s="3">
        <v>5487.78</v>
      </c>
      <c r="D83" s="3"/>
      <c r="I83" s="1"/>
      <c r="P83" s="1"/>
    </row>
    <row r="84" spans="1:16" x14ac:dyDescent="0.2">
      <c r="A84" s="1">
        <v>44165</v>
      </c>
      <c r="B84">
        <v>162.72</v>
      </c>
      <c r="C84" s="3">
        <v>6483.3866666666663</v>
      </c>
      <c r="D84" s="3"/>
      <c r="I84" s="1"/>
      <c r="P84" s="1"/>
    </row>
    <row r="85" spans="1:16" x14ac:dyDescent="0.2">
      <c r="A85" s="1">
        <v>44196</v>
      </c>
      <c r="B85">
        <v>201.9</v>
      </c>
      <c r="C85" s="3">
        <v>6856.9766666666665</v>
      </c>
      <c r="D85" s="3"/>
      <c r="I85" s="1"/>
      <c r="P85" s="1"/>
    </row>
    <row r="86" spans="1:16" x14ac:dyDescent="0.2">
      <c r="A86" s="1">
        <v>44225</v>
      </c>
      <c r="B86">
        <v>207.18</v>
      </c>
      <c r="C86" s="3">
        <v>7737.4066666666668</v>
      </c>
      <c r="D86" s="3"/>
      <c r="I86" s="1"/>
      <c r="P86" s="1"/>
    </row>
    <row r="87" spans="1:16" x14ac:dyDescent="0.2">
      <c r="A87" s="1">
        <v>44253</v>
      </c>
      <c r="B87">
        <v>246.07</v>
      </c>
      <c r="C87" s="3">
        <v>10306.756666666666</v>
      </c>
      <c r="D87" s="3"/>
      <c r="I87" s="1"/>
      <c r="P87" s="1"/>
    </row>
    <row r="88" spans="1:16" x14ac:dyDescent="0.2">
      <c r="A88" s="1">
        <v>44286</v>
      </c>
      <c r="B88">
        <v>273.73</v>
      </c>
      <c r="C88" s="3">
        <v>10138.33</v>
      </c>
      <c r="D88" s="3"/>
      <c r="I88" s="1"/>
      <c r="P88" s="1"/>
    </row>
    <row r="89" spans="1:16" x14ac:dyDescent="0.2">
      <c r="A89" s="1">
        <v>44316</v>
      </c>
      <c r="B89">
        <v>271.52999999999997</v>
      </c>
      <c r="C89" s="3">
        <v>11214.956666666667</v>
      </c>
      <c r="D89" s="3"/>
      <c r="I89" s="1"/>
      <c r="P89" s="1"/>
    </row>
    <row r="90" spans="1:16" x14ac:dyDescent="0.2">
      <c r="A90" s="1">
        <v>44347</v>
      </c>
      <c r="B90">
        <v>250.5</v>
      </c>
      <c r="C90" s="3">
        <v>9840.5466666666671</v>
      </c>
      <c r="D90" s="3"/>
      <c r="I90" s="1"/>
      <c r="P90" s="1"/>
    </row>
    <row r="91" spans="1:16" x14ac:dyDescent="0.2">
      <c r="A91" s="1">
        <v>44377</v>
      </c>
      <c r="B91">
        <v>235.49</v>
      </c>
      <c r="C91" s="3">
        <v>7986.373333333333</v>
      </c>
      <c r="D91" s="3"/>
      <c r="I91" s="1"/>
      <c r="P91" s="1"/>
    </row>
    <row r="92" spans="1:16" x14ac:dyDescent="0.2">
      <c r="A92" s="1">
        <v>44407</v>
      </c>
      <c r="B92">
        <v>264.01</v>
      </c>
      <c r="C92" s="3">
        <v>7404.829999999999</v>
      </c>
      <c r="D92" s="3"/>
      <c r="I92" s="1"/>
      <c r="P92" s="1"/>
    </row>
    <row r="93" spans="1:16" x14ac:dyDescent="0.2">
      <c r="A93" s="1">
        <v>44439</v>
      </c>
      <c r="B93">
        <v>222.9</v>
      </c>
      <c r="C93" s="3">
        <v>7028.9233333333332</v>
      </c>
      <c r="D93" s="3"/>
      <c r="I93" s="1"/>
      <c r="P93" s="1"/>
    </row>
    <row r="94" spans="1:16" x14ac:dyDescent="0.2">
      <c r="A94" s="1">
        <v>44469</v>
      </c>
      <c r="B94">
        <v>171.67</v>
      </c>
      <c r="C94" s="3">
        <v>5460.1466666666665</v>
      </c>
      <c r="D94" s="3"/>
      <c r="I94" s="1"/>
      <c r="P94" s="1"/>
    </row>
    <row r="95" spans="1:16" x14ac:dyDescent="0.2">
      <c r="A95" s="1">
        <v>44498</v>
      </c>
      <c r="B95">
        <v>197.99</v>
      </c>
      <c r="C95" s="3">
        <v>5708.7599999999993</v>
      </c>
      <c r="D95" s="3"/>
      <c r="I95" s="1"/>
      <c r="P95" s="1"/>
    </row>
    <row r="96" spans="1:16" x14ac:dyDescent="0.2">
      <c r="A96" s="1">
        <v>44530</v>
      </c>
      <c r="B96">
        <v>202.35</v>
      </c>
      <c r="C96" s="3">
        <v>5526.7866666666669</v>
      </c>
      <c r="D96" s="3"/>
      <c r="I96" s="1"/>
      <c r="P96" s="1"/>
    </row>
    <row r="97" spans="1:16" x14ac:dyDescent="0.2">
      <c r="A97" s="1">
        <v>44561</v>
      </c>
      <c r="B97">
        <v>225</v>
      </c>
      <c r="C97" s="3">
        <v>5674.5266666666676</v>
      </c>
      <c r="D97" s="3"/>
      <c r="I97" s="1"/>
      <c r="P97" s="1"/>
    </row>
    <row r="98" spans="1:16" x14ac:dyDescent="0.2">
      <c r="A98" s="1">
        <v>44592</v>
      </c>
      <c r="B98">
        <v>234.13</v>
      </c>
      <c r="C98" s="3">
        <v>6742.416666666667</v>
      </c>
      <c r="D98" s="3"/>
      <c r="I98" s="1"/>
      <c r="P98" s="1"/>
    </row>
    <row r="99" spans="1:16" x14ac:dyDescent="0.2">
      <c r="A99" s="1">
        <v>44620</v>
      </c>
      <c r="B99">
        <v>293.92</v>
      </c>
      <c r="C99" s="3">
        <v>7763.3433333333332</v>
      </c>
      <c r="D99" s="3"/>
      <c r="I99" s="1"/>
      <c r="P99" s="1"/>
    </row>
    <row r="100" spans="1:16" x14ac:dyDescent="0.2">
      <c r="A100" s="1">
        <v>44651</v>
      </c>
      <c r="B100">
        <v>225.03</v>
      </c>
      <c r="C100" s="3">
        <v>7584.75</v>
      </c>
      <c r="D100" s="3"/>
      <c r="I100" s="1"/>
      <c r="P100" s="1"/>
    </row>
    <row r="101" spans="1:16" x14ac:dyDescent="0.2">
      <c r="A101" s="1">
        <v>44680</v>
      </c>
      <c r="B101">
        <v>206.21</v>
      </c>
      <c r="C101" s="3">
        <v>7155.4133333333339</v>
      </c>
      <c r="D101" s="3"/>
      <c r="I101" s="1"/>
      <c r="P101" s="1"/>
    </row>
    <row r="102" spans="1:16" x14ac:dyDescent="0.2">
      <c r="A102" s="1">
        <v>44712</v>
      </c>
      <c r="B102">
        <v>214.03</v>
      </c>
      <c r="C102" s="3">
        <v>6073.6733333333332</v>
      </c>
      <c r="D102" s="3"/>
      <c r="I102" s="1"/>
      <c r="P102" s="1"/>
    </row>
    <row r="103" spans="1:16" x14ac:dyDescent="0.2">
      <c r="A103" s="1">
        <v>44742</v>
      </c>
      <c r="B103">
        <v>181.14</v>
      </c>
      <c r="C103" s="3">
        <v>5612.31</v>
      </c>
      <c r="D103" s="3"/>
      <c r="I103" s="1"/>
      <c r="P103" s="1"/>
    </row>
    <row r="104" spans="1:16" x14ac:dyDescent="0.2">
      <c r="A104" s="1">
        <v>44771</v>
      </c>
      <c r="B104">
        <v>184.55</v>
      </c>
      <c r="C104" s="3">
        <v>5793.4866666666667</v>
      </c>
      <c r="D104" s="3"/>
      <c r="I104" s="1"/>
      <c r="P104" s="1"/>
    </row>
    <row r="105" spans="1:16" x14ac:dyDescent="0.2">
      <c r="A105" s="1">
        <v>44804</v>
      </c>
      <c r="B105">
        <v>180.38</v>
      </c>
      <c r="C105" s="3">
        <v>5645.73</v>
      </c>
      <c r="D105" s="3"/>
      <c r="I105" s="1"/>
      <c r="P105" s="1"/>
    </row>
    <row r="106" spans="1:16" x14ac:dyDescent="0.2">
      <c r="A106" s="1">
        <v>44834</v>
      </c>
      <c r="B106">
        <v>169.67</v>
      </c>
      <c r="C106" s="3">
        <v>5676.829999999999</v>
      </c>
      <c r="D106" s="3"/>
      <c r="I106" s="1"/>
      <c r="P106" s="1"/>
    </row>
    <row r="107" spans="1:16" x14ac:dyDescent="0.2">
      <c r="A107" s="1">
        <v>44865</v>
      </c>
      <c r="B107">
        <v>188.1</v>
      </c>
      <c r="C107" s="3">
        <v>5592.1966666666667</v>
      </c>
      <c r="D107" s="3"/>
      <c r="I107" s="1"/>
      <c r="P107" s="1"/>
    </row>
    <row r="108" spans="1:16" x14ac:dyDescent="0.2">
      <c r="A108" s="1">
        <v>44895</v>
      </c>
      <c r="B108">
        <v>209.65</v>
      </c>
      <c r="C108" s="3">
        <v>5406.5566666666664</v>
      </c>
      <c r="D108" s="3"/>
      <c r="I108" s="1"/>
      <c r="P108" s="1"/>
    </row>
    <row r="109" spans="1:16" x14ac:dyDescent="0.2">
      <c r="A109" s="1">
        <v>44925</v>
      </c>
      <c r="B109">
        <v>213.14</v>
      </c>
      <c r="C109" s="3">
        <v>5038.9900000000007</v>
      </c>
      <c r="D109" s="3"/>
      <c r="I109" s="1"/>
      <c r="P109" s="1"/>
    </row>
    <row r="110" spans="1:16" x14ac:dyDescent="0.2">
      <c r="A110" s="1">
        <v>44957</v>
      </c>
      <c r="B110">
        <v>201.35</v>
      </c>
      <c r="C110" s="3">
        <v>4889.2733333333335</v>
      </c>
      <c r="D110" s="3"/>
      <c r="I110" s="1"/>
      <c r="P110" s="1"/>
    </row>
    <row r="111" spans="1:16" x14ac:dyDescent="0.2">
      <c r="A111" s="1">
        <v>44985</v>
      </c>
      <c r="B111">
        <v>171.51</v>
      </c>
      <c r="C111" s="3">
        <v>4124.8033333333333</v>
      </c>
      <c r="D111" s="3"/>
      <c r="I111" s="1"/>
      <c r="P111" s="1"/>
    </row>
    <row r="112" spans="1:16" x14ac:dyDescent="0.2">
      <c r="A112" s="1">
        <v>45016</v>
      </c>
      <c r="B112">
        <v>163.83000000000001</v>
      </c>
      <c r="C112" s="3">
        <v>3286.3266666666664</v>
      </c>
      <c r="D112" s="3"/>
      <c r="I112" s="1"/>
      <c r="P112" s="1"/>
    </row>
    <row r="113" spans="1:16" x14ac:dyDescent="0.2">
      <c r="A113" s="1">
        <v>45044</v>
      </c>
      <c r="B113">
        <v>177.74</v>
      </c>
      <c r="C113" s="3">
        <v>3778.3933333333334</v>
      </c>
      <c r="D113" s="3"/>
      <c r="I113" s="1"/>
      <c r="P113" s="1"/>
    </row>
    <row r="114" spans="1:16" x14ac:dyDescent="0.2">
      <c r="A114" s="1">
        <v>45077</v>
      </c>
      <c r="B114">
        <v>158.38</v>
      </c>
      <c r="C114" s="3">
        <v>3088.9233333333336</v>
      </c>
      <c r="D114" s="3"/>
      <c r="I114" s="1"/>
      <c r="P114" s="1"/>
    </row>
    <row r="115" spans="1:16" x14ac:dyDescent="0.2">
      <c r="A115" s="1">
        <v>45107</v>
      </c>
      <c r="B115">
        <v>125.32</v>
      </c>
      <c r="C115" s="3">
        <v>2145.5733333333333</v>
      </c>
      <c r="D115" s="3"/>
      <c r="I115" s="1"/>
      <c r="P115" s="1"/>
    </row>
    <row r="116" spans="1:16" x14ac:dyDescent="0.2">
      <c r="A116" s="1">
        <v>45138</v>
      </c>
      <c r="B116">
        <v>129</v>
      </c>
      <c r="C116" s="3">
        <v>2113.83</v>
      </c>
      <c r="D116" s="3"/>
      <c r="I116" s="1"/>
      <c r="P116" s="1"/>
    </row>
    <row r="117" spans="1:16" x14ac:dyDescent="0.2">
      <c r="A117" s="1">
        <v>45169</v>
      </c>
      <c r="B117">
        <v>97.46</v>
      </c>
      <c r="C117" s="3">
        <v>2100.5100000000002</v>
      </c>
      <c r="D117" s="3"/>
      <c r="I117" s="1"/>
      <c r="P117" s="1"/>
    </row>
    <row r="118" spans="1:16" x14ac:dyDescent="0.2">
      <c r="A118" s="1">
        <v>45198</v>
      </c>
      <c r="B118">
        <v>98.86</v>
      </c>
      <c r="C118" s="3">
        <v>2085.3633333333332</v>
      </c>
      <c r="D118" s="3"/>
      <c r="I118" s="1"/>
      <c r="P118" s="1"/>
    </row>
    <row r="119" spans="1:16" x14ac:dyDescent="0.2">
      <c r="A119" s="1">
        <v>45230</v>
      </c>
      <c r="B119">
        <v>77.680000000000007</v>
      </c>
      <c r="C119" s="3">
        <v>2136.9266666666667</v>
      </c>
      <c r="D119" s="3"/>
      <c r="I119" s="1"/>
    </row>
    <row r="120" spans="1:16" x14ac:dyDescent="0.2">
      <c r="A120" s="1">
        <v>45260</v>
      </c>
      <c r="B120">
        <v>76.63</v>
      </c>
      <c r="C120" s="3">
        <v>2129.6799999999998</v>
      </c>
      <c r="D120" s="3"/>
      <c r="I120" s="1"/>
    </row>
    <row r="121" spans="1:16" x14ac:dyDescent="0.2">
      <c r="A121" s="1">
        <v>45289</v>
      </c>
      <c r="B121">
        <v>91.27</v>
      </c>
      <c r="C121" s="3">
        <v>2172.3799999999997</v>
      </c>
      <c r="D121" s="3"/>
      <c r="I121" s="1"/>
    </row>
    <row r="122" spans="1:16" x14ac:dyDescent="0.2">
      <c r="A122" s="1">
        <v>45322</v>
      </c>
      <c r="B122">
        <v>73.27</v>
      </c>
      <c r="C122" s="3">
        <v>2151.8333333333335</v>
      </c>
      <c r="I122" s="1"/>
    </row>
    <row r="123" spans="1:16" x14ac:dyDescent="0.2">
      <c r="A123" s="1">
        <v>45351</v>
      </c>
      <c r="B123">
        <v>64.78</v>
      </c>
      <c r="C123" s="3">
        <v>2102.7333333333331</v>
      </c>
      <c r="I123" s="1"/>
    </row>
    <row r="124" spans="1:16" x14ac:dyDescent="0.2">
      <c r="A124" s="1">
        <v>45380</v>
      </c>
      <c r="B124">
        <v>78.31</v>
      </c>
      <c r="C124" s="3">
        <v>2245.2999999999997</v>
      </c>
      <c r="I124" s="1"/>
    </row>
    <row r="125" spans="1:16" x14ac:dyDescent="0.2">
      <c r="A125" s="1">
        <v>45412</v>
      </c>
      <c r="B125">
        <v>84.74</v>
      </c>
      <c r="C125" s="3">
        <v>2232.9</v>
      </c>
      <c r="I125" s="1"/>
    </row>
    <row r="126" spans="1:16" x14ac:dyDescent="0.2">
      <c r="A126" s="1">
        <v>45443</v>
      </c>
      <c r="B126">
        <v>96.21</v>
      </c>
      <c r="C126" s="3">
        <v>2246.8666666666668</v>
      </c>
      <c r="I126" s="1"/>
    </row>
    <row r="127" spans="1:16" x14ac:dyDescent="0.2">
      <c r="A127" s="1">
        <v>45471</v>
      </c>
      <c r="B127">
        <v>90.77</v>
      </c>
      <c r="C127" s="3">
        <v>2226.5333333333333</v>
      </c>
      <c r="I127" s="1"/>
    </row>
    <row r="128" spans="1:16" x14ac:dyDescent="0.2">
      <c r="A128" s="1">
        <v>45504</v>
      </c>
      <c r="B128">
        <v>93.2</v>
      </c>
      <c r="C128" s="3">
        <v>2200.7999999999997</v>
      </c>
      <c r="I128" s="1"/>
    </row>
    <row r="129" spans="1:9" x14ac:dyDescent="0.2">
      <c r="A129" s="1">
        <v>45534</v>
      </c>
      <c r="B129">
        <v>77</v>
      </c>
      <c r="C129" s="3">
        <v>2208.5</v>
      </c>
      <c r="I129" s="1"/>
    </row>
    <row r="130" spans="1:9" x14ac:dyDescent="0.2">
      <c r="A130" s="1">
        <v>45565</v>
      </c>
      <c r="B130">
        <v>96.76</v>
      </c>
      <c r="C130" s="3">
        <v>2254.7999999999997</v>
      </c>
      <c r="I130" s="1"/>
    </row>
    <row r="131" spans="1:9" x14ac:dyDescent="0.2">
      <c r="A131" s="1">
        <v>45596</v>
      </c>
      <c r="B131">
        <v>115.36</v>
      </c>
      <c r="C131" s="3">
        <v>2270.5333333333333</v>
      </c>
      <c r="I131" s="1"/>
    </row>
    <row r="132" spans="1:9" x14ac:dyDescent="0.2">
      <c r="A132" s="1">
        <v>45625</v>
      </c>
      <c r="B132">
        <v>101.99</v>
      </c>
      <c r="C132" s="3">
        <v>2180.2999999999997</v>
      </c>
      <c r="I132" s="1"/>
    </row>
    <row r="133" spans="1:9" x14ac:dyDescent="0.2">
      <c r="A133" s="1">
        <v>45657</v>
      </c>
      <c r="B133">
        <v>87.75</v>
      </c>
      <c r="C133" s="3">
        <v>2134.6666666666665</v>
      </c>
      <c r="I133" s="1"/>
    </row>
    <row r="134" spans="1:9" x14ac:dyDescent="0.2">
      <c r="A134" s="1"/>
      <c r="I134" s="1"/>
    </row>
    <row r="135" spans="1:9" x14ac:dyDescent="0.2">
      <c r="A135" s="1"/>
      <c r="I135" s="1"/>
    </row>
    <row r="136" spans="1:9" x14ac:dyDescent="0.2">
      <c r="A136" s="1"/>
      <c r="I136" s="1"/>
    </row>
    <row r="137" spans="1:9" x14ac:dyDescent="0.2">
      <c r="A137" s="1"/>
      <c r="I137" s="1"/>
    </row>
    <row r="138" spans="1:9" x14ac:dyDescent="0.2">
      <c r="A138" s="1"/>
      <c r="I138" s="1"/>
    </row>
    <row r="139" spans="1:9" x14ac:dyDescent="0.2">
      <c r="A139" s="1"/>
      <c r="I139" s="1"/>
    </row>
    <row r="140" spans="1:9" x14ac:dyDescent="0.2">
      <c r="A140" s="1"/>
      <c r="I140" s="1"/>
    </row>
    <row r="141" spans="1:9" x14ac:dyDescent="0.2">
      <c r="A141" s="1"/>
      <c r="I141" s="1"/>
    </row>
    <row r="142" spans="1:9" x14ac:dyDescent="0.2">
      <c r="A142" s="1"/>
      <c r="I142" s="1"/>
    </row>
    <row r="143" spans="1:9" x14ac:dyDescent="0.2">
      <c r="A143" s="1"/>
      <c r="I143" s="1"/>
    </row>
    <row r="144" spans="1:9" x14ac:dyDescent="0.2">
      <c r="A144" s="1"/>
      <c r="I144" s="1"/>
    </row>
    <row r="145" spans="1:9" x14ac:dyDescent="0.2">
      <c r="A145" s="1"/>
      <c r="I145" s="1"/>
    </row>
    <row r="146" spans="1:9" x14ac:dyDescent="0.2">
      <c r="A146" s="1"/>
      <c r="I146" s="1"/>
    </row>
    <row r="147" spans="1:9" x14ac:dyDescent="0.2">
      <c r="A147" s="1"/>
      <c r="I147" s="1"/>
    </row>
    <row r="148" spans="1:9" x14ac:dyDescent="0.2">
      <c r="A148" s="1"/>
      <c r="I148" s="1"/>
    </row>
    <row r="149" spans="1:9" x14ac:dyDescent="0.2">
      <c r="A149" s="1"/>
      <c r="I149" s="1"/>
    </row>
    <row r="150" spans="1:9" x14ac:dyDescent="0.2">
      <c r="A150" s="1"/>
      <c r="I150" s="1"/>
    </row>
    <row r="151" spans="1:9" x14ac:dyDescent="0.2">
      <c r="A151" s="1"/>
      <c r="I151" s="1"/>
    </row>
    <row r="152" spans="1:9" x14ac:dyDescent="0.2">
      <c r="A152" s="1"/>
      <c r="I152" s="1"/>
    </row>
    <row r="153" spans="1:9" x14ac:dyDescent="0.2">
      <c r="A153" s="1"/>
      <c r="I153" s="1"/>
    </row>
    <row r="154" spans="1:9" x14ac:dyDescent="0.2">
      <c r="A154" s="1"/>
      <c r="I154" s="1"/>
    </row>
    <row r="155" spans="1:9" x14ac:dyDescent="0.2">
      <c r="A155" s="1"/>
      <c r="I155" s="1"/>
    </row>
    <row r="156" spans="1:9" x14ac:dyDescent="0.2">
      <c r="A156" s="1"/>
      <c r="I156" s="1"/>
    </row>
    <row r="157" spans="1:9" x14ac:dyDescent="0.2">
      <c r="A157" s="1"/>
      <c r="I157" s="1"/>
    </row>
    <row r="158" spans="1:9" x14ac:dyDescent="0.2">
      <c r="A158" s="1"/>
      <c r="I158" s="1"/>
    </row>
    <row r="159" spans="1:9" x14ac:dyDescent="0.2">
      <c r="A159" s="1"/>
      <c r="I159" s="1"/>
    </row>
    <row r="160" spans="1:9" x14ac:dyDescent="0.2">
      <c r="A160" s="1"/>
      <c r="I160" s="1"/>
    </row>
    <row r="161" spans="1:9" x14ac:dyDescent="0.2">
      <c r="A161" s="1"/>
      <c r="I161" s="1"/>
    </row>
    <row r="162" spans="1:9" x14ac:dyDescent="0.2">
      <c r="A162" s="1"/>
      <c r="I162" s="1"/>
    </row>
    <row r="163" spans="1:9" x14ac:dyDescent="0.2">
      <c r="A163" s="1"/>
      <c r="I163" s="1"/>
    </row>
    <row r="164" spans="1:9" x14ac:dyDescent="0.2">
      <c r="A164" s="1"/>
      <c r="I164" s="1"/>
    </row>
    <row r="165" spans="1:9" x14ac:dyDescent="0.2">
      <c r="A165" s="1"/>
      <c r="I165" s="1"/>
    </row>
    <row r="166" spans="1:9" x14ac:dyDescent="0.2">
      <c r="A166" s="1"/>
      <c r="I166" s="1"/>
    </row>
    <row r="167" spans="1:9" x14ac:dyDescent="0.2">
      <c r="A167" s="1"/>
      <c r="I167" s="1"/>
    </row>
    <row r="168" spans="1:9" x14ac:dyDescent="0.2">
      <c r="A168" s="1"/>
      <c r="I168" s="1"/>
    </row>
    <row r="169" spans="1:9" x14ac:dyDescent="0.2">
      <c r="A169" s="1"/>
      <c r="I169" s="1"/>
    </row>
    <row r="170" spans="1:9" x14ac:dyDescent="0.2">
      <c r="A170" s="1"/>
      <c r="I170" s="1"/>
    </row>
    <row r="171" spans="1:9" x14ac:dyDescent="0.2">
      <c r="A171" s="1"/>
      <c r="I171" s="1"/>
    </row>
    <row r="172" spans="1:9" x14ac:dyDescent="0.2">
      <c r="A172" s="1"/>
      <c r="I172" s="1"/>
    </row>
    <row r="173" spans="1:9" x14ac:dyDescent="0.2">
      <c r="A173" s="1"/>
      <c r="I173" s="1"/>
    </row>
    <row r="174" spans="1:9" x14ac:dyDescent="0.2">
      <c r="A174" s="1"/>
      <c r="I174" s="1"/>
    </row>
    <row r="175" spans="1:9" x14ac:dyDescent="0.2">
      <c r="A175" s="1"/>
      <c r="I175" s="1"/>
    </row>
    <row r="176" spans="1:9" x14ac:dyDescent="0.2">
      <c r="A176" s="1"/>
      <c r="I176" s="1"/>
    </row>
    <row r="177" spans="1:9" x14ac:dyDescent="0.2">
      <c r="A177" s="1"/>
      <c r="I177" s="1"/>
    </row>
    <row r="178" spans="1:9" x14ac:dyDescent="0.2">
      <c r="A178" s="1"/>
      <c r="I178" s="1"/>
    </row>
    <row r="179" spans="1:9" x14ac:dyDescent="0.2">
      <c r="A179" s="1"/>
      <c r="I179" s="1"/>
    </row>
    <row r="180" spans="1:9" x14ac:dyDescent="0.2">
      <c r="A180" s="1"/>
      <c r="I180" s="1"/>
    </row>
    <row r="181" spans="1:9" x14ac:dyDescent="0.2">
      <c r="A181" s="1"/>
      <c r="I181" s="1"/>
    </row>
    <row r="182" spans="1:9" x14ac:dyDescent="0.2">
      <c r="A182" s="1"/>
      <c r="I182" s="1"/>
    </row>
    <row r="183" spans="1:9" x14ac:dyDescent="0.2">
      <c r="A183" s="1"/>
      <c r="I183" s="1"/>
    </row>
    <row r="184" spans="1:9" x14ac:dyDescent="0.2">
      <c r="A184" s="1"/>
      <c r="I184" s="1"/>
    </row>
    <row r="185" spans="1:9" x14ac:dyDescent="0.2">
      <c r="A185" s="1"/>
      <c r="I185" s="1"/>
    </row>
    <row r="186" spans="1:9" x14ac:dyDescent="0.2">
      <c r="A186" s="1"/>
      <c r="I186" s="1"/>
    </row>
    <row r="187" spans="1:9" x14ac:dyDescent="0.2">
      <c r="A187" s="1"/>
      <c r="I187" s="1"/>
    </row>
    <row r="188" spans="1:9" x14ac:dyDescent="0.2">
      <c r="A188" s="1"/>
      <c r="I188" s="1"/>
    </row>
    <row r="189" spans="1:9" x14ac:dyDescent="0.2">
      <c r="A189" s="1"/>
      <c r="I189" s="1"/>
    </row>
    <row r="190" spans="1:9" x14ac:dyDescent="0.2">
      <c r="A190" s="1"/>
      <c r="I190" s="1"/>
    </row>
    <row r="191" spans="1:9" x14ac:dyDescent="0.2">
      <c r="A191" s="1"/>
      <c r="I191" s="1"/>
    </row>
    <row r="192" spans="1:9" x14ac:dyDescent="0.2">
      <c r="A192" s="1"/>
      <c r="I192" s="1"/>
    </row>
    <row r="193" spans="1:9" x14ac:dyDescent="0.2">
      <c r="A193" s="1"/>
      <c r="I193" s="1"/>
    </row>
    <row r="194" spans="1:9" x14ac:dyDescent="0.2">
      <c r="A194" s="1"/>
      <c r="I194" s="1"/>
    </row>
    <row r="195" spans="1:9" x14ac:dyDescent="0.2">
      <c r="A195" s="1"/>
      <c r="I195" s="1"/>
    </row>
    <row r="196" spans="1:9" x14ac:dyDescent="0.2">
      <c r="A196" s="1"/>
      <c r="I196" s="1"/>
    </row>
    <row r="197" spans="1:9" x14ac:dyDescent="0.2">
      <c r="A197" s="1"/>
      <c r="I197" s="1"/>
    </row>
    <row r="198" spans="1:9" x14ac:dyDescent="0.2">
      <c r="A198" s="1"/>
      <c r="I198" s="1"/>
    </row>
    <row r="199" spans="1:9" x14ac:dyDescent="0.2">
      <c r="A199" s="1"/>
      <c r="I199" s="1"/>
    </row>
    <row r="200" spans="1:9" x14ac:dyDescent="0.2">
      <c r="A200" s="1"/>
      <c r="I200" s="1"/>
    </row>
    <row r="201" spans="1:9" x14ac:dyDescent="0.2">
      <c r="A201" s="1"/>
      <c r="I201" s="1"/>
    </row>
    <row r="202" spans="1:9" x14ac:dyDescent="0.2">
      <c r="A202" s="1"/>
      <c r="I202" s="1"/>
    </row>
    <row r="203" spans="1:9" x14ac:dyDescent="0.2">
      <c r="A203" s="1"/>
      <c r="I203" s="1"/>
    </row>
    <row r="204" spans="1:9" x14ac:dyDescent="0.2">
      <c r="A204" s="1"/>
      <c r="I204" s="1"/>
    </row>
    <row r="205" spans="1:9" x14ac:dyDescent="0.2">
      <c r="A205" s="1"/>
      <c r="I205" s="1"/>
    </row>
    <row r="206" spans="1:9" x14ac:dyDescent="0.2">
      <c r="A206" s="1"/>
      <c r="I206" s="1"/>
    </row>
    <row r="207" spans="1:9" x14ac:dyDescent="0.2">
      <c r="A207" s="1"/>
      <c r="I207" s="1"/>
    </row>
    <row r="208" spans="1:9" x14ac:dyDescent="0.2">
      <c r="A208" s="1"/>
      <c r="I208" s="1"/>
    </row>
    <row r="209" spans="1:9" x14ac:dyDescent="0.2">
      <c r="A209" s="1"/>
      <c r="I209" s="1"/>
    </row>
    <row r="210" spans="1:9" x14ac:dyDescent="0.2">
      <c r="A210" s="1"/>
      <c r="I210" s="1"/>
    </row>
    <row r="211" spans="1:9" x14ac:dyDescent="0.2">
      <c r="A211" s="1"/>
      <c r="I211" s="1"/>
    </row>
    <row r="212" spans="1:9" x14ac:dyDescent="0.2">
      <c r="A212" s="1"/>
      <c r="I212" s="1"/>
    </row>
    <row r="213" spans="1:9" x14ac:dyDescent="0.2">
      <c r="A213" s="1"/>
      <c r="I213" s="1"/>
    </row>
    <row r="214" spans="1:9" x14ac:dyDescent="0.2">
      <c r="A214" s="1"/>
      <c r="I214" s="1"/>
    </row>
    <row r="215" spans="1:9" x14ac:dyDescent="0.2">
      <c r="A215" s="1"/>
      <c r="I215" s="1"/>
    </row>
    <row r="216" spans="1:9" x14ac:dyDescent="0.2">
      <c r="A216" s="1"/>
      <c r="I216" s="1"/>
    </row>
    <row r="217" spans="1:9" x14ac:dyDescent="0.2">
      <c r="A217" s="1"/>
      <c r="I217" s="1"/>
    </row>
    <row r="218" spans="1:9" x14ac:dyDescent="0.2">
      <c r="A218" s="1"/>
      <c r="I218" s="1"/>
    </row>
    <row r="219" spans="1:9" x14ac:dyDescent="0.2">
      <c r="A219" s="1"/>
      <c r="I219" s="1"/>
    </row>
    <row r="220" spans="1:9" x14ac:dyDescent="0.2">
      <c r="A220" s="1"/>
      <c r="I220" s="1"/>
    </row>
    <row r="221" spans="1:9" x14ac:dyDescent="0.2">
      <c r="A221" s="1"/>
      <c r="I221" s="1"/>
    </row>
    <row r="222" spans="1:9" x14ac:dyDescent="0.2">
      <c r="A222" s="1"/>
      <c r="I222" s="1"/>
    </row>
    <row r="223" spans="1:9" x14ac:dyDescent="0.2">
      <c r="A223" s="1"/>
      <c r="I223" s="1"/>
    </row>
    <row r="224" spans="1:9" x14ac:dyDescent="0.2">
      <c r="A224" s="1"/>
      <c r="I224" s="1"/>
    </row>
    <row r="225" spans="1:9" x14ac:dyDescent="0.2">
      <c r="A225" s="1"/>
      <c r="I225" s="1"/>
    </row>
    <row r="226" spans="1:9" x14ac:dyDescent="0.2">
      <c r="A226" s="1"/>
      <c r="I226" s="1"/>
    </row>
    <row r="227" spans="1:9" x14ac:dyDescent="0.2">
      <c r="A227" s="1"/>
      <c r="I227" s="1"/>
    </row>
    <row r="228" spans="1:9" x14ac:dyDescent="0.2">
      <c r="A228" s="1"/>
      <c r="I228" s="1"/>
    </row>
    <row r="229" spans="1:9" x14ac:dyDescent="0.2">
      <c r="A229" s="1"/>
      <c r="I229" s="1"/>
    </row>
    <row r="230" spans="1:9" x14ac:dyDescent="0.2">
      <c r="A230" s="1"/>
      <c r="I230" s="1"/>
    </row>
    <row r="231" spans="1:9" x14ac:dyDescent="0.2">
      <c r="A231" s="1"/>
      <c r="I231" s="1"/>
    </row>
    <row r="232" spans="1:9" x14ac:dyDescent="0.2">
      <c r="A232" s="1"/>
      <c r="I232" s="1"/>
    </row>
    <row r="233" spans="1:9" x14ac:dyDescent="0.2">
      <c r="A233" s="1"/>
      <c r="I233" s="1"/>
    </row>
    <row r="234" spans="1:9" x14ac:dyDescent="0.2">
      <c r="A234" s="1"/>
      <c r="I234" s="1"/>
    </row>
    <row r="235" spans="1:9" x14ac:dyDescent="0.2">
      <c r="A235" s="1"/>
      <c r="I235" s="1"/>
    </row>
    <row r="236" spans="1:9" x14ac:dyDescent="0.2">
      <c r="A236" s="1"/>
      <c r="I236" s="1"/>
    </row>
    <row r="237" spans="1:9" x14ac:dyDescent="0.2">
      <c r="A237" s="1"/>
      <c r="I237" s="1"/>
    </row>
    <row r="238" spans="1:9" x14ac:dyDescent="0.2">
      <c r="A238" s="1"/>
      <c r="I238" s="1"/>
    </row>
    <row r="239" spans="1:9" x14ac:dyDescent="0.2">
      <c r="A239" s="1"/>
      <c r="I239" s="1"/>
    </row>
    <row r="240" spans="1:9" x14ac:dyDescent="0.2">
      <c r="A240" s="1"/>
      <c r="I240" s="1"/>
    </row>
    <row r="241" spans="1:9" x14ac:dyDescent="0.2">
      <c r="A241" s="1"/>
      <c r="I241" s="1"/>
    </row>
    <row r="242" spans="1:9" x14ac:dyDescent="0.2">
      <c r="A242" s="1"/>
      <c r="I242" s="1"/>
    </row>
    <row r="243" spans="1:9" x14ac:dyDescent="0.2">
      <c r="A243" s="1"/>
      <c r="I243" s="1"/>
    </row>
    <row r="244" spans="1:9" x14ac:dyDescent="0.2">
      <c r="A244" s="1"/>
      <c r="I244" s="1"/>
    </row>
    <row r="245" spans="1:9" x14ac:dyDescent="0.2">
      <c r="A245" s="1"/>
      <c r="I245" s="1"/>
    </row>
    <row r="246" spans="1:9" x14ac:dyDescent="0.2">
      <c r="A246" s="1"/>
      <c r="I246" s="1"/>
    </row>
    <row r="247" spans="1:9" x14ac:dyDescent="0.2">
      <c r="A247" s="1"/>
      <c r="I247" s="1"/>
    </row>
    <row r="248" spans="1:9" x14ac:dyDescent="0.2">
      <c r="A248" s="1"/>
      <c r="I248" s="1"/>
    </row>
    <row r="249" spans="1:9" x14ac:dyDescent="0.2">
      <c r="A249" s="1"/>
      <c r="I249" s="1"/>
    </row>
    <row r="250" spans="1:9" x14ac:dyDescent="0.2">
      <c r="A250" s="1"/>
      <c r="I250" s="1"/>
    </row>
    <row r="251" spans="1:9" x14ac:dyDescent="0.2">
      <c r="A251" s="1"/>
      <c r="I251" s="1"/>
    </row>
    <row r="252" spans="1:9" x14ac:dyDescent="0.2">
      <c r="A252" s="1"/>
      <c r="I252" s="1"/>
    </row>
    <row r="253" spans="1:9" x14ac:dyDescent="0.2">
      <c r="A253" s="1"/>
      <c r="I253" s="1"/>
    </row>
    <row r="254" spans="1:9" x14ac:dyDescent="0.2">
      <c r="A254" s="1"/>
      <c r="I254" s="1"/>
    </row>
    <row r="255" spans="1:9" x14ac:dyDescent="0.2">
      <c r="A255" s="1"/>
      <c r="I255" s="1"/>
    </row>
    <row r="256" spans="1:9" x14ac:dyDescent="0.2">
      <c r="A256" s="1"/>
      <c r="I256" s="1"/>
    </row>
    <row r="257" spans="1:9" x14ac:dyDescent="0.2">
      <c r="A257" s="1"/>
      <c r="I257" s="1"/>
    </row>
    <row r="258" spans="1:9" x14ac:dyDescent="0.2">
      <c r="A258" s="1"/>
      <c r="I258" s="1"/>
    </row>
    <row r="259" spans="1:9" x14ac:dyDescent="0.2">
      <c r="A259" s="1"/>
      <c r="I259" s="1"/>
    </row>
    <row r="260" spans="1:9" x14ac:dyDescent="0.2">
      <c r="A260" s="1"/>
      <c r="I260" s="1"/>
    </row>
    <row r="261" spans="1:9" x14ac:dyDescent="0.2">
      <c r="A261" s="1"/>
      <c r="I261" s="1"/>
    </row>
    <row r="262" spans="1:9" x14ac:dyDescent="0.2">
      <c r="A262" s="1"/>
      <c r="I262" s="1"/>
    </row>
    <row r="263" spans="1:9" x14ac:dyDescent="0.2">
      <c r="A263" s="1"/>
      <c r="I263" s="1"/>
    </row>
    <row r="264" spans="1:9" x14ac:dyDescent="0.2">
      <c r="A264" s="1"/>
      <c r="I264" s="1"/>
    </row>
    <row r="265" spans="1:9" x14ac:dyDescent="0.2">
      <c r="A265" s="1"/>
      <c r="I265" s="1"/>
    </row>
    <row r="266" spans="1:9" x14ac:dyDescent="0.2">
      <c r="A266" s="1"/>
      <c r="I266" s="1"/>
    </row>
    <row r="267" spans="1:9" x14ac:dyDescent="0.2">
      <c r="A267" s="1"/>
      <c r="I267" s="1"/>
    </row>
    <row r="268" spans="1:9" x14ac:dyDescent="0.2">
      <c r="A268" s="1"/>
      <c r="I268" s="1"/>
    </row>
    <row r="269" spans="1:9" x14ac:dyDescent="0.2">
      <c r="A269" s="1"/>
      <c r="I269" s="1"/>
    </row>
    <row r="270" spans="1:9" x14ac:dyDescent="0.2">
      <c r="A270" s="1"/>
      <c r="I270" s="1"/>
    </row>
    <row r="271" spans="1:9" x14ac:dyDescent="0.2">
      <c r="A271" s="1"/>
      <c r="I271" s="1"/>
    </row>
    <row r="272" spans="1:9" x14ac:dyDescent="0.2">
      <c r="A272" s="1"/>
      <c r="I272" s="1"/>
    </row>
    <row r="273" spans="1:9" x14ac:dyDescent="0.2">
      <c r="A273" s="1"/>
      <c r="I273" s="1"/>
    </row>
    <row r="274" spans="1:9" x14ac:dyDescent="0.2">
      <c r="A274" s="1"/>
      <c r="I274" s="1"/>
    </row>
    <row r="275" spans="1:9" x14ac:dyDescent="0.2">
      <c r="A275" s="1"/>
      <c r="I275" s="1"/>
    </row>
    <row r="276" spans="1:9" x14ac:dyDescent="0.2">
      <c r="A276" s="1"/>
      <c r="I276" s="1"/>
    </row>
    <row r="277" spans="1:9" x14ac:dyDescent="0.2">
      <c r="A277" s="1"/>
      <c r="I277" s="1"/>
    </row>
    <row r="278" spans="1:9" x14ac:dyDescent="0.2">
      <c r="A278" s="1"/>
      <c r="I278" s="1"/>
    </row>
    <row r="279" spans="1:9" x14ac:dyDescent="0.2">
      <c r="A279" s="1"/>
      <c r="I279" s="1"/>
    </row>
    <row r="280" spans="1:9" x14ac:dyDescent="0.2">
      <c r="A280" s="1"/>
      <c r="I280" s="1"/>
    </row>
    <row r="281" spans="1:9" x14ac:dyDescent="0.2">
      <c r="A281" s="1"/>
      <c r="I281" s="1"/>
    </row>
    <row r="282" spans="1:9" x14ac:dyDescent="0.2">
      <c r="A282" s="1"/>
      <c r="I282" s="1"/>
    </row>
    <row r="283" spans="1:9" x14ac:dyDescent="0.2">
      <c r="A283" s="1"/>
      <c r="I283" s="1"/>
    </row>
    <row r="284" spans="1:9" x14ac:dyDescent="0.2">
      <c r="A284" s="1"/>
      <c r="I284" s="1"/>
    </row>
    <row r="285" spans="1:9" x14ac:dyDescent="0.2">
      <c r="A285" s="1"/>
      <c r="I285" s="1"/>
    </row>
    <row r="286" spans="1:9" x14ac:dyDescent="0.2">
      <c r="A286" s="1"/>
      <c r="I286" s="1"/>
    </row>
    <row r="287" spans="1:9" x14ac:dyDescent="0.2">
      <c r="A287" s="1"/>
      <c r="I287" s="1"/>
    </row>
    <row r="288" spans="1:9" x14ac:dyDescent="0.2">
      <c r="A288" s="1"/>
      <c r="I288" s="1"/>
    </row>
    <row r="289" spans="1:9" x14ac:dyDescent="0.2">
      <c r="A289" s="1"/>
      <c r="I289" s="1"/>
    </row>
    <row r="290" spans="1:9" x14ac:dyDescent="0.2">
      <c r="A290" s="1"/>
      <c r="I290" s="1"/>
    </row>
    <row r="291" spans="1:9" x14ac:dyDescent="0.2">
      <c r="A291" s="1"/>
      <c r="I291" s="1"/>
    </row>
    <row r="292" spans="1:9" x14ac:dyDescent="0.2">
      <c r="A292" s="1"/>
      <c r="I292" s="1"/>
    </row>
    <row r="293" spans="1:9" x14ac:dyDescent="0.2">
      <c r="A293" s="1"/>
      <c r="I293" s="1"/>
    </row>
    <row r="294" spans="1:9" x14ac:dyDescent="0.2">
      <c r="A294" s="1"/>
      <c r="I294" s="1"/>
    </row>
    <row r="295" spans="1:9" x14ac:dyDescent="0.2">
      <c r="A295" s="1"/>
      <c r="I295" s="1"/>
    </row>
    <row r="296" spans="1:9" x14ac:dyDescent="0.2">
      <c r="A296" s="1"/>
      <c r="I296" s="1"/>
    </row>
    <row r="297" spans="1:9" x14ac:dyDescent="0.2">
      <c r="A297" s="1"/>
      <c r="I297" s="1"/>
    </row>
    <row r="298" spans="1:9" x14ac:dyDescent="0.2">
      <c r="A298" s="1"/>
      <c r="I298" s="1"/>
    </row>
    <row r="299" spans="1:9" x14ac:dyDescent="0.2">
      <c r="A299" s="1"/>
      <c r="I299" s="1"/>
    </row>
    <row r="300" spans="1:9" x14ac:dyDescent="0.2">
      <c r="A300" s="1"/>
      <c r="I300" s="1"/>
    </row>
    <row r="301" spans="1:9" x14ac:dyDescent="0.2">
      <c r="A301" s="1"/>
      <c r="I301" s="1"/>
    </row>
    <row r="302" spans="1:9" x14ac:dyDescent="0.2">
      <c r="A302" s="1"/>
      <c r="I302" s="1"/>
    </row>
    <row r="303" spans="1:9" x14ac:dyDescent="0.2">
      <c r="A303" s="1"/>
      <c r="I303" s="1"/>
    </row>
    <row r="304" spans="1:9" x14ac:dyDescent="0.2">
      <c r="A304" s="1"/>
      <c r="I304" s="1"/>
    </row>
    <row r="305" spans="1:9" x14ac:dyDescent="0.2">
      <c r="A305" s="1"/>
      <c r="I305" s="1"/>
    </row>
    <row r="306" spans="1:9" x14ac:dyDescent="0.2">
      <c r="A306" s="1"/>
      <c r="I306" s="1"/>
    </row>
    <row r="307" spans="1:9" x14ac:dyDescent="0.2">
      <c r="A307" s="1"/>
      <c r="I307" s="1"/>
    </row>
    <row r="308" spans="1:9" x14ac:dyDescent="0.2">
      <c r="A308" s="1"/>
      <c r="I308" s="1"/>
    </row>
    <row r="309" spans="1:9" x14ac:dyDescent="0.2">
      <c r="A309" s="1"/>
      <c r="I309" s="1"/>
    </row>
    <row r="310" spans="1:9" x14ac:dyDescent="0.2">
      <c r="A310" s="1"/>
      <c r="I310" s="1"/>
    </row>
    <row r="311" spans="1:9" x14ac:dyDescent="0.2">
      <c r="A311" s="1"/>
      <c r="I311" s="1"/>
    </row>
    <row r="312" spans="1:9" x14ac:dyDescent="0.2">
      <c r="A312" s="1"/>
      <c r="I312" s="1"/>
    </row>
    <row r="313" spans="1:9" x14ac:dyDescent="0.2">
      <c r="A313" s="1"/>
      <c r="I313" s="1"/>
    </row>
    <row r="314" spans="1:9" x14ac:dyDescent="0.2">
      <c r="A314" s="1"/>
      <c r="I314" s="1"/>
    </row>
    <row r="315" spans="1:9" x14ac:dyDescent="0.2">
      <c r="A315" s="1"/>
      <c r="I315" s="1"/>
    </row>
    <row r="316" spans="1:9" x14ac:dyDescent="0.2">
      <c r="A316" s="1"/>
      <c r="I316" s="1"/>
    </row>
    <row r="317" spans="1:9" x14ac:dyDescent="0.2">
      <c r="A317" s="1"/>
      <c r="I317" s="1"/>
    </row>
    <row r="318" spans="1:9" x14ac:dyDescent="0.2">
      <c r="A318" s="1"/>
      <c r="I318" s="1"/>
    </row>
    <row r="319" spans="1:9" x14ac:dyDescent="0.2">
      <c r="A319" s="1"/>
      <c r="I319" s="1"/>
    </row>
    <row r="320" spans="1:9" x14ac:dyDescent="0.2">
      <c r="A320" s="1"/>
      <c r="I320" s="1"/>
    </row>
    <row r="321" spans="1:9" x14ac:dyDescent="0.2">
      <c r="A321" s="1"/>
      <c r="I321" s="1"/>
    </row>
    <row r="322" spans="1:9" x14ac:dyDescent="0.2">
      <c r="A322" s="1"/>
      <c r="I322" s="1"/>
    </row>
    <row r="323" spans="1:9" x14ac:dyDescent="0.2">
      <c r="A323" s="1"/>
      <c r="I323" s="1"/>
    </row>
    <row r="324" spans="1:9" x14ac:dyDescent="0.2">
      <c r="A324" s="1"/>
      <c r="I324" s="1"/>
    </row>
    <row r="325" spans="1:9" x14ac:dyDescent="0.2">
      <c r="A325" s="1"/>
      <c r="I325" s="1"/>
    </row>
    <row r="326" spans="1:9" x14ac:dyDescent="0.2">
      <c r="A326" s="1"/>
      <c r="I326" s="1"/>
    </row>
    <row r="327" spans="1:9" x14ac:dyDescent="0.2">
      <c r="A327" s="1"/>
      <c r="I327" s="1"/>
    </row>
    <row r="328" spans="1:9" x14ac:dyDescent="0.2">
      <c r="A328" s="1"/>
      <c r="I328" s="1"/>
    </row>
    <row r="329" spans="1:9" x14ac:dyDescent="0.2">
      <c r="A329" s="1"/>
      <c r="I329" s="1"/>
    </row>
    <row r="330" spans="1:9" x14ac:dyDescent="0.2">
      <c r="A330" s="1"/>
      <c r="I330" s="1"/>
    </row>
    <row r="331" spans="1:9" x14ac:dyDescent="0.2">
      <c r="A331" s="1"/>
      <c r="I331" s="1"/>
    </row>
    <row r="332" spans="1:9" x14ac:dyDescent="0.2">
      <c r="A332" s="1"/>
      <c r="I332" s="1"/>
    </row>
    <row r="333" spans="1:9" x14ac:dyDescent="0.2">
      <c r="A333" s="1"/>
      <c r="I333" s="1"/>
    </row>
    <row r="334" spans="1:9" x14ac:dyDescent="0.2">
      <c r="A334" s="1"/>
      <c r="I334" s="1"/>
    </row>
    <row r="335" spans="1:9" x14ac:dyDescent="0.2">
      <c r="A335" s="1"/>
      <c r="I335" s="1"/>
    </row>
    <row r="336" spans="1:9" x14ac:dyDescent="0.2">
      <c r="A336" s="1"/>
      <c r="I336" s="1"/>
    </row>
    <row r="337" spans="1:9" x14ac:dyDescent="0.2">
      <c r="A337" s="1"/>
      <c r="I337" s="1"/>
    </row>
    <row r="338" spans="1:9" x14ac:dyDescent="0.2">
      <c r="A338" s="1"/>
      <c r="I338" s="1"/>
    </row>
    <row r="339" spans="1:9" x14ac:dyDescent="0.2">
      <c r="A339" s="1"/>
      <c r="I339" s="1"/>
    </row>
    <row r="340" spans="1:9" x14ac:dyDescent="0.2">
      <c r="A340" s="1"/>
      <c r="I340" s="1"/>
    </row>
    <row r="341" spans="1:9" x14ac:dyDescent="0.2">
      <c r="A341" s="1"/>
      <c r="I341" s="1"/>
    </row>
    <row r="342" spans="1:9" x14ac:dyDescent="0.2">
      <c r="A342" s="1"/>
      <c r="I342" s="1"/>
    </row>
    <row r="343" spans="1:9" x14ac:dyDescent="0.2">
      <c r="A343" s="1"/>
      <c r="I343" s="1"/>
    </row>
    <row r="344" spans="1:9" x14ac:dyDescent="0.2">
      <c r="A344" s="1"/>
      <c r="I344" s="1"/>
    </row>
    <row r="345" spans="1:9" x14ac:dyDescent="0.2">
      <c r="A345" s="1"/>
      <c r="I345" s="1"/>
    </row>
    <row r="346" spans="1:9" x14ac:dyDescent="0.2">
      <c r="A346" s="1"/>
      <c r="I346" s="1"/>
    </row>
    <row r="347" spans="1:9" x14ac:dyDescent="0.2">
      <c r="A347" s="1"/>
      <c r="I347" s="1"/>
    </row>
    <row r="348" spans="1:9" x14ac:dyDescent="0.2">
      <c r="A348" s="1"/>
      <c r="I348" s="1"/>
    </row>
    <row r="349" spans="1:9" x14ac:dyDescent="0.2">
      <c r="A349" s="1"/>
      <c r="I349" s="1"/>
    </row>
    <row r="350" spans="1:9" x14ac:dyDescent="0.2">
      <c r="A350" s="1"/>
      <c r="I350" s="1"/>
    </row>
    <row r="351" spans="1:9" x14ac:dyDescent="0.2">
      <c r="A351" s="1"/>
      <c r="I351" s="1"/>
    </row>
    <row r="352" spans="1:9" x14ac:dyDescent="0.2">
      <c r="A352" s="1"/>
      <c r="I352" s="1"/>
    </row>
    <row r="353" spans="1:9" x14ac:dyDescent="0.2">
      <c r="A353" s="1"/>
      <c r="I353" s="1"/>
    </row>
    <row r="354" spans="1:9" x14ac:dyDescent="0.2">
      <c r="A354" s="1"/>
      <c r="I354" s="1"/>
    </row>
    <row r="355" spans="1:9" x14ac:dyDescent="0.2">
      <c r="A355" s="1"/>
      <c r="I355" s="1"/>
    </row>
    <row r="356" spans="1:9" x14ac:dyDescent="0.2">
      <c r="A356" s="1"/>
      <c r="I356" s="1"/>
    </row>
    <row r="357" spans="1:9" x14ac:dyDescent="0.2">
      <c r="A357" s="1"/>
      <c r="I357" s="1"/>
    </row>
    <row r="358" spans="1:9" x14ac:dyDescent="0.2">
      <c r="A358" s="1"/>
      <c r="I358" s="1"/>
    </row>
    <row r="359" spans="1:9" x14ac:dyDescent="0.2">
      <c r="A359" s="1"/>
      <c r="I359" s="1"/>
    </row>
    <row r="360" spans="1:9" x14ac:dyDescent="0.2">
      <c r="A360" s="1"/>
      <c r="I360" s="1"/>
    </row>
    <row r="361" spans="1:9" x14ac:dyDescent="0.2">
      <c r="A361" s="1"/>
      <c r="I361" s="1"/>
    </row>
    <row r="362" spans="1:9" x14ac:dyDescent="0.2">
      <c r="A362" s="1"/>
      <c r="I362" s="1"/>
    </row>
    <row r="363" spans="1:9" x14ac:dyDescent="0.2">
      <c r="A363" s="1"/>
      <c r="I363" s="1"/>
    </row>
    <row r="364" spans="1:9" x14ac:dyDescent="0.2">
      <c r="A364" s="1"/>
      <c r="I364" s="1"/>
    </row>
    <row r="365" spans="1:9" x14ac:dyDescent="0.2">
      <c r="A365" s="1"/>
      <c r="I365" s="1"/>
    </row>
    <row r="366" spans="1:9" x14ac:dyDescent="0.2">
      <c r="A366" s="1"/>
      <c r="I366" s="1"/>
    </row>
    <row r="367" spans="1:9" x14ac:dyDescent="0.2">
      <c r="A367" s="1"/>
      <c r="I367" s="1"/>
    </row>
    <row r="368" spans="1:9" x14ac:dyDescent="0.2">
      <c r="A368" s="1"/>
      <c r="I368" s="1"/>
    </row>
    <row r="369" spans="1:9" x14ac:dyDescent="0.2">
      <c r="A369" s="1"/>
      <c r="I369" s="1"/>
    </row>
    <row r="370" spans="1:9" x14ac:dyDescent="0.2">
      <c r="A370" s="1"/>
      <c r="I370" s="1"/>
    </row>
    <row r="371" spans="1:9" x14ac:dyDescent="0.2">
      <c r="A371" s="1"/>
      <c r="I371" s="1"/>
    </row>
    <row r="372" spans="1:9" x14ac:dyDescent="0.2">
      <c r="A372" s="1"/>
      <c r="I372" s="1"/>
    </row>
    <row r="373" spans="1:9" x14ac:dyDescent="0.2">
      <c r="A373" s="1"/>
      <c r="I373" s="1"/>
    </row>
    <row r="374" spans="1:9" x14ac:dyDescent="0.2">
      <c r="A374" s="1"/>
      <c r="I374" s="1"/>
    </row>
    <row r="375" spans="1:9" x14ac:dyDescent="0.2">
      <c r="A375" s="1"/>
      <c r="I375" s="1"/>
    </row>
    <row r="376" spans="1:9" x14ac:dyDescent="0.2">
      <c r="A376" s="1"/>
      <c r="I376" s="1"/>
    </row>
    <row r="377" spans="1:9" x14ac:dyDescent="0.2">
      <c r="A377" s="1"/>
      <c r="I377" s="1"/>
    </row>
    <row r="378" spans="1:9" x14ac:dyDescent="0.2">
      <c r="A378" s="1"/>
      <c r="I378" s="1"/>
    </row>
    <row r="379" spans="1:9" x14ac:dyDescent="0.2">
      <c r="A379" s="1"/>
      <c r="I379" s="1"/>
    </row>
    <row r="380" spans="1:9" x14ac:dyDescent="0.2">
      <c r="A380" s="1"/>
      <c r="I380" s="1"/>
    </row>
    <row r="381" spans="1:9" x14ac:dyDescent="0.2">
      <c r="A381" s="1"/>
      <c r="I381" s="1"/>
    </row>
    <row r="382" spans="1:9" x14ac:dyDescent="0.2">
      <c r="A382" s="1"/>
      <c r="I382" s="1"/>
    </row>
    <row r="383" spans="1:9" x14ac:dyDescent="0.2">
      <c r="A383" s="1"/>
      <c r="I383" s="1"/>
    </row>
    <row r="384" spans="1:9" x14ac:dyDescent="0.2">
      <c r="A384" s="1"/>
      <c r="I384" s="1"/>
    </row>
    <row r="385" spans="1:9" x14ac:dyDescent="0.2">
      <c r="A385" s="1"/>
      <c r="I385" s="1"/>
    </row>
    <row r="386" spans="1:9" x14ac:dyDescent="0.2">
      <c r="A386" s="1"/>
      <c r="I386" s="1"/>
    </row>
    <row r="387" spans="1:9" x14ac:dyDescent="0.2">
      <c r="A387" s="1"/>
      <c r="I387" s="1"/>
    </row>
    <row r="388" spans="1:9" x14ac:dyDescent="0.2">
      <c r="A388" s="1"/>
      <c r="I388" s="1"/>
    </row>
    <row r="389" spans="1:9" x14ac:dyDescent="0.2">
      <c r="A389" s="1"/>
      <c r="I389" s="1"/>
    </row>
    <row r="390" spans="1:9" x14ac:dyDescent="0.2">
      <c r="A390" s="1"/>
      <c r="I390" s="1"/>
    </row>
    <row r="391" spans="1:9" x14ac:dyDescent="0.2">
      <c r="A391" s="1"/>
      <c r="I391" s="1"/>
    </row>
    <row r="392" spans="1:9" x14ac:dyDescent="0.2">
      <c r="A392" s="1"/>
      <c r="I392" s="1"/>
    </row>
    <row r="393" spans="1:9" x14ac:dyDescent="0.2">
      <c r="A393" s="1"/>
      <c r="I393" s="1"/>
    </row>
    <row r="394" spans="1:9" x14ac:dyDescent="0.2">
      <c r="A394" s="1"/>
      <c r="I394" s="1"/>
    </row>
    <row r="395" spans="1:9" x14ac:dyDescent="0.2">
      <c r="A395" s="1"/>
      <c r="I395" s="1"/>
    </row>
    <row r="396" spans="1:9" x14ac:dyDescent="0.2">
      <c r="A396" s="1"/>
      <c r="I396" s="1"/>
    </row>
    <row r="397" spans="1:9" x14ac:dyDescent="0.2">
      <c r="A397" s="1"/>
      <c r="I397" s="1"/>
    </row>
    <row r="398" spans="1:9" x14ac:dyDescent="0.2">
      <c r="A398" s="1"/>
      <c r="I398" s="1"/>
    </row>
    <row r="399" spans="1:9" x14ac:dyDescent="0.2">
      <c r="A399" s="1"/>
      <c r="I399" s="1"/>
    </row>
    <row r="400" spans="1:9" x14ac:dyDescent="0.2">
      <c r="A400" s="1"/>
      <c r="I400" s="1"/>
    </row>
    <row r="401" spans="1:9" x14ac:dyDescent="0.2">
      <c r="A401" s="1"/>
      <c r="I401" s="1"/>
    </row>
    <row r="402" spans="1:9" x14ac:dyDescent="0.2">
      <c r="A402" s="1"/>
      <c r="I402" s="1"/>
    </row>
    <row r="403" spans="1:9" x14ac:dyDescent="0.2">
      <c r="A403" s="1"/>
      <c r="I403" s="1"/>
    </row>
    <row r="404" spans="1:9" x14ac:dyDescent="0.2">
      <c r="A404" s="1"/>
      <c r="I404" s="1"/>
    </row>
    <row r="405" spans="1:9" x14ac:dyDescent="0.2">
      <c r="A405" s="1"/>
      <c r="I405" s="1"/>
    </row>
    <row r="406" spans="1:9" x14ac:dyDescent="0.2">
      <c r="A406" s="1"/>
      <c r="I406" s="1"/>
    </row>
    <row r="407" spans="1:9" x14ac:dyDescent="0.2">
      <c r="A407" s="1"/>
      <c r="I407" s="1"/>
    </row>
    <row r="408" spans="1:9" x14ac:dyDescent="0.2">
      <c r="A408" s="1"/>
      <c r="I408" s="1"/>
    </row>
    <row r="409" spans="1:9" x14ac:dyDescent="0.2">
      <c r="A409" s="1"/>
      <c r="I409" s="1"/>
    </row>
    <row r="410" spans="1:9" x14ac:dyDescent="0.2">
      <c r="A410" s="1"/>
      <c r="I410" s="1"/>
    </row>
    <row r="411" spans="1:9" x14ac:dyDescent="0.2">
      <c r="A411" s="1"/>
      <c r="I411" s="1"/>
    </row>
    <row r="412" spans="1:9" x14ac:dyDescent="0.2">
      <c r="A412" s="1"/>
      <c r="I412" s="1"/>
    </row>
    <row r="413" spans="1:9" x14ac:dyDescent="0.2">
      <c r="A413" s="1"/>
      <c r="I413" s="1"/>
    </row>
    <row r="414" spans="1:9" x14ac:dyDescent="0.2">
      <c r="A414" s="1"/>
      <c r="I414" s="1"/>
    </row>
    <row r="415" spans="1:9" x14ac:dyDescent="0.2">
      <c r="A415" s="1"/>
      <c r="I415" s="1"/>
    </row>
    <row r="416" spans="1:9" x14ac:dyDescent="0.2">
      <c r="A416" s="1"/>
      <c r="I416" s="1"/>
    </row>
    <row r="417" spans="1:9" x14ac:dyDescent="0.2">
      <c r="A417" s="1"/>
      <c r="I417" s="1"/>
    </row>
    <row r="418" spans="1:9" x14ac:dyDescent="0.2">
      <c r="A418" s="1"/>
      <c r="I418" s="1"/>
    </row>
    <row r="419" spans="1:9" x14ac:dyDescent="0.2">
      <c r="A419" s="1"/>
      <c r="I419" s="1"/>
    </row>
    <row r="420" spans="1:9" x14ac:dyDescent="0.2">
      <c r="A420" s="1"/>
      <c r="I420" s="1"/>
    </row>
    <row r="421" spans="1:9" x14ac:dyDescent="0.2">
      <c r="A421" s="1"/>
      <c r="I421" s="1"/>
    </row>
    <row r="422" spans="1:9" x14ac:dyDescent="0.2">
      <c r="A422" s="1"/>
      <c r="I422" s="1"/>
    </row>
    <row r="423" spans="1:9" x14ac:dyDescent="0.2">
      <c r="A423" s="1"/>
      <c r="I423" s="1"/>
    </row>
    <row r="424" spans="1:9" x14ac:dyDescent="0.2">
      <c r="A424" s="1"/>
      <c r="I424" s="1"/>
    </row>
    <row r="425" spans="1:9" x14ac:dyDescent="0.2">
      <c r="A425" s="1"/>
      <c r="I425" s="1"/>
    </row>
    <row r="426" spans="1:9" x14ac:dyDescent="0.2">
      <c r="A426" s="1"/>
      <c r="I426" s="1"/>
    </row>
    <row r="427" spans="1:9" x14ac:dyDescent="0.2">
      <c r="A427" s="1"/>
      <c r="I427" s="1"/>
    </row>
    <row r="428" spans="1:9" x14ac:dyDescent="0.2">
      <c r="A428" s="1"/>
      <c r="I428" s="1"/>
    </row>
    <row r="429" spans="1:9" x14ac:dyDescent="0.2">
      <c r="A429" s="1"/>
      <c r="I429" s="1"/>
    </row>
    <row r="430" spans="1:9" x14ac:dyDescent="0.2">
      <c r="A430" s="1"/>
      <c r="I430" s="1"/>
    </row>
    <row r="431" spans="1:9" x14ac:dyDescent="0.2">
      <c r="A431" s="1"/>
      <c r="I431" s="1"/>
    </row>
    <row r="432" spans="1:9" x14ac:dyDescent="0.2">
      <c r="A432" s="1"/>
      <c r="I432" s="1"/>
    </row>
    <row r="433" spans="1:9" x14ac:dyDescent="0.2">
      <c r="A433" s="1"/>
      <c r="I433" s="1"/>
    </row>
    <row r="434" spans="1:9" x14ac:dyDescent="0.2">
      <c r="A434" s="1"/>
      <c r="I434" s="1"/>
    </row>
    <row r="435" spans="1:9" x14ac:dyDescent="0.2">
      <c r="A435" s="1"/>
      <c r="I435" s="1"/>
    </row>
    <row r="436" spans="1:9" x14ac:dyDescent="0.2">
      <c r="A436" s="1"/>
      <c r="I436" s="1"/>
    </row>
    <row r="437" spans="1:9" x14ac:dyDescent="0.2">
      <c r="A437" s="1"/>
      <c r="I437" s="1"/>
    </row>
    <row r="438" spans="1:9" x14ac:dyDescent="0.2">
      <c r="A438" s="1"/>
      <c r="I438" s="1"/>
    </row>
    <row r="439" spans="1:9" x14ac:dyDescent="0.2">
      <c r="A439" s="1"/>
      <c r="I439" s="1"/>
    </row>
    <row r="440" spans="1:9" x14ac:dyDescent="0.2">
      <c r="A440" s="1"/>
      <c r="I440" s="1"/>
    </row>
    <row r="441" spans="1:9" x14ac:dyDescent="0.2">
      <c r="A441" s="1"/>
      <c r="I441" s="1"/>
    </row>
    <row r="442" spans="1:9" x14ac:dyDescent="0.2">
      <c r="A442" s="1"/>
      <c r="I442" s="1"/>
    </row>
    <row r="443" spans="1:9" x14ac:dyDescent="0.2">
      <c r="A443" s="1"/>
      <c r="I443" s="1"/>
    </row>
    <row r="444" spans="1:9" x14ac:dyDescent="0.2">
      <c r="A444" s="1"/>
      <c r="I444" s="1"/>
    </row>
    <row r="445" spans="1:9" x14ac:dyDescent="0.2">
      <c r="A445" s="1"/>
      <c r="I445" s="1"/>
    </row>
    <row r="446" spans="1:9" x14ac:dyDescent="0.2">
      <c r="A446" s="1"/>
      <c r="I446" s="1"/>
    </row>
    <row r="447" spans="1:9" x14ac:dyDescent="0.2">
      <c r="A447" s="1"/>
      <c r="I447" s="1"/>
    </row>
    <row r="448" spans="1:9" x14ac:dyDescent="0.2">
      <c r="A448" s="1"/>
      <c r="I448" s="1"/>
    </row>
    <row r="449" spans="1:9" x14ac:dyDescent="0.2">
      <c r="A449" s="1"/>
      <c r="I449" s="1"/>
    </row>
    <row r="450" spans="1:9" x14ac:dyDescent="0.2">
      <c r="A450" s="1"/>
      <c r="I450" s="1"/>
    </row>
    <row r="451" spans="1:9" x14ac:dyDescent="0.2">
      <c r="A451" s="1"/>
      <c r="I451" s="1"/>
    </row>
    <row r="452" spans="1:9" x14ac:dyDescent="0.2">
      <c r="A452" s="1"/>
      <c r="I452" s="1"/>
    </row>
    <row r="453" spans="1:9" x14ac:dyDescent="0.2">
      <c r="A453" s="1"/>
      <c r="I453" s="1"/>
    </row>
    <row r="454" spans="1:9" x14ac:dyDescent="0.2">
      <c r="A454" s="1"/>
      <c r="I454" s="1"/>
    </row>
    <row r="455" spans="1:9" x14ac:dyDescent="0.2">
      <c r="A455" s="1"/>
      <c r="I455" s="1"/>
    </row>
    <row r="456" spans="1:9" x14ac:dyDescent="0.2">
      <c r="A456" s="1"/>
      <c r="I456" s="1"/>
    </row>
    <row r="457" spans="1:9" x14ac:dyDescent="0.2">
      <c r="A457" s="1"/>
      <c r="I457" s="1"/>
    </row>
    <row r="458" spans="1:9" x14ac:dyDescent="0.2">
      <c r="A458" s="1"/>
      <c r="I458" s="1"/>
    </row>
    <row r="459" spans="1:9" x14ac:dyDescent="0.2">
      <c r="A459" s="1"/>
      <c r="I459" s="1"/>
    </row>
    <row r="460" spans="1:9" x14ac:dyDescent="0.2">
      <c r="A460" s="1"/>
      <c r="I460" s="1"/>
    </row>
    <row r="461" spans="1:9" x14ac:dyDescent="0.2">
      <c r="A461" s="1"/>
      <c r="I461" s="1"/>
    </row>
    <row r="462" spans="1:9" x14ac:dyDescent="0.2">
      <c r="A462" s="1"/>
      <c r="I462" s="1"/>
    </row>
    <row r="463" spans="1:9" x14ac:dyDescent="0.2">
      <c r="A463" s="1"/>
      <c r="I463" s="1"/>
    </row>
    <row r="464" spans="1:9" x14ac:dyDescent="0.2">
      <c r="A464" s="1"/>
      <c r="I464" s="1"/>
    </row>
    <row r="465" spans="1:9" x14ac:dyDescent="0.2">
      <c r="A465" s="1"/>
      <c r="I465" s="1"/>
    </row>
    <row r="466" spans="1:9" x14ac:dyDescent="0.2">
      <c r="A466" s="1"/>
      <c r="I466" s="1"/>
    </row>
    <row r="467" spans="1:9" x14ac:dyDescent="0.2">
      <c r="A467" s="1"/>
      <c r="I467" s="1"/>
    </row>
    <row r="468" spans="1:9" x14ac:dyDescent="0.2">
      <c r="A468" s="1"/>
      <c r="I468" s="1"/>
    </row>
    <row r="469" spans="1:9" x14ac:dyDescent="0.2">
      <c r="A469" s="1"/>
      <c r="I469" s="1"/>
    </row>
    <row r="470" spans="1:9" x14ac:dyDescent="0.2">
      <c r="A470" s="1"/>
      <c r="I470" s="1"/>
    </row>
    <row r="471" spans="1:9" x14ac:dyDescent="0.2">
      <c r="A471" s="1"/>
      <c r="I471" s="1"/>
    </row>
    <row r="472" spans="1:9" x14ac:dyDescent="0.2">
      <c r="A472" s="1"/>
      <c r="I472" s="1"/>
    </row>
    <row r="473" spans="1:9" x14ac:dyDescent="0.2">
      <c r="A473" s="1"/>
      <c r="I473" s="1"/>
    </row>
    <row r="474" spans="1:9" x14ac:dyDescent="0.2">
      <c r="A474" s="1"/>
      <c r="I474" s="1"/>
    </row>
    <row r="475" spans="1:9" x14ac:dyDescent="0.2">
      <c r="A475" s="1"/>
      <c r="I475" s="1"/>
    </row>
    <row r="476" spans="1:9" x14ac:dyDescent="0.2">
      <c r="A476" s="1"/>
      <c r="I476" s="1"/>
    </row>
    <row r="477" spans="1:9" x14ac:dyDescent="0.2">
      <c r="A477" s="1"/>
      <c r="I477" s="1"/>
    </row>
    <row r="478" spans="1:9" x14ac:dyDescent="0.2">
      <c r="A478" s="1"/>
      <c r="I478" s="1"/>
    </row>
    <row r="479" spans="1:9" x14ac:dyDescent="0.2">
      <c r="A479" s="1"/>
      <c r="I479" s="1"/>
    </row>
    <row r="480" spans="1:9" x14ac:dyDescent="0.2">
      <c r="A480" s="1"/>
      <c r="I480" s="1"/>
    </row>
    <row r="481" spans="1:9" x14ac:dyDescent="0.2">
      <c r="A481" s="1"/>
      <c r="I481" s="1"/>
    </row>
    <row r="482" spans="1:9" x14ac:dyDescent="0.2">
      <c r="A482" s="1"/>
      <c r="I482" s="1"/>
    </row>
    <row r="483" spans="1:9" x14ac:dyDescent="0.2">
      <c r="A483" s="1"/>
      <c r="I483" s="1"/>
    </row>
    <row r="484" spans="1:9" x14ac:dyDescent="0.2">
      <c r="A484" s="1"/>
      <c r="I484" s="1"/>
    </row>
    <row r="485" spans="1:9" x14ac:dyDescent="0.2">
      <c r="A485" s="1"/>
      <c r="I485" s="1"/>
    </row>
    <row r="486" spans="1:9" x14ac:dyDescent="0.2">
      <c r="A486" s="1"/>
      <c r="I486" s="1"/>
    </row>
    <row r="487" spans="1:9" x14ac:dyDescent="0.2">
      <c r="A487" s="1"/>
      <c r="I487" s="1"/>
    </row>
    <row r="488" spans="1:9" x14ac:dyDescent="0.2">
      <c r="A488" s="1"/>
      <c r="I488" s="1"/>
    </row>
    <row r="489" spans="1:9" x14ac:dyDescent="0.2">
      <c r="A489" s="1"/>
      <c r="I489" s="1"/>
    </row>
    <row r="490" spans="1:9" x14ac:dyDescent="0.2">
      <c r="A490" s="1"/>
      <c r="I490" s="1"/>
    </row>
    <row r="491" spans="1:9" x14ac:dyDescent="0.2">
      <c r="A491" s="1"/>
      <c r="I491" s="1"/>
    </row>
    <row r="492" spans="1:9" x14ac:dyDescent="0.2">
      <c r="A492" s="1"/>
      <c r="I492" s="1"/>
    </row>
    <row r="493" spans="1:9" x14ac:dyDescent="0.2">
      <c r="A493" s="1"/>
      <c r="I493" s="1"/>
    </row>
    <row r="494" spans="1:9" x14ac:dyDescent="0.2">
      <c r="A494" s="1"/>
      <c r="I494" s="1"/>
    </row>
    <row r="495" spans="1:9" x14ac:dyDescent="0.2">
      <c r="A495" s="1"/>
      <c r="I495" s="1"/>
    </row>
    <row r="496" spans="1:9" x14ac:dyDescent="0.2">
      <c r="A496" s="1"/>
      <c r="I496" s="1"/>
    </row>
    <row r="497" spans="1:9" x14ac:dyDescent="0.2">
      <c r="A497" s="1"/>
      <c r="I497" s="1"/>
    </row>
    <row r="498" spans="1:9" x14ac:dyDescent="0.2">
      <c r="A498" s="1"/>
      <c r="I498" s="1"/>
    </row>
    <row r="499" spans="1:9" x14ac:dyDescent="0.2">
      <c r="A499" s="1"/>
      <c r="I499" s="1"/>
    </row>
    <row r="500" spans="1:9" x14ac:dyDescent="0.2">
      <c r="A500" s="1"/>
      <c r="I500" s="1"/>
    </row>
    <row r="501" spans="1:9" x14ac:dyDescent="0.2">
      <c r="A501" s="1"/>
      <c r="I501" s="1"/>
    </row>
    <row r="502" spans="1:9" x14ac:dyDescent="0.2">
      <c r="A502" s="1"/>
      <c r="I502" s="1"/>
    </row>
    <row r="503" spans="1:9" x14ac:dyDescent="0.2">
      <c r="A503" s="1"/>
      <c r="I503" s="1"/>
    </row>
    <row r="504" spans="1:9" x14ac:dyDescent="0.2">
      <c r="A504" s="1"/>
      <c r="I504" s="1"/>
    </row>
    <row r="505" spans="1:9" x14ac:dyDescent="0.2">
      <c r="A505" s="1"/>
      <c r="I505" s="1"/>
    </row>
    <row r="506" spans="1:9" x14ac:dyDescent="0.2">
      <c r="A506" s="1"/>
      <c r="I506" s="1"/>
    </row>
    <row r="507" spans="1:9" x14ac:dyDescent="0.2">
      <c r="A507" s="1"/>
      <c r="I507" s="1"/>
    </row>
    <row r="508" spans="1:9" x14ac:dyDescent="0.2">
      <c r="A508" s="1"/>
      <c r="I508" s="1"/>
    </row>
    <row r="509" spans="1:9" x14ac:dyDescent="0.2">
      <c r="A509" s="1"/>
      <c r="I509" s="1"/>
    </row>
    <row r="510" spans="1:9" x14ac:dyDescent="0.2">
      <c r="A510" s="1"/>
      <c r="I510" s="1"/>
    </row>
    <row r="511" spans="1:9" x14ac:dyDescent="0.2">
      <c r="A511" s="1"/>
      <c r="I511" s="1"/>
    </row>
    <row r="512" spans="1:9" x14ac:dyDescent="0.2">
      <c r="A512" s="1"/>
      <c r="I512" s="1"/>
    </row>
    <row r="513" spans="1:9" x14ac:dyDescent="0.2">
      <c r="A513" s="1"/>
      <c r="I513" s="1"/>
    </row>
    <row r="514" spans="1:9" x14ac:dyDescent="0.2">
      <c r="A514" s="1"/>
      <c r="I514" s="1"/>
    </row>
    <row r="515" spans="1:9" x14ac:dyDescent="0.2">
      <c r="A515" s="1"/>
      <c r="I515" s="1"/>
    </row>
    <row r="516" spans="1:9" x14ac:dyDescent="0.2">
      <c r="A516" s="1"/>
      <c r="I516" s="1"/>
    </row>
    <row r="517" spans="1:9" x14ac:dyDescent="0.2">
      <c r="A517" s="1"/>
      <c r="I517" s="1"/>
    </row>
    <row r="518" spans="1:9" x14ac:dyDescent="0.2">
      <c r="A518" s="1"/>
      <c r="I518" s="1"/>
    </row>
    <row r="519" spans="1:9" x14ac:dyDescent="0.2">
      <c r="A519" s="1"/>
      <c r="I519" s="1"/>
    </row>
    <row r="520" spans="1:9" x14ac:dyDescent="0.2">
      <c r="A520" s="1"/>
      <c r="I520" s="1"/>
    </row>
    <row r="521" spans="1:9" x14ac:dyDescent="0.2">
      <c r="A521" s="1"/>
      <c r="I521" s="1"/>
    </row>
    <row r="522" spans="1:9" x14ac:dyDescent="0.2">
      <c r="A522" s="1"/>
      <c r="I522" s="1"/>
    </row>
    <row r="523" spans="1:9" x14ac:dyDescent="0.2">
      <c r="A523" s="1"/>
      <c r="I523" s="1"/>
    </row>
    <row r="524" spans="1:9" x14ac:dyDescent="0.2">
      <c r="A524" s="1"/>
      <c r="I524" s="1"/>
    </row>
    <row r="525" spans="1:9" x14ac:dyDescent="0.2">
      <c r="A525" s="1"/>
      <c r="I525" s="1"/>
    </row>
    <row r="526" spans="1:9" x14ac:dyDescent="0.2">
      <c r="A526" s="1"/>
      <c r="I526" s="1"/>
    </row>
    <row r="527" spans="1:9" x14ac:dyDescent="0.2">
      <c r="A527" s="1"/>
      <c r="I527" s="1"/>
    </row>
    <row r="528" spans="1:9" x14ac:dyDescent="0.2">
      <c r="A528" s="1"/>
      <c r="I528" s="1"/>
    </row>
    <row r="529" spans="1:9" x14ac:dyDescent="0.2">
      <c r="A529" s="1"/>
      <c r="I529" s="1"/>
    </row>
    <row r="530" spans="1:9" x14ac:dyDescent="0.2">
      <c r="A530" s="1"/>
      <c r="I530" s="1"/>
    </row>
    <row r="531" spans="1:9" x14ac:dyDescent="0.2">
      <c r="A531" s="1"/>
      <c r="I531" s="1"/>
    </row>
    <row r="532" spans="1:9" x14ac:dyDescent="0.2">
      <c r="A532" s="1"/>
      <c r="I532" s="1"/>
    </row>
    <row r="533" spans="1:9" x14ac:dyDescent="0.2">
      <c r="A533" s="1"/>
      <c r="I533" s="1"/>
    </row>
    <row r="534" spans="1:9" x14ac:dyDescent="0.2">
      <c r="A534" s="1"/>
      <c r="I534" s="1"/>
    </row>
    <row r="535" spans="1:9" x14ac:dyDescent="0.2">
      <c r="A535" s="1"/>
      <c r="I535" s="1"/>
    </row>
    <row r="536" spans="1:9" x14ac:dyDescent="0.2">
      <c r="A536" s="1"/>
      <c r="I536" s="1"/>
    </row>
    <row r="537" spans="1:9" x14ac:dyDescent="0.2">
      <c r="A537" s="1"/>
      <c r="I537" s="1"/>
    </row>
    <row r="538" spans="1:9" x14ac:dyDescent="0.2">
      <c r="A538" s="1"/>
      <c r="I538" s="1"/>
    </row>
    <row r="539" spans="1:9" x14ac:dyDescent="0.2">
      <c r="A539" s="1"/>
      <c r="I539" s="1"/>
    </row>
    <row r="540" spans="1:9" x14ac:dyDescent="0.2">
      <c r="A540" s="1"/>
      <c r="I540" s="1"/>
    </row>
    <row r="541" spans="1:9" x14ac:dyDescent="0.2">
      <c r="A541" s="1"/>
      <c r="I541" s="1"/>
    </row>
    <row r="542" spans="1:9" x14ac:dyDescent="0.2">
      <c r="A542" s="1"/>
      <c r="I542" s="1"/>
    </row>
    <row r="543" spans="1:9" x14ac:dyDescent="0.2">
      <c r="A543" s="1"/>
      <c r="I543" s="1"/>
    </row>
    <row r="544" spans="1:9" x14ac:dyDescent="0.2">
      <c r="A544" s="1"/>
      <c r="I544" s="1"/>
    </row>
    <row r="545" spans="1:9" x14ac:dyDescent="0.2">
      <c r="A545" s="1"/>
      <c r="I545" s="1"/>
    </row>
    <row r="546" spans="1:9" x14ac:dyDescent="0.2">
      <c r="A546" s="1"/>
      <c r="I546" s="1"/>
    </row>
    <row r="547" spans="1:9" x14ac:dyDescent="0.2">
      <c r="A547" s="1"/>
      <c r="I547" s="1"/>
    </row>
    <row r="548" spans="1:9" x14ac:dyDescent="0.2">
      <c r="A548" s="1"/>
      <c r="I548" s="1"/>
    </row>
    <row r="549" spans="1:9" x14ac:dyDescent="0.2">
      <c r="A549" s="1"/>
      <c r="I549" s="1"/>
    </row>
    <row r="550" spans="1:9" x14ac:dyDescent="0.2">
      <c r="A550" s="1"/>
      <c r="I550" s="1"/>
    </row>
    <row r="551" spans="1:9" x14ac:dyDescent="0.2">
      <c r="A551" s="1"/>
      <c r="I551" s="1"/>
    </row>
    <row r="552" spans="1:9" x14ac:dyDescent="0.2">
      <c r="A552" s="1"/>
      <c r="I552" s="1"/>
    </row>
    <row r="553" spans="1:9" x14ac:dyDescent="0.2">
      <c r="A553" s="1"/>
      <c r="I553" s="1"/>
    </row>
    <row r="554" spans="1:9" x14ac:dyDescent="0.2">
      <c r="A554" s="1"/>
      <c r="I554" s="1"/>
    </row>
    <row r="555" spans="1:9" x14ac:dyDescent="0.2">
      <c r="A555" s="1"/>
      <c r="I555" s="1"/>
    </row>
    <row r="556" spans="1:9" x14ac:dyDescent="0.2">
      <c r="A556" s="1"/>
      <c r="I556" s="1"/>
    </row>
    <row r="557" spans="1:9" x14ac:dyDescent="0.2">
      <c r="A557" s="1"/>
      <c r="I557" s="1"/>
    </row>
    <row r="558" spans="1:9" x14ac:dyDescent="0.2">
      <c r="A558" s="1"/>
      <c r="I558" s="1"/>
    </row>
    <row r="559" spans="1:9" x14ac:dyDescent="0.2">
      <c r="A559" s="1"/>
      <c r="I559" s="1"/>
    </row>
    <row r="560" spans="1:9" x14ac:dyDescent="0.2">
      <c r="A560" s="1"/>
      <c r="I560" s="1"/>
    </row>
    <row r="561" spans="1:9" x14ac:dyDescent="0.2">
      <c r="A561" s="1"/>
      <c r="I561" s="1"/>
    </row>
    <row r="562" spans="1:9" x14ac:dyDescent="0.2">
      <c r="A562" s="1"/>
      <c r="I562" s="1"/>
    </row>
    <row r="563" spans="1:9" x14ac:dyDescent="0.2">
      <c r="A563" s="1"/>
      <c r="I563" s="1"/>
    </row>
    <row r="564" spans="1:9" x14ac:dyDescent="0.2">
      <c r="A564" s="1"/>
      <c r="I564" s="1"/>
    </row>
    <row r="565" spans="1:9" x14ac:dyDescent="0.2">
      <c r="A565" s="1"/>
      <c r="I565" s="1"/>
    </row>
    <row r="566" spans="1:9" x14ac:dyDescent="0.2">
      <c r="A566" s="1"/>
      <c r="I566" s="1"/>
    </row>
    <row r="567" spans="1:9" x14ac:dyDescent="0.2">
      <c r="A567" s="1"/>
      <c r="I567" s="1"/>
    </row>
    <row r="568" spans="1:9" x14ac:dyDescent="0.2">
      <c r="A568" s="1"/>
      <c r="I568" s="1"/>
    </row>
    <row r="569" spans="1:9" x14ac:dyDescent="0.2">
      <c r="A569" s="1"/>
      <c r="I569" s="1"/>
    </row>
    <row r="570" spans="1:9" x14ac:dyDescent="0.2">
      <c r="A570" s="1"/>
      <c r="I570" s="1"/>
    </row>
    <row r="571" spans="1:9" x14ac:dyDescent="0.2">
      <c r="A571" s="1"/>
      <c r="I571" s="1"/>
    </row>
    <row r="572" spans="1:9" x14ac:dyDescent="0.2">
      <c r="A572" s="1"/>
      <c r="I572" s="1"/>
    </row>
    <row r="573" spans="1:9" x14ac:dyDescent="0.2">
      <c r="A573" s="1"/>
      <c r="I573" s="1"/>
    </row>
    <row r="574" spans="1:9" x14ac:dyDescent="0.2">
      <c r="A574" s="1"/>
      <c r="I574" s="1"/>
    </row>
    <row r="575" spans="1:9" x14ac:dyDescent="0.2">
      <c r="A575" s="1"/>
      <c r="I575" s="1"/>
    </row>
    <row r="576" spans="1:9" x14ac:dyDescent="0.2">
      <c r="A576" s="1"/>
      <c r="I576" s="1"/>
    </row>
    <row r="577" spans="1:9" x14ac:dyDescent="0.2">
      <c r="A577" s="1"/>
      <c r="I577" s="1"/>
    </row>
    <row r="578" spans="1:9" x14ac:dyDescent="0.2">
      <c r="A578" s="1"/>
      <c r="I578" s="1"/>
    </row>
    <row r="579" spans="1:9" x14ac:dyDescent="0.2">
      <c r="A579" s="1"/>
      <c r="I579" s="1"/>
    </row>
    <row r="580" spans="1:9" x14ac:dyDescent="0.2">
      <c r="A580" s="1"/>
      <c r="I580" s="1"/>
    </row>
    <row r="581" spans="1:9" x14ac:dyDescent="0.2">
      <c r="A581" s="1"/>
      <c r="I581" s="1"/>
    </row>
    <row r="582" spans="1:9" x14ac:dyDescent="0.2">
      <c r="A582" s="1"/>
      <c r="I582" s="1"/>
    </row>
    <row r="583" spans="1:9" x14ac:dyDescent="0.2">
      <c r="A583" s="1"/>
      <c r="I583" s="1"/>
    </row>
    <row r="584" spans="1:9" x14ac:dyDescent="0.2">
      <c r="A584" s="1"/>
      <c r="I584" s="1"/>
    </row>
    <row r="585" spans="1:9" x14ac:dyDescent="0.2">
      <c r="A585" s="1"/>
      <c r="I585" s="1"/>
    </row>
    <row r="586" spans="1:9" x14ac:dyDescent="0.2">
      <c r="A586" s="1"/>
      <c r="I586" s="1"/>
    </row>
    <row r="587" spans="1:9" x14ac:dyDescent="0.2">
      <c r="A587" s="1"/>
      <c r="I587" s="1"/>
    </row>
    <row r="588" spans="1:9" x14ac:dyDescent="0.2">
      <c r="A588" s="1"/>
      <c r="I588" s="1"/>
    </row>
    <row r="589" spans="1:9" x14ac:dyDescent="0.2">
      <c r="A589" s="1"/>
      <c r="I589" s="1"/>
    </row>
    <row r="590" spans="1:9" x14ac:dyDescent="0.2">
      <c r="A590" s="1"/>
      <c r="I590" s="1"/>
    </row>
    <row r="591" spans="1:9" x14ac:dyDescent="0.2">
      <c r="A591" s="1"/>
      <c r="I591" s="1"/>
    </row>
    <row r="592" spans="1:9" x14ac:dyDescent="0.2">
      <c r="A592" s="1"/>
      <c r="I592" s="1"/>
    </row>
    <row r="593" spans="1:9" x14ac:dyDescent="0.2">
      <c r="A593" s="1"/>
      <c r="I593" s="1"/>
    </row>
    <row r="594" spans="1:9" x14ac:dyDescent="0.2">
      <c r="A594" s="1"/>
      <c r="I594" s="1"/>
    </row>
    <row r="595" spans="1:9" x14ac:dyDescent="0.2">
      <c r="A595" s="1"/>
      <c r="I595" s="1"/>
    </row>
    <row r="596" spans="1:9" x14ac:dyDescent="0.2">
      <c r="A596" s="1"/>
      <c r="I596" s="1"/>
    </row>
    <row r="597" spans="1:9" x14ac:dyDescent="0.2">
      <c r="A597" s="1"/>
      <c r="I597" s="1"/>
    </row>
    <row r="598" spans="1:9" x14ac:dyDescent="0.2">
      <c r="A598" s="1"/>
      <c r="I598" s="1"/>
    </row>
    <row r="599" spans="1:9" x14ac:dyDescent="0.2">
      <c r="A599" s="1"/>
      <c r="I599" s="1"/>
    </row>
    <row r="600" spans="1:9" x14ac:dyDescent="0.2">
      <c r="A600" s="1"/>
      <c r="I600" s="1"/>
    </row>
    <row r="601" spans="1:9" x14ac:dyDescent="0.2">
      <c r="A601" s="1"/>
      <c r="I601" s="1"/>
    </row>
    <row r="602" spans="1:9" x14ac:dyDescent="0.2">
      <c r="A602" s="1"/>
      <c r="I602" s="1"/>
    </row>
    <row r="603" spans="1:9" x14ac:dyDescent="0.2">
      <c r="A603" s="1"/>
      <c r="I603" s="1"/>
    </row>
    <row r="604" spans="1:9" x14ac:dyDescent="0.2">
      <c r="A604" s="1"/>
      <c r="I604" s="1"/>
    </row>
    <row r="605" spans="1:9" x14ac:dyDescent="0.2">
      <c r="A605" s="1"/>
      <c r="I605" s="1"/>
    </row>
    <row r="606" spans="1:9" x14ac:dyDescent="0.2">
      <c r="A606" s="1"/>
      <c r="I606" s="1"/>
    </row>
    <row r="607" spans="1:9" x14ac:dyDescent="0.2">
      <c r="A607" s="1"/>
      <c r="I607" s="1"/>
    </row>
    <row r="608" spans="1:9" x14ac:dyDescent="0.2">
      <c r="A608" s="1"/>
      <c r="I608" s="1"/>
    </row>
    <row r="609" spans="1:9" x14ac:dyDescent="0.2">
      <c r="A609" s="1"/>
      <c r="I609" s="1"/>
    </row>
    <row r="610" spans="1:9" x14ac:dyDescent="0.2">
      <c r="A610" s="1"/>
      <c r="I610" s="1"/>
    </row>
    <row r="611" spans="1:9" x14ac:dyDescent="0.2">
      <c r="A611" s="1"/>
      <c r="I611" s="1"/>
    </row>
    <row r="612" spans="1:9" x14ac:dyDescent="0.2">
      <c r="A612" s="1"/>
      <c r="I612" s="1"/>
    </row>
    <row r="613" spans="1:9" x14ac:dyDescent="0.2">
      <c r="A613" s="1"/>
      <c r="I613" s="1"/>
    </row>
    <row r="614" spans="1:9" x14ac:dyDescent="0.2">
      <c r="A614" s="1"/>
      <c r="I614" s="1"/>
    </row>
    <row r="615" spans="1:9" x14ac:dyDescent="0.2">
      <c r="A615" s="1"/>
      <c r="I615" s="1"/>
    </row>
    <row r="616" spans="1:9" x14ac:dyDescent="0.2">
      <c r="A616" s="1"/>
      <c r="I616" s="1"/>
    </row>
    <row r="617" spans="1:9" x14ac:dyDescent="0.2">
      <c r="A617" s="1"/>
      <c r="I617" s="1"/>
    </row>
    <row r="618" spans="1:9" x14ac:dyDescent="0.2">
      <c r="A618" s="1"/>
      <c r="I618" s="1"/>
    </row>
    <row r="619" spans="1:9" x14ac:dyDescent="0.2">
      <c r="A619" s="1"/>
      <c r="I619" s="1"/>
    </row>
    <row r="620" spans="1:9" x14ac:dyDescent="0.2">
      <c r="A620" s="1"/>
      <c r="I620" s="1"/>
    </row>
    <row r="621" spans="1:9" x14ac:dyDescent="0.2">
      <c r="A621" s="1"/>
      <c r="I621" s="1"/>
    </row>
    <row r="622" spans="1:9" x14ac:dyDescent="0.2">
      <c r="A622" s="1"/>
      <c r="I622" s="1"/>
    </row>
    <row r="623" spans="1:9" x14ac:dyDescent="0.2">
      <c r="A623" s="1"/>
      <c r="I623" s="1"/>
    </row>
    <row r="624" spans="1:9" x14ac:dyDescent="0.2">
      <c r="A624" s="1"/>
      <c r="I624" s="1"/>
    </row>
    <row r="625" spans="1:9" x14ac:dyDescent="0.2">
      <c r="A625" s="1"/>
      <c r="I625" s="1"/>
    </row>
    <row r="626" spans="1:9" x14ac:dyDescent="0.2">
      <c r="A626" s="1"/>
      <c r="I626" s="1"/>
    </row>
    <row r="627" spans="1:9" x14ac:dyDescent="0.2">
      <c r="A627" s="1"/>
      <c r="I627" s="1"/>
    </row>
    <row r="628" spans="1:9" x14ac:dyDescent="0.2">
      <c r="A628" s="1"/>
      <c r="I628" s="1"/>
    </row>
    <row r="629" spans="1:9" x14ac:dyDescent="0.2">
      <c r="A629" s="1"/>
      <c r="I629" s="1"/>
    </row>
    <row r="630" spans="1:9" x14ac:dyDescent="0.2">
      <c r="A630" s="1"/>
      <c r="I630" s="1"/>
    </row>
    <row r="631" spans="1:9" x14ac:dyDescent="0.2">
      <c r="A631" s="1"/>
      <c r="I631" s="1"/>
    </row>
    <row r="632" spans="1:9" x14ac:dyDescent="0.2">
      <c r="A632" s="1"/>
      <c r="I632" s="1"/>
    </row>
    <row r="633" spans="1:9" x14ac:dyDescent="0.2">
      <c r="A633" s="1"/>
      <c r="I633" s="1"/>
    </row>
    <row r="634" spans="1:9" x14ac:dyDescent="0.2">
      <c r="A634" s="1"/>
      <c r="I634" s="1"/>
    </row>
    <row r="635" spans="1:9" x14ac:dyDescent="0.2">
      <c r="A635" s="1"/>
      <c r="I635" s="1"/>
    </row>
    <row r="636" spans="1:9" x14ac:dyDescent="0.2">
      <c r="A636" s="1"/>
      <c r="I636" s="1"/>
    </row>
    <row r="637" spans="1:9" x14ac:dyDescent="0.2">
      <c r="A637" s="1"/>
      <c r="I637" s="1"/>
    </row>
    <row r="638" spans="1:9" x14ac:dyDescent="0.2">
      <c r="A638" s="1"/>
      <c r="I638" s="1"/>
    </row>
    <row r="639" spans="1:9" x14ac:dyDescent="0.2">
      <c r="A639" s="1"/>
      <c r="I639" s="1"/>
    </row>
    <row r="640" spans="1:9" x14ac:dyDescent="0.2">
      <c r="A640" s="1"/>
      <c r="I640" s="1"/>
    </row>
    <row r="641" spans="1:9" x14ac:dyDescent="0.2">
      <c r="A641" s="1"/>
      <c r="I641" s="1"/>
    </row>
    <row r="642" spans="1:9" x14ac:dyDescent="0.2">
      <c r="A642" s="1"/>
      <c r="I642" s="1"/>
    </row>
    <row r="643" spans="1:9" x14ac:dyDescent="0.2">
      <c r="A643" s="1"/>
      <c r="I643" s="1"/>
    </row>
    <row r="644" spans="1:9" x14ac:dyDescent="0.2">
      <c r="A644" s="1"/>
      <c r="I644" s="1"/>
    </row>
    <row r="645" spans="1:9" x14ac:dyDescent="0.2">
      <c r="A645" s="1"/>
      <c r="I645" s="1"/>
    </row>
    <row r="646" spans="1:9" x14ac:dyDescent="0.2">
      <c r="A646" s="1"/>
      <c r="I646" s="1"/>
    </row>
    <row r="647" spans="1:9" x14ac:dyDescent="0.2">
      <c r="A647" s="1"/>
      <c r="I647" s="1"/>
    </row>
    <row r="648" spans="1:9" x14ac:dyDescent="0.2">
      <c r="A648" s="1"/>
      <c r="I648" s="1"/>
    </row>
    <row r="649" spans="1:9" x14ac:dyDescent="0.2">
      <c r="A649" s="1"/>
      <c r="I649" s="1"/>
    </row>
    <row r="650" spans="1:9" x14ac:dyDescent="0.2">
      <c r="A650" s="1"/>
      <c r="I650" s="1"/>
    </row>
    <row r="651" spans="1:9" x14ac:dyDescent="0.2">
      <c r="A651" s="1"/>
      <c r="I651" s="1"/>
    </row>
    <row r="652" spans="1:9" x14ac:dyDescent="0.2">
      <c r="A652" s="1"/>
      <c r="I652" s="1"/>
    </row>
    <row r="653" spans="1:9" x14ac:dyDescent="0.2">
      <c r="A653" s="1"/>
      <c r="I653" s="1"/>
    </row>
    <row r="654" spans="1:9" x14ac:dyDescent="0.2">
      <c r="A654" s="1"/>
      <c r="I654" s="1"/>
    </row>
    <row r="655" spans="1:9" x14ac:dyDescent="0.2">
      <c r="A655" s="1"/>
      <c r="I655" s="1"/>
    </row>
    <row r="656" spans="1:9" x14ac:dyDescent="0.2">
      <c r="A656" s="1"/>
      <c r="I656" s="1"/>
    </row>
    <row r="657" spans="1:9" x14ac:dyDescent="0.2">
      <c r="A657" s="1"/>
      <c r="I657" s="1"/>
    </row>
    <row r="658" spans="1:9" x14ac:dyDescent="0.2">
      <c r="A658" s="1"/>
      <c r="I658" s="1"/>
    </row>
    <row r="659" spans="1:9" x14ac:dyDescent="0.2">
      <c r="A659" s="1"/>
      <c r="I659" s="1"/>
    </row>
    <row r="660" spans="1:9" x14ac:dyDescent="0.2">
      <c r="A660" s="1"/>
      <c r="I660" s="1"/>
    </row>
    <row r="661" spans="1:9" x14ac:dyDescent="0.2">
      <c r="A661" s="1"/>
      <c r="I661" s="1"/>
    </row>
    <row r="662" spans="1:9" x14ac:dyDescent="0.2">
      <c r="A662" s="1"/>
      <c r="I662" s="1"/>
    </row>
    <row r="663" spans="1:9" x14ac:dyDescent="0.2">
      <c r="A663" s="1"/>
      <c r="I663" s="1"/>
    </row>
    <row r="664" spans="1:9" x14ac:dyDescent="0.2">
      <c r="A664" s="1"/>
      <c r="I664" s="1"/>
    </row>
    <row r="665" spans="1:9" x14ac:dyDescent="0.2">
      <c r="A665" s="1"/>
      <c r="I665" s="1"/>
    </row>
    <row r="666" spans="1:9" x14ac:dyDescent="0.2">
      <c r="A666" s="1"/>
      <c r="I666" s="1"/>
    </row>
    <row r="667" spans="1:9" x14ac:dyDescent="0.2">
      <c r="A667" s="1"/>
      <c r="I667" s="1"/>
    </row>
    <row r="668" spans="1:9" x14ac:dyDescent="0.2">
      <c r="A668" s="1"/>
      <c r="I668" s="1"/>
    </row>
    <row r="669" spans="1:9" x14ac:dyDescent="0.2">
      <c r="A669" s="1"/>
      <c r="I669" s="1"/>
    </row>
    <row r="670" spans="1:9" x14ac:dyDescent="0.2">
      <c r="A670" s="1"/>
      <c r="I670" s="1"/>
    </row>
    <row r="671" spans="1:9" x14ac:dyDescent="0.2">
      <c r="A671" s="1"/>
      <c r="I671" s="1"/>
    </row>
    <row r="672" spans="1:9" x14ac:dyDescent="0.2">
      <c r="A672" s="1"/>
      <c r="I672" s="1"/>
    </row>
    <row r="673" spans="1:9" x14ac:dyDescent="0.2">
      <c r="A673" s="1"/>
      <c r="I673" s="1"/>
    </row>
    <row r="674" spans="1:9" x14ac:dyDescent="0.2">
      <c r="A674" s="1"/>
      <c r="I674" s="1"/>
    </row>
    <row r="675" spans="1:9" x14ac:dyDescent="0.2">
      <c r="A675" s="1"/>
      <c r="I675" s="1"/>
    </row>
    <row r="676" spans="1:9" x14ac:dyDescent="0.2">
      <c r="A676" s="1"/>
      <c r="I676" s="1"/>
    </row>
    <row r="677" spans="1:9" x14ac:dyDescent="0.2">
      <c r="A677" s="1"/>
      <c r="I677" s="1"/>
    </row>
    <row r="678" spans="1:9" x14ac:dyDescent="0.2">
      <c r="A678" s="1"/>
      <c r="I678" s="1"/>
    </row>
    <row r="679" spans="1:9" x14ac:dyDescent="0.2">
      <c r="A679" s="1"/>
      <c r="I679" s="1"/>
    </row>
    <row r="680" spans="1:9" x14ac:dyDescent="0.2">
      <c r="A680" s="1"/>
      <c r="I680" s="1"/>
    </row>
    <row r="681" spans="1:9" x14ac:dyDescent="0.2">
      <c r="A681" s="1"/>
      <c r="I681" s="1"/>
    </row>
    <row r="682" spans="1:9" x14ac:dyDescent="0.2">
      <c r="A682" s="1"/>
      <c r="I682" s="1"/>
    </row>
    <row r="683" spans="1:9" x14ac:dyDescent="0.2">
      <c r="A683" s="1"/>
      <c r="I683" s="1"/>
    </row>
    <row r="684" spans="1:9" x14ac:dyDescent="0.2">
      <c r="A684" s="1"/>
      <c r="I684" s="1"/>
    </row>
    <row r="685" spans="1:9" x14ac:dyDescent="0.2">
      <c r="A685" s="1"/>
      <c r="I685" s="1"/>
    </row>
    <row r="686" spans="1:9" x14ac:dyDescent="0.2">
      <c r="A686" s="1"/>
      <c r="I686" s="1"/>
    </row>
    <row r="687" spans="1:9" x14ac:dyDescent="0.2">
      <c r="A687" s="1"/>
      <c r="I687" s="1"/>
    </row>
    <row r="688" spans="1:9" x14ac:dyDescent="0.2">
      <c r="A688" s="1"/>
      <c r="I688" s="1"/>
    </row>
    <row r="689" spans="1:9" x14ac:dyDescent="0.2">
      <c r="A689" s="1"/>
      <c r="I689" s="1"/>
    </row>
    <row r="690" spans="1:9" x14ac:dyDescent="0.2">
      <c r="A690" s="1"/>
      <c r="I690" s="1"/>
    </row>
    <row r="691" spans="1:9" x14ac:dyDescent="0.2">
      <c r="A691" s="1"/>
      <c r="I691" s="1"/>
    </row>
    <row r="692" spans="1:9" x14ac:dyDescent="0.2">
      <c r="A692" s="1"/>
      <c r="I692" s="1"/>
    </row>
    <row r="693" spans="1:9" x14ac:dyDescent="0.2">
      <c r="A693" s="1"/>
      <c r="I693" s="1"/>
    </row>
    <row r="694" spans="1:9" x14ac:dyDescent="0.2">
      <c r="A694" s="1"/>
      <c r="I694" s="1"/>
    </row>
    <row r="695" spans="1:9" x14ac:dyDescent="0.2">
      <c r="A695" s="1"/>
      <c r="I695" s="1"/>
    </row>
    <row r="696" spans="1:9" x14ac:dyDescent="0.2">
      <c r="A696" s="1"/>
      <c r="I696" s="1"/>
    </row>
    <row r="697" spans="1:9" x14ac:dyDescent="0.2">
      <c r="A697" s="1"/>
      <c r="I697" s="1"/>
    </row>
    <row r="698" spans="1:9" x14ac:dyDescent="0.2">
      <c r="A698" s="1"/>
      <c r="I698" s="1"/>
    </row>
    <row r="699" spans="1:9" x14ac:dyDescent="0.2">
      <c r="A699" s="1"/>
      <c r="I699" s="1"/>
    </row>
    <row r="700" spans="1:9" x14ac:dyDescent="0.2">
      <c r="A700" s="1"/>
      <c r="I700" s="1"/>
    </row>
    <row r="701" spans="1:9" x14ac:dyDescent="0.2">
      <c r="A701" s="1"/>
      <c r="I701" s="1"/>
    </row>
    <row r="702" spans="1:9" x14ac:dyDescent="0.2">
      <c r="A702" s="1"/>
      <c r="I702" s="1"/>
    </row>
    <row r="703" spans="1:9" x14ac:dyDescent="0.2">
      <c r="A703" s="1"/>
      <c r="I703" s="1"/>
    </row>
    <row r="704" spans="1:9" x14ac:dyDescent="0.2">
      <c r="A704" s="1"/>
      <c r="I704" s="1"/>
    </row>
    <row r="705" spans="1:9" x14ac:dyDescent="0.2">
      <c r="A705" s="1"/>
      <c r="I705" s="1"/>
    </row>
    <row r="706" spans="1:9" x14ac:dyDescent="0.2">
      <c r="A706" s="1"/>
      <c r="I706" s="1"/>
    </row>
    <row r="707" spans="1:9" x14ac:dyDescent="0.2">
      <c r="A707" s="1"/>
      <c r="I707" s="1"/>
    </row>
    <row r="708" spans="1:9" x14ac:dyDescent="0.2">
      <c r="A708" s="1"/>
      <c r="I708" s="1"/>
    </row>
    <row r="709" spans="1:9" x14ac:dyDescent="0.2">
      <c r="A709" s="1"/>
      <c r="I709" s="1"/>
    </row>
    <row r="710" spans="1:9" x14ac:dyDescent="0.2">
      <c r="A710" s="1"/>
      <c r="I710" s="1"/>
    </row>
    <row r="711" spans="1:9" x14ac:dyDescent="0.2">
      <c r="A711" s="1"/>
      <c r="I711" s="1"/>
    </row>
    <row r="712" spans="1:9" x14ac:dyDescent="0.2">
      <c r="A712" s="1"/>
      <c r="I712" s="1"/>
    </row>
    <row r="713" spans="1:9" x14ac:dyDescent="0.2">
      <c r="A713" s="1"/>
      <c r="I713" s="1"/>
    </row>
    <row r="714" spans="1:9" x14ac:dyDescent="0.2">
      <c r="A714" s="1"/>
      <c r="I714" s="1"/>
    </row>
    <row r="715" spans="1:9" x14ac:dyDescent="0.2">
      <c r="A715" s="1"/>
      <c r="I715" s="1"/>
    </row>
    <row r="716" spans="1:9" x14ac:dyDescent="0.2">
      <c r="A716" s="1"/>
      <c r="I716" s="1"/>
    </row>
    <row r="717" spans="1:9" x14ac:dyDescent="0.2">
      <c r="A717" s="1"/>
      <c r="I717" s="1"/>
    </row>
    <row r="718" spans="1:9" x14ac:dyDescent="0.2">
      <c r="A718" s="1"/>
      <c r="I718" s="1"/>
    </row>
    <row r="719" spans="1:9" x14ac:dyDescent="0.2">
      <c r="A719" s="1"/>
      <c r="I719" s="1"/>
    </row>
    <row r="720" spans="1:9" x14ac:dyDescent="0.2">
      <c r="A720" s="1"/>
      <c r="I720" s="1"/>
    </row>
    <row r="721" spans="1:9" x14ac:dyDescent="0.2">
      <c r="A721" s="1"/>
      <c r="I721" s="1"/>
    </row>
    <row r="722" spans="1:9" x14ac:dyDescent="0.2">
      <c r="A722" s="1"/>
      <c r="I722" s="1"/>
    </row>
    <row r="723" spans="1:9" x14ac:dyDescent="0.2">
      <c r="A723" s="1"/>
      <c r="I723" s="1"/>
    </row>
    <row r="724" spans="1:9" x14ac:dyDescent="0.2">
      <c r="A724" s="1"/>
      <c r="I724" s="1"/>
    </row>
    <row r="725" spans="1:9" x14ac:dyDescent="0.2">
      <c r="A725" s="1"/>
      <c r="I725" s="1"/>
    </row>
    <row r="726" spans="1:9" x14ac:dyDescent="0.2">
      <c r="A726" s="1"/>
      <c r="I726" s="1"/>
    </row>
    <row r="727" spans="1:9" x14ac:dyDescent="0.2">
      <c r="A727" s="1"/>
      <c r="I727" s="1"/>
    </row>
    <row r="728" spans="1:9" x14ac:dyDescent="0.2">
      <c r="A728" s="1"/>
      <c r="I728" s="1"/>
    </row>
    <row r="729" spans="1:9" x14ac:dyDescent="0.2">
      <c r="A729" s="1"/>
      <c r="I729" s="1"/>
    </row>
    <row r="730" spans="1:9" x14ac:dyDescent="0.2">
      <c r="A730" s="1"/>
      <c r="I730" s="1"/>
    </row>
    <row r="731" spans="1:9" x14ac:dyDescent="0.2">
      <c r="A731" s="1"/>
      <c r="I731" s="1"/>
    </row>
    <row r="732" spans="1:9" x14ac:dyDescent="0.2">
      <c r="A732" s="1"/>
      <c r="I732" s="1"/>
    </row>
    <row r="733" spans="1:9" x14ac:dyDescent="0.2">
      <c r="A733" s="1"/>
      <c r="I733" s="1"/>
    </row>
    <row r="734" spans="1:9" x14ac:dyDescent="0.2">
      <c r="A734" s="1"/>
      <c r="I734" s="1"/>
    </row>
    <row r="735" spans="1:9" x14ac:dyDescent="0.2">
      <c r="A735" s="1"/>
      <c r="I735" s="1"/>
    </row>
    <row r="736" spans="1:9" x14ac:dyDescent="0.2">
      <c r="A736" s="1"/>
      <c r="I736" s="1"/>
    </row>
    <row r="737" spans="1:9" x14ac:dyDescent="0.2">
      <c r="A737" s="1"/>
      <c r="I737" s="1"/>
    </row>
    <row r="738" spans="1:9" x14ac:dyDescent="0.2">
      <c r="A738" s="1"/>
      <c r="I738" s="1"/>
    </row>
    <row r="739" spans="1:9" x14ac:dyDescent="0.2">
      <c r="A739" s="1"/>
      <c r="I739" s="1"/>
    </row>
    <row r="740" spans="1:9" x14ac:dyDescent="0.2">
      <c r="A740" s="1"/>
      <c r="I740" s="1"/>
    </row>
    <row r="741" spans="1:9" x14ac:dyDescent="0.2">
      <c r="A741" s="1"/>
      <c r="I741" s="1"/>
    </row>
    <row r="742" spans="1:9" x14ac:dyDescent="0.2">
      <c r="A742" s="1"/>
      <c r="I742" s="1"/>
    </row>
    <row r="743" spans="1:9" x14ac:dyDescent="0.2">
      <c r="A743" s="1"/>
      <c r="I743" s="1"/>
    </row>
    <row r="744" spans="1:9" x14ac:dyDescent="0.2">
      <c r="A744" s="1"/>
      <c r="I744" s="1"/>
    </row>
    <row r="745" spans="1:9" x14ac:dyDescent="0.2">
      <c r="A745" s="1"/>
      <c r="I745" s="1"/>
    </row>
    <row r="746" spans="1:9" x14ac:dyDescent="0.2">
      <c r="A746" s="1"/>
      <c r="I746" s="1"/>
    </row>
    <row r="747" spans="1:9" x14ac:dyDescent="0.2">
      <c r="A747" s="1"/>
      <c r="I747" s="1"/>
    </row>
    <row r="748" spans="1:9" x14ac:dyDescent="0.2">
      <c r="A748" s="1"/>
      <c r="I748" s="1"/>
    </row>
    <row r="749" spans="1:9" x14ac:dyDescent="0.2">
      <c r="A749" s="1"/>
      <c r="I749" s="1"/>
    </row>
    <row r="750" spans="1:9" x14ac:dyDescent="0.2">
      <c r="A750" s="1"/>
      <c r="I750" s="1"/>
    </row>
    <row r="751" spans="1:9" x14ac:dyDescent="0.2">
      <c r="A751" s="1"/>
      <c r="I751" s="1"/>
    </row>
    <row r="752" spans="1:9" x14ac:dyDescent="0.2">
      <c r="A752" s="1"/>
      <c r="I752" s="1"/>
    </row>
    <row r="753" spans="1:9" x14ac:dyDescent="0.2">
      <c r="A753" s="1"/>
      <c r="I753" s="1"/>
    </row>
    <row r="754" spans="1:9" x14ac:dyDescent="0.2">
      <c r="A754" s="1"/>
      <c r="I754" s="1"/>
    </row>
    <row r="755" spans="1:9" x14ac:dyDescent="0.2">
      <c r="A755" s="1"/>
      <c r="I755" s="1"/>
    </row>
    <row r="756" spans="1:9" x14ac:dyDescent="0.2">
      <c r="A756" s="1"/>
      <c r="I756" s="1"/>
    </row>
    <row r="757" spans="1:9" x14ac:dyDescent="0.2">
      <c r="A757" s="1"/>
      <c r="I757" s="1"/>
    </row>
    <row r="758" spans="1:9" x14ac:dyDescent="0.2">
      <c r="A758" s="1"/>
      <c r="I758" s="1"/>
    </row>
    <row r="759" spans="1:9" x14ac:dyDescent="0.2">
      <c r="A759" s="1"/>
      <c r="I759" s="1"/>
    </row>
    <row r="760" spans="1:9" x14ac:dyDescent="0.2">
      <c r="A760" s="1"/>
      <c r="I760" s="1"/>
    </row>
    <row r="761" spans="1:9" x14ac:dyDescent="0.2">
      <c r="A761" s="1"/>
      <c r="I761" s="1"/>
    </row>
    <row r="762" spans="1:9" x14ac:dyDescent="0.2">
      <c r="A762" s="1"/>
      <c r="I762" s="1"/>
    </row>
    <row r="763" spans="1:9" x14ac:dyDescent="0.2">
      <c r="A763" s="1"/>
      <c r="I763" s="1"/>
    </row>
    <row r="764" spans="1:9" x14ac:dyDescent="0.2">
      <c r="A764" s="1"/>
      <c r="I764" s="1"/>
    </row>
    <row r="765" spans="1:9" x14ac:dyDescent="0.2">
      <c r="A765" s="1"/>
      <c r="I765" s="1"/>
    </row>
    <row r="766" spans="1:9" x14ac:dyDescent="0.2">
      <c r="A766" s="1"/>
      <c r="I766" s="1"/>
    </row>
    <row r="767" spans="1:9" x14ac:dyDescent="0.2">
      <c r="A767" s="1"/>
      <c r="I767" s="1"/>
    </row>
    <row r="768" spans="1:9" x14ac:dyDescent="0.2">
      <c r="A768" s="1"/>
      <c r="I768" s="1"/>
    </row>
    <row r="769" spans="1:9" x14ac:dyDescent="0.2">
      <c r="A769" s="1"/>
      <c r="I769" s="1"/>
    </row>
    <row r="770" spans="1:9" x14ac:dyDescent="0.2">
      <c r="A770" s="1"/>
      <c r="I770" s="1"/>
    </row>
    <row r="771" spans="1:9" x14ac:dyDescent="0.2">
      <c r="A771" s="1"/>
      <c r="I771" s="1"/>
    </row>
    <row r="772" spans="1:9" x14ac:dyDescent="0.2">
      <c r="A772" s="1"/>
      <c r="I772" s="1"/>
    </row>
    <row r="773" spans="1:9" x14ac:dyDescent="0.2">
      <c r="A773" s="1"/>
      <c r="I773" s="1"/>
    </row>
    <row r="774" spans="1:9" x14ac:dyDescent="0.2">
      <c r="A774" s="1"/>
      <c r="I774" s="1"/>
    </row>
    <row r="775" spans="1:9" x14ac:dyDescent="0.2">
      <c r="A775" s="1"/>
      <c r="I775" s="1"/>
    </row>
    <row r="776" spans="1:9" x14ac:dyDescent="0.2">
      <c r="A776" s="1"/>
      <c r="I776" s="1"/>
    </row>
    <row r="777" spans="1:9" x14ac:dyDescent="0.2">
      <c r="A777" s="1"/>
      <c r="I777" s="1"/>
    </row>
    <row r="778" spans="1:9" x14ac:dyDescent="0.2">
      <c r="A778" s="1"/>
      <c r="I778" s="1"/>
    </row>
    <row r="779" spans="1:9" x14ac:dyDescent="0.2">
      <c r="A779" s="1"/>
      <c r="I779" s="1"/>
    </row>
    <row r="780" spans="1:9" x14ac:dyDescent="0.2">
      <c r="A780" s="1"/>
      <c r="I780" s="1"/>
    </row>
    <row r="781" spans="1:9" x14ac:dyDescent="0.2">
      <c r="A781" s="1"/>
      <c r="I781" s="1"/>
    </row>
    <row r="782" spans="1:9" x14ac:dyDescent="0.2">
      <c r="A782" s="1"/>
      <c r="I782" s="1"/>
    </row>
    <row r="783" spans="1:9" x14ac:dyDescent="0.2">
      <c r="A783" s="1"/>
      <c r="I783" s="1"/>
    </row>
    <row r="784" spans="1:9" x14ac:dyDescent="0.2">
      <c r="A784" s="1"/>
      <c r="I784" s="1"/>
    </row>
    <row r="785" spans="1:9" x14ac:dyDescent="0.2">
      <c r="A785" s="1"/>
      <c r="I785" s="1"/>
    </row>
    <row r="786" spans="1:9" x14ac:dyDescent="0.2">
      <c r="A786" s="1"/>
      <c r="I786" s="1"/>
    </row>
    <row r="787" spans="1:9" x14ac:dyDescent="0.2">
      <c r="A787" s="1"/>
      <c r="I787" s="1"/>
    </row>
    <row r="788" spans="1:9" x14ac:dyDescent="0.2">
      <c r="A788" s="1"/>
      <c r="I788" s="1"/>
    </row>
    <row r="789" spans="1:9" x14ac:dyDescent="0.2">
      <c r="A789" s="1"/>
      <c r="I789" s="1"/>
    </row>
    <row r="790" spans="1:9" x14ac:dyDescent="0.2">
      <c r="A790" s="1"/>
      <c r="I790" s="1"/>
    </row>
    <row r="791" spans="1:9" x14ac:dyDescent="0.2">
      <c r="A791" s="1"/>
      <c r="I791" s="1"/>
    </row>
    <row r="792" spans="1:9" x14ac:dyDescent="0.2">
      <c r="A792" s="1"/>
      <c r="I792" s="1"/>
    </row>
    <row r="793" spans="1:9" x14ac:dyDescent="0.2">
      <c r="A793" s="1"/>
      <c r="I793" s="1"/>
    </row>
    <row r="794" spans="1:9" x14ac:dyDescent="0.2">
      <c r="A794" s="1"/>
      <c r="I794" s="1"/>
    </row>
    <row r="795" spans="1:9" x14ac:dyDescent="0.2">
      <c r="A795" s="1"/>
      <c r="I795" s="1"/>
    </row>
    <row r="796" spans="1:9" x14ac:dyDescent="0.2">
      <c r="A796" s="1"/>
      <c r="I796" s="1"/>
    </row>
    <row r="797" spans="1:9" x14ac:dyDescent="0.2">
      <c r="A797" s="1"/>
      <c r="I797" s="1"/>
    </row>
    <row r="798" spans="1:9" x14ac:dyDescent="0.2">
      <c r="A798" s="1"/>
      <c r="I798" s="1"/>
    </row>
    <row r="799" spans="1:9" x14ac:dyDescent="0.2">
      <c r="A799" s="1"/>
      <c r="I799" s="1"/>
    </row>
    <row r="800" spans="1:9" x14ac:dyDescent="0.2">
      <c r="A800" s="1"/>
      <c r="I800" s="1"/>
    </row>
    <row r="801" spans="1:9" x14ac:dyDescent="0.2">
      <c r="A801" s="1"/>
      <c r="I801" s="1"/>
    </row>
    <row r="802" spans="1:9" x14ac:dyDescent="0.2">
      <c r="A802" s="1"/>
      <c r="I802" s="1"/>
    </row>
    <row r="803" spans="1:9" x14ac:dyDescent="0.2">
      <c r="A803" s="1"/>
      <c r="I803" s="1"/>
    </row>
    <row r="804" spans="1:9" x14ac:dyDescent="0.2">
      <c r="A804" s="1"/>
      <c r="I804" s="1"/>
    </row>
    <row r="805" spans="1:9" x14ac:dyDescent="0.2">
      <c r="A805" s="1"/>
      <c r="I805" s="1"/>
    </row>
    <row r="806" spans="1:9" x14ac:dyDescent="0.2">
      <c r="A806" s="1"/>
      <c r="I806" s="1"/>
    </row>
    <row r="807" spans="1:9" x14ac:dyDescent="0.2">
      <c r="A807" s="1"/>
      <c r="I807" s="1"/>
    </row>
    <row r="808" spans="1:9" x14ac:dyDescent="0.2">
      <c r="A808" s="1"/>
      <c r="I808" s="1"/>
    </row>
    <row r="809" spans="1:9" x14ac:dyDescent="0.2">
      <c r="A809" s="1"/>
      <c r="I809" s="1"/>
    </row>
    <row r="810" spans="1:9" x14ac:dyDescent="0.2">
      <c r="A810" s="1"/>
      <c r="I810" s="1"/>
    </row>
    <row r="811" spans="1:9" x14ac:dyDescent="0.2">
      <c r="A811" s="1"/>
      <c r="I811" s="1"/>
    </row>
    <row r="812" spans="1:9" x14ac:dyDescent="0.2">
      <c r="A812" s="1"/>
      <c r="I812" s="1"/>
    </row>
    <row r="813" spans="1:9" x14ac:dyDescent="0.2">
      <c r="A813" s="1"/>
      <c r="I813" s="1"/>
    </row>
    <row r="814" spans="1:9" x14ac:dyDescent="0.2">
      <c r="A814" s="1"/>
      <c r="I814" s="1"/>
    </row>
    <row r="815" spans="1:9" x14ac:dyDescent="0.2">
      <c r="A815" s="1"/>
      <c r="I815" s="1"/>
    </row>
    <row r="816" spans="1:9" x14ac:dyDescent="0.2">
      <c r="A816" s="1"/>
      <c r="I816" s="1"/>
    </row>
    <row r="817" spans="1:9" x14ac:dyDescent="0.2">
      <c r="A817" s="1"/>
      <c r="I817" s="1"/>
    </row>
    <row r="818" spans="1:9" x14ac:dyDescent="0.2">
      <c r="A818" s="1"/>
      <c r="I818" s="1"/>
    </row>
    <row r="819" spans="1:9" x14ac:dyDescent="0.2">
      <c r="A819" s="1"/>
      <c r="I819" s="1"/>
    </row>
    <row r="820" spans="1:9" x14ac:dyDescent="0.2">
      <c r="A820" s="1"/>
      <c r="I820" s="1"/>
    </row>
    <row r="821" spans="1:9" x14ac:dyDescent="0.2">
      <c r="A821" s="1"/>
      <c r="I821" s="1"/>
    </row>
    <row r="822" spans="1:9" x14ac:dyDescent="0.2">
      <c r="A822" s="1"/>
      <c r="I822" s="1"/>
    </row>
    <row r="823" spans="1:9" x14ac:dyDescent="0.2">
      <c r="A823" s="1"/>
      <c r="I823" s="1"/>
    </row>
    <row r="824" spans="1:9" x14ac:dyDescent="0.2">
      <c r="A824" s="1"/>
      <c r="I824" s="1"/>
    </row>
    <row r="825" spans="1:9" x14ac:dyDescent="0.2">
      <c r="A825" s="1"/>
      <c r="I825" s="1"/>
    </row>
    <row r="826" spans="1:9" x14ac:dyDescent="0.2">
      <c r="A826" s="1"/>
      <c r="I826" s="1"/>
    </row>
    <row r="827" spans="1:9" x14ac:dyDescent="0.2">
      <c r="A827" s="1"/>
      <c r="I827" s="1"/>
    </row>
    <row r="828" spans="1:9" x14ac:dyDescent="0.2">
      <c r="A828" s="1"/>
      <c r="I828" s="1"/>
    </row>
    <row r="829" spans="1:9" x14ac:dyDescent="0.2">
      <c r="A829" s="1"/>
      <c r="I829" s="1"/>
    </row>
    <row r="830" spans="1:9" x14ac:dyDescent="0.2">
      <c r="A830" s="1"/>
      <c r="I830" s="1"/>
    </row>
    <row r="831" spans="1:9" x14ac:dyDescent="0.2">
      <c r="A831" s="1"/>
      <c r="I831" s="1"/>
    </row>
    <row r="832" spans="1:9" x14ac:dyDescent="0.2">
      <c r="A832" s="1"/>
      <c r="I832" s="1"/>
    </row>
    <row r="833" spans="1:9" x14ac:dyDescent="0.2">
      <c r="A833" s="1"/>
      <c r="I833" s="1"/>
    </row>
    <row r="834" spans="1:9" x14ac:dyDescent="0.2">
      <c r="A834" s="1"/>
      <c r="I834" s="1"/>
    </row>
    <row r="835" spans="1:9" x14ac:dyDescent="0.2">
      <c r="A835" s="1"/>
      <c r="I835" s="1"/>
    </row>
    <row r="836" spans="1:9" x14ac:dyDescent="0.2">
      <c r="A836" s="1"/>
      <c r="I836" s="1"/>
    </row>
    <row r="837" spans="1:9" x14ac:dyDescent="0.2">
      <c r="A837" s="1"/>
      <c r="I837" s="1"/>
    </row>
    <row r="838" spans="1:9" x14ac:dyDescent="0.2">
      <c r="A838" s="1"/>
      <c r="I838" s="1"/>
    </row>
    <row r="839" spans="1:9" x14ac:dyDescent="0.2">
      <c r="A839" s="1"/>
      <c r="I839" s="1"/>
    </row>
    <row r="840" spans="1:9" x14ac:dyDescent="0.2">
      <c r="A840" s="1"/>
      <c r="I840" s="1"/>
    </row>
    <row r="841" spans="1:9" x14ac:dyDescent="0.2">
      <c r="A841" s="1"/>
      <c r="I841" s="1"/>
    </row>
    <row r="842" spans="1:9" x14ac:dyDescent="0.2">
      <c r="A842" s="1"/>
      <c r="I842" s="1"/>
    </row>
    <row r="843" spans="1:9" x14ac:dyDescent="0.2">
      <c r="A843" s="1"/>
      <c r="I843" s="1"/>
    </row>
    <row r="844" spans="1:9" x14ac:dyDescent="0.2">
      <c r="A844" s="1"/>
      <c r="I844" s="1"/>
    </row>
    <row r="845" spans="1:9" x14ac:dyDescent="0.2">
      <c r="A845" s="1"/>
      <c r="I845" s="1"/>
    </row>
    <row r="846" spans="1:9" x14ac:dyDescent="0.2">
      <c r="A846" s="1"/>
      <c r="I846" s="1"/>
    </row>
    <row r="847" spans="1:9" x14ac:dyDescent="0.2">
      <c r="A847" s="1"/>
      <c r="I847" s="1"/>
    </row>
    <row r="848" spans="1:9" x14ac:dyDescent="0.2">
      <c r="A848" s="1"/>
      <c r="I848" s="1"/>
    </row>
    <row r="849" spans="1:9" x14ac:dyDescent="0.2">
      <c r="A849" s="1"/>
      <c r="I849" s="1"/>
    </row>
    <row r="850" spans="1:9" x14ac:dyDescent="0.2">
      <c r="A850" s="1"/>
      <c r="I850" s="1"/>
    </row>
    <row r="851" spans="1:9" x14ac:dyDescent="0.2">
      <c r="A851" s="1"/>
      <c r="I851" s="1"/>
    </row>
    <row r="852" spans="1:9" x14ac:dyDescent="0.2">
      <c r="A852" s="1"/>
      <c r="I852" s="1"/>
    </row>
    <row r="853" spans="1:9" x14ac:dyDescent="0.2">
      <c r="A853" s="1"/>
      <c r="I853" s="1"/>
    </row>
    <row r="854" spans="1:9" x14ac:dyDescent="0.2">
      <c r="A854" s="1"/>
      <c r="I854" s="1"/>
    </row>
    <row r="855" spans="1:9" x14ac:dyDescent="0.2">
      <c r="A855" s="1"/>
      <c r="I855" s="1"/>
    </row>
    <row r="856" spans="1:9" x14ac:dyDescent="0.2">
      <c r="A856" s="1"/>
      <c r="I856" s="1"/>
    </row>
    <row r="857" spans="1:9" x14ac:dyDescent="0.2">
      <c r="A857" s="1"/>
      <c r="I857" s="1"/>
    </row>
    <row r="858" spans="1:9" x14ac:dyDescent="0.2">
      <c r="A858" s="1"/>
      <c r="I858" s="1"/>
    </row>
    <row r="859" spans="1:9" x14ac:dyDescent="0.2">
      <c r="A859" s="1"/>
      <c r="I859" s="1"/>
    </row>
    <row r="860" spans="1:9" x14ac:dyDescent="0.2">
      <c r="A860" s="1"/>
      <c r="I860" s="1"/>
    </row>
    <row r="861" spans="1:9" x14ac:dyDescent="0.2">
      <c r="A861" s="1"/>
      <c r="I861" s="1"/>
    </row>
    <row r="862" spans="1:9" x14ac:dyDescent="0.2">
      <c r="A862" s="1"/>
      <c r="I862" s="1"/>
    </row>
    <row r="863" spans="1:9" x14ac:dyDescent="0.2">
      <c r="A863" s="1"/>
      <c r="I863" s="1"/>
    </row>
    <row r="864" spans="1:9" x14ac:dyDescent="0.2">
      <c r="A864" s="1"/>
      <c r="I864" s="1"/>
    </row>
    <row r="865" spans="1:9" x14ac:dyDescent="0.2">
      <c r="A865" s="1"/>
      <c r="I865" s="1"/>
    </row>
    <row r="866" spans="1:9" x14ac:dyDescent="0.2">
      <c r="A866" s="1"/>
      <c r="I866" s="1"/>
    </row>
    <row r="867" spans="1:9" x14ac:dyDescent="0.2">
      <c r="A867" s="1"/>
      <c r="I867" s="1"/>
    </row>
    <row r="868" spans="1:9" x14ac:dyDescent="0.2">
      <c r="A868" s="1"/>
      <c r="I868" s="1"/>
    </row>
    <row r="869" spans="1:9" x14ac:dyDescent="0.2">
      <c r="A869" s="1"/>
      <c r="I869" s="1"/>
    </row>
    <row r="870" spans="1:9" x14ac:dyDescent="0.2">
      <c r="A870" s="1"/>
      <c r="I870" s="1"/>
    </row>
    <row r="871" spans="1:9" x14ac:dyDescent="0.2">
      <c r="A871" s="1"/>
      <c r="I871" s="1"/>
    </row>
    <row r="872" spans="1:9" x14ac:dyDescent="0.2">
      <c r="A872" s="1"/>
      <c r="I872" s="1"/>
    </row>
    <row r="873" spans="1:9" x14ac:dyDescent="0.2">
      <c r="A873" s="1"/>
      <c r="I873" s="1"/>
    </row>
    <row r="874" spans="1:9" x14ac:dyDescent="0.2">
      <c r="A874" s="1"/>
      <c r="I874" s="1"/>
    </row>
    <row r="875" spans="1:9" x14ac:dyDescent="0.2">
      <c r="A875" s="1"/>
      <c r="I875" s="1"/>
    </row>
    <row r="876" spans="1:9" x14ac:dyDescent="0.2">
      <c r="A876" s="1"/>
      <c r="I876" s="1"/>
    </row>
    <row r="877" spans="1:9" x14ac:dyDescent="0.2">
      <c r="A877" s="1"/>
      <c r="I877" s="1"/>
    </row>
    <row r="878" spans="1:9" x14ac:dyDescent="0.2">
      <c r="A878" s="1"/>
      <c r="I878" s="1"/>
    </row>
    <row r="879" spans="1:9" x14ac:dyDescent="0.2">
      <c r="A879" s="1"/>
      <c r="I879" s="1"/>
    </row>
    <row r="880" spans="1:9" x14ac:dyDescent="0.2">
      <c r="A880" s="1"/>
      <c r="I880" s="1"/>
    </row>
    <row r="881" spans="1:9" x14ac:dyDescent="0.2">
      <c r="A881" s="1"/>
      <c r="I881" s="1"/>
    </row>
    <row r="882" spans="1:9" x14ac:dyDescent="0.2">
      <c r="A882" s="1"/>
      <c r="I882" s="1"/>
    </row>
    <row r="883" spans="1:9" x14ac:dyDescent="0.2">
      <c r="A883" s="1"/>
      <c r="I883" s="1"/>
    </row>
    <row r="884" spans="1:9" x14ac:dyDescent="0.2">
      <c r="A884" s="1"/>
      <c r="I884" s="1"/>
    </row>
    <row r="885" spans="1:9" x14ac:dyDescent="0.2">
      <c r="A885" s="1"/>
      <c r="I885" s="1"/>
    </row>
    <row r="886" spans="1:9" x14ac:dyDescent="0.2">
      <c r="A886" s="1"/>
      <c r="I886" s="1"/>
    </row>
    <row r="887" spans="1:9" x14ac:dyDescent="0.2">
      <c r="A887" s="1"/>
      <c r="I887" s="1"/>
    </row>
    <row r="888" spans="1:9" x14ac:dyDescent="0.2">
      <c r="A888" s="1"/>
      <c r="I888" s="1"/>
    </row>
    <row r="889" spans="1:9" x14ac:dyDescent="0.2">
      <c r="A889" s="1"/>
      <c r="I889" s="1"/>
    </row>
    <row r="890" spans="1:9" x14ac:dyDescent="0.2">
      <c r="A890" s="1"/>
      <c r="I890" s="1"/>
    </row>
    <row r="891" spans="1:9" x14ac:dyDescent="0.2">
      <c r="A891" s="1"/>
      <c r="I891" s="1"/>
    </row>
    <row r="892" spans="1:9" x14ac:dyDescent="0.2">
      <c r="A892" s="1"/>
      <c r="I892" s="1"/>
    </row>
    <row r="893" spans="1:9" x14ac:dyDescent="0.2">
      <c r="A893" s="1"/>
      <c r="I893" s="1"/>
    </row>
    <row r="894" spans="1:9" x14ac:dyDescent="0.2">
      <c r="A894" s="1"/>
      <c r="I894" s="1"/>
    </row>
    <row r="895" spans="1:9" x14ac:dyDescent="0.2">
      <c r="A895" s="1"/>
      <c r="I895" s="1"/>
    </row>
    <row r="896" spans="1:9" x14ac:dyDescent="0.2">
      <c r="A896" s="1"/>
      <c r="I896" s="1"/>
    </row>
    <row r="897" spans="1:9" x14ac:dyDescent="0.2">
      <c r="A897" s="1"/>
      <c r="I897" s="1"/>
    </row>
    <row r="898" spans="1:9" x14ac:dyDescent="0.2">
      <c r="A898" s="1"/>
      <c r="I898" s="1"/>
    </row>
    <row r="899" spans="1:9" x14ac:dyDescent="0.2">
      <c r="A899" s="1"/>
      <c r="I899" s="1"/>
    </row>
    <row r="900" spans="1:9" x14ac:dyDescent="0.2">
      <c r="A900" s="1"/>
      <c r="I900" s="1"/>
    </row>
    <row r="901" spans="1:9" x14ac:dyDescent="0.2">
      <c r="A901" s="1"/>
      <c r="I901" s="1"/>
    </row>
    <row r="902" spans="1:9" x14ac:dyDescent="0.2">
      <c r="A902" s="1"/>
      <c r="I902" s="1"/>
    </row>
    <row r="903" spans="1:9" x14ac:dyDescent="0.2">
      <c r="A903" s="1"/>
      <c r="I903" s="1"/>
    </row>
    <row r="904" spans="1:9" x14ac:dyDescent="0.2">
      <c r="A904" s="1"/>
      <c r="I904" s="1"/>
    </row>
    <row r="905" spans="1:9" x14ac:dyDescent="0.2">
      <c r="A905" s="1"/>
      <c r="I905" s="1"/>
    </row>
    <row r="906" spans="1:9" x14ac:dyDescent="0.2">
      <c r="A906" s="1"/>
      <c r="I906" s="1"/>
    </row>
    <row r="907" spans="1:9" x14ac:dyDescent="0.2">
      <c r="A907" s="1"/>
      <c r="I907" s="1"/>
    </row>
    <row r="908" spans="1:9" x14ac:dyDescent="0.2">
      <c r="A908" s="1"/>
      <c r="I908" s="1"/>
    </row>
    <row r="909" spans="1:9" x14ac:dyDescent="0.2">
      <c r="A909" s="1"/>
      <c r="I909" s="1"/>
    </row>
    <row r="910" spans="1:9" x14ac:dyDescent="0.2">
      <c r="A910" s="1"/>
      <c r="I910" s="1"/>
    </row>
    <row r="911" spans="1:9" x14ac:dyDescent="0.2">
      <c r="A911" s="1"/>
      <c r="I911" s="1"/>
    </row>
    <row r="912" spans="1:9" x14ac:dyDescent="0.2">
      <c r="A912" s="1"/>
      <c r="I912" s="1"/>
    </row>
    <row r="913" spans="1:9" x14ac:dyDescent="0.2">
      <c r="A913" s="1"/>
      <c r="I913" s="1"/>
    </row>
    <row r="914" spans="1:9" x14ac:dyDescent="0.2">
      <c r="A914" s="1"/>
      <c r="I914" s="1"/>
    </row>
    <row r="915" spans="1:9" x14ac:dyDescent="0.2">
      <c r="A915" s="1"/>
      <c r="I915" s="1"/>
    </row>
    <row r="916" spans="1:9" x14ac:dyDescent="0.2">
      <c r="A916" s="1"/>
      <c r="I916" s="1"/>
    </row>
    <row r="917" spans="1:9" x14ac:dyDescent="0.2">
      <c r="A917" s="1"/>
      <c r="I917" s="1"/>
    </row>
    <row r="918" spans="1:9" x14ac:dyDescent="0.2">
      <c r="A918" s="1"/>
      <c r="I918" s="1"/>
    </row>
    <row r="919" spans="1:9" x14ac:dyDescent="0.2">
      <c r="A919" s="1"/>
      <c r="I919" s="1"/>
    </row>
    <row r="920" spans="1:9" x14ac:dyDescent="0.2">
      <c r="A920" s="1"/>
      <c r="I920" s="1"/>
    </row>
    <row r="921" spans="1:9" x14ac:dyDescent="0.2">
      <c r="A921" s="1"/>
      <c r="I921" s="1"/>
    </row>
    <row r="922" spans="1:9" x14ac:dyDescent="0.2">
      <c r="A922" s="1"/>
      <c r="I922" s="1"/>
    </row>
    <row r="923" spans="1:9" x14ac:dyDescent="0.2">
      <c r="A923" s="1"/>
      <c r="I923" s="1"/>
    </row>
    <row r="924" spans="1:9" x14ac:dyDescent="0.2">
      <c r="A924" s="1"/>
      <c r="I924" s="1"/>
    </row>
    <row r="925" spans="1:9" x14ac:dyDescent="0.2">
      <c r="A925" s="1"/>
      <c r="I925" s="1"/>
    </row>
    <row r="926" spans="1:9" x14ac:dyDescent="0.2">
      <c r="A926" s="1"/>
      <c r="I926" s="1"/>
    </row>
    <row r="927" spans="1:9" x14ac:dyDescent="0.2">
      <c r="A927" s="1"/>
      <c r="I927" s="1"/>
    </row>
    <row r="928" spans="1:9" x14ac:dyDescent="0.2">
      <c r="A928" s="1"/>
      <c r="I928" s="1"/>
    </row>
    <row r="929" spans="1:9" x14ac:dyDescent="0.2">
      <c r="A929" s="1"/>
      <c r="I929" s="1"/>
    </row>
    <row r="930" spans="1:9" x14ac:dyDescent="0.2">
      <c r="A930" s="1"/>
      <c r="I930" s="1"/>
    </row>
    <row r="931" spans="1:9" x14ac:dyDescent="0.2">
      <c r="A931" s="1"/>
      <c r="I931" s="1"/>
    </row>
    <row r="932" spans="1:9" x14ac:dyDescent="0.2">
      <c r="A932" s="1"/>
      <c r="I932" s="1"/>
    </row>
    <row r="933" spans="1:9" x14ac:dyDescent="0.2">
      <c r="A933" s="1"/>
      <c r="I933" s="1"/>
    </row>
    <row r="934" spans="1:9" x14ac:dyDescent="0.2">
      <c r="A934" s="1"/>
      <c r="I934" s="1"/>
    </row>
    <row r="935" spans="1:9" x14ac:dyDescent="0.2">
      <c r="A935" s="1"/>
      <c r="I935" s="1"/>
    </row>
    <row r="936" spans="1:9" x14ac:dyDescent="0.2">
      <c r="A936" s="1"/>
      <c r="I936" s="1"/>
    </row>
    <row r="937" spans="1:9" x14ac:dyDescent="0.2">
      <c r="A937" s="1"/>
      <c r="I937" s="1"/>
    </row>
    <row r="938" spans="1:9" x14ac:dyDescent="0.2">
      <c r="A938" s="1"/>
      <c r="I938" s="1"/>
    </row>
    <row r="939" spans="1:9" x14ac:dyDescent="0.2">
      <c r="A939" s="1"/>
      <c r="I939" s="1"/>
    </row>
    <row r="940" spans="1:9" x14ac:dyDescent="0.2">
      <c r="A940" s="1"/>
      <c r="I940" s="1"/>
    </row>
    <row r="941" spans="1:9" x14ac:dyDescent="0.2">
      <c r="A941" s="1"/>
      <c r="I941" s="1"/>
    </row>
    <row r="942" spans="1:9" x14ac:dyDescent="0.2">
      <c r="A942" s="1"/>
      <c r="I942" s="1"/>
    </row>
    <row r="943" spans="1:9" x14ac:dyDescent="0.2">
      <c r="A943" s="1"/>
      <c r="I943" s="1"/>
    </row>
    <row r="944" spans="1:9" x14ac:dyDescent="0.2">
      <c r="A944" s="1"/>
      <c r="I944" s="1"/>
    </row>
    <row r="945" spans="1:9" x14ac:dyDescent="0.2">
      <c r="A945" s="1"/>
      <c r="I945" s="1"/>
    </row>
    <row r="946" spans="1:9" x14ac:dyDescent="0.2">
      <c r="A946" s="1"/>
      <c r="I946" s="1"/>
    </row>
    <row r="947" spans="1:9" x14ac:dyDescent="0.2">
      <c r="A947" s="1"/>
      <c r="I947" s="1"/>
    </row>
    <row r="948" spans="1:9" x14ac:dyDescent="0.2">
      <c r="A948" s="1"/>
      <c r="I948" s="1"/>
    </row>
    <row r="949" spans="1:9" x14ac:dyDescent="0.2">
      <c r="A949" s="1"/>
      <c r="I949" s="1"/>
    </row>
    <row r="950" spans="1:9" x14ac:dyDescent="0.2">
      <c r="A950" s="1"/>
      <c r="I950" s="1"/>
    </row>
    <row r="951" spans="1:9" x14ac:dyDescent="0.2">
      <c r="A951" s="1"/>
      <c r="I951" s="1"/>
    </row>
    <row r="952" spans="1:9" x14ac:dyDescent="0.2">
      <c r="A952" s="1"/>
      <c r="I952" s="1"/>
    </row>
    <row r="953" spans="1:9" x14ac:dyDescent="0.2">
      <c r="A953" s="1"/>
      <c r="I953" s="1"/>
    </row>
    <row r="954" spans="1:9" x14ac:dyDescent="0.2">
      <c r="A954" s="1"/>
      <c r="I954" s="1"/>
    </row>
    <row r="955" spans="1:9" x14ac:dyDescent="0.2">
      <c r="A955" s="1"/>
      <c r="I955" s="1"/>
    </row>
    <row r="956" spans="1:9" x14ac:dyDescent="0.2">
      <c r="A956" s="1"/>
      <c r="I956" s="1"/>
    </row>
    <row r="957" spans="1:9" x14ac:dyDescent="0.2">
      <c r="A957" s="1"/>
      <c r="I957" s="1"/>
    </row>
    <row r="958" spans="1:9" x14ac:dyDescent="0.2">
      <c r="A958" s="1"/>
      <c r="I958" s="1"/>
    </row>
    <row r="959" spans="1:9" x14ac:dyDescent="0.2">
      <c r="A959" s="1"/>
      <c r="I959" s="1"/>
    </row>
    <row r="960" spans="1:9" x14ac:dyDescent="0.2">
      <c r="A960" s="1"/>
      <c r="I960" s="1"/>
    </row>
    <row r="961" spans="1:9" x14ac:dyDescent="0.2">
      <c r="A961" s="1"/>
      <c r="I961" s="1"/>
    </row>
    <row r="962" spans="1:9" x14ac:dyDescent="0.2">
      <c r="A962" s="1"/>
      <c r="I962" s="1"/>
    </row>
    <row r="963" spans="1:9" x14ac:dyDescent="0.2">
      <c r="A963" s="1"/>
      <c r="I963" s="1"/>
    </row>
    <row r="964" spans="1:9" x14ac:dyDescent="0.2">
      <c r="A964" s="1"/>
      <c r="I964" s="1"/>
    </row>
    <row r="965" spans="1:9" x14ac:dyDescent="0.2">
      <c r="A965" s="1"/>
      <c r="I965" s="1"/>
    </row>
    <row r="966" spans="1:9" x14ac:dyDescent="0.2">
      <c r="A966" s="1"/>
      <c r="I966" s="1"/>
    </row>
    <row r="967" spans="1:9" x14ac:dyDescent="0.2">
      <c r="A967" s="1"/>
      <c r="I967" s="1"/>
    </row>
    <row r="968" spans="1:9" x14ac:dyDescent="0.2">
      <c r="A968" s="1"/>
      <c r="I968" s="1"/>
    </row>
    <row r="969" spans="1:9" x14ac:dyDescent="0.2">
      <c r="A969" s="1"/>
      <c r="I969" s="1"/>
    </row>
    <row r="970" spans="1:9" x14ac:dyDescent="0.2">
      <c r="A970" s="1"/>
      <c r="I970" s="1"/>
    </row>
    <row r="971" spans="1:9" x14ac:dyDescent="0.2">
      <c r="A971" s="1"/>
      <c r="I971" s="1"/>
    </row>
    <row r="972" spans="1:9" x14ac:dyDescent="0.2">
      <c r="A972" s="1"/>
      <c r="I972" s="1"/>
    </row>
    <row r="973" spans="1:9" x14ac:dyDescent="0.2">
      <c r="A973" s="1"/>
      <c r="I973" s="1"/>
    </row>
    <row r="974" spans="1:9" x14ac:dyDescent="0.2">
      <c r="A974" s="1"/>
      <c r="I974" s="1"/>
    </row>
    <row r="975" spans="1:9" x14ac:dyDescent="0.2">
      <c r="A975" s="1"/>
      <c r="I975" s="1"/>
    </row>
    <row r="976" spans="1:9" x14ac:dyDescent="0.2">
      <c r="A976" s="1"/>
      <c r="I976" s="1"/>
    </row>
    <row r="977" spans="1:9" x14ac:dyDescent="0.2">
      <c r="A977" s="1"/>
      <c r="I977" s="1"/>
    </row>
    <row r="978" spans="1:9" x14ac:dyDescent="0.2">
      <c r="A978" s="1"/>
      <c r="I978" s="1"/>
    </row>
    <row r="979" spans="1:9" x14ac:dyDescent="0.2">
      <c r="A979" s="1"/>
      <c r="I979" s="1"/>
    </row>
    <row r="980" spans="1:9" x14ac:dyDescent="0.2">
      <c r="A980" s="1"/>
      <c r="I980" s="1"/>
    </row>
    <row r="981" spans="1:9" x14ac:dyDescent="0.2">
      <c r="A981" s="1"/>
      <c r="I981" s="1"/>
    </row>
    <row r="982" spans="1:9" x14ac:dyDescent="0.2">
      <c r="A982" s="1"/>
      <c r="I982" s="1"/>
    </row>
    <row r="983" spans="1:9" x14ac:dyDescent="0.2">
      <c r="A983" s="1"/>
      <c r="I983" s="1"/>
    </row>
    <row r="984" spans="1:9" x14ac:dyDescent="0.2">
      <c r="A984" s="1"/>
      <c r="I984" s="1"/>
    </row>
    <row r="985" spans="1:9" x14ac:dyDescent="0.2">
      <c r="A985" s="1"/>
      <c r="I985" s="1"/>
    </row>
    <row r="986" spans="1:9" x14ac:dyDescent="0.2">
      <c r="A986" s="1"/>
      <c r="I986" s="1"/>
    </row>
    <row r="987" spans="1:9" x14ac:dyDescent="0.2">
      <c r="A987" s="1"/>
      <c r="I987" s="1"/>
    </row>
    <row r="988" spans="1:9" x14ac:dyDescent="0.2">
      <c r="A988" s="1"/>
      <c r="I988" s="1"/>
    </row>
    <row r="989" spans="1:9" x14ac:dyDescent="0.2">
      <c r="A989" s="1"/>
      <c r="I989" s="1"/>
    </row>
    <row r="990" spans="1:9" x14ac:dyDescent="0.2">
      <c r="A990" s="1"/>
      <c r="I990" s="1"/>
    </row>
    <row r="991" spans="1:9" x14ac:dyDescent="0.2">
      <c r="A991" s="1"/>
      <c r="I991" s="1"/>
    </row>
    <row r="992" spans="1:9" x14ac:dyDescent="0.2">
      <c r="A992" s="1"/>
      <c r="I992" s="1"/>
    </row>
    <row r="993" spans="1:9" x14ac:dyDescent="0.2">
      <c r="A993" s="1"/>
      <c r="I993" s="1"/>
    </row>
    <row r="994" spans="1:9" x14ac:dyDescent="0.2">
      <c r="A994" s="1"/>
      <c r="I994" s="1"/>
    </row>
    <row r="995" spans="1:9" x14ac:dyDescent="0.2">
      <c r="A995" s="1"/>
      <c r="I995" s="1"/>
    </row>
    <row r="996" spans="1:9" x14ac:dyDescent="0.2">
      <c r="A996" s="1"/>
      <c r="I996" s="1"/>
    </row>
    <row r="997" spans="1:9" x14ac:dyDescent="0.2">
      <c r="A997" s="1"/>
      <c r="I997" s="1"/>
    </row>
    <row r="998" spans="1:9" x14ac:dyDescent="0.2">
      <c r="A998" s="1"/>
      <c r="I998" s="1"/>
    </row>
    <row r="999" spans="1:9" x14ac:dyDescent="0.2">
      <c r="A999" s="1"/>
      <c r="I999" s="1"/>
    </row>
    <row r="1000" spans="1:9" x14ac:dyDescent="0.2">
      <c r="A1000" s="1"/>
      <c r="I1000" s="1"/>
    </row>
    <row r="1001" spans="1:9" x14ac:dyDescent="0.2">
      <c r="A1001" s="1"/>
      <c r="I1001" s="1"/>
    </row>
    <row r="1002" spans="1:9" x14ac:dyDescent="0.2">
      <c r="A1002" s="1"/>
      <c r="I1002" s="1"/>
    </row>
    <row r="1003" spans="1:9" x14ac:dyDescent="0.2">
      <c r="A1003" s="1"/>
      <c r="I1003" s="1"/>
    </row>
    <row r="1004" spans="1:9" x14ac:dyDescent="0.2">
      <c r="A1004" s="1"/>
      <c r="I1004" s="1"/>
    </row>
    <row r="1005" spans="1:9" x14ac:dyDescent="0.2">
      <c r="A1005" s="1"/>
      <c r="I1005" s="1"/>
    </row>
    <row r="1006" spans="1:9" x14ac:dyDescent="0.2">
      <c r="A1006" s="1"/>
      <c r="I1006" s="1"/>
    </row>
    <row r="1007" spans="1:9" x14ac:dyDescent="0.2">
      <c r="A1007" s="1"/>
      <c r="I1007" s="1"/>
    </row>
    <row r="1008" spans="1:9" x14ac:dyDescent="0.2">
      <c r="A1008" s="1"/>
      <c r="I1008" s="1"/>
    </row>
    <row r="1009" spans="1:9" x14ac:dyDescent="0.2">
      <c r="A1009" s="1"/>
      <c r="I1009" s="1"/>
    </row>
    <row r="1010" spans="1:9" x14ac:dyDescent="0.2">
      <c r="A1010" s="1"/>
      <c r="I1010" s="1"/>
    </row>
    <row r="1011" spans="1:9" x14ac:dyDescent="0.2">
      <c r="A1011" s="1"/>
      <c r="I1011" s="1"/>
    </row>
    <row r="1012" spans="1:9" x14ac:dyDescent="0.2">
      <c r="A1012" s="1"/>
      <c r="I1012" s="1"/>
    </row>
    <row r="1013" spans="1:9" x14ac:dyDescent="0.2">
      <c r="A1013" s="1"/>
      <c r="I1013" s="1"/>
    </row>
    <row r="1014" spans="1:9" x14ac:dyDescent="0.2">
      <c r="A1014" s="1"/>
      <c r="I1014" s="1"/>
    </row>
    <row r="1015" spans="1:9" x14ac:dyDescent="0.2">
      <c r="A1015" s="1"/>
      <c r="I1015" s="1"/>
    </row>
    <row r="1016" spans="1:9" x14ac:dyDescent="0.2">
      <c r="A1016" s="1"/>
      <c r="I1016" s="1"/>
    </row>
    <row r="1017" spans="1:9" x14ac:dyDescent="0.2">
      <c r="A1017" s="1"/>
      <c r="I1017" s="1"/>
    </row>
    <row r="1018" spans="1:9" x14ac:dyDescent="0.2">
      <c r="A1018" s="1"/>
      <c r="I1018" s="1"/>
    </row>
    <row r="1019" spans="1:9" x14ac:dyDescent="0.2">
      <c r="A1019" s="1"/>
      <c r="I1019" s="1"/>
    </row>
    <row r="1020" spans="1:9" x14ac:dyDescent="0.2">
      <c r="A1020" s="1"/>
      <c r="I1020" s="1"/>
    </row>
    <row r="1021" spans="1:9" x14ac:dyDescent="0.2">
      <c r="A1021" s="1"/>
      <c r="I1021" s="1"/>
    </row>
    <row r="1022" spans="1:9" x14ac:dyDescent="0.2">
      <c r="A1022" s="1"/>
      <c r="I1022" s="1"/>
    </row>
    <row r="1023" spans="1:9" x14ac:dyDescent="0.2">
      <c r="A1023" s="1"/>
      <c r="I1023" s="1"/>
    </row>
    <row r="1024" spans="1:9" x14ac:dyDescent="0.2">
      <c r="A1024" s="1"/>
      <c r="I1024" s="1"/>
    </row>
    <row r="1025" spans="1:9" x14ac:dyDescent="0.2">
      <c r="A1025" s="1"/>
      <c r="I1025" s="1"/>
    </row>
    <row r="1026" spans="1:9" x14ac:dyDescent="0.2">
      <c r="A1026" s="1"/>
      <c r="I1026" s="1"/>
    </row>
    <row r="1027" spans="1:9" x14ac:dyDescent="0.2">
      <c r="A1027" s="1"/>
      <c r="I1027" s="1"/>
    </row>
    <row r="1028" spans="1:9" x14ac:dyDescent="0.2">
      <c r="A1028" s="1"/>
      <c r="I1028" s="1"/>
    </row>
    <row r="1029" spans="1:9" x14ac:dyDescent="0.2">
      <c r="A1029" s="1"/>
      <c r="I1029" s="1"/>
    </row>
    <row r="1030" spans="1:9" x14ac:dyDescent="0.2">
      <c r="A1030" s="1"/>
      <c r="I1030" s="1"/>
    </row>
    <row r="1031" spans="1:9" x14ac:dyDescent="0.2">
      <c r="A1031" s="1"/>
      <c r="I1031" s="1"/>
    </row>
    <row r="1032" spans="1:9" x14ac:dyDescent="0.2">
      <c r="A1032" s="1"/>
      <c r="I1032" s="1"/>
    </row>
    <row r="1033" spans="1:9" x14ac:dyDescent="0.2">
      <c r="A1033" s="1"/>
      <c r="I1033" s="1"/>
    </row>
    <row r="1034" spans="1:9" x14ac:dyDescent="0.2">
      <c r="A1034" s="1"/>
      <c r="I1034" s="1"/>
    </row>
    <row r="1035" spans="1:9" x14ac:dyDescent="0.2">
      <c r="A1035" s="1"/>
      <c r="I1035" s="1"/>
    </row>
    <row r="1036" spans="1:9" x14ac:dyDescent="0.2">
      <c r="A1036" s="1"/>
      <c r="I1036" s="1"/>
    </row>
    <row r="1037" spans="1:9" x14ac:dyDescent="0.2">
      <c r="A1037" s="1"/>
      <c r="I1037" s="1"/>
    </row>
    <row r="1038" spans="1:9" x14ac:dyDescent="0.2">
      <c r="A1038" s="1"/>
      <c r="I1038" s="1"/>
    </row>
    <row r="1039" spans="1:9" x14ac:dyDescent="0.2">
      <c r="A1039" s="1"/>
      <c r="I1039" s="1"/>
    </row>
    <row r="1040" spans="1:9" x14ac:dyDescent="0.2">
      <c r="A1040" s="1"/>
      <c r="I1040" s="1"/>
    </row>
    <row r="1041" spans="1:9" x14ac:dyDescent="0.2">
      <c r="A1041" s="1"/>
      <c r="I1041" s="1"/>
    </row>
    <row r="1042" spans="1:9" x14ac:dyDescent="0.2">
      <c r="A1042" s="1"/>
      <c r="I1042" s="1"/>
    </row>
    <row r="1043" spans="1:9" x14ac:dyDescent="0.2">
      <c r="A1043" s="1"/>
      <c r="I1043" s="1"/>
    </row>
    <row r="1044" spans="1:9" x14ac:dyDescent="0.2">
      <c r="A1044" s="1"/>
      <c r="I1044" s="1"/>
    </row>
    <row r="1045" spans="1:9" x14ac:dyDescent="0.2">
      <c r="A1045" s="1"/>
      <c r="I1045" s="1"/>
    </row>
    <row r="1046" spans="1:9" x14ac:dyDescent="0.2">
      <c r="A1046" s="1"/>
      <c r="I1046" s="1"/>
    </row>
    <row r="1047" spans="1:9" x14ac:dyDescent="0.2">
      <c r="A1047" s="1"/>
      <c r="I1047" s="1"/>
    </row>
    <row r="1048" spans="1:9" x14ac:dyDescent="0.2">
      <c r="A1048" s="1"/>
      <c r="I1048" s="1"/>
    </row>
    <row r="1049" spans="1:9" x14ac:dyDescent="0.2">
      <c r="A1049" s="1"/>
      <c r="I1049" s="1"/>
    </row>
    <row r="1050" spans="1:9" x14ac:dyDescent="0.2">
      <c r="A1050" s="1"/>
      <c r="I1050" s="1"/>
    </row>
    <row r="1051" spans="1:9" x14ac:dyDescent="0.2">
      <c r="A1051" s="1"/>
      <c r="I1051" s="1"/>
    </row>
    <row r="1052" spans="1:9" x14ac:dyDescent="0.2">
      <c r="A1052" s="1"/>
      <c r="I1052" s="1"/>
    </row>
    <row r="1053" spans="1:9" x14ac:dyDescent="0.2">
      <c r="A1053" s="1"/>
      <c r="I1053" s="1"/>
    </row>
    <row r="1054" spans="1:9" x14ac:dyDescent="0.2">
      <c r="A1054" s="1"/>
      <c r="I1054" s="1"/>
    </row>
    <row r="1055" spans="1:9" x14ac:dyDescent="0.2">
      <c r="A1055" s="1"/>
      <c r="I1055" s="1"/>
    </row>
    <row r="1056" spans="1:9" x14ac:dyDescent="0.2">
      <c r="A1056" s="1"/>
      <c r="I1056" s="1"/>
    </row>
    <row r="1057" spans="1:9" x14ac:dyDescent="0.2">
      <c r="A1057" s="1"/>
      <c r="I1057" s="1"/>
    </row>
    <row r="1058" spans="1:9" x14ac:dyDescent="0.2">
      <c r="A1058" s="1"/>
      <c r="I1058" s="1"/>
    </row>
    <row r="1059" spans="1:9" x14ac:dyDescent="0.2">
      <c r="A1059" s="1"/>
      <c r="I1059" s="1"/>
    </row>
    <row r="1060" spans="1:9" x14ac:dyDescent="0.2">
      <c r="A1060" s="1"/>
      <c r="I1060" s="1"/>
    </row>
    <row r="1061" spans="1:9" x14ac:dyDescent="0.2">
      <c r="A1061" s="1"/>
      <c r="I1061" s="1"/>
    </row>
    <row r="1062" spans="1:9" x14ac:dyDescent="0.2">
      <c r="A1062" s="1"/>
      <c r="I1062" s="1"/>
    </row>
    <row r="1063" spans="1:9" x14ac:dyDescent="0.2">
      <c r="A1063" s="1"/>
      <c r="I1063" s="1"/>
    </row>
    <row r="1064" spans="1:9" x14ac:dyDescent="0.2">
      <c r="A1064" s="1"/>
      <c r="I1064" s="1"/>
    </row>
    <row r="1065" spans="1:9" x14ac:dyDescent="0.2">
      <c r="A1065" s="1"/>
      <c r="I1065" s="1"/>
    </row>
    <row r="1066" spans="1:9" x14ac:dyDescent="0.2">
      <c r="A1066" s="1"/>
      <c r="I1066" s="1"/>
    </row>
    <row r="1067" spans="1:9" x14ac:dyDescent="0.2">
      <c r="A1067" s="1"/>
      <c r="I1067" s="1"/>
    </row>
    <row r="1068" spans="1:9" x14ac:dyDescent="0.2">
      <c r="A1068" s="1"/>
      <c r="I1068" s="1"/>
    </row>
    <row r="1069" spans="1:9" x14ac:dyDescent="0.2">
      <c r="A1069" s="1"/>
      <c r="I1069" s="1"/>
    </row>
    <row r="1070" spans="1:9" x14ac:dyDescent="0.2">
      <c r="A1070" s="1"/>
      <c r="I1070" s="1"/>
    </row>
    <row r="1071" spans="1:9" x14ac:dyDescent="0.2">
      <c r="A1071" s="1"/>
      <c r="I1071" s="1"/>
    </row>
    <row r="1072" spans="1:9" x14ac:dyDescent="0.2">
      <c r="A1072" s="1"/>
      <c r="I1072" s="1"/>
    </row>
    <row r="1073" spans="1:9" x14ac:dyDescent="0.2">
      <c r="A1073" s="1"/>
      <c r="I1073" s="1"/>
    </row>
    <row r="1074" spans="1:9" x14ac:dyDescent="0.2">
      <c r="A1074" s="1"/>
      <c r="I1074" s="1"/>
    </row>
    <row r="1075" spans="1:9" x14ac:dyDescent="0.2">
      <c r="A1075" s="1"/>
      <c r="I1075" s="1"/>
    </row>
    <row r="1076" spans="1:9" x14ac:dyDescent="0.2">
      <c r="A1076" s="1"/>
      <c r="I1076" s="1"/>
    </row>
    <row r="1077" spans="1:9" x14ac:dyDescent="0.2">
      <c r="A1077" s="1"/>
      <c r="I1077" s="1"/>
    </row>
    <row r="1078" spans="1:9" x14ac:dyDescent="0.2">
      <c r="A1078" s="1"/>
      <c r="I1078" s="1"/>
    </row>
    <row r="1079" spans="1:9" x14ac:dyDescent="0.2">
      <c r="A1079" s="1"/>
      <c r="I1079" s="1"/>
    </row>
    <row r="1080" spans="1:9" x14ac:dyDescent="0.2">
      <c r="A1080" s="1"/>
      <c r="I1080" s="1"/>
    </row>
    <row r="1081" spans="1:9" x14ac:dyDescent="0.2">
      <c r="A1081" s="1"/>
      <c r="I1081" s="1"/>
    </row>
    <row r="1082" spans="1:9" x14ac:dyDescent="0.2">
      <c r="A1082" s="1"/>
      <c r="I1082" s="1"/>
    </row>
    <row r="1083" spans="1:9" x14ac:dyDescent="0.2">
      <c r="A1083" s="1"/>
      <c r="I1083" s="1"/>
    </row>
    <row r="1084" spans="1:9" x14ac:dyDescent="0.2">
      <c r="A1084" s="1"/>
      <c r="I1084" s="1"/>
    </row>
    <row r="1085" spans="1:9" x14ac:dyDescent="0.2">
      <c r="A1085" s="1"/>
      <c r="I1085" s="1"/>
    </row>
    <row r="1086" spans="1:9" x14ac:dyDescent="0.2">
      <c r="A1086" s="1"/>
      <c r="I1086" s="1"/>
    </row>
    <row r="1087" spans="1:9" x14ac:dyDescent="0.2">
      <c r="A1087" s="1"/>
      <c r="I1087" s="1"/>
    </row>
    <row r="1088" spans="1:9" x14ac:dyDescent="0.2">
      <c r="A1088" s="1"/>
      <c r="I1088" s="1"/>
    </row>
    <row r="1089" spans="1:9" x14ac:dyDescent="0.2">
      <c r="A1089" s="1"/>
      <c r="I1089" s="1"/>
    </row>
    <row r="1090" spans="1:9" x14ac:dyDescent="0.2">
      <c r="A1090" s="1"/>
      <c r="I1090" s="1"/>
    </row>
    <row r="1091" spans="1:9" x14ac:dyDescent="0.2">
      <c r="A1091" s="1"/>
      <c r="I1091" s="1"/>
    </row>
    <row r="1092" spans="1:9" x14ac:dyDescent="0.2">
      <c r="A1092" s="1"/>
      <c r="I1092" s="1"/>
    </row>
    <row r="1093" spans="1:9" x14ac:dyDescent="0.2">
      <c r="A1093" s="1"/>
      <c r="I1093" s="1"/>
    </row>
    <row r="1094" spans="1:9" x14ac:dyDescent="0.2">
      <c r="A1094" s="1"/>
      <c r="I1094" s="1"/>
    </row>
    <row r="1095" spans="1:9" x14ac:dyDescent="0.2">
      <c r="A1095" s="1"/>
      <c r="I1095" s="1"/>
    </row>
    <row r="1096" spans="1:9" x14ac:dyDescent="0.2">
      <c r="A1096" s="1"/>
      <c r="I1096" s="1"/>
    </row>
    <row r="1097" spans="1:9" x14ac:dyDescent="0.2">
      <c r="A1097" s="1"/>
      <c r="I1097" s="1"/>
    </row>
    <row r="1098" spans="1:9" x14ac:dyDescent="0.2">
      <c r="A1098" s="1"/>
      <c r="I1098" s="1"/>
    </row>
    <row r="1099" spans="1:9" x14ac:dyDescent="0.2">
      <c r="A1099" s="1"/>
      <c r="I1099" s="1"/>
    </row>
    <row r="1100" spans="1:9" x14ac:dyDescent="0.2">
      <c r="A1100" s="1"/>
      <c r="I1100" s="1"/>
    </row>
    <row r="1101" spans="1:9" x14ac:dyDescent="0.2">
      <c r="A1101" s="1"/>
      <c r="I1101" s="1"/>
    </row>
    <row r="1102" spans="1:9" x14ac:dyDescent="0.2">
      <c r="A1102" s="1"/>
      <c r="I1102" s="1"/>
    </row>
    <row r="1103" spans="1:9" x14ac:dyDescent="0.2">
      <c r="A1103" s="1"/>
      <c r="I1103" s="1"/>
    </row>
    <row r="1104" spans="1:9" x14ac:dyDescent="0.2">
      <c r="A1104" s="1"/>
      <c r="I1104" s="1"/>
    </row>
    <row r="1105" spans="1:9" x14ac:dyDescent="0.2">
      <c r="A1105" s="1"/>
      <c r="I1105" s="1"/>
    </row>
    <row r="1106" spans="1:9" x14ac:dyDescent="0.2">
      <c r="A1106" s="1"/>
      <c r="I1106" s="1"/>
    </row>
    <row r="1107" spans="1:9" x14ac:dyDescent="0.2">
      <c r="A1107" s="1"/>
      <c r="I1107" s="1"/>
    </row>
    <row r="1108" spans="1:9" x14ac:dyDescent="0.2">
      <c r="A1108" s="1"/>
      <c r="I1108" s="1"/>
    </row>
    <row r="1109" spans="1:9" x14ac:dyDescent="0.2">
      <c r="A1109" s="1"/>
      <c r="I1109" s="1"/>
    </row>
    <row r="1110" spans="1:9" x14ac:dyDescent="0.2">
      <c r="A1110" s="1"/>
      <c r="I1110" s="1"/>
    </row>
    <row r="1111" spans="1:9" x14ac:dyDescent="0.2">
      <c r="A1111" s="1"/>
      <c r="I1111" s="1"/>
    </row>
    <row r="1112" spans="1:9" x14ac:dyDescent="0.2">
      <c r="A1112" s="1"/>
      <c r="I1112" s="1"/>
    </row>
    <row r="1113" spans="1:9" x14ac:dyDescent="0.2">
      <c r="A1113" s="1"/>
      <c r="I1113" s="1"/>
    </row>
    <row r="1114" spans="1:9" x14ac:dyDescent="0.2">
      <c r="A1114" s="1"/>
      <c r="I1114" s="1"/>
    </row>
    <row r="1115" spans="1:9" x14ac:dyDescent="0.2">
      <c r="A1115" s="1"/>
      <c r="I1115" s="1"/>
    </row>
    <row r="1116" spans="1:9" x14ac:dyDescent="0.2">
      <c r="A1116" s="1"/>
      <c r="I1116" s="1"/>
    </row>
    <row r="1117" spans="1:9" x14ac:dyDescent="0.2">
      <c r="A1117" s="1"/>
      <c r="I1117" s="1"/>
    </row>
    <row r="1118" spans="1:9" x14ac:dyDescent="0.2">
      <c r="A1118" s="1"/>
      <c r="I1118" s="1"/>
    </row>
    <row r="1119" spans="1:9" x14ac:dyDescent="0.2">
      <c r="A1119" s="1"/>
      <c r="I1119" s="1"/>
    </row>
    <row r="1120" spans="1:9" x14ac:dyDescent="0.2">
      <c r="A1120" s="1"/>
      <c r="I1120" s="1"/>
    </row>
    <row r="1121" spans="1:9" x14ac:dyDescent="0.2">
      <c r="A1121" s="1"/>
      <c r="I1121" s="1"/>
    </row>
    <row r="1122" spans="1:9" x14ac:dyDescent="0.2">
      <c r="A1122" s="1"/>
      <c r="I1122" s="1"/>
    </row>
    <row r="1123" spans="1:9" x14ac:dyDescent="0.2">
      <c r="A1123" s="1"/>
      <c r="I1123" s="1"/>
    </row>
    <row r="1124" spans="1:9" x14ac:dyDescent="0.2">
      <c r="A1124" s="1"/>
      <c r="I1124" s="1"/>
    </row>
    <row r="1125" spans="1:9" x14ac:dyDescent="0.2">
      <c r="A1125" s="1"/>
      <c r="I1125" s="1"/>
    </row>
    <row r="1126" spans="1:9" x14ac:dyDescent="0.2">
      <c r="A1126" s="1"/>
      <c r="I1126" s="1"/>
    </row>
    <row r="1127" spans="1:9" x14ac:dyDescent="0.2">
      <c r="A1127" s="1"/>
      <c r="I1127" s="1"/>
    </row>
    <row r="1128" spans="1:9" x14ac:dyDescent="0.2">
      <c r="A1128" s="1"/>
      <c r="I1128" s="1"/>
    </row>
    <row r="1129" spans="1:9" x14ac:dyDescent="0.2">
      <c r="A1129" s="1"/>
      <c r="I1129" s="1"/>
    </row>
    <row r="1130" spans="1:9" x14ac:dyDescent="0.2">
      <c r="A1130" s="1"/>
      <c r="I1130" s="1"/>
    </row>
    <row r="1131" spans="1:9" x14ac:dyDescent="0.2">
      <c r="A1131" s="1"/>
      <c r="I1131" s="1"/>
    </row>
    <row r="1132" spans="1:9" x14ac:dyDescent="0.2">
      <c r="A1132" s="1"/>
      <c r="I1132" s="1"/>
    </row>
    <row r="1133" spans="1:9" x14ac:dyDescent="0.2">
      <c r="A1133" s="1"/>
      <c r="I1133" s="1"/>
    </row>
    <row r="1134" spans="1:9" x14ac:dyDescent="0.2">
      <c r="A1134" s="1"/>
      <c r="I1134" s="1"/>
    </row>
    <row r="1135" spans="1:9" x14ac:dyDescent="0.2">
      <c r="A1135" s="1"/>
      <c r="I1135" s="1"/>
    </row>
    <row r="1136" spans="1:9" x14ac:dyDescent="0.2">
      <c r="A1136" s="1"/>
      <c r="I1136" s="1"/>
    </row>
    <row r="1137" spans="1:9" x14ac:dyDescent="0.2">
      <c r="A1137" s="1"/>
      <c r="I1137" s="1"/>
    </row>
    <row r="1138" spans="1:9" x14ac:dyDescent="0.2">
      <c r="A1138" s="1"/>
      <c r="I1138" s="1"/>
    </row>
    <row r="1139" spans="1:9" x14ac:dyDescent="0.2">
      <c r="A1139" s="1"/>
      <c r="I1139" s="1"/>
    </row>
    <row r="1140" spans="1:9" x14ac:dyDescent="0.2">
      <c r="A1140" s="1"/>
      <c r="I1140" s="1"/>
    </row>
    <row r="1141" spans="1:9" x14ac:dyDescent="0.2">
      <c r="A1141" s="1"/>
      <c r="I1141" s="1"/>
    </row>
    <row r="1142" spans="1:9" x14ac:dyDescent="0.2">
      <c r="A1142" s="1"/>
      <c r="I1142" s="1"/>
    </row>
    <row r="1143" spans="1:9" x14ac:dyDescent="0.2">
      <c r="A1143" s="1"/>
      <c r="I1143" s="1"/>
    </row>
    <row r="1144" spans="1:9" x14ac:dyDescent="0.2">
      <c r="A1144" s="1"/>
      <c r="I1144" s="1"/>
    </row>
    <row r="1145" spans="1:9" x14ac:dyDescent="0.2">
      <c r="A1145" s="1"/>
      <c r="I1145" s="1"/>
    </row>
    <row r="1146" spans="1:9" x14ac:dyDescent="0.2">
      <c r="A1146" s="1"/>
      <c r="I1146" s="1"/>
    </row>
    <row r="1147" spans="1:9" x14ac:dyDescent="0.2">
      <c r="A1147" s="1"/>
      <c r="I1147" s="1"/>
    </row>
    <row r="1148" spans="1:9" x14ac:dyDescent="0.2">
      <c r="A1148" s="1"/>
      <c r="I1148" s="1"/>
    </row>
    <row r="1149" spans="1:9" x14ac:dyDescent="0.2">
      <c r="A1149" s="1"/>
      <c r="I1149" s="1"/>
    </row>
    <row r="1150" spans="1:9" x14ac:dyDescent="0.2">
      <c r="A1150" s="1"/>
      <c r="I1150" s="1"/>
    </row>
    <row r="1151" spans="1:9" x14ac:dyDescent="0.2">
      <c r="A1151" s="1"/>
      <c r="I1151" s="1"/>
    </row>
    <row r="1152" spans="1:9" x14ac:dyDescent="0.2">
      <c r="A1152" s="1"/>
      <c r="I1152" s="1"/>
    </row>
    <row r="1153" spans="1:9" x14ac:dyDescent="0.2">
      <c r="A1153" s="1"/>
      <c r="I1153" s="1"/>
    </row>
    <row r="1154" spans="1:9" x14ac:dyDescent="0.2">
      <c r="A1154" s="1"/>
      <c r="I1154" s="1"/>
    </row>
    <row r="1155" spans="1:9" x14ac:dyDescent="0.2">
      <c r="A1155" s="1"/>
      <c r="I1155" s="1"/>
    </row>
    <row r="1156" spans="1:9" x14ac:dyDescent="0.2">
      <c r="A1156" s="1"/>
      <c r="I1156" s="1"/>
    </row>
    <row r="1157" spans="1:9" x14ac:dyDescent="0.2">
      <c r="A1157" s="1"/>
      <c r="I1157" s="1"/>
    </row>
    <row r="1158" spans="1:9" x14ac:dyDescent="0.2">
      <c r="A1158" s="1"/>
      <c r="I1158" s="1"/>
    </row>
    <row r="1159" spans="1:9" x14ac:dyDescent="0.2">
      <c r="A1159" s="1"/>
      <c r="I1159" s="1"/>
    </row>
    <row r="1160" spans="1:9" x14ac:dyDescent="0.2">
      <c r="A1160" s="1"/>
      <c r="I1160" s="1"/>
    </row>
    <row r="1161" spans="1:9" x14ac:dyDescent="0.2">
      <c r="A1161" s="1"/>
      <c r="I1161" s="1"/>
    </row>
    <row r="1162" spans="1:9" x14ac:dyDescent="0.2">
      <c r="A1162" s="1"/>
      <c r="I1162" s="1"/>
    </row>
    <row r="1163" spans="1:9" x14ac:dyDescent="0.2">
      <c r="A1163" s="1"/>
      <c r="I1163" s="1"/>
    </row>
    <row r="1164" spans="1:9" x14ac:dyDescent="0.2">
      <c r="A1164" s="1"/>
      <c r="I1164" s="1"/>
    </row>
    <row r="1165" spans="1:9" x14ac:dyDescent="0.2">
      <c r="A1165" s="1"/>
      <c r="I1165" s="1"/>
    </row>
    <row r="1166" spans="1:9" x14ac:dyDescent="0.2">
      <c r="A1166" s="1"/>
      <c r="I1166" s="1"/>
    </row>
    <row r="1167" spans="1:9" x14ac:dyDescent="0.2">
      <c r="A1167" s="1"/>
      <c r="I1167" s="1"/>
    </row>
    <row r="1168" spans="1:9" x14ac:dyDescent="0.2">
      <c r="A1168" s="1"/>
      <c r="I1168" s="1"/>
    </row>
    <row r="1169" spans="1:9" x14ac:dyDescent="0.2">
      <c r="A1169" s="1"/>
      <c r="I1169" s="1"/>
    </row>
    <row r="1170" spans="1:9" x14ac:dyDescent="0.2">
      <c r="A1170" s="1"/>
      <c r="I1170" s="1"/>
    </row>
    <row r="1171" spans="1:9" x14ac:dyDescent="0.2">
      <c r="A1171" s="1"/>
      <c r="I1171" s="1"/>
    </row>
    <row r="1172" spans="1:9" x14ac:dyDescent="0.2">
      <c r="A1172" s="1"/>
      <c r="I1172" s="1"/>
    </row>
    <row r="1173" spans="1:9" x14ac:dyDescent="0.2">
      <c r="A1173" s="1"/>
      <c r="I1173" s="1"/>
    </row>
    <row r="1174" spans="1:9" x14ac:dyDescent="0.2">
      <c r="A1174" s="1"/>
      <c r="I1174" s="1"/>
    </row>
    <row r="1175" spans="1:9" x14ac:dyDescent="0.2">
      <c r="A1175" s="1"/>
      <c r="I1175" s="1"/>
    </row>
    <row r="1176" spans="1:9" x14ac:dyDescent="0.2">
      <c r="A1176" s="1"/>
      <c r="I1176" s="1"/>
    </row>
    <row r="1177" spans="1:9" x14ac:dyDescent="0.2">
      <c r="A1177" s="1"/>
      <c r="I1177" s="1"/>
    </row>
    <row r="1178" spans="1:9" x14ac:dyDescent="0.2">
      <c r="A1178" s="1"/>
      <c r="I1178" s="1"/>
    </row>
    <row r="1179" spans="1:9" x14ac:dyDescent="0.2">
      <c r="A1179" s="1"/>
      <c r="I1179" s="1"/>
    </row>
    <row r="1180" spans="1:9" x14ac:dyDescent="0.2">
      <c r="A1180" s="1"/>
      <c r="I1180" s="1"/>
    </row>
    <row r="1181" spans="1:9" x14ac:dyDescent="0.2">
      <c r="A1181" s="1"/>
      <c r="I1181" s="1"/>
    </row>
    <row r="1182" spans="1:9" x14ac:dyDescent="0.2">
      <c r="A1182" s="1"/>
      <c r="I1182" s="1"/>
    </row>
    <row r="1183" spans="1:9" x14ac:dyDescent="0.2">
      <c r="A1183" s="1"/>
      <c r="I1183" s="1"/>
    </row>
    <row r="1184" spans="1:9" x14ac:dyDescent="0.2">
      <c r="A1184" s="1"/>
      <c r="I1184" s="1"/>
    </row>
    <row r="1185" spans="1:9" x14ac:dyDescent="0.2">
      <c r="A1185" s="1"/>
      <c r="I1185" s="1"/>
    </row>
    <row r="1186" spans="1:9" x14ac:dyDescent="0.2">
      <c r="A1186" s="1"/>
      <c r="I1186" s="1"/>
    </row>
    <row r="1187" spans="1:9" x14ac:dyDescent="0.2">
      <c r="A1187" s="1"/>
      <c r="I1187" s="1"/>
    </row>
    <row r="1188" spans="1:9" x14ac:dyDescent="0.2">
      <c r="A1188" s="1"/>
      <c r="I1188" s="1"/>
    </row>
    <row r="1189" spans="1:9" x14ac:dyDescent="0.2">
      <c r="A1189" s="1"/>
      <c r="I1189" s="1"/>
    </row>
    <row r="1190" spans="1:9" x14ac:dyDescent="0.2">
      <c r="A1190" s="1"/>
      <c r="I1190" s="1"/>
    </row>
    <row r="1191" spans="1:9" x14ac:dyDescent="0.2">
      <c r="A1191" s="1"/>
      <c r="I1191" s="1"/>
    </row>
    <row r="1192" spans="1:9" x14ac:dyDescent="0.2">
      <c r="A1192" s="1"/>
      <c r="I1192" s="1"/>
    </row>
    <row r="1193" spans="1:9" x14ac:dyDescent="0.2">
      <c r="A1193" s="1"/>
      <c r="I1193" s="1"/>
    </row>
    <row r="1194" spans="1:9" x14ac:dyDescent="0.2">
      <c r="A1194" s="1"/>
      <c r="I1194" s="1"/>
    </row>
    <row r="1195" spans="1:9" x14ac:dyDescent="0.2">
      <c r="A1195" s="1"/>
      <c r="I1195" s="1"/>
    </row>
    <row r="1196" spans="1:9" x14ac:dyDescent="0.2">
      <c r="A1196" s="1"/>
      <c r="I1196" s="1"/>
    </row>
    <row r="1197" spans="1:9" x14ac:dyDescent="0.2">
      <c r="A1197" s="1"/>
      <c r="I1197" s="1"/>
    </row>
    <row r="1198" spans="1:9" x14ac:dyDescent="0.2">
      <c r="A1198" s="1"/>
      <c r="I1198" s="1"/>
    </row>
    <row r="1199" spans="1:9" x14ac:dyDescent="0.2">
      <c r="A1199" s="1"/>
      <c r="I1199" s="1"/>
    </row>
    <row r="1200" spans="1:9" x14ac:dyDescent="0.2">
      <c r="A1200" s="1"/>
      <c r="I1200" s="1"/>
    </row>
    <row r="1201" spans="1:9" x14ac:dyDescent="0.2">
      <c r="A1201" s="1"/>
      <c r="I1201" s="1"/>
    </row>
    <row r="1202" spans="1:9" x14ac:dyDescent="0.2">
      <c r="A1202" s="1"/>
      <c r="I1202" s="1"/>
    </row>
    <row r="1203" spans="1:9" x14ac:dyDescent="0.2">
      <c r="A1203" s="1"/>
      <c r="I1203" s="1"/>
    </row>
    <row r="1204" spans="1:9" x14ac:dyDescent="0.2">
      <c r="A1204" s="1"/>
      <c r="I1204" s="1"/>
    </row>
    <row r="1205" spans="1:9" x14ac:dyDescent="0.2">
      <c r="A1205" s="1"/>
      <c r="I1205" s="1"/>
    </row>
    <row r="1206" spans="1:9" x14ac:dyDescent="0.2">
      <c r="A1206" s="1"/>
      <c r="I1206" s="1"/>
    </row>
    <row r="1207" spans="1:9" x14ac:dyDescent="0.2">
      <c r="A1207" s="1"/>
      <c r="I1207" s="1"/>
    </row>
    <row r="1208" spans="1:9" x14ac:dyDescent="0.2">
      <c r="A1208" s="1"/>
      <c r="I1208" s="1"/>
    </row>
    <row r="1209" spans="1:9" x14ac:dyDescent="0.2">
      <c r="A1209" s="1"/>
      <c r="I1209" s="1"/>
    </row>
    <row r="1210" spans="1:9" x14ac:dyDescent="0.2">
      <c r="A1210" s="1"/>
      <c r="I1210" s="1"/>
    </row>
    <row r="1211" spans="1:9" x14ac:dyDescent="0.2">
      <c r="A1211" s="1"/>
      <c r="I1211" s="1"/>
    </row>
    <row r="1212" spans="1:9" x14ac:dyDescent="0.2">
      <c r="A1212" s="1"/>
      <c r="I1212" s="1"/>
    </row>
    <row r="1213" spans="1:9" x14ac:dyDescent="0.2">
      <c r="A1213" s="1"/>
      <c r="I1213" s="1"/>
    </row>
    <row r="1214" spans="1:9" x14ac:dyDescent="0.2">
      <c r="A1214" s="1"/>
      <c r="I1214" s="1"/>
    </row>
    <row r="1215" spans="1:9" x14ac:dyDescent="0.2">
      <c r="A1215" s="1"/>
      <c r="I1215" s="1"/>
    </row>
    <row r="1216" spans="1:9" x14ac:dyDescent="0.2">
      <c r="A1216" s="1"/>
      <c r="I1216" s="1"/>
    </row>
    <row r="1217" spans="1:9" x14ac:dyDescent="0.2">
      <c r="A1217" s="1"/>
      <c r="I1217" s="1"/>
    </row>
    <row r="1218" spans="1:9" x14ac:dyDescent="0.2">
      <c r="A1218" s="1"/>
      <c r="I1218" s="1"/>
    </row>
    <row r="1219" spans="1:9" x14ac:dyDescent="0.2">
      <c r="A1219" s="1"/>
      <c r="I1219" s="1"/>
    </row>
    <row r="1220" spans="1:9" x14ac:dyDescent="0.2">
      <c r="A1220" s="1"/>
      <c r="I1220" s="1"/>
    </row>
    <row r="1221" spans="1:9" x14ac:dyDescent="0.2">
      <c r="A1221" s="1"/>
      <c r="I1221" s="1"/>
    </row>
    <row r="1222" spans="1:9" x14ac:dyDescent="0.2">
      <c r="A1222" s="1"/>
      <c r="I1222" s="1"/>
    </row>
    <row r="1223" spans="1:9" x14ac:dyDescent="0.2">
      <c r="A1223" s="1"/>
      <c r="I1223" s="1"/>
    </row>
    <row r="1224" spans="1:9" x14ac:dyDescent="0.2">
      <c r="A1224" s="1"/>
      <c r="I1224" s="1"/>
    </row>
    <row r="1225" spans="1:9" x14ac:dyDescent="0.2">
      <c r="A1225" s="1"/>
      <c r="I1225" s="1"/>
    </row>
    <row r="1226" spans="1:9" x14ac:dyDescent="0.2">
      <c r="A1226" s="1"/>
      <c r="I1226" s="1"/>
    </row>
    <row r="1227" spans="1:9" x14ac:dyDescent="0.2">
      <c r="A1227" s="1"/>
      <c r="I1227" s="1"/>
    </row>
    <row r="1228" spans="1:9" x14ac:dyDescent="0.2">
      <c r="A1228" s="1"/>
      <c r="I1228" s="1"/>
    </row>
    <row r="1229" spans="1:9" x14ac:dyDescent="0.2">
      <c r="A1229" s="1"/>
      <c r="I1229" s="1"/>
    </row>
    <row r="1230" spans="1:9" x14ac:dyDescent="0.2">
      <c r="A1230" s="1"/>
      <c r="I1230" s="1"/>
    </row>
    <row r="1231" spans="1:9" x14ac:dyDescent="0.2">
      <c r="A1231" s="1"/>
      <c r="I1231" s="1"/>
    </row>
    <row r="1232" spans="1:9" x14ac:dyDescent="0.2">
      <c r="A1232" s="1"/>
      <c r="I1232" s="1"/>
    </row>
    <row r="1233" spans="1:9" x14ac:dyDescent="0.2">
      <c r="A1233" s="1"/>
      <c r="I1233" s="1"/>
    </row>
    <row r="1234" spans="1:9" x14ac:dyDescent="0.2">
      <c r="A1234" s="1"/>
      <c r="I1234" s="1"/>
    </row>
    <row r="1235" spans="1:9" x14ac:dyDescent="0.2">
      <c r="A1235" s="1"/>
      <c r="I1235" s="1"/>
    </row>
    <row r="1236" spans="1:9" x14ac:dyDescent="0.2">
      <c r="A1236" s="1"/>
      <c r="I1236" s="1"/>
    </row>
    <row r="1237" spans="1:9" x14ac:dyDescent="0.2">
      <c r="A1237" s="1"/>
      <c r="I1237" s="1"/>
    </row>
    <row r="1238" spans="1:9" x14ac:dyDescent="0.2">
      <c r="A1238" s="1"/>
      <c r="I1238" s="1"/>
    </row>
    <row r="1239" spans="1:9" x14ac:dyDescent="0.2">
      <c r="A1239" s="1"/>
      <c r="I1239" s="1"/>
    </row>
    <row r="1240" spans="1:9" x14ac:dyDescent="0.2">
      <c r="A1240" s="1"/>
      <c r="I1240" s="1"/>
    </row>
    <row r="1241" spans="1:9" x14ac:dyDescent="0.2">
      <c r="A1241" s="1"/>
      <c r="I1241" s="1"/>
    </row>
    <row r="1242" spans="1:9" x14ac:dyDescent="0.2">
      <c r="A1242" s="1"/>
      <c r="I1242" s="1"/>
    </row>
    <row r="1243" spans="1:9" x14ac:dyDescent="0.2">
      <c r="A1243" s="1"/>
      <c r="I1243" s="1"/>
    </row>
    <row r="1244" spans="1:9" x14ac:dyDescent="0.2">
      <c r="A1244" s="1"/>
      <c r="I1244" s="1"/>
    </row>
    <row r="1245" spans="1:9" x14ac:dyDescent="0.2">
      <c r="A1245" s="1"/>
      <c r="I1245" s="1"/>
    </row>
    <row r="1246" spans="1:9" x14ac:dyDescent="0.2">
      <c r="A1246" s="1"/>
      <c r="I1246" s="1"/>
    </row>
    <row r="1247" spans="1:9" x14ac:dyDescent="0.2">
      <c r="A1247" s="1"/>
      <c r="I1247" s="1"/>
    </row>
    <row r="1248" spans="1:9" x14ac:dyDescent="0.2">
      <c r="A1248" s="1"/>
      <c r="I1248" s="1"/>
    </row>
    <row r="1249" spans="1:9" x14ac:dyDescent="0.2">
      <c r="A1249" s="1"/>
      <c r="I1249" s="1"/>
    </row>
    <row r="1250" spans="1:9" x14ac:dyDescent="0.2">
      <c r="A1250" s="1"/>
      <c r="I1250" s="1"/>
    </row>
    <row r="1251" spans="1:9" x14ac:dyDescent="0.2">
      <c r="A1251" s="1"/>
      <c r="I1251" s="1"/>
    </row>
    <row r="1252" spans="1:9" x14ac:dyDescent="0.2">
      <c r="A1252" s="1"/>
      <c r="I1252" s="1"/>
    </row>
    <row r="1253" spans="1:9" x14ac:dyDescent="0.2">
      <c r="A1253" s="1"/>
      <c r="I1253" s="1"/>
    </row>
    <row r="1254" spans="1:9" x14ac:dyDescent="0.2">
      <c r="A1254" s="1"/>
      <c r="I1254" s="1"/>
    </row>
    <row r="1255" spans="1:9" x14ac:dyDescent="0.2">
      <c r="A1255" s="1"/>
      <c r="I1255" s="1"/>
    </row>
    <row r="1256" spans="1:9" x14ac:dyDescent="0.2">
      <c r="A1256" s="1"/>
      <c r="I1256" s="1"/>
    </row>
    <row r="1257" spans="1:9" x14ac:dyDescent="0.2">
      <c r="A1257" s="1"/>
      <c r="I1257" s="1"/>
    </row>
    <row r="1258" spans="1:9" x14ac:dyDescent="0.2">
      <c r="A1258" s="1"/>
      <c r="I1258" s="1"/>
    </row>
    <row r="1259" spans="1:9" x14ac:dyDescent="0.2">
      <c r="A1259" s="1"/>
      <c r="I1259" s="1"/>
    </row>
    <row r="1260" spans="1:9" x14ac:dyDescent="0.2">
      <c r="A1260" s="1"/>
      <c r="I1260" s="1"/>
    </row>
    <row r="1261" spans="1:9" x14ac:dyDescent="0.2">
      <c r="A1261" s="1"/>
      <c r="I1261" s="1"/>
    </row>
    <row r="1262" spans="1:9" x14ac:dyDescent="0.2">
      <c r="A1262" s="1"/>
      <c r="I1262" s="1"/>
    </row>
    <row r="1263" spans="1:9" x14ac:dyDescent="0.2">
      <c r="A1263" s="1"/>
      <c r="I1263" s="1"/>
    </row>
    <row r="1264" spans="1:9" x14ac:dyDescent="0.2">
      <c r="A1264" s="1"/>
      <c r="I1264" s="1"/>
    </row>
    <row r="1265" spans="1:9" x14ac:dyDescent="0.2">
      <c r="A1265" s="1"/>
      <c r="I1265" s="1"/>
    </row>
    <row r="1266" spans="1:9" x14ac:dyDescent="0.2">
      <c r="A1266" s="1"/>
      <c r="I1266" s="1"/>
    </row>
    <row r="1267" spans="1:9" x14ac:dyDescent="0.2">
      <c r="A1267" s="1"/>
      <c r="I1267" s="1"/>
    </row>
    <row r="1268" spans="1:9" x14ac:dyDescent="0.2">
      <c r="A1268" s="1"/>
      <c r="I1268" s="1"/>
    </row>
    <row r="1269" spans="1:9" x14ac:dyDescent="0.2">
      <c r="A1269" s="1"/>
      <c r="I1269" s="1"/>
    </row>
    <row r="1270" spans="1:9" x14ac:dyDescent="0.2">
      <c r="A1270" s="1"/>
      <c r="I1270" s="1"/>
    </row>
    <row r="1271" spans="1:9" x14ac:dyDescent="0.2">
      <c r="A1271" s="1"/>
      <c r="I1271" s="1"/>
    </row>
    <row r="1272" spans="1:9" x14ac:dyDescent="0.2">
      <c r="A1272" s="1"/>
      <c r="I1272" s="1"/>
    </row>
    <row r="1273" spans="1:9" x14ac:dyDescent="0.2">
      <c r="A1273" s="1"/>
      <c r="I1273" s="1"/>
    </row>
    <row r="1274" spans="1:9" x14ac:dyDescent="0.2">
      <c r="A1274" s="1"/>
      <c r="I1274" s="1"/>
    </row>
    <row r="1275" spans="1:9" x14ac:dyDescent="0.2">
      <c r="A1275" s="1"/>
      <c r="I1275" s="1"/>
    </row>
    <row r="1276" spans="1:9" x14ac:dyDescent="0.2">
      <c r="A1276" s="1"/>
      <c r="I1276" s="1"/>
    </row>
    <row r="1277" spans="1:9" x14ac:dyDescent="0.2">
      <c r="A1277" s="1"/>
      <c r="I1277" s="1"/>
    </row>
    <row r="1278" spans="1:9" x14ac:dyDescent="0.2">
      <c r="A1278" s="1"/>
      <c r="I1278" s="1"/>
    </row>
    <row r="1279" spans="1:9" x14ac:dyDescent="0.2">
      <c r="A1279" s="1"/>
      <c r="I1279" s="1"/>
    </row>
    <row r="1280" spans="1:9" x14ac:dyDescent="0.2">
      <c r="A1280" s="1"/>
      <c r="I1280" s="1"/>
    </row>
    <row r="1281" spans="1:9" x14ac:dyDescent="0.2">
      <c r="A1281" s="1"/>
      <c r="I1281" s="1"/>
    </row>
    <row r="1282" spans="1:9" x14ac:dyDescent="0.2">
      <c r="A1282" s="1"/>
      <c r="I1282" s="1"/>
    </row>
    <row r="1283" spans="1:9" x14ac:dyDescent="0.2">
      <c r="A1283" s="1"/>
      <c r="I1283" s="1"/>
    </row>
    <row r="1284" spans="1:9" x14ac:dyDescent="0.2">
      <c r="A1284" s="1"/>
      <c r="I1284" s="1"/>
    </row>
    <row r="1285" spans="1:9" x14ac:dyDescent="0.2">
      <c r="A1285" s="1"/>
      <c r="I1285" s="1"/>
    </row>
    <row r="1286" spans="1:9" x14ac:dyDescent="0.2">
      <c r="A1286" s="1"/>
      <c r="I1286" s="1"/>
    </row>
    <row r="1287" spans="1:9" x14ac:dyDescent="0.2">
      <c r="A1287" s="1"/>
      <c r="I1287" s="1"/>
    </row>
    <row r="1288" spans="1:9" x14ac:dyDescent="0.2">
      <c r="A1288" s="1"/>
      <c r="I1288" s="1"/>
    </row>
    <row r="1289" spans="1:9" x14ac:dyDescent="0.2">
      <c r="A1289" s="1"/>
      <c r="I1289" s="1"/>
    </row>
    <row r="1290" spans="1:9" x14ac:dyDescent="0.2">
      <c r="A1290" s="1"/>
      <c r="I1290" s="1"/>
    </row>
    <row r="1291" spans="1:9" x14ac:dyDescent="0.2">
      <c r="A1291" s="1"/>
      <c r="I1291" s="1"/>
    </row>
    <row r="1292" spans="1:9" x14ac:dyDescent="0.2">
      <c r="A1292" s="1"/>
      <c r="I1292" s="1"/>
    </row>
    <row r="1293" spans="1:9" x14ac:dyDescent="0.2">
      <c r="A1293" s="1"/>
      <c r="I1293" s="1"/>
    </row>
    <row r="1294" spans="1:9" x14ac:dyDescent="0.2">
      <c r="A1294" s="1"/>
      <c r="I1294" s="1"/>
    </row>
    <row r="1295" spans="1:9" x14ac:dyDescent="0.2">
      <c r="A1295" s="1"/>
      <c r="I1295" s="1"/>
    </row>
    <row r="1296" spans="1:9" x14ac:dyDescent="0.2">
      <c r="A1296" s="1"/>
      <c r="I1296" s="1"/>
    </row>
    <row r="1297" spans="1:9" x14ac:dyDescent="0.2">
      <c r="A1297" s="1"/>
      <c r="I1297" s="1"/>
    </row>
    <row r="1298" spans="1:9" x14ac:dyDescent="0.2">
      <c r="A1298" s="1"/>
      <c r="I1298" s="1"/>
    </row>
    <row r="1299" spans="1:9" x14ac:dyDescent="0.2">
      <c r="A1299" s="1"/>
      <c r="I1299" s="1"/>
    </row>
    <row r="1300" spans="1:9" x14ac:dyDescent="0.2">
      <c r="A1300" s="1"/>
      <c r="I1300" s="1"/>
    </row>
    <row r="1301" spans="1:9" x14ac:dyDescent="0.2">
      <c r="A1301" s="1"/>
      <c r="I1301" s="1"/>
    </row>
    <row r="1302" spans="1:9" x14ac:dyDescent="0.2">
      <c r="A1302" s="1"/>
      <c r="I1302" s="1"/>
    </row>
    <row r="1303" spans="1:9" x14ac:dyDescent="0.2">
      <c r="A1303" s="1"/>
      <c r="I1303" s="1"/>
    </row>
    <row r="1304" spans="1:9" x14ac:dyDescent="0.2">
      <c r="A1304" s="1"/>
      <c r="I1304" s="1"/>
    </row>
    <row r="1305" spans="1:9" x14ac:dyDescent="0.2">
      <c r="A1305" s="1"/>
      <c r="I1305" s="1"/>
    </row>
    <row r="1306" spans="1:9" x14ac:dyDescent="0.2">
      <c r="A1306" s="1"/>
      <c r="I1306" s="1"/>
    </row>
    <row r="1307" spans="1:9" x14ac:dyDescent="0.2">
      <c r="A1307" s="1"/>
      <c r="I1307" s="1"/>
    </row>
    <row r="1308" spans="1:9" x14ac:dyDescent="0.2">
      <c r="A1308" s="1"/>
      <c r="I1308" s="1"/>
    </row>
    <row r="1309" spans="1:9" x14ac:dyDescent="0.2">
      <c r="A1309" s="1"/>
      <c r="I1309" s="1"/>
    </row>
    <row r="1310" spans="1:9" x14ac:dyDescent="0.2">
      <c r="A1310" s="1"/>
      <c r="I1310" s="1"/>
    </row>
    <row r="1311" spans="1:9" x14ac:dyDescent="0.2">
      <c r="A1311" s="1"/>
      <c r="I1311" s="1"/>
    </row>
    <row r="1312" spans="1:9" x14ac:dyDescent="0.2">
      <c r="A1312" s="1"/>
      <c r="I1312" s="1"/>
    </row>
    <row r="1313" spans="1:9" x14ac:dyDescent="0.2">
      <c r="A1313" s="1"/>
      <c r="I1313" s="1"/>
    </row>
    <row r="1314" spans="1:9" x14ac:dyDescent="0.2">
      <c r="A1314" s="1"/>
      <c r="I1314" s="1"/>
    </row>
    <row r="1315" spans="1:9" x14ac:dyDescent="0.2">
      <c r="A1315" s="1"/>
      <c r="I1315" s="1"/>
    </row>
    <row r="1316" spans="1:9" x14ac:dyDescent="0.2">
      <c r="A1316" s="1"/>
      <c r="I1316" s="1"/>
    </row>
    <row r="1317" spans="1:9" x14ac:dyDescent="0.2">
      <c r="A1317" s="1"/>
      <c r="I1317" s="1"/>
    </row>
    <row r="1318" spans="1:9" x14ac:dyDescent="0.2">
      <c r="A1318" s="1"/>
      <c r="I1318" s="1"/>
    </row>
    <row r="1319" spans="1:9" x14ac:dyDescent="0.2">
      <c r="A1319" s="1"/>
      <c r="I1319" s="1"/>
    </row>
    <row r="1320" spans="1:9" x14ac:dyDescent="0.2">
      <c r="A1320" s="1"/>
      <c r="I1320" s="1"/>
    </row>
    <row r="1321" spans="1:9" x14ac:dyDescent="0.2">
      <c r="A1321" s="1"/>
      <c r="I1321" s="1"/>
    </row>
    <row r="1322" spans="1:9" x14ac:dyDescent="0.2">
      <c r="A1322" s="1"/>
      <c r="I1322" s="1"/>
    </row>
    <row r="1323" spans="1:9" x14ac:dyDescent="0.2">
      <c r="A1323" s="1"/>
      <c r="I1323" s="1"/>
    </row>
    <row r="1324" spans="1:9" x14ac:dyDescent="0.2">
      <c r="A1324" s="1"/>
      <c r="I1324" s="1"/>
    </row>
    <row r="1325" spans="1:9" x14ac:dyDescent="0.2">
      <c r="A1325" s="1"/>
      <c r="I1325" s="1"/>
    </row>
    <row r="1326" spans="1:9" x14ac:dyDescent="0.2">
      <c r="A1326" s="1"/>
      <c r="I1326" s="1"/>
    </row>
    <row r="1327" spans="1:9" x14ac:dyDescent="0.2">
      <c r="A1327" s="1"/>
      <c r="I1327" s="1"/>
    </row>
    <row r="1328" spans="1:9" x14ac:dyDescent="0.2">
      <c r="A1328" s="1"/>
      <c r="I1328" s="1"/>
    </row>
    <row r="1329" spans="1:9" x14ac:dyDescent="0.2">
      <c r="A1329" s="1"/>
      <c r="I1329" s="1"/>
    </row>
    <row r="1330" spans="1:9" x14ac:dyDescent="0.2">
      <c r="A1330" s="1"/>
      <c r="I1330" s="1"/>
    </row>
    <row r="1331" spans="1:9" x14ac:dyDescent="0.2">
      <c r="A1331" s="1"/>
      <c r="I1331" s="1"/>
    </row>
    <row r="1332" spans="1:9" x14ac:dyDescent="0.2">
      <c r="A1332" s="1"/>
      <c r="I1332" s="1"/>
    </row>
    <row r="1333" spans="1:9" x14ac:dyDescent="0.2">
      <c r="A1333" s="1"/>
      <c r="I1333" s="1"/>
    </row>
    <row r="1334" spans="1:9" x14ac:dyDescent="0.2">
      <c r="A1334" s="1"/>
      <c r="I1334" s="1"/>
    </row>
    <row r="1335" spans="1:9" x14ac:dyDescent="0.2">
      <c r="A1335" s="1"/>
      <c r="I1335" s="1"/>
    </row>
    <row r="1336" spans="1:9" x14ac:dyDescent="0.2">
      <c r="A1336" s="1"/>
      <c r="I1336" s="1"/>
    </row>
    <row r="1337" spans="1:9" x14ac:dyDescent="0.2">
      <c r="A1337" s="1"/>
      <c r="I1337" s="1"/>
    </row>
    <row r="1338" spans="1:9" x14ac:dyDescent="0.2">
      <c r="A1338" s="1"/>
      <c r="I1338" s="1"/>
    </row>
    <row r="1339" spans="1:9" x14ac:dyDescent="0.2">
      <c r="A1339" s="1"/>
      <c r="I1339" s="1"/>
    </row>
    <row r="1340" spans="1:9" x14ac:dyDescent="0.2">
      <c r="A1340" s="1"/>
      <c r="I1340" s="1"/>
    </row>
    <row r="1341" spans="1:9" x14ac:dyDescent="0.2">
      <c r="A1341" s="1"/>
      <c r="I1341" s="1"/>
    </row>
    <row r="1342" spans="1:9" x14ac:dyDescent="0.2">
      <c r="A1342" s="1"/>
      <c r="I1342" s="1"/>
    </row>
    <row r="1343" spans="1:9" x14ac:dyDescent="0.2">
      <c r="A1343" s="1"/>
      <c r="I1343" s="1"/>
    </row>
    <row r="1344" spans="1:9" x14ac:dyDescent="0.2">
      <c r="A1344" s="1"/>
      <c r="I1344" s="1"/>
    </row>
    <row r="1345" spans="1:9" x14ac:dyDescent="0.2">
      <c r="A1345" s="1"/>
      <c r="I1345" s="1"/>
    </row>
    <row r="1346" spans="1:9" x14ac:dyDescent="0.2">
      <c r="A1346" s="1"/>
      <c r="I1346" s="1"/>
    </row>
    <row r="1347" spans="1:9" x14ac:dyDescent="0.2">
      <c r="A1347" s="1"/>
      <c r="I1347" s="1"/>
    </row>
    <row r="1348" spans="1:9" x14ac:dyDescent="0.2">
      <c r="A1348" s="1"/>
      <c r="I1348" s="1"/>
    </row>
    <row r="1349" spans="1:9" x14ac:dyDescent="0.2">
      <c r="A1349" s="1"/>
      <c r="I1349" s="1"/>
    </row>
    <row r="1350" spans="1:9" x14ac:dyDescent="0.2">
      <c r="A1350" s="1"/>
      <c r="I1350" s="1"/>
    </row>
    <row r="1351" spans="1:9" x14ac:dyDescent="0.2">
      <c r="A1351" s="1"/>
      <c r="I1351" s="1"/>
    </row>
    <row r="1352" spans="1:9" x14ac:dyDescent="0.2">
      <c r="A1352" s="1"/>
      <c r="I1352" s="1"/>
    </row>
    <row r="1353" spans="1:9" x14ac:dyDescent="0.2">
      <c r="A1353" s="1"/>
      <c r="I1353" s="1"/>
    </row>
    <row r="1354" spans="1:9" x14ac:dyDescent="0.2">
      <c r="A1354" s="1"/>
      <c r="I1354" s="1"/>
    </row>
    <row r="1355" spans="1:9" x14ac:dyDescent="0.2">
      <c r="A1355" s="1"/>
      <c r="I1355" s="1"/>
    </row>
    <row r="1356" spans="1:9" x14ac:dyDescent="0.2">
      <c r="A1356" s="1"/>
      <c r="I1356" s="1"/>
    </row>
    <row r="1357" spans="1:9" x14ac:dyDescent="0.2">
      <c r="A1357" s="1"/>
      <c r="I1357" s="1"/>
    </row>
    <row r="1358" spans="1:9" x14ac:dyDescent="0.2">
      <c r="A1358" s="1"/>
      <c r="I1358" s="1"/>
    </row>
    <row r="1359" spans="1:9" x14ac:dyDescent="0.2">
      <c r="A1359" s="1"/>
      <c r="I1359" s="1"/>
    </row>
    <row r="1360" spans="1:9" x14ac:dyDescent="0.2">
      <c r="A1360" s="1"/>
      <c r="I1360" s="1"/>
    </row>
    <row r="1361" spans="1:9" x14ac:dyDescent="0.2">
      <c r="A1361" s="1"/>
      <c r="I1361" s="1"/>
    </row>
    <row r="1362" spans="1:9" x14ac:dyDescent="0.2">
      <c r="A1362" s="1"/>
      <c r="I1362" s="1"/>
    </row>
    <row r="1363" spans="1:9" x14ac:dyDescent="0.2">
      <c r="A1363" s="1"/>
      <c r="I1363" s="1"/>
    </row>
    <row r="1364" spans="1:9" x14ac:dyDescent="0.2">
      <c r="A1364" s="1"/>
      <c r="I1364" s="1"/>
    </row>
    <row r="1365" spans="1:9" x14ac:dyDescent="0.2">
      <c r="A1365" s="1"/>
      <c r="I1365" s="1"/>
    </row>
    <row r="1366" spans="1:9" x14ac:dyDescent="0.2">
      <c r="A1366" s="1"/>
      <c r="I1366" s="1"/>
    </row>
    <row r="1367" spans="1:9" x14ac:dyDescent="0.2">
      <c r="A1367" s="1"/>
      <c r="I1367" s="1"/>
    </row>
    <row r="1368" spans="1:9" x14ac:dyDescent="0.2">
      <c r="A1368" s="1"/>
      <c r="I1368" s="1"/>
    </row>
    <row r="1369" spans="1:9" x14ac:dyDescent="0.2">
      <c r="A1369" s="1"/>
      <c r="I1369" s="1"/>
    </row>
    <row r="1370" spans="1:9" x14ac:dyDescent="0.2">
      <c r="A1370" s="1"/>
      <c r="I1370" s="1"/>
    </row>
    <row r="1371" spans="1:9" x14ac:dyDescent="0.2">
      <c r="A1371" s="1"/>
      <c r="I1371" s="1"/>
    </row>
    <row r="1372" spans="1:9" x14ac:dyDescent="0.2">
      <c r="A1372" s="1"/>
      <c r="I1372" s="1"/>
    </row>
    <row r="1373" spans="1:9" x14ac:dyDescent="0.2">
      <c r="A1373" s="1"/>
      <c r="I1373" s="1"/>
    </row>
    <row r="1374" spans="1:9" x14ac:dyDescent="0.2">
      <c r="A1374" s="1"/>
      <c r="I1374" s="1"/>
    </row>
    <row r="1375" spans="1:9" x14ac:dyDescent="0.2">
      <c r="A1375" s="1"/>
      <c r="I1375" s="1"/>
    </row>
    <row r="1376" spans="1:9" x14ac:dyDescent="0.2">
      <c r="A1376" s="1"/>
      <c r="I1376" s="1"/>
    </row>
    <row r="1377" spans="1:9" x14ac:dyDescent="0.2">
      <c r="A1377" s="1"/>
      <c r="I1377" s="1"/>
    </row>
    <row r="1378" spans="1:9" x14ac:dyDescent="0.2">
      <c r="A1378" s="1"/>
      <c r="I1378" s="1"/>
    </row>
    <row r="1379" spans="1:9" x14ac:dyDescent="0.2">
      <c r="A1379" s="1"/>
      <c r="I1379" s="1"/>
    </row>
    <row r="1380" spans="1:9" x14ac:dyDescent="0.2">
      <c r="A1380" s="1"/>
      <c r="I1380" s="1"/>
    </row>
    <row r="1381" spans="1:9" x14ac:dyDescent="0.2">
      <c r="A1381" s="1"/>
      <c r="I1381" s="1"/>
    </row>
    <row r="1382" spans="1:9" x14ac:dyDescent="0.2">
      <c r="A1382" s="1"/>
      <c r="I1382" s="1"/>
    </row>
    <row r="1383" spans="1:9" x14ac:dyDescent="0.2">
      <c r="A1383" s="1"/>
      <c r="I1383" s="1"/>
    </row>
    <row r="1384" spans="1:9" x14ac:dyDescent="0.2">
      <c r="A1384" s="1"/>
      <c r="I1384" s="1"/>
    </row>
    <row r="1385" spans="1:9" x14ac:dyDescent="0.2">
      <c r="A1385" s="1"/>
      <c r="I1385" s="1"/>
    </row>
    <row r="1386" spans="1:9" x14ac:dyDescent="0.2">
      <c r="A1386" s="1"/>
      <c r="I1386" s="1"/>
    </row>
    <row r="1387" spans="1:9" x14ac:dyDescent="0.2">
      <c r="A1387" s="1"/>
      <c r="I1387" s="1"/>
    </row>
    <row r="1388" spans="1:9" x14ac:dyDescent="0.2">
      <c r="A1388" s="1"/>
      <c r="I1388" s="1"/>
    </row>
    <row r="1389" spans="1:9" x14ac:dyDescent="0.2">
      <c r="A1389" s="1"/>
      <c r="I1389" s="1"/>
    </row>
    <row r="1390" spans="1:9" x14ac:dyDescent="0.2">
      <c r="A1390" s="1"/>
      <c r="I1390" s="1"/>
    </row>
    <row r="1391" spans="1:9" x14ac:dyDescent="0.2">
      <c r="A1391" s="1"/>
      <c r="I1391" s="1"/>
    </row>
    <row r="1392" spans="1:9" x14ac:dyDescent="0.2">
      <c r="A1392" s="1"/>
      <c r="I1392" s="1"/>
    </row>
    <row r="1393" spans="1:9" x14ac:dyDescent="0.2">
      <c r="A1393" s="1"/>
      <c r="I1393" s="1"/>
    </row>
    <row r="1394" spans="1:9" x14ac:dyDescent="0.2">
      <c r="A1394" s="1"/>
      <c r="I1394" s="1"/>
    </row>
    <row r="1395" spans="1:9" x14ac:dyDescent="0.2">
      <c r="A1395" s="1"/>
      <c r="I1395" s="1"/>
    </row>
    <row r="1396" spans="1:9" x14ac:dyDescent="0.2">
      <c r="A1396" s="1"/>
      <c r="I1396" s="1"/>
    </row>
    <row r="1397" spans="1:9" x14ac:dyDescent="0.2">
      <c r="A1397" s="1"/>
      <c r="I1397" s="1"/>
    </row>
    <row r="1398" spans="1:9" x14ac:dyDescent="0.2">
      <c r="A1398" s="1"/>
      <c r="I1398" s="1"/>
    </row>
    <row r="1399" spans="1:9" x14ac:dyDescent="0.2">
      <c r="A1399" s="1"/>
      <c r="I1399" s="1"/>
    </row>
    <row r="1400" spans="1:9" x14ac:dyDescent="0.2">
      <c r="A1400" s="1"/>
      <c r="I1400" s="1"/>
    </row>
    <row r="1401" spans="1:9" x14ac:dyDescent="0.2">
      <c r="A1401" s="1"/>
      <c r="I1401" s="1"/>
    </row>
    <row r="1402" spans="1:9" x14ac:dyDescent="0.2">
      <c r="A1402" s="1"/>
      <c r="I1402" s="1"/>
    </row>
    <row r="1403" spans="1:9" x14ac:dyDescent="0.2">
      <c r="A1403" s="1"/>
      <c r="I1403" s="1"/>
    </row>
    <row r="1404" spans="1:9" x14ac:dyDescent="0.2">
      <c r="A1404" s="1"/>
      <c r="I1404" s="1"/>
    </row>
    <row r="1405" spans="1:9" x14ac:dyDescent="0.2">
      <c r="A1405" s="1"/>
      <c r="I1405" s="1"/>
    </row>
    <row r="1406" spans="1:9" x14ac:dyDescent="0.2">
      <c r="A1406" s="1"/>
      <c r="I1406" s="1"/>
    </row>
    <row r="1407" spans="1:9" x14ac:dyDescent="0.2">
      <c r="A1407" s="1"/>
      <c r="I1407" s="1"/>
    </row>
    <row r="1408" spans="1:9" x14ac:dyDescent="0.2">
      <c r="A1408" s="1"/>
      <c r="I1408" s="1"/>
    </row>
    <row r="1409" spans="1:9" x14ac:dyDescent="0.2">
      <c r="A1409" s="1"/>
      <c r="I1409" s="1"/>
    </row>
    <row r="1410" spans="1:9" x14ac:dyDescent="0.2">
      <c r="A1410" s="1"/>
      <c r="I1410" s="1"/>
    </row>
    <row r="1411" spans="1:9" x14ac:dyDescent="0.2">
      <c r="A1411" s="1"/>
      <c r="I1411" s="1"/>
    </row>
    <row r="1412" spans="1:9" x14ac:dyDescent="0.2">
      <c r="A1412" s="1"/>
      <c r="I1412" s="1"/>
    </row>
    <row r="1413" spans="1:9" x14ac:dyDescent="0.2">
      <c r="A1413" s="1"/>
      <c r="I1413" s="1"/>
    </row>
    <row r="1414" spans="1:9" x14ac:dyDescent="0.2">
      <c r="A1414" s="1"/>
      <c r="I1414" s="1"/>
    </row>
    <row r="1415" spans="1:9" x14ac:dyDescent="0.2">
      <c r="A1415" s="1"/>
      <c r="I1415" s="1"/>
    </row>
    <row r="1416" spans="1:9" x14ac:dyDescent="0.2">
      <c r="A1416" s="1"/>
      <c r="I1416" s="1"/>
    </row>
    <row r="1417" spans="1:9" x14ac:dyDescent="0.2">
      <c r="A1417" s="1"/>
      <c r="I1417" s="1"/>
    </row>
    <row r="1418" spans="1:9" x14ac:dyDescent="0.2">
      <c r="A1418" s="1"/>
      <c r="I1418" s="1"/>
    </row>
    <row r="1419" spans="1:9" x14ac:dyDescent="0.2">
      <c r="A1419" s="1"/>
      <c r="I1419" s="1"/>
    </row>
    <row r="1420" spans="1:9" x14ac:dyDescent="0.2">
      <c r="A1420" s="1"/>
      <c r="I1420" s="1"/>
    </row>
    <row r="1421" spans="1:9" x14ac:dyDescent="0.2">
      <c r="A1421" s="1"/>
      <c r="I1421" s="1"/>
    </row>
    <row r="1422" spans="1:9" x14ac:dyDescent="0.2">
      <c r="A1422" s="1"/>
      <c r="I1422" s="1"/>
    </row>
    <row r="1423" spans="1:9" x14ac:dyDescent="0.2">
      <c r="A1423" s="1"/>
      <c r="I1423" s="1"/>
    </row>
    <row r="1424" spans="1:9" x14ac:dyDescent="0.2">
      <c r="A1424" s="1"/>
      <c r="I1424" s="1"/>
    </row>
    <row r="1425" spans="1:9" x14ac:dyDescent="0.2">
      <c r="A1425" s="1"/>
      <c r="I1425" s="1"/>
    </row>
    <row r="1426" spans="1:9" x14ac:dyDescent="0.2">
      <c r="A1426" s="1"/>
      <c r="I1426" s="1"/>
    </row>
    <row r="1427" spans="1:9" x14ac:dyDescent="0.2">
      <c r="A1427" s="1"/>
      <c r="I1427" s="1"/>
    </row>
    <row r="1428" spans="1:9" x14ac:dyDescent="0.2">
      <c r="A1428" s="1"/>
      <c r="I1428" s="1"/>
    </row>
    <row r="1429" spans="1:9" x14ac:dyDescent="0.2">
      <c r="A1429" s="1"/>
      <c r="I1429" s="1"/>
    </row>
    <row r="1430" spans="1:9" x14ac:dyDescent="0.2">
      <c r="A1430" s="1"/>
      <c r="I1430" s="1"/>
    </row>
    <row r="1431" spans="1:9" x14ac:dyDescent="0.2">
      <c r="A1431" s="1"/>
      <c r="I1431" s="1"/>
    </row>
    <row r="1432" spans="1:9" x14ac:dyDescent="0.2">
      <c r="A1432" s="1"/>
      <c r="I1432" s="1"/>
    </row>
    <row r="1433" spans="1:9" x14ac:dyDescent="0.2">
      <c r="A1433" s="1"/>
      <c r="I1433" s="1"/>
    </row>
    <row r="1434" spans="1:9" x14ac:dyDescent="0.2">
      <c r="A1434" s="1"/>
      <c r="I1434" s="1"/>
    </row>
    <row r="1435" spans="1:9" x14ac:dyDescent="0.2">
      <c r="A1435" s="1"/>
      <c r="I1435" s="1"/>
    </row>
    <row r="1436" spans="1:9" x14ac:dyDescent="0.2">
      <c r="A1436" s="1"/>
      <c r="I1436" s="1"/>
    </row>
    <row r="1437" spans="1:9" x14ac:dyDescent="0.2">
      <c r="A1437" s="1"/>
      <c r="I1437" s="1"/>
    </row>
    <row r="1438" spans="1:9" x14ac:dyDescent="0.2">
      <c r="A1438" s="1"/>
      <c r="I1438" s="1"/>
    </row>
    <row r="1439" spans="1:9" x14ac:dyDescent="0.2">
      <c r="A1439" s="1"/>
      <c r="I1439" s="1"/>
    </row>
    <row r="1440" spans="1:9" x14ac:dyDescent="0.2">
      <c r="A1440" s="1"/>
      <c r="I1440" s="1"/>
    </row>
    <row r="1441" spans="1:9" x14ac:dyDescent="0.2">
      <c r="A1441" s="1"/>
      <c r="I1441" s="1"/>
    </row>
    <row r="1442" spans="1:9" x14ac:dyDescent="0.2">
      <c r="A1442" s="1"/>
      <c r="I1442" s="1"/>
    </row>
    <row r="1443" spans="1:9" x14ac:dyDescent="0.2">
      <c r="A1443" s="1"/>
      <c r="I1443" s="1"/>
    </row>
    <row r="1444" spans="1:9" x14ac:dyDescent="0.2">
      <c r="A1444" s="1"/>
      <c r="I1444" s="1"/>
    </row>
    <row r="1445" spans="1:9" x14ac:dyDescent="0.2">
      <c r="A1445" s="1"/>
      <c r="I1445" s="1"/>
    </row>
    <row r="1446" spans="1:9" x14ac:dyDescent="0.2">
      <c r="A1446" s="1"/>
      <c r="I1446" s="1"/>
    </row>
    <row r="1447" spans="1:9" x14ac:dyDescent="0.2">
      <c r="A1447" s="1"/>
      <c r="I1447" s="1"/>
    </row>
    <row r="1448" spans="1:9" x14ac:dyDescent="0.2">
      <c r="A1448" s="1"/>
      <c r="I1448" s="1"/>
    </row>
    <row r="1449" spans="1:9" x14ac:dyDescent="0.2">
      <c r="A1449" s="1"/>
      <c r="I1449" s="1"/>
    </row>
    <row r="1450" spans="1:9" x14ac:dyDescent="0.2">
      <c r="A1450" s="1"/>
      <c r="I1450" s="1"/>
    </row>
    <row r="1451" spans="1:9" x14ac:dyDescent="0.2">
      <c r="A1451" s="1"/>
      <c r="I1451" s="1"/>
    </row>
    <row r="1452" spans="1:9" x14ac:dyDescent="0.2">
      <c r="A1452" s="1"/>
      <c r="I1452" s="1"/>
    </row>
    <row r="1453" spans="1:9" x14ac:dyDescent="0.2">
      <c r="A1453" s="1"/>
      <c r="I1453" s="1"/>
    </row>
    <row r="1454" spans="1:9" x14ac:dyDescent="0.2">
      <c r="A1454" s="1"/>
      <c r="I1454" s="1"/>
    </row>
    <row r="1455" spans="1:9" x14ac:dyDescent="0.2">
      <c r="A1455" s="1"/>
      <c r="I1455" s="1"/>
    </row>
    <row r="1456" spans="1:9" x14ac:dyDescent="0.2">
      <c r="A1456" s="1"/>
      <c r="I1456" s="1"/>
    </row>
    <row r="1457" spans="1:9" x14ac:dyDescent="0.2">
      <c r="A1457" s="1"/>
      <c r="I1457" s="1"/>
    </row>
    <row r="1458" spans="1:9" x14ac:dyDescent="0.2">
      <c r="A1458" s="1"/>
      <c r="I1458" s="1"/>
    </row>
    <row r="1459" spans="1:9" x14ac:dyDescent="0.2">
      <c r="A1459" s="1"/>
      <c r="I1459" s="1"/>
    </row>
    <row r="1460" spans="1:9" x14ac:dyDescent="0.2">
      <c r="A1460" s="1"/>
      <c r="I1460" s="1"/>
    </row>
    <row r="1461" spans="1:9" x14ac:dyDescent="0.2">
      <c r="A1461" s="1"/>
      <c r="I1461" s="1"/>
    </row>
    <row r="1462" spans="1:9" x14ac:dyDescent="0.2">
      <c r="A1462" s="1"/>
      <c r="I1462" s="1"/>
    </row>
    <row r="1463" spans="1:9" x14ac:dyDescent="0.2">
      <c r="A1463" s="1"/>
      <c r="I1463" s="1"/>
    </row>
    <row r="1464" spans="1:9" x14ac:dyDescent="0.2">
      <c r="A1464" s="1"/>
      <c r="I1464" s="1"/>
    </row>
    <row r="1465" spans="1:9" x14ac:dyDescent="0.2">
      <c r="A1465" s="1"/>
      <c r="I1465" s="1"/>
    </row>
    <row r="1466" spans="1:9" x14ac:dyDescent="0.2">
      <c r="A1466" s="1"/>
      <c r="I1466" s="1"/>
    </row>
    <row r="1467" spans="1:9" x14ac:dyDescent="0.2">
      <c r="A1467" s="1"/>
      <c r="I1467" s="1"/>
    </row>
    <row r="1468" spans="1:9" x14ac:dyDescent="0.2">
      <c r="A1468" s="1"/>
      <c r="I1468" s="1"/>
    </row>
    <row r="1469" spans="1:9" x14ac:dyDescent="0.2">
      <c r="A1469" s="1"/>
      <c r="I1469" s="1"/>
    </row>
    <row r="1470" spans="1:9" x14ac:dyDescent="0.2">
      <c r="A1470" s="1"/>
      <c r="I1470" s="1"/>
    </row>
    <row r="1471" spans="1:9" x14ac:dyDescent="0.2">
      <c r="A1471" s="1"/>
      <c r="I1471" s="1"/>
    </row>
    <row r="1472" spans="1:9" x14ac:dyDescent="0.2">
      <c r="A1472" s="1"/>
      <c r="I1472" s="1"/>
    </row>
    <row r="1473" spans="1:9" x14ac:dyDescent="0.2">
      <c r="A1473" s="1"/>
      <c r="I1473" s="1"/>
    </row>
    <row r="1474" spans="1:9" x14ac:dyDescent="0.2">
      <c r="A1474" s="1"/>
      <c r="I1474" s="1"/>
    </row>
    <row r="1475" spans="1:9" x14ac:dyDescent="0.2">
      <c r="A1475" s="1"/>
      <c r="I1475" s="1"/>
    </row>
    <row r="1476" spans="1:9" x14ac:dyDescent="0.2">
      <c r="A1476" s="1"/>
      <c r="I1476" s="1"/>
    </row>
    <row r="1477" spans="1:9" x14ac:dyDescent="0.2">
      <c r="A1477" s="1"/>
      <c r="I1477" s="1"/>
    </row>
    <row r="1478" spans="1:9" x14ac:dyDescent="0.2">
      <c r="A1478" s="1"/>
      <c r="I1478" s="1"/>
    </row>
    <row r="1479" spans="1:9" x14ac:dyDescent="0.2">
      <c r="A1479" s="1"/>
      <c r="I1479" s="1"/>
    </row>
    <row r="1480" spans="1:9" x14ac:dyDescent="0.2">
      <c r="A1480" s="1"/>
      <c r="I1480" s="1"/>
    </row>
    <row r="1481" spans="1:9" x14ac:dyDescent="0.2">
      <c r="A1481" s="1"/>
      <c r="I1481" s="1"/>
    </row>
    <row r="1482" spans="1:9" x14ac:dyDescent="0.2">
      <c r="A1482" s="1"/>
      <c r="I1482" s="1"/>
    </row>
    <row r="1483" spans="1:9" x14ac:dyDescent="0.2">
      <c r="A1483" s="1"/>
      <c r="I1483" s="1"/>
    </row>
    <row r="1484" spans="1:9" x14ac:dyDescent="0.2">
      <c r="A1484" s="1"/>
      <c r="I1484" s="1"/>
    </row>
    <row r="1485" spans="1:9" x14ac:dyDescent="0.2">
      <c r="A1485" s="1"/>
      <c r="I1485" s="1"/>
    </row>
    <row r="1486" spans="1:9" x14ac:dyDescent="0.2">
      <c r="A1486" s="1"/>
      <c r="I1486" s="1"/>
    </row>
    <row r="1487" spans="1:9" x14ac:dyDescent="0.2">
      <c r="A1487" s="1"/>
      <c r="I1487" s="1"/>
    </row>
    <row r="1488" spans="1:9" x14ac:dyDescent="0.2">
      <c r="A1488" s="1"/>
      <c r="I1488" s="1"/>
    </row>
    <row r="1489" spans="1:9" x14ac:dyDescent="0.2">
      <c r="A1489" s="1"/>
      <c r="I1489" s="1"/>
    </row>
    <row r="1490" spans="1:9" x14ac:dyDescent="0.2">
      <c r="A1490" s="1"/>
      <c r="I1490" s="1"/>
    </row>
    <row r="1491" spans="1:9" x14ac:dyDescent="0.2">
      <c r="A1491" s="1"/>
      <c r="I1491" s="1"/>
    </row>
    <row r="1492" spans="1:9" x14ac:dyDescent="0.2">
      <c r="A1492" s="1"/>
      <c r="I1492" s="1"/>
    </row>
    <row r="1493" spans="1:9" x14ac:dyDescent="0.2">
      <c r="A1493" s="1"/>
      <c r="I1493" s="1"/>
    </row>
    <row r="1494" spans="1:9" x14ac:dyDescent="0.2">
      <c r="A1494" s="1"/>
      <c r="I1494" s="1"/>
    </row>
    <row r="1495" spans="1:9" x14ac:dyDescent="0.2">
      <c r="A1495" s="1"/>
      <c r="I1495" s="1"/>
    </row>
    <row r="1496" spans="1:9" x14ac:dyDescent="0.2">
      <c r="A1496" s="1"/>
      <c r="I1496" s="1"/>
    </row>
    <row r="1497" spans="1:9" x14ac:dyDescent="0.2">
      <c r="A1497" s="1"/>
      <c r="I1497" s="1"/>
    </row>
    <row r="1498" spans="1:9" x14ac:dyDescent="0.2">
      <c r="A1498" s="1"/>
      <c r="I1498" s="1"/>
    </row>
    <row r="1499" spans="1:9" x14ac:dyDescent="0.2">
      <c r="A1499" s="1"/>
      <c r="I1499" s="1"/>
    </row>
    <row r="1500" spans="1:9" x14ac:dyDescent="0.2">
      <c r="A1500" s="1"/>
      <c r="I1500" s="1"/>
    </row>
    <row r="1501" spans="1:9" x14ac:dyDescent="0.2">
      <c r="A1501" s="1"/>
      <c r="I1501" s="1"/>
    </row>
    <row r="1502" spans="1:9" x14ac:dyDescent="0.2">
      <c r="A1502" s="1"/>
      <c r="I1502" s="1"/>
    </row>
    <row r="1503" spans="1:9" x14ac:dyDescent="0.2">
      <c r="A1503" s="1"/>
      <c r="I1503" s="1"/>
    </row>
    <row r="1504" spans="1:9" x14ac:dyDescent="0.2">
      <c r="A1504" s="1"/>
      <c r="I1504" s="1"/>
    </row>
    <row r="1505" spans="1:9" x14ac:dyDescent="0.2">
      <c r="A1505" s="1"/>
      <c r="I1505" s="1"/>
    </row>
    <row r="1506" spans="1:9" x14ac:dyDescent="0.2">
      <c r="A1506" s="1"/>
      <c r="I1506" s="1"/>
    </row>
    <row r="1507" spans="1:9" x14ac:dyDescent="0.2">
      <c r="A1507" s="1"/>
      <c r="I1507" s="1"/>
    </row>
    <row r="1508" spans="1:9" x14ac:dyDescent="0.2">
      <c r="A1508" s="1"/>
      <c r="I1508" s="1"/>
    </row>
    <row r="1509" spans="1:9" x14ac:dyDescent="0.2">
      <c r="A1509" s="1"/>
      <c r="I1509" s="1"/>
    </row>
    <row r="1510" spans="1:9" x14ac:dyDescent="0.2">
      <c r="A1510" s="1"/>
      <c r="I1510" s="1"/>
    </row>
    <row r="1511" spans="1:9" x14ac:dyDescent="0.2">
      <c r="A1511" s="1"/>
      <c r="I1511" s="1"/>
    </row>
    <row r="1512" spans="1:9" x14ac:dyDescent="0.2">
      <c r="A1512" s="1"/>
      <c r="I1512" s="1"/>
    </row>
    <row r="1513" spans="1:9" x14ac:dyDescent="0.2">
      <c r="A1513" s="1"/>
      <c r="I1513" s="1"/>
    </row>
    <row r="1514" spans="1:9" x14ac:dyDescent="0.2">
      <c r="A1514" s="1"/>
      <c r="I1514" s="1"/>
    </row>
    <row r="1515" spans="1:9" x14ac:dyDescent="0.2">
      <c r="A1515" s="1"/>
      <c r="I1515" s="1"/>
    </row>
    <row r="1516" spans="1:9" x14ac:dyDescent="0.2">
      <c r="A1516" s="1"/>
      <c r="I1516" s="1"/>
    </row>
    <row r="1517" spans="1:9" x14ac:dyDescent="0.2">
      <c r="A1517" s="1"/>
      <c r="I1517" s="1"/>
    </row>
    <row r="1518" spans="1:9" x14ac:dyDescent="0.2">
      <c r="A1518" s="1"/>
      <c r="I1518" s="1"/>
    </row>
    <row r="1519" spans="1:9" x14ac:dyDescent="0.2">
      <c r="A1519" s="1"/>
      <c r="I1519" s="1"/>
    </row>
    <row r="1520" spans="1:9" x14ac:dyDescent="0.2">
      <c r="A1520" s="1"/>
      <c r="I1520" s="1"/>
    </row>
    <row r="1521" spans="1:9" x14ac:dyDescent="0.2">
      <c r="A1521" s="1"/>
      <c r="I1521" s="1"/>
    </row>
    <row r="1522" spans="1:9" x14ac:dyDescent="0.2">
      <c r="A1522" s="1"/>
      <c r="I1522" s="1"/>
    </row>
    <row r="1523" spans="1:9" x14ac:dyDescent="0.2">
      <c r="A1523" s="1"/>
      <c r="I1523" s="1"/>
    </row>
    <row r="1524" spans="1:9" x14ac:dyDescent="0.2">
      <c r="A1524" s="1"/>
      <c r="I1524" s="1"/>
    </row>
    <row r="1525" spans="1:9" x14ac:dyDescent="0.2">
      <c r="A1525" s="1"/>
      <c r="I1525" s="1"/>
    </row>
    <row r="1526" spans="1:9" x14ac:dyDescent="0.2">
      <c r="A1526" s="1"/>
      <c r="I1526" s="1"/>
    </row>
    <row r="1527" spans="1:9" x14ac:dyDescent="0.2">
      <c r="A1527" s="1"/>
      <c r="I1527" s="1"/>
    </row>
    <row r="1528" spans="1:9" x14ac:dyDescent="0.2">
      <c r="A1528" s="1"/>
      <c r="I1528" s="1"/>
    </row>
    <row r="1529" spans="1:9" x14ac:dyDescent="0.2">
      <c r="A1529" s="1"/>
      <c r="I1529" s="1"/>
    </row>
    <row r="1530" spans="1:9" x14ac:dyDescent="0.2">
      <c r="A1530" s="1"/>
      <c r="I1530" s="1"/>
    </row>
    <row r="1531" spans="1:9" x14ac:dyDescent="0.2">
      <c r="A1531" s="1"/>
      <c r="I1531" s="1"/>
    </row>
    <row r="1532" spans="1:9" x14ac:dyDescent="0.2">
      <c r="A1532" s="1"/>
      <c r="I1532" s="1"/>
    </row>
    <row r="1533" spans="1:9" x14ac:dyDescent="0.2">
      <c r="A1533" s="1"/>
      <c r="I1533" s="1"/>
    </row>
    <row r="1534" spans="1:9" x14ac:dyDescent="0.2">
      <c r="A1534" s="1"/>
      <c r="I1534" s="1"/>
    </row>
    <row r="1535" spans="1:9" x14ac:dyDescent="0.2">
      <c r="A1535" s="1"/>
      <c r="I1535" s="1"/>
    </row>
    <row r="1536" spans="1:9" x14ac:dyDescent="0.2">
      <c r="A1536" s="1"/>
      <c r="I1536" s="1"/>
    </row>
    <row r="1537" spans="1:9" x14ac:dyDescent="0.2">
      <c r="A1537" s="1"/>
      <c r="I1537" s="1"/>
    </row>
    <row r="1538" spans="1:9" x14ac:dyDescent="0.2">
      <c r="A1538" s="1"/>
      <c r="I1538" s="1"/>
    </row>
    <row r="1539" spans="1:9" x14ac:dyDescent="0.2">
      <c r="A1539" s="1"/>
      <c r="I1539" s="1"/>
    </row>
    <row r="1540" spans="1:9" x14ac:dyDescent="0.2">
      <c r="A1540" s="1"/>
      <c r="I1540" s="1"/>
    </row>
    <row r="1541" spans="1:9" x14ac:dyDescent="0.2">
      <c r="A1541" s="1"/>
      <c r="I1541" s="1"/>
    </row>
    <row r="1542" spans="1:9" x14ac:dyDescent="0.2">
      <c r="A1542" s="1"/>
      <c r="I1542" s="1"/>
    </row>
    <row r="1543" spans="1:9" x14ac:dyDescent="0.2">
      <c r="A1543" s="1"/>
      <c r="I1543" s="1"/>
    </row>
    <row r="1544" spans="1:9" x14ac:dyDescent="0.2">
      <c r="A1544" s="1"/>
      <c r="I1544" s="1"/>
    </row>
    <row r="1545" spans="1:9" x14ac:dyDescent="0.2">
      <c r="A1545" s="1"/>
      <c r="I1545" s="1"/>
    </row>
    <row r="1546" spans="1:9" x14ac:dyDescent="0.2">
      <c r="A1546" s="1"/>
      <c r="I1546" s="1"/>
    </row>
    <row r="1547" spans="1:9" x14ac:dyDescent="0.2">
      <c r="A1547" s="1"/>
      <c r="I1547" s="1"/>
    </row>
    <row r="1548" spans="1:9" x14ac:dyDescent="0.2">
      <c r="A1548" s="1"/>
      <c r="I1548" s="1"/>
    </row>
    <row r="1549" spans="1:9" x14ac:dyDescent="0.2">
      <c r="A1549" s="1"/>
      <c r="I1549" s="1"/>
    </row>
    <row r="1550" spans="1:9" x14ac:dyDescent="0.2">
      <c r="A1550" s="1"/>
      <c r="I1550" s="1"/>
    </row>
    <row r="1551" spans="1:9" x14ac:dyDescent="0.2">
      <c r="A1551" s="1"/>
      <c r="I1551" s="1"/>
    </row>
    <row r="1552" spans="1:9" x14ac:dyDescent="0.2">
      <c r="A1552" s="1"/>
      <c r="I1552" s="1"/>
    </row>
    <row r="1553" spans="1:9" x14ac:dyDescent="0.2">
      <c r="A1553" s="1"/>
      <c r="I1553" s="1"/>
    </row>
    <row r="1554" spans="1:9" x14ac:dyDescent="0.2">
      <c r="A1554" s="1"/>
      <c r="I1554" s="1"/>
    </row>
    <row r="1555" spans="1:9" x14ac:dyDescent="0.2">
      <c r="A1555" s="1"/>
      <c r="I1555" s="1"/>
    </row>
    <row r="1556" spans="1:9" x14ac:dyDescent="0.2">
      <c r="A1556" s="1"/>
      <c r="I1556" s="1"/>
    </row>
    <row r="1557" spans="1:9" x14ac:dyDescent="0.2">
      <c r="A1557" s="1"/>
      <c r="I1557" s="1"/>
    </row>
    <row r="1558" spans="1:9" x14ac:dyDescent="0.2">
      <c r="A1558" s="1"/>
      <c r="I1558" s="1"/>
    </row>
    <row r="1559" spans="1:9" x14ac:dyDescent="0.2">
      <c r="A1559" s="1"/>
      <c r="I1559" s="1"/>
    </row>
    <row r="1560" spans="1:9" x14ac:dyDescent="0.2">
      <c r="A1560" s="1"/>
      <c r="I1560" s="1"/>
    </row>
    <row r="1561" spans="1:9" x14ac:dyDescent="0.2">
      <c r="A1561" s="1"/>
      <c r="I1561" s="1"/>
    </row>
    <row r="1562" spans="1:9" x14ac:dyDescent="0.2">
      <c r="A1562" s="1"/>
      <c r="I1562" s="1"/>
    </row>
    <row r="1563" spans="1:9" x14ac:dyDescent="0.2">
      <c r="A1563" s="1"/>
      <c r="I1563" s="1"/>
    </row>
    <row r="1564" spans="1:9" x14ac:dyDescent="0.2">
      <c r="A1564" s="1"/>
      <c r="I1564" s="1"/>
    </row>
    <row r="1565" spans="1:9" x14ac:dyDescent="0.2">
      <c r="A1565" s="1"/>
      <c r="I1565" s="1"/>
    </row>
    <row r="1566" spans="1:9" x14ac:dyDescent="0.2">
      <c r="A1566" s="1"/>
      <c r="I1566" s="1"/>
    </row>
    <row r="1567" spans="1:9" x14ac:dyDescent="0.2">
      <c r="A1567" s="1"/>
      <c r="I1567" s="1"/>
    </row>
    <row r="1568" spans="1:9" x14ac:dyDescent="0.2">
      <c r="A1568" s="1"/>
      <c r="I1568" s="1"/>
    </row>
    <row r="1569" spans="1:9" x14ac:dyDescent="0.2">
      <c r="A1569" s="1"/>
      <c r="I1569" s="1"/>
    </row>
    <row r="1570" spans="1:9" x14ac:dyDescent="0.2">
      <c r="A1570" s="1"/>
      <c r="I1570" s="1"/>
    </row>
    <row r="1571" spans="1:9" x14ac:dyDescent="0.2">
      <c r="A1571" s="1"/>
      <c r="I1571" s="1"/>
    </row>
    <row r="1572" spans="1:9" x14ac:dyDescent="0.2">
      <c r="A1572" s="1"/>
      <c r="I1572" s="1"/>
    </row>
    <row r="1573" spans="1:9" x14ac:dyDescent="0.2">
      <c r="A1573" s="1"/>
      <c r="I1573" s="1"/>
    </row>
    <row r="1574" spans="1:9" x14ac:dyDescent="0.2">
      <c r="A1574" s="1"/>
      <c r="I1574" s="1"/>
    </row>
    <row r="1575" spans="1:9" x14ac:dyDescent="0.2">
      <c r="A1575" s="1"/>
      <c r="I1575" s="1"/>
    </row>
    <row r="1576" spans="1:9" x14ac:dyDescent="0.2">
      <c r="A1576" s="1"/>
      <c r="I1576" s="1"/>
    </row>
    <row r="1577" spans="1:9" x14ac:dyDescent="0.2">
      <c r="A1577" s="1"/>
      <c r="I1577" s="1"/>
    </row>
    <row r="1578" spans="1:9" x14ac:dyDescent="0.2">
      <c r="A1578" s="1"/>
      <c r="I1578" s="1"/>
    </row>
    <row r="1579" spans="1:9" x14ac:dyDescent="0.2">
      <c r="A1579" s="1"/>
      <c r="I1579" s="1"/>
    </row>
    <row r="1580" spans="1:9" x14ac:dyDescent="0.2">
      <c r="A1580" s="1"/>
      <c r="I1580" s="1"/>
    </row>
    <row r="1581" spans="1:9" x14ac:dyDescent="0.2">
      <c r="A1581" s="1"/>
      <c r="I1581" s="1"/>
    </row>
    <row r="1582" spans="1:9" x14ac:dyDescent="0.2">
      <c r="A1582" s="1"/>
      <c r="I1582" s="1"/>
    </row>
    <row r="1583" spans="1:9" x14ac:dyDescent="0.2">
      <c r="A1583" s="1"/>
      <c r="I1583" s="1"/>
    </row>
    <row r="1584" spans="1:9" x14ac:dyDescent="0.2">
      <c r="A1584" s="1"/>
      <c r="I1584" s="1"/>
    </row>
    <row r="1585" spans="1:9" x14ac:dyDescent="0.2">
      <c r="A1585" s="1"/>
      <c r="I1585" s="1"/>
    </row>
    <row r="1586" spans="1:9" x14ac:dyDescent="0.2">
      <c r="A1586" s="1"/>
      <c r="I1586" s="1"/>
    </row>
    <row r="1587" spans="1:9" x14ac:dyDescent="0.2">
      <c r="A1587" s="1"/>
      <c r="I1587" s="1"/>
    </row>
    <row r="1588" spans="1:9" x14ac:dyDescent="0.2">
      <c r="A1588" s="1"/>
      <c r="I1588" s="1"/>
    </row>
    <row r="1589" spans="1:9" x14ac:dyDescent="0.2">
      <c r="A1589" s="1"/>
      <c r="I1589" s="1"/>
    </row>
    <row r="1590" spans="1:9" x14ac:dyDescent="0.2">
      <c r="A1590" s="1"/>
      <c r="I1590" s="1"/>
    </row>
    <row r="1591" spans="1:9" x14ac:dyDescent="0.2">
      <c r="A1591" s="1"/>
      <c r="I1591" s="1"/>
    </row>
    <row r="1592" spans="1:9" x14ac:dyDescent="0.2">
      <c r="A1592" s="1"/>
      <c r="I1592" s="1"/>
    </row>
    <row r="1593" spans="1:9" x14ac:dyDescent="0.2">
      <c r="A1593" s="1"/>
      <c r="I1593" s="1"/>
    </row>
    <row r="1594" spans="1:9" x14ac:dyDescent="0.2">
      <c r="A1594" s="1"/>
      <c r="I1594" s="1"/>
    </row>
    <row r="1595" spans="1:9" x14ac:dyDescent="0.2">
      <c r="A1595" s="1"/>
      <c r="I1595" s="1"/>
    </row>
    <row r="1596" spans="1:9" x14ac:dyDescent="0.2">
      <c r="A1596" s="1"/>
      <c r="I1596" s="1"/>
    </row>
    <row r="1597" spans="1:9" x14ac:dyDescent="0.2">
      <c r="A1597" s="1"/>
      <c r="I1597" s="1"/>
    </row>
    <row r="1598" spans="1:9" x14ac:dyDescent="0.2">
      <c r="A1598" s="1"/>
      <c r="I1598" s="1"/>
    </row>
    <row r="1599" spans="1:9" x14ac:dyDescent="0.2">
      <c r="A1599" s="1"/>
      <c r="I1599" s="1"/>
    </row>
    <row r="1600" spans="1:9" x14ac:dyDescent="0.2">
      <c r="A1600" s="1"/>
      <c r="I1600" s="1"/>
    </row>
    <row r="1601" spans="1:9" x14ac:dyDescent="0.2">
      <c r="A1601" s="1"/>
      <c r="I1601" s="1"/>
    </row>
    <row r="1602" spans="1:9" x14ac:dyDescent="0.2">
      <c r="A1602" s="1"/>
      <c r="I1602" s="1"/>
    </row>
    <row r="1603" spans="1:9" x14ac:dyDescent="0.2">
      <c r="A1603" s="1"/>
      <c r="I1603" s="1"/>
    </row>
    <row r="1604" spans="1:9" x14ac:dyDescent="0.2">
      <c r="A1604" s="1"/>
      <c r="I1604" s="1"/>
    </row>
    <row r="1605" spans="1:9" x14ac:dyDescent="0.2">
      <c r="A1605" s="1"/>
      <c r="I1605" s="1"/>
    </row>
    <row r="1606" spans="1:9" x14ac:dyDescent="0.2">
      <c r="A1606" s="1"/>
      <c r="I1606" s="1"/>
    </row>
    <row r="1607" spans="1:9" x14ac:dyDescent="0.2">
      <c r="A1607" s="1"/>
      <c r="I1607" s="1"/>
    </row>
    <row r="1608" spans="1:9" x14ac:dyDescent="0.2">
      <c r="A1608" s="1"/>
      <c r="I1608" s="1"/>
    </row>
    <row r="1609" spans="1:9" x14ac:dyDescent="0.2">
      <c r="A1609" s="1"/>
      <c r="I1609" s="1"/>
    </row>
    <row r="1610" spans="1:9" x14ac:dyDescent="0.2">
      <c r="A1610" s="1"/>
      <c r="I1610" s="1"/>
    </row>
    <row r="1611" spans="1:9" x14ac:dyDescent="0.2">
      <c r="A1611" s="1"/>
      <c r="I1611" s="1"/>
    </row>
    <row r="1612" spans="1:9" x14ac:dyDescent="0.2">
      <c r="A1612" s="1"/>
      <c r="I1612" s="1"/>
    </row>
    <row r="1613" spans="1:9" x14ac:dyDescent="0.2">
      <c r="A1613" s="1"/>
      <c r="I1613" s="1"/>
    </row>
    <row r="1614" spans="1:9" x14ac:dyDescent="0.2">
      <c r="A1614" s="1"/>
      <c r="I1614" s="1"/>
    </row>
    <row r="1615" spans="1:9" x14ac:dyDescent="0.2">
      <c r="A1615" s="1"/>
      <c r="I1615" s="1"/>
    </row>
    <row r="1616" spans="1:9" x14ac:dyDescent="0.2">
      <c r="A1616" s="1"/>
      <c r="I1616" s="1"/>
    </row>
    <row r="1617" spans="1:9" x14ac:dyDescent="0.2">
      <c r="A1617" s="1"/>
      <c r="I1617" s="1"/>
    </row>
    <row r="1618" spans="1:9" x14ac:dyDescent="0.2">
      <c r="A1618" s="1"/>
      <c r="I1618" s="1"/>
    </row>
    <row r="1619" spans="1:9" x14ac:dyDescent="0.2">
      <c r="A1619" s="1"/>
      <c r="I1619" s="1"/>
    </row>
    <row r="1620" spans="1:9" x14ac:dyDescent="0.2">
      <c r="A1620" s="1"/>
      <c r="I1620" s="1"/>
    </row>
    <row r="1621" spans="1:9" x14ac:dyDescent="0.2">
      <c r="A1621" s="1"/>
      <c r="I1621" s="1"/>
    </row>
    <row r="1622" spans="1:9" x14ac:dyDescent="0.2">
      <c r="A1622" s="1"/>
      <c r="I1622" s="1"/>
    </row>
    <row r="1623" spans="1:9" x14ac:dyDescent="0.2">
      <c r="A1623" s="1"/>
      <c r="I1623" s="1"/>
    </row>
    <row r="1624" spans="1:9" x14ac:dyDescent="0.2">
      <c r="A1624" s="1"/>
      <c r="I1624" s="1"/>
    </row>
    <row r="1625" spans="1:9" x14ac:dyDescent="0.2">
      <c r="A1625" s="1"/>
      <c r="I1625" s="1"/>
    </row>
    <row r="1626" spans="1:9" x14ac:dyDescent="0.2">
      <c r="A1626" s="1"/>
      <c r="I1626" s="1"/>
    </row>
    <row r="1627" spans="1:9" x14ac:dyDescent="0.2">
      <c r="A1627" s="1"/>
      <c r="I1627" s="1"/>
    </row>
    <row r="1628" spans="1:9" x14ac:dyDescent="0.2">
      <c r="A1628" s="1"/>
      <c r="I1628" s="1"/>
    </row>
    <row r="1629" spans="1:9" x14ac:dyDescent="0.2">
      <c r="A1629" s="1"/>
      <c r="I1629" s="1"/>
    </row>
    <row r="1630" spans="1:9" x14ac:dyDescent="0.2">
      <c r="A1630" s="1"/>
      <c r="I1630" s="1"/>
    </row>
    <row r="1631" spans="1:9" x14ac:dyDescent="0.2">
      <c r="A1631" s="1"/>
      <c r="I1631" s="1"/>
    </row>
    <row r="1632" spans="1:9" x14ac:dyDescent="0.2">
      <c r="A1632" s="1"/>
      <c r="I1632" s="1"/>
    </row>
    <row r="1633" spans="1:9" x14ac:dyDescent="0.2">
      <c r="A1633" s="1"/>
      <c r="I1633" s="1"/>
    </row>
    <row r="1634" spans="1:9" x14ac:dyDescent="0.2">
      <c r="A1634" s="1"/>
      <c r="I1634" s="1"/>
    </row>
    <row r="1635" spans="1:9" x14ac:dyDescent="0.2">
      <c r="A1635" s="1"/>
      <c r="I1635" s="1"/>
    </row>
    <row r="1636" spans="1:9" x14ac:dyDescent="0.2">
      <c r="A1636" s="1"/>
      <c r="I1636" s="1"/>
    </row>
    <row r="1637" spans="1:9" x14ac:dyDescent="0.2">
      <c r="A1637" s="1"/>
      <c r="I1637" s="1"/>
    </row>
    <row r="1638" spans="1:9" x14ac:dyDescent="0.2">
      <c r="A1638" s="1"/>
      <c r="I1638" s="1"/>
    </row>
    <row r="1639" spans="1:9" x14ac:dyDescent="0.2">
      <c r="A1639" s="1"/>
      <c r="I1639" s="1"/>
    </row>
    <row r="1640" spans="1:9" x14ac:dyDescent="0.2">
      <c r="A1640" s="1"/>
      <c r="I1640" s="1"/>
    </row>
    <row r="1641" spans="1:9" x14ac:dyDescent="0.2">
      <c r="A1641" s="1"/>
      <c r="I1641" s="1"/>
    </row>
    <row r="1642" spans="1:9" x14ac:dyDescent="0.2">
      <c r="A1642" s="1"/>
      <c r="I1642" s="1"/>
    </row>
    <row r="1643" spans="1:9" x14ac:dyDescent="0.2">
      <c r="A1643" s="1"/>
      <c r="I1643" s="1"/>
    </row>
    <row r="1644" spans="1:9" x14ac:dyDescent="0.2">
      <c r="A1644" s="1"/>
      <c r="I1644" s="1"/>
    </row>
    <row r="1645" spans="1:9" x14ac:dyDescent="0.2">
      <c r="A1645" s="1"/>
      <c r="I1645" s="1"/>
    </row>
    <row r="1646" spans="1:9" x14ac:dyDescent="0.2">
      <c r="A1646" s="1"/>
      <c r="I1646" s="1"/>
    </row>
    <row r="1647" spans="1:9" x14ac:dyDescent="0.2">
      <c r="A1647" s="1"/>
      <c r="I1647" s="1"/>
    </row>
    <row r="1648" spans="1:9" x14ac:dyDescent="0.2">
      <c r="A1648" s="1"/>
      <c r="I1648" s="1"/>
    </row>
    <row r="1649" spans="1:9" x14ac:dyDescent="0.2">
      <c r="A1649" s="1"/>
      <c r="I1649" s="1"/>
    </row>
    <row r="1650" spans="1:9" x14ac:dyDescent="0.2">
      <c r="A1650" s="1"/>
      <c r="I1650" s="1"/>
    </row>
    <row r="1651" spans="1:9" x14ac:dyDescent="0.2">
      <c r="A1651" s="1"/>
      <c r="I1651" s="1"/>
    </row>
    <row r="1652" spans="1:9" x14ac:dyDescent="0.2">
      <c r="A1652" s="1"/>
      <c r="I1652" s="1"/>
    </row>
    <row r="1653" spans="1:9" x14ac:dyDescent="0.2">
      <c r="A1653" s="1"/>
      <c r="I1653" s="1"/>
    </row>
    <row r="1654" spans="1:9" x14ac:dyDescent="0.2">
      <c r="A1654" s="1"/>
      <c r="I1654" s="1"/>
    </row>
    <row r="1655" spans="1:9" x14ac:dyDescent="0.2">
      <c r="A1655" s="1"/>
      <c r="I1655" s="1"/>
    </row>
    <row r="1656" spans="1:9" x14ac:dyDescent="0.2">
      <c r="A1656" s="1"/>
      <c r="I1656" s="1"/>
    </row>
    <row r="1657" spans="1:9" x14ac:dyDescent="0.2">
      <c r="A1657" s="1"/>
      <c r="I1657" s="1"/>
    </row>
    <row r="1658" spans="1:9" x14ac:dyDescent="0.2">
      <c r="A1658" s="1"/>
      <c r="I1658" s="1"/>
    </row>
    <row r="1659" spans="1:9" x14ac:dyDescent="0.2">
      <c r="A1659" s="1"/>
      <c r="I1659" s="1"/>
    </row>
    <row r="1660" spans="1:9" x14ac:dyDescent="0.2">
      <c r="A1660" s="1"/>
      <c r="I1660" s="1"/>
    </row>
    <row r="1661" spans="1:9" x14ac:dyDescent="0.2">
      <c r="A1661" s="1"/>
      <c r="I1661" s="1"/>
    </row>
    <row r="1662" spans="1:9" x14ac:dyDescent="0.2">
      <c r="A1662" s="1"/>
      <c r="I1662" s="1"/>
    </row>
    <row r="1663" spans="1:9" x14ac:dyDescent="0.2">
      <c r="A1663" s="1"/>
      <c r="I1663" s="1"/>
    </row>
    <row r="1664" spans="1:9" x14ac:dyDescent="0.2">
      <c r="A1664" s="1"/>
      <c r="I1664" s="1"/>
    </row>
    <row r="1665" spans="1:9" x14ac:dyDescent="0.2">
      <c r="A1665" s="1"/>
      <c r="I1665" s="1"/>
    </row>
    <row r="1666" spans="1:9" x14ac:dyDescent="0.2">
      <c r="A1666" s="1"/>
      <c r="I1666" s="1"/>
    </row>
    <row r="1667" spans="1:9" x14ac:dyDescent="0.2">
      <c r="A1667" s="1"/>
      <c r="I1667" s="1"/>
    </row>
    <row r="1668" spans="1:9" x14ac:dyDescent="0.2">
      <c r="A1668" s="1"/>
      <c r="I1668" s="1"/>
    </row>
    <row r="1669" spans="1:9" x14ac:dyDescent="0.2">
      <c r="A1669" s="1"/>
      <c r="I1669" s="1"/>
    </row>
    <row r="1670" spans="1:9" x14ac:dyDescent="0.2">
      <c r="A1670" s="1"/>
      <c r="I1670" s="1"/>
    </row>
    <row r="1671" spans="1:9" x14ac:dyDescent="0.2">
      <c r="A1671" s="1"/>
      <c r="I1671" s="1"/>
    </row>
    <row r="1672" spans="1:9" x14ac:dyDescent="0.2">
      <c r="A1672" s="1"/>
      <c r="I1672" s="1"/>
    </row>
    <row r="1673" spans="1:9" x14ac:dyDescent="0.2">
      <c r="A1673" s="1"/>
      <c r="I1673" s="1"/>
    </row>
    <row r="1674" spans="1:9" x14ac:dyDescent="0.2">
      <c r="A1674" s="1"/>
      <c r="I1674" s="1"/>
    </row>
    <row r="1675" spans="1:9" x14ac:dyDescent="0.2">
      <c r="A1675" s="1"/>
      <c r="I1675" s="1"/>
    </row>
    <row r="1676" spans="1:9" x14ac:dyDescent="0.2">
      <c r="A1676" s="1"/>
      <c r="I1676" s="1"/>
    </row>
    <row r="1677" spans="1:9" x14ac:dyDescent="0.2">
      <c r="A1677" s="1"/>
      <c r="I1677" s="1"/>
    </row>
    <row r="1678" spans="1:9" x14ac:dyDescent="0.2">
      <c r="A1678" s="1"/>
      <c r="I1678" s="1"/>
    </row>
    <row r="1679" spans="1:9" x14ac:dyDescent="0.2">
      <c r="A1679" s="1"/>
      <c r="I1679" s="1"/>
    </row>
    <row r="1680" spans="1:9" x14ac:dyDescent="0.2">
      <c r="A1680" s="1"/>
      <c r="I1680" s="1"/>
    </row>
    <row r="1681" spans="1:9" x14ac:dyDescent="0.2">
      <c r="A1681" s="1"/>
      <c r="I1681" s="1"/>
    </row>
    <row r="1682" spans="1:9" x14ac:dyDescent="0.2">
      <c r="A1682" s="1"/>
      <c r="I1682" s="1"/>
    </row>
    <row r="1683" spans="1:9" x14ac:dyDescent="0.2">
      <c r="A1683" s="1"/>
      <c r="I1683" s="1"/>
    </row>
    <row r="1684" spans="1:9" x14ac:dyDescent="0.2">
      <c r="A1684" s="1"/>
      <c r="I1684" s="1"/>
    </row>
    <row r="1685" spans="1:9" x14ac:dyDescent="0.2">
      <c r="A1685" s="1"/>
      <c r="I1685" s="1"/>
    </row>
    <row r="1686" spans="1:9" x14ac:dyDescent="0.2">
      <c r="A1686" s="1"/>
      <c r="I1686" s="1"/>
    </row>
    <row r="1687" spans="1:9" x14ac:dyDescent="0.2">
      <c r="A1687" s="1"/>
      <c r="I1687" s="1"/>
    </row>
    <row r="1688" spans="1:9" x14ac:dyDescent="0.2">
      <c r="A1688" s="1"/>
      <c r="I1688" s="1"/>
    </row>
    <row r="1689" spans="1:9" x14ac:dyDescent="0.2">
      <c r="A1689" s="1"/>
      <c r="I1689" s="1"/>
    </row>
    <row r="1690" spans="1:9" x14ac:dyDescent="0.2">
      <c r="A1690" s="1"/>
      <c r="I1690" s="1"/>
    </row>
    <row r="1691" spans="1:9" x14ac:dyDescent="0.2">
      <c r="A1691" s="1"/>
      <c r="I1691" s="1"/>
    </row>
    <row r="1692" spans="1:9" x14ac:dyDescent="0.2">
      <c r="A1692" s="1"/>
      <c r="I1692" s="1"/>
    </row>
    <row r="1693" spans="1:9" x14ac:dyDescent="0.2">
      <c r="A1693" s="1"/>
      <c r="I1693" s="1"/>
    </row>
    <row r="1694" spans="1:9" x14ac:dyDescent="0.2">
      <c r="A1694" s="1"/>
      <c r="I1694" s="1"/>
    </row>
    <row r="1695" spans="1:9" x14ac:dyDescent="0.2">
      <c r="A1695" s="1"/>
      <c r="I1695" s="1"/>
    </row>
    <row r="1696" spans="1:9" x14ac:dyDescent="0.2">
      <c r="A1696" s="1"/>
      <c r="I1696" s="1"/>
    </row>
    <row r="1697" spans="1:9" x14ac:dyDescent="0.2">
      <c r="A1697" s="1"/>
      <c r="I1697" s="1"/>
    </row>
    <row r="1698" spans="1:9" x14ac:dyDescent="0.2">
      <c r="A1698" s="1"/>
      <c r="I1698" s="1"/>
    </row>
    <row r="1699" spans="1:9" x14ac:dyDescent="0.2">
      <c r="A1699" s="1"/>
      <c r="I1699" s="1"/>
    </row>
    <row r="1700" spans="1:9" x14ac:dyDescent="0.2">
      <c r="A1700" s="1"/>
      <c r="I1700" s="1"/>
    </row>
    <row r="1701" spans="1:9" x14ac:dyDescent="0.2">
      <c r="A1701" s="1"/>
      <c r="I1701" s="1"/>
    </row>
    <row r="1702" spans="1:9" x14ac:dyDescent="0.2">
      <c r="A1702" s="1"/>
      <c r="I1702" s="1"/>
    </row>
    <row r="1703" spans="1:9" x14ac:dyDescent="0.2">
      <c r="A1703" s="1"/>
      <c r="I1703" s="1"/>
    </row>
    <row r="1704" spans="1:9" x14ac:dyDescent="0.2">
      <c r="A1704" s="1"/>
      <c r="I1704" s="1"/>
    </row>
    <row r="1705" spans="1:9" x14ac:dyDescent="0.2">
      <c r="A1705" s="1"/>
      <c r="I1705" s="1"/>
    </row>
    <row r="1706" spans="1:9" x14ac:dyDescent="0.2">
      <c r="A1706" s="1"/>
      <c r="I1706" s="1"/>
    </row>
    <row r="1707" spans="1:9" x14ac:dyDescent="0.2">
      <c r="A1707" s="1"/>
      <c r="I1707" s="1"/>
    </row>
    <row r="1708" spans="1:9" x14ac:dyDescent="0.2">
      <c r="A1708" s="1"/>
      <c r="I1708" s="1"/>
    </row>
    <row r="1709" spans="1:9" x14ac:dyDescent="0.2">
      <c r="A1709" s="1"/>
      <c r="I1709" s="1"/>
    </row>
    <row r="1710" spans="1:9" x14ac:dyDescent="0.2">
      <c r="A1710" s="1"/>
      <c r="I1710" s="1"/>
    </row>
    <row r="1711" spans="1:9" x14ac:dyDescent="0.2">
      <c r="A1711" s="1"/>
      <c r="I1711" s="1"/>
    </row>
    <row r="1712" spans="1:9" x14ac:dyDescent="0.2">
      <c r="A1712" s="1"/>
      <c r="I1712" s="1"/>
    </row>
    <row r="1713" spans="1:9" x14ac:dyDescent="0.2">
      <c r="A1713" s="1"/>
      <c r="I1713" s="1"/>
    </row>
    <row r="1714" spans="1:9" x14ac:dyDescent="0.2">
      <c r="A1714" s="1"/>
      <c r="I1714" s="1"/>
    </row>
    <row r="1715" spans="1:9" x14ac:dyDescent="0.2">
      <c r="A1715" s="1"/>
      <c r="I1715" s="1"/>
    </row>
    <row r="1716" spans="1:9" x14ac:dyDescent="0.2">
      <c r="A1716" s="1"/>
      <c r="I1716" s="1"/>
    </row>
    <row r="1717" spans="1:9" x14ac:dyDescent="0.2">
      <c r="A1717" s="1"/>
      <c r="I1717" s="1"/>
    </row>
    <row r="1718" spans="1:9" x14ac:dyDescent="0.2">
      <c r="A1718" s="1"/>
      <c r="I1718" s="1"/>
    </row>
    <row r="1719" spans="1:9" x14ac:dyDescent="0.2">
      <c r="A1719" s="1"/>
      <c r="I1719" s="1"/>
    </row>
    <row r="1720" spans="1:9" x14ac:dyDescent="0.2">
      <c r="A1720" s="1"/>
      <c r="I1720" s="1"/>
    </row>
    <row r="1721" spans="1:9" x14ac:dyDescent="0.2">
      <c r="A1721" s="1"/>
      <c r="I1721" s="1"/>
    </row>
    <row r="1722" spans="1:9" x14ac:dyDescent="0.2">
      <c r="A1722" s="1"/>
      <c r="I1722" s="1"/>
    </row>
    <row r="1723" spans="1:9" x14ac:dyDescent="0.2">
      <c r="A1723" s="1"/>
      <c r="I1723" s="1"/>
    </row>
    <row r="1724" spans="1:9" x14ac:dyDescent="0.2">
      <c r="A1724" s="1"/>
      <c r="I1724" s="1"/>
    </row>
    <row r="1725" spans="1:9" x14ac:dyDescent="0.2">
      <c r="A1725" s="1"/>
      <c r="I1725" s="1"/>
    </row>
    <row r="1726" spans="1:9" x14ac:dyDescent="0.2">
      <c r="A1726" s="1"/>
      <c r="I1726" s="1"/>
    </row>
    <row r="1727" spans="1:9" x14ac:dyDescent="0.2">
      <c r="A1727" s="1"/>
      <c r="I1727" s="1"/>
    </row>
    <row r="1728" spans="1:9" x14ac:dyDescent="0.2">
      <c r="A1728" s="1"/>
      <c r="I1728" s="1"/>
    </row>
    <row r="1729" spans="1:9" x14ac:dyDescent="0.2">
      <c r="A1729" s="1"/>
      <c r="I1729" s="1"/>
    </row>
    <row r="1730" spans="1:9" x14ac:dyDescent="0.2">
      <c r="A1730" s="1"/>
      <c r="I1730" s="1"/>
    </row>
    <row r="1731" spans="1:9" x14ac:dyDescent="0.2">
      <c r="A1731" s="1"/>
      <c r="I1731" s="1"/>
    </row>
    <row r="1732" spans="1:9" x14ac:dyDescent="0.2">
      <c r="A1732" s="1"/>
      <c r="I1732" s="1"/>
    </row>
    <row r="1733" spans="1:9" x14ac:dyDescent="0.2">
      <c r="A1733" s="1"/>
      <c r="I1733" s="1"/>
    </row>
    <row r="1734" spans="1:9" x14ac:dyDescent="0.2">
      <c r="A1734" s="1"/>
      <c r="I1734" s="1"/>
    </row>
    <row r="1735" spans="1:9" x14ac:dyDescent="0.2">
      <c r="A1735" s="1"/>
      <c r="I1735" s="1"/>
    </row>
    <row r="1736" spans="1:9" x14ac:dyDescent="0.2">
      <c r="A1736" s="1"/>
      <c r="I1736" s="1"/>
    </row>
    <row r="1737" spans="1:9" x14ac:dyDescent="0.2">
      <c r="A1737" s="1"/>
      <c r="I1737" s="1"/>
    </row>
    <row r="1738" spans="1:9" x14ac:dyDescent="0.2">
      <c r="A1738" s="1"/>
      <c r="I1738" s="1"/>
    </row>
    <row r="1739" spans="1:9" x14ac:dyDescent="0.2">
      <c r="A1739" s="1"/>
      <c r="I1739" s="1"/>
    </row>
    <row r="1740" spans="1:9" x14ac:dyDescent="0.2">
      <c r="A1740" s="1"/>
      <c r="I1740" s="1"/>
    </row>
    <row r="1741" spans="1:9" x14ac:dyDescent="0.2">
      <c r="A1741" s="1"/>
      <c r="I1741" s="1"/>
    </row>
    <row r="1742" spans="1:9" x14ac:dyDescent="0.2">
      <c r="A1742" s="1"/>
      <c r="I1742" s="1"/>
    </row>
    <row r="1743" spans="1:9" x14ac:dyDescent="0.2">
      <c r="A1743" s="1"/>
      <c r="I1743" s="1"/>
    </row>
    <row r="1744" spans="1:9" x14ac:dyDescent="0.2">
      <c r="A1744" s="1"/>
      <c r="I1744" s="1"/>
    </row>
    <row r="1745" spans="1:9" x14ac:dyDescent="0.2">
      <c r="A1745" s="1"/>
      <c r="I1745" s="1"/>
    </row>
    <row r="1746" spans="1:9" x14ac:dyDescent="0.2">
      <c r="A1746" s="1"/>
      <c r="I1746" s="1"/>
    </row>
    <row r="1747" spans="1:9" x14ac:dyDescent="0.2">
      <c r="A1747" s="1"/>
      <c r="I1747" s="1"/>
    </row>
    <row r="1748" spans="1:9" x14ac:dyDescent="0.2">
      <c r="A1748" s="1"/>
      <c r="I1748" s="1"/>
    </row>
    <row r="1749" spans="1:9" x14ac:dyDescent="0.2">
      <c r="A1749" s="1"/>
      <c r="I1749" s="1"/>
    </row>
    <row r="1750" spans="1:9" x14ac:dyDescent="0.2">
      <c r="A1750" s="1"/>
      <c r="I1750" s="1"/>
    </row>
    <row r="1751" spans="1:9" x14ac:dyDescent="0.2">
      <c r="A1751" s="1"/>
      <c r="I1751" s="1"/>
    </row>
    <row r="1752" spans="1:9" x14ac:dyDescent="0.2">
      <c r="A1752" s="1"/>
      <c r="I1752" s="1"/>
    </row>
    <row r="1753" spans="1:9" x14ac:dyDescent="0.2">
      <c r="A1753" s="1"/>
      <c r="I1753" s="1"/>
    </row>
    <row r="1754" spans="1:9" x14ac:dyDescent="0.2">
      <c r="A1754" s="1"/>
      <c r="I1754" s="1"/>
    </row>
    <row r="1755" spans="1:9" x14ac:dyDescent="0.2">
      <c r="A1755" s="1"/>
      <c r="I1755" s="1"/>
    </row>
    <row r="1756" spans="1:9" x14ac:dyDescent="0.2">
      <c r="A1756" s="1"/>
      <c r="I1756" s="1"/>
    </row>
    <row r="1757" spans="1:9" x14ac:dyDescent="0.2">
      <c r="A1757" s="1"/>
      <c r="I1757" s="1"/>
    </row>
    <row r="1758" spans="1:9" x14ac:dyDescent="0.2">
      <c r="A1758" s="1"/>
      <c r="I1758" s="1"/>
    </row>
    <row r="1759" spans="1:9" x14ac:dyDescent="0.2">
      <c r="A1759" s="1"/>
      <c r="I1759" s="1"/>
    </row>
    <row r="1760" spans="1:9" x14ac:dyDescent="0.2">
      <c r="A1760" s="1"/>
      <c r="I1760" s="1"/>
    </row>
    <row r="1761" spans="1:9" x14ac:dyDescent="0.2">
      <c r="A1761" s="1"/>
      <c r="I1761" s="1"/>
    </row>
    <row r="1762" spans="1:9" x14ac:dyDescent="0.2">
      <c r="A1762" s="1"/>
      <c r="I1762" s="1"/>
    </row>
    <row r="1763" spans="1:9" x14ac:dyDescent="0.2">
      <c r="A1763" s="1"/>
      <c r="I1763" s="1"/>
    </row>
    <row r="1764" spans="1:9" x14ac:dyDescent="0.2">
      <c r="A1764" s="1"/>
      <c r="I1764" s="1"/>
    </row>
    <row r="1765" spans="1:9" x14ac:dyDescent="0.2">
      <c r="A1765" s="1"/>
      <c r="I1765" s="1"/>
    </row>
    <row r="1766" spans="1:9" x14ac:dyDescent="0.2">
      <c r="A1766" s="1"/>
      <c r="I1766" s="1"/>
    </row>
    <row r="1767" spans="1:9" x14ac:dyDescent="0.2">
      <c r="A1767" s="1"/>
      <c r="I1767" s="1"/>
    </row>
    <row r="1768" spans="1:9" x14ac:dyDescent="0.2">
      <c r="A1768" s="1"/>
      <c r="I1768" s="1"/>
    </row>
    <row r="1769" spans="1:9" x14ac:dyDescent="0.2">
      <c r="A1769" s="1"/>
      <c r="I1769" s="1"/>
    </row>
    <row r="1770" spans="1:9" x14ac:dyDescent="0.2">
      <c r="A1770" s="1"/>
      <c r="I1770" s="1"/>
    </row>
    <row r="1771" spans="1:9" x14ac:dyDescent="0.2">
      <c r="A1771" s="1"/>
      <c r="I1771" s="1"/>
    </row>
    <row r="1772" spans="1:9" x14ac:dyDescent="0.2">
      <c r="A1772" s="1"/>
      <c r="I1772" s="1"/>
    </row>
    <row r="1773" spans="1:9" x14ac:dyDescent="0.2">
      <c r="A1773" s="1"/>
      <c r="I1773" s="1"/>
    </row>
    <row r="1774" spans="1:9" x14ac:dyDescent="0.2">
      <c r="A1774" s="1"/>
      <c r="I1774" s="1"/>
    </row>
    <row r="1775" spans="1:9" x14ac:dyDescent="0.2">
      <c r="A1775" s="1"/>
      <c r="I1775" s="1"/>
    </row>
    <row r="1776" spans="1:9" x14ac:dyDescent="0.2">
      <c r="A1776" s="1"/>
      <c r="I1776" s="1"/>
    </row>
    <row r="1777" spans="1:9" x14ac:dyDescent="0.2">
      <c r="A1777" s="1"/>
      <c r="I1777" s="1"/>
    </row>
    <row r="1778" spans="1:9" x14ac:dyDescent="0.2">
      <c r="A1778" s="1"/>
      <c r="I1778" s="1"/>
    </row>
    <row r="1779" spans="1:9" x14ac:dyDescent="0.2">
      <c r="A1779" s="1"/>
      <c r="I1779" s="1"/>
    </row>
    <row r="1780" spans="1:9" x14ac:dyDescent="0.2">
      <c r="A1780" s="1"/>
      <c r="I1780" s="1"/>
    </row>
    <row r="1781" spans="1:9" x14ac:dyDescent="0.2">
      <c r="A1781" s="1"/>
      <c r="I1781" s="1"/>
    </row>
    <row r="1782" spans="1:9" x14ac:dyDescent="0.2">
      <c r="A1782" s="1"/>
      <c r="I1782" s="1"/>
    </row>
    <row r="1783" spans="1:9" x14ac:dyDescent="0.2">
      <c r="A1783" s="1"/>
      <c r="I1783" s="1"/>
    </row>
    <row r="1784" spans="1:9" x14ac:dyDescent="0.2">
      <c r="A1784" s="1"/>
      <c r="I1784" s="1"/>
    </row>
    <row r="1785" spans="1:9" x14ac:dyDescent="0.2">
      <c r="A1785" s="1"/>
      <c r="I1785" s="1"/>
    </row>
    <row r="1786" spans="1:9" x14ac:dyDescent="0.2">
      <c r="A1786" s="1"/>
      <c r="I1786" s="1"/>
    </row>
    <row r="1787" spans="1:9" x14ac:dyDescent="0.2">
      <c r="A1787" s="1"/>
      <c r="I1787" s="1"/>
    </row>
    <row r="1788" spans="1:9" x14ac:dyDescent="0.2">
      <c r="A1788" s="1"/>
      <c r="I1788" s="1"/>
    </row>
    <row r="1789" spans="1:9" x14ac:dyDescent="0.2">
      <c r="A1789" s="1"/>
      <c r="I1789" s="1"/>
    </row>
    <row r="1790" spans="1:9" x14ac:dyDescent="0.2">
      <c r="A1790" s="1"/>
      <c r="I1790" s="1"/>
    </row>
    <row r="1791" spans="1:9" x14ac:dyDescent="0.2">
      <c r="A1791" s="1"/>
      <c r="I1791" s="1"/>
    </row>
    <row r="1792" spans="1:9" x14ac:dyDescent="0.2">
      <c r="A1792" s="1"/>
      <c r="I1792" s="1"/>
    </row>
    <row r="1793" spans="1:9" x14ac:dyDescent="0.2">
      <c r="A1793" s="1"/>
      <c r="I1793" s="1"/>
    </row>
    <row r="1794" spans="1:9" x14ac:dyDescent="0.2">
      <c r="A1794" s="1"/>
      <c r="I1794" s="1"/>
    </row>
    <row r="1795" spans="1:9" x14ac:dyDescent="0.2">
      <c r="A1795" s="1"/>
      <c r="I1795" s="1"/>
    </row>
    <row r="1796" spans="1:9" x14ac:dyDescent="0.2">
      <c r="A1796" s="1"/>
      <c r="I1796" s="1"/>
    </row>
    <row r="1797" spans="1:9" x14ac:dyDescent="0.2">
      <c r="A1797" s="1"/>
      <c r="I1797" s="1"/>
    </row>
    <row r="1798" spans="1:9" x14ac:dyDescent="0.2">
      <c r="A1798" s="1"/>
      <c r="I1798" s="1"/>
    </row>
    <row r="1799" spans="1:9" x14ac:dyDescent="0.2">
      <c r="A1799" s="1"/>
      <c r="I1799" s="1"/>
    </row>
    <row r="1800" spans="1:9" x14ac:dyDescent="0.2">
      <c r="A1800" s="1"/>
      <c r="I1800" s="1"/>
    </row>
    <row r="1801" spans="1:9" x14ac:dyDescent="0.2">
      <c r="A1801" s="1"/>
      <c r="I1801" s="1"/>
    </row>
    <row r="1802" spans="1:9" x14ac:dyDescent="0.2">
      <c r="A1802" s="1"/>
      <c r="I1802" s="1"/>
    </row>
    <row r="1803" spans="1:9" x14ac:dyDescent="0.2">
      <c r="A1803" s="1"/>
      <c r="I1803" s="1"/>
    </row>
    <row r="1804" spans="1:9" x14ac:dyDescent="0.2">
      <c r="A1804" s="1"/>
      <c r="I1804" s="1"/>
    </row>
    <row r="1805" spans="1:9" x14ac:dyDescent="0.2">
      <c r="A1805" s="1"/>
      <c r="I1805" s="1"/>
    </row>
    <row r="1806" spans="1:9" x14ac:dyDescent="0.2">
      <c r="A1806" s="1"/>
      <c r="I1806" s="1"/>
    </row>
    <row r="1807" spans="1:9" x14ac:dyDescent="0.2">
      <c r="A1807" s="1"/>
      <c r="I1807" s="1"/>
    </row>
    <row r="1808" spans="1:9" x14ac:dyDescent="0.2">
      <c r="A1808" s="1"/>
      <c r="I1808" s="1"/>
    </row>
    <row r="1809" spans="1:9" x14ac:dyDescent="0.2">
      <c r="A1809" s="1"/>
      <c r="I1809" s="1"/>
    </row>
    <row r="1810" spans="1:9" x14ac:dyDescent="0.2">
      <c r="A1810" s="1"/>
      <c r="I1810" s="1"/>
    </row>
    <row r="1811" spans="1:9" x14ac:dyDescent="0.2">
      <c r="A1811" s="1"/>
      <c r="I1811" s="1"/>
    </row>
    <row r="1812" spans="1:9" x14ac:dyDescent="0.2">
      <c r="A1812" s="1"/>
      <c r="I1812" s="1"/>
    </row>
    <row r="1813" spans="1:9" x14ac:dyDescent="0.2">
      <c r="A1813" s="1"/>
      <c r="I1813" s="1"/>
    </row>
    <row r="1814" spans="1:9" x14ac:dyDescent="0.2">
      <c r="A1814" s="1"/>
      <c r="I1814" s="1"/>
    </row>
    <row r="1815" spans="1:9" x14ac:dyDescent="0.2">
      <c r="A1815" s="1"/>
      <c r="I1815" s="1"/>
    </row>
    <row r="1816" spans="1:9" x14ac:dyDescent="0.2">
      <c r="A1816" s="1"/>
      <c r="I1816" s="1"/>
    </row>
    <row r="1817" spans="1:9" x14ac:dyDescent="0.2">
      <c r="A1817" s="1"/>
      <c r="I1817" s="1"/>
    </row>
    <row r="1818" spans="1:9" x14ac:dyDescent="0.2">
      <c r="A1818" s="1"/>
      <c r="I1818" s="1"/>
    </row>
    <row r="1819" spans="1:9" x14ac:dyDescent="0.2">
      <c r="A1819" s="1"/>
      <c r="I1819" s="1"/>
    </row>
    <row r="1820" spans="1:9" x14ac:dyDescent="0.2">
      <c r="A1820" s="1"/>
      <c r="I1820" s="1"/>
    </row>
    <row r="1821" spans="1:9" x14ac:dyDescent="0.2">
      <c r="A1821" s="1"/>
      <c r="I1821" s="1"/>
    </row>
    <row r="1822" spans="1:9" x14ac:dyDescent="0.2">
      <c r="A1822" s="1"/>
      <c r="I1822" s="1"/>
    </row>
    <row r="1823" spans="1:9" x14ac:dyDescent="0.2">
      <c r="A1823" s="1"/>
      <c r="I1823" s="1"/>
    </row>
    <row r="1824" spans="1:9" x14ac:dyDescent="0.2">
      <c r="A1824" s="1"/>
      <c r="I1824" s="1"/>
    </row>
    <row r="1825" spans="1:9" x14ac:dyDescent="0.2">
      <c r="A1825" s="1"/>
      <c r="I1825" s="1"/>
    </row>
    <row r="1826" spans="1:9" x14ac:dyDescent="0.2">
      <c r="A1826" s="1"/>
      <c r="I1826" s="1"/>
    </row>
    <row r="1827" spans="1:9" x14ac:dyDescent="0.2">
      <c r="A1827" s="1"/>
      <c r="I1827" s="1"/>
    </row>
    <row r="1828" spans="1:9" x14ac:dyDescent="0.2">
      <c r="A1828" s="1"/>
      <c r="I1828" s="1"/>
    </row>
    <row r="1829" spans="1:9" x14ac:dyDescent="0.2">
      <c r="A1829" s="1"/>
      <c r="I1829" s="1"/>
    </row>
    <row r="1830" spans="1:9" x14ac:dyDescent="0.2">
      <c r="A1830" s="1"/>
      <c r="I1830" s="1"/>
    </row>
    <row r="1831" spans="1:9" x14ac:dyDescent="0.2">
      <c r="A1831" s="1"/>
      <c r="I1831" s="1"/>
    </row>
    <row r="1832" spans="1:9" x14ac:dyDescent="0.2">
      <c r="A1832" s="1"/>
      <c r="I1832" s="1"/>
    </row>
    <row r="1833" spans="1:9" x14ac:dyDescent="0.2">
      <c r="A1833" s="1"/>
      <c r="I1833" s="1"/>
    </row>
    <row r="1834" spans="1:9" x14ac:dyDescent="0.2">
      <c r="A1834" s="1"/>
      <c r="I1834" s="1"/>
    </row>
    <row r="1835" spans="1:9" x14ac:dyDescent="0.2">
      <c r="A1835" s="1"/>
      <c r="I1835" s="1"/>
    </row>
    <row r="1836" spans="1:9" x14ac:dyDescent="0.2">
      <c r="A1836" s="1"/>
      <c r="I1836" s="1"/>
    </row>
    <row r="1837" spans="1:9" x14ac:dyDescent="0.2">
      <c r="A1837" s="1"/>
      <c r="I1837" s="1"/>
    </row>
    <row r="1838" spans="1:9" x14ac:dyDescent="0.2">
      <c r="A1838" s="1"/>
      <c r="I1838" s="1"/>
    </row>
    <row r="1839" spans="1:9" x14ac:dyDescent="0.2">
      <c r="A1839" s="1"/>
      <c r="I1839" s="1"/>
    </row>
    <row r="1840" spans="1:9" x14ac:dyDescent="0.2">
      <c r="A1840" s="1"/>
      <c r="I1840" s="1"/>
    </row>
    <row r="1841" spans="1:9" x14ac:dyDescent="0.2">
      <c r="A1841" s="1"/>
      <c r="I1841" s="1"/>
    </row>
    <row r="1842" spans="1:9" x14ac:dyDescent="0.2">
      <c r="A1842" s="1"/>
      <c r="I1842" s="1"/>
    </row>
    <row r="1843" spans="1:9" x14ac:dyDescent="0.2">
      <c r="A1843" s="1"/>
      <c r="I1843" s="1"/>
    </row>
    <row r="1844" spans="1:9" x14ac:dyDescent="0.2">
      <c r="A1844" s="1"/>
      <c r="I1844" s="1"/>
    </row>
    <row r="1845" spans="1:9" x14ac:dyDescent="0.2">
      <c r="A1845" s="1"/>
      <c r="I1845" s="1"/>
    </row>
    <row r="1846" spans="1:9" x14ac:dyDescent="0.2">
      <c r="A1846" s="1"/>
      <c r="I1846" s="1"/>
    </row>
    <row r="1847" spans="1:9" x14ac:dyDescent="0.2">
      <c r="A1847" s="1"/>
      <c r="I1847" s="1"/>
    </row>
    <row r="1848" spans="1:9" x14ac:dyDescent="0.2">
      <c r="A1848" s="1"/>
      <c r="I1848" s="1"/>
    </row>
    <row r="1849" spans="1:9" x14ac:dyDescent="0.2">
      <c r="A1849" s="1"/>
      <c r="I1849" s="1"/>
    </row>
    <row r="1850" spans="1:9" x14ac:dyDescent="0.2">
      <c r="A1850" s="1"/>
      <c r="I1850" s="1"/>
    </row>
    <row r="1851" spans="1:9" x14ac:dyDescent="0.2">
      <c r="A1851" s="1"/>
      <c r="I1851" s="1"/>
    </row>
    <row r="1852" spans="1:9" x14ac:dyDescent="0.2">
      <c r="A1852" s="1"/>
      <c r="I1852" s="1"/>
    </row>
    <row r="1853" spans="1:9" x14ac:dyDescent="0.2">
      <c r="A1853" s="1"/>
      <c r="I1853" s="1"/>
    </row>
    <row r="1854" spans="1:9" x14ac:dyDescent="0.2">
      <c r="A1854" s="1"/>
      <c r="I1854" s="1"/>
    </row>
    <row r="1855" spans="1:9" x14ac:dyDescent="0.2">
      <c r="A1855" s="1"/>
      <c r="I1855" s="1"/>
    </row>
    <row r="1856" spans="1:9" x14ac:dyDescent="0.2">
      <c r="A1856" s="1"/>
      <c r="I1856" s="1"/>
    </row>
    <row r="1857" spans="1:9" x14ac:dyDescent="0.2">
      <c r="A1857" s="1"/>
      <c r="I1857" s="1"/>
    </row>
    <row r="1858" spans="1:9" x14ac:dyDescent="0.2">
      <c r="A1858" s="1"/>
      <c r="I1858" s="1"/>
    </row>
    <row r="1859" spans="1:9" x14ac:dyDescent="0.2">
      <c r="A1859" s="1"/>
      <c r="I1859" s="1"/>
    </row>
    <row r="1860" spans="1:9" x14ac:dyDescent="0.2">
      <c r="A1860" s="1"/>
      <c r="I1860" s="1"/>
    </row>
    <row r="1861" spans="1:9" x14ac:dyDescent="0.2">
      <c r="A1861" s="1"/>
      <c r="I1861" s="1"/>
    </row>
    <row r="1862" spans="1:9" x14ac:dyDescent="0.2">
      <c r="A1862" s="1"/>
      <c r="I1862" s="1"/>
    </row>
    <row r="1863" spans="1:9" x14ac:dyDescent="0.2">
      <c r="A1863" s="1"/>
      <c r="I1863" s="1"/>
    </row>
    <row r="1864" spans="1:9" x14ac:dyDescent="0.2">
      <c r="A1864" s="1"/>
      <c r="I1864" s="1"/>
    </row>
    <row r="1865" spans="1:9" x14ac:dyDescent="0.2">
      <c r="A1865" s="1"/>
      <c r="I1865" s="1"/>
    </row>
    <row r="1866" spans="1:9" x14ac:dyDescent="0.2">
      <c r="A1866" s="1"/>
      <c r="I1866" s="1"/>
    </row>
    <row r="1867" spans="1:9" x14ac:dyDescent="0.2">
      <c r="A1867" s="1"/>
      <c r="I1867" s="1"/>
    </row>
    <row r="1868" spans="1:9" x14ac:dyDescent="0.2">
      <c r="A1868" s="1"/>
      <c r="I1868" s="1"/>
    </row>
    <row r="1869" spans="1:9" x14ac:dyDescent="0.2">
      <c r="A1869" s="1"/>
      <c r="I1869" s="1"/>
    </row>
    <row r="1870" spans="1:9" x14ac:dyDescent="0.2">
      <c r="A1870" s="1"/>
      <c r="I1870" s="1"/>
    </row>
    <row r="1871" spans="1:9" x14ac:dyDescent="0.2">
      <c r="A1871" s="1"/>
      <c r="I1871" s="1"/>
    </row>
    <row r="1872" spans="1:9" x14ac:dyDescent="0.2">
      <c r="A1872" s="1"/>
      <c r="I1872" s="1"/>
    </row>
    <row r="1873" spans="1:9" x14ac:dyDescent="0.2">
      <c r="A1873" s="1"/>
      <c r="I1873" s="1"/>
    </row>
    <row r="1874" spans="1:9" x14ac:dyDescent="0.2">
      <c r="A1874" s="1"/>
      <c r="I1874" s="1"/>
    </row>
    <row r="1875" spans="1:9" x14ac:dyDescent="0.2">
      <c r="A1875" s="1"/>
      <c r="I1875" s="1"/>
    </row>
    <row r="1876" spans="1:9" x14ac:dyDescent="0.2">
      <c r="A1876" s="1"/>
      <c r="I1876" s="1"/>
    </row>
    <row r="1877" spans="1:9" x14ac:dyDescent="0.2">
      <c r="A1877" s="1"/>
      <c r="I1877" s="1"/>
    </row>
    <row r="1878" spans="1:9" x14ac:dyDescent="0.2">
      <c r="A1878" s="1"/>
      <c r="I1878" s="1"/>
    </row>
    <row r="1879" spans="1:9" x14ac:dyDescent="0.2">
      <c r="A1879" s="1"/>
      <c r="I1879" s="1"/>
    </row>
    <row r="1880" spans="1:9" x14ac:dyDescent="0.2">
      <c r="A1880" s="1"/>
      <c r="I1880" s="1"/>
    </row>
    <row r="1881" spans="1:9" x14ac:dyDescent="0.2">
      <c r="A1881" s="1"/>
      <c r="I1881" s="1"/>
    </row>
    <row r="1882" spans="1:9" x14ac:dyDescent="0.2">
      <c r="A1882" s="1"/>
      <c r="I1882" s="1"/>
    </row>
    <row r="1883" spans="1:9" x14ac:dyDescent="0.2">
      <c r="A1883" s="1"/>
      <c r="I1883" s="1"/>
    </row>
    <row r="1884" spans="1:9" x14ac:dyDescent="0.2">
      <c r="A1884" s="1"/>
      <c r="I1884" s="1"/>
    </row>
    <row r="1885" spans="1:9" x14ac:dyDescent="0.2">
      <c r="A1885" s="1"/>
      <c r="I1885" s="1"/>
    </row>
    <row r="1886" spans="1:9" x14ac:dyDescent="0.2">
      <c r="A1886" s="1"/>
      <c r="I1886" s="1"/>
    </row>
    <row r="1887" spans="1:9" x14ac:dyDescent="0.2">
      <c r="A1887" s="1"/>
      <c r="I1887" s="1"/>
    </row>
    <row r="1888" spans="1:9" x14ac:dyDescent="0.2">
      <c r="A1888" s="1"/>
      <c r="I1888" s="1"/>
    </row>
    <row r="1889" spans="1:9" x14ac:dyDescent="0.2">
      <c r="A1889" s="1"/>
      <c r="I1889" s="1"/>
    </row>
    <row r="1890" spans="1:9" x14ac:dyDescent="0.2">
      <c r="A1890" s="1"/>
      <c r="I1890" s="1"/>
    </row>
    <row r="1891" spans="1:9" x14ac:dyDescent="0.2">
      <c r="A1891" s="1"/>
      <c r="I1891" s="1"/>
    </row>
    <row r="1892" spans="1:9" x14ac:dyDescent="0.2">
      <c r="A1892" s="1"/>
      <c r="I1892" s="1"/>
    </row>
    <row r="1893" spans="1:9" x14ac:dyDescent="0.2">
      <c r="A1893" s="1"/>
      <c r="I1893" s="1"/>
    </row>
    <row r="1894" spans="1:9" x14ac:dyDescent="0.2">
      <c r="A1894" s="1"/>
      <c r="I1894" s="1"/>
    </row>
    <row r="1895" spans="1:9" x14ac:dyDescent="0.2">
      <c r="A1895" s="1"/>
      <c r="I1895" s="1"/>
    </row>
    <row r="1896" spans="1:9" x14ac:dyDescent="0.2">
      <c r="A1896" s="1"/>
      <c r="I1896" s="1"/>
    </row>
    <row r="1897" spans="1:9" x14ac:dyDescent="0.2">
      <c r="A1897" s="1"/>
      <c r="I1897" s="1"/>
    </row>
    <row r="1898" spans="1:9" x14ac:dyDescent="0.2">
      <c r="A1898" s="1"/>
      <c r="I1898" s="1"/>
    </row>
    <row r="1899" spans="1:9" x14ac:dyDescent="0.2">
      <c r="A1899" s="1"/>
      <c r="I1899" s="1"/>
    </row>
    <row r="1900" spans="1:9" x14ac:dyDescent="0.2">
      <c r="A1900" s="1"/>
      <c r="I1900" s="1"/>
    </row>
    <row r="1901" spans="1:9" x14ac:dyDescent="0.2">
      <c r="A1901" s="1"/>
      <c r="I1901" s="1"/>
    </row>
    <row r="1902" spans="1:9" x14ac:dyDescent="0.2">
      <c r="A1902" s="1"/>
      <c r="I1902" s="1"/>
    </row>
    <row r="1903" spans="1:9" x14ac:dyDescent="0.2">
      <c r="A1903" s="1"/>
      <c r="I1903" s="1"/>
    </row>
    <row r="1904" spans="1:9" x14ac:dyDescent="0.2">
      <c r="A1904" s="1"/>
      <c r="I1904" s="1"/>
    </row>
    <row r="1905" spans="1:9" x14ac:dyDescent="0.2">
      <c r="A1905" s="1"/>
      <c r="I1905" s="1"/>
    </row>
    <row r="1906" spans="1:9" x14ac:dyDescent="0.2">
      <c r="A1906" s="1"/>
      <c r="I1906" s="1"/>
    </row>
    <row r="1907" spans="1:9" x14ac:dyDescent="0.2">
      <c r="A1907" s="1"/>
      <c r="I1907" s="1"/>
    </row>
    <row r="1908" spans="1:9" x14ac:dyDescent="0.2">
      <c r="A1908" s="1"/>
      <c r="I1908" s="1"/>
    </row>
    <row r="1909" spans="1:9" x14ac:dyDescent="0.2">
      <c r="A1909" s="1"/>
      <c r="I1909" s="1"/>
    </row>
    <row r="1910" spans="1:9" x14ac:dyDescent="0.2">
      <c r="A1910" s="1"/>
      <c r="I1910" s="1"/>
    </row>
    <row r="1911" spans="1:9" x14ac:dyDescent="0.2">
      <c r="A1911" s="1"/>
      <c r="I1911" s="1"/>
    </row>
    <row r="1912" spans="1:9" x14ac:dyDescent="0.2">
      <c r="A1912" s="1"/>
      <c r="I1912" s="1"/>
    </row>
    <row r="1913" spans="1:9" x14ac:dyDescent="0.2">
      <c r="A1913" s="1"/>
      <c r="I1913" s="1"/>
    </row>
    <row r="1914" spans="1:9" x14ac:dyDescent="0.2">
      <c r="A1914" s="1"/>
      <c r="I1914" s="1"/>
    </row>
    <row r="1915" spans="1:9" x14ac:dyDescent="0.2">
      <c r="A1915" s="1"/>
      <c r="I1915" s="1"/>
    </row>
    <row r="1916" spans="1:9" x14ac:dyDescent="0.2">
      <c r="A1916" s="1"/>
      <c r="I1916" s="1"/>
    </row>
    <row r="1917" spans="1:9" x14ac:dyDescent="0.2">
      <c r="A1917" s="1"/>
      <c r="I1917" s="1"/>
    </row>
    <row r="1918" spans="1:9" x14ac:dyDescent="0.2">
      <c r="A1918" s="1"/>
      <c r="I1918" s="1"/>
    </row>
    <row r="1919" spans="1:9" x14ac:dyDescent="0.2">
      <c r="A1919" s="1"/>
      <c r="I1919" s="1"/>
    </row>
    <row r="1920" spans="1:9" x14ac:dyDescent="0.2">
      <c r="A1920" s="1"/>
      <c r="I1920" s="1"/>
    </row>
    <row r="1921" spans="1:9" x14ac:dyDescent="0.2">
      <c r="A1921" s="1"/>
      <c r="I1921" s="1"/>
    </row>
    <row r="1922" spans="1:9" x14ac:dyDescent="0.2">
      <c r="A1922" s="1"/>
      <c r="I1922" s="1"/>
    </row>
    <row r="1923" spans="1:9" x14ac:dyDescent="0.2">
      <c r="A1923" s="1"/>
      <c r="I1923" s="1"/>
    </row>
    <row r="1924" spans="1:9" x14ac:dyDescent="0.2">
      <c r="A1924" s="1"/>
      <c r="I1924" s="1"/>
    </row>
    <row r="1925" spans="1:9" x14ac:dyDescent="0.2">
      <c r="A1925" s="1"/>
      <c r="I1925" s="1"/>
    </row>
    <row r="1926" spans="1:9" x14ac:dyDescent="0.2">
      <c r="A1926" s="1"/>
      <c r="I1926" s="1"/>
    </row>
    <row r="1927" spans="1:9" x14ac:dyDescent="0.2">
      <c r="A1927" s="1"/>
      <c r="I1927" s="1"/>
    </row>
    <row r="1928" spans="1:9" x14ac:dyDescent="0.2">
      <c r="A1928" s="1"/>
      <c r="I1928" s="1"/>
    </row>
    <row r="1929" spans="1:9" x14ac:dyDescent="0.2">
      <c r="A1929" s="1"/>
      <c r="I1929" s="1"/>
    </row>
    <row r="1930" spans="1:9" x14ac:dyDescent="0.2">
      <c r="A1930" s="1"/>
      <c r="I1930" s="1"/>
    </row>
    <row r="1931" spans="1:9" x14ac:dyDescent="0.2">
      <c r="A1931" s="1"/>
      <c r="I1931" s="1"/>
    </row>
    <row r="1932" spans="1:9" x14ac:dyDescent="0.2">
      <c r="A1932" s="1"/>
      <c r="I1932" s="1"/>
    </row>
    <row r="1933" spans="1:9" x14ac:dyDescent="0.2">
      <c r="A1933" s="1"/>
      <c r="I1933" s="1"/>
    </row>
    <row r="1934" spans="1:9" x14ac:dyDescent="0.2">
      <c r="A1934" s="1"/>
      <c r="I1934" s="1"/>
    </row>
    <row r="1935" spans="1:9" x14ac:dyDescent="0.2">
      <c r="A1935" s="1"/>
      <c r="I1935" s="1"/>
    </row>
    <row r="1936" spans="1:9" x14ac:dyDescent="0.2">
      <c r="A1936" s="1"/>
      <c r="I1936" s="1"/>
    </row>
    <row r="1937" spans="1:9" x14ac:dyDescent="0.2">
      <c r="A1937" s="1"/>
      <c r="I1937" s="1"/>
    </row>
    <row r="1938" spans="1:9" x14ac:dyDescent="0.2">
      <c r="A1938" s="1"/>
      <c r="I1938" s="1"/>
    </row>
    <row r="1939" spans="1:9" x14ac:dyDescent="0.2">
      <c r="A1939" s="1"/>
      <c r="I1939" s="1"/>
    </row>
    <row r="1940" spans="1:9" x14ac:dyDescent="0.2">
      <c r="A1940" s="1"/>
      <c r="I1940" s="1"/>
    </row>
    <row r="1941" spans="1:9" x14ac:dyDescent="0.2">
      <c r="A1941" s="1"/>
      <c r="I1941" s="1"/>
    </row>
    <row r="1942" spans="1:9" x14ac:dyDescent="0.2">
      <c r="A1942" s="1"/>
      <c r="I1942" s="1"/>
    </row>
    <row r="1943" spans="1:9" x14ac:dyDescent="0.2">
      <c r="A1943" s="1"/>
      <c r="I1943" s="1"/>
    </row>
    <row r="1944" spans="1:9" x14ac:dyDescent="0.2">
      <c r="A1944" s="1"/>
      <c r="I1944" s="1"/>
    </row>
    <row r="1945" spans="1:9" x14ac:dyDescent="0.2">
      <c r="A1945" s="1"/>
      <c r="I1945" s="1"/>
    </row>
    <row r="1946" spans="1:9" x14ac:dyDescent="0.2">
      <c r="A1946" s="1"/>
      <c r="I1946" s="1"/>
    </row>
    <row r="1947" spans="1:9" x14ac:dyDescent="0.2">
      <c r="A1947" s="1"/>
      <c r="I1947" s="1"/>
    </row>
    <row r="1948" spans="1:9" x14ac:dyDescent="0.2">
      <c r="A1948" s="1"/>
      <c r="I1948" s="1"/>
    </row>
    <row r="1949" spans="1:9" x14ac:dyDescent="0.2">
      <c r="A1949" s="1"/>
      <c r="I1949" s="1"/>
    </row>
    <row r="1950" spans="1:9" x14ac:dyDescent="0.2">
      <c r="A1950" s="1"/>
      <c r="I1950" s="1"/>
    </row>
    <row r="1951" spans="1:9" x14ac:dyDescent="0.2">
      <c r="A1951" s="1"/>
      <c r="I1951" s="1"/>
    </row>
    <row r="1952" spans="1:9" x14ac:dyDescent="0.2">
      <c r="A1952" s="1"/>
      <c r="I1952" s="1"/>
    </row>
    <row r="1953" spans="1:9" x14ac:dyDescent="0.2">
      <c r="A1953" s="1"/>
      <c r="I1953" s="1"/>
    </row>
    <row r="1954" spans="1:9" x14ac:dyDescent="0.2">
      <c r="A1954" s="1"/>
      <c r="I1954" s="1"/>
    </row>
    <row r="1955" spans="1:9" x14ac:dyDescent="0.2">
      <c r="A1955" s="1"/>
      <c r="I1955" s="1"/>
    </row>
    <row r="1956" spans="1:9" x14ac:dyDescent="0.2">
      <c r="A1956" s="1"/>
      <c r="I1956" s="1"/>
    </row>
    <row r="1957" spans="1:9" x14ac:dyDescent="0.2">
      <c r="A1957" s="1"/>
      <c r="I1957" s="1"/>
    </row>
    <row r="1958" spans="1:9" x14ac:dyDescent="0.2">
      <c r="A1958" s="1"/>
      <c r="I1958" s="1"/>
    </row>
    <row r="1959" spans="1:9" x14ac:dyDescent="0.2">
      <c r="A1959" s="1"/>
      <c r="I1959" s="1"/>
    </row>
    <row r="1960" spans="1:9" x14ac:dyDescent="0.2">
      <c r="A1960" s="1"/>
      <c r="I1960" s="1"/>
    </row>
    <row r="1961" spans="1:9" x14ac:dyDescent="0.2">
      <c r="A1961" s="1"/>
      <c r="I1961" s="1"/>
    </row>
    <row r="1962" spans="1:9" x14ac:dyDescent="0.2">
      <c r="A1962" s="1"/>
      <c r="I1962" s="1"/>
    </row>
    <row r="1963" spans="1:9" x14ac:dyDescent="0.2">
      <c r="A1963" s="1"/>
      <c r="I1963" s="1"/>
    </row>
    <row r="1964" spans="1:9" x14ac:dyDescent="0.2">
      <c r="A1964" s="1"/>
      <c r="I1964" s="1"/>
    </row>
    <row r="1965" spans="1:9" x14ac:dyDescent="0.2">
      <c r="A1965" s="1"/>
      <c r="I1965" s="1"/>
    </row>
    <row r="1966" spans="1:9" x14ac:dyDescent="0.2">
      <c r="A1966" s="1"/>
      <c r="I1966" s="1"/>
    </row>
    <row r="1967" spans="1:9" x14ac:dyDescent="0.2">
      <c r="A1967" s="1"/>
      <c r="I1967" s="1"/>
    </row>
    <row r="1968" spans="1:9" x14ac:dyDescent="0.2">
      <c r="A1968" s="1"/>
      <c r="I1968" s="1"/>
    </row>
    <row r="1969" spans="1:9" x14ac:dyDescent="0.2">
      <c r="A1969" s="1"/>
      <c r="I1969" s="1"/>
    </row>
    <row r="1970" spans="1:9" x14ac:dyDescent="0.2">
      <c r="A1970" s="1"/>
      <c r="I1970" s="1"/>
    </row>
    <row r="1971" spans="1:9" x14ac:dyDescent="0.2">
      <c r="A1971" s="1"/>
      <c r="I1971" s="1"/>
    </row>
    <row r="1972" spans="1:9" x14ac:dyDescent="0.2">
      <c r="A1972" s="1"/>
      <c r="I1972" s="1"/>
    </row>
    <row r="1973" spans="1:9" x14ac:dyDescent="0.2">
      <c r="A1973" s="1"/>
      <c r="I1973" s="1"/>
    </row>
    <row r="1974" spans="1:9" x14ac:dyDescent="0.2">
      <c r="A1974" s="1"/>
      <c r="I1974" s="1"/>
    </row>
    <row r="1975" spans="1:9" x14ac:dyDescent="0.2">
      <c r="A1975" s="1"/>
      <c r="I1975" s="1"/>
    </row>
    <row r="1976" spans="1:9" x14ac:dyDescent="0.2">
      <c r="A1976" s="1"/>
      <c r="I1976" s="1"/>
    </row>
    <row r="1977" spans="1:9" x14ac:dyDescent="0.2">
      <c r="A1977" s="1"/>
      <c r="I1977" s="1"/>
    </row>
    <row r="1978" spans="1:9" x14ac:dyDescent="0.2">
      <c r="A1978" s="1"/>
      <c r="I1978" s="1"/>
    </row>
    <row r="1979" spans="1:9" x14ac:dyDescent="0.2">
      <c r="A1979" s="1"/>
      <c r="I1979" s="1"/>
    </row>
    <row r="1980" spans="1:9" x14ac:dyDescent="0.2">
      <c r="A1980" s="1"/>
      <c r="I1980" s="1"/>
    </row>
    <row r="1981" spans="1:9" x14ac:dyDescent="0.2">
      <c r="A1981" s="1"/>
      <c r="I1981" s="1"/>
    </row>
    <row r="1982" spans="1:9" x14ac:dyDescent="0.2">
      <c r="A1982" s="1"/>
      <c r="I1982" s="1"/>
    </row>
    <row r="1983" spans="1:9" x14ac:dyDescent="0.2">
      <c r="A1983" s="1"/>
      <c r="I1983" s="1"/>
    </row>
    <row r="1984" spans="1:9" x14ac:dyDescent="0.2">
      <c r="A1984" s="1"/>
      <c r="I1984" s="1"/>
    </row>
    <row r="1985" spans="1:9" x14ac:dyDescent="0.2">
      <c r="A1985" s="1"/>
      <c r="I1985" s="1"/>
    </row>
    <row r="1986" spans="1:9" x14ac:dyDescent="0.2">
      <c r="A1986" s="1"/>
      <c r="I1986" s="1"/>
    </row>
    <row r="1987" spans="1:9" x14ac:dyDescent="0.2">
      <c r="A1987" s="1"/>
      <c r="I1987" s="1"/>
    </row>
    <row r="1988" spans="1:9" x14ac:dyDescent="0.2">
      <c r="A1988" s="1"/>
      <c r="I1988" s="1"/>
    </row>
    <row r="1989" spans="1:9" x14ac:dyDescent="0.2">
      <c r="A1989" s="1"/>
      <c r="I1989" s="1"/>
    </row>
    <row r="1990" spans="1:9" x14ac:dyDescent="0.2">
      <c r="A1990" s="1"/>
      <c r="I1990" s="1"/>
    </row>
    <row r="1991" spans="1:9" x14ac:dyDescent="0.2">
      <c r="A1991" s="1"/>
      <c r="I1991" s="1"/>
    </row>
    <row r="1992" spans="1:9" x14ac:dyDescent="0.2">
      <c r="A1992" s="1"/>
      <c r="I1992" s="1"/>
    </row>
    <row r="1993" spans="1:9" x14ac:dyDescent="0.2">
      <c r="A1993" s="1"/>
      <c r="I1993" s="1"/>
    </row>
    <row r="1994" spans="1:9" x14ac:dyDescent="0.2">
      <c r="A1994" s="1"/>
      <c r="I1994" s="1"/>
    </row>
    <row r="1995" spans="1:9" x14ac:dyDescent="0.2">
      <c r="A1995" s="1"/>
      <c r="I1995" s="1"/>
    </row>
    <row r="1996" spans="1:9" x14ac:dyDescent="0.2">
      <c r="A1996" s="1"/>
      <c r="I1996" s="1"/>
    </row>
    <row r="1997" spans="1:9" x14ac:dyDescent="0.2">
      <c r="A1997" s="1"/>
      <c r="I1997" s="1"/>
    </row>
    <row r="1998" spans="1:9" x14ac:dyDescent="0.2">
      <c r="A1998" s="1"/>
      <c r="I1998" s="1"/>
    </row>
    <row r="1999" spans="1:9" x14ac:dyDescent="0.2">
      <c r="A1999" s="1"/>
      <c r="I1999" s="1"/>
    </row>
    <row r="2000" spans="1:9" x14ac:dyDescent="0.2">
      <c r="A2000" s="1"/>
      <c r="I2000" s="1"/>
    </row>
    <row r="2001" spans="1:9" x14ac:dyDescent="0.2">
      <c r="A2001" s="1"/>
      <c r="I2001" s="1"/>
    </row>
    <row r="2002" spans="1:9" x14ac:dyDescent="0.2">
      <c r="A2002" s="1"/>
      <c r="I2002" s="1"/>
    </row>
    <row r="2003" spans="1:9" x14ac:dyDescent="0.2">
      <c r="A2003" s="1"/>
      <c r="I2003" s="1"/>
    </row>
    <row r="2004" spans="1:9" x14ac:dyDescent="0.2">
      <c r="A2004" s="1"/>
      <c r="I2004" s="1"/>
    </row>
    <row r="2005" spans="1:9" x14ac:dyDescent="0.2">
      <c r="A2005" s="1"/>
      <c r="I2005" s="1"/>
    </row>
    <row r="2006" spans="1:9" x14ac:dyDescent="0.2">
      <c r="A2006" s="1"/>
      <c r="I2006" s="1"/>
    </row>
    <row r="2007" spans="1:9" x14ac:dyDescent="0.2">
      <c r="A2007" s="1"/>
      <c r="I2007" s="1"/>
    </row>
    <row r="2008" spans="1:9" x14ac:dyDescent="0.2">
      <c r="A2008" s="1"/>
      <c r="I2008" s="1"/>
    </row>
    <row r="2009" spans="1:9" x14ac:dyDescent="0.2">
      <c r="A2009" s="1"/>
      <c r="I2009" s="1"/>
    </row>
    <row r="2010" spans="1:9" x14ac:dyDescent="0.2">
      <c r="A2010" s="1"/>
      <c r="I2010" s="1"/>
    </row>
    <row r="2011" spans="1:9" x14ac:dyDescent="0.2">
      <c r="A2011" s="1"/>
      <c r="I2011" s="1"/>
    </row>
    <row r="2012" spans="1:9" x14ac:dyDescent="0.2">
      <c r="A2012" s="1"/>
      <c r="I2012" s="1"/>
    </row>
    <row r="2013" spans="1:9" x14ac:dyDescent="0.2">
      <c r="A2013" s="1"/>
      <c r="I2013" s="1"/>
    </row>
    <row r="2014" spans="1:9" x14ac:dyDescent="0.2">
      <c r="A2014" s="1"/>
      <c r="I2014" s="1"/>
    </row>
    <row r="2015" spans="1:9" x14ac:dyDescent="0.2">
      <c r="A2015" s="1"/>
      <c r="I2015" s="1"/>
    </row>
    <row r="2016" spans="1:9" x14ac:dyDescent="0.2">
      <c r="A2016" s="1"/>
      <c r="I2016" s="1"/>
    </row>
    <row r="2017" spans="1:9" x14ac:dyDescent="0.2">
      <c r="A2017" s="1"/>
      <c r="I2017" s="1"/>
    </row>
    <row r="2018" spans="1:9" x14ac:dyDescent="0.2">
      <c r="A2018" s="1"/>
      <c r="I2018" s="1"/>
    </row>
    <row r="2019" spans="1:9" x14ac:dyDescent="0.2">
      <c r="A2019" s="1"/>
      <c r="I2019" s="1"/>
    </row>
    <row r="2020" spans="1:9" x14ac:dyDescent="0.2">
      <c r="A2020" s="1"/>
      <c r="I2020" s="1"/>
    </row>
    <row r="2021" spans="1:9" x14ac:dyDescent="0.2">
      <c r="A2021" s="1"/>
      <c r="I2021" s="1"/>
    </row>
    <row r="2022" spans="1:9" x14ac:dyDescent="0.2">
      <c r="A2022" s="1"/>
      <c r="I2022" s="1"/>
    </row>
    <row r="2023" spans="1:9" x14ac:dyDescent="0.2">
      <c r="A2023" s="1"/>
      <c r="I2023" s="1"/>
    </row>
    <row r="2024" spans="1:9" x14ac:dyDescent="0.2">
      <c r="A2024" s="1"/>
      <c r="I2024" s="1"/>
    </row>
    <row r="2025" spans="1:9" x14ac:dyDescent="0.2">
      <c r="A2025" s="1"/>
      <c r="I2025" s="1"/>
    </row>
    <row r="2026" spans="1:9" x14ac:dyDescent="0.2">
      <c r="A2026" s="1"/>
      <c r="I2026" s="1"/>
    </row>
    <row r="2027" spans="1:9" x14ac:dyDescent="0.2">
      <c r="A2027" s="1"/>
      <c r="I2027" s="1"/>
    </row>
    <row r="2028" spans="1:9" x14ac:dyDescent="0.2">
      <c r="A2028" s="1"/>
      <c r="I2028" s="1"/>
    </row>
    <row r="2029" spans="1:9" x14ac:dyDescent="0.2">
      <c r="A2029" s="1"/>
      <c r="I2029" s="1"/>
    </row>
    <row r="2030" spans="1:9" x14ac:dyDescent="0.2">
      <c r="A2030" s="1"/>
      <c r="I2030" s="1"/>
    </row>
    <row r="2031" spans="1:9" x14ac:dyDescent="0.2">
      <c r="A2031" s="1"/>
      <c r="I2031" s="1"/>
    </row>
    <row r="2032" spans="1:9" x14ac:dyDescent="0.2">
      <c r="A2032" s="1"/>
      <c r="I2032" s="1"/>
    </row>
    <row r="2033" spans="1:9" x14ac:dyDescent="0.2">
      <c r="A2033" s="1"/>
      <c r="I2033" s="1"/>
    </row>
    <row r="2034" spans="1:9" x14ac:dyDescent="0.2">
      <c r="A2034" s="1"/>
      <c r="I2034" s="1"/>
    </row>
    <row r="2035" spans="1:9" x14ac:dyDescent="0.2">
      <c r="A2035" s="1"/>
      <c r="I2035" s="1"/>
    </row>
    <row r="2036" spans="1:9" x14ac:dyDescent="0.2">
      <c r="A2036" s="1"/>
      <c r="I2036" s="1"/>
    </row>
    <row r="2037" spans="1:9" x14ac:dyDescent="0.2">
      <c r="A2037" s="1"/>
      <c r="I2037" s="1"/>
    </row>
    <row r="2038" spans="1:9" x14ac:dyDescent="0.2">
      <c r="A2038" s="1"/>
      <c r="I2038" s="1"/>
    </row>
    <row r="2039" spans="1:9" x14ac:dyDescent="0.2">
      <c r="A2039" s="1"/>
      <c r="I2039" s="1"/>
    </row>
    <row r="2040" spans="1:9" x14ac:dyDescent="0.2">
      <c r="A2040" s="1"/>
      <c r="I2040" s="1"/>
    </row>
    <row r="2041" spans="1:9" x14ac:dyDescent="0.2">
      <c r="A2041" s="1"/>
      <c r="I2041" s="1"/>
    </row>
    <row r="2042" spans="1:9" x14ac:dyDescent="0.2">
      <c r="A2042" s="1"/>
      <c r="I2042" s="1"/>
    </row>
    <row r="2043" spans="1:9" x14ac:dyDescent="0.2">
      <c r="A2043" s="1"/>
      <c r="I2043" s="1"/>
    </row>
    <row r="2044" spans="1:9" x14ac:dyDescent="0.2">
      <c r="A2044" s="1"/>
      <c r="I2044" s="1"/>
    </row>
    <row r="2045" spans="1:9" x14ac:dyDescent="0.2">
      <c r="A2045" s="1"/>
      <c r="I2045" s="1"/>
    </row>
    <row r="2046" spans="1:9" x14ac:dyDescent="0.2">
      <c r="A2046" s="1"/>
      <c r="I2046" s="1"/>
    </row>
    <row r="2047" spans="1:9" x14ac:dyDescent="0.2">
      <c r="A2047" s="1"/>
      <c r="I2047" s="1"/>
    </row>
    <row r="2048" spans="1:9" x14ac:dyDescent="0.2">
      <c r="A2048" s="1"/>
      <c r="I2048" s="1"/>
    </row>
    <row r="2049" spans="1:9" x14ac:dyDescent="0.2">
      <c r="A2049" s="1"/>
      <c r="I2049" s="1"/>
    </row>
    <row r="2050" spans="1:9" x14ac:dyDescent="0.2">
      <c r="A2050" s="1"/>
      <c r="I2050" s="1"/>
    </row>
    <row r="2051" spans="1:9" x14ac:dyDescent="0.2">
      <c r="A2051" s="1"/>
      <c r="I2051" s="1"/>
    </row>
    <row r="2052" spans="1:9" x14ac:dyDescent="0.2">
      <c r="A2052" s="1"/>
      <c r="I2052" s="1"/>
    </row>
    <row r="2053" spans="1:9" x14ac:dyDescent="0.2">
      <c r="A2053" s="1"/>
      <c r="I2053" s="1"/>
    </row>
    <row r="2054" spans="1:9" x14ac:dyDescent="0.2">
      <c r="A2054" s="1"/>
      <c r="I2054" s="1"/>
    </row>
    <row r="2055" spans="1:9" x14ac:dyDescent="0.2">
      <c r="A2055" s="1"/>
      <c r="I2055" s="1"/>
    </row>
    <row r="2056" spans="1:9" x14ac:dyDescent="0.2">
      <c r="A2056" s="1"/>
      <c r="I2056" s="1"/>
    </row>
    <row r="2057" spans="1:9" x14ac:dyDescent="0.2">
      <c r="A2057" s="1"/>
      <c r="I2057" s="1"/>
    </row>
    <row r="2058" spans="1:9" x14ac:dyDescent="0.2">
      <c r="A2058" s="1"/>
      <c r="I2058" s="1"/>
    </row>
    <row r="2059" spans="1:9" x14ac:dyDescent="0.2">
      <c r="A2059" s="1"/>
      <c r="I2059" s="1"/>
    </row>
    <row r="2060" spans="1:9" x14ac:dyDescent="0.2">
      <c r="A2060" s="1"/>
      <c r="I2060" s="1"/>
    </row>
    <row r="2061" spans="1:9" x14ac:dyDescent="0.2">
      <c r="A2061" s="1"/>
      <c r="I2061" s="1"/>
    </row>
    <row r="2062" spans="1:9" x14ac:dyDescent="0.2">
      <c r="A2062" s="1"/>
      <c r="I2062" s="1"/>
    </row>
    <row r="2063" spans="1:9" x14ac:dyDescent="0.2">
      <c r="A2063" s="1"/>
      <c r="I2063" s="1"/>
    </row>
    <row r="2064" spans="1:9" x14ac:dyDescent="0.2">
      <c r="A2064" s="1"/>
      <c r="I2064" s="1"/>
    </row>
    <row r="2065" spans="1:9" x14ac:dyDescent="0.2">
      <c r="A2065" s="1"/>
      <c r="I2065" s="1"/>
    </row>
    <row r="2066" spans="1:9" x14ac:dyDescent="0.2">
      <c r="A2066" s="1"/>
      <c r="I2066" s="1"/>
    </row>
    <row r="2067" spans="1:9" x14ac:dyDescent="0.2">
      <c r="A2067" s="1"/>
      <c r="I2067" s="1"/>
    </row>
    <row r="2068" spans="1:9" x14ac:dyDescent="0.2">
      <c r="A2068" s="1"/>
      <c r="I2068" s="1"/>
    </row>
    <row r="2069" spans="1:9" x14ac:dyDescent="0.2">
      <c r="A2069" s="1"/>
      <c r="I2069" s="1"/>
    </row>
    <row r="2070" spans="1:9" x14ac:dyDescent="0.2">
      <c r="A2070" s="1"/>
      <c r="I2070" s="1"/>
    </row>
    <row r="2071" spans="1:9" x14ac:dyDescent="0.2">
      <c r="A2071" s="1"/>
      <c r="I2071" s="1"/>
    </row>
    <row r="2072" spans="1:9" x14ac:dyDescent="0.2">
      <c r="A2072" s="1"/>
      <c r="I2072" s="1"/>
    </row>
    <row r="2073" spans="1:9" x14ac:dyDescent="0.2">
      <c r="A2073" s="1"/>
      <c r="I2073" s="1"/>
    </row>
    <row r="2074" spans="1:9" x14ac:dyDescent="0.2">
      <c r="A2074" s="1"/>
      <c r="I2074" s="1"/>
    </row>
    <row r="2075" spans="1:9" x14ac:dyDescent="0.2">
      <c r="A2075" s="1"/>
      <c r="I2075" s="1"/>
    </row>
    <row r="2076" spans="1:9" x14ac:dyDescent="0.2">
      <c r="A2076" s="1"/>
      <c r="I2076" s="1"/>
    </row>
    <row r="2077" spans="1:9" x14ac:dyDescent="0.2">
      <c r="A2077" s="1"/>
      <c r="I2077" s="1"/>
    </row>
    <row r="2078" spans="1:9" x14ac:dyDescent="0.2">
      <c r="A2078" s="1"/>
      <c r="I2078" s="1"/>
    </row>
    <row r="2079" spans="1:9" x14ac:dyDescent="0.2">
      <c r="A2079" s="1"/>
      <c r="I2079" s="1"/>
    </row>
    <row r="2080" spans="1:9" x14ac:dyDescent="0.2">
      <c r="A2080" s="1"/>
      <c r="I2080" s="1"/>
    </row>
    <row r="2081" spans="1:9" x14ac:dyDescent="0.2">
      <c r="A2081" s="1"/>
      <c r="I2081" s="1"/>
    </row>
    <row r="2082" spans="1:9" x14ac:dyDescent="0.2">
      <c r="A2082" s="1"/>
      <c r="I2082" s="1"/>
    </row>
    <row r="2083" spans="1:9" x14ac:dyDescent="0.2">
      <c r="A2083" s="1"/>
      <c r="I2083" s="1"/>
    </row>
    <row r="2084" spans="1:9" x14ac:dyDescent="0.2">
      <c r="A2084" s="1"/>
      <c r="I2084" s="1"/>
    </row>
    <row r="2085" spans="1:9" x14ac:dyDescent="0.2">
      <c r="A2085" s="1"/>
      <c r="I2085" s="1"/>
    </row>
    <row r="2086" spans="1:9" x14ac:dyDescent="0.2">
      <c r="A2086" s="1"/>
      <c r="I2086" s="1"/>
    </row>
    <row r="2087" spans="1:9" x14ac:dyDescent="0.2">
      <c r="A2087" s="1"/>
      <c r="I2087" s="1"/>
    </row>
    <row r="2088" spans="1:9" x14ac:dyDescent="0.2">
      <c r="A2088" s="1"/>
      <c r="I2088" s="1"/>
    </row>
    <row r="2089" spans="1:9" x14ac:dyDescent="0.2">
      <c r="A2089" s="1"/>
      <c r="I2089" s="1"/>
    </row>
    <row r="2090" spans="1:9" x14ac:dyDescent="0.2">
      <c r="A2090" s="1"/>
      <c r="I2090" s="1"/>
    </row>
    <row r="2091" spans="1:9" x14ac:dyDescent="0.2">
      <c r="A2091" s="1"/>
      <c r="I2091" s="1"/>
    </row>
    <row r="2092" spans="1:9" x14ac:dyDescent="0.2">
      <c r="A2092" s="1"/>
      <c r="I2092" s="1"/>
    </row>
    <row r="2093" spans="1:9" x14ac:dyDescent="0.2">
      <c r="A2093" s="1"/>
      <c r="I2093" s="1"/>
    </row>
    <row r="2094" spans="1:9" x14ac:dyDescent="0.2">
      <c r="A2094" s="1"/>
      <c r="I2094" s="1"/>
    </row>
    <row r="2095" spans="1:9" x14ac:dyDescent="0.2">
      <c r="A2095" s="1"/>
      <c r="I2095" s="1"/>
    </row>
    <row r="2096" spans="1:9" x14ac:dyDescent="0.2">
      <c r="A2096" s="1"/>
      <c r="I2096" s="1"/>
    </row>
    <row r="2097" spans="1:9" x14ac:dyDescent="0.2">
      <c r="A2097" s="1"/>
      <c r="I2097" s="1"/>
    </row>
    <row r="2098" spans="1:9" x14ac:dyDescent="0.2">
      <c r="A2098" s="1"/>
      <c r="I2098" s="1"/>
    </row>
    <row r="2099" spans="1:9" x14ac:dyDescent="0.2">
      <c r="A2099" s="1"/>
      <c r="I2099" s="1"/>
    </row>
    <row r="2100" spans="1:9" x14ac:dyDescent="0.2">
      <c r="A2100" s="1"/>
      <c r="I2100" s="1"/>
    </row>
    <row r="2101" spans="1:9" x14ac:dyDescent="0.2">
      <c r="A2101" s="1"/>
      <c r="I2101" s="1"/>
    </row>
    <row r="2102" spans="1:9" x14ac:dyDescent="0.2">
      <c r="A2102" s="1"/>
      <c r="I2102" s="1"/>
    </row>
    <row r="2103" spans="1:9" x14ac:dyDescent="0.2">
      <c r="A2103" s="1"/>
      <c r="I2103" s="1"/>
    </row>
    <row r="2104" spans="1:9" x14ac:dyDescent="0.2">
      <c r="A2104" s="1"/>
      <c r="I2104" s="1"/>
    </row>
    <row r="2105" spans="1:9" x14ac:dyDescent="0.2">
      <c r="A2105" s="1"/>
      <c r="I2105" s="1"/>
    </row>
    <row r="2106" spans="1:9" x14ac:dyDescent="0.2">
      <c r="A2106" s="1"/>
      <c r="I2106" s="1"/>
    </row>
    <row r="2107" spans="1:9" x14ac:dyDescent="0.2">
      <c r="A2107" s="1"/>
      <c r="I2107" s="1"/>
    </row>
    <row r="2108" spans="1:9" x14ac:dyDescent="0.2">
      <c r="A2108" s="1"/>
      <c r="I2108" s="1"/>
    </row>
    <row r="2109" spans="1:9" x14ac:dyDescent="0.2">
      <c r="A2109" s="1"/>
      <c r="I2109" s="1"/>
    </row>
    <row r="2110" spans="1:9" x14ac:dyDescent="0.2">
      <c r="A2110" s="1"/>
      <c r="I2110" s="1"/>
    </row>
    <row r="2111" spans="1:9" x14ac:dyDescent="0.2">
      <c r="A2111" s="1"/>
      <c r="I2111" s="1"/>
    </row>
    <row r="2112" spans="1:9" x14ac:dyDescent="0.2">
      <c r="A2112" s="1"/>
      <c r="I2112" s="1"/>
    </row>
    <row r="2113" spans="1:9" x14ac:dyDescent="0.2">
      <c r="A2113" s="1"/>
      <c r="I2113" s="1"/>
    </row>
    <row r="2114" spans="1:9" x14ac:dyDescent="0.2">
      <c r="A2114" s="1"/>
      <c r="I2114" s="1"/>
    </row>
    <row r="2115" spans="1:9" x14ac:dyDescent="0.2">
      <c r="A2115" s="1"/>
      <c r="I2115" s="1"/>
    </row>
    <row r="2116" spans="1:9" x14ac:dyDescent="0.2">
      <c r="A2116" s="1"/>
      <c r="I2116" s="1"/>
    </row>
    <row r="2117" spans="1:9" x14ac:dyDescent="0.2">
      <c r="A2117" s="1"/>
      <c r="I2117" s="1"/>
    </row>
    <row r="2118" spans="1:9" x14ac:dyDescent="0.2">
      <c r="A2118" s="1"/>
      <c r="I2118" s="1"/>
    </row>
    <row r="2119" spans="1:9" x14ac:dyDescent="0.2">
      <c r="A2119" s="1"/>
      <c r="I2119" s="1"/>
    </row>
    <row r="2120" spans="1:9" x14ac:dyDescent="0.2">
      <c r="A2120" s="1"/>
      <c r="I2120" s="1"/>
    </row>
    <row r="2121" spans="1:9" x14ac:dyDescent="0.2">
      <c r="A2121" s="1"/>
      <c r="I2121" s="1"/>
    </row>
    <row r="2122" spans="1:9" x14ac:dyDescent="0.2">
      <c r="A2122" s="1"/>
      <c r="I2122" s="1"/>
    </row>
    <row r="2123" spans="1:9" x14ac:dyDescent="0.2">
      <c r="A2123" s="1"/>
      <c r="I2123" s="1"/>
    </row>
    <row r="2124" spans="1:9" x14ac:dyDescent="0.2">
      <c r="A2124" s="1"/>
      <c r="I2124" s="1"/>
    </row>
    <row r="2125" spans="1:9" x14ac:dyDescent="0.2">
      <c r="A2125" s="1"/>
      <c r="I2125" s="1"/>
    </row>
    <row r="2126" spans="1:9" x14ac:dyDescent="0.2">
      <c r="A2126" s="1"/>
      <c r="I2126" s="1"/>
    </row>
    <row r="2127" spans="1:9" x14ac:dyDescent="0.2">
      <c r="A2127" s="1"/>
      <c r="I2127" s="1"/>
    </row>
    <row r="2128" spans="1:9" x14ac:dyDescent="0.2">
      <c r="A2128" s="1"/>
      <c r="I2128" s="1"/>
    </row>
    <row r="2129" spans="1:9" x14ac:dyDescent="0.2">
      <c r="A2129" s="1"/>
      <c r="I2129" s="1"/>
    </row>
    <row r="2130" spans="1:9" x14ac:dyDescent="0.2">
      <c r="A2130" s="1"/>
      <c r="I2130" s="1"/>
    </row>
    <row r="2131" spans="1:9" x14ac:dyDescent="0.2">
      <c r="A2131" s="1"/>
      <c r="I2131" s="1"/>
    </row>
    <row r="2132" spans="1:9" x14ac:dyDescent="0.2">
      <c r="A2132" s="1"/>
      <c r="I2132" s="1"/>
    </row>
    <row r="2133" spans="1:9" x14ac:dyDescent="0.2">
      <c r="A2133" s="1"/>
      <c r="I2133" s="1"/>
    </row>
    <row r="2134" spans="1:9" x14ac:dyDescent="0.2">
      <c r="A2134" s="1"/>
      <c r="I2134" s="1"/>
    </row>
    <row r="2135" spans="1:9" x14ac:dyDescent="0.2">
      <c r="A2135" s="1"/>
      <c r="I2135" s="1"/>
    </row>
    <row r="2136" spans="1:9" x14ac:dyDescent="0.2">
      <c r="A2136" s="1"/>
      <c r="I2136" s="1"/>
    </row>
    <row r="2137" spans="1:9" x14ac:dyDescent="0.2">
      <c r="A2137" s="1"/>
      <c r="I2137" s="1"/>
    </row>
    <row r="2138" spans="1:9" x14ac:dyDescent="0.2">
      <c r="A2138" s="1"/>
      <c r="I2138" s="1"/>
    </row>
    <row r="2139" spans="1:9" x14ac:dyDescent="0.2">
      <c r="A2139" s="1"/>
      <c r="I2139" s="1"/>
    </row>
    <row r="2140" spans="1:9" x14ac:dyDescent="0.2">
      <c r="A2140" s="1"/>
      <c r="I2140" s="1"/>
    </row>
    <row r="2141" spans="1:9" x14ac:dyDescent="0.2">
      <c r="A2141" s="1"/>
      <c r="I2141" s="1"/>
    </row>
    <row r="2142" spans="1:9" x14ac:dyDescent="0.2">
      <c r="A2142" s="1"/>
      <c r="I2142" s="1"/>
    </row>
    <row r="2143" spans="1:9" x14ac:dyDescent="0.2">
      <c r="A2143" s="1"/>
      <c r="I2143" s="1"/>
    </row>
    <row r="2144" spans="1:9" x14ac:dyDescent="0.2">
      <c r="A2144" s="1"/>
      <c r="I2144" s="1"/>
    </row>
    <row r="2145" spans="1:9" x14ac:dyDescent="0.2">
      <c r="A2145" s="1"/>
      <c r="I2145" s="1"/>
    </row>
    <row r="2146" spans="1:9" x14ac:dyDescent="0.2">
      <c r="A2146" s="1"/>
      <c r="I2146" s="1"/>
    </row>
    <row r="2147" spans="1:9" x14ac:dyDescent="0.2">
      <c r="A2147" s="1"/>
      <c r="I2147" s="1"/>
    </row>
    <row r="2148" spans="1:9" x14ac:dyDescent="0.2">
      <c r="A2148" s="1"/>
      <c r="I2148" s="1"/>
    </row>
    <row r="2149" spans="1:9" x14ac:dyDescent="0.2">
      <c r="A2149" s="1"/>
      <c r="I2149" s="1"/>
    </row>
    <row r="2150" spans="1:9" x14ac:dyDescent="0.2">
      <c r="A2150" s="1"/>
      <c r="I2150" s="1"/>
    </row>
    <row r="2151" spans="1:9" x14ac:dyDescent="0.2">
      <c r="A2151" s="1"/>
      <c r="I2151" s="1"/>
    </row>
    <row r="2152" spans="1:9" x14ac:dyDescent="0.2">
      <c r="A2152" s="1"/>
      <c r="I2152" s="1"/>
    </row>
    <row r="2153" spans="1:9" x14ac:dyDescent="0.2">
      <c r="A2153" s="1"/>
      <c r="I2153" s="1"/>
    </row>
    <row r="2154" spans="1:9" x14ac:dyDescent="0.2">
      <c r="A2154" s="1"/>
      <c r="I2154" s="1"/>
    </row>
    <row r="2155" spans="1:9" x14ac:dyDescent="0.2">
      <c r="A2155" s="1"/>
      <c r="I2155" s="1"/>
    </row>
    <row r="2156" spans="1:9" x14ac:dyDescent="0.2">
      <c r="A2156" s="1"/>
      <c r="I2156" s="1"/>
    </row>
    <row r="2157" spans="1:9" x14ac:dyDescent="0.2">
      <c r="A2157" s="1"/>
      <c r="I2157" s="1"/>
    </row>
    <row r="2158" spans="1:9" x14ac:dyDescent="0.2">
      <c r="A2158" s="1"/>
      <c r="I2158" s="1"/>
    </row>
    <row r="2159" spans="1:9" x14ac:dyDescent="0.2">
      <c r="A2159" s="1"/>
      <c r="I2159" s="1"/>
    </row>
    <row r="2160" spans="1:9" x14ac:dyDescent="0.2">
      <c r="A2160" s="1"/>
      <c r="I2160" s="1"/>
    </row>
    <row r="2161" spans="1:9" x14ac:dyDescent="0.2">
      <c r="A2161" s="1"/>
      <c r="I2161" s="1"/>
    </row>
    <row r="2162" spans="1:9" x14ac:dyDescent="0.2">
      <c r="A2162" s="1"/>
      <c r="I2162" s="1"/>
    </row>
    <row r="2163" spans="1:9" x14ac:dyDescent="0.2">
      <c r="A2163" s="1"/>
      <c r="I2163" s="1"/>
    </row>
    <row r="2164" spans="1:9" x14ac:dyDescent="0.2">
      <c r="A2164" s="1"/>
      <c r="I2164" s="1"/>
    </row>
    <row r="2165" spans="1:9" x14ac:dyDescent="0.2">
      <c r="A2165" s="1"/>
      <c r="I2165" s="1"/>
    </row>
    <row r="2166" spans="1:9" x14ac:dyDescent="0.2">
      <c r="A2166" s="1"/>
      <c r="I2166" s="1"/>
    </row>
    <row r="2167" spans="1:9" x14ac:dyDescent="0.2">
      <c r="A2167" s="1"/>
      <c r="I2167" s="1"/>
    </row>
    <row r="2168" spans="1:9" x14ac:dyDescent="0.2">
      <c r="A2168" s="1"/>
      <c r="I2168" s="1"/>
    </row>
    <row r="2169" spans="1:9" x14ac:dyDescent="0.2">
      <c r="A2169" s="1"/>
      <c r="I2169" s="1"/>
    </row>
    <row r="2170" spans="1:9" x14ac:dyDescent="0.2">
      <c r="A2170" s="1"/>
      <c r="I2170" s="1"/>
    </row>
    <row r="2171" spans="1:9" x14ac:dyDescent="0.2">
      <c r="A2171" s="1"/>
      <c r="I2171" s="1"/>
    </row>
    <row r="2172" spans="1:9" x14ac:dyDescent="0.2">
      <c r="A2172" s="1"/>
      <c r="I2172" s="1"/>
    </row>
    <row r="2173" spans="1:9" x14ac:dyDescent="0.2">
      <c r="A2173" s="1"/>
      <c r="I2173" s="1"/>
    </row>
    <row r="2174" spans="1:9" x14ac:dyDescent="0.2">
      <c r="A2174" s="1"/>
      <c r="I2174" s="1"/>
    </row>
    <row r="2175" spans="1:9" x14ac:dyDescent="0.2">
      <c r="A2175" s="1"/>
      <c r="I2175" s="1"/>
    </row>
    <row r="2176" spans="1:9" x14ac:dyDescent="0.2">
      <c r="A2176" s="1"/>
      <c r="I2176" s="1"/>
    </row>
    <row r="2177" spans="1:9" x14ac:dyDescent="0.2">
      <c r="A2177" s="1"/>
      <c r="I2177" s="1"/>
    </row>
    <row r="2178" spans="1:9" x14ac:dyDescent="0.2">
      <c r="A2178" s="1"/>
      <c r="I2178" s="1"/>
    </row>
    <row r="2179" spans="1:9" x14ac:dyDescent="0.2">
      <c r="A2179" s="1"/>
      <c r="I2179" s="1"/>
    </row>
    <row r="2180" spans="1:9" x14ac:dyDescent="0.2">
      <c r="A2180" s="1"/>
      <c r="I2180" s="1"/>
    </row>
    <row r="2181" spans="1:9" x14ac:dyDescent="0.2">
      <c r="A2181" s="1"/>
      <c r="I2181" s="1"/>
    </row>
    <row r="2182" spans="1:9" x14ac:dyDescent="0.2">
      <c r="A2182" s="1"/>
      <c r="I2182" s="1"/>
    </row>
    <row r="2183" spans="1:9" x14ac:dyDescent="0.2">
      <c r="A2183" s="1"/>
      <c r="I2183" s="1"/>
    </row>
    <row r="2184" spans="1:9" x14ac:dyDescent="0.2">
      <c r="A2184" s="1"/>
      <c r="I2184" s="1"/>
    </row>
    <row r="2185" spans="1:9" x14ac:dyDescent="0.2">
      <c r="A2185" s="1"/>
      <c r="I2185" s="1"/>
    </row>
    <row r="2186" spans="1:9" x14ac:dyDescent="0.2">
      <c r="A2186" s="1"/>
      <c r="I2186" s="1"/>
    </row>
    <row r="2187" spans="1:9" x14ac:dyDescent="0.2">
      <c r="A2187" s="1"/>
      <c r="I2187" s="1"/>
    </row>
    <row r="2188" spans="1:9" x14ac:dyDescent="0.2">
      <c r="A2188" s="1"/>
      <c r="I2188" s="1"/>
    </row>
    <row r="2189" spans="1:9" x14ac:dyDescent="0.2">
      <c r="A2189" s="1"/>
      <c r="I2189" s="1"/>
    </row>
    <row r="2190" spans="1:9" x14ac:dyDescent="0.2">
      <c r="A2190" s="1"/>
      <c r="I2190" s="1"/>
    </row>
    <row r="2191" spans="1:9" x14ac:dyDescent="0.2">
      <c r="A2191" s="1"/>
      <c r="I2191" s="1"/>
    </row>
    <row r="2192" spans="1:9" x14ac:dyDescent="0.2">
      <c r="A2192" s="1"/>
      <c r="I2192" s="1"/>
    </row>
    <row r="2193" spans="1:9" x14ac:dyDescent="0.2">
      <c r="A2193" s="1"/>
      <c r="I2193" s="1"/>
    </row>
    <row r="2194" spans="1:9" x14ac:dyDescent="0.2">
      <c r="A2194" s="1"/>
      <c r="I2194" s="1"/>
    </row>
    <row r="2195" spans="1:9" x14ac:dyDescent="0.2">
      <c r="A2195" s="1"/>
      <c r="I2195" s="1"/>
    </row>
    <row r="2196" spans="1:9" x14ac:dyDescent="0.2">
      <c r="A2196" s="1"/>
      <c r="I2196" s="1"/>
    </row>
    <row r="2197" spans="1:9" x14ac:dyDescent="0.2">
      <c r="A2197" s="1"/>
      <c r="I2197" s="1"/>
    </row>
    <row r="2198" spans="1:9" x14ac:dyDescent="0.2">
      <c r="A2198" s="1"/>
      <c r="I2198" s="1"/>
    </row>
    <row r="2199" spans="1:9" x14ac:dyDescent="0.2">
      <c r="A2199" s="1"/>
      <c r="I2199" s="1"/>
    </row>
    <row r="2200" spans="1:9" x14ac:dyDescent="0.2">
      <c r="A2200" s="1"/>
      <c r="I2200" s="1"/>
    </row>
    <row r="2201" spans="1:9" x14ac:dyDescent="0.2">
      <c r="A2201" s="1"/>
      <c r="I2201" s="1"/>
    </row>
    <row r="2202" spans="1:9" x14ac:dyDescent="0.2">
      <c r="A2202" s="1"/>
      <c r="I2202" s="1"/>
    </row>
    <row r="2203" spans="1:9" x14ac:dyDescent="0.2">
      <c r="A2203" s="1"/>
      <c r="I2203" s="1"/>
    </row>
    <row r="2204" spans="1:9" x14ac:dyDescent="0.2">
      <c r="A2204" s="1"/>
      <c r="I2204" s="1"/>
    </row>
    <row r="2205" spans="1:9" x14ac:dyDescent="0.2">
      <c r="A2205" s="1"/>
      <c r="I2205" s="1"/>
    </row>
    <row r="2206" spans="1:9" x14ac:dyDescent="0.2">
      <c r="A2206" s="1"/>
      <c r="I2206" s="1"/>
    </row>
    <row r="2207" spans="1:9" x14ac:dyDescent="0.2">
      <c r="A2207" s="1"/>
      <c r="I2207" s="1"/>
    </row>
    <row r="2208" spans="1:9" x14ac:dyDescent="0.2">
      <c r="A2208" s="1"/>
      <c r="I2208" s="1"/>
    </row>
    <row r="2209" spans="1:9" x14ac:dyDescent="0.2">
      <c r="A2209" s="1"/>
      <c r="I2209" s="1"/>
    </row>
    <row r="2210" spans="1:9" x14ac:dyDescent="0.2">
      <c r="A2210" s="1"/>
      <c r="I2210" s="1"/>
    </row>
    <row r="2211" spans="1:9" x14ac:dyDescent="0.2">
      <c r="A2211" s="1"/>
      <c r="I2211" s="1"/>
    </row>
    <row r="2212" spans="1:9" x14ac:dyDescent="0.2">
      <c r="A2212" s="1"/>
      <c r="I2212" s="1"/>
    </row>
    <row r="2213" spans="1:9" x14ac:dyDescent="0.2">
      <c r="A2213" s="1"/>
      <c r="I2213" s="1"/>
    </row>
    <row r="2214" spans="1:9" x14ac:dyDescent="0.2">
      <c r="A2214" s="1"/>
      <c r="I2214" s="1"/>
    </row>
    <row r="2215" spans="1:9" x14ac:dyDescent="0.2">
      <c r="A2215" s="1"/>
      <c r="I2215" s="1"/>
    </row>
    <row r="2216" spans="1:9" x14ac:dyDescent="0.2">
      <c r="A2216" s="1"/>
      <c r="I2216" s="1"/>
    </row>
    <row r="2217" spans="1:9" x14ac:dyDescent="0.2">
      <c r="A2217" s="1"/>
      <c r="I2217" s="1"/>
    </row>
    <row r="2218" spans="1:9" x14ac:dyDescent="0.2">
      <c r="A2218" s="1"/>
      <c r="I2218" s="1"/>
    </row>
    <row r="2219" spans="1:9" x14ac:dyDescent="0.2">
      <c r="A2219" s="1"/>
      <c r="I2219" s="1"/>
    </row>
    <row r="2220" spans="1:9" x14ac:dyDescent="0.2">
      <c r="A2220" s="1"/>
      <c r="I2220" s="1"/>
    </row>
    <row r="2221" spans="1:9" x14ac:dyDescent="0.2">
      <c r="A2221" s="1"/>
      <c r="I2221" s="1"/>
    </row>
    <row r="2222" spans="1:9" x14ac:dyDescent="0.2">
      <c r="A2222" s="1"/>
      <c r="I2222" s="1"/>
    </row>
    <row r="2223" spans="1:9" x14ac:dyDescent="0.2">
      <c r="A2223" s="1"/>
      <c r="I2223" s="1"/>
    </row>
    <row r="2224" spans="1:9" x14ac:dyDescent="0.2">
      <c r="A2224" s="1"/>
      <c r="I2224" s="1"/>
    </row>
    <row r="2225" spans="1:9" x14ac:dyDescent="0.2">
      <c r="A2225" s="1"/>
      <c r="I2225" s="1"/>
    </row>
    <row r="2226" spans="1:9" x14ac:dyDescent="0.2">
      <c r="A2226" s="1"/>
      <c r="I2226" s="1"/>
    </row>
    <row r="2227" spans="1:9" x14ac:dyDescent="0.2">
      <c r="A2227" s="1"/>
      <c r="I2227" s="1"/>
    </row>
    <row r="2228" spans="1:9" x14ac:dyDescent="0.2">
      <c r="A2228" s="1"/>
      <c r="I2228" s="1"/>
    </row>
    <row r="2229" spans="1:9" x14ac:dyDescent="0.2">
      <c r="A2229" s="1"/>
      <c r="I2229" s="1"/>
    </row>
    <row r="2230" spans="1:9" x14ac:dyDescent="0.2">
      <c r="A2230" s="1"/>
      <c r="I2230" s="1"/>
    </row>
    <row r="2231" spans="1:9" x14ac:dyDescent="0.2">
      <c r="A2231" s="1"/>
      <c r="I2231" s="1"/>
    </row>
    <row r="2232" spans="1:9" x14ac:dyDescent="0.2">
      <c r="A2232" s="1"/>
      <c r="I2232" s="1"/>
    </row>
    <row r="2233" spans="1:9" x14ac:dyDescent="0.2">
      <c r="A2233" s="1"/>
      <c r="I2233" s="1"/>
    </row>
    <row r="2234" spans="1:9" x14ac:dyDescent="0.2">
      <c r="A2234" s="1"/>
      <c r="I2234" s="1"/>
    </row>
    <row r="2235" spans="1:9" x14ac:dyDescent="0.2">
      <c r="A2235" s="1"/>
      <c r="I2235" s="1"/>
    </row>
    <row r="2236" spans="1:9" x14ac:dyDescent="0.2">
      <c r="A2236" s="1"/>
      <c r="I2236" s="1"/>
    </row>
    <row r="2237" spans="1:9" x14ac:dyDescent="0.2">
      <c r="A2237" s="1"/>
      <c r="I2237" s="1"/>
    </row>
    <row r="2238" spans="1:9" x14ac:dyDescent="0.2">
      <c r="A2238" s="1"/>
      <c r="I2238" s="1"/>
    </row>
    <row r="2239" spans="1:9" x14ac:dyDescent="0.2">
      <c r="A2239" s="1"/>
      <c r="I2239" s="1"/>
    </row>
    <row r="2240" spans="1:9" x14ac:dyDescent="0.2">
      <c r="A2240" s="1"/>
      <c r="I2240" s="1"/>
    </row>
    <row r="2241" spans="1:9" x14ac:dyDescent="0.2">
      <c r="A2241" s="1"/>
      <c r="I2241" s="1"/>
    </row>
    <row r="2242" spans="1:9" x14ac:dyDescent="0.2">
      <c r="A2242" s="1"/>
      <c r="I2242" s="1"/>
    </row>
    <row r="2243" spans="1:9" x14ac:dyDescent="0.2">
      <c r="A2243" s="1"/>
      <c r="I2243" s="1"/>
    </row>
    <row r="2244" spans="1:9" x14ac:dyDescent="0.2">
      <c r="A2244" s="1"/>
      <c r="I2244" s="1"/>
    </row>
    <row r="2245" spans="1:9" x14ac:dyDescent="0.2">
      <c r="A2245" s="1"/>
      <c r="I2245" s="1"/>
    </row>
    <row r="2246" spans="1:9" x14ac:dyDescent="0.2">
      <c r="A2246" s="1"/>
      <c r="I2246" s="1"/>
    </row>
    <row r="2247" spans="1:9" x14ac:dyDescent="0.2">
      <c r="A2247" s="1"/>
      <c r="I2247" s="1"/>
    </row>
    <row r="2248" spans="1:9" x14ac:dyDescent="0.2">
      <c r="A2248" s="1"/>
      <c r="I2248" s="1"/>
    </row>
    <row r="2249" spans="1:9" x14ac:dyDescent="0.2">
      <c r="A2249" s="1"/>
      <c r="I2249" s="1"/>
    </row>
    <row r="2250" spans="1:9" x14ac:dyDescent="0.2">
      <c r="A2250" s="1"/>
      <c r="I2250" s="1"/>
    </row>
    <row r="2251" spans="1:9" x14ac:dyDescent="0.2">
      <c r="A2251" s="1"/>
      <c r="I2251" s="1"/>
    </row>
    <row r="2252" spans="1:9" x14ac:dyDescent="0.2">
      <c r="A2252" s="1"/>
      <c r="I2252" s="1"/>
    </row>
    <row r="2253" spans="1:9" x14ac:dyDescent="0.2">
      <c r="A2253" s="1"/>
      <c r="I2253" s="1"/>
    </row>
    <row r="2254" spans="1:9" x14ac:dyDescent="0.2">
      <c r="A2254" s="1"/>
      <c r="I2254" s="1"/>
    </row>
    <row r="2255" spans="1:9" x14ac:dyDescent="0.2">
      <c r="A2255" s="1"/>
      <c r="I2255" s="1"/>
    </row>
    <row r="2256" spans="1:9" x14ac:dyDescent="0.2">
      <c r="A2256" s="1"/>
      <c r="I2256" s="1"/>
    </row>
    <row r="2257" spans="1:9" x14ac:dyDescent="0.2">
      <c r="A2257" s="1"/>
      <c r="I2257" s="1"/>
    </row>
    <row r="2258" spans="1:9" x14ac:dyDescent="0.2">
      <c r="A2258" s="1"/>
      <c r="I2258" s="1"/>
    </row>
    <row r="2259" spans="1:9" x14ac:dyDescent="0.2">
      <c r="A2259" s="1"/>
      <c r="I2259" s="1"/>
    </row>
    <row r="2260" spans="1:9" x14ac:dyDescent="0.2">
      <c r="A2260" s="1"/>
      <c r="I2260" s="1"/>
    </row>
    <row r="2261" spans="1:9" x14ac:dyDescent="0.2">
      <c r="A2261" s="1"/>
      <c r="I2261" s="1"/>
    </row>
    <row r="2262" spans="1:9" x14ac:dyDescent="0.2">
      <c r="A2262" s="1"/>
      <c r="I2262" s="1"/>
    </row>
    <row r="2263" spans="1:9" x14ac:dyDescent="0.2">
      <c r="A2263" s="1"/>
      <c r="I2263" s="1"/>
    </row>
    <row r="2264" spans="1:9" x14ac:dyDescent="0.2">
      <c r="A2264" s="1"/>
      <c r="I2264" s="1"/>
    </row>
    <row r="2265" spans="1:9" x14ac:dyDescent="0.2">
      <c r="A2265" s="1"/>
      <c r="I2265" s="1"/>
    </row>
    <row r="2266" spans="1:9" x14ac:dyDescent="0.2">
      <c r="A2266" s="1"/>
      <c r="I2266" s="1"/>
    </row>
    <row r="2267" spans="1:9" x14ac:dyDescent="0.2">
      <c r="A2267" s="1"/>
      <c r="I2267" s="1"/>
    </row>
    <row r="2268" spans="1:9" x14ac:dyDescent="0.2">
      <c r="A2268" s="1"/>
      <c r="I2268" s="1"/>
    </row>
    <row r="2269" spans="1:9" x14ac:dyDescent="0.2">
      <c r="A2269" s="1"/>
      <c r="I2269" s="1"/>
    </row>
    <row r="2270" spans="1:9" x14ac:dyDescent="0.2">
      <c r="A2270" s="1"/>
      <c r="I2270" s="1"/>
    </row>
    <row r="2271" spans="1:9" x14ac:dyDescent="0.2">
      <c r="A2271" s="1"/>
      <c r="I2271" s="1"/>
    </row>
    <row r="2272" spans="1:9" x14ac:dyDescent="0.2">
      <c r="A2272" s="1"/>
      <c r="I2272" s="1"/>
    </row>
    <row r="2273" spans="1:9" x14ac:dyDescent="0.2">
      <c r="A2273" s="1"/>
      <c r="I2273" s="1"/>
    </row>
    <row r="2274" spans="1:9" x14ac:dyDescent="0.2">
      <c r="A2274" s="1"/>
      <c r="I2274" s="1"/>
    </row>
    <row r="2275" spans="1:9" x14ac:dyDescent="0.2">
      <c r="A2275" s="1"/>
      <c r="I2275" s="1"/>
    </row>
    <row r="2276" spans="1:9" x14ac:dyDescent="0.2">
      <c r="A2276" s="1"/>
      <c r="I2276" s="1"/>
    </row>
    <row r="2277" spans="1:9" x14ac:dyDescent="0.2">
      <c r="A2277" s="1"/>
      <c r="I2277" s="1"/>
    </row>
    <row r="2278" spans="1:9" x14ac:dyDescent="0.2">
      <c r="A2278" s="1"/>
      <c r="I2278" s="1"/>
    </row>
    <row r="2279" spans="1:9" x14ac:dyDescent="0.2">
      <c r="A2279" s="1"/>
      <c r="I2279" s="1"/>
    </row>
    <row r="2280" spans="1:9" x14ac:dyDescent="0.2">
      <c r="A2280" s="1"/>
      <c r="I2280" s="1"/>
    </row>
    <row r="2281" spans="1:9" x14ac:dyDescent="0.2">
      <c r="A2281" s="1"/>
      <c r="I2281" s="1"/>
    </row>
    <row r="2282" spans="1:9" x14ac:dyDescent="0.2">
      <c r="A2282" s="1"/>
      <c r="I2282" s="1"/>
    </row>
    <row r="2283" spans="1:9" x14ac:dyDescent="0.2">
      <c r="A2283" s="1"/>
      <c r="I2283" s="1"/>
    </row>
    <row r="2284" spans="1:9" x14ac:dyDescent="0.2">
      <c r="A2284" s="1"/>
      <c r="I2284" s="1"/>
    </row>
    <row r="2285" spans="1:9" x14ac:dyDescent="0.2">
      <c r="A2285" s="1"/>
      <c r="I2285" s="1"/>
    </row>
    <row r="2286" spans="1:9" x14ac:dyDescent="0.2">
      <c r="A2286" s="1"/>
      <c r="I2286" s="1"/>
    </row>
    <row r="2287" spans="1:9" x14ac:dyDescent="0.2">
      <c r="A2287" s="1"/>
      <c r="I2287" s="1"/>
    </row>
    <row r="2288" spans="1:9" x14ac:dyDescent="0.2">
      <c r="A2288" s="1"/>
      <c r="I2288" s="1"/>
    </row>
    <row r="2289" spans="1:9" x14ac:dyDescent="0.2">
      <c r="A2289" s="1"/>
      <c r="I2289" s="1"/>
    </row>
    <row r="2290" spans="1:9" x14ac:dyDescent="0.2">
      <c r="A2290" s="1"/>
      <c r="I2290" s="1"/>
    </row>
    <row r="2291" spans="1:9" x14ac:dyDescent="0.2">
      <c r="A2291" s="1"/>
      <c r="I2291" s="1"/>
    </row>
    <row r="2292" spans="1:9" x14ac:dyDescent="0.2">
      <c r="A2292" s="1"/>
      <c r="I2292" s="1"/>
    </row>
    <row r="2293" spans="1:9" x14ac:dyDescent="0.2">
      <c r="A2293" s="1"/>
      <c r="I2293" s="1"/>
    </row>
    <row r="2294" spans="1:9" x14ac:dyDescent="0.2">
      <c r="A2294" s="1"/>
      <c r="I2294" s="1"/>
    </row>
    <row r="2295" spans="1:9" x14ac:dyDescent="0.2">
      <c r="A2295" s="1"/>
      <c r="I2295" s="1"/>
    </row>
    <row r="2296" spans="1:9" x14ac:dyDescent="0.2">
      <c r="A2296" s="1"/>
      <c r="I2296" s="1"/>
    </row>
    <row r="2297" spans="1:9" x14ac:dyDescent="0.2">
      <c r="A2297" s="1"/>
      <c r="I2297" s="1"/>
    </row>
    <row r="2298" spans="1:9" x14ac:dyDescent="0.2">
      <c r="A2298" s="1"/>
      <c r="I2298" s="1"/>
    </row>
    <row r="2299" spans="1:9" x14ac:dyDescent="0.2">
      <c r="A2299" s="1"/>
      <c r="I2299" s="1"/>
    </row>
    <row r="2300" spans="1:9" x14ac:dyDescent="0.2">
      <c r="A2300" s="1"/>
      <c r="I2300" s="1"/>
    </row>
    <row r="2301" spans="1:9" x14ac:dyDescent="0.2">
      <c r="A2301" s="1"/>
      <c r="I2301" s="1"/>
    </row>
    <row r="2302" spans="1:9" x14ac:dyDescent="0.2">
      <c r="A2302" s="1"/>
      <c r="I2302" s="1"/>
    </row>
    <row r="2303" spans="1:9" x14ac:dyDescent="0.2">
      <c r="A2303" s="1"/>
      <c r="I2303" s="1"/>
    </row>
    <row r="2304" spans="1:9" x14ac:dyDescent="0.2">
      <c r="A2304" s="1"/>
      <c r="I2304" s="1"/>
    </row>
    <row r="2305" spans="1:9" x14ac:dyDescent="0.2">
      <c r="A2305" s="1"/>
      <c r="I2305" s="1"/>
    </row>
    <row r="2306" spans="1:9" x14ac:dyDescent="0.2">
      <c r="A2306" s="1"/>
      <c r="I2306" s="1"/>
    </row>
    <row r="2307" spans="1:9" x14ac:dyDescent="0.2">
      <c r="A2307" s="1"/>
      <c r="I2307" s="1"/>
    </row>
    <row r="2308" spans="1:9" x14ac:dyDescent="0.2">
      <c r="A2308" s="1"/>
      <c r="I2308" s="1"/>
    </row>
    <row r="2309" spans="1:9" x14ac:dyDescent="0.2">
      <c r="A2309" s="1"/>
      <c r="I2309" s="1"/>
    </row>
    <row r="2310" spans="1:9" x14ac:dyDescent="0.2">
      <c r="A2310" s="1"/>
      <c r="I2310" s="1"/>
    </row>
    <row r="2311" spans="1:9" x14ac:dyDescent="0.2">
      <c r="A2311" s="1"/>
      <c r="I2311" s="1"/>
    </row>
    <row r="2312" spans="1:9" x14ac:dyDescent="0.2">
      <c r="A2312" s="1"/>
      <c r="I2312" s="1"/>
    </row>
    <row r="2313" spans="1:9" x14ac:dyDescent="0.2">
      <c r="A2313" s="1"/>
      <c r="I2313" s="1"/>
    </row>
    <row r="2314" spans="1:9" x14ac:dyDescent="0.2">
      <c r="A2314" s="1"/>
      <c r="I2314" s="1"/>
    </row>
    <row r="2315" spans="1:9" x14ac:dyDescent="0.2">
      <c r="A2315" s="1"/>
      <c r="I2315" s="1"/>
    </row>
    <row r="2316" spans="1:9" x14ac:dyDescent="0.2">
      <c r="A2316" s="1"/>
      <c r="I2316" s="1"/>
    </row>
    <row r="2317" spans="1:9" x14ac:dyDescent="0.2">
      <c r="A2317" s="1"/>
      <c r="I2317" s="1"/>
    </row>
    <row r="2318" spans="1:9" x14ac:dyDescent="0.2">
      <c r="A2318" s="1"/>
      <c r="I2318" s="1"/>
    </row>
    <row r="2319" spans="1:9" x14ac:dyDescent="0.2">
      <c r="A2319" s="1"/>
      <c r="I2319" s="1"/>
    </row>
    <row r="2320" spans="1:9" x14ac:dyDescent="0.2">
      <c r="A2320" s="1"/>
      <c r="I2320" s="1"/>
    </row>
    <row r="2321" spans="1:9" x14ac:dyDescent="0.2">
      <c r="A2321" s="1"/>
      <c r="I2321" s="1"/>
    </row>
    <row r="2322" spans="1:9" x14ac:dyDescent="0.2">
      <c r="A2322" s="1"/>
      <c r="I2322" s="1"/>
    </row>
    <row r="2323" spans="1:9" x14ac:dyDescent="0.2">
      <c r="A2323" s="1"/>
      <c r="I2323" s="1"/>
    </row>
    <row r="2324" spans="1:9" x14ac:dyDescent="0.2">
      <c r="A2324" s="1"/>
      <c r="I2324" s="1"/>
    </row>
    <row r="2325" spans="1:9" x14ac:dyDescent="0.2">
      <c r="A2325" s="1"/>
      <c r="I2325" s="1"/>
    </row>
    <row r="2326" spans="1:9" x14ac:dyDescent="0.2">
      <c r="A2326" s="1"/>
      <c r="I2326" s="1"/>
    </row>
    <row r="2327" spans="1:9" x14ac:dyDescent="0.2">
      <c r="A2327" s="1"/>
      <c r="I2327" s="1"/>
    </row>
    <row r="2328" spans="1:9" x14ac:dyDescent="0.2">
      <c r="A2328" s="1"/>
      <c r="I2328" s="1"/>
    </row>
    <row r="2329" spans="1:9" x14ac:dyDescent="0.2">
      <c r="A2329" s="1"/>
      <c r="I2329" s="1"/>
    </row>
    <row r="2330" spans="1:9" x14ac:dyDescent="0.2">
      <c r="A2330" s="1"/>
      <c r="I2330" s="1"/>
    </row>
    <row r="2331" spans="1:9" x14ac:dyDescent="0.2">
      <c r="A2331" s="1"/>
      <c r="I2331" s="1"/>
    </row>
    <row r="2332" spans="1:9" x14ac:dyDescent="0.2">
      <c r="A2332" s="1"/>
      <c r="I2332" s="1"/>
    </row>
    <row r="2333" spans="1:9" x14ac:dyDescent="0.2">
      <c r="A2333" s="1"/>
      <c r="I2333" s="1"/>
    </row>
    <row r="2334" spans="1:9" x14ac:dyDescent="0.2">
      <c r="A2334" s="1"/>
      <c r="I2334" s="1"/>
    </row>
    <row r="2335" spans="1:9" x14ac:dyDescent="0.2">
      <c r="A2335" s="1"/>
      <c r="I2335" s="1"/>
    </row>
    <row r="2336" spans="1:9" x14ac:dyDescent="0.2">
      <c r="A2336" s="1"/>
      <c r="I2336" s="1"/>
    </row>
    <row r="2337" spans="1:9" x14ac:dyDescent="0.2">
      <c r="A2337" s="1"/>
      <c r="I2337" s="1"/>
    </row>
    <row r="2338" spans="1:9" x14ac:dyDescent="0.2">
      <c r="A2338" s="1"/>
      <c r="I2338" s="1"/>
    </row>
    <row r="2339" spans="1:9" x14ac:dyDescent="0.2">
      <c r="A2339" s="1"/>
      <c r="I2339" s="1"/>
    </row>
    <row r="2340" spans="1:9" x14ac:dyDescent="0.2">
      <c r="A2340" s="1"/>
      <c r="I2340" s="1"/>
    </row>
    <row r="2341" spans="1:9" x14ac:dyDescent="0.2">
      <c r="A2341" s="1"/>
      <c r="I2341" s="1"/>
    </row>
    <row r="2342" spans="1:9" x14ac:dyDescent="0.2">
      <c r="A2342" s="1"/>
      <c r="I2342" s="1"/>
    </row>
    <row r="2343" spans="1:9" x14ac:dyDescent="0.2">
      <c r="A2343" s="1"/>
      <c r="I2343" s="1"/>
    </row>
    <row r="2344" spans="1:9" x14ac:dyDescent="0.2">
      <c r="A2344" s="1"/>
      <c r="I2344" s="1"/>
    </row>
    <row r="2345" spans="1:9" x14ac:dyDescent="0.2">
      <c r="A2345" s="1"/>
      <c r="I2345" s="1"/>
    </row>
    <row r="2346" spans="1:9" x14ac:dyDescent="0.2">
      <c r="A2346" s="1"/>
      <c r="I2346" s="1"/>
    </row>
    <row r="2347" spans="1:9" x14ac:dyDescent="0.2">
      <c r="A2347" s="1"/>
      <c r="I2347" s="1"/>
    </row>
    <row r="2348" spans="1:9" x14ac:dyDescent="0.2">
      <c r="A2348" s="1"/>
      <c r="I2348" s="1"/>
    </row>
    <row r="2349" spans="1:9" x14ac:dyDescent="0.2">
      <c r="A2349" s="1"/>
      <c r="I2349" s="1"/>
    </row>
    <row r="2350" spans="1:9" x14ac:dyDescent="0.2">
      <c r="A2350" s="1"/>
      <c r="I2350" s="1"/>
    </row>
    <row r="2351" spans="1:9" x14ac:dyDescent="0.2">
      <c r="A2351" s="1"/>
      <c r="I2351" s="1"/>
    </row>
    <row r="2352" spans="1:9" x14ac:dyDescent="0.2">
      <c r="A2352" s="1"/>
      <c r="I2352" s="1"/>
    </row>
    <row r="2353" spans="1:9" x14ac:dyDescent="0.2">
      <c r="A2353" s="1"/>
      <c r="I2353" s="1"/>
    </row>
    <row r="2354" spans="1:9" x14ac:dyDescent="0.2">
      <c r="A2354" s="1"/>
      <c r="I2354" s="1"/>
    </row>
    <row r="2355" spans="1:9" x14ac:dyDescent="0.2">
      <c r="A2355" s="1"/>
      <c r="I2355" s="1"/>
    </row>
    <row r="2356" spans="1:9" x14ac:dyDescent="0.2">
      <c r="A2356" s="1"/>
      <c r="I2356" s="1"/>
    </row>
    <row r="2357" spans="1:9" x14ac:dyDescent="0.2">
      <c r="A2357" s="1"/>
      <c r="I2357" s="1"/>
    </row>
    <row r="2358" spans="1:9" x14ac:dyDescent="0.2">
      <c r="A2358" s="1"/>
      <c r="I2358" s="1"/>
    </row>
    <row r="2359" spans="1:9" x14ac:dyDescent="0.2">
      <c r="A2359" s="1"/>
      <c r="I2359" s="1"/>
    </row>
    <row r="2360" spans="1:9" x14ac:dyDescent="0.2">
      <c r="A2360" s="1"/>
      <c r="I2360" s="1"/>
    </row>
    <row r="2361" spans="1:9" x14ac:dyDescent="0.2">
      <c r="A2361" s="1"/>
      <c r="I2361" s="1"/>
    </row>
    <row r="2362" spans="1:9" x14ac:dyDescent="0.2">
      <c r="A2362" s="1"/>
      <c r="I2362" s="1"/>
    </row>
    <row r="2363" spans="1:9" x14ac:dyDescent="0.2">
      <c r="A2363" s="1"/>
      <c r="I2363" s="1"/>
    </row>
    <row r="2364" spans="1:9" x14ac:dyDescent="0.2">
      <c r="A2364" s="1"/>
      <c r="I2364" s="1"/>
    </row>
    <row r="2365" spans="1:9" x14ac:dyDescent="0.2">
      <c r="A2365" s="1"/>
      <c r="I2365" s="1"/>
    </row>
    <row r="2366" spans="1:9" x14ac:dyDescent="0.2">
      <c r="A2366" s="1"/>
      <c r="I2366" s="1"/>
    </row>
    <row r="2367" spans="1:9" x14ac:dyDescent="0.2">
      <c r="A2367" s="1"/>
      <c r="I2367" s="1"/>
    </row>
    <row r="2368" spans="1:9" x14ac:dyDescent="0.2">
      <c r="A2368" s="1"/>
      <c r="I2368" s="1"/>
    </row>
    <row r="2369" spans="1:9" x14ac:dyDescent="0.2">
      <c r="A2369" s="1"/>
      <c r="I2369" s="1"/>
    </row>
    <row r="2370" spans="1:9" x14ac:dyDescent="0.2">
      <c r="A2370" s="1"/>
      <c r="I2370" s="1"/>
    </row>
    <row r="2371" spans="1:9" x14ac:dyDescent="0.2">
      <c r="A2371" s="1"/>
      <c r="I2371" s="1"/>
    </row>
    <row r="2372" spans="1:9" x14ac:dyDescent="0.2">
      <c r="A2372" s="1"/>
      <c r="I2372" s="1"/>
    </row>
    <row r="2373" spans="1:9" x14ac:dyDescent="0.2">
      <c r="A2373" s="1"/>
      <c r="I2373" s="1"/>
    </row>
    <row r="2374" spans="1:9" x14ac:dyDescent="0.2">
      <c r="A2374" s="1"/>
      <c r="I2374" s="1"/>
    </row>
    <row r="2375" spans="1:9" x14ac:dyDescent="0.2">
      <c r="A2375" s="1"/>
      <c r="I2375" s="1"/>
    </row>
    <row r="2376" spans="1:9" x14ac:dyDescent="0.2">
      <c r="A2376" s="1"/>
      <c r="I2376" s="1"/>
    </row>
    <row r="2377" spans="1:9" x14ac:dyDescent="0.2">
      <c r="A2377" s="1"/>
      <c r="I2377" s="1"/>
    </row>
    <row r="2378" spans="1:9" x14ac:dyDescent="0.2">
      <c r="A2378" s="1"/>
      <c r="I2378" s="1"/>
    </row>
    <row r="2379" spans="1:9" x14ac:dyDescent="0.2">
      <c r="A2379" s="1"/>
      <c r="I2379" s="1"/>
    </row>
    <row r="2380" spans="1:9" x14ac:dyDescent="0.2">
      <c r="A2380" s="1"/>
      <c r="I2380" s="1"/>
    </row>
    <row r="2381" spans="1:9" x14ac:dyDescent="0.2">
      <c r="A2381" s="1"/>
      <c r="I2381" s="1"/>
    </row>
    <row r="2382" spans="1:9" x14ac:dyDescent="0.2">
      <c r="A2382" s="1"/>
      <c r="I2382" s="1"/>
    </row>
    <row r="2383" spans="1:9" x14ac:dyDescent="0.2">
      <c r="A2383" s="1"/>
      <c r="I2383" s="1"/>
    </row>
    <row r="2384" spans="1:9" x14ac:dyDescent="0.2">
      <c r="A2384" s="1"/>
      <c r="I2384" s="1"/>
    </row>
    <row r="2385" spans="1:9" x14ac:dyDescent="0.2">
      <c r="A2385" s="1"/>
      <c r="I2385" s="1"/>
    </row>
    <row r="2386" spans="1:9" x14ac:dyDescent="0.2">
      <c r="A2386" s="1"/>
      <c r="I2386" s="1"/>
    </row>
    <row r="2387" spans="1:9" x14ac:dyDescent="0.2">
      <c r="A2387" s="1"/>
      <c r="I2387" s="1"/>
    </row>
    <row r="2388" spans="1:9" x14ac:dyDescent="0.2">
      <c r="A2388" s="1"/>
      <c r="I2388" s="1"/>
    </row>
    <row r="2389" spans="1:9" x14ac:dyDescent="0.2">
      <c r="A2389" s="1"/>
      <c r="I2389" s="1"/>
    </row>
    <row r="2390" spans="1:9" x14ac:dyDescent="0.2">
      <c r="A2390" s="1"/>
      <c r="I2390" s="1"/>
    </row>
    <row r="2391" spans="1:9" x14ac:dyDescent="0.2">
      <c r="A2391" s="1"/>
      <c r="I2391" s="1"/>
    </row>
    <row r="2392" spans="1:9" x14ac:dyDescent="0.2">
      <c r="A2392" s="1"/>
      <c r="I2392" s="1"/>
    </row>
    <row r="2393" spans="1:9" x14ac:dyDescent="0.2">
      <c r="A2393" s="1"/>
      <c r="I2393" s="1"/>
    </row>
    <row r="2394" spans="1:9" x14ac:dyDescent="0.2">
      <c r="A2394" s="1"/>
      <c r="I2394" s="1"/>
    </row>
    <row r="2395" spans="1:9" x14ac:dyDescent="0.2">
      <c r="A2395" s="1"/>
      <c r="I2395" s="1"/>
    </row>
    <row r="2396" spans="1:9" x14ac:dyDescent="0.2">
      <c r="A2396" s="1"/>
      <c r="I2396" s="1"/>
    </row>
    <row r="2397" spans="1:9" x14ac:dyDescent="0.2">
      <c r="A2397" s="1"/>
      <c r="I2397" s="1"/>
    </row>
    <row r="2398" spans="1:9" x14ac:dyDescent="0.2">
      <c r="A2398" s="1"/>
      <c r="I2398" s="1"/>
    </row>
    <row r="2399" spans="1:9" x14ac:dyDescent="0.2">
      <c r="A2399" s="1"/>
      <c r="I2399" s="1"/>
    </row>
    <row r="2400" spans="1:9" x14ac:dyDescent="0.2">
      <c r="A2400" s="1"/>
      <c r="I2400" s="1"/>
    </row>
    <row r="2401" spans="1:9" x14ac:dyDescent="0.2">
      <c r="A2401" s="1"/>
      <c r="I2401" s="1"/>
    </row>
    <row r="2402" spans="1:9" x14ac:dyDescent="0.2">
      <c r="A2402" s="1"/>
      <c r="I2402" s="1"/>
    </row>
    <row r="2403" spans="1:9" x14ac:dyDescent="0.2">
      <c r="A2403" s="1"/>
      <c r="I2403" s="1"/>
    </row>
    <row r="2404" spans="1:9" x14ac:dyDescent="0.2">
      <c r="A2404" s="1"/>
      <c r="I2404" s="1"/>
    </row>
    <row r="2405" spans="1:9" x14ac:dyDescent="0.2">
      <c r="A2405" s="1"/>
      <c r="I2405" s="1"/>
    </row>
    <row r="2406" spans="1:9" x14ac:dyDescent="0.2">
      <c r="A2406" s="1"/>
      <c r="I2406" s="1"/>
    </row>
    <row r="2407" spans="1:9" x14ac:dyDescent="0.2">
      <c r="A2407" s="1"/>
      <c r="I2407" s="1"/>
    </row>
    <row r="2408" spans="1:9" x14ac:dyDescent="0.2">
      <c r="A2408" s="1"/>
      <c r="I2408" s="1"/>
    </row>
    <row r="2409" spans="1:9" x14ac:dyDescent="0.2">
      <c r="A2409" s="1"/>
      <c r="I2409" s="1"/>
    </row>
    <row r="2410" spans="1:9" x14ac:dyDescent="0.2">
      <c r="A2410" s="1"/>
      <c r="I2410" s="1"/>
    </row>
    <row r="2411" spans="1:9" x14ac:dyDescent="0.2">
      <c r="A2411" s="1"/>
      <c r="I2411" s="1"/>
    </row>
    <row r="2412" spans="1:9" x14ac:dyDescent="0.2">
      <c r="A2412" s="1"/>
      <c r="I2412" s="1"/>
    </row>
    <row r="2413" spans="1:9" x14ac:dyDescent="0.2">
      <c r="A2413" s="1"/>
      <c r="I2413" s="1"/>
    </row>
    <row r="2414" spans="1:9" x14ac:dyDescent="0.2">
      <c r="A2414" s="1"/>
      <c r="I2414" s="1"/>
    </row>
    <row r="2415" spans="1:9" x14ac:dyDescent="0.2">
      <c r="A2415" s="1"/>
      <c r="I2415" s="1"/>
    </row>
    <row r="2416" spans="1:9" x14ac:dyDescent="0.2">
      <c r="A2416" s="1"/>
      <c r="I2416" s="1"/>
    </row>
    <row r="2417" spans="1:9" x14ac:dyDescent="0.2">
      <c r="A2417" s="1"/>
      <c r="I2417" s="1"/>
    </row>
    <row r="2418" spans="1:9" x14ac:dyDescent="0.2">
      <c r="A2418" s="1"/>
      <c r="I2418" s="1"/>
    </row>
    <row r="2419" spans="1:9" x14ac:dyDescent="0.2">
      <c r="A2419" s="1"/>
      <c r="I2419" s="1"/>
    </row>
    <row r="2420" spans="1:9" x14ac:dyDescent="0.2">
      <c r="A2420" s="1"/>
      <c r="I2420" s="1"/>
    </row>
    <row r="2421" spans="1:9" x14ac:dyDescent="0.2">
      <c r="A2421" s="1"/>
      <c r="I2421" s="1"/>
    </row>
    <row r="2422" spans="1:9" x14ac:dyDescent="0.2">
      <c r="A2422" s="1"/>
      <c r="I2422" s="1"/>
    </row>
    <row r="2423" spans="1:9" x14ac:dyDescent="0.2">
      <c r="A2423" s="1"/>
      <c r="I2423" s="1"/>
    </row>
    <row r="2424" spans="1:9" x14ac:dyDescent="0.2">
      <c r="A2424" s="1"/>
      <c r="I2424" s="1"/>
    </row>
    <row r="2425" spans="1:9" x14ac:dyDescent="0.2">
      <c r="A2425" s="1"/>
      <c r="I2425" s="1"/>
    </row>
    <row r="2426" spans="1:9" x14ac:dyDescent="0.2">
      <c r="A2426" s="1"/>
      <c r="I2426" s="1"/>
    </row>
    <row r="2427" spans="1:9" x14ac:dyDescent="0.2">
      <c r="A2427" s="1"/>
      <c r="I2427" s="1"/>
    </row>
    <row r="2428" spans="1:9" x14ac:dyDescent="0.2">
      <c r="A2428" s="1"/>
      <c r="I2428" s="1"/>
    </row>
    <row r="2429" spans="1:9" x14ac:dyDescent="0.2">
      <c r="A2429" s="1"/>
      <c r="I2429" s="1"/>
    </row>
    <row r="2430" spans="1:9" x14ac:dyDescent="0.2">
      <c r="A2430" s="1"/>
      <c r="I2430" s="1"/>
    </row>
    <row r="2431" spans="1:9" x14ac:dyDescent="0.2">
      <c r="A2431" s="1"/>
      <c r="I2431" s="1"/>
    </row>
    <row r="2432" spans="1:9" x14ac:dyDescent="0.2">
      <c r="A2432" s="1"/>
      <c r="I2432" s="1"/>
    </row>
    <row r="2433" spans="1:9" x14ac:dyDescent="0.2">
      <c r="A2433" s="1"/>
      <c r="I2433" s="1"/>
    </row>
    <row r="2434" spans="1:9" x14ac:dyDescent="0.2">
      <c r="A2434" s="1"/>
      <c r="I2434" s="1"/>
    </row>
    <row r="2435" spans="1:9" x14ac:dyDescent="0.2">
      <c r="A2435" s="1"/>
      <c r="I2435" s="1"/>
    </row>
    <row r="2436" spans="1:9" x14ac:dyDescent="0.2">
      <c r="A2436" s="1"/>
      <c r="I2436" s="1"/>
    </row>
    <row r="2437" spans="1:9" x14ac:dyDescent="0.2">
      <c r="A2437" s="1"/>
      <c r="I2437" s="1"/>
    </row>
    <row r="2438" spans="1:9" x14ac:dyDescent="0.2">
      <c r="A2438" s="1"/>
      <c r="I2438" s="1"/>
    </row>
    <row r="2439" spans="1:9" x14ac:dyDescent="0.2">
      <c r="A2439" s="1"/>
      <c r="I2439" s="1"/>
    </row>
    <row r="2440" spans="1:9" x14ac:dyDescent="0.2">
      <c r="A2440" s="1"/>
      <c r="I2440" s="1"/>
    </row>
    <row r="2441" spans="1:9" x14ac:dyDescent="0.2">
      <c r="A2441" s="1"/>
      <c r="I2441" s="1"/>
    </row>
    <row r="2442" spans="1:9" x14ac:dyDescent="0.2">
      <c r="A2442" s="1"/>
      <c r="I2442" s="1"/>
    </row>
    <row r="2443" spans="1:9" x14ac:dyDescent="0.2">
      <c r="A2443" s="1"/>
      <c r="I2443" s="1"/>
    </row>
    <row r="2444" spans="1:9" x14ac:dyDescent="0.2">
      <c r="A2444" s="1"/>
      <c r="I2444" s="1"/>
    </row>
    <row r="2445" spans="1:9" x14ac:dyDescent="0.2">
      <c r="A2445" s="1"/>
      <c r="I2445" s="1"/>
    </row>
    <row r="2446" spans="1:9" x14ac:dyDescent="0.2">
      <c r="A2446" s="1"/>
      <c r="I2446" s="1"/>
    </row>
    <row r="2447" spans="1:9" x14ac:dyDescent="0.2">
      <c r="A2447" s="1"/>
      <c r="I2447" s="1"/>
    </row>
    <row r="2448" spans="1:9" x14ac:dyDescent="0.2">
      <c r="A2448" s="1"/>
      <c r="I2448" s="1"/>
    </row>
    <row r="2449" spans="1:9" x14ac:dyDescent="0.2">
      <c r="A2449" s="1"/>
      <c r="I2449" s="1"/>
    </row>
    <row r="2450" spans="1:9" x14ac:dyDescent="0.2">
      <c r="A2450" s="1"/>
      <c r="I2450" s="1"/>
    </row>
    <row r="2451" spans="1:9" x14ac:dyDescent="0.2">
      <c r="A2451" s="1"/>
      <c r="I2451" s="1"/>
    </row>
    <row r="2452" spans="1:9" x14ac:dyDescent="0.2">
      <c r="A2452" s="1"/>
      <c r="I2452" s="1"/>
    </row>
    <row r="2453" spans="1:9" x14ac:dyDescent="0.2">
      <c r="A2453" s="1"/>
      <c r="I2453" s="1"/>
    </row>
    <row r="2454" spans="1:9" x14ac:dyDescent="0.2">
      <c r="A2454" s="1"/>
      <c r="I2454" s="1"/>
    </row>
    <row r="2455" spans="1:9" x14ac:dyDescent="0.2">
      <c r="A2455" s="1"/>
      <c r="I2455" s="1"/>
    </row>
    <row r="2456" spans="1:9" x14ac:dyDescent="0.2">
      <c r="A2456" s="1"/>
      <c r="I2456" s="1"/>
    </row>
    <row r="2457" spans="1:9" x14ac:dyDescent="0.2">
      <c r="A2457" s="1"/>
      <c r="I2457" s="1"/>
    </row>
    <row r="2458" spans="1:9" x14ac:dyDescent="0.2">
      <c r="A2458" s="1"/>
      <c r="I2458" s="1"/>
    </row>
    <row r="2459" spans="1:9" x14ac:dyDescent="0.2">
      <c r="A2459" s="1"/>
      <c r="I2459" s="1"/>
    </row>
    <row r="2460" spans="1:9" x14ac:dyDescent="0.2">
      <c r="A2460" s="1"/>
      <c r="I2460" s="1"/>
    </row>
    <row r="2461" spans="1:9" x14ac:dyDescent="0.2">
      <c r="A2461" s="1"/>
      <c r="I2461" s="1"/>
    </row>
    <row r="2462" spans="1:9" x14ac:dyDescent="0.2">
      <c r="A2462" s="1"/>
      <c r="I2462" s="1"/>
    </row>
    <row r="2463" spans="1:9" x14ac:dyDescent="0.2">
      <c r="A2463" s="1"/>
      <c r="I2463" s="1"/>
    </row>
    <row r="2464" spans="1:9" x14ac:dyDescent="0.2">
      <c r="A2464" s="1"/>
      <c r="I2464" s="1"/>
    </row>
    <row r="2465" spans="1:9" x14ac:dyDescent="0.2">
      <c r="A2465" s="1"/>
      <c r="I2465" s="1"/>
    </row>
    <row r="2466" spans="1:9" x14ac:dyDescent="0.2">
      <c r="A2466" s="1"/>
      <c r="I2466" s="1"/>
    </row>
    <row r="2467" spans="1:9" x14ac:dyDescent="0.2">
      <c r="A2467" s="1"/>
      <c r="I2467" s="1"/>
    </row>
    <row r="2468" spans="1:9" x14ac:dyDescent="0.2">
      <c r="A2468" s="1"/>
      <c r="I2468" s="1"/>
    </row>
    <row r="2469" spans="1:9" x14ac:dyDescent="0.2">
      <c r="A2469" s="1"/>
      <c r="I2469" s="1"/>
    </row>
    <row r="2470" spans="1:9" x14ac:dyDescent="0.2">
      <c r="A2470" s="1"/>
      <c r="I2470" s="1"/>
    </row>
    <row r="2471" spans="1:9" x14ac:dyDescent="0.2">
      <c r="A2471" s="1"/>
      <c r="I2471" s="1"/>
    </row>
    <row r="2472" spans="1:9" x14ac:dyDescent="0.2">
      <c r="A2472" s="1"/>
      <c r="I2472" s="1"/>
    </row>
    <row r="2473" spans="1:9" x14ac:dyDescent="0.2">
      <c r="A2473" s="1"/>
      <c r="I2473" s="1"/>
    </row>
    <row r="2474" spans="1:9" x14ac:dyDescent="0.2">
      <c r="A2474" s="1"/>
      <c r="I2474" s="1"/>
    </row>
    <row r="2475" spans="1:9" x14ac:dyDescent="0.2">
      <c r="A2475" s="1"/>
      <c r="I2475" s="1"/>
    </row>
    <row r="2476" spans="1:9" x14ac:dyDescent="0.2">
      <c r="A2476" s="1"/>
      <c r="I2476" s="1"/>
    </row>
    <row r="2477" spans="1:9" x14ac:dyDescent="0.2">
      <c r="A2477" s="1"/>
      <c r="I2477" s="1"/>
    </row>
    <row r="2478" spans="1:9" x14ac:dyDescent="0.2">
      <c r="A2478" s="1"/>
      <c r="I2478" s="1"/>
    </row>
    <row r="2479" spans="1:9" x14ac:dyDescent="0.2">
      <c r="A2479" s="1"/>
      <c r="I2479" s="1"/>
    </row>
    <row r="2480" spans="1:9" x14ac:dyDescent="0.2">
      <c r="A2480" s="1"/>
      <c r="I2480" s="1"/>
    </row>
    <row r="2481" spans="1:9" x14ac:dyDescent="0.2">
      <c r="A2481" s="1"/>
      <c r="I2481" s="1"/>
    </row>
    <row r="2482" spans="1:9" x14ac:dyDescent="0.2">
      <c r="A2482" s="1"/>
      <c r="I2482" s="1"/>
    </row>
    <row r="2483" spans="1:9" x14ac:dyDescent="0.2">
      <c r="A2483" s="1"/>
      <c r="I2483" s="1"/>
    </row>
    <row r="2484" spans="1:9" x14ac:dyDescent="0.2">
      <c r="A2484" s="1"/>
      <c r="I2484" s="1"/>
    </row>
    <row r="2485" spans="1:9" x14ac:dyDescent="0.2">
      <c r="A2485" s="1"/>
      <c r="I2485" s="1"/>
    </row>
    <row r="2486" spans="1:9" x14ac:dyDescent="0.2">
      <c r="A2486" s="1"/>
      <c r="I2486" s="1"/>
    </row>
    <row r="2487" spans="1:9" x14ac:dyDescent="0.2">
      <c r="A2487" s="1"/>
      <c r="I2487" s="1"/>
    </row>
    <row r="2488" spans="1:9" x14ac:dyDescent="0.2">
      <c r="A2488" s="1"/>
      <c r="I2488" s="1"/>
    </row>
    <row r="2489" spans="1:9" x14ac:dyDescent="0.2">
      <c r="A2489" s="1"/>
      <c r="I2489" s="1"/>
    </row>
    <row r="2490" spans="1:9" x14ac:dyDescent="0.2">
      <c r="A2490" s="1"/>
      <c r="I2490" s="1"/>
    </row>
    <row r="2491" spans="1:9" x14ac:dyDescent="0.2">
      <c r="A2491" s="1"/>
      <c r="I2491" s="1"/>
    </row>
    <row r="2492" spans="1:9" x14ac:dyDescent="0.2">
      <c r="A2492" s="1"/>
      <c r="I2492" s="1"/>
    </row>
    <row r="2493" spans="1:9" x14ac:dyDescent="0.2">
      <c r="A2493" s="1"/>
      <c r="I2493" s="1"/>
    </row>
    <row r="2494" spans="1:9" x14ac:dyDescent="0.2">
      <c r="A2494" s="1"/>
      <c r="I2494" s="1"/>
    </row>
    <row r="2495" spans="1:9" x14ac:dyDescent="0.2">
      <c r="A2495" s="1"/>
      <c r="I2495" s="1"/>
    </row>
    <row r="2496" spans="1:9" x14ac:dyDescent="0.2">
      <c r="A2496" s="1"/>
      <c r="I2496" s="1"/>
    </row>
    <row r="2497" spans="1:9" x14ac:dyDescent="0.2">
      <c r="A2497" s="1"/>
      <c r="I2497" s="1"/>
    </row>
    <row r="2498" spans="1:9" x14ac:dyDescent="0.2">
      <c r="A2498" s="1"/>
      <c r="I2498" s="1"/>
    </row>
    <row r="2499" spans="1:9" x14ac:dyDescent="0.2">
      <c r="A2499" s="1"/>
      <c r="I2499" s="1"/>
    </row>
    <row r="2500" spans="1:9" x14ac:dyDescent="0.2">
      <c r="A2500" s="1"/>
      <c r="I2500" s="1"/>
    </row>
    <row r="2501" spans="1:9" x14ac:dyDescent="0.2">
      <c r="A2501" s="1"/>
      <c r="I2501" s="1"/>
    </row>
    <row r="2502" spans="1:9" x14ac:dyDescent="0.2">
      <c r="A2502" s="1"/>
      <c r="I2502" s="1"/>
    </row>
    <row r="2503" spans="1:9" x14ac:dyDescent="0.2">
      <c r="A2503" s="1"/>
      <c r="I2503" s="1"/>
    </row>
    <row r="2504" spans="1:9" x14ac:dyDescent="0.2">
      <c r="A2504" s="1"/>
      <c r="I2504" s="1"/>
    </row>
    <row r="2505" spans="1:9" x14ac:dyDescent="0.2">
      <c r="A2505" s="1"/>
      <c r="I2505" s="1"/>
    </row>
    <row r="2506" spans="1:9" x14ac:dyDescent="0.2">
      <c r="A2506" s="1"/>
      <c r="I2506" s="1"/>
    </row>
    <row r="2507" spans="1:9" x14ac:dyDescent="0.2">
      <c r="A2507" s="1"/>
      <c r="I2507" s="1"/>
    </row>
    <row r="2508" spans="1:9" x14ac:dyDescent="0.2">
      <c r="A2508" s="1"/>
      <c r="I2508" s="1"/>
    </row>
    <row r="2509" spans="1:9" x14ac:dyDescent="0.2">
      <c r="A2509" s="1"/>
      <c r="I2509" s="1"/>
    </row>
    <row r="2510" spans="1:9" x14ac:dyDescent="0.2">
      <c r="A2510" s="1"/>
      <c r="I2510" s="1"/>
    </row>
    <row r="2511" spans="1:9" x14ac:dyDescent="0.2">
      <c r="A2511" s="1"/>
      <c r="I2511" s="1"/>
    </row>
    <row r="2512" spans="1:9" x14ac:dyDescent="0.2">
      <c r="A2512" s="1"/>
      <c r="I2512" s="1"/>
    </row>
    <row r="2513" spans="1:9" x14ac:dyDescent="0.2">
      <c r="A2513" s="1"/>
      <c r="I2513" s="1"/>
    </row>
    <row r="2514" spans="1:9" x14ac:dyDescent="0.2">
      <c r="A2514" s="1"/>
      <c r="I2514" s="1"/>
    </row>
    <row r="2515" spans="1:9" x14ac:dyDescent="0.2">
      <c r="A2515" s="1"/>
      <c r="I2515" s="1"/>
    </row>
    <row r="2516" spans="1:9" x14ac:dyDescent="0.2">
      <c r="A2516" s="1"/>
      <c r="I2516" s="1"/>
    </row>
    <row r="2517" spans="1:9" x14ac:dyDescent="0.2">
      <c r="A2517" s="1"/>
      <c r="I2517" s="1"/>
    </row>
    <row r="2518" spans="1:9" x14ac:dyDescent="0.2">
      <c r="A2518" s="1"/>
      <c r="I2518" s="1"/>
    </row>
    <row r="2519" spans="1:9" x14ac:dyDescent="0.2">
      <c r="A2519" s="1"/>
      <c r="I2519" s="1"/>
    </row>
    <row r="2520" spans="1:9" x14ac:dyDescent="0.2">
      <c r="A2520" s="1"/>
      <c r="I2520" s="1"/>
    </row>
    <row r="2521" spans="1:9" x14ac:dyDescent="0.2">
      <c r="A2521" s="1"/>
      <c r="I2521" s="1"/>
    </row>
    <row r="2522" spans="1:9" x14ac:dyDescent="0.2">
      <c r="A2522" s="1"/>
      <c r="I2522" s="1"/>
    </row>
    <row r="2523" spans="1:9" x14ac:dyDescent="0.2">
      <c r="A2523" s="1"/>
      <c r="I2523" s="1"/>
    </row>
    <row r="2524" spans="1:9" x14ac:dyDescent="0.2">
      <c r="A2524" s="1"/>
      <c r="I2524" s="1"/>
    </row>
    <row r="2525" spans="1:9" x14ac:dyDescent="0.2">
      <c r="A2525" s="1"/>
      <c r="I2525" s="1"/>
    </row>
    <row r="2526" spans="1:9" x14ac:dyDescent="0.2">
      <c r="A2526" s="1"/>
      <c r="I2526" s="1"/>
    </row>
    <row r="2527" spans="1:9" x14ac:dyDescent="0.2">
      <c r="A2527" s="1"/>
      <c r="I2527" s="1"/>
    </row>
    <row r="2528" spans="1:9" x14ac:dyDescent="0.2">
      <c r="A2528" s="1"/>
      <c r="I2528" s="1"/>
    </row>
    <row r="2529" spans="1:9" x14ac:dyDescent="0.2">
      <c r="A2529" s="1"/>
      <c r="I2529" s="1"/>
    </row>
    <row r="2530" spans="1:9" x14ac:dyDescent="0.2">
      <c r="A2530" s="1"/>
      <c r="I2530" s="1"/>
    </row>
    <row r="2531" spans="1:9" x14ac:dyDescent="0.2">
      <c r="A2531" s="1"/>
      <c r="I2531" s="1"/>
    </row>
    <row r="2532" spans="1:9" x14ac:dyDescent="0.2">
      <c r="A2532" s="1"/>
      <c r="I2532" s="1"/>
    </row>
    <row r="2533" spans="1:9" x14ac:dyDescent="0.2">
      <c r="A2533" s="1"/>
      <c r="I2533" s="1"/>
    </row>
    <row r="2534" spans="1:9" x14ac:dyDescent="0.2">
      <c r="A2534" s="1"/>
      <c r="I2534" s="1"/>
    </row>
    <row r="2535" spans="1:9" x14ac:dyDescent="0.2">
      <c r="A2535" s="1"/>
      <c r="I2535" s="1"/>
    </row>
    <row r="2536" spans="1:9" x14ac:dyDescent="0.2">
      <c r="A2536" s="1"/>
      <c r="I2536" s="1"/>
    </row>
    <row r="2537" spans="1:9" x14ac:dyDescent="0.2">
      <c r="A2537" s="1"/>
      <c r="I2537" s="1"/>
    </row>
    <row r="2538" spans="1:9" x14ac:dyDescent="0.2">
      <c r="A2538" s="1"/>
      <c r="I2538" s="1"/>
    </row>
    <row r="2539" spans="1:9" x14ac:dyDescent="0.2">
      <c r="A2539" s="1"/>
      <c r="I2539" s="1"/>
    </row>
    <row r="2540" spans="1:9" x14ac:dyDescent="0.2">
      <c r="A2540" s="1"/>
      <c r="I2540" s="1"/>
    </row>
    <row r="2541" spans="1:9" x14ac:dyDescent="0.2">
      <c r="A2541" s="1"/>
      <c r="I2541" s="1"/>
    </row>
    <row r="2542" spans="1:9" x14ac:dyDescent="0.2">
      <c r="A2542" s="1"/>
      <c r="I2542" s="1"/>
    </row>
    <row r="2543" spans="1:9" x14ac:dyDescent="0.2">
      <c r="A2543" s="1"/>
      <c r="I2543" s="1"/>
    </row>
    <row r="2544" spans="1:9" x14ac:dyDescent="0.2">
      <c r="A2544" s="1"/>
      <c r="I2544" s="1"/>
    </row>
    <row r="2545" spans="1:9" x14ac:dyDescent="0.2">
      <c r="A2545" s="1"/>
      <c r="I2545" s="1"/>
    </row>
    <row r="2546" spans="1:9" x14ac:dyDescent="0.2">
      <c r="A2546" s="1"/>
      <c r="I2546" s="1"/>
    </row>
    <row r="2547" spans="1:9" x14ac:dyDescent="0.2">
      <c r="A2547" s="1"/>
      <c r="I2547" s="1"/>
    </row>
    <row r="2548" spans="1:9" x14ac:dyDescent="0.2">
      <c r="A2548" s="1"/>
      <c r="I2548" s="1"/>
    </row>
    <row r="2549" spans="1:9" x14ac:dyDescent="0.2">
      <c r="A2549" s="1"/>
      <c r="I2549" s="1"/>
    </row>
    <row r="2550" spans="1:9" x14ac:dyDescent="0.2">
      <c r="A2550" s="1"/>
      <c r="I2550" s="1"/>
    </row>
    <row r="2551" spans="1:9" x14ac:dyDescent="0.2">
      <c r="A2551" s="1"/>
      <c r="I2551" s="1"/>
    </row>
    <row r="2552" spans="1:9" x14ac:dyDescent="0.2">
      <c r="A2552" s="1"/>
      <c r="I2552" s="1"/>
    </row>
    <row r="2553" spans="1:9" x14ac:dyDescent="0.2">
      <c r="A2553" s="1"/>
      <c r="I2553" s="1"/>
    </row>
    <row r="2554" spans="1:9" x14ac:dyDescent="0.2">
      <c r="A2554" s="1"/>
      <c r="I2554" s="1"/>
    </row>
    <row r="2555" spans="1:9" x14ac:dyDescent="0.2">
      <c r="A2555" s="1"/>
      <c r="I2555" s="1"/>
    </row>
    <row r="2556" spans="1:9" x14ac:dyDescent="0.2">
      <c r="A2556" s="1"/>
      <c r="I2556" s="1"/>
    </row>
    <row r="2557" spans="1:9" x14ac:dyDescent="0.2">
      <c r="A2557" s="1"/>
      <c r="I2557" s="1"/>
    </row>
    <row r="2558" spans="1:9" x14ac:dyDescent="0.2">
      <c r="A2558" s="1"/>
      <c r="I2558" s="1"/>
    </row>
    <row r="2559" spans="1:9" x14ac:dyDescent="0.2">
      <c r="A2559" s="1"/>
      <c r="I2559" s="1"/>
    </row>
    <row r="2560" spans="1:9" x14ac:dyDescent="0.2">
      <c r="A2560" s="1"/>
      <c r="I2560" s="1"/>
    </row>
    <row r="2561" spans="1:9" x14ac:dyDescent="0.2">
      <c r="A2561" s="1"/>
      <c r="I2561" s="1"/>
    </row>
    <row r="2562" spans="1:9" x14ac:dyDescent="0.2">
      <c r="A2562" s="1"/>
      <c r="I2562" s="1"/>
    </row>
    <row r="2563" spans="1:9" x14ac:dyDescent="0.2">
      <c r="A2563" s="1"/>
      <c r="I2563" s="1"/>
    </row>
    <row r="2564" spans="1:9" x14ac:dyDescent="0.2">
      <c r="A2564" s="1"/>
      <c r="I2564" s="1"/>
    </row>
    <row r="2565" spans="1:9" x14ac:dyDescent="0.2">
      <c r="A2565" s="1"/>
      <c r="I2565" s="1"/>
    </row>
    <row r="2566" spans="1:9" x14ac:dyDescent="0.2">
      <c r="A2566" s="1"/>
      <c r="I2566" s="1"/>
    </row>
    <row r="2567" spans="1:9" x14ac:dyDescent="0.2">
      <c r="A2567" s="1"/>
      <c r="I2567" s="1"/>
    </row>
    <row r="2568" spans="1:9" x14ac:dyDescent="0.2">
      <c r="A2568" s="1"/>
      <c r="I2568" s="1"/>
    </row>
    <row r="2569" spans="1:9" x14ac:dyDescent="0.2">
      <c r="A2569" s="1"/>
      <c r="I2569" s="1"/>
    </row>
    <row r="2570" spans="1:9" x14ac:dyDescent="0.2">
      <c r="A2570" s="1"/>
      <c r="I2570" s="1"/>
    </row>
    <row r="2571" spans="1:9" x14ac:dyDescent="0.2">
      <c r="A2571" s="1"/>
      <c r="I2571" s="1"/>
    </row>
    <row r="2572" spans="1:9" x14ac:dyDescent="0.2">
      <c r="A2572" s="1"/>
      <c r="I2572" s="1"/>
    </row>
    <row r="2573" spans="1:9" x14ac:dyDescent="0.2">
      <c r="A2573" s="1"/>
      <c r="I2573" s="1"/>
    </row>
    <row r="2574" spans="1:9" x14ac:dyDescent="0.2">
      <c r="A2574" s="1"/>
      <c r="I2574" s="1"/>
    </row>
    <row r="2575" spans="1:9" x14ac:dyDescent="0.2">
      <c r="A2575" s="1"/>
      <c r="I2575" s="1"/>
    </row>
    <row r="2576" spans="1:9" x14ac:dyDescent="0.2">
      <c r="A2576" s="1"/>
      <c r="I2576" s="1"/>
    </row>
    <row r="2577" spans="1:9" x14ac:dyDescent="0.2">
      <c r="A2577" s="1"/>
      <c r="I2577" s="1"/>
    </row>
    <row r="2578" spans="1:9" x14ac:dyDescent="0.2">
      <c r="A2578" s="1"/>
      <c r="I2578" s="1"/>
    </row>
    <row r="2579" spans="1:9" x14ac:dyDescent="0.2">
      <c r="A2579" s="1"/>
      <c r="I2579" s="1"/>
    </row>
    <row r="2580" spans="1:9" x14ac:dyDescent="0.2">
      <c r="A2580" s="1"/>
      <c r="I2580" s="1"/>
    </row>
    <row r="2581" spans="1:9" x14ac:dyDescent="0.2">
      <c r="A2581" s="1"/>
      <c r="I2581" s="1"/>
    </row>
    <row r="2582" spans="1:9" x14ac:dyDescent="0.2">
      <c r="A2582" s="1"/>
      <c r="I2582" s="1"/>
    </row>
    <row r="2583" spans="1:9" x14ac:dyDescent="0.2">
      <c r="A2583" s="1"/>
      <c r="I2583" s="1"/>
    </row>
    <row r="2584" spans="1:9" x14ac:dyDescent="0.2">
      <c r="A2584" s="1"/>
      <c r="I2584" s="1"/>
    </row>
    <row r="2585" spans="1:9" x14ac:dyDescent="0.2">
      <c r="A2585" s="1"/>
      <c r="I2585" s="1"/>
    </row>
    <row r="2586" spans="1:9" x14ac:dyDescent="0.2">
      <c r="A2586" s="1"/>
      <c r="I2586" s="1"/>
    </row>
    <row r="2587" spans="1:9" x14ac:dyDescent="0.2">
      <c r="A2587" s="1"/>
      <c r="I2587" s="1"/>
    </row>
    <row r="2588" spans="1:9" x14ac:dyDescent="0.2">
      <c r="A2588" s="1"/>
      <c r="I2588" s="1"/>
    </row>
    <row r="2589" spans="1:9" x14ac:dyDescent="0.2">
      <c r="A2589" s="1"/>
      <c r="I2589" s="1"/>
    </row>
    <row r="2590" spans="1:9" x14ac:dyDescent="0.2">
      <c r="A2590" s="1"/>
      <c r="I2590" s="1"/>
    </row>
    <row r="2591" spans="1:9" x14ac:dyDescent="0.2">
      <c r="A2591" s="1"/>
      <c r="I2591" s="1"/>
    </row>
    <row r="2592" spans="1:9" x14ac:dyDescent="0.2">
      <c r="A2592" s="1"/>
      <c r="I2592" s="1"/>
    </row>
    <row r="2593" spans="1:9" x14ac:dyDescent="0.2">
      <c r="A2593" s="1"/>
      <c r="I2593" s="1"/>
    </row>
    <row r="2594" spans="1:9" x14ac:dyDescent="0.2">
      <c r="A2594" s="1"/>
      <c r="I2594" s="1"/>
    </row>
    <row r="2595" spans="1:9" x14ac:dyDescent="0.2">
      <c r="A2595" s="1"/>
      <c r="I2595" s="1"/>
    </row>
    <row r="2596" spans="1:9" x14ac:dyDescent="0.2">
      <c r="A2596" s="1"/>
      <c r="I2596" s="1"/>
    </row>
    <row r="2597" spans="1:9" x14ac:dyDescent="0.2">
      <c r="A2597" s="1"/>
      <c r="I2597" s="1"/>
    </row>
    <row r="2598" spans="1:9" x14ac:dyDescent="0.2">
      <c r="A2598" s="1"/>
      <c r="I2598" s="1"/>
    </row>
    <row r="2599" spans="1:9" x14ac:dyDescent="0.2">
      <c r="A2599" s="1"/>
      <c r="I2599" s="1"/>
    </row>
    <row r="2600" spans="1:9" x14ac:dyDescent="0.2">
      <c r="A2600" s="1"/>
      <c r="I2600" s="1"/>
    </row>
    <row r="2601" spans="1:9" x14ac:dyDescent="0.2">
      <c r="A2601" s="1"/>
      <c r="I2601" s="1"/>
    </row>
    <row r="2602" spans="1:9" x14ac:dyDescent="0.2">
      <c r="A2602" s="1"/>
      <c r="I2602" s="1"/>
    </row>
    <row r="2603" spans="1:9" x14ac:dyDescent="0.2">
      <c r="A2603" s="1"/>
      <c r="I2603" s="1"/>
    </row>
    <row r="2604" spans="1:9" x14ac:dyDescent="0.2">
      <c r="A2604" s="1"/>
      <c r="I2604" s="1"/>
    </row>
    <row r="2605" spans="1:9" x14ac:dyDescent="0.2">
      <c r="A2605" s="1"/>
      <c r="I2605" s="1"/>
    </row>
    <row r="2606" spans="1:9" x14ac:dyDescent="0.2">
      <c r="A2606" s="1"/>
      <c r="I2606" s="1"/>
    </row>
    <row r="2607" spans="1:9" x14ac:dyDescent="0.2">
      <c r="A2607" s="1"/>
      <c r="I2607" s="1"/>
    </row>
    <row r="2608" spans="1:9" x14ac:dyDescent="0.2">
      <c r="A2608" s="1"/>
      <c r="I2608" s="1"/>
    </row>
    <row r="2609" spans="1:9" x14ac:dyDescent="0.2">
      <c r="A2609" s="1"/>
      <c r="I2609" s="1"/>
    </row>
    <row r="2610" spans="1:9" x14ac:dyDescent="0.2">
      <c r="A2610" s="1"/>
      <c r="I2610" s="1"/>
    </row>
    <row r="2611" spans="1:9" x14ac:dyDescent="0.2">
      <c r="A2611" s="1"/>
      <c r="I2611" s="1"/>
    </row>
    <row r="2612" spans="1:9" x14ac:dyDescent="0.2">
      <c r="A2612" s="1"/>
      <c r="I2612" s="1"/>
    </row>
    <row r="2613" spans="1:9" x14ac:dyDescent="0.2">
      <c r="A2613" s="1"/>
      <c r="I2613" s="1"/>
    </row>
    <row r="2614" spans="1:9" x14ac:dyDescent="0.2">
      <c r="A2614" s="1"/>
      <c r="I2614" s="1"/>
    </row>
    <row r="2615" spans="1:9" x14ac:dyDescent="0.2">
      <c r="A2615" s="1"/>
      <c r="I2615" s="1"/>
    </row>
    <row r="2616" spans="1:9" x14ac:dyDescent="0.2">
      <c r="A2616" s="1"/>
      <c r="I2616" s="1"/>
    </row>
    <row r="2617" spans="1:9" x14ac:dyDescent="0.2">
      <c r="A2617" s="1"/>
      <c r="I2617" s="1"/>
    </row>
    <row r="2618" spans="1:9" x14ac:dyDescent="0.2">
      <c r="A2618" s="1"/>
      <c r="I2618" s="1"/>
    </row>
    <row r="2619" spans="1:9" x14ac:dyDescent="0.2">
      <c r="A2619" s="1"/>
      <c r="I2619" s="1"/>
    </row>
    <row r="2620" spans="1:9" x14ac:dyDescent="0.2">
      <c r="A2620" s="1"/>
      <c r="I2620" s="1"/>
    </row>
    <row r="2621" spans="1:9" x14ac:dyDescent="0.2">
      <c r="A2621" s="1"/>
      <c r="I2621" s="1"/>
    </row>
    <row r="2622" spans="1:9" x14ac:dyDescent="0.2">
      <c r="A2622" s="1"/>
      <c r="I2622" s="1"/>
    </row>
    <row r="2623" spans="1:9" x14ac:dyDescent="0.2">
      <c r="A2623" s="1"/>
      <c r="I2623" s="1"/>
    </row>
    <row r="2624" spans="1:9" x14ac:dyDescent="0.2">
      <c r="A2624" s="1"/>
      <c r="I2624" s="1"/>
    </row>
    <row r="2625" spans="1:9" x14ac:dyDescent="0.2">
      <c r="A2625" s="1"/>
      <c r="I2625" s="1"/>
    </row>
    <row r="2626" spans="1:9" x14ac:dyDescent="0.2">
      <c r="A2626" s="1"/>
      <c r="I2626" s="1"/>
    </row>
    <row r="2627" spans="1:9" x14ac:dyDescent="0.2">
      <c r="A2627" s="1"/>
      <c r="I2627" s="1"/>
    </row>
    <row r="2628" spans="1:9" x14ac:dyDescent="0.2">
      <c r="A2628" s="1"/>
      <c r="I2628" s="1"/>
    </row>
    <row r="2629" spans="1:9" x14ac:dyDescent="0.2">
      <c r="A2629" s="1"/>
      <c r="I2629" s="1"/>
    </row>
    <row r="2630" spans="1:9" x14ac:dyDescent="0.2">
      <c r="A2630" s="1"/>
      <c r="I2630" s="1"/>
    </row>
    <row r="2631" spans="1:9" x14ac:dyDescent="0.2">
      <c r="A2631" s="1"/>
      <c r="I2631" s="1"/>
    </row>
    <row r="2632" spans="1:9" x14ac:dyDescent="0.2">
      <c r="A2632" s="1"/>
      <c r="I2632" s="1"/>
    </row>
    <row r="2633" spans="1:9" x14ac:dyDescent="0.2">
      <c r="A2633" s="1"/>
      <c r="I2633" s="1"/>
    </row>
    <row r="2634" spans="1:9" x14ac:dyDescent="0.2">
      <c r="A2634" s="1"/>
      <c r="I2634" s="1"/>
    </row>
    <row r="2635" spans="1:9" x14ac:dyDescent="0.2">
      <c r="A2635" s="1"/>
      <c r="I2635" s="1"/>
    </row>
    <row r="2636" spans="1:9" x14ac:dyDescent="0.2">
      <c r="A2636" s="1"/>
      <c r="I2636" s="1"/>
    </row>
    <row r="2637" spans="1:9" x14ac:dyDescent="0.2">
      <c r="A2637" s="1"/>
      <c r="I2637" s="1"/>
    </row>
    <row r="2638" spans="1:9" x14ac:dyDescent="0.2">
      <c r="A2638" s="1"/>
      <c r="I2638" s="1"/>
    </row>
    <row r="2639" spans="1:9" x14ac:dyDescent="0.2">
      <c r="A2639" s="1"/>
      <c r="I2639" s="1"/>
    </row>
    <row r="2640" spans="1:9" x14ac:dyDescent="0.2">
      <c r="A2640" s="1"/>
      <c r="I2640" s="1"/>
    </row>
    <row r="2641" spans="1:9" x14ac:dyDescent="0.2">
      <c r="A2641" s="1"/>
      <c r="I2641" s="1"/>
    </row>
    <row r="2642" spans="1:9" x14ac:dyDescent="0.2">
      <c r="A2642" s="1"/>
      <c r="I2642" s="1"/>
    </row>
    <row r="2643" spans="1:9" x14ac:dyDescent="0.2">
      <c r="A2643" s="1"/>
      <c r="I2643" s="1"/>
    </row>
    <row r="2644" spans="1:9" x14ac:dyDescent="0.2">
      <c r="A2644" s="1"/>
      <c r="I2644" s="1"/>
    </row>
    <row r="2645" spans="1:9" x14ac:dyDescent="0.2">
      <c r="A2645" s="1"/>
      <c r="I2645" s="1"/>
    </row>
    <row r="2646" spans="1:9" x14ac:dyDescent="0.2">
      <c r="A2646" s="1"/>
      <c r="I2646" s="1"/>
    </row>
    <row r="2647" spans="1:9" x14ac:dyDescent="0.2">
      <c r="A2647" s="1"/>
      <c r="I2647" s="1"/>
    </row>
    <row r="2648" spans="1:9" x14ac:dyDescent="0.2">
      <c r="A2648" s="1"/>
      <c r="I2648" s="1"/>
    </row>
    <row r="2649" spans="1:9" x14ac:dyDescent="0.2">
      <c r="A2649" s="1"/>
      <c r="I2649" s="1"/>
    </row>
    <row r="2650" spans="1:9" x14ac:dyDescent="0.2">
      <c r="A2650" s="1"/>
      <c r="I2650" s="1"/>
    </row>
    <row r="2651" spans="1:9" x14ac:dyDescent="0.2">
      <c r="A2651" s="1"/>
      <c r="I2651" s="1"/>
    </row>
    <row r="2652" spans="1:9" x14ac:dyDescent="0.2">
      <c r="A2652" s="1"/>
      <c r="I2652" s="1"/>
    </row>
    <row r="2653" spans="1:9" x14ac:dyDescent="0.2">
      <c r="A2653" s="1"/>
      <c r="I2653" s="1"/>
    </row>
    <row r="2654" spans="1:9" x14ac:dyDescent="0.2">
      <c r="A2654" s="1"/>
      <c r="I2654" s="1"/>
    </row>
    <row r="2655" spans="1:9" x14ac:dyDescent="0.2">
      <c r="A2655" s="1"/>
      <c r="I2655" s="1"/>
    </row>
    <row r="2656" spans="1:9" x14ac:dyDescent="0.2">
      <c r="A2656" s="1"/>
      <c r="I2656" s="1"/>
    </row>
    <row r="2657" spans="1:9" x14ac:dyDescent="0.2">
      <c r="A2657" s="1"/>
      <c r="I2657" s="1"/>
    </row>
    <row r="2658" spans="1:9" x14ac:dyDescent="0.2">
      <c r="A2658" s="1"/>
      <c r="I2658" s="1"/>
    </row>
    <row r="2659" spans="1:9" x14ac:dyDescent="0.2">
      <c r="A2659" s="1"/>
      <c r="I2659" s="1"/>
    </row>
    <row r="2660" spans="1:9" x14ac:dyDescent="0.2">
      <c r="A2660" s="1"/>
      <c r="I2660" s="1"/>
    </row>
    <row r="2661" spans="1:9" x14ac:dyDescent="0.2">
      <c r="A2661" s="1"/>
      <c r="I2661" s="1"/>
    </row>
    <row r="2662" spans="1:9" x14ac:dyDescent="0.2">
      <c r="A2662" s="1"/>
      <c r="I2662" s="1"/>
    </row>
    <row r="2663" spans="1:9" x14ac:dyDescent="0.2">
      <c r="A2663" s="1"/>
      <c r="I2663" s="1"/>
    </row>
    <row r="2664" spans="1:9" x14ac:dyDescent="0.2">
      <c r="A2664" s="1"/>
      <c r="I2664" s="1"/>
    </row>
    <row r="2665" spans="1:9" x14ac:dyDescent="0.2">
      <c r="A2665" s="1"/>
      <c r="I2665" s="1"/>
    </row>
    <row r="2666" spans="1:9" x14ac:dyDescent="0.2">
      <c r="A2666" s="1"/>
      <c r="I2666" s="1"/>
    </row>
    <row r="2667" spans="1:9" x14ac:dyDescent="0.2">
      <c r="A2667" s="1"/>
      <c r="I2667" s="1"/>
    </row>
    <row r="2668" spans="1:9" x14ac:dyDescent="0.2">
      <c r="A2668" s="1"/>
      <c r="I2668" s="1"/>
    </row>
    <row r="2669" spans="1:9" x14ac:dyDescent="0.2">
      <c r="A2669" s="1"/>
      <c r="I2669" s="1"/>
    </row>
    <row r="2670" spans="1:9" x14ac:dyDescent="0.2">
      <c r="A2670" s="1"/>
      <c r="I2670" s="1"/>
    </row>
    <row r="2671" spans="1:9" x14ac:dyDescent="0.2">
      <c r="A2671" s="1"/>
      <c r="I2671" s="1"/>
    </row>
    <row r="2672" spans="1:9" x14ac:dyDescent="0.2">
      <c r="A2672" s="1"/>
      <c r="I2672" s="1"/>
    </row>
    <row r="2673" spans="1:9" x14ac:dyDescent="0.2">
      <c r="A2673" s="1"/>
      <c r="I2673" s="1"/>
    </row>
    <row r="2674" spans="1:9" x14ac:dyDescent="0.2">
      <c r="A2674" s="1"/>
      <c r="I2674" s="1"/>
    </row>
    <row r="2675" spans="1:9" x14ac:dyDescent="0.2">
      <c r="A2675" s="1"/>
      <c r="I2675" s="1"/>
    </row>
    <row r="2676" spans="1:9" x14ac:dyDescent="0.2">
      <c r="A2676" s="1"/>
      <c r="I2676" s="1"/>
    </row>
    <row r="2677" spans="1:9" x14ac:dyDescent="0.2">
      <c r="A2677" s="1"/>
      <c r="I2677" s="1"/>
    </row>
    <row r="2678" spans="1:9" x14ac:dyDescent="0.2">
      <c r="A2678" s="1"/>
      <c r="I2678" s="1"/>
    </row>
    <row r="2679" spans="1:9" x14ac:dyDescent="0.2">
      <c r="A2679" s="1"/>
      <c r="I2679" s="1"/>
    </row>
    <row r="2680" spans="1:9" x14ac:dyDescent="0.2">
      <c r="A2680" s="1"/>
      <c r="I2680" s="1"/>
    </row>
    <row r="2681" spans="1:9" x14ac:dyDescent="0.2">
      <c r="A2681" s="1"/>
      <c r="I2681" s="1"/>
    </row>
    <row r="2682" spans="1:9" x14ac:dyDescent="0.2">
      <c r="A2682" s="1"/>
      <c r="I2682" s="1"/>
    </row>
    <row r="2683" spans="1:9" x14ac:dyDescent="0.2">
      <c r="A2683" s="1"/>
      <c r="I2683" s="1"/>
    </row>
    <row r="2684" spans="1:9" x14ac:dyDescent="0.2">
      <c r="A2684" s="1"/>
      <c r="I2684" s="1"/>
    </row>
    <row r="2685" spans="1:9" x14ac:dyDescent="0.2">
      <c r="A2685" s="1"/>
      <c r="I2685" s="1"/>
    </row>
    <row r="2686" spans="1:9" x14ac:dyDescent="0.2">
      <c r="A2686" s="1"/>
      <c r="I2686" s="1"/>
    </row>
    <row r="2687" spans="1:9" x14ac:dyDescent="0.2">
      <c r="A2687" s="1"/>
      <c r="I2687" s="1"/>
    </row>
    <row r="2688" spans="1:9" x14ac:dyDescent="0.2">
      <c r="A2688" s="1"/>
      <c r="I2688" s="1"/>
    </row>
    <row r="2689" spans="1:9" x14ac:dyDescent="0.2">
      <c r="A2689" s="1"/>
      <c r="I2689" s="1"/>
    </row>
    <row r="2690" spans="1:9" x14ac:dyDescent="0.2">
      <c r="A2690" s="1"/>
      <c r="I2690" s="1"/>
    </row>
    <row r="2691" spans="1:9" x14ac:dyDescent="0.2">
      <c r="A2691" s="1"/>
      <c r="I2691" s="1"/>
    </row>
    <row r="2692" spans="1:9" x14ac:dyDescent="0.2">
      <c r="A2692" s="1"/>
      <c r="I2692" s="1"/>
    </row>
    <row r="2693" spans="1:9" x14ac:dyDescent="0.2">
      <c r="A2693" s="1"/>
      <c r="I2693" s="1"/>
    </row>
    <row r="2694" spans="1:9" x14ac:dyDescent="0.2">
      <c r="A2694" s="1"/>
      <c r="I2694" s="1"/>
    </row>
    <row r="2695" spans="1:9" x14ac:dyDescent="0.2">
      <c r="A2695" s="1"/>
      <c r="I2695" s="1"/>
    </row>
    <row r="2696" spans="1:9" x14ac:dyDescent="0.2">
      <c r="A2696" s="1"/>
      <c r="I2696" s="1"/>
    </row>
    <row r="2697" spans="1:9" x14ac:dyDescent="0.2">
      <c r="A2697" s="1"/>
      <c r="I2697" s="1"/>
    </row>
    <row r="2698" spans="1:9" x14ac:dyDescent="0.2">
      <c r="A2698" s="1"/>
      <c r="I2698" s="1"/>
    </row>
    <row r="2699" spans="1:9" x14ac:dyDescent="0.2">
      <c r="A2699" s="1"/>
      <c r="I2699" s="1"/>
    </row>
    <row r="2700" spans="1:9" x14ac:dyDescent="0.2">
      <c r="A2700" s="1"/>
      <c r="I2700" s="1"/>
    </row>
    <row r="2701" spans="1:9" x14ac:dyDescent="0.2">
      <c r="A2701" s="1"/>
      <c r="I2701" s="1"/>
    </row>
    <row r="2702" spans="1:9" x14ac:dyDescent="0.2">
      <c r="A2702" s="1"/>
      <c r="I2702" s="1"/>
    </row>
    <row r="2703" spans="1:9" x14ac:dyDescent="0.2">
      <c r="A2703" s="1"/>
      <c r="I2703" s="1"/>
    </row>
    <row r="2704" spans="1:9" x14ac:dyDescent="0.2">
      <c r="A2704" s="1"/>
      <c r="I2704" s="1"/>
    </row>
    <row r="2705" spans="1:9" x14ac:dyDescent="0.2">
      <c r="A2705" s="1"/>
      <c r="I2705" s="1"/>
    </row>
    <row r="2706" spans="1:9" x14ac:dyDescent="0.2">
      <c r="A2706" s="1"/>
      <c r="I2706" s="1"/>
    </row>
    <row r="2707" spans="1:9" x14ac:dyDescent="0.2">
      <c r="A2707" s="1"/>
      <c r="I2707" s="1"/>
    </row>
    <row r="2708" spans="1:9" x14ac:dyDescent="0.2">
      <c r="A2708" s="1"/>
      <c r="I2708" s="1"/>
    </row>
    <row r="2709" spans="1:9" x14ac:dyDescent="0.2">
      <c r="A2709" s="1"/>
      <c r="I2709" s="1"/>
    </row>
    <row r="2710" spans="1:9" x14ac:dyDescent="0.2">
      <c r="A2710" s="1"/>
      <c r="I2710" s="1"/>
    </row>
    <row r="2711" spans="1:9" x14ac:dyDescent="0.2">
      <c r="A2711" s="1"/>
      <c r="I2711" s="1"/>
    </row>
    <row r="2712" spans="1:9" x14ac:dyDescent="0.2">
      <c r="A2712" s="1"/>
      <c r="I2712" s="1"/>
    </row>
    <row r="2713" spans="1:9" x14ac:dyDescent="0.2">
      <c r="A2713" s="1"/>
      <c r="I2713" s="1"/>
    </row>
    <row r="2714" spans="1:9" x14ac:dyDescent="0.2">
      <c r="A2714" s="1"/>
      <c r="I2714" s="1"/>
    </row>
    <row r="2715" spans="1:9" x14ac:dyDescent="0.2">
      <c r="A2715" s="1"/>
      <c r="I2715" s="1"/>
    </row>
    <row r="2716" spans="1:9" x14ac:dyDescent="0.2">
      <c r="A2716" s="1"/>
      <c r="I2716" s="1"/>
    </row>
    <row r="2717" spans="1:9" x14ac:dyDescent="0.2">
      <c r="A2717" s="1"/>
      <c r="I2717" s="1"/>
    </row>
    <row r="2718" spans="1:9" x14ac:dyDescent="0.2">
      <c r="A2718" s="1"/>
      <c r="I2718" s="1"/>
    </row>
    <row r="2719" spans="1:9" x14ac:dyDescent="0.2">
      <c r="A2719" s="1"/>
      <c r="I2719" s="1"/>
    </row>
    <row r="2720" spans="1:9" x14ac:dyDescent="0.2">
      <c r="A2720" s="1"/>
      <c r="I2720" s="1"/>
    </row>
    <row r="2721" spans="1:9" x14ac:dyDescent="0.2">
      <c r="A2721" s="1"/>
      <c r="I2721" s="1"/>
    </row>
    <row r="2722" spans="1:9" x14ac:dyDescent="0.2">
      <c r="A2722" s="1"/>
      <c r="I2722" s="1"/>
    </row>
    <row r="2723" spans="1:9" x14ac:dyDescent="0.2">
      <c r="A2723" s="1"/>
      <c r="I2723" s="1"/>
    </row>
    <row r="2724" spans="1:9" x14ac:dyDescent="0.2">
      <c r="A2724" s="1"/>
      <c r="I2724" s="1"/>
    </row>
    <row r="2725" spans="1:9" x14ac:dyDescent="0.2">
      <c r="A2725" s="1"/>
      <c r="I2725" s="1"/>
    </row>
    <row r="2726" spans="1:9" x14ac:dyDescent="0.2">
      <c r="A2726" s="1"/>
      <c r="I2726" s="1"/>
    </row>
    <row r="2727" spans="1:9" x14ac:dyDescent="0.2">
      <c r="A2727" s="1"/>
      <c r="I2727" s="1"/>
    </row>
    <row r="2728" spans="1:9" x14ac:dyDescent="0.2">
      <c r="A2728" s="1"/>
      <c r="I2728" s="1"/>
    </row>
    <row r="2729" spans="1:9" x14ac:dyDescent="0.2">
      <c r="A2729" s="1"/>
      <c r="I2729" s="1"/>
    </row>
    <row r="2730" spans="1:9" x14ac:dyDescent="0.2">
      <c r="A2730" s="1"/>
      <c r="I2730" s="1"/>
    </row>
    <row r="2731" spans="1:9" x14ac:dyDescent="0.2">
      <c r="A2731" s="1"/>
      <c r="I2731" s="1"/>
    </row>
    <row r="2732" spans="1:9" x14ac:dyDescent="0.2">
      <c r="A2732" s="1"/>
      <c r="I2732" s="1"/>
    </row>
    <row r="2733" spans="1:9" x14ac:dyDescent="0.2">
      <c r="A2733" s="1"/>
      <c r="I2733" s="1"/>
    </row>
    <row r="2734" spans="1:9" x14ac:dyDescent="0.2">
      <c r="I2734" s="1"/>
    </row>
    <row r="2735" spans="1:9" x14ac:dyDescent="0.2">
      <c r="I2735" s="1"/>
    </row>
    <row r="2736" spans="1:9" x14ac:dyDescent="0.2">
      <c r="I2736" s="1"/>
    </row>
    <row r="2737" spans="9:9" x14ac:dyDescent="0.2">
      <c r="I2737" s="1"/>
    </row>
    <row r="2738" spans="9:9" x14ac:dyDescent="0.2">
      <c r="I2738" s="1"/>
    </row>
    <row r="2739" spans="9:9" x14ac:dyDescent="0.2">
      <c r="I2739" s="1"/>
    </row>
    <row r="2740" spans="9:9" x14ac:dyDescent="0.2">
      <c r="I2740" s="1"/>
    </row>
    <row r="2741" spans="9:9" x14ac:dyDescent="0.2">
      <c r="I2741" s="1"/>
    </row>
    <row r="2742" spans="9:9" x14ac:dyDescent="0.2">
      <c r="I2742" s="1"/>
    </row>
    <row r="2743" spans="9:9" x14ac:dyDescent="0.2">
      <c r="I2743" s="1"/>
    </row>
    <row r="2744" spans="9:9" x14ac:dyDescent="0.2">
      <c r="I2744" s="1"/>
    </row>
    <row r="2745" spans="9:9" x14ac:dyDescent="0.2">
      <c r="I2745" s="1"/>
    </row>
    <row r="2746" spans="9:9" x14ac:dyDescent="0.2">
      <c r="I2746" s="1"/>
    </row>
    <row r="2747" spans="9:9" x14ac:dyDescent="0.2">
      <c r="I2747" s="1"/>
    </row>
    <row r="2748" spans="9:9" x14ac:dyDescent="0.2">
      <c r="I2748" s="1"/>
    </row>
    <row r="2749" spans="9:9" x14ac:dyDescent="0.2">
      <c r="I2749" s="1"/>
    </row>
    <row r="2750" spans="9:9" x14ac:dyDescent="0.2">
      <c r="I2750" s="1"/>
    </row>
    <row r="2751" spans="9:9" x14ac:dyDescent="0.2">
      <c r="I2751" s="1"/>
    </row>
    <row r="2752" spans="9:9" x14ac:dyDescent="0.2">
      <c r="I2752" s="1"/>
    </row>
    <row r="2753" spans="9:9" x14ac:dyDescent="0.2">
      <c r="I2753" s="1"/>
    </row>
    <row r="2754" spans="9:9" x14ac:dyDescent="0.2">
      <c r="I2754" s="1"/>
    </row>
    <row r="2755" spans="9:9" x14ac:dyDescent="0.2">
      <c r="I2755" s="1"/>
    </row>
    <row r="2756" spans="9:9" x14ac:dyDescent="0.2">
      <c r="I2756" s="1"/>
    </row>
    <row r="2757" spans="9:9" x14ac:dyDescent="0.2">
      <c r="I2757" s="1"/>
    </row>
    <row r="2758" spans="9:9" x14ac:dyDescent="0.2">
      <c r="I2758" s="1"/>
    </row>
    <row r="2759" spans="9:9" x14ac:dyDescent="0.2">
      <c r="I2759" s="1"/>
    </row>
    <row r="2760" spans="9:9" x14ac:dyDescent="0.2">
      <c r="I2760" s="1"/>
    </row>
    <row r="2761" spans="9:9" x14ac:dyDescent="0.2">
      <c r="I2761" s="1"/>
    </row>
    <row r="2762" spans="9:9" x14ac:dyDescent="0.2">
      <c r="I2762" s="1"/>
    </row>
    <row r="2763" spans="9:9" x14ac:dyDescent="0.2">
      <c r="I2763" s="1"/>
    </row>
    <row r="2764" spans="9:9" x14ac:dyDescent="0.2">
      <c r="I2764" s="1"/>
    </row>
    <row r="2765" spans="9:9" x14ac:dyDescent="0.2">
      <c r="I2765" s="1"/>
    </row>
    <row r="2766" spans="9:9" x14ac:dyDescent="0.2">
      <c r="I2766" s="1"/>
    </row>
    <row r="2767" spans="9:9" x14ac:dyDescent="0.2">
      <c r="I2767" s="1"/>
    </row>
    <row r="2768" spans="9:9" x14ac:dyDescent="0.2">
      <c r="I2768" s="1"/>
    </row>
    <row r="2769" spans="9:9" x14ac:dyDescent="0.2">
      <c r="I2769" s="1"/>
    </row>
    <row r="2770" spans="9:9" x14ac:dyDescent="0.2">
      <c r="I2770" s="1"/>
    </row>
    <row r="2771" spans="9:9" x14ac:dyDescent="0.2">
      <c r="I2771" s="1"/>
    </row>
    <row r="2772" spans="9:9" x14ac:dyDescent="0.2">
      <c r="I2772" s="1"/>
    </row>
    <row r="2773" spans="9:9" x14ac:dyDescent="0.2">
      <c r="I2773" s="1"/>
    </row>
    <row r="2774" spans="9:9" x14ac:dyDescent="0.2">
      <c r="I2774" s="1"/>
    </row>
    <row r="2775" spans="9:9" x14ac:dyDescent="0.2">
      <c r="I2775" s="1"/>
    </row>
    <row r="2776" spans="9:9" x14ac:dyDescent="0.2">
      <c r="I2776" s="1"/>
    </row>
    <row r="2777" spans="9:9" x14ac:dyDescent="0.2">
      <c r="I2777" s="1"/>
    </row>
    <row r="2778" spans="9:9" x14ac:dyDescent="0.2">
      <c r="I2778" s="1"/>
    </row>
    <row r="2779" spans="9:9" x14ac:dyDescent="0.2">
      <c r="I2779" s="1"/>
    </row>
    <row r="2780" spans="9:9" x14ac:dyDescent="0.2">
      <c r="I2780" s="1"/>
    </row>
    <row r="2781" spans="9:9" x14ac:dyDescent="0.2">
      <c r="I2781" s="1"/>
    </row>
    <row r="2782" spans="9:9" x14ac:dyDescent="0.2">
      <c r="I2782" s="1"/>
    </row>
    <row r="2783" spans="9:9" x14ac:dyDescent="0.2">
      <c r="I2783" s="1"/>
    </row>
    <row r="2784" spans="9:9" x14ac:dyDescent="0.2">
      <c r="I2784" s="1"/>
    </row>
    <row r="2785" spans="9:9" x14ac:dyDescent="0.2">
      <c r="I2785" s="1"/>
    </row>
    <row r="2786" spans="9:9" x14ac:dyDescent="0.2">
      <c r="I2786" s="1"/>
    </row>
    <row r="2787" spans="9:9" x14ac:dyDescent="0.2">
      <c r="I2787" s="1"/>
    </row>
    <row r="2788" spans="9:9" x14ac:dyDescent="0.2">
      <c r="I2788" s="1"/>
    </row>
    <row r="2789" spans="9:9" x14ac:dyDescent="0.2">
      <c r="I2789" s="1"/>
    </row>
    <row r="2790" spans="9:9" x14ac:dyDescent="0.2">
      <c r="I2790" s="1"/>
    </row>
    <row r="2791" spans="9:9" x14ac:dyDescent="0.2">
      <c r="I2791" s="1"/>
    </row>
    <row r="2792" spans="9:9" x14ac:dyDescent="0.2">
      <c r="I2792" s="1"/>
    </row>
    <row r="2793" spans="9:9" x14ac:dyDescent="0.2">
      <c r="I2793" s="1"/>
    </row>
    <row r="2794" spans="9:9" x14ac:dyDescent="0.2">
      <c r="I2794" s="1"/>
    </row>
    <row r="2795" spans="9:9" x14ac:dyDescent="0.2">
      <c r="I2795" s="1"/>
    </row>
    <row r="2796" spans="9:9" x14ac:dyDescent="0.2">
      <c r="I2796" s="1"/>
    </row>
    <row r="2797" spans="9:9" x14ac:dyDescent="0.2">
      <c r="I2797" s="1"/>
    </row>
    <row r="2798" spans="9:9" x14ac:dyDescent="0.2">
      <c r="I2798" s="1"/>
    </row>
    <row r="2799" spans="9:9" x14ac:dyDescent="0.2">
      <c r="I2799" s="1"/>
    </row>
    <row r="2800" spans="9:9" x14ac:dyDescent="0.2">
      <c r="I2800" s="1"/>
    </row>
    <row r="2801" spans="9:9" x14ac:dyDescent="0.2">
      <c r="I2801" s="1"/>
    </row>
    <row r="2802" spans="9:9" x14ac:dyDescent="0.2">
      <c r="I2802" s="1"/>
    </row>
    <row r="2803" spans="9:9" x14ac:dyDescent="0.2">
      <c r="I2803" s="1"/>
    </row>
    <row r="2804" spans="9:9" x14ac:dyDescent="0.2">
      <c r="I2804" s="1"/>
    </row>
    <row r="2805" spans="9:9" x14ac:dyDescent="0.2">
      <c r="I2805" s="1"/>
    </row>
    <row r="2806" spans="9:9" x14ac:dyDescent="0.2">
      <c r="I2806" s="1"/>
    </row>
    <row r="2807" spans="9:9" x14ac:dyDescent="0.2">
      <c r="I2807" s="1"/>
    </row>
    <row r="2808" spans="9:9" x14ac:dyDescent="0.2">
      <c r="I2808" s="1"/>
    </row>
    <row r="2809" spans="9:9" x14ac:dyDescent="0.2">
      <c r="I2809" s="1"/>
    </row>
    <row r="2810" spans="9:9" x14ac:dyDescent="0.2">
      <c r="I2810" s="1"/>
    </row>
    <row r="2811" spans="9:9" x14ac:dyDescent="0.2">
      <c r="I2811" s="1"/>
    </row>
    <row r="2812" spans="9:9" x14ac:dyDescent="0.2">
      <c r="I2812" s="1"/>
    </row>
    <row r="2813" spans="9:9" x14ac:dyDescent="0.2">
      <c r="I2813" s="1"/>
    </row>
    <row r="2814" spans="9:9" x14ac:dyDescent="0.2">
      <c r="I2814" s="1"/>
    </row>
    <row r="2815" spans="9:9" x14ac:dyDescent="0.2">
      <c r="I2815" s="1"/>
    </row>
    <row r="2816" spans="9:9" x14ac:dyDescent="0.2">
      <c r="I2816" s="1"/>
    </row>
    <row r="2817" spans="9:9" x14ac:dyDescent="0.2">
      <c r="I2817" s="1"/>
    </row>
    <row r="2818" spans="9:9" x14ac:dyDescent="0.2">
      <c r="I2818" s="1"/>
    </row>
    <row r="2819" spans="9:9" x14ac:dyDescent="0.2">
      <c r="I2819" s="1"/>
    </row>
    <row r="2820" spans="9:9" x14ac:dyDescent="0.2">
      <c r="I2820" s="1"/>
    </row>
    <row r="2821" spans="9:9" x14ac:dyDescent="0.2">
      <c r="I2821" s="1"/>
    </row>
    <row r="2822" spans="9:9" x14ac:dyDescent="0.2">
      <c r="I2822" s="1"/>
    </row>
    <row r="2823" spans="9:9" x14ac:dyDescent="0.2">
      <c r="I2823" s="1"/>
    </row>
    <row r="2824" spans="9:9" x14ac:dyDescent="0.2">
      <c r="I2824" s="1"/>
    </row>
    <row r="2825" spans="9:9" x14ac:dyDescent="0.2">
      <c r="I2825" s="1"/>
    </row>
    <row r="2826" spans="9:9" x14ac:dyDescent="0.2">
      <c r="I2826" s="1"/>
    </row>
    <row r="2827" spans="9:9" x14ac:dyDescent="0.2">
      <c r="I2827" s="1"/>
    </row>
    <row r="2828" spans="9:9" x14ac:dyDescent="0.2">
      <c r="I2828" s="1"/>
    </row>
    <row r="2829" spans="9:9" x14ac:dyDescent="0.2">
      <c r="I2829" s="1"/>
    </row>
    <row r="2830" spans="9:9" x14ac:dyDescent="0.2">
      <c r="I2830" s="1"/>
    </row>
    <row r="2831" spans="9:9" x14ac:dyDescent="0.2">
      <c r="I2831" s="1"/>
    </row>
    <row r="2832" spans="9:9" x14ac:dyDescent="0.2">
      <c r="I2832" s="1"/>
    </row>
    <row r="2833" spans="9:9" x14ac:dyDescent="0.2">
      <c r="I2833" s="1"/>
    </row>
    <row r="2834" spans="9:9" x14ac:dyDescent="0.2">
      <c r="I2834" s="1"/>
    </row>
    <row r="2835" spans="9:9" x14ac:dyDescent="0.2">
      <c r="I2835" s="1"/>
    </row>
    <row r="2836" spans="9:9" x14ac:dyDescent="0.2">
      <c r="I2836" s="1"/>
    </row>
    <row r="2837" spans="9:9" x14ac:dyDescent="0.2">
      <c r="I2837" s="1"/>
    </row>
    <row r="2838" spans="9:9" x14ac:dyDescent="0.2">
      <c r="I2838" s="1"/>
    </row>
    <row r="2839" spans="9:9" x14ac:dyDescent="0.2">
      <c r="I2839" s="1"/>
    </row>
    <row r="2840" spans="9:9" x14ac:dyDescent="0.2">
      <c r="I2840" s="1"/>
    </row>
    <row r="2841" spans="9:9" x14ac:dyDescent="0.2">
      <c r="I2841" s="1"/>
    </row>
    <row r="2842" spans="9:9" x14ac:dyDescent="0.2">
      <c r="I2842" s="1"/>
    </row>
  </sheetData>
  <sortState xmlns:xlrd2="http://schemas.microsoft.com/office/spreadsheetml/2017/richdata2" ref="A2:B133">
    <sortCondition ref="A2:A13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CE90-C575-438D-BB0A-4AB412346915}">
  <dimension ref="A1:P405"/>
  <sheetViews>
    <sheetView workbookViewId="0">
      <selection activeCell="B1" sqref="B1:D1"/>
    </sheetView>
  </sheetViews>
  <sheetFormatPr baseColWidth="10" defaultColWidth="8.83203125" defaultRowHeight="15" x14ac:dyDescent="0.2"/>
  <cols>
    <col min="1" max="1" width="10.6640625" bestFit="1" customWidth="1"/>
    <col min="5" max="5" width="11.33203125" customWidth="1"/>
    <col min="9" max="10" width="10.6640625" bestFit="1" customWidth="1"/>
    <col min="12" max="12" width="10.6640625" bestFit="1" customWidth="1"/>
    <col min="16" max="16" width="10.6640625" bestFit="1" customWidth="1"/>
  </cols>
  <sheetData>
    <row r="1" spans="1:10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10" x14ac:dyDescent="0.2">
      <c r="A2" s="1">
        <v>41670</v>
      </c>
      <c r="B2" s="3">
        <v>1377.31</v>
      </c>
      <c r="C2" s="3">
        <v>703.69</v>
      </c>
      <c r="D2">
        <v>1050</v>
      </c>
      <c r="E2" s="3">
        <f>AVERAGE(B2:D2)</f>
        <v>1043.6666666666667</v>
      </c>
      <c r="J2" s="1"/>
    </row>
    <row r="3" spans="1:10" x14ac:dyDescent="0.2">
      <c r="A3" s="1">
        <v>41698</v>
      </c>
      <c r="B3" s="3">
        <v>1446.25</v>
      </c>
      <c r="C3" s="3">
        <v>742.75</v>
      </c>
      <c r="D3">
        <v>1085</v>
      </c>
      <c r="E3" s="3">
        <f t="shared" ref="E3:E66" si="0">AVERAGE(B3:D3)</f>
        <v>1091.3333333333333</v>
      </c>
      <c r="J3" s="1"/>
    </row>
    <row r="4" spans="1:10" x14ac:dyDescent="0.2">
      <c r="A4" s="1">
        <v>41729</v>
      </c>
      <c r="B4" s="3">
        <v>1417.56</v>
      </c>
      <c r="C4" s="3">
        <v>776.71</v>
      </c>
      <c r="D4">
        <v>1130</v>
      </c>
      <c r="E4" s="3">
        <f t="shared" si="0"/>
        <v>1108.0899999999999</v>
      </c>
      <c r="J4" s="1"/>
    </row>
    <row r="5" spans="1:10" x14ac:dyDescent="0.2">
      <c r="A5" s="1">
        <v>41759</v>
      </c>
      <c r="B5" s="3">
        <v>1425.69</v>
      </c>
      <c r="C5" s="3">
        <v>810.33</v>
      </c>
      <c r="D5">
        <v>1080</v>
      </c>
      <c r="E5" s="3">
        <f t="shared" si="0"/>
        <v>1105.3399999999999</v>
      </c>
      <c r="J5" s="1"/>
    </row>
    <row r="6" spans="1:10" x14ac:dyDescent="0.2">
      <c r="A6" s="1">
        <v>41789</v>
      </c>
      <c r="B6" s="3">
        <v>1451.94</v>
      </c>
      <c r="C6" s="3">
        <v>836.79</v>
      </c>
      <c r="D6">
        <v>1140</v>
      </c>
      <c r="E6" s="3">
        <f t="shared" si="0"/>
        <v>1142.9100000000001</v>
      </c>
      <c r="J6" s="1"/>
    </row>
    <row r="7" spans="1:10" x14ac:dyDescent="0.2">
      <c r="A7" s="1">
        <v>41820</v>
      </c>
      <c r="B7" s="3">
        <v>1486</v>
      </c>
      <c r="C7" s="3">
        <v>843.75</v>
      </c>
      <c r="D7">
        <v>1115</v>
      </c>
      <c r="E7" s="3">
        <f t="shared" si="0"/>
        <v>1148.25</v>
      </c>
      <c r="J7" s="1"/>
    </row>
    <row r="8" spans="1:10" x14ac:dyDescent="0.2">
      <c r="A8" s="1">
        <v>41851</v>
      </c>
      <c r="B8" s="3">
        <v>1460.63</v>
      </c>
      <c r="C8" s="3">
        <v>872.88</v>
      </c>
      <c r="D8">
        <v>1285</v>
      </c>
      <c r="E8" s="3">
        <f t="shared" si="0"/>
        <v>1206.17</v>
      </c>
      <c r="J8" s="1"/>
    </row>
    <row r="9" spans="1:10" x14ac:dyDescent="0.2">
      <c r="A9" s="1">
        <v>41880</v>
      </c>
      <c r="B9" s="3">
        <v>1424.25</v>
      </c>
      <c r="C9" s="3">
        <v>905.13</v>
      </c>
      <c r="D9">
        <v>1325</v>
      </c>
      <c r="E9" s="3">
        <f t="shared" si="0"/>
        <v>1218.1266666666668</v>
      </c>
      <c r="J9" s="1"/>
    </row>
    <row r="10" spans="1:10" x14ac:dyDescent="0.2">
      <c r="A10" s="1">
        <v>41912</v>
      </c>
      <c r="B10" s="3">
        <v>1301</v>
      </c>
      <c r="C10" s="3">
        <v>773.3</v>
      </c>
      <c r="D10">
        <v>1290</v>
      </c>
      <c r="E10" s="3">
        <f t="shared" si="0"/>
        <v>1121.4333333333334</v>
      </c>
      <c r="J10" s="1"/>
    </row>
    <row r="11" spans="1:10" x14ac:dyDescent="0.2">
      <c r="A11" s="1">
        <v>41943</v>
      </c>
      <c r="B11" s="3">
        <v>1236.5</v>
      </c>
      <c r="C11" s="3">
        <v>792.47</v>
      </c>
      <c r="D11">
        <v>1240</v>
      </c>
      <c r="E11" s="3">
        <f t="shared" si="0"/>
        <v>1089.6566666666668</v>
      </c>
      <c r="J11" s="1"/>
    </row>
    <row r="12" spans="1:10" x14ac:dyDescent="0.2">
      <c r="A12" s="1">
        <v>41971</v>
      </c>
      <c r="B12" s="3">
        <v>1200.8800000000001</v>
      </c>
      <c r="C12" s="3">
        <v>809.45</v>
      </c>
      <c r="D12">
        <v>1210</v>
      </c>
      <c r="E12" s="3">
        <f t="shared" si="0"/>
        <v>1073.4433333333334</v>
      </c>
      <c r="J12" s="1"/>
    </row>
    <row r="13" spans="1:10" x14ac:dyDescent="0.2">
      <c r="A13" s="1">
        <v>42004</v>
      </c>
      <c r="B13" s="3">
        <v>1208</v>
      </c>
      <c r="C13" s="3">
        <v>797.6</v>
      </c>
      <c r="D13">
        <v>1245</v>
      </c>
      <c r="E13" s="3">
        <f t="shared" si="0"/>
        <v>1083.5333333333333</v>
      </c>
      <c r="J13" s="1"/>
    </row>
    <row r="14" spans="1:10" x14ac:dyDescent="0.2">
      <c r="A14" s="1">
        <v>42034</v>
      </c>
      <c r="B14" s="3">
        <v>1241.56</v>
      </c>
      <c r="C14" s="3">
        <v>772.35</v>
      </c>
      <c r="D14">
        <v>1180</v>
      </c>
      <c r="E14" s="3">
        <f t="shared" si="0"/>
        <v>1064.6366666666665</v>
      </c>
      <c r="J14" s="1"/>
    </row>
    <row r="15" spans="1:10" x14ac:dyDescent="0.2">
      <c r="A15" s="1">
        <v>42062</v>
      </c>
      <c r="B15" s="3">
        <v>1188.75</v>
      </c>
      <c r="C15" s="3">
        <v>817.65</v>
      </c>
      <c r="D15">
        <v>1180</v>
      </c>
      <c r="E15" s="3">
        <f t="shared" si="0"/>
        <v>1062.1333333333334</v>
      </c>
      <c r="J15" s="1"/>
    </row>
    <row r="16" spans="1:10" x14ac:dyDescent="0.2">
      <c r="A16" s="1">
        <v>42094</v>
      </c>
      <c r="B16" s="3">
        <v>1141.94</v>
      </c>
      <c r="C16" s="3">
        <v>736.15</v>
      </c>
      <c r="D16">
        <v>1165</v>
      </c>
      <c r="E16" s="3">
        <f t="shared" si="0"/>
        <v>1014.3633333333333</v>
      </c>
      <c r="J16" s="1"/>
    </row>
    <row r="17" spans="1:10" x14ac:dyDescent="0.2">
      <c r="A17" s="1">
        <v>42124</v>
      </c>
      <c r="B17" s="3">
        <v>1145.6300000000001</v>
      </c>
      <c r="C17" s="3">
        <v>777.97</v>
      </c>
      <c r="D17">
        <v>1145</v>
      </c>
      <c r="E17" s="3">
        <f t="shared" si="0"/>
        <v>1022.8666666666668</v>
      </c>
      <c r="J17" s="1"/>
    </row>
    <row r="18" spans="1:10" x14ac:dyDescent="0.2">
      <c r="A18" s="1">
        <v>42153</v>
      </c>
      <c r="B18" s="3">
        <v>1112.3699999999999</v>
      </c>
      <c r="C18" s="3">
        <v>777.35</v>
      </c>
      <c r="D18">
        <v>1070</v>
      </c>
      <c r="E18" s="3">
        <f t="shared" si="0"/>
        <v>986.57333333333327</v>
      </c>
      <c r="J18" s="1"/>
    </row>
    <row r="19" spans="1:10" x14ac:dyDescent="0.2">
      <c r="A19" s="1">
        <v>42185</v>
      </c>
      <c r="B19" s="3">
        <v>1078.93</v>
      </c>
      <c r="C19" s="3">
        <v>675.5</v>
      </c>
      <c r="D19">
        <v>850</v>
      </c>
      <c r="E19" s="3">
        <f t="shared" si="0"/>
        <v>868.14333333333343</v>
      </c>
      <c r="J19" s="1"/>
    </row>
    <row r="20" spans="1:10" x14ac:dyDescent="0.2">
      <c r="A20" s="1">
        <v>42216</v>
      </c>
      <c r="B20" s="3">
        <v>983.38</v>
      </c>
      <c r="C20" s="3">
        <v>612</v>
      </c>
      <c r="D20">
        <v>775</v>
      </c>
      <c r="E20" s="3">
        <f t="shared" si="0"/>
        <v>790.12666666666667</v>
      </c>
      <c r="J20" s="1"/>
    </row>
    <row r="21" spans="1:10" x14ac:dyDescent="0.2">
      <c r="A21" s="1">
        <v>42247</v>
      </c>
      <c r="B21" s="3">
        <v>1009.5</v>
      </c>
      <c r="C21" s="3">
        <v>600.66999999999996</v>
      </c>
      <c r="D21">
        <v>815</v>
      </c>
      <c r="E21" s="3">
        <f t="shared" si="0"/>
        <v>808.39</v>
      </c>
      <c r="J21" s="1"/>
    </row>
    <row r="22" spans="1:10" x14ac:dyDescent="0.2">
      <c r="A22" s="1">
        <v>42277</v>
      </c>
      <c r="B22" s="3">
        <v>907.25</v>
      </c>
      <c r="C22" s="3">
        <v>652.70000000000005</v>
      </c>
      <c r="D22">
        <v>760</v>
      </c>
      <c r="E22" s="3">
        <f t="shared" si="0"/>
        <v>773.31666666666661</v>
      </c>
      <c r="J22" s="1"/>
    </row>
    <row r="23" spans="1:10" x14ac:dyDescent="0.2">
      <c r="A23" s="1">
        <v>42307</v>
      </c>
      <c r="B23" s="3">
        <v>985.13</v>
      </c>
      <c r="C23" s="3">
        <v>676.75</v>
      </c>
      <c r="D23">
        <v>750</v>
      </c>
      <c r="E23" s="3">
        <f t="shared" si="0"/>
        <v>803.96</v>
      </c>
      <c r="J23" s="1"/>
    </row>
    <row r="24" spans="1:10" x14ac:dyDescent="0.2">
      <c r="A24" s="1">
        <v>42338</v>
      </c>
      <c r="B24" s="3">
        <v>831.3</v>
      </c>
      <c r="C24" s="3">
        <v>544.42999999999995</v>
      </c>
      <c r="D24">
        <v>730</v>
      </c>
      <c r="E24" s="3">
        <f t="shared" si="0"/>
        <v>701.91</v>
      </c>
      <c r="J24" s="1"/>
    </row>
    <row r="25" spans="1:10" x14ac:dyDescent="0.2">
      <c r="A25" s="1">
        <v>42369</v>
      </c>
      <c r="B25" s="3">
        <v>891.55</v>
      </c>
      <c r="C25" s="3">
        <v>562.98</v>
      </c>
      <c r="D25">
        <v>660</v>
      </c>
      <c r="E25" s="3">
        <f t="shared" si="0"/>
        <v>704.84333333333325</v>
      </c>
      <c r="J25" s="1"/>
    </row>
    <row r="26" spans="1:10" x14ac:dyDescent="0.2">
      <c r="A26" s="1">
        <v>42398</v>
      </c>
      <c r="B26" s="3">
        <v>871.45</v>
      </c>
      <c r="C26" s="3">
        <v>499.45</v>
      </c>
      <c r="D26">
        <v>650</v>
      </c>
      <c r="E26" s="3">
        <f t="shared" si="0"/>
        <v>673.63333333333333</v>
      </c>
      <c r="J26" s="1"/>
    </row>
    <row r="27" spans="1:10" x14ac:dyDescent="0.2">
      <c r="A27" s="1">
        <v>42429</v>
      </c>
      <c r="B27" s="3">
        <v>933.85</v>
      </c>
      <c r="C27" s="3">
        <v>494.53</v>
      </c>
      <c r="D27">
        <v>680</v>
      </c>
      <c r="E27" s="3">
        <f t="shared" si="0"/>
        <v>702.79333333333341</v>
      </c>
      <c r="J27" s="1"/>
    </row>
    <row r="28" spans="1:10" x14ac:dyDescent="0.2">
      <c r="A28" s="1">
        <v>42460</v>
      </c>
      <c r="B28" s="3">
        <v>975.7</v>
      </c>
      <c r="C28" s="3">
        <v>564.08000000000004</v>
      </c>
      <c r="D28">
        <v>740</v>
      </c>
      <c r="E28" s="3">
        <f t="shared" si="0"/>
        <v>759.92666666666673</v>
      </c>
      <c r="J28" s="1"/>
    </row>
    <row r="29" spans="1:10" x14ac:dyDescent="0.2">
      <c r="A29" s="1">
        <v>42489</v>
      </c>
      <c r="B29" s="3">
        <v>1076.4000000000001</v>
      </c>
      <c r="C29" s="3">
        <v>622.79</v>
      </c>
      <c r="D29">
        <v>740</v>
      </c>
      <c r="E29" s="3">
        <f t="shared" si="0"/>
        <v>813.06333333333339</v>
      </c>
      <c r="J29" s="1"/>
    </row>
    <row r="30" spans="1:10" x14ac:dyDescent="0.2">
      <c r="A30" s="1">
        <v>42521</v>
      </c>
      <c r="B30" s="3">
        <v>979.4</v>
      </c>
      <c r="C30" s="3">
        <v>547.07000000000005</v>
      </c>
      <c r="D30">
        <v>665</v>
      </c>
      <c r="E30" s="3">
        <f t="shared" si="0"/>
        <v>730.49000000000012</v>
      </c>
      <c r="J30" s="1"/>
    </row>
    <row r="31" spans="1:10" x14ac:dyDescent="0.2">
      <c r="A31" s="1">
        <v>42551</v>
      </c>
      <c r="B31" s="3">
        <v>1024.4000000000001</v>
      </c>
      <c r="C31" s="3">
        <v>599.72</v>
      </c>
      <c r="D31">
        <v>650</v>
      </c>
      <c r="E31" s="3">
        <f t="shared" si="0"/>
        <v>758.04</v>
      </c>
      <c r="J31" s="1"/>
    </row>
    <row r="32" spans="1:10" x14ac:dyDescent="0.2">
      <c r="A32" s="1">
        <v>42580</v>
      </c>
      <c r="B32" s="3">
        <v>1148.58</v>
      </c>
      <c r="C32" s="3">
        <v>710.18</v>
      </c>
      <c r="D32">
        <v>625</v>
      </c>
      <c r="E32" s="3">
        <f t="shared" si="0"/>
        <v>827.92</v>
      </c>
      <c r="J32" s="1"/>
    </row>
    <row r="33" spans="1:10" x14ac:dyDescent="0.2">
      <c r="A33" s="1">
        <v>42613</v>
      </c>
      <c r="B33" s="3">
        <v>1052.1099999999999</v>
      </c>
      <c r="C33" s="3">
        <v>672.82</v>
      </c>
      <c r="D33">
        <v>665</v>
      </c>
      <c r="E33" s="3">
        <f t="shared" si="0"/>
        <v>796.64333333333332</v>
      </c>
      <c r="J33" s="1"/>
    </row>
    <row r="34" spans="1:10" x14ac:dyDescent="0.2">
      <c r="A34" s="1">
        <v>42643</v>
      </c>
      <c r="B34" s="3">
        <v>1027.3499999999999</v>
      </c>
      <c r="C34" s="3">
        <v>720.65</v>
      </c>
      <c r="D34">
        <v>685</v>
      </c>
      <c r="E34" s="3">
        <f t="shared" si="0"/>
        <v>811</v>
      </c>
      <c r="J34" s="1"/>
    </row>
    <row r="35" spans="1:10" x14ac:dyDescent="0.2">
      <c r="A35" s="1">
        <v>42674</v>
      </c>
      <c r="B35" s="3">
        <v>981.89</v>
      </c>
      <c r="C35" s="3">
        <v>621.46</v>
      </c>
      <c r="D35">
        <v>715</v>
      </c>
      <c r="E35" s="3">
        <f t="shared" si="0"/>
        <v>772.7833333333333</v>
      </c>
      <c r="J35" s="1"/>
    </row>
    <row r="36" spans="1:10" x14ac:dyDescent="0.2">
      <c r="A36" s="1">
        <v>42704</v>
      </c>
      <c r="B36" s="3">
        <v>912.5</v>
      </c>
      <c r="C36" s="3">
        <v>770.43</v>
      </c>
      <c r="D36">
        <v>765</v>
      </c>
      <c r="E36" s="3">
        <f t="shared" si="0"/>
        <v>815.97666666666657</v>
      </c>
      <c r="J36" s="1"/>
    </row>
    <row r="37" spans="1:10" x14ac:dyDescent="0.2">
      <c r="A37" s="1">
        <v>42734</v>
      </c>
      <c r="B37" s="3">
        <v>903.1</v>
      </c>
      <c r="C37" s="3">
        <v>680.96</v>
      </c>
      <c r="D37">
        <v>770</v>
      </c>
      <c r="E37" s="3">
        <f t="shared" si="0"/>
        <v>784.68666666666661</v>
      </c>
      <c r="J37" s="1"/>
    </row>
    <row r="38" spans="1:10" x14ac:dyDescent="0.2">
      <c r="A38" s="1">
        <v>42766</v>
      </c>
      <c r="B38" s="3">
        <v>995</v>
      </c>
      <c r="C38" s="3">
        <v>754.37</v>
      </c>
      <c r="D38">
        <v>845</v>
      </c>
      <c r="E38" s="3">
        <f t="shared" si="0"/>
        <v>864.79</v>
      </c>
      <c r="J38" s="1"/>
    </row>
    <row r="39" spans="1:10" x14ac:dyDescent="0.2">
      <c r="A39" s="1">
        <v>42794</v>
      </c>
      <c r="B39" s="3">
        <v>1024.27</v>
      </c>
      <c r="C39" s="3">
        <v>770.95</v>
      </c>
      <c r="D39">
        <v>920</v>
      </c>
      <c r="E39" s="3">
        <f t="shared" si="0"/>
        <v>905.07333333333338</v>
      </c>
      <c r="J39" s="1"/>
    </row>
    <row r="40" spans="1:10" x14ac:dyDescent="0.2">
      <c r="A40" s="1">
        <v>42825</v>
      </c>
      <c r="B40" s="3">
        <v>950.35</v>
      </c>
      <c r="C40" s="3">
        <v>798.77</v>
      </c>
      <c r="D40">
        <v>1025</v>
      </c>
      <c r="E40" s="3">
        <f t="shared" si="0"/>
        <v>924.70666666666659</v>
      </c>
      <c r="J40" s="1"/>
    </row>
    <row r="41" spans="1:10" x14ac:dyDescent="0.2">
      <c r="A41" s="1">
        <v>42853</v>
      </c>
      <c r="B41" s="3">
        <v>946.19</v>
      </c>
      <c r="C41" s="3">
        <v>826.34</v>
      </c>
      <c r="D41">
        <v>1015</v>
      </c>
      <c r="E41" s="3">
        <f t="shared" si="0"/>
        <v>929.17666666666673</v>
      </c>
      <c r="J41" s="1"/>
    </row>
    <row r="42" spans="1:10" x14ac:dyDescent="0.2">
      <c r="A42" s="1">
        <v>42886</v>
      </c>
      <c r="B42" s="3">
        <v>950.01</v>
      </c>
      <c r="C42" s="3">
        <v>819.17</v>
      </c>
      <c r="D42">
        <v>930</v>
      </c>
      <c r="E42" s="3">
        <f t="shared" si="0"/>
        <v>899.72666666666657</v>
      </c>
      <c r="J42" s="1"/>
    </row>
    <row r="43" spans="1:10" x14ac:dyDescent="0.2">
      <c r="A43" s="1">
        <v>42916</v>
      </c>
      <c r="B43" s="3">
        <v>925.87</v>
      </c>
      <c r="C43" s="3">
        <v>844.18</v>
      </c>
      <c r="D43">
        <v>1040</v>
      </c>
      <c r="E43" s="3">
        <f t="shared" si="0"/>
        <v>936.68333333333339</v>
      </c>
      <c r="J43" s="1"/>
    </row>
    <row r="44" spans="1:10" x14ac:dyDescent="0.2">
      <c r="A44" s="1">
        <v>42947</v>
      </c>
      <c r="B44" s="3">
        <v>940.6</v>
      </c>
      <c r="C44" s="3">
        <v>887.4</v>
      </c>
      <c r="D44">
        <v>990</v>
      </c>
      <c r="E44" s="3">
        <f t="shared" si="0"/>
        <v>939.33333333333337</v>
      </c>
      <c r="J44" s="1"/>
    </row>
    <row r="45" spans="1:10" x14ac:dyDescent="0.2">
      <c r="A45" s="1">
        <v>42978</v>
      </c>
      <c r="B45" s="3">
        <v>999.15</v>
      </c>
      <c r="C45" s="3">
        <v>938.38</v>
      </c>
      <c r="D45">
        <v>1155</v>
      </c>
      <c r="E45" s="3">
        <f t="shared" si="0"/>
        <v>1030.8433333333332</v>
      </c>
      <c r="J45" s="1"/>
    </row>
    <row r="46" spans="1:10" x14ac:dyDescent="0.2">
      <c r="A46" s="1">
        <v>43007</v>
      </c>
      <c r="B46" s="3">
        <v>912.05</v>
      </c>
      <c r="C46" s="3">
        <v>937</v>
      </c>
      <c r="D46">
        <v>1185</v>
      </c>
      <c r="E46" s="3">
        <f t="shared" si="0"/>
        <v>1011.35</v>
      </c>
      <c r="J46" s="1"/>
    </row>
    <row r="47" spans="1:10" x14ac:dyDescent="0.2">
      <c r="A47" s="1">
        <v>43039</v>
      </c>
      <c r="B47" s="3">
        <v>919.38</v>
      </c>
      <c r="C47" s="3">
        <v>983.52</v>
      </c>
      <c r="D47">
        <v>1510</v>
      </c>
      <c r="E47" s="3">
        <f t="shared" si="0"/>
        <v>1137.6333333333334</v>
      </c>
      <c r="J47" s="1"/>
    </row>
    <row r="48" spans="1:10" x14ac:dyDescent="0.2">
      <c r="A48" s="1">
        <v>43069</v>
      </c>
      <c r="B48" s="3">
        <v>942.95</v>
      </c>
      <c r="C48" s="3">
        <v>1010.48</v>
      </c>
      <c r="D48">
        <v>1530</v>
      </c>
      <c r="E48" s="3">
        <f t="shared" si="0"/>
        <v>1161.1433333333334</v>
      </c>
      <c r="J48" s="1"/>
    </row>
    <row r="49" spans="1:10" x14ac:dyDescent="0.2">
      <c r="A49" s="1">
        <v>43098</v>
      </c>
      <c r="B49" s="3">
        <v>928.25</v>
      </c>
      <c r="C49" s="3">
        <v>1063.52</v>
      </c>
      <c r="D49">
        <v>1715</v>
      </c>
      <c r="E49" s="3">
        <f t="shared" si="0"/>
        <v>1235.5899999999999</v>
      </c>
      <c r="J49" s="1"/>
    </row>
    <row r="50" spans="1:10" x14ac:dyDescent="0.2">
      <c r="A50" s="1">
        <v>43131</v>
      </c>
      <c r="B50" s="3">
        <v>1002</v>
      </c>
      <c r="C50" s="3">
        <v>1030.96</v>
      </c>
      <c r="D50">
        <v>1815</v>
      </c>
      <c r="E50" s="3">
        <f t="shared" si="0"/>
        <v>1282.6533333333334</v>
      </c>
      <c r="J50" s="1"/>
    </row>
    <row r="51" spans="1:10" x14ac:dyDescent="0.2">
      <c r="A51" s="1">
        <v>43159</v>
      </c>
      <c r="B51" s="3">
        <v>983.58</v>
      </c>
      <c r="C51" s="3">
        <v>1043.1300000000001</v>
      </c>
      <c r="D51">
        <v>1870</v>
      </c>
      <c r="E51" s="3">
        <f t="shared" si="0"/>
        <v>1298.9033333333334</v>
      </c>
      <c r="J51" s="1"/>
    </row>
    <row r="52" spans="1:10" x14ac:dyDescent="0.2">
      <c r="A52" s="1">
        <v>43189</v>
      </c>
      <c r="B52" s="3">
        <v>932.06</v>
      </c>
      <c r="C52" s="3">
        <v>953.44</v>
      </c>
      <c r="D52">
        <v>2040</v>
      </c>
      <c r="E52" s="3">
        <f t="shared" si="0"/>
        <v>1308.5</v>
      </c>
      <c r="J52" s="1"/>
    </row>
    <row r="53" spans="1:10" x14ac:dyDescent="0.2">
      <c r="A53" s="1">
        <v>43220</v>
      </c>
      <c r="B53" s="3">
        <v>904.57</v>
      </c>
      <c r="C53" s="3">
        <v>967.05</v>
      </c>
      <c r="D53">
        <v>2045</v>
      </c>
      <c r="E53" s="3">
        <f t="shared" si="0"/>
        <v>1305.54</v>
      </c>
      <c r="J53" s="1"/>
    </row>
    <row r="54" spans="1:10" x14ac:dyDescent="0.2">
      <c r="A54" s="1">
        <v>43251</v>
      </c>
      <c r="B54" s="3">
        <v>906.97</v>
      </c>
      <c r="C54" s="3">
        <v>988.75</v>
      </c>
      <c r="D54">
        <v>2240</v>
      </c>
      <c r="E54" s="3">
        <f t="shared" si="0"/>
        <v>1378.5733333333335</v>
      </c>
      <c r="J54" s="1"/>
    </row>
    <row r="55" spans="1:10" x14ac:dyDescent="0.2">
      <c r="A55" s="1">
        <v>43280</v>
      </c>
      <c r="B55" s="3">
        <v>853.33</v>
      </c>
      <c r="C55" s="3">
        <v>955.48</v>
      </c>
      <c r="D55">
        <v>2260</v>
      </c>
      <c r="E55" s="3">
        <f t="shared" si="0"/>
        <v>1356.27</v>
      </c>
      <c r="J55" s="1"/>
    </row>
    <row r="56" spans="1:10" x14ac:dyDescent="0.2">
      <c r="A56" s="1">
        <v>43312</v>
      </c>
      <c r="B56" s="3">
        <v>838.62</v>
      </c>
      <c r="C56" s="3">
        <v>934.58</v>
      </c>
      <c r="D56">
        <v>2325</v>
      </c>
      <c r="E56" s="3">
        <f t="shared" si="0"/>
        <v>1366.0666666666666</v>
      </c>
      <c r="J56" s="1"/>
    </row>
    <row r="57" spans="1:10" x14ac:dyDescent="0.2">
      <c r="A57" s="1">
        <v>43343</v>
      </c>
      <c r="B57" s="3">
        <v>787.81</v>
      </c>
      <c r="C57" s="3">
        <v>982.89</v>
      </c>
      <c r="D57">
        <v>2390</v>
      </c>
      <c r="E57" s="3">
        <f t="shared" si="0"/>
        <v>1386.8999999999999</v>
      </c>
      <c r="J57" s="1"/>
    </row>
    <row r="58" spans="1:10" x14ac:dyDescent="0.2">
      <c r="A58" s="1">
        <v>43371</v>
      </c>
      <c r="B58" s="3">
        <v>815.95</v>
      </c>
      <c r="C58" s="3">
        <v>1075</v>
      </c>
      <c r="D58">
        <v>2580</v>
      </c>
      <c r="E58" s="3">
        <f t="shared" si="0"/>
        <v>1490.3166666666666</v>
      </c>
      <c r="J58" s="1"/>
    </row>
    <row r="59" spans="1:10" x14ac:dyDescent="0.2">
      <c r="A59" s="1">
        <v>43404</v>
      </c>
      <c r="B59" s="3">
        <v>836.97</v>
      </c>
      <c r="C59" s="3">
        <v>1080.32</v>
      </c>
      <c r="D59">
        <v>2425</v>
      </c>
      <c r="E59" s="3">
        <f t="shared" si="0"/>
        <v>1447.43</v>
      </c>
      <c r="J59" s="1"/>
    </row>
    <row r="60" spans="1:10" x14ac:dyDescent="0.2">
      <c r="A60" s="1">
        <v>43434</v>
      </c>
      <c r="B60" s="3">
        <v>798.1</v>
      </c>
      <c r="C60" s="3">
        <v>1181.0899999999999</v>
      </c>
      <c r="D60">
        <v>2600</v>
      </c>
      <c r="E60" s="3">
        <f t="shared" si="0"/>
        <v>1526.3966666666668</v>
      </c>
      <c r="J60" s="1"/>
    </row>
    <row r="61" spans="1:10" x14ac:dyDescent="0.2">
      <c r="A61" s="1">
        <v>43465</v>
      </c>
      <c r="B61" s="3">
        <v>795.65</v>
      </c>
      <c r="C61" s="3">
        <v>1261.78</v>
      </c>
      <c r="D61">
        <v>2460</v>
      </c>
      <c r="E61" s="3">
        <f t="shared" si="0"/>
        <v>1505.8100000000002</v>
      </c>
      <c r="J61" s="1"/>
    </row>
    <row r="62" spans="1:10" x14ac:dyDescent="0.2">
      <c r="A62" s="1">
        <v>43496</v>
      </c>
      <c r="B62" s="3">
        <v>822</v>
      </c>
      <c r="C62" s="3">
        <v>1343.14</v>
      </c>
      <c r="D62">
        <v>2500</v>
      </c>
      <c r="E62" s="3">
        <f t="shared" si="0"/>
        <v>1555.0466666666669</v>
      </c>
      <c r="J62" s="1"/>
    </row>
    <row r="63" spans="1:10" x14ac:dyDescent="0.2">
      <c r="A63" s="1">
        <v>43524</v>
      </c>
      <c r="B63" s="3">
        <v>870.85</v>
      </c>
      <c r="C63" s="3">
        <v>1546.38</v>
      </c>
      <c r="D63">
        <v>2770</v>
      </c>
      <c r="E63" s="3">
        <f t="shared" si="0"/>
        <v>1729.0766666666666</v>
      </c>
      <c r="J63" s="1"/>
    </row>
    <row r="64" spans="1:10" x14ac:dyDescent="0.2">
      <c r="A64" s="1">
        <v>43553</v>
      </c>
      <c r="B64" s="3">
        <v>849.46</v>
      </c>
      <c r="C64" s="3">
        <v>1385.2</v>
      </c>
      <c r="D64">
        <v>3210</v>
      </c>
      <c r="E64" s="3">
        <f t="shared" si="0"/>
        <v>1814.8866666666665</v>
      </c>
      <c r="J64" s="1"/>
    </row>
    <row r="65" spans="1:10" x14ac:dyDescent="0.2">
      <c r="A65" s="1">
        <v>43585</v>
      </c>
      <c r="B65" s="3">
        <v>888.22</v>
      </c>
      <c r="C65" s="3">
        <v>1389.2</v>
      </c>
      <c r="D65">
        <v>2950</v>
      </c>
      <c r="E65" s="3">
        <f t="shared" si="0"/>
        <v>1742.4733333333334</v>
      </c>
      <c r="J65" s="1"/>
    </row>
    <row r="66" spans="1:10" x14ac:dyDescent="0.2">
      <c r="A66" s="1">
        <v>43616</v>
      </c>
      <c r="B66" s="3">
        <v>793.72</v>
      </c>
      <c r="C66" s="3">
        <v>1328.3</v>
      </c>
      <c r="D66">
        <v>2840</v>
      </c>
      <c r="E66" s="3">
        <f t="shared" si="0"/>
        <v>1654.0066666666669</v>
      </c>
      <c r="J66" s="1"/>
    </row>
    <row r="67" spans="1:10" x14ac:dyDescent="0.2">
      <c r="A67" s="1">
        <v>43644</v>
      </c>
      <c r="B67" s="3">
        <v>834.75</v>
      </c>
      <c r="C67" s="3">
        <v>1537.66</v>
      </c>
      <c r="D67">
        <v>3350</v>
      </c>
      <c r="E67" s="3">
        <f t="shared" ref="E67:E130" si="1">AVERAGE(B67:D67)</f>
        <v>1907.47</v>
      </c>
      <c r="J67" s="1"/>
    </row>
    <row r="68" spans="1:10" x14ac:dyDescent="0.2">
      <c r="A68" s="1">
        <v>43677</v>
      </c>
      <c r="B68" s="3">
        <v>864.75</v>
      </c>
      <c r="C68" s="3">
        <v>1519.91</v>
      </c>
      <c r="D68">
        <v>3625</v>
      </c>
      <c r="E68" s="3">
        <f t="shared" si="1"/>
        <v>2003.22</v>
      </c>
      <c r="J68" s="1"/>
    </row>
    <row r="69" spans="1:10" x14ac:dyDescent="0.2">
      <c r="A69" s="1">
        <v>43707</v>
      </c>
      <c r="B69" s="3">
        <v>933.76</v>
      </c>
      <c r="C69" s="3">
        <v>1533.56</v>
      </c>
      <c r="D69">
        <v>5000</v>
      </c>
      <c r="E69" s="3">
        <f t="shared" si="1"/>
        <v>2489.1066666666666</v>
      </c>
      <c r="J69" s="1"/>
    </row>
    <row r="70" spans="1:10" x14ac:dyDescent="0.2">
      <c r="A70" s="1">
        <v>43738</v>
      </c>
      <c r="B70" s="3">
        <v>883.07</v>
      </c>
      <c r="C70" s="3">
        <v>1675.81</v>
      </c>
      <c r="D70">
        <v>5300</v>
      </c>
      <c r="E70" s="3">
        <f t="shared" si="1"/>
        <v>2619.6266666666666</v>
      </c>
      <c r="J70" s="1"/>
    </row>
    <row r="71" spans="1:10" x14ac:dyDescent="0.2">
      <c r="A71" s="1">
        <v>43769</v>
      </c>
      <c r="B71" s="3">
        <v>932.76</v>
      </c>
      <c r="C71" s="3">
        <v>1797.55</v>
      </c>
      <c r="D71">
        <v>5375</v>
      </c>
      <c r="E71" s="3">
        <f t="shared" si="1"/>
        <v>2701.77</v>
      </c>
      <c r="J71" s="1"/>
    </row>
    <row r="72" spans="1:10" x14ac:dyDescent="0.2">
      <c r="A72" s="1">
        <v>43798</v>
      </c>
      <c r="B72" s="3">
        <v>896.09</v>
      </c>
      <c r="C72" s="3">
        <v>1841.67</v>
      </c>
      <c r="D72">
        <v>5900</v>
      </c>
      <c r="E72" s="3">
        <f t="shared" si="1"/>
        <v>2879.2533333333336</v>
      </c>
      <c r="J72" s="1"/>
    </row>
    <row r="73" spans="1:10" x14ac:dyDescent="0.2">
      <c r="A73" s="1">
        <v>43830</v>
      </c>
      <c r="B73" s="3">
        <v>966.58</v>
      </c>
      <c r="C73" s="3">
        <v>1945.62</v>
      </c>
      <c r="D73">
        <v>6050</v>
      </c>
      <c r="E73" s="3">
        <f t="shared" si="1"/>
        <v>2987.4</v>
      </c>
      <c r="J73" s="1"/>
    </row>
    <row r="74" spans="1:10" x14ac:dyDescent="0.2">
      <c r="A74" s="1">
        <v>43861</v>
      </c>
      <c r="B74" s="3">
        <v>961.04</v>
      </c>
      <c r="C74" s="3">
        <v>2287.77</v>
      </c>
      <c r="D74">
        <v>10175</v>
      </c>
      <c r="E74" s="3">
        <f t="shared" si="1"/>
        <v>4474.6033333333335</v>
      </c>
      <c r="J74" s="1"/>
    </row>
    <row r="75" spans="1:10" x14ac:dyDescent="0.2">
      <c r="A75" s="1">
        <v>43889</v>
      </c>
      <c r="B75" s="3">
        <v>866.3</v>
      </c>
      <c r="C75" s="3">
        <v>2616.5500000000002</v>
      </c>
      <c r="D75">
        <v>12850</v>
      </c>
      <c r="E75" s="3">
        <f t="shared" si="1"/>
        <v>5444.2833333333338</v>
      </c>
      <c r="J75" s="1"/>
    </row>
    <row r="76" spans="1:10" x14ac:dyDescent="0.2">
      <c r="A76" s="1">
        <v>43921</v>
      </c>
      <c r="B76" s="3">
        <v>723.09</v>
      </c>
      <c r="C76" s="3">
        <v>2363.11</v>
      </c>
      <c r="D76">
        <v>10700</v>
      </c>
      <c r="E76" s="3">
        <f t="shared" si="1"/>
        <v>4595.4000000000005</v>
      </c>
      <c r="J76" s="1"/>
    </row>
    <row r="77" spans="1:10" x14ac:dyDescent="0.2">
      <c r="A77" s="1">
        <v>43951</v>
      </c>
      <c r="B77" s="3">
        <v>777.11</v>
      </c>
      <c r="C77" s="3">
        <v>1970.79</v>
      </c>
      <c r="D77">
        <v>7600</v>
      </c>
      <c r="E77" s="3">
        <f t="shared" si="1"/>
        <v>3449.2999999999997</v>
      </c>
      <c r="J77" s="1"/>
    </row>
    <row r="78" spans="1:10" x14ac:dyDescent="0.2">
      <c r="A78" s="1">
        <v>43980</v>
      </c>
      <c r="B78" s="3">
        <v>837.97</v>
      </c>
      <c r="C78" s="3">
        <v>1939.39</v>
      </c>
      <c r="D78">
        <v>9000</v>
      </c>
      <c r="E78" s="3">
        <f t="shared" si="1"/>
        <v>3925.7866666666669</v>
      </c>
      <c r="J78" s="1"/>
    </row>
    <row r="79" spans="1:10" x14ac:dyDescent="0.2">
      <c r="A79" s="1">
        <v>44012</v>
      </c>
      <c r="B79" s="3">
        <v>829.39</v>
      </c>
      <c r="C79" s="3">
        <v>1943.7</v>
      </c>
      <c r="D79">
        <v>8000</v>
      </c>
      <c r="E79" s="3">
        <f t="shared" si="1"/>
        <v>3591.03</v>
      </c>
      <c r="J79" s="1"/>
    </row>
    <row r="80" spans="1:10" x14ac:dyDescent="0.2">
      <c r="A80" s="1">
        <v>44043</v>
      </c>
      <c r="B80" s="3">
        <v>905.13</v>
      </c>
      <c r="C80" s="3">
        <v>2090.77</v>
      </c>
      <c r="D80">
        <v>8900</v>
      </c>
      <c r="E80" s="3">
        <f t="shared" si="1"/>
        <v>3965.2999999999997</v>
      </c>
      <c r="J80" s="1"/>
    </row>
    <row r="81" spans="1:10" x14ac:dyDescent="0.2">
      <c r="A81" s="1">
        <v>44074</v>
      </c>
      <c r="B81" s="3">
        <v>931.73</v>
      </c>
      <c r="C81" s="3">
        <v>2246.38</v>
      </c>
      <c r="D81">
        <v>12200</v>
      </c>
      <c r="E81" s="3">
        <f t="shared" si="1"/>
        <v>5126.0366666666669</v>
      </c>
      <c r="J81" s="1"/>
    </row>
    <row r="82" spans="1:10" x14ac:dyDescent="0.2">
      <c r="A82" s="1">
        <v>44104</v>
      </c>
      <c r="B82" s="3">
        <v>893.2</v>
      </c>
      <c r="C82" s="3">
        <v>2310.77</v>
      </c>
      <c r="D82">
        <v>14000</v>
      </c>
      <c r="E82" s="3">
        <f t="shared" si="1"/>
        <v>5734.6566666666668</v>
      </c>
      <c r="J82" s="1"/>
    </row>
    <row r="83" spans="1:10" x14ac:dyDescent="0.2">
      <c r="A83" s="1">
        <v>44134</v>
      </c>
      <c r="B83" s="3">
        <v>847.46</v>
      </c>
      <c r="C83" s="3">
        <v>2215.88</v>
      </c>
      <c r="D83">
        <v>13400</v>
      </c>
      <c r="E83" s="3">
        <f t="shared" si="1"/>
        <v>5487.78</v>
      </c>
      <c r="J83" s="1"/>
    </row>
    <row r="84" spans="1:10" x14ac:dyDescent="0.2">
      <c r="A84" s="1">
        <v>44165</v>
      </c>
      <c r="B84" s="3">
        <v>967.87</v>
      </c>
      <c r="C84" s="3">
        <v>2382.29</v>
      </c>
      <c r="D84">
        <v>16100</v>
      </c>
      <c r="E84" s="3">
        <f t="shared" si="1"/>
        <v>6483.3866666666663</v>
      </c>
      <c r="J84" s="1"/>
    </row>
    <row r="85" spans="1:10" x14ac:dyDescent="0.2">
      <c r="A85" s="1">
        <v>44196</v>
      </c>
      <c r="B85" s="3">
        <v>1072.1199999999999</v>
      </c>
      <c r="C85" s="3">
        <v>2448.81</v>
      </c>
      <c r="D85">
        <v>17050</v>
      </c>
      <c r="E85" s="3">
        <f t="shared" si="1"/>
        <v>6856.9766666666665</v>
      </c>
      <c r="J85" s="1"/>
    </row>
    <row r="86" spans="1:10" x14ac:dyDescent="0.2">
      <c r="A86" s="1">
        <v>44225</v>
      </c>
      <c r="B86" s="3">
        <v>1078.02</v>
      </c>
      <c r="C86" s="3">
        <v>2234.1999999999998</v>
      </c>
      <c r="D86">
        <v>19900</v>
      </c>
      <c r="E86" s="3">
        <f t="shared" si="1"/>
        <v>7737.4066666666668</v>
      </c>
      <c r="J86" s="1"/>
    </row>
    <row r="87" spans="1:10" x14ac:dyDescent="0.2">
      <c r="A87" s="1">
        <v>44253</v>
      </c>
      <c r="B87" s="3">
        <v>1193.02</v>
      </c>
      <c r="C87" s="3">
        <v>2327.25</v>
      </c>
      <c r="D87">
        <v>27400</v>
      </c>
      <c r="E87" s="3">
        <f t="shared" si="1"/>
        <v>10306.756666666666</v>
      </c>
      <c r="J87" s="1"/>
    </row>
    <row r="88" spans="1:10" x14ac:dyDescent="0.2">
      <c r="A88" s="1">
        <v>44286</v>
      </c>
      <c r="B88" s="3">
        <v>1187.43</v>
      </c>
      <c r="C88" s="3">
        <v>2627.56</v>
      </c>
      <c r="D88">
        <v>26600</v>
      </c>
      <c r="E88" s="3">
        <f t="shared" si="1"/>
        <v>10138.33</v>
      </c>
      <c r="J88" s="1"/>
    </row>
    <row r="89" spans="1:10" x14ac:dyDescent="0.2">
      <c r="A89" s="1">
        <v>44316</v>
      </c>
      <c r="B89" s="3">
        <v>1203.3900000000001</v>
      </c>
      <c r="C89" s="3">
        <v>2941.48</v>
      </c>
      <c r="D89">
        <v>29500</v>
      </c>
      <c r="E89" s="3">
        <f t="shared" si="1"/>
        <v>11214.956666666667</v>
      </c>
      <c r="J89" s="1"/>
    </row>
    <row r="90" spans="1:10" x14ac:dyDescent="0.2">
      <c r="A90" s="1">
        <v>44347</v>
      </c>
      <c r="B90" s="3">
        <v>1190.1400000000001</v>
      </c>
      <c r="C90" s="3">
        <v>2831.5</v>
      </c>
      <c r="D90">
        <v>25500</v>
      </c>
      <c r="E90" s="3">
        <f t="shared" si="1"/>
        <v>9840.5466666666671</v>
      </c>
      <c r="J90" s="1"/>
    </row>
    <row r="91" spans="1:10" x14ac:dyDescent="0.2">
      <c r="A91" s="1">
        <v>44377</v>
      </c>
      <c r="B91" s="3">
        <v>1075.43</v>
      </c>
      <c r="C91" s="3">
        <v>2783.69</v>
      </c>
      <c r="D91">
        <v>20100</v>
      </c>
      <c r="E91" s="3">
        <f t="shared" si="1"/>
        <v>7986.373333333333</v>
      </c>
      <c r="J91" s="1"/>
    </row>
    <row r="92" spans="1:10" x14ac:dyDescent="0.2">
      <c r="A92" s="1">
        <v>44407</v>
      </c>
      <c r="B92" s="3">
        <v>1051.55</v>
      </c>
      <c r="C92" s="3">
        <v>2662.94</v>
      </c>
      <c r="D92">
        <v>18500</v>
      </c>
      <c r="E92" s="3">
        <f t="shared" si="1"/>
        <v>7404.829999999999</v>
      </c>
      <c r="J92" s="1"/>
    </row>
    <row r="93" spans="1:10" x14ac:dyDescent="0.2">
      <c r="A93" s="1">
        <v>44439</v>
      </c>
      <c r="B93" s="3">
        <v>1015.83</v>
      </c>
      <c r="C93" s="3">
        <v>2470.94</v>
      </c>
      <c r="D93">
        <v>17600</v>
      </c>
      <c r="E93" s="3">
        <f t="shared" si="1"/>
        <v>7028.9233333333332</v>
      </c>
      <c r="J93" s="1"/>
    </row>
    <row r="94" spans="1:10" x14ac:dyDescent="0.2">
      <c r="A94" s="1">
        <v>44469</v>
      </c>
      <c r="B94" s="3">
        <v>967.43</v>
      </c>
      <c r="C94" s="3">
        <v>1913.01</v>
      </c>
      <c r="D94">
        <v>13500</v>
      </c>
      <c r="E94" s="3">
        <f t="shared" si="1"/>
        <v>5460.1466666666665</v>
      </c>
      <c r="J94" s="1"/>
    </row>
    <row r="95" spans="1:10" x14ac:dyDescent="0.2">
      <c r="A95" s="1">
        <v>44498</v>
      </c>
      <c r="B95" s="3">
        <v>1022.22</v>
      </c>
      <c r="C95" s="3">
        <v>2004.06</v>
      </c>
      <c r="D95">
        <v>14100</v>
      </c>
      <c r="E95" s="3">
        <f t="shared" si="1"/>
        <v>5708.7599999999993</v>
      </c>
      <c r="J95" s="1"/>
    </row>
    <row r="96" spans="1:10" x14ac:dyDescent="0.2">
      <c r="A96" s="1">
        <v>44530</v>
      </c>
      <c r="B96" s="3">
        <v>939.07</v>
      </c>
      <c r="C96" s="3">
        <v>1741.29</v>
      </c>
      <c r="D96">
        <v>13900</v>
      </c>
      <c r="E96" s="3">
        <f t="shared" si="1"/>
        <v>5526.7866666666669</v>
      </c>
      <c r="J96" s="1"/>
    </row>
    <row r="97" spans="1:10" x14ac:dyDescent="0.2">
      <c r="A97" s="1">
        <v>44561</v>
      </c>
      <c r="B97" s="3">
        <v>968.74</v>
      </c>
      <c r="C97" s="3">
        <v>1904.84</v>
      </c>
      <c r="D97">
        <v>14150</v>
      </c>
      <c r="E97" s="3">
        <f t="shared" si="1"/>
        <v>5674.5266666666676</v>
      </c>
      <c r="J97" s="1"/>
    </row>
    <row r="98" spans="1:10" x14ac:dyDescent="0.2">
      <c r="A98" s="1">
        <v>44592</v>
      </c>
      <c r="B98" s="3">
        <v>1021.83</v>
      </c>
      <c r="C98" s="3">
        <v>2355.42</v>
      </c>
      <c r="D98">
        <v>16850</v>
      </c>
      <c r="E98" s="3">
        <f t="shared" si="1"/>
        <v>6742.416666666667</v>
      </c>
      <c r="J98" s="1"/>
    </row>
    <row r="99" spans="1:10" x14ac:dyDescent="0.2">
      <c r="A99" s="1">
        <v>44620</v>
      </c>
      <c r="B99" s="3">
        <v>1047.3800000000001</v>
      </c>
      <c r="C99" s="3">
        <v>2492.65</v>
      </c>
      <c r="D99">
        <v>19750</v>
      </c>
      <c r="E99" s="3">
        <f t="shared" si="1"/>
        <v>7763.3433333333332</v>
      </c>
      <c r="J99" s="1"/>
    </row>
    <row r="100" spans="1:10" x14ac:dyDescent="0.2">
      <c r="A100" s="1">
        <v>44651</v>
      </c>
      <c r="B100" s="3">
        <v>986.25</v>
      </c>
      <c r="C100" s="3">
        <v>2268</v>
      </c>
      <c r="D100">
        <v>19500</v>
      </c>
      <c r="E100" s="3">
        <f t="shared" si="1"/>
        <v>7584.75</v>
      </c>
      <c r="J100" s="1"/>
    </row>
    <row r="101" spans="1:10" x14ac:dyDescent="0.2">
      <c r="A101" s="1">
        <v>44680</v>
      </c>
      <c r="B101" s="3">
        <v>939.32</v>
      </c>
      <c r="C101" s="3">
        <v>2326.92</v>
      </c>
      <c r="D101">
        <v>18200</v>
      </c>
      <c r="E101" s="3">
        <f t="shared" si="1"/>
        <v>7155.4133333333339</v>
      </c>
      <c r="J101" s="1"/>
    </row>
    <row r="102" spans="1:10" x14ac:dyDescent="0.2">
      <c r="A102" s="1">
        <v>44712</v>
      </c>
      <c r="B102" s="3">
        <v>968.87</v>
      </c>
      <c r="C102" s="3">
        <v>2002.15</v>
      </c>
      <c r="D102">
        <v>15250</v>
      </c>
      <c r="E102" s="3">
        <f t="shared" si="1"/>
        <v>6073.6733333333332</v>
      </c>
      <c r="J102" s="1"/>
    </row>
    <row r="103" spans="1:10" x14ac:dyDescent="0.2">
      <c r="A103" s="1">
        <v>44742</v>
      </c>
      <c r="B103" s="3">
        <v>896.71</v>
      </c>
      <c r="C103" s="3">
        <v>1940.22</v>
      </c>
      <c r="D103">
        <v>14000</v>
      </c>
      <c r="E103" s="3">
        <f t="shared" si="1"/>
        <v>5612.31</v>
      </c>
      <c r="J103" s="1"/>
    </row>
    <row r="104" spans="1:10" x14ac:dyDescent="0.2">
      <c r="A104" s="1">
        <v>44771</v>
      </c>
      <c r="B104" s="3">
        <v>899.36</v>
      </c>
      <c r="C104" s="3">
        <v>2131.1</v>
      </c>
      <c r="D104">
        <v>14350</v>
      </c>
      <c r="E104" s="3">
        <f t="shared" si="1"/>
        <v>5793.4866666666667</v>
      </c>
      <c r="J104" s="1"/>
    </row>
    <row r="105" spans="1:10" x14ac:dyDescent="0.2">
      <c r="A105" s="1">
        <v>44804</v>
      </c>
      <c r="B105" s="3">
        <v>848.94</v>
      </c>
      <c r="C105" s="3">
        <v>2088.25</v>
      </c>
      <c r="D105">
        <v>14000</v>
      </c>
      <c r="E105" s="3">
        <f t="shared" si="1"/>
        <v>5645.73</v>
      </c>
      <c r="J105" s="1"/>
    </row>
    <row r="106" spans="1:10" x14ac:dyDescent="0.2">
      <c r="A106" s="1">
        <v>44834</v>
      </c>
      <c r="B106" s="3">
        <v>864.03</v>
      </c>
      <c r="C106" s="3">
        <v>2166.46</v>
      </c>
      <c r="D106">
        <v>14000</v>
      </c>
      <c r="E106" s="3">
        <f t="shared" si="1"/>
        <v>5676.829999999999</v>
      </c>
      <c r="J106" s="1"/>
    </row>
    <row r="107" spans="1:10" x14ac:dyDescent="0.2">
      <c r="A107" s="1">
        <v>44865</v>
      </c>
      <c r="B107" s="3">
        <v>930.64</v>
      </c>
      <c r="C107" s="3">
        <v>1845.95</v>
      </c>
      <c r="D107">
        <v>14000</v>
      </c>
      <c r="E107" s="3">
        <f t="shared" si="1"/>
        <v>5592.1966666666667</v>
      </c>
      <c r="J107" s="1"/>
    </row>
    <row r="108" spans="1:10" x14ac:dyDescent="0.2">
      <c r="A108" s="1">
        <v>44895</v>
      </c>
      <c r="B108" s="3">
        <v>1037.22</v>
      </c>
      <c r="C108" s="3">
        <v>1882.45</v>
      </c>
      <c r="D108">
        <v>13300</v>
      </c>
      <c r="E108" s="3">
        <f t="shared" si="1"/>
        <v>5406.5566666666664</v>
      </c>
      <c r="J108" s="1"/>
    </row>
    <row r="109" spans="1:10" x14ac:dyDescent="0.2">
      <c r="A109" s="1">
        <v>44925</v>
      </c>
      <c r="B109" s="3">
        <v>1074.29</v>
      </c>
      <c r="C109" s="3">
        <v>1792.68</v>
      </c>
      <c r="D109">
        <v>12250</v>
      </c>
      <c r="E109" s="3">
        <f t="shared" si="1"/>
        <v>5038.9900000000007</v>
      </c>
      <c r="J109" s="1"/>
    </row>
    <row r="110" spans="1:10" x14ac:dyDescent="0.2">
      <c r="A110" s="1">
        <v>44957</v>
      </c>
      <c r="B110" s="3">
        <v>1014.49</v>
      </c>
      <c r="C110" s="3">
        <v>1653.33</v>
      </c>
      <c r="D110">
        <v>12000</v>
      </c>
      <c r="E110" s="3">
        <f t="shared" si="1"/>
        <v>4889.2733333333335</v>
      </c>
      <c r="J110" s="1"/>
    </row>
    <row r="111" spans="1:10" x14ac:dyDescent="0.2">
      <c r="A111" s="1">
        <v>44985</v>
      </c>
      <c r="B111" s="3">
        <v>956.03</v>
      </c>
      <c r="C111" s="3">
        <v>1418.38</v>
      </c>
      <c r="D111">
        <v>10000</v>
      </c>
      <c r="E111" s="3">
        <f t="shared" si="1"/>
        <v>4124.8033333333333</v>
      </c>
      <c r="J111" s="1"/>
    </row>
    <row r="112" spans="1:10" x14ac:dyDescent="0.2">
      <c r="A112" s="1">
        <v>45016</v>
      </c>
      <c r="B112" s="3">
        <v>995.21</v>
      </c>
      <c r="C112" s="3">
        <v>1463.77</v>
      </c>
      <c r="D112">
        <v>7400</v>
      </c>
      <c r="E112" s="3">
        <f t="shared" si="1"/>
        <v>3286.3266666666664</v>
      </c>
      <c r="J112" s="1"/>
    </row>
    <row r="113" spans="1:10" x14ac:dyDescent="0.2">
      <c r="A113" s="1">
        <v>45044</v>
      </c>
      <c r="B113" s="3">
        <v>1078.31</v>
      </c>
      <c r="C113" s="3">
        <v>1506.87</v>
      </c>
      <c r="D113">
        <v>8750</v>
      </c>
      <c r="E113" s="3">
        <f t="shared" si="1"/>
        <v>3778.3933333333334</v>
      </c>
      <c r="J113" s="1"/>
    </row>
    <row r="114" spans="1:10" x14ac:dyDescent="0.2">
      <c r="A114" s="1">
        <v>45077</v>
      </c>
      <c r="B114" s="3">
        <v>998.42</v>
      </c>
      <c r="C114" s="3">
        <v>1368.35</v>
      </c>
      <c r="D114">
        <v>6900</v>
      </c>
      <c r="E114" s="3">
        <f t="shared" si="1"/>
        <v>3088.9233333333336</v>
      </c>
      <c r="J114" s="1"/>
    </row>
    <row r="115" spans="1:10" x14ac:dyDescent="0.2">
      <c r="A115" s="1">
        <v>45107</v>
      </c>
      <c r="B115" s="3">
        <v>906.3</v>
      </c>
      <c r="C115" s="3">
        <v>1230.42</v>
      </c>
      <c r="D115">
        <v>4300</v>
      </c>
      <c r="E115" s="3">
        <f t="shared" si="1"/>
        <v>2145.5733333333333</v>
      </c>
      <c r="J115" s="1"/>
    </row>
    <row r="116" spans="1:10" x14ac:dyDescent="0.2">
      <c r="A116" s="1">
        <v>45138</v>
      </c>
      <c r="B116" s="3">
        <v>954.39</v>
      </c>
      <c r="C116" s="3">
        <v>1287.0999999999999</v>
      </c>
      <c r="D116">
        <v>4100</v>
      </c>
      <c r="E116" s="3">
        <f t="shared" si="1"/>
        <v>2113.83</v>
      </c>
      <c r="J116" s="1"/>
    </row>
    <row r="117" spans="1:10" x14ac:dyDescent="0.2">
      <c r="A117" s="1">
        <v>45169</v>
      </c>
      <c r="B117" s="3">
        <v>971.89</v>
      </c>
      <c r="C117" s="3">
        <v>1229.6400000000001</v>
      </c>
      <c r="D117">
        <v>4100</v>
      </c>
      <c r="E117" s="3">
        <f t="shared" si="1"/>
        <v>2100.5100000000002</v>
      </c>
      <c r="J117" s="1"/>
    </row>
    <row r="118" spans="1:10" x14ac:dyDescent="0.2">
      <c r="A118" s="1">
        <v>45198</v>
      </c>
      <c r="B118" s="3">
        <v>907.9</v>
      </c>
      <c r="C118" s="3">
        <v>1248.19</v>
      </c>
      <c r="D118">
        <v>4100</v>
      </c>
      <c r="E118" s="3">
        <f t="shared" si="1"/>
        <v>2085.3633333333332</v>
      </c>
      <c r="J118" s="1"/>
    </row>
    <row r="119" spans="1:10" x14ac:dyDescent="0.2">
      <c r="A119" s="1">
        <v>45230</v>
      </c>
      <c r="B119" s="3">
        <v>937.14</v>
      </c>
      <c r="C119" s="3">
        <v>1123.6400000000001</v>
      </c>
      <c r="D119">
        <v>4350</v>
      </c>
      <c r="E119" s="3">
        <f t="shared" si="1"/>
        <v>2136.9266666666667</v>
      </c>
      <c r="J119" s="1"/>
    </row>
    <row r="120" spans="1:10" x14ac:dyDescent="0.2">
      <c r="A120" s="1">
        <v>45260</v>
      </c>
      <c r="B120" s="3">
        <v>929.53</v>
      </c>
      <c r="C120" s="3">
        <v>1009.51</v>
      </c>
      <c r="D120">
        <v>4450</v>
      </c>
      <c r="E120" s="3">
        <f t="shared" si="1"/>
        <v>2129.6799999999998</v>
      </c>
      <c r="J120" s="1"/>
    </row>
    <row r="121" spans="1:10" x14ac:dyDescent="0.2">
      <c r="A121" s="1">
        <v>45289</v>
      </c>
      <c r="B121" s="3">
        <v>991.9</v>
      </c>
      <c r="C121" s="3">
        <v>1100.24</v>
      </c>
      <c r="D121">
        <v>4425</v>
      </c>
      <c r="E121" s="3">
        <f t="shared" si="1"/>
        <v>2172.3799999999997</v>
      </c>
      <c r="J121" s="1"/>
    </row>
    <row r="122" spans="1:10" x14ac:dyDescent="0.2">
      <c r="A122" s="1">
        <v>45322</v>
      </c>
      <c r="B122">
        <v>961.8</v>
      </c>
      <c r="C122">
        <v>1043.7</v>
      </c>
      <c r="D122">
        <v>4450</v>
      </c>
      <c r="E122" s="3">
        <f t="shared" si="1"/>
        <v>2151.8333333333335</v>
      </c>
      <c r="J122" s="1"/>
    </row>
    <row r="123" spans="1:10" x14ac:dyDescent="0.2">
      <c r="A123" s="1">
        <v>45351</v>
      </c>
      <c r="B123">
        <v>918.5</v>
      </c>
      <c r="C123">
        <v>989.7</v>
      </c>
      <c r="D123">
        <v>4400</v>
      </c>
      <c r="E123" s="3">
        <f t="shared" si="1"/>
        <v>2102.7333333333331</v>
      </c>
      <c r="J123" s="1"/>
    </row>
    <row r="124" spans="1:10" x14ac:dyDescent="0.2">
      <c r="A124" s="1">
        <v>45380</v>
      </c>
      <c r="B124">
        <v>947.8</v>
      </c>
      <c r="C124">
        <v>1063.0999999999999</v>
      </c>
      <c r="D124">
        <v>4725</v>
      </c>
      <c r="E124" s="3">
        <f t="shared" si="1"/>
        <v>2245.2999999999997</v>
      </c>
      <c r="J124" s="1"/>
    </row>
    <row r="125" spans="1:10" x14ac:dyDescent="0.2">
      <c r="A125" s="1">
        <v>45412</v>
      </c>
      <c r="B125">
        <v>979.6</v>
      </c>
      <c r="C125">
        <v>994.1</v>
      </c>
      <c r="D125">
        <v>4725</v>
      </c>
      <c r="E125" s="3">
        <f t="shared" si="1"/>
        <v>2232.9</v>
      </c>
      <c r="J125" s="1"/>
    </row>
    <row r="126" spans="1:10" x14ac:dyDescent="0.2">
      <c r="A126" s="1">
        <v>45443</v>
      </c>
      <c r="B126">
        <v>1075</v>
      </c>
      <c r="C126">
        <v>940.6</v>
      </c>
      <c r="D126">
        <v>4725</v>
      </c>
      <c r="E126" s="3">
        <f t="shared" si="1"/>
        <v>2246.8666666666668</v>
      </c>
      <c r="J126" s="1"/>
    </row>
    <row r="127" spans="1:10" x14ac:dyDescent="0.2">
      <c r="A127" s="1">
        <v>45471</v>
      </c>
      <c r="B127">
        <v>1035.4000000000001</v>
      </c>
      <c r="C127">
        <v>994.2</v>
      </c>
      <c r="D127">
        <v>4650</v>
      </c>
      <c r="E127" s="3">
        <f t="shared" si="1"/>
        <v>2226.5333333333333</v>
      </c>
      <c r="J127" s="1"/>
    </row>
    <row r="128" spans="1:10" x14ac:dyDescent="0.2">
      <c r="A128" s="1">
        <v>45504</v>
      </c>
      <c r="B128">
        <v>1009.8</v>
      </c>
      <c r="C128">
        <v>942.6</v>
      </c>
      <c r="D128">
        <v>4650</v>
      </c>
      <c r="E128" s="3">
        <f t="shared" si="1"/>
        <v>2200.7999999999997</v>
      </c>
      <c r="J128" s="1"/>
    </row>
    <row r="129" spans="1:16" x14ac:dyDescent="0.2">
      <c r="A129" s="1">
        <v>45534</v>
      </c>
      <c r="B129">
        <v>951.8</v>
      </c>
      <c r="C129">
        <v>973.7</v>
      </c>
      <c r="D129">
        <v>4700</v>
      </c>
      <c r="E129" s="3">
        <f t="shared" si="1"/>
        <v>2208.5</v>
      </c>
      <c r="J129" s="1"/>
    </row>
    <row r="130" spans="1:16" x14ac:dyDescent="0.2">
      <c r="A130" s="1">
        <v>45565</v>
      </c>
      <c r="B130">
        <v>1000</v>
      </c>
      <c r="C130">
        <v>1014.4</v>
      </c>
      <c r="D130">
        <v>4750</v>
      </c>
      <c r="E130" s="3">
        <f t="shared" si="1"/>
        <v>2254.7999999999997</v>
      </c>
      <c r="J130" s="1"/>
    </row>
    <row r="131" spans="1:16" x14ac:dyDescent="0.2">
      <c r="A131" s="1">
        <v>45596</v>
      </c>
      <c r="B131">
        <v>1008.8</v>
      </c>
      <c r="C131">
        <v>1127.8</v>
      </c>
      <c r="D131">
        <v>4675</v>
      </c>
      <c r="E131" s="3">
        <f t="shared" ref="E131:E133" si="2">AVERAGE(B131:D131)</f>
        <v>2270.5333333333333</v>
      </c>
      <c r="J131" s="1"/>
      <c r="P131" s="1"/>
    </row>
    <row r="132" spans="1:16" x14ac:dyDescent="0.2">
      <c r="A132" s="1">
        <v>45625</v>
      </c>
      <c r="B132">
        <v>963.8</v>
      </c>
      <c r="C132">
        <v>1002.1</v>
      </c>
      <c r="D132">
        <v>4575</v>
      </c>
      <c r="E132" s="3">
        <f t="shared" si="2"/>
        <v>2180.2999999999997</v>
      </c>
      <c r="J132" s="1"/>
      <c r="P132" s="1"/>
    </row>
    <row r="133" spans="1:16" x14ac:dyDescent="0.2">
      <c r="A133" s="1">
        <v>45657</v>
      </c>
      <c r="B133">
        <v>910.5</v>
      </c>
      <c r="C133">
        <v>918.5</v>
      </c>
      <c r="D133">
        <v>4575</v>
      </c>
      <c r="E133" s="3">
        <f t="shared" si="2"/>
        <v>2134.6666666666665</v>
      </c>
      <c r="I133" s="1"/>
      <c r="J133" s="1"/>
      <c r="L133" s="1"/>
      <c r="P133" s="1"/>
    </row>
    <row r="134" spans="1:16" x14ac:dyDescent="0.2">
      <c r="I134" s="1"/>
      <c r="L134" s="1"/>
      <c r="P134" s="1"/>
    </row>
    <row r="135" spans="1:16" x14ac:dyDescent="0.2">
      <c r="I135" s="1"/>
      <c r="L135" s="1"/>
      <c r="P135" s="1"/>
    </row>
    <row r="136" spans="1:16" x14ac:dyDescent="0.2">
      <c r="I136" s="1"/>
      <c r="L136" s="1"/>
      <c r="P136" s="1"/>
    </row>
    <row r="137" spans="1:16" x14ac:dyDescent="0.2">
      <c r="I137" s="1"/>
      <c r="L137" s="1"/>
      <c r="P137" s="1"/>
    </row>
    <row r="138" spans="1:16" x14ac:dyDescent="0.2">
      <c r="I138" s="1"/>
      <c r="L138" s="1"/>
      <c r="P138" s="1"/>
    </row>
    <row r="139" spans="1:16" x14ac:dyDescent="0.2">
      <c r="I139" s="1"/>
      <c r="L139" s="1"/>
      <c r="P139" s="1"/>
    </row>
    <row r="140" spans="1:16" x14ac:dyDescent="0.2">
      <c r="I140" s="1"/>
      <c r="L140" s="1"/>
      <c r="P140" s="1"/>
    </row>
    <row r="141" spans="1:16" x14ac:dyDescent="0.2">
      <c r="I141" s="1"/>
      <c r="L141" s="1"/>
      <c r="P141" s="1"/>
    </row>
    <row r="142" spans="1:16" x14ac:dyDescent="0.2">
      <c r="I142" s="1"/>
      <c r="L142" s="1"/>
      <c r="P142" s="1"/>
    </row>
    <row r="143" spans="1:16" x14ac:dyDescent="0.2">
      <c r="I143" s="1"/>
      <c r="L143" s="1"/>
    </row>
    <row r="144" spans="1:16" x14ac:dyDescent="0.2">
      <c r="I144" s="1"/>
      <c r="L144" s="1"/>
    </row>
    <row r="145" spans="9:12" x14ac:dyDescent="0.2">
      <c r="I145" s="1"/>
      <c r="L145" s="1"/>
    </row>
    <row r="146" spans="9:12" x14ac:dyDescent="0.2">
      <c r="L146" s="1"/>
    </row>
    <row r="147" spans="9:12" x14ac:dyDescent="0.2">
      <c r="L147" s="1"/>
    </row>
    <row r="148" spans="9:12" x14ac:dyDescent="0.2">
      <c r="L148" s="1"/>
    </row>
    <row r="149" spans="9:12" x14ac:dyDescent="0.2">
      <c r="L149" s="1"/>
    </row>
    <row r="150" spans="9:12" x14ac:dyDescent="0.2">
      <c r="L150" s="1"/>
    </row>
    <row r="151" spans="9:12" x14ac:dyDescent="0.2">
      <c r="L151" s="1"/>
    </row>
    <row r="152" spans="9:12" x14ac:dyDescent="0.2">
      <c r="L152" s="1"/>
    </row>
    <row r="153" spans="9:12" x14ac:dyDescent="0.2">
      <c r="L153" s="1"/>
    </row>
    <row r="154" spans="9:12" x14ac:dyDescent="0.2">
      <c r="L154" s="1"/>
    </row>
    <row r="155" spans="9:12" x14ac:dyDescent="0.2">
      <c r="L155" s="1"/>
    </row>
    <row r="156" spans="9:12" x14ac:dyDescent="0.2">
      <c r="L156" s="1"/>
    </row>
    <row r="157" spans="9:12" x14ac:dyDescent="0.2">
      <c r="L157" s="1"/>
    </row>
    <row r="158" spans="9:12" x14ac:dyDescent="0.2">
      <c r="L158" s="1"/>
    </row>
    <row r="159" spans="9:12" x14ac:dyDescent="0.2">
      <c r="L159" s="1"/>
    </row>
    <row r="160" spans="9:12" x14ac:dyDescent="0.2">
      <c r="L160" s="1"/>
    </row>
    <row r="161" spans="12:12" x14ac:dyDescent="0.2">
      <c r="L161" s="1"/>
    </row>
    <row r="162" spans="12:12" x14ac:dyDescent="0.2">
      <c r="L162" s="1"/>
    </row>
    <row r="163" spans="12:12" x14ac:dyDescent="0.2">
      <c r="L163" s="1"/>
    </row>
    <row r="164" spans="12:12" x14ac:dyDescent="0.2">
      <c r="L164" s="1"/>
    </row>
    <row r="165" spans="12:12" x14ac:dyDescent="0.2">
      <c r="L165" s="1"/>
    </row>
    <row r="166" spans="12:12" x14ac:dyDescent="0.2">
      <c r="L166" s="1"/>
    </row>
    <row r="167" spans="12:12" x14ac:dyDescent="0.2">
      <c r="L167" s="1"/>
    </row>
    <row r="168" spans="12:12" x14ac:dyDescent="0.2">
      <c r="L168" s="1"/>
    </row>
    <row r="169" spans="12:12" x14ac:dyDescent="0.2">
      <c r="L169" s="1"/>
    </row>
    <row r="170" spans="12:12" x14ac:dyDescent="0.2">
      <c r="L170" s="1"/>
    </row>
    <row r="171" spans="12:12" x14ac:dyDescent="0.2">
      <c r="L171" s="1"/>
    </row>
    <row r="172" spans="12:12" x14ac:dyDescent="0.2">
      <c r="L172" s="1"/>
    </row>
    <row r="173" spans="12:12" x14ac:dyDescent="0.2">
      <c r="L173" s="1"/>
    </row>
    <row r="174" spans="12:12" x14ac:dyDescent="0.2">
      <c r="L174" s="1"/>
    </row>
    <row r="175" spans="12:12" x14ac:dyDescent="0.2">
      <c r="L175" s="1"/>
    </row>
    <row r="176" spans="12:12" x14ac:dyDescent="0.2">
      <c r="L176" s="1"/>
    </row>
    <row r="177" spans="12:12" x14ac:dyDescent="0.2">
      <c r="L177" s="1"/>
    </row>
    <row r="178" spans="12:12" x14ac:dyDescent="0.2">
      <c r="L178" s="1"/>
    </row>
    <row r="179" spans="12:12" x14ac:dyDescent="0.2">
      <c r="L179" s="1"/>
    </row>
    <row r="180" spans="12:12" x14ac:dyDescent="0.2">
      <c r="L180" s="1"/>
    </row>
    <row r="181" spans="12:12" x14ac:dyDescent="0.2">
      <c r="L181" s="1"/>
    </row>
    <row r="182" spans="12:12" x14ac:dyDescent="0.2">
      <c r="L182" s="1"/>
    </row>
    <row r="183" spans="12:12" x14ac:dyDescent="0.2">
      <c r="L183" s="1"/>
    </row>
    <row r="184" spans="12:12" x14ac:dyDescent="0.2">
      <c r="L184" s="1"/>
    </row>
    <row r="185" spans="12:12" x14ac:dyDescent="0.2">
      <c r="L185" s="1"/>
    </row>
    <row r="186" spans="12:12" x14ac:dyDescent="0.2">
      <c r="L186" s="1"/>
    </row>
    <row r="187" spans="12:12" x14ac:dyDescent="0.2">
      <c r="L187" s="1"/>
    </row>
    <row r="188" spans="12:12" x14ac:dyDescent="0.2">
      <c r="L188" s="1"/>
    </row>
    <row r="189" spans="12:12" x14ac:dyDescent="0.2">
      <c r="L189" s="1"/>
    </row>
    <row r="190" spans="12:12" x14ac:dyDescent="0.2">
      <c r="L190" s="1"/>
    </row>
    <row r="191" spans="12:12" x14ac:dyDescent="0.2">
      <c r="L191" s="1"/>
    </row>
    <row r="192" spans="12:12" x14ac:dyDescent="0.2">
      <c r="L192" s="1"/>
    </row>
    <row r="193" spans="12:12" x14ac:dyDescent="0.2">
      <c r="L193" s="1"/>
    </row>
    <row r="194" spans="12:12" x14ac:dyDescent="0.2">
      <c r="L194" s="1"/>
    </row>
    <row r="195" spans="12:12" x14ac:dyDescent="0.2">
      <c r="L195" s="1"/>
    </row>
    <row r="196" spans="12:12" x14ac:dyDescent="0.2">
      <c r="L196" s="1"/>
    </row>
    <row r="197" spans="12:12" x14ac:dyDescent="0.2">
      <c r="L197" s="1"/>
    </row>
    <row r="198" spans="12:12" x14ac:dyDescent="0.2">
      <c r="L198" s="1"/>
    </row>
    <row r="199" spans="12:12" x14ac:dyDescent="0.2">
      <c r="L199" s="1"/>
    </row>
    <row r="200" spans="12:12" x14ac:dyDescent="0.2">
      <c r="L200" s="1"/>
    </row>
    <row r="201" spans="12:12" x14ac:dyDescent="0.2">
      <c r="L201" s="1"/>
    </row>
    <row r="202" spans="12:12" x14ac:dyDescent="0.2">
      <c r="L202" s="1"/>
    </row>
    <row r="203" spans="12:12" x14ac:dyDescent="0.2">
      <c r="L203" s="1"/>
    </row>
    <row r="204" spans="12:12" x14ac:dyDescent="0.2">
      <c r="L204" s="1"/>
    </row>
    <row r="205" spans="12:12" x14ac:dyDescent="0.2">
      <c r="L205" s="1"/>
    </row>
    <row r="206" spans="12:12" x14ac:dyDescent="0.2">
      <c r="L206" s="1"/>
    </row>
    <row r="207" spans="12:12" x14ac:dyDescent="0.2">
      <c r="L207" s="1"/>
    </row>
    <row r="208" spans="12:12" x14ac:dyDescent="0.2">
      <c r="L208" s="1"/>
    </row>
    <row r="209" spans="12:12" x14ac:dyDescent="0.2">
      <c r="L209" s="1"/>
    </row>
    <row r="210" spans="12:12" x14ac:dyDescent="0.2">
      <c r="L210" s="1"/>
    </row>
    <row r="211" spans="12:12" x14ac:dyDescent="0.2">
      <c r="L211" s="1"/>
    </row>
    <row r="212" spans="12:12" x14ac:dyDescent="0.2">
      <c r="L212" s="1"/>
    </row>
    <row r="213" spans="12:12" x14ac:dyDescent="0.2">
      <c r="L213" s="1"/>
    </row>
    <row r="214" spans="12:12" x14ac:dyDescent="0.2">
      <c r="L214" s="1"/>
    </row>
    <row r="215" spans="12:12" x14ac:dyDescent="0.2">
      <c r="L215" s="1"/>
    </row>
    <row r="216" spans="12:12" x14ac:dyDescent="0.2">
      <c r="L216" s="1"/>
    </row>
    <row r="217" spans="12:12" x14ac:dyDescent="0.2">
      <c r="L217" s="1"/>
    </row>
    <row r="218" spans="12:12" x14ac:dyDescent="0.2">
      <c r="L218" s="1"/>
    </row>
    <row r="219" spans="12:12" x14ac:dyDescent="0.2">
      <c r="L219" s="1"/>
    </row>
    <row r="220" spans="12:12" x14ac:dyDescent="0.2">
      <c r="L220" s="1"/>
    </row>
    <row r="221" spans="12:12" x14ac:dyDescent="0.2">
      <c r="L221" s="1"/>
    </row>
    <row r="222" spans="12:12" x14ac:dyDescent="0.2">
      <c r="L222" s="1"/>
    </row>
    <row r="223" spans="12:12" x14ac:dyDescent="0.2">
      <c r="L223" s="1"/>
    </row>
    <row r="224" spans="12:12" x14ac:dyDescent="0.2">
      <c r="L224" s="1"/>
    </row>
    <row r="225" spans="12:12" x14ac:dyDescent="0.2">
      <c r="L225" s="1"/>
    </row>
    <row r="226" spans="12:12" x14ac:dyDescent="0.2">
      <c r="L226" s="1"/>
    </row>
    <row r="227" spans="12:12" x14ac:dyDescent="0.2">
      <c r="L227" s="1"/>
    </row>
    <row r="228" spans="12:12" x14ac:dyDescent="0.2">
      <c r="L228" s="1"/>
    </row>
    <row r="229" spans="12:12" x14ac:dyDescent="0.2">
      <c r="L229" s="1"/>
    </row>
    <row r="230" spans="12:12" x14ac:dyDescent="0.2">
      <c r="L230" s="1"/>
    </row>
    <row r="231" spans="12:12" x14ac:dyDescent="0.2">
      <c r="L231" s="1"/>
    </row>
    <row r="232" spans="12:12" x14ac:dyDescent="0.2">
      <c r="L232" s="1"/>
    </row>
    <row r="233" spans="12:12" x14ac:dyDescent="0.2">
      <c r="L233" s="1"/>
    </row>
    <row r="234" spans="12:12" x14ac:dyDescent="0.2">
      <c r="L234" s="1"/>
    </row>
    <row r="235" spans="12:12" x14ac:dyDescent="0.2">
      <c r="L235" s="1"/>
    </row>
    <row r="236" spans="12:12" x14ac:dyDescent="0.2">
      <c r="L236" s="1"/>
    </row>
    <row r="237" spans="12:12" x14ac:dyDescent="0.2">
      <c r="L237" s="1"/>
    </row>
    <row r="238" spans="12:12" x14ac:dyDescent="0.2">
      <c r="L238" s="1"/>
    </row>
    <row r="239" spans="12:12" x14ac:dyDescent="0.2">
      <c r="L239" s="1"/>
    </row>
    <row r="240" spans="12:12" x14ac:dyDescent="0.2">
      <c r="L240" s="1"/>
    </row>
    <row r="241" spans="12:12" x14ac:dyDescent="0.2">
      <c r="L241" s="1"/>
    </row>
    <row r="242" spans="12:12" x14ac:dyDescent="0.2">
      <c r="L242" s="1"/>
    </row>
    <row r="243" spans="12:12" x14ac:dyDescent="0.2">
      <c r="L243" s="1"/>
    </row>
    <row r="244" spans="12:12" x14ac:dyDescent="0.2">
      <c r="L244" s="1"/>
    </row>
    <row r="245" spans="12:12" x14ac:dyDescent="0.2">
      <c r="L245" s="1"/>
    </row>
    <row r="246" spans="12:12" x14ac:dyDescent="0.2">
      <c r="L246" s="1"/>
    </row>
    <row r="247" spans="12:12" x14ac:dyDescent="0.2">
      <c r="L247" s="1"/>
    </row>
    <row r="248" spans="12:12" x14ac:dyDescent="0.2">
      <c r="L248" s="1"/>
    </row>
    <row r="249" spans="12:12" x14ac:dyDescent="0.2">
      <c r="L249" s="1"/>
    </row>
    <row r="250" spans="12:12" x14ac:dyDescent="0.2">
      <c r="L250" s="1"/>
    </row>
    <row r="251" spans="12:12" x14ac:dyDescent="0.2">
      <c r="L251" s="1"/>
    </row>
    <row r="252" spans="12:12" x14ac:dyDescent="0.2">
      <c r="L252" s="1"/>
    </row>
    <row r="253" spans="12:12" x14ac:dyDescent="0.2">
      <c r="L253" s="1"/>
    </row>
    <row r="254" spans="12:12" x14ac:dyDescent="0.2">
      <c r="L254" s="1"/>
    </row>
    <row r="255" spans="12:12" x14ac:dyDescent="0.2">
      <c r="L255" s="1"/>
    </row>
    <row r="256" spans="12:12" x14ac:dyDescent="0.2">
      <c r="L256" s="1"/>
    </row>
    <row r="257" spans="12:12" x14ac:dyDescent="0.2">
      <c r="L257" s="1"/>
    </row>
    <row r="258" spans="12:12" x14ac:dyDescent="0.2">
      <c r="L258" s="1"/>
    </row>
    <row r="259" spans="12:12" x14ac:dyDescent="0.2">
      <c r="L259" s="1"/>
    </row>
    <row r="260" spans="12:12" x14ac:dyDescent="0.2">
      <c r="L260" s="1"/>
    </row>
    <row r="261" spans="12:12" x14ac:dyDescent="0.2">
      <c r="L261" s="1"/>
    </row>
    <row r="262" spans="12:12" x14ac:dyDescent="0.2">
      <c r="L262" s="1"/>
    </row>
    <row r="263" spans="12:12" x14ac:dyDescent="0.2">
      <c r="L263" s="1"/>
    </row>
    <row r="264" spans="12:12" x14ac:dyDescent="0.2">
      <c r="L264" s="1"/>
    </row>
    <row r="265" spans="12:12" x14ac:dyDescent="0.2">
      <c r="L265" s="1"/>
    </row>
    <row r="266" spans="12:12" x14ac:dyDescent="0.2">
      <c r="L266" s="1"/>
    </row>
    <row r="267" spans="12:12" x14ac:dyDescent="0.2">
      <c r="L267" s="1"/>
    </row>
    <row r="268" spans="12:12" x14ac:dyDescent="0.2">
      <c r="L268" s="1"/>
    </row>
    <row r="269" spans="12:12" x14ac:dyDescent="0.2">
      <c r="L269" s="1"/>
    </row>
    <row r="270" spans="12:12" x14ac:dyDescent="0.2">
      <c r="L270" s="1"/>
    </row>
    <row r="271" spans="12:12" x14ac:dyDescent="0.2">
      <c r="L271" s="1"/>
    </row>
    <row r="272" spans="12:12" x14ac:dyDescent="0.2">
      <c r="L272" s="1"/>
    </row>
    <row r="273" spans="12:12" x14ac:dyDescent="0.2">
      <c r="L273" s="1"/>
    </row>
    <row r="274" spans="12:12" x14ac:dyDescent="0.2">
      <c r="L274" s="1"/>
    </row>
    <row r="275" spans="12:12" x14ac:dyDescent="0.2">
      <c r="L275" s="1"/>
    </row>
    <row r="276" spans="12:12" x14ac:dyDescent="0.2">
      <c r="L276" s="1"/>
    </row>
    <row r="277" spans="12:12" x14ac:dyDescent="0.2">
      <c r="L277" s="1"/>
    </row>
    <row r="278" spans="12:12" x14ac:dyDescent="0.2">
      <c r="L278" s="1"/>
    </row>
    <row r="279" spans="12:12" x14ac:dyDescent="0.2">
      <c r="L279" s="1"/>
    </row>
    <row r="280" spans="12:12" x14ac:dyDescent="0.2">
      <c r="L280" s="1"/>
    </row>
    <row r="281" spans="12:12" x14ac:dyDescent="0.2">
      <c r="L281" s="1"/>
    </row>
    <row r="282" spans="12:12" x14ac:dyDescent="0.2">
      <c r="L282" s="1"/>
    </row>
    <row r="283" spans="12:12" x14ac:dyDescent="0.2">
      <c r="L283" s="1"/>
    </row>
    <row r="284" spans="12:12" x14ac:dyDescent="0.2">
      <c r="L284" s="1"/>
    </row>
    <row r="285" spans="12:12" x14ac:dyDescent="0.2">
      <c r="L285" s="1"/>
    </row>
    <row r="286" spans="12:12" x14ac:dyDescent="0.2">
      <c r="L286" s="1"/>
    </row>
    <row r="287" spans="12:12" x14ac:dyDescent="0.2">
      <c r="L287" s="1"/>
    </row>
    <row r="288" spans="12:12" x14ac:dyDescent="0.2">
      <c r="L288" s="1"/>
    </row>
    <row r="289" spans="12:12" x14ac:dyDescent="0.2">
      <c r="L289" s="1"/>
    </row>
    <row r="290" spans="12:12" x14ac:dyDescent="0.2">
      <c r="L290" s="1"/>
    </row>
    <row r="291" spans="12:12" x14ac:dyDescent="0.2">
      <c r="L291" s="1"/>
    </row>
    <row r="292" spans="12:12" x14ac:dyDescent="0.2">
      <c r="L292" s="1"/>
    </row>
    <row r="293" spans="12:12" x14ac:dyDescent="0.2">
      <c r="L293" s="1"/>
    </row>
    <row r="294" spans="12:12" x14ac:dyDescent="0.2">
      <c r="L294" s="1"/>
    </row>
    <row r="295" spans="12:12" x14ac:dyDescent="0.2">
      <c r="L295" s="1"/>
    </row>
    <row r="296" spans="12:12" x14ac:dyDescent="0.2">
      <c r="L296" s="1"/>
    </row>
    <row r="297" spans="12:12" x14ac:dyDescent="0.2">
      <c r="L297" s="1"/>
    </row>
    <row r="298" spans="12:12" x14ac:dyDescent="0.2">
      <c r="L298" s="1"/>
    </row>
    <row r="299" spans="12:12" x14ac:dyDescent="0.2">
      <c r="L299" s="1"/>
    </row>
    <row r="300" spans="12:12" x14ac:dyDescent="0.2">
      <c r="L300" s="1"/>
    </row>
    <row r="301" spans="12:12" x14ac:dyDescent="0.2">
      <c r="L301" s="1"/>
    </row>
    <row r="302" spans="12:12" x14ac:dyDescent="0.2">
      <c r="L302" s="1"/>
    </row>
    <row r="303" spans="12:12" x14ac:dyDescent="0.2">
      <c r="L303" s="1"/>
    </row>
    <row r="304" spans="12:12" x14ac:dyDescent="0.2">
      <c r="L304" s="1"/>
    </row>
    <row r="305" spans="12:12" x14ac:dyDescent="0.2">
      <c r="L305" s="1"/>
    </row>
    <row r="306" spans="12:12" x14ac:dyDescent="0.2">
      <c r="L306" s="1"/>
    </row>
    <row r="307" spans="12:12" x14ac:dyDescent="0.2">
      <c r="L307" s="1"/>
    </row>
    <row r="308" spans="12:12" x14ac:dyDescent="0.2">
      <c r="L308" s="1"/>
    </row>
    <row r="309" spans="12:12" x14ac:dyDescent="0.2">
      <c r="L309" s="1"/>
    </row>
    <row r="310" spans="12:12" x14ac:dyDescent="0.2">
      <c r="L310" s="1"/>
    </row>
    <row r="311" spans="12:12" x14ac:dyDescent="0.2">
      <c r="L311" s="1"/>
    </row>
    <row r="312" spans="12:12" x14ac:dyDescent="0.2">
      <c r="L312" s="1"/>
    </row>
    <row r="313" spans="12:12" x14ac:dyDescent="0.2">
      <c r="L313" s="1"/>
    </row>
    <row r="314" spans="12:12" x14ac:dyDescent="0.2">
      <c r="L314" s="1"/>
    </row>
    <row r="315" spans="12:12" x14ac:dyDescent="0.2">
      <c r="L315" s="1"/>
    </row>
    <row r="316" spans="12:12" x14ac:dyDescent="0.2">
      <c r="L316" s="1"/>
    </row>
    <row r="317" spans="12:12" x14ac:dyDescent="0.2">
      <c r="L317" s="1"/>
    </row>
    <row r="318" spans="12:12" x14ac:dyDescent="0.2">
      <c r="L318" s="1"/>
    </row>
    <row r="319" spans="12:12" x14ac:dyDescent="0.2">
      <c r="L319" s="1"/>
    </row>
    <row r="320" spans="12:12" x14ac:dyDescent="0.2">
      <c r="L320" s="1"/>
    </row>
    <row r="321" spans="12:12" x14ac:dyDescent="0.2">
      <c r="L321" s="1"/>
    </row>
    <row r="322" spans="12:12" x14ac:dyDescent="0.2">
      <c r="L322" s="1"/>
    </row>
    <row r="323" spans="12:12" x14ac:dyDescent="0.2">
      <c r="L323" s="1"/>
    </row>
    <row r="324" spans="12:12" x14ac:dyDescent="0.2">
      <c r="L324" s="1"/>
    </row>
    <row r="325" spans="12:12" x14ac:dyDescent="0.2">
      <c r="L325" s="1"/>
    </row>
    <row r="326" spans="12:12" x14ac:dyDescent="0.2">
      <c r="L326" s="1"/>
    </row>
    <row r="327" spans="12:12" x14ac:dyDescent="0.2">
      <c r="L327" s="1"/>
    </row>
    <row r="328" spans="12:12" x14ac:dyDescent="0.2">
      <c r="L328" s="1"/>
    </row>
    <row r="329" spans="12:12" x14ac:dyDescent="0.2">
      <c r="L329" s="1"/>
    </row>
    <row r="330" spans="12:12" x14ac:dyDescent="0.2">
      <c r="L330" s="1"/>
    </row>
    <row r="331" spans="12:12" x14ac:dyDescent="0.2">
      <c r="L331" s="1"/>
    </row>
    <row r="332" spans="12:12" x14ac:dyDescent="0.2">
      <c r="L332" s="1"/>
    </row>
    <row r="333" spans="12:12" x14ac:dyDescent="0.2">
      <c r="L333" s="1"/>
    </row>
    <row r="334" spans="12:12" x14ac:dyDescent="0.2">
      <c r="L334" s="1"/>
    </row>
    <row r="335" spans="12:12" x14ac:dyDescent="0.2">
      <c r="L335" s="1"/>
    </row>
    <row r="336" spans="12:12" x14ac:dyDescent="0.2">
      <c r="L336" s="1"/>
    </row>
    <row r="337" spans="12:12" x14ac:dyDescent="0.2">
      <c r="L337" s="1"/>
    </row>
    <row r="338" spans="12:12" x14ac:dyDescent="0.2">
      <c r="L338" s="1"/>
    </row>
    <row r="339" spans="12:12" x14ac:dyDescent="0.2">
      <c r="L339" s="1"/>
    </row>
    <row r="340" spans="12:12" x14ac:dyDescent="0.2">
      <c r="L340" s="1"/>
    </row>
    <row r="341" spans="12:12" x14ac:dyDescent="0.2">
      <c r="L341" s="1"/>
    </row>
    <row r="342" spans="12:12" x14ac:dyDescent="0.2">
      <c r="L342" s="1"/>
    </row>
    <row r="343" spans="12:12" x14ac:dyDescent="0.2">
      <c r="L343" s="1"/>
    </row>
    <row r="344" spans="12:12" x14ac:dyDescent="0.2">
      <c r="L344" s="1"/>
    </row>
    <row r="345" spans="12:12" x14ac:dyDescent="0.2">
      <c r="L345" s="1"/>
    </row>
    <row r="346" spans="12:12" x14ac:dyDescent="0.2">
      <c r="L346" s="1"/>
    </row>
    <row r="347" spans="12:12" x14ac:dyDescent="0.2">
      <c r="L347" s="1"/>
    </row>
    <row r="348" spans="12:12" x14ac:dyDescent="0.2">
      <c r="L348" s="1"/>
    </row>
    <row r="349" spans="12:12" x14ac:dyDescent="0.2">
      <c r="L349" s="1"/>
    </row>
    <row r="350" spans="12:12" x14ac:dyDescent="0.2">
      <c r="L350" s="1"/>
    </row>
    <row r="351" spans="12:12" x14ac:dyDescent="0.2">
      <c r="L351" s="1"/>
    </row>
    <row r="352" spans="12:12" x14ac:dyDescent="0.2">
      <c r="L352" s="1"/>
    </row>
    <row r="353" spans="12:12" x14ac:dyDescent="0.2">
      <c r="L353" s="1"/>
    </row>
    <row r="354" spans="12:12" x14ac:dyDescent="0.2">
      <c r="L354" s="1"/>
    </row>
    <row r="355" spans="12:12" x14ac:dyDescent="0.2">
      <c r="L355" s="1"/>
    </row>
    <row r="356" spans="12:12" x14ac:dyDescent="0.2">
      <c r="L356" s="1"/>
    </row>
    <row r="357" spans="12:12" x14ac:dyDescent="0.2">
      <c r="L357" s="1"/>
    </row>
    <row r="358" spans="12:12" x14ac:dyDescent="0.2">
      <c r="L358" s="1"/>
    </row>
    <row r="359" spans="12:12" x14ac:dyDescent="0.2">
      <c r="L359" s="1"/>
    </row>
    <row r="360" spans="12:12" x14ac:dyDescent="0.2">
      <c r="L360" s="1"/>
    </row>
    <row r="361" spans="12:12" x14ac:dyDescent="0.2">
      <c r="L361" s="1"/>
    </row>
    <row r="362" spans="12:12" x14ac:dyDescent="0.2">
      <c r="L362" s="1"/>
    </row>
    <row r="363" spans="12:12" x14ac:dyDescent="0.2">
      <c r="L363" s="1"/>
    </row>
    <row r="364" spans="12:12" x14ac:dyDescent="0.2">
      <c r="L364" s="1"/>
    </row>
    <row r="365" spans="12:12" x14ac:dyDescent="0.2">
      <c r="L365" s="1"/>
    </row>
    <row r="366" spans="12:12" x14ac:dyDescent="0.2">
      <c r="L366" s="1"/>
    </row>
    <row r="367" spans="12:12" x14ac:dyDescent="0.2">
      <c r="L367" s="1"/>
    </row>
    <row r="368" spans="12:12" x14ac:dyDescent="0.2">
      <c r="L368" s="1"/>
    </row>
    <row r="369" spans="12:12" x14ac:dyDescent="0.2">
      <c r="L369" s="1"/>
    </row>
    <row r="370" spans="12:12" x14ac:dyDescent="0.2">
      <c r="L370" s="1"/>
    </row>
    <row r="371" spans="12:12" x14ac:dyDescent="0.2">
      <c r="L371" s="1"/>
    </row>
    <row r="372" spans="12:12" x14ac:dyDescent="0.2">
      <c r="L372" s="1"/>
    </row>
    <row r="373" spans="12:12" x14ac:dyDescent="0.2">
      <c r="L373" s="1"/>
    </row>
    <row r="374" spans="12:12" x14ac:dyDescent="0.2">
      <c r="L374" s="1"/>
    </row>
    <row r="375" spans="12:12" x14ac:dyDescent="0.2">
      <c r="L375" s="1"/>
    </row>
    <row r="376" spans="12:12" x14ac:dyDescent="0.2">
      <c r="L376" s="1"/>
    </row>
    <row r="377" spans="12:12" x14ac:dyDescent="0.2">
      <c r="L377" s="1"/>
    </row>
    <row r="378" spans="12:12" x14ac:dyDescent="0.2">
      <c r="L378" s="1"/>
    </row>
    <row r="379" spans="12:12" x14ac:dyDescent="0.2">
      <c r="L379" s="1"/>
    </row>
    <row r="380" spans="12:12" x14ac:dyDescent="0.2">
      <c r="L380" s="1"/>
    </row>
    <row r="381" spans="12:12" x14ac:dyDescent="0.2">
      <c r="L381" s="1"/>
    </row>
    <row r="382" spans="12:12" x14ac:dyDescent="0.2">
      <c r="L382" s="1"/>
    </row>
    <row r="383" spans="12:12" x14ac:dyDescent="0.2">
      <c r="L383" s="1"/>
    </row>
    <row r="384" spans="12:12" x14ac:dyDescent="0.2">
      <c r="L384" s="1"/>
    </row>
    <row r="385" spans="12:12" x14ac:dyDescent="0.2">
      <c r="L385" s="1"/>
    </row>
    <row r="386" spans="12:12" x14ac:dyDescent="0.2">
      <c r="L386" s="1"/>
    </row>
    <row r="387" spans="12:12" x14ac:dyDescent="0.2">
      <c r="L387" s="1"/>
    </row>
    <row r="388" spans="12:12" x14ac:dyDescent="0.2">
      <c r="L388" s="1"/>
    </row>
    <row r="389" spans="12:12" x14ac:dyDescent="0.2">
      <c r="L389" s="1"/>
    </row>
    <row r="390" spans="12:12" x14ac:dyDescent="0.2">
      <c r="L390" s="1"/>
    </row>
    <row r="391" spans="12:12" x14ac:dyDescent="0.2">
      <c r="L391" s="1"/>
    </row>
    <row r="392" spans="12:12" x14ac:dyDescent="0.2">
      <c r="L392" s="1"/>
    </row>
    <row r="393" spans="12:12" x14ac:dyDescent="0.2">
      <c r="L393" s="1"/>
    </row>
    <row r="394" spans="12:12" x14ac:dyDescent="0.2">
      <c r="L394" s="1"/>
    </row>
    <row r="395" spans="12:12" x14ac:dyDescent="0.2">
      <c r="L395" s="1"/>
    </row>
    <row r="396" spans="12:12" x14ac:dyDescent="0.2">
      <c r="L396" s="1"/>
    </row>
    <row r="397" spans="12:12" x14ac:dyDescent="0.2">
      <c r="L397" s="1"/>
    </row>
    <row r="398" spans="12:12" x14ac:dyDescent="0.2">
      <c r="L398" s="1"/>
    </row>
    <row r="399" spans="12:12" x14ac:dyDescent="0.2">
      <c r="L399" s="1"/>
    </row>
    <row r="400" spans="12:12" x14ac:dyDescent="0.2">
      <c r="L400" s="1"/>
    </row>
    <row r="401" spans="12:12" x14ac:dyDescent="0.2">
      <c r="L401" s="1"/>
    </row>
    <row r="402" spans="12:12" x14ac:dyDescent="0.2">
      <c r="L402" s="1"/>
    </row>
    <row r="403" spans="12:12" x14ac:dyDescent="0.2">
      <c r="L403" s="1"/>
    </row>
    <row r="404" spans="12:12" x14ac:dyDescent="0.2">
      <c r="L404" s="1"/>
    </row>
    <row r="405" spans="12:12" x14ac:dyDescent="0.2">
      <c r="L405" s="1"/>
    </row>
  </sheetData>
  <sortState xmlns:xlrd2="http://schemas.microsoft.com/office/spreadsheetml/2017/richdata2" ref="J2:K133">
    <sortCondition ref="J1:J1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IMPALA PLATINUM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KAMOHELO</dc:creator>
  <cp:lastModifiedBy>Mc Leroth, JM, Mr [24913693@sun.ac.za]</cp:lastModifiedBy>
  <dcterms:created xsi:type="dcterms:W3CDTF">2025-02-26T14:24:53Z</dcterms:created>
  <dcterms:modified xsi:type="dcterms:W3CDTF">2025-06-11T11:39:04Z</dcterms:modified>
</cp:coreProperties>
</file>