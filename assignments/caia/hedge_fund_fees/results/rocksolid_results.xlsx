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CAIA/tasks/hedge_fund_fees/"/>
    </mc:Choice>
  </mc:AlternateContent>
  <xr:revisionPtr revIDLastSave="0" documentId="13_ncr:1_{CABF546A-15D5-0D44-A23D-E128ECFC202A}" xr6:coauthVersionLast="47" xr6:coauthVersionMax="47" xr10:uidLastSave="{00000000-0000-0000-0000-000000000000}"/>
  <bookViews>
    <workbookView xWindow="0" yWindow="500" windowWidth="25600" windowHeight="14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 a="1"/>
  <c r="B15" i="1" s="1"/>
  <c r="B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<sst xmlns="http://schemas.openxmlformats.org/spreadsheetml/2006/main" count="15" uniqueCount="15">
  <si>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Year</t>
  </si>
  <si>
    <t>Starting Capital</t>
  </si>
  <si>
    <t>Management Fees (R)</t>
  </si>
  <si>
    <t>Ending Capital (pre-management fee)</t>
  </si>
  <si>
    <t>Ending Capital (post-management fee)</t>
  </si>
  <si>
    <t>Annual Return (pre-management fee)</t>
  </si>
  <si>
    <t>Annual Return (post-management fee)</t>
  </si>
  <si>
    <t>Performance Fees (R)</t>
  </si>
  <si>
    <t>Ending Capital (after all fees)</t>
  </si>
  <si>
    <t>Net Return (after all fees)</t>
  </si>
  <si>
    <t>Total Fees Earned (R)</t>
  </si>
  <si>
    <t>Starting ammount</t>
  </si>
  <si>
    <t>Ending amount - no fees</t>
  </si>
  <si>
    <t>Ending amount - after fees</t>
  </si>
  <si>
    <t>Fees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</si>
</sst>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20.6640625" bestFit="1" customWidth="1"/>
    <col min="2" max="2" width="13.33203125" bestFit="1" customWidth="1"/>
    <col min="3" max="3" width="17.83203125" bestFit="1" customWidth="1"/>
    <col min="4" max="4" width="30" bestFit="1" customWidth="1"/>
    <col min="5" max="5" width="30.6640625" bestFit="1" customWidth="1"/>
    <col min="6" max="6" width="30.33203125" bestFit="1" customWidth="1"/>
    <col min="7" max="7" width="31" bestFit="1" customWidth="1"/>
    <col min="8" max="8" width="17.5" bestFit="1" customWidth="1"/>
    <col min="9" max="9" width="23" bestFit="1" customWidth="1"/>
    <col min="10" max="10" width="20.5" bestFit="1" customWidth="1"/>
    <col min="11" max="11" width="17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2015</v>
      </c>
      <c r="B2">
        <v>1000000</v>
      </c>
      <c r="C2">
        <v>12146.45704090005</v>
      </c>
      <c r="D2">
        <v>1104295.124128812</v>
      </c>
      <c r="E2">
        <v>1091707.440008959</v>
      </c>
      <c r="F2">
        <v>0.10429512412881189</v>
      </c>
      <c r="G2">
        <v>9.1707440008959029E-2</v>
      </c>
      <c r="H2">
        <v>2170.7440008959029</v>
      </c>
      <c r="I2">
        <v>1089536.6960080629</v>
      </c>
      <c r="J2">
        <v>8.953669600806316E-2</v>
      </c>
      <c r="K2">
        <v>14317.201041795959</v>
      </c>
    </row>
    <row r="3" spans="1:11" x14ac:dyDescent="0.2">
      <c r="A3" s="1">
        <v>2016</v>
      </c>
      <c r="B3">
        <v>1089536.6960080629</v>
      </c>
      <c r="C3">
        <v>14178.117721622621</v>
      </c>
      <c r="D3">
        <v>1214956.266265363</v>
      </c>
      <c r="E3">
        <v>1199856.020117573</v>
      </c>
      <c r="F3">
        <v>0.1151127545467929</v>
      </c>
      <c r="G3">
        <v>0.10125342681316481</v>
      </c>
      <c r="H3">
        <v>3405.1755388945398</v>
      </c>
      <c r="I3">
        <v>1196450.844578678</v>
      </c>
      <c r="J3">
        <v>9.8128084131848384E-2</v>
      </c>
      <c r="K3">
        <v>17583.29326051717</v>
      </c>
    </row>
    <row r="4" spans="1:11" x14ac:dyDescent="0.2">
      <c r="A4" s="1">
        <v>2017</v>
      </c>
      <c r="B4">
        <v>1196450.844578678</v>
      </c>
      <c r="C4">
        <v>15725.200465944559</v>
      </c>
      <c r="D4">
        <v>1334711.4815705949</v>
      </c>
      <c r="E4">
        <v>1318122.841742472</v>
      </c>
      <c r="F4">
        <v>0.1155589781380482</v>
      </c>
      <c r="G4">
        <v>0.10169410445494639</v>
      </c>
      <c r="H4">
        <v>3792.0438043285571</v>
      </c>
      <c r="I4">
        <v>1314330.7979381429</v>
      </c>
      <c r="J4">
        <v>9.8524694009451755E-2</v>
      </c>
      <c r="K4">
        <v>19517.24427027312</v>
      </c>
    </row>
    <row r="5" spans="1:11" x14ac:dyDescent="0.2">
      <c r="A5" s="1">
        <v>2018</v>
      </c>
      <c r="B5">
        <v>1314330.7979381429</v>
      </c>
      <c r="C5">
        <v>17560.82340853518</v>
      </c>
      <c r="D5">
        <v>1465779.4787015149</v>
      </c>
      <c r="E5">
        <v>1447561.8427739211</v>
      </c>
      <c r="F5">
        <v>0.1152287392191962</v>
      </c>
      <c r="G5">
        <v>0.101367969954584</v>
      </c>
      <c r="H5">
        <v>4122.7888980107937</v>
      </c>
      <c r="I5">
        <v>1443439.0538759099</v>
      </c>
      <c r="J5">
        <v>9.8231172959125548E-2</v>
      </c>
      <c r="K5">
        <v>21683.612306545969</v>
      </c>
    </row>
    <row r="6" spans="1:11" x14ac:dyDescent="0.2">
      <c r="A6" s="1">
        <v>2019</v>
      </c>
      <c r="B6">
        <v>1443439.0538759099</v>
      </c>
      <c r="C6">
        <v>18671.684616572122</v>
      </c>
      <c r="D6">
        <v>1563037.6586549811</v>
      </c>
      <c r="E6">
        <v>1543611.2364541991</v>
      </c>
      <c r="F6">
        <v>8.2856705628080007E-2</v>
      </c>
      <c r="G6">
        <v>6.9398276504510248E-2</v>
      </c>
      <c r="H6">
        <v>0</v>
      </c>
      <c r="I6">
        <v>1543611.2364541991</v>
      </c>
      <c r="J6">
        <v>6.9398276504510317E-2</v>
      </c>
      <c r="K6">
        <v>18671.684616572122</v>
      </c>
    </row>
    <row r="7" spans="1:11" x14ac:dyDescent="0.2">
      <c r="A7" s="1">
        <v>2020</v>
      </c>
      <c r="B7">
        <v>1543611.2364541991</v>
      </c>
      <c r="C7">
        <v>19801.34777181075</v>
      </c>
      <c r="D7">
        <v>1695549.7624995389</v>
      </c>
      <c r="E7">
        <v>1674476.395926212</v>
      </c>
      <c r="F7">
        <v>9.8430564935737985E-2</v>
      </c>
      <c r="G7">
        <v>8.4778574022705833E-2</v>
      </c>
      <c r="H7">
        <v>2281.2372920218932</v>
      </c>
      <c r="I7">
        <v>1672195.15863419</v>
      </c>
      <c r="J7">
        <v>8.3300716620435242E-2</v>
      </c>
      <c r="K7">
        <v>22082.585063832641</v>
      </c>
    </row>
    <row r="8" spans="1:11" x14ac:dyDescent="0.2">
      <c r="A8" s="1">
        <v>2021</v>
      </c>
      <c r="B8">
        <v>1672195.15863419</v>
      </c>
      <c r="C8">
        <v>21902.428091392809</v>
      </c>
      <c r="D8">
        <v>1846596.960271541</v>
      </c>
      <c r="E8">
        <v>1823646.2834364211</v>
      </c>
      <c r="F8">
        <v>0.10429512412881151</v>
      </c>
      <c r="G8">
        <v>9.0570244758950258E-2</v>
      </c>
      <c r="H8">
        <v>3439.746369783707</v>
      </c>
      <c r="I8">
        <v>1820206.5370666371</v>
      </c>
      <c r="J8">
        <v>8.8513220283055263E-2</v>
      </c>
      <c r="K8">
        <v>25342.174461176521</v>
      </c>
    </row>
    <row r="9" spans="1:11" x14ac:dyDescent="0.2">
      <c r="A9" s="1">
        <v>2022</v>
      </c>
      <c r="B9">
        <v>1820206.5370666371</v>
      </c>
      <c r="C9">
        <v>24279.553746246969</v>
      </c>
      <c r="D9">
        <v>2069944.6289078749</v>
      </c>
      <c r="E9">
        <v>2044218.0457569561</v>
      </c>
      <c r="F9">
        <v>0.13720316170477259</v>
      </c>
      <c r="G9">
        <v>0.123069280396787</v>
      </c>
      <c r="H9">
        <v>9659.7051095654206</v>
      </c>
      <c r="I9">
        <v>2034558.3406473901</v>
      </c>
      <c r="J9">
        <v>0.1177623523571083</v>
      </c>
      <c r="K9">
        <v>33939.258855812383</v>
      </c>
    </row>
    <row r="10" spans="1:11" x14ac:dyDescent="0.2">
      <c r="A10" s="1">
        <v>2023</v>
      </c>
      <c r="B10">
        <v>2034558.3406473901</v>
      </c>
      <c r="C10">
        <v>27028.104156131882</v>
      </c>
      <c r="D10">
        <v>2291917.1041495851</v>
      </c>
      <c r="E10">
        <v>2263431.7064575562</v>
      </c>
      <c r="F10">
        <v>0.12649367597898609</v>
      </c>
      <c r="G10">
        <v>0.11249289894402301</v>
      </c>
      <c r="H10">
        <v>8645.4281964848778</v>
      </c>
      <c r="I10">
        <v>2254786.278261072</v>
      </c>
      <c r="J10">
        <v>0.1082436090496209</v>
      </c>
      <c r="K10">
        <v>35673.532352616763</v>
      </c>
    </row>
    <row r="11" spans="1:11" x14ac:dyDescent="0.2">
      <c r="A11" s="1">
        <v>2024</v>
      </c>
      <c r="B11">
        <v>2254786.278261072</v>
      </c>
      <c r="C11">
        <v>30308.959882586161</v>
      </c>
      <c r="D11">
        <v>2590548.557459427</v>
      </c>
      <c r="E11">
        <v>2558351.5788836591</v>
      </c>
      <c r="F11">
        <v>0.14891091117394109</v>
      </c>
      <c r="G11">
        <v>0.13463151853873351</v>
      </c>
      <c r="H11">
        <v>14573.02611443121</v>
      </c>
      <c r="I11">
        <v>2543778.552769227</v>
      </c>
      <c r="J11">
        <v>0.12816836668486001</v>
      </c>
      <c r="K11">
        <v>44881.985997017357</v>
      </c>
    </row>
    <row r="12" spans="1:11" x14ac:dyDescent="0.2">
      <c r="A12" s="1">
        <v>2025</v>
      </c>
      <c r="B12">
        <v>2543778.552769227</v>
      </c>
      <c r="C12">
        <v>5376.4810523828728</v>
      </c>
      <c r="D12">
        <v>2594908.5016798889</v>
      </c>
      <c r="E12">
        <v>2589505.2579573151</v>
      </c>
      <c r="F12">
        <v>2.010000000000001E-2</v>
      </c>
      <c r="G12">
        <v>1.7975898546006789E-2</v>
      </c>
      <c r="H12">
        <v>0</v>
      </c>
      <c r="I12">
        <v>2589505.2579573151</v>
      </c>
      <c r="J12">
        <v>1.797589854600681E-2</v>
      </c>
      <c r="K12">
        <v>5376.4810523828728</v>
      </c>
    </row>
    <row r="14" spans="1:11" x14ac:dyDescent="0.2">
      <c r="A14" s="2" t="s">
        <v>11</v>
      </c>
      <c r="B14" s="3">
        <f>B2</f>
        <v>1000000</v>
      </c>
    </row>
    <row r="15" spans="1:11" x14ac:dyDescent="0.2">
      <c r="A15" s="2" t="s">
        <v>12</v>
      </c>
      <c r="B15" s="3" cm="1">
        <f t="array" ref="B15">B14*PRODUCT(1+F2:F12)</f>
        <v>3021239.1108641508</v>
      </c>
    </row>
    <row r="16" spans="1:11" x14ac:dyDescent="0.2">
      <c r="A16" s="2" t="s">
        <v>13</v>
      </c>
      <c r="B16" s="3">
        <f>I12</f>
        <v>2589505.2579573151</v>
      </c>
    </row>
    <row r="17" spans="1:2" x14ac:dyDescent="0.2">
      <c r="A17" s="2" t="s">
        <v>14</v>
      </c>
      <c r="B17" s="3">
        <f>SUM(K2:K12)</f>
        <v>259069.05327854291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 Leroth, JM, Mr [24913693@sun.ac.za]</cp:lastModifiedBy>
  <dcterms:created xsi:type="dcterms:W3CDTF">2025-06-11T10:48:36Z</dcterms:created>
  <dcterms:modified xsi:type="dcterms:W3CDTF">2025-06-11T11:06:34Z</dcterms:modified>
</cp:coreProperties>
</file>