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jakemcleroth/Desktop/University/Masters/Modules/Semester 1/CAIA/tasks/hedge_fund_fees/"/>
    </mc:Choice>
  </mc:AlternateContent>
  <xr:revisionPtr revIDLastSave="0" documentId="13_ncr:1_{F669BDEF-6023-504C-BCF2-83698104B725}" xr6:coauthVersionLast="47" xr6:coauthVersionMax="47" xr10:uidLastSave="{00000000-0000-0000-0000-000000000000}"/>
  <bookViews>
    <workbookView xWindow="0" yWindow="500" windowWidth="25600" windowHeight="14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B23" i="1"/>
  <c r="B22" i="1" a="1"/>
  <c r="B22" i="1" s="1"/>
  <c r="B2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<sst xmlns="http://schemas.openxmlformats.org/spreadsheetml/2006/main" count="15" uniqueCount="15">
  <si>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>Year</t>
  </si>
  <si>
    <t>Starting Capital</t>
  </si>
  <si>
    <t>Management Fees (R)</t>
  </si>
  <si>
    <t>Ending Capital (pre-management fee)</t>
  </si>
  <si>
    <t>Ending Capital (post-management fee)</t>
  </si>
  <si>
    <t>Annual Return (pre-management fee)</t>
  </si>
  <si>
    <t>Annual Return (post-management fee)</t>
  </si>
  <si>
    <t>Performance Fees (R)</t>
  </si>
  <si>
    <t>Ending Capital (after all fees)</t>
  </si>
  <si>
    <t>Net Return (after all fees)</t>
  </si>
  <si>
    <t>Total Fees Earned (R)</t>
  </si>
  <si>
    <t>Starting ammount</t>
  </si>
  <si>
    <t>Ending amount - no fees</t>
  </si>
  <si>
    <t>Ending amount - after fees</t>
  </si>
  <si>
    <t>Fees earned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</si>
</sst>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R&quot;* #,##0.00_);_(&quot;R&quot;* \(#,##0.00\);_(&quot;R&quot;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4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D26" sqref="D26"/>
    </sheetView>
  </sheetViews>
  <sheetFormatPr baseColWidth="10" defaultColWidth="8.83203125" defaultRowHeight="15" x14ac:dyDescent="0.2"/>
  <cols>
    <col min="1" max="1" width="20.6640625" bestFit="1" customWidth="1"/>
    <col min="2" max="2" width="13.33203125" bestFit="1" customWidth="1"/>
    <col min="3" max="3" width="17.83203125" bestFit="1" customWidth="1"/>
    <col min="4" max="4" width="30" bestFit="1" customWidth="1"/>
    <col min="5" max="5" width="30.6640625" bestFit="1" customWidth="1"/>
    <col min="6" max="6" width="30.33203125" bestFit="1" customWidth="1"/>
    <col min="7" max="7" width="31" bestFit="1" customWidth="1"/>
    <col min="8" max="8" width="17.5" bestFit="1" customWidth="1"/>
    <col min="9" max="9" width="23" bestFit="1" customWidth="1"/>
    <col min="10" max="10" width="20.5" bestFit="1" customWidth="1"/>
    <col min="11" max="11" width="17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2008</v>
      </c>
      <c r="B2" s="2">
        <v>1000000</v>
      </c>
      <c r="C2" s="2">
        <v>3591.3391655631158</v>
      </c>
      <c r="D2" s="2">
        <v>1182720.929</v>
      </c>
      <c r="E2" s="2">
        <v>1179028.7747630919</v>
      </c>
      <c r="F2" s="2">
        <v>0.18272092899999981</v>
      </c>
      <c r="G2" s="2">
        <v>0.1790287747630919</v>
      </c>
      <c r="H2" s="2">
        <v>35805.754952618387</v>
      </c>
      <c r="I2" s="2">
        <v>1143223.019810474</v>
      </c>
      <c r="J2" s="2">
        <v>0.14322301981047361</v>
      </c>
      <c r="K2" s="2">
        <v>39397.0941181815</v>
      </c>
    </row>
    <row r="3" spans="1:11" x14ac:dyDescent="0.2">
      <c r="A3" s="1">
        <v>2009</v>
      </c>
      <c r="B3" s="2">
        <v>1143223.019810474</v>
      </c>
      <c r="C3" s="2">
        <v>14998.30395924484</v>
      </c>
      <c r="D3" s="2">
        <v>1333488.700468855</v>
      </c>
      <c r="E3" s="2">
        <v>1316915.2581388911</v>
      </c>
      <c r="F3" s="2">
        <v>0.16642918954686881</v>
      </c>
      <c r="G3" s="2">
        <v>0.1519320686502732</v>
      </c>
      <c r="H3" s="2">
        <v>34738.44766568351</v>
      </c>
      <c r="I3" s="2">
        <v>1282176.8104732081</v>
      </c>
      <c r="J3" s="2">
        <v>0.1215456549202186</v>
      </c>
      <c r="K3" s="2">
        <v>49736.751624928351</v>
      </c>
    </row>
    <row r="4" spans="1:11" x14ac:dyDescent="0.2">
      <c r="A4" s="1">
        <v>2010</v>
      </c>
      <c r="B4" s="2">
        <v>1282176.8104732081</v>
      </c>
      <c r="C4" s="2">
        <v>18576.912220033701</v>
      </c>
      <c r="D4" s="2">
        <v>1604075.638968579</v>
      </c>
      <c r="E4" s="2">
        <v>1584139.1707510389</v>
      </c>
      <c r="F4" s="2">
        <v>0.25105650473944352</v>
      </c>
      <c r="G4" s="2">
        <v>0.23550758195851931</v>
      </c>
      <c r="H4" s="2">
        <v>60392.472055566359</v>
      </c>
      <c r="I4" s="2">
        <v>1523746.6986954729</v>
      </c>
      <c r="J4" s="2">
        <v>0.18840606556681549</v>
      </c>
      <c r="K4" s="2">
        <v>78969.384275600052</v>
      </c>
    </row>
    <row r="5" spans="1:11" x14ac:dyDescent="0.2">
      <c r="A5" s="1">
        <v>2011</v>
      </c>
      <c r="B5" s="2">
        <v>1523746.6986954729</v>
      </c>
      <c r="C5" s="2">
        <v>20058.98430990889</v>
      </c>
      <c r="D5" s="2">
        <v>1747966.6600170401</v>
      </c>
      <c r="E5" s="2">
        <v>1726241.8230354399</v>
      </c>
      <c r="F5" s="2">
        <v>0.14715041647901761</v>
      </c>
      <c r="G5" s="2">
        <v>0.13289290438714579</v>
      </c>
      <c r="H5" s="2">
        <v>40499.024867993357</v>
      </c>
      <c r="I5" s="2">
        <v>1685742.7981674471</v>
      </c>
      <c r="J5" s="2">
        <v>0.1063143235097168</v>
      </c>
      <c r="K5" s="2">
        <v>60558.009177902262</v>
      </c>
    </row>
    <row r="6" spans="1:11" x14ac:dyDescent="0.2">
      <c r="A6" s="1">
        <v>2012</v>
      </c>
      <c r="B6" s="2">
        <v>1685742.7981674471</v>
      </c>
      <c r="C6" s="2">
        <v>21667.950511777071</v>
      </c>
      <c r="D6" s="2">
        <v>1859056.058493942</v>
      </c>
      <c r="E6" s="2">
        <v>1835950.5320933161</v>
      </c>
      <c r="F6" s="2">
        <v>0.10281121207511749</v>
      </c>
      <c r="G6" s="2">
        <v>8.9104775704311523E-2</v>
      </c>
      <c r="H6" s="2">
        <v>30041.546785173799</v>
      </c>
      <c r="I6" s="2">
        <v>1805908.9853081419</v>
      </c>
      <c r="J6" s="2">
        <v>7.1283820563449354E-2</v>
      </c>
      <c r="K6" s="2">
        <v>51709.497296950867</v>
      </c>
    </row>
    <row r="7" spans="1:11" x14ac:dyDescent="0.2">
      <c r="A7" s="1">
        <v>2013</v>
      </c>
      <c r="B7" s="2">
        <v>1805908.9853081419</v>
      </c>
      <c r="C7" s="2">
        <v>20677.34162613453</v>
      </c>
      <c r="D7" s="2">
        <v>1572904.8152720409</v>
      </c>
      <c r="E7" s="2">
        <v>1553355.7577980121</v>
      </c>
      <c r="F7" s="2">
        <v>-0.1290232076653316</v>
      </c>
      <c r="G7" s="2">
        <v>-0.1398482590012898</v>
      </c>
      <c r="H7" s="2">
        <v>0</v>
      </c>
      <c r="I7" s="2">
        <v>1553355.7577980121</v>
      </c>
      <c r="J7" s="2">
        <v>-0.1398482590012898</v>
      </c>
      <c r="K7" s="2">
        <v>20677.34162613453</v>
      </c>
    </row>
    <row r="8" spans="1:11" x14ac:dyDescent="0.2">
      <c r="A8" s="1">
        <v>2014</v>
      </c>
      <c r="B8" s="2">
        <v>1553355.7577980121</v>
      </c>
      <c r="C8" s="2">
        <v>21977.999180113329</v>
      </c>
      <c r="D8" s="2">
        <v>1788185.026062682</v>
      </c>
      <c r="E8" s="2">
        <v>1765960.3297496701</v>
      </c>
      <c r="F8" s="2">
        <v>0.15117545809181279</v>
      </c>
      <c r="G8" s="2">
        <v>0.1368679202329279</v>
      </c>
      <c r="H8" s="2">
        <v>0</v>
      </c>
      <c r="I8" s="2">
        <v>1765960.3297496701</v>
      </c>
      <c r="J8" s="2">
        <v>0.13686792023292779</v>
      </c>
      <c r="K8" s="2">
        <v>21977.999180113329</v>
      </c>
    </row>
    <row r="9" spans="1:11" x14ac:dyDescent="0.2">
      <c r="A9" s="1">
        <v>2015</v>
      </c>
      <c r="B9" s="2">
        <v>1765960.3297496701</v>
      </c>
      <c r="C9" s="2">
        <v>21809.78381942687</v>
      </c>
      <c r="D9" s="2">
        <v>1609202.6528448861</v>
      </c>
      <c r="E9" s="2">
        <v>1589202.462850946</v>
      </c>
      <c r="F9" s="2">
        <v>-8.8766250444031636E-2</v>
      </c>
      <c r="G9" s="2">
        <v>-0.1000916407469807</v>
      </c>
      <c r="H9" s="2">
        <v>0</v>
      </c>
      <c r="I9" s="2">
        <v>1589202.462850946</v>
      </c>
      <c r="J9" s="2">
        <v>-0.10009164074698081</v>
      </c>
      <c r="K9" s="2">
        <v>21809.78381942687</v>
      </c>
    </row>
    <row r="10" spans="1:11" x14ac:dyDescent="0.2">
      <c r="A10" s="1">
        <v>2016</v>
      </c>
      <c r="B10" s="2">
        <v>1589202.462850946</v>
      </c>
      <c r="C10" s="2">
        <v>21217.762975633221</v>
      </c>
      <c r="D10" s="2">
        <v>1733429.298556501</v>
      </c>
      <c r="E10" s="2">
        <v>1711885.141112501</v>
      </c>
      <c r="F10" s="2">
        <v>9.0754223629139874E-2</v>
      </c>
      <c r="G10" s="2">
        <v>7.7197639148802066E-2</v>
      </c>
      <c r="H10" s="2">
        <v>0</v>
      </c>
      <c r="I10" s="2">
        <v>1711885.141112501</v>
      </c>
      <c r="J10" s="2">
        <v>7.7197639148802025E-2</v>
      </c>
      <c r="K10" s="2">
        <v>21217.762975633221</v>
      </c>
    </row>
    <row r="11" spans="1:11" x14ac:dyDescent="0.2">
      <c r="A11" s="1">
        <v>2017</v>
      </c>
      <c r="B11" s="2">
        <v>1711885.141112501</v>
      </c>
      <c r="C11" s="2">
        <v>22228.219489826079</v>
      </c>
      <c r="D11" s="2">
        <v>1851466.8908359029</v>
      </c>
      <c r="E11" s="2">
        <v>1828455.6874186429</v>
      </c>
      <c r="F11" s="2">
        <v>8.1536866213285597E-2</v>
      </c>
      <c r="G11" s="2">
        <v>6.8094840890076558E-2</v>
      </c>
      <c r="H11" s="2">
        <v>4509.3404221002011</v>
      </c>
      <c r="I11" s="2">
        <v>1823946.346996543</v>
      </c>
      <c r="J11" s="2">
        <v>6.5460703637638118E-2</v>
      </c>
      <c r="K11" s="2">
        <v>26737.559911926281</v>
      </c>
    </row>
    <row r="12" spans="1:11" x14ac:dyDescent="0.2">
      <c r="A12" s="1">
        <v>2018</v>
      </c>
      <c r="B12" s="2">
        <v>1823946.346996543</v>
      </c>
      <c r="C12" s="2">
        <v>22631.005175307379</v>
      </c>
      <c r="D12" s="2">
        <v>1836284.939993754</v>
      </c>
      <c r="E12" s="2">
        <v>1813462.427479276</v>
      </c>
      <c r="F12" s="2">
        <v>6.7647784802054023E-3</v>
      </c>
      <c r="G12" s="2">
        <v>-5.7479319687943056E-3</v>
      </c>
      <c r="H12" s="2">
        <v>0</v>
      </c>
      <c r="I12" s="2">
        <v>1813462.427479276</v>
      </c>
      <c r="J12" s="2">
        <v>-5.7479319687943108E-3</v>
      </c>
      <c r="K12" s="2">
        <v>22631.005175307379</v>
      </c>
    </row>
    <row r="13" spans="1:11" x14ac:dyDescent="0.2">
      <c r="A13" s="1">
        <v>2019</v>
      </c>
      <c r="B13" s="2">
        <v>1813462.427479276</v>
      </c>
      <c r="C13" s="2">
        <v>23094.385213559151</v>
      </c>
      <c r="D13" s="2">
        <v>1929068.099166777</v>
      </c>
      <c r="E13" s="2">
        <v>1905092.4187722809</v>
      </c>
      <c r="F13" s="2">
        <v>6.3748589403197276E-2</v>
      </c>
      <c r="G13" s="2">
        <v>5.0527648052996373E-2</v>
      </c>
      <c r="H13" s="2">
        <v>16229.21435514768</v>
      </c>
      <c r="I13" s="2">
        <v>1888863.204417133</v>
      </c>
      <c r="J13" s="2">
        <v>4.1578350780978303E-2</v>
      </c>
      <c r="K13" s="2">
        <v>39323.599568706828</v>
      </c>
    </row>
    <row r="14" spans="1:11" x14ac:dyDescent="0.2">
      <c r="A14" s="1">
        <v>2020</v>
      </c>
      <c r="B14" s="2">
        <v>1888863.204417133</v>
      </c>
      <c r="C14" s="2">
        <v>27468.039390233771</v>
      </c>
      <c r="D14" s="2">
        <v>2417978.6123226751</v>
      </c>
      <c r="E14" s="2">
        <v>2387926.4423475368</v>
      </c>
      <c r="F14" s="2">
        <v>0.28012373086002063</v>
      </c>
      <c r="G14" s="2">
        <v>0.2642135421788816</v>
      </c>
      <c r="H14" s="2">
        <v>99812.64758608077</v>
      </c>
      <c r="I14" s="2">
        <v>2288113.794761457</v>
      </c>
      <c r="J14" s="2">
        <v>0.21137083374310531</v>
      </c>
      <c r="K14" s="2">
        <v>127280.6869763146</v>
      </c>
    </row>
    <row r="15" spans="1:11" x14ac:dyDescent="0.2">
      <c r="A15" s="1">
        <v>2021</v>
      </c>
      <c r="B15" s="2">
        <v>2288113.794761457</v>
      </c>
      <c r="C15" s="2">
        <v>27542.054206702349</v>
      </c>
      <c r="D15" s="2">
        <v>2238032.8825651091</v>
      </c>
      <c r="E15" s="2">
        <v>2210217.192114403</v>
      </c>
      <c r="F15" s="2">
        <v>-2.1887421994048691E-2</v>
      </c>
      <c r="G15" s="2">
        <v>-3.4044024744483758E-2</v>
      </c>
      <c r="H15" s="2">
        <v>0</v>
      </c>
      <c r="I15" s="2">
        <v>2210217.192114403</v>
      </c>
      <c r="J15" s="2">
        <v>-3.404402474448371E-2</v>
      </c>
      <c r="K15" s="2">
        <v>27542.054206702349</v>
      </c>
    </row>
    <row r="16" spans="1:11" x14ac:dyDescent="0.2">
      <c r="A16" s="1">
        <v>2022</v>
      </c>
      <c r="B16" s="2">
        <v>2210217.192114403</v>
      </c>
      <c r="C16" s="2">
        <v>25288.692944016231</v>
      </c>
      <c r="D16" s="2">
        <v>2081058.5898545741</v>
      </c>
      <c r="E16" s="2">
        <v>2055193.8753563529</v>
      </c>
      <c r="F16" s="2">
        <v>-5.8437063434598202E-2</v>
      </c>
      <c r="G16" s="2">
        <v>-7.0139404087137369E-2</v>
      </c>
      <c r="H16" s="2">
        <v>0</v>
      </c>
      <c r="I16" s="2">
        <v>2055193.8753563529</v>
      </c>
      <c r="J16" s="2">
        <v>-7.0139404087137314E-2</v>
      </c>
      <c r="K16" s="2">
        <v>25288.692944016231</v>
      </c>
    </row>
    <row r="17" spans="1:11" x14ac:dyDescent="0.2">
      <c r="A17" s="1">
        <v>2023</v>
      </c>
      <c r="B17" s="2">
        <v>2055193.8753563529</v>
      </c>
      <c r="C17" s="2">
        <v>27260.39922975895</v>
      </c>
      <c r="D17" s="2">
        <v>2373405.8908438771</v>
      </c>
      <c r="E17" s="2">
        <v>2343907.698887947</v>
      </c>
      <c r="F17" s="2">
        <v>0.15483308864588219</v>
      </c>
      <c r="G17" s="2">
        <v>0.14048009143737519</v>
      </c>
      <c r="H17" s="2">
        <v>11158.780825297999</v>
      </c>
      <c r="I17" s="2">
        <v>2332748.9180626492</v>
      </c>
      <c r="J17" s="2">
        <v>0.13505054001689751</v>
      </c>
      <c r="K17" s="2">
        <v>38419.180055056953</v>
      </c>
    </row>
    <row r="18" spans="1:11" x14ac:dyDescent="0.2">
      <c r="A18" s="1">
        <v>2024</v>
      </c>
      <c r="B18" s="2">
        <v>2332748.9180626492</v>
      </c>
      <c r="C18" s="2">
        <v>30624.940730745369</v>
      </c>
      <c r="D18" s="2">
        <v>2590793.5089783119</v>
      </c>
      <c r="E18" s="2">
        <v>2558593.4859898919</v>
      </c>
      <c r="F18" s="2">
        <v>0.1106182448173503</v>
      </c>
      <c r="G18" s="2">
        <v>9.6814777697896259E-2</v>
      </c>
      <c r="H18" s="2">
        <v>45168.913585448638</v>
      </c>
      <c r="I18" s="2">
        <v>2513424.5724044428</v>
      </c>
      <c r="J18" s="2">
        <v>7.7451822158316946E-2</v>
      </c>
      <c r="K18" s="2">
        <v>75793.854316194003</v>
      </c>
    </row>
    <row r="19" spans="1:11" x14ac:dyDescent="0.2">
      <c r="A19" s="1">
        <v>2025</v>
      </c>
      <c r="B19" s="2">
        <v>2513424.5724044428</v>
      </c>
      <c r="C19" s="2">
        <v>2649.5684034096839</v>
      </c>
      <c r="D19" s="2">
        <v>2543585.667273297</v>
      </c>
      <c r="E19" s="2">
        <v>2540936.0988698872</v>
      </c>
      <c r="F19" s="2">
        <v>1.2000000000000011E-2</v>
      </c>
      <c r="G19" s="2">
        <v>1.094583333333321E-2</v>
      </c>
      <c r="H19" s="2">
        <v>5502.3052930886861</v>
      </c>
      <c r="I19" s="2">
        <v>2535433.7935767979</v>
      </c>
      <c r="J19" s="2">
        <v>8.7566666666665637E-3</v>
      </c>
      <c r="K19" s="2">
        <v>8151.87369649837</v>
      </c>
    </row>
    <row r="21" spans="1:11" x14ac:dyDescent="0.2">
      <c r="A21" s="2" t="s">
        <v>11</v>
      </c>
      <c r="B21" s="3">
        <f>B2</f>
        <v>1000000</v>
      </c>
    </row>
    <row r="22" spans="1:11" x14ac:dyDescent="0.2">
      <c r="A22" s="2" t="s">
        <v>12</v>
      </c>
      <c r="B22" s="3" cm="1">
        <f t="array" ref="B22">B21*PRODUCT(1+F2:F19)</f>
        <v>3856620.9150227378</v>
      </c>
    </row>
    <row r="23" spans="1:11" x14ac:dyDescent="0.2">
      <c r="A23" s="2" t="s">
        <v>13</v>
      </c>
      <c r="B23" s="3">
        <f>I19</f>
        <v>2535433.7935767979</v>
      </c>
    </row>
    <row r="24" spans="1:11" x14ac:dyDescent="0.2">
      <c r="A24" s="2" t="s">
        <v>14</v>
      </c>
      <c r="B24" s="3">
        <f>SUM(K2:K19)</f>
        <v>757222.13094559382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 Leroth, JM, Mr [24913693@sun.ac.za]</cp:lastModifiedBy>
  <dcterms:created xsi:type="dcterms:W3CDTF">2025-06-11T10:48:35Z</dcterms:created>
  <dcterms:modified xsi:type="dcterms:W3CDTF">2025-06-11T11:02:29Z</dcterms:modified>
</cp:coreProperties>
</file>