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jakemcleroth/Desktop/University/Masters/Modules/Semester 1/CAIA/tasks/hedge_fund_fees/"/>
    </mc:Choice>
  </mc:AlternateContent>
  <xr:revisionPtr revIDLastSave="0" documentId="13_ncr:1_{39D5FC48-B8F6-E046-A446-5E3B8393A7D4}" xr6:coauthVersionLast="47" xr6:coauthVersionMax="47" xr10:uidLastSave="{00000000-0000-0000-0000-000000000000}"/>
  <bookViews>
    <workbookView xWindow="0" yWindow="500" windowWidth="25600" windowHeight="14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2" i="1" a="1"/>
  <c r="B22" i="1" s="1"/>
  <c r="B21" i="1"/>
  <c r="B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<sst xmlns="http://schemas.openxmlformats.org/spreadsheetml/2006/main" count="15" uniqueCount="15">
  <si>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Year</t>
  </si>
  <si>
    <t>Starting Capital</t>
  </si>
  <si>
    <t>Management Fees (R)</t>
  </si>
  <si>
    <t>Ending Capital (pre-management fee)</t>
  </si>
  <si>
    <t>Ending Capital (post-management fee)</t>
  </si>
  <si>
    <t>Annual Return (pre-management fee)</t>
  </si>
  <si>
    <t>Annual Return (post-management fee)</t>
  </si>
  <si>
    <t>Performance Fees (R)</t>
  </si>
  <si>
    <t>Ending Capital (after all fees)</t>
  </si>
  <si>
    <t>Net Return (after all fees)</t>
  </si>
  <si>
    <t>Total Fees Earned (R)</t>
  </si>
  <si>
    <t>Starting ammount</t>
  </si>
  <si>
    <t>Ending amount - no fees</t>
  </si>
  <si>
    <t>Ending amount - after fees</t>
  </si>
  <si>
    <t>Fees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</si>
</sst>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R&quot;* #,##0.00_);_(&quot;R&quot;* \(#,##0.00\);_(&quot;R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4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B24" sqref="B24"/>
    </sheetView>
  </sheetViews>
  <sheetFormatPr baseColWidth="10" defaultColWidth="8.83203125" defaultRowHeight="15" x14ac:dyDescent="0.2"/>
  <cols>
    <col min="1" max="1" width="20.6640625" bestFit="1" customWidth="1"/>
    <col min="2" max="2" width="14.33203125" bestFit="1" customWidth="1"/>
    <col min="3" max="3" width="17.83203125" bestFit="1" customWidth="1"/>
    <col min="4" max="4" width="30" bestFit="1" customWidth="1"/>
    <col min="5" max="5" width="30.6640625" bestFit="1" customWidth="1"/>
    <col min="6" max="6" width="30.33203125" bestFit="1" customWidth="1"/>
    <col min="7" max="7" width="31" bestFit="1" customWidth="1"/>
    <col min="8" max="8" width="17.5" bestFit="1" customWidth="1"/>
    <col min="9" max="9" width="23" bestFit="1" customWidth="1"/>
    <col min="10" max="10" width="20.5" bestFit="1" customWidth="1"/>
    <col min="11" max="11" width="17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2008</v>
      </c>
      <c r="B2" s="2">
        <v>1000000</v>
      </c>
      <c r="C2" s="2">
        <v>6702.7247089773145</v>
      </c>
      <c r="D2" s="2">
        <v>1040300</v>
      </c>
      <c r="E2" s="2">
        <v>1033552.690310467</v>
      </c>
      <c r="F2" s="2">
        <v>4.0300000000000002E-2</v>
      </c>
      <c r="G2" s="2">
        <v>3.3552690310467259E-2</v>
      </c>
      <c r="H2" s="2">
        <v>0</v>
      </c>
      <c r="I2" s="2">
        <v>1033552.690310467</v>
      </c>
      <c r="J2" s="2">
        <v>3.3552690310467148E-2</v>
      </c>
      <c r="K2" s="2">
        <v>6702.7247089773145</v>
      </c>
    </row>
    <row r="3" spans="1:11" x14ac:dyDescent="0.2">
      <c r="A3" s="1">
        <v>2009</v>
      </c>
      <c r="B3" s="2">
        <v>1033552.690310467</v>
      </c>
      <c r="C3" s="2">
        <v>28601.912451411121</v>
      </c>
      <c r="D3" s="2">
        <v>1186996.6088650769</v>
      </c>
      <c r="E3" s="2">
        <v>1156499.8249296709</v>
      </c>
      <c r="F3" s="2">
        <v>0.14846259894937419</v>
      </c>
      <c r="G3" s="2">
        <v>0.118955845959118</v>
      </c>
      <c r="H3" s="2">
        <v>10119.689259494249</v>
      </c>
      <c r="I3" s="2">
        <v>1146380.1356701769</v>
      </c>
      <c r="J3" s="2">
        <v>0.10916467676729449</v>
      </c>
      <c r="K3" s="2">
        <v>38721.601710905379</v>
      </c>
    </row>
    <row r="4" spans="1:11" x14ac:dyDescent="0.2">
      <c r="A4" s="1">
        <v>2010</v>
      </c>
      <c r="B4" s="2">
        <v>1146380.1356701769</v>
      </c>
      <c r="C4" s="2">
        <v>33099.137362916583</v>
      </c>
      <c r="D4" s="2">
        <v>1372431.483601145</v>
      </c>
      <c r="E4" s="2">
        <v>1337170.433898946</v>
      </c>
      <c r="F4" s="2">
        <v>0.19718707686679979</v>
      </c>
      <c r="G4" s="2">
        <v>0.16642847541773989</v>
      </c>
      <c r="H4" s="2">
        <v>22108.737746371389</v>
      </c>
      <c r="I4" s="2">
        <v>1315061.6961525751</v>
      </c>
      <c r="J4" s="2">
        <v>0.1471427803341919</v>
      </c>
      <c r="K4" s="2">
        <v>55207.875109287968</v>
      </c>
    </row>
    <row r="5" spans="1:11" x14ac:dyDescent="0.2">
      <c r="A5" s="1">
        <v>2011</v>
      </c>
      <c r="B5" s="2">
        <v>1315061.6961525751</v>
      </c>
      <c r="C5" s="2">
        <v>40259.975480762543</v>
      </c>
      <c r="D5" s="2">
        <v>1723752.688156601</v>
      </c>
      <c r="E5" s="2">
        <v>1679465.355828796</v>
      </c>
      <c r="F5" s="2">
        <v>0.31077704810330792</v>
      </c>
      <c r="G5" s="2">
        <v>0.27710004841776059</v>
      </c>
      <c r="H5" s="2">
        <v>54469.868189108092</v>
      </c>
      <c r="I5" s="2">
        <v>1624995.487639687</v>
      </c>
      <c r="J5" s="2">
        <v>0.2356800387342084</v>
      </c>
      <c r="K5" s="2">
        <v>94729.843669870635</v>
      </c>
    </row>
    <row r="6" spans="1:11" x14ac:dyDescent="0.2">
      <c r="A6" s="1">
        <v>2012</v>
      </c>
      <c r="B6" s="2">
        <v>1624995.487639687</v>
      </c>
      <c r="C6" s="2">
        <v>48984.285502229279</v>
      </c>
      <c r="D6" s="2">
        <v>2001985.8956650731</v>
      </c>
      <c r="E6" s="2">
        <v>1950550.086290519</v>
      </c>
      <c r="F6" s="2">
        <v>0.23199474145799989</v>
      </c>
      <c r="G6" s="2">
        <v>0.20034184779411321</v>
      </c>
      <c r="H6" s="2">
        <v>42360.982903210577</v>
      </c>
      <c r="I6" s="2">
        <v>1908189.1033873081</v>
      </c>
      <c r="J6" s="2">
        <v>0.17427347823529049</v>
      </c>
      <c r="K6" s="2">
        <v>91345.268405439856</v>
      </c>
    </row>
    <row r="7" spans="1:11" x14ac:dyDescent="0.2">
      <c r="A7" s="1">
        <v>2013</v>
      </c>
      <c r="B7" s="2">
        <v>1908189.1033873081</v>
      </c>
      <c r="C7" s="2">
        <v>53287.830170625573</v>
      </c>
      <c r="D7" s="2">
        <v>2706288.5080418829</v>
      </c>
      <c r="E7" s="2">
        <v>2636757.478820547</v>
      </c>
      <c r="F7" s="2">
        <v>0.41824963953406652</v>
      </c>
      <c r="G7" s="2">
        <v>0.38181141174107219</v>
      </c>
      <c r="H7" s="2">
        <v>118999.0276392254</v>
      </c>
      <c r="I7" s="2">
        <v>2517758.4511813209</v>
      </c>
      <c r="J7" s="2">
        <v>0.31944912939285758</v>
      </c>
      <c r="K7" s="2">
        <v>172286.857809851</v>
      </c>
    </row>
    <row r="8" spans="1:11" x14ac:dyDescent="0.2">
      <c r="A8" s="1">
        <v>2014</v>
      </c>
      <c r="B8" s="2">
        <v>2517758.4511813209</v>
      </c>
      <c r="C8" s="2">
        <v>76396.386658877862</v>
      </c>
      <c r="D8" s="2">
        <v>3543044.8176177158</v>
      </c>
      <c r="E8" s="2">
        <v>3452015.516043168</v>
      </c>
      <c r="F8" s="2">
        <v>0.4072218945210313</v>
      </c>
      <c r="G8" s="2">
        <v>0.37106699589211889</v>
      </c>
      <c r="H8" s="2">
        <v>151602.7946558308</v>
      </c>
      <c r="I8" s="2">
        <v>3300412.721387337</v>
      </c>
      <c r="J8" s="2">
        <v>0.31085359671369511</v>
      </c>
      <c r="K8" s="2">
        <v>227999.18131470869</v>
      </c>
    </row>
    <row r="9" spans="1:11" x14ac:dyDescent="0.2">
      <c r="A9" s="1">
        <v>2015</v>
      </c>
      <c r="B9" s="2">
        <v>3300412.721387337</v>
      </c>
      <c r="C9" s="2">
        <v>95326.791099484719</v>
      </c>
      <c r="D9" s="2">
        <v>4048256.588681675</v>
      </c>
      <c r="E9" s="2">
        <v>3944247.1874937918</v>
      </c>
      <c r="F9" s="2">
        <v>0.22659101464739839</v>
      </c>
      <c r="G9" s="2">
        <v>0.1950769556589933</v>
      </c>
      <c r="H9" s="2">
        <v>82561.115121868264</v>
      </c>
      <c r="I9" s="2">
        <v>3861686.0723719229</v>
      </c>
      <c r="J9" s="2">
        <v>0.17006156452719459</v>
      </c>
      <c r="K9" s="2">
        <v>177887.90622135301</v>
      </c>
    </row>
    <row r="10" spans="1:11" x14ac:dyDescent="0.2">
      <c r="A10" s="1">
        <v>2016</v>
      </c>
      <c r="B10" s="2">
        <v>3861686.0723719229</v>
      </c>
      <c r="C10" s="2">
        <v>102614.7287624985</v>
      </c>
      <c r="D10" s="2">
        <v>4166049.8866668092</v>
      </c>
      <c r="E10" s="2">
        <v>4059014.093717684</v>
      </c>
      <c r="F10" s="2">
        <v>7.8816301633741981E-2</v>
      </c>
      <c r="G10" s="2">
        <v>5.1098928718604553E-2</v>
      </c>
      <c r="H10" s="2">
        <v>0</v>
      </c>
      <c r="I10" s="2">
        <v>4059014.093717684</v>
      </c>
      <c r="J10" s="2">
        <v>5.1098928718604497E-2</v>
      </c>
      <c r="K10" s="2">
        <v>102614.7287624985</v>
      </c>
    </row>
    <row r="11" spans="1:11" x14ac:dyDescent="0.2">
      <c r="A11" s="1">
        <v>2017</v>
      </c>
      <c r="B11" s="2">
        <v>4059014.093717684</v>
      </c>
      <c r="C11" s="2">
        <v>99914.958108406805</v>
      </c>
      <c r="D11" s="2">
        <v>3995140.3221623772</v>
      </c>
      <c r="E11" s="2">
        <v>3892495.6049941401</v>
      </c>
      <c r="F11" s="2">
        <v>-1.573627735221883E-2</v>
      </c>
      <c r="G11" s="2">
        <v>-4.1024368203419592E-2</v>
      </c>
      <c r="H11" s="2">
        <v>0</v>
      </c>
      <c r="I11" s="2">
        <v>3892495.6049941401</v>
      </c>
      <c r="J11" s="2">
        <v>-4.1024368203419641E-2</v>
      </c>
      <c r="K11" s="2">
        <v>99914.958108406805</v>
      </c>
    </row>
    <row r="12" spans="1:11" x14ac:dyDescent="0.2">
      <c r="A12" s="1">
        <v>2018</v>
      </c>
      <c r="B12" s="2">
        <v>3892495.6049941401</v>
      </c>
      <c r="C12" s="2">
        <v>103745.0827628486</v>
      </c>
      <c r="D12" s="2">
        <v>4374651.5914516104</v>
      </c>
      <c r="E12" s="2">
        <v>4262256.3214223748</v>
      </c>
      <c r="F12" s="2">
        <v>0.1238680875680003</v>
      </c>
      <c r="G12" s="2">
        <v>9.4993226441624001E-2</v>
      </c>
      <c r="H12" s="2">
        <v>0</v>
      </c>
      <c r="I12" s="2">
        <v>4262256.3214223748</v>
      </c>
      <c r="J12" s="2">
        <v>9.4993226441624043E-2</v>
      </c>
      <c r="K12" s="2">
        <v>103745.0827628486</v>
      </c>
    </row>
    <row r="13" spans="1:11" x14ac:dyDescent="0.2">
      <c r="A13" s="1">
        <v>2019</v>
      </c>
      <c r="B13" s="2">
        <v>4262256.3214223748</v>
      </c>
      <c r="C13" s="2">
        <v>116543.6778666938</v>
      </c>
      <c r="D13" s="2">
        <v>4485042.6325058388</v>
      </c>
      <c r="E13" s="2">
        <v>4369811.1524130749</v>
      </c>
      <c r="F13" s="2">
        <v>5.2269571391970297E-2</v>
      </c>
      <c r="G13" s="2">
        <v>2.523424751583403E-2</v>
      </c>
      <c r="H13" s="2">
        <v>0</v>
      </c>
      <c r="I13" s="2">
        <v>4369811.1524130749</v>
      </c>
      <c r="J13" s="2">
        <v>2.5234247515833939E-2</v>
      </c>
      <c r="K13" s="2">
        <v>116543.6778666938</v>
      </c>
    </row>
    <row r="14" spans="1:11" x14ac:dyDescent="0.2">
      <c r="A14" s="1">
        <v>2020</v>
      </c>
      <c r="B14" s="2">
        <v>4369811.1524130749</v>
      </c>
      <c r="C14" s="2">
        <v>146505.86298822911</v>
      </c>
      <c r="D14" s="2">
        <v>7115256.2538651619</v>
      </c>
      <c r="E14" s="2">
        <v>6932448.2904737247</v>
      </c>
      <c r="F14" s="2">
        <v>0.62827545761011017</v>
      </c>
      <c r="G14" s="2">
        <v>0.58644116385796741</v>
      </c>
      <c r="H14" s="2">
        <v>451350.07147834689</v>
      </c>
      <c r="I14" s="2">
        <v>6481098.2189953774</v>
      </c>
      <c r="J14" s="2">
        <v>0.48315293108637392</v>
      </c>
      <c r="K14" s="2">
        <v>597855.93446657597</v>
      </c>
    </row>
    <row r="15" spans="1:11" x14ac:dyDescent="0.2">
      <c r="A15" s="1">
        <v>2021</v>
      </c>
      <c r="B15" s="2">
        <v>6481098.2189953774</v>
      </c>
      <c r="C15" s="2">
        <v>192962.09574049801</v>
      </c>
      <c r="D15" s="2">
        <v>7702191.0390909584</v>
      </c>
      <c r="E15" s="2">
        <v>7504303.3162498949</v>
      </c>
      <c r="F15" s="2">
        <v>0.18840831890445561</v>
      </c>
      <c r="G15" s="2">
        <v>0.15787526475923741</v>
      </c>
      <c r="H15" s="2">
        <v>113905.6443849682</v>
      </c>
      <c r="I15" s="2">
        <v>7390397.6718649268</v>
      </c>
      <c r="J15" s="2">
        <v>0.14030021180739</v>
      </c>
      <c r="K15" s="2">
        <v>306867.7401254662</v>
      </c>
    </row>
    <row r="16" spans="1:11" x14ac:dyDescent="0.2">
      <c r="A16" s="1">
        <v>2022</v>
      </c>
      <c r="B16" s="2">
        <v>7390397.6718649268</v>
      </c>
      <c r="C16" s="2">
        <v>181703.30195636739</v>
      </c>
      <c r="D16" s="2">
        <v>7039090.1449092152</v>
      </c>
      <c r="E16" s="2">
        <v>6858239.0711589791</v>
      </c>
      <c r="F16" s="2">
        <v>-4.7535672984571731E-2</v>
      </c>
      <c r="G16" s="2">
        <v>-7.2006761250732576E-2</v>
      </c>
      <c r="H16" s="2">
        <v>0</v>
      </c>
      <c r="I16" s="2">
        <v>6858239.0711589791</v>
      </c>
      <c r="J16" s="2">
        <v>-7.200676125073259E-2</v>
      </c>
      <c r="K16" s="2">
        <v>181703.30195636739</v>
      </c>
    </row>
    <row r="17" spans="1:11" x14ac:dyDescent="0.2">
      <c r="A17" s="1">
        <v>2023</v>
      </c>
      <c r="B17" s="2">
        <v>6858239.0711589791</v>
      </c>
      <c r="C17" s="2">
        <v>181595.9079484104</v>
      </c>
      <c r="D17" s="2">
        <v>7376009.5105785271</v>
      </c>
      <c r="E17" s="2">
        <v>7186502.1719141966</v>
      </c>
      <c r="F17" s="2">
        <v>7.5496119929229888E-2</v>
      </c>
      <c r="G17" s="2">
        <v>4.786405042887254E-2</v>
      </c>
      <c r="H17" s="2">
        <v>0</v>
      </c>
      <c r="I17" s="2">
        <v>7186502.1719141966</v>
      </c>
      <c r="J17" s="2">
        <v>4.7864050428872561E-2</v>
      </c>
      <c r="K17" s="2">
        <v>181595.9079484104</v>
      </c>
    </row>
    <row r="18" spans="1:11" x14ac:dyDescent="0.2">
      <c r="A18" s="1">
        <v>2024</v>
      </c>
      <c r="B18" s="2">
        <v>7186502.1719141966</v>
      </c>
      <c r="C18" s="2">
        <v>224739.63589715291</v>
      </c>
      <c r="D18" s="2">
        <v>9921619.7287821881</v>
      </c>
      <c r="E18" s="2">
        <v>9666709.5707428716</v>
      </c>
      <c r="F18" s="2">
        <v>0.38059093164365732</v>
      </c>
      <c r="G18" s="2">
        <v>0.34512024619176418</v>
      </c>
      <c r="H18" s="2">
        <v>354651.34936879022</v>
      </c>
      <c r="I18" s="2">
        <v>9312058.2213740814</v>
      </c>
      <c r="J18" s="2">
        <v>0.29577059863236937</v>
      </c>
      <c r="K18" s="2">
        <v>579390.98526594322</v>
      </c>
    </row>
    <row r="19" spans="1:11" x14ac:dyDescent="0.2">
      <c r="A19" s="1">
        <v>2025</v>
      </c>
      <c r="B19" s="2">
        <v>9312058.2213740814</v>
      </c>
      <c r="C19" s="2">
        <v>41524.97213889932</v>
      </c>
      <c r="D19" s="2">
        <v>9781385.955731336</v>
      </c>
      <c r="E19" s="2">
        <v>9739045.8680961244</v>
      </c>
      <c r="F19" s="2">
        <v>5.04E-2</v>
      </c>
      <c r="G19" s="2">
        <v>4.585319771111096E-2</v>
      </c>
      <c r="H19" s="2">
        <v>0</v>
      </c>
      <c r="I19" s="2">
        <v>9739045.8680961244</v>
      </c>
      <c r="J19" s="2">
        <v>4.5853197711111057E-2</v>
      </c>
      <c r="K19" s="2">
        <v>41524.97213889932</v>
      </c>
    </row>
    <row r="21" spans="1:11" x14ac:dyDescent="0.2">
      <c r="A21" s="2" t="s">
        <v>11</v>
      </c>
      <c r="B21" s="3">
        <f>B2</f>
        <v>1000000</v>
      </c>
    </row>
    <row r="22" spans="1:11" x14ac:dyDescent="0.2">
      <c r="A22" s="2" t="s">
        <v>12</v>
      </c>
      <c r="B22" s="3" cm="1">
        <f t="array" ref="B22">B21*PRODUCT(1+F2:F19)</f>
        <v>20410910.980610091</v>
      </c>
    </row>
    <row r="23" spans="1:11" x14ac:dyDescent="0.2">
      <c r="A23" s="2" t="s">
        <v>13</v>
      </c>
      <c r="B23" s="3">
        <f>I19</f>
        <v>9739045.8680961244</v>
      </c>
    </row>
    <row r="24" spans="1:11" x14ac:dyDescent="0.2">
      <c r="A24" s="2" t="s">
        <v>14</v>
      </c>
      <c r="B24" s="3">
        <f>SUM(K2:K19)</f>
        <v>3176638.5483525041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 Leroth, JM, Mr [24913693@sun.ac.za]</cp:lastModifiedBy>
  <dcterms:created xsi:type="dcterms:W3CDTF">2025-06-11T10:48:36Z</dcterms:created>
  <dcterms:modified xsi:type="dcterms:W3CDTF">2025-06-11T11:05:27Z</dcterms:modified>
</cp:coreProperties>
</file>