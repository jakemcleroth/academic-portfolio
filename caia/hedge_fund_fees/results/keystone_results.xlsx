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akemcleroth/Desktop/University/Masters/Modules/Semester 1/CAIA/tasks/hedge_fund_fees/"/>
    </mc:Choice>
  </mc:AlternateContent>
  <xr:revisionPtr revIDLastSave="0" documentId="13_ncr:1_{1687139A-992F-5F45-A820-A57EFEE18D77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 a="1"/>
  <c r="B14" i="1" s="1"/>
  <c r="B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<sst xmlns="http://schemas.openxmlformats.org/spreadsheetml/2006/main" count="15" uniqueCount="15">
  <si>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Year</t>
  </si>
  <si>
    <t>Starting Capital</t>
  </si>
  <si>
    <t>Management Fees (R)</t>
  </si>
  <si>
    <t>Ending Capital (pre-management fee)</t>
  </si>
  <si>
    <t>Ending Capital (post-management fee)</t>
  </si>
  <si>
    <t>Annual Return (pre-management fee)</t>
  </si>
  <si>
    <t>Annual Return (post-management fee)</t>
  </si>
  <si>
    <t>Performance Fees (R)</t>
  </si>
  <si>
    <t>Ending Capital (after all fees)</t>
  </si>
  <si>
    <t>Net Return (after all fees)</t>
  </si>
  <si>
    <t>Total Fees Earned (R)</t>
  </si>
  <si>
    <t>Starting ammount</t>
  </si>
  <si>
    <t>Ending amount - no fees</t>
  </si>
  <si>
    <t>Ending amount - after fees</t>
  </si>
  <si>
    <t>Fees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</si>
</sst>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R&quot;* #,##0.00_);_(&quot;R&quot;* \(#,##0.00\);_(&quot;R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="150" workbookViewId="0">
      <selection activeCell="C13" sqref="C13"/>
    </sheetView>
  </sheetViews>
  <sheetFormatPr baseColWidth="10" defaultColWidth="8.83203125" defaultRowHeight="15" x14ac:dyDescent="0.2"/>
  <cols>
    <col min="1" max="1" width="21.6640625" bestFit="1" customWidth="1"/>
    <col min="2" max="2" width="14" bestFit="1" customWidth="1"/>
    <col min="3" max="3" width="17.83203125" bestFit="1" customWidth="1"/>
    <col min="4" max="4" width="30" bestFit="1" customWidth="1"/>
    <col min="5" max="5" width="30.6640625" bestFit="1" customWidth="1"/>
    <col min="6" max="6" width="30.33203125" bestFit="1" customWidth="1"/>
    <col min="7" max="7" width="31" bestFit="1" customWidth="1"/>
    <col min="8" max="8" width="17.5" bestFit="1" customWidth="1"/>
    <col min="9" max="9" width="23" bestFit="1" customWidth="1"/>
    <col min="10" max="10" width="20.5" bestFit="1" customWidth="1"/>
    <col min="11" max="11" width="17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2016</v>
      </c>
      <c r="B2" s="2">
        <v>1000000</v>
      </c>
      <c r="C2" s="2">
        <v>4432.2369089172153</v>
      </c>
      <c r="D2" s="2">
        <v>1031363.883867812</v>
      </c>
      <c r="E2" s="2">
        <v>1026859.556349316</v>
      </c>
      <c r="F2" s="2">
        <v>3.1363883867811859E-2</v>
      </c>
      <c r="G2" s="2">
        <v>2.685955634931636E-2</v>
      </c>
      <c r="H2" s="2">
        <v>0</v>
      </c>
      <c r="I2" s="2">
        <v>1026859.556349316</v>
      </c>
      <c r="J2" s="2">
        <v>2.6859556349316381E-2</v>
      </c>
      <c r="K2" s="2">
        <v>4432.2369089172153</v>
      </c>
    </row>
    <row r="3" spans="1:11" x14ac:dyDescent="0.2">
      <c r="A3" s="1">
        <v>2017</v>
      </c>
      <c r="B3" s="2">
        <v>1026859.556349316</v>
      </c>
      <c r="C3" s="2">
        <v>11435.431092833869</v>
      </c>
      <c r="D3" s="2">
        <v>1160908.273182661</v>
      </c>
      <c r="E3" s="2">
        <v>1148777.227698874</v>
      </c>
      <c r="F3" s="2">
        <v>0.13054240573064679</v>
      </c>
      <c r="G3" s="2">
        <v>0.1187286718964751</v>
      </c>
      <c r="H3" s="2">
        <v>7505.6253607658846</v>
      </c>
      <c r="I3" s="2">
        <v>1141271.602338108</v>
      </c>
      <c r="J3" s="2">
        <v>0.1114193711120038</v>
      </c>
      <c r="K3" s="2">
        <v>18941.056453599751</v>
      </c>
    </row>
    <row r="4" spans="1:11" x14ac:dyDescent="0.2">
      <c r="A4" s="1">
        <v>2018</v>
      </c>
      <c r="B4" s="2">
        <v>1141271.602338108</v>
      </c>
      <c r="C4" s="2">
        <v>12585.33483808034</v>
      </c>
      <c r="D4" s="2">
        <v>1242889.5899491841</v>
      </c>
      <c r="E4" s="2">
        <v>1229901.87119888</v>
      </c>
      <c r="F4" s="2">
        <v>8.9039267605443007E-2</v>
      </c>
      <c r="G4" s="2">
        <v>7.7659225620961392E-2</v>
      </c>
      <c r="H4" s="2">
        <v>1311.188504565557</v>
      </c>
      <c r="I4" s="2">
        <v>1228590.682694314</v>
      </c>
      <c r="J4" s="2">
        <v>7.6510341777817251E-2</v>
      </c>
      <c r="K4" s="2">
        <v>13896.5233426459</v>
      </c>
    </row>
    <row r="5" spans="1:11" x14ac:dyDescent="0.2">
      <c r="A5" s="1">
        <v>2019</v>
      </c>
      <c r="B5" s="2">
        <v>1228590.682694314</v>
      </c>
      <c r="C5" s="2">
        <v>13046.812853762131</v>
      </c>
      <c r="D5" s="2">
        <v>1288312.1304488231</v>
      </c>
      <c r="E5" s="2">
        <v>1274849.763599681</v>
      </c>
      <c r="F5" s="2">
        <v>4.8609718920819438E-2</v>
      </c>
      <c r="G5" s="2">
        <v>3.7652150188800297E-2</v>
      </c>
      <c r="H5" s="2">
        <v>0</v>
      </c>
      <c r="I5" s="2">
        <v>1274849.763599681</v>
      </c>
      <c r="J5" s="2">
        <v>3.7652150188800221E-2</v>
      </c>
      <c r="K5" s="2">
        <v>13046.812853762131</v>
      </c>
    </row>
    <row r="6" spans="1:11" x14ac:dyDescent="0.2">
      <c r="A6" s="1">
        <v>2020</v>
      </c>
      <c r="B6" s="2">
        <v>1274849.763599681</v>
      </c>
      <c r="C6" s="2">
        <v>14244.27538546056</v>
      </c>
      <c r="D6" s="2">
        <v>1455594.121691077</v>
      </c>
      <c r="E6" s="2">
        <v>1440383.7222959921</v>
      </c>
      <c r="F6" s="2">
        <v>0.14177698678865819</v>
      </c>
      <c r="G6" s="2">
        <v>0.12984585589827199</v>
      </c>
      <c r="H6" s="2">
        <v>11444.171286649909</v>
      </c>
      <c r="I6" s="2">
        <v>1428939.5510093421</v>
      </c>
      <c r="J6" s="2">
        <v>0.12086897751353121</v>
      </c>
      <c r="K6" s="2">
        <v>25688.446672110469</v>
      </c>
    </row>
    <row r="7" spans="1:11" x14ac:dyDescent="0.2">
      <c r="A7" s="1">
        <v>2021</v>
      </c>
      <c r="B7" s="2">
        <v>1428939.5510093421</v>
      </c>
      <c r="C7" s="2">
        <v>15782.038817491341</v>
      </c>
      <c r="D7" s="2">
        <v>1582490.171881574</v>
      </c>
      <c r="E7" s="2">
        <v>1565953.757509996</v>
      </c>
      <c r="F7" s="2">
        <v>0.1074577442858029</v>
      </c>
      <c r="G7" s="2">
        <v>9.5885236295596643E-2</v>
      </c>
      <c r="H7" s="2">
        <v>5548.2656895000628</v>
      </c>
      <c r="I7" s="2">
        <v>1560405.491820496</v>
      </c>
      <c r="J7" s="2">
        <v>9.2002450851257009E-2</v>
      </c>
      <c r="K7" s="2">
        <v>21330.304506991401</v>
      </c>
    </row>
    <row r="8" spans="1:11" x14ac:dyDescent="0.2">
      <c r="A8" s="1">
        <v>2022</v>
      </c>
      <c r="B8" s="2">
        <v>1560405.491820496</v>
      </c>
      <c r="C8" s="2">
        <v>17928.994287493311</v>
      </c>
      <c r="D8" s="2">
        <v>1827261.908847875</v>
      </c>
      <c r="E8" s="2">
        <v>1808167.723855763</v>
      </c>
      <c r="F8" s="2">
        <v>0.17101735313430819</v>
      </c>
      <c r="G8" s="2">
        <v>0.15878067164850049</v>
      </c>
      <c r="H8" s="2">
        <v>20780.077141174868</v>
      </c>
      <c r="I8" s="2">
        <v>1787387.6467145879</v>
      </c>
      <c r="J8" s="2">
        <v>0.1454635709012255</v>
      </c>
      <c r="K8" s="2">
        <v>38709.071428668183</v>
      </c>
    </row>
    <row r="9" spans="1:11" x14ac:dyDescent="0.2">
      <c r="A9" s="1">
        <v>2023</v>
      </c>
      <c r="B9" s="2">
        <v>1787387.6467145879</v>
      </c>
      <c r="C9" s="2">
        <v>19197.95017466342</v>
      </c>
      <c r="D9" s="2">
        <v>1970722.1938320571</v>
      </c>
      <c r="E9" s="2">
        <v>1950128.903973124</v>
      </c>
      <c r="F9" s="2">
        <v>0.1025712287172051</v>
      </c>
      <c r="G9" s="2">
        <v>9.10497829375021E-2</v>
      </c>
      <c r="H9" s="2">
        <v>5643.6182982772307</v>
      </c>
      <c r="I9" s="2">
        <v>1944485.285674847</v>
      </c>
      <c r="J9" s="2">
        <v>8.789231549687683E-2</v>
      </c>
      <c r="K9" s="2">
        <v>24841.568472940649</v>
      </c>
    </row>
    <row r="10" spans="1:11" x14ac:dyDescent="0.2">
      <c r="A10" s="1">
        <v>2024</v>
      </c>
      <c r="B10" s="2">
        <v>1944485.285674847</v>
      </c>
      <c r="C10" s="2">
        <v>21717.59251616184</v>
      </c>
      <c r="D10" s="2">
        <v>2203834.446020274</v>
      </c>
      <c r="E10" s="2">
        <v>2180805.2226776639</v>
      </c>
      <c r="F10" s="2">
        <v>0.13337676672385751</v>
      </c>
      <c r="G10" s="2">
        <v>0.12153341490614621</v>
      </c>
      <c r="H10" s="2">
        <v>15030.895050836711</v>
      </c>
      <c r="I10" s="2">
        <v>2165774.3276268281</v>
      </c>
      <c r="J10" s="2">
        <v>0.1138034026702243</v>
      </c>
      <c r="K10" s="2">
        <v>36748.487566998563</v>
      </c>
    </row>
    <row r="11" spans="1:11" x14ac:dyDescent="0.2">
      <c r="A11" s="1">
        <v>2025</v>
      </c>
      <c r="B11" s="2">
        <v>2165774.3276268281</v>
      </c>
      <c r="C11" s="2">
        <v>3800.839084912493</v>
      </c>
      <c r="D11" s="2">
        <v>2156321.6106542111</v>
      </c>
      <c r="E11" s="2">
        <v>2152549.6987692988</v>
      </c>
      <c r="F11" s="2">
        <v>-4.3645900000001134E-3</v>
      </c>
      <c r="G11" s="2">
        <v>-6.1061896841391183E-3</v>
      </c>
      <c r="H11" s="2">
        <v>0</v>
      </c>
      <c r="I11" s="2">
        <v>2152549.6987692988</v>
      </c>
      <c r="J11" s="2">
        <v>-6.1061896841391426E-3</v>
      </c>
      <c r="K11" s="2">
        <v>3800.839084912493</v>
      </c>
    </row>
    <row r="13" spans="1:11" x14ac:dyDescent="0.2">
      <c r="A13" s="2" t="s">
        <v>11</v>
      </c>
      <c r="B13" s="3">
        <f>B2</f>
        <v>1000000</v>
      </c>
    </row>
    <row r="14" spans="1:11" x14ac:dyDescent="0.2">
      <c r="A14" s="2" t="s">
        <v>12</v>
      </c>
      <c r="B14" s="3" cm="1">
        <f t="array" ref="B14">B13*PRODUCT(1+F2:F11)</f>
        <v>2453066.2093594871</v>
      </c>
    </row>
    <row r="15" spans="1:11" x14ac:dyDescent="0.2">
      <c r="A15" s="2" t="s">
        <v>13</v>
      </c>
      <c r="B15" s="3">
        <f>I11</f>
        <v>2152549.6987692988</v>
      </c>
    </row>
    <row r="16" spans="1:11" x14ac:dyDescent="0.2">
      <c r="A16" s="2" t="s">
        <v>14</v>
      </c>
      <c r="B16" s="3">
        <f>SUM(K2:K11)</f>
        <v>201435.34729154676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 Leroth, JM, Mr [24913693@sun.ac.za]</cp:lastModifiedBy>
  <dcterms:created xsi:type="dcterms:W3CDTF">2025-06-11T10:48:36Z</dcterms:created>
  <dcterms:modified xsi:type="dcterms:W3CDTF">2025-06-11T11:06:38Z</dcterms:modified>
</cp:coreProperties>
</file>