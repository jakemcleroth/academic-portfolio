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emcleroth/Desktop/University/Masters/Modules/Semester 1/VaR/assignment/assignment_1/modelling/"/>
    </mc:Choice>
  </mc:AlternateContent>
  <xr:revisionPtr revIDLastSave="0" documentId="13_ncr:1_{BAA02EA9-4639-3446-9480-CDBAA6A4096E}" xr6:coauthVersionLast="47" xr6:coauthVersionMax="47" xr10:uidLastSave="{00000000-0000-0000-0000-000000000000}"/>
  <bookViews>
    <workbookView xWindow="0" yWindow="0" windowWidth="38400" windowHeight="21600" activeTab="2" xr2:uid="{B1374C7A-0893-4368-A719-F38659D451BF}"/>
  </bookViews>
  <sheets>
    <sheet name="ALLSHARE" sheetId="1" r:id="rId1"/>
    <sheet name="TOP40" sheetId="2" r:id="rId2"/>
    <sheet name="INDUSTRIAL25" sheetId="3" r:id="rId3"/>
  </sheets>
  <definedNames>
    <definedName name="solver_adj" localSheetId="0" hidden="1">ALLSHARE!$G$3</definedName>
    <definedName name="solver_adj" localSheetId="2" hidden="1">INDUSTRIAL25!$G$3</definedName>
    <definedName name="solver_adj" localSheetId="1" hidden="1">'TOP40'!$G$3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in" localSheetId="0" hidden="1">2</definedName>
    <definedName name="solver_lin" localSheetId="2" hidden="1">2</definedName>
    <definedName name="solver_lin" localSheetId="1" hidden="1">2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0" hidden="1">0</definedName>
    <definedName name="solver_num" localSheetId="2" hidden="1">0</definedName>
    <definedName name="solver_num" localSheetId="1" hidden="1">0</definedName>
    <definedName name="solver_opt" localSheetId="0" hidden="1">ALLSHARE!$E$2</definedName>
    <definedName name="solver_opt" localSheetId="2" hidden="1">INDUSTRIAL25!$E$2</definedName>
    <definedName name="solver_opt" localSheetId="1" hidden="1">'TOP40'!$E$2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0" hidden="1">1</definedName>
    <definedName name="solver_rbv" localSheetId="2" hidden="1">1</definedName>
    <definedName name="solver_rbv" localSheetId="1" hidden="1">1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0" hidden="1">1</definedName>
    <definedName name="solver_scl" localSheetId="2" hidden="1">1</definedName>
    <definedName name="solver_scl" localSheetId="1" hidden="1">1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0" hidden="1">1</definedName>
    <definedName name="solver_typ" localSheetId="2" hidden="1">1</definedName>
    <definedName name="solver_typ" localSheetId="1" hidden="1">1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0" hidden="1">2</definedName>
    <definedName name="solver_ver" localSheetId="2" hidden="1">2</definedName>
    <definedName name="solver_ver" localSheetId="1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68" i="3" l="1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G5" i="3" s="1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3" i="1"/>
  <c r="G4" i="2" l="1"/>
  <c r="D81" i="2" s="1"/>
  <c r="E81" i="2" s="1"/>
  <c r="D63" i="2"/>
  <c r="E63" i="2" s="1"/>
  <c r="D609" i="2"/>
  <c r="E609" i="2" s="1"/>
  <c r="D769" i="2"/>
  <c r="E769" i="2" s="1"/>
  <c r="D100" i="2"/>
  <c r="E100" i="2" s="1"/>
  <c r="D36" i="2"/>
  <c r="E36" i="2" s="1"/>
  <c r="D113" i="2"/>
  <c r="E113" i="2" s="1"/>
  <c r="D143" i="2"/>
  <c r="E143" i="2" s="1"/>
  <c r="D236" i="2"/>
  <c r="E236" i="2" s="1"/>
  <c r="D300" i="2"/>
  <c r="E300" i="2" s="1"/>
  <c r="D364" i="2"/>
  <c r="E364" i="2" s="1"/>
  <c r="D428" i="2"/>
  <c r="E428" i="2" s="1"/>
  <c r="D492" i="2"/>
  <c r="E492" i="2" s="1"/>
  <c r="D556" i="2"/>
  <c r="E556" i="2" s="1"/>
  <c r="D620" i="2"/>
  <c r="E620" i="2" s="1"/>
  <c r="D684" i="2"/>
  <c r="E684" i="2" s="1"/>
  <c r="G5" i="2"/>
  <c r="D144" i="2"/>
  <c r="E144" i="2" s="1"/>
  <c r="D132" i="2"/>
  <c r="E132" i="2" s="1"/>
  <c r="D774" i="2"/>
  <c r="E774" i="2" s="1"/>
  <c r="D114" i="2"/>
  <c r="E114" i="2" s="1"/>
  <c r="D178" i="2"/>
  <c r="E178" i="2" s="1"/>
  <c r="D242" i="2"/>
  <c r="E242" i="2" s="1"/>
  <c r="D306" i="2"/>
  <c r="E306" i="2" s="1"/>
  <c r="D370" i="2"/>
  <c r="E370" i="2" s="1"/>
  <c r="D434" i="2"/>
  <c r="E434" i="2" s="1"/>
  <c r="D498" i="2"/>
  <c r="E498" i="2" s="1"/>
  <c r="D562" i="2"/>
  <c r="E562" i="2" s="1"/>
  <c r="D626" i="2"/>
  <c r="E626" i="2" s="1"/>
  <c r="D690" i="2"/>
  <c r="E690" i="2" s="1"/>
  <c r="D849" i="2"/>
  <c r="E849" i="2" s="1"/>
  <c r="D1068" i="2"/>
  <c r="E1068" i="2" s="1"/>
  <c r="D1191" i="2"/>
  <c r="E1191" i="2" s="1"/>
  <c r="D780" i="2"/>
  <c r="E780" i="2" s="1"/>
  <c r="D844" i="2"/>
  <c r="E844" i="2" s="1"/>
  <c r="D1021" i="2"/>
  <c r="E1021" i="2" s="1"/>
  <c r="D215" i="2"/>
  <c r="E215" i="2" s="1"/>
  <c r="D279" i="2"/>
  <c r="E279" i="2" s="1"/>
  <c r="D343" i="2"/>
  <c r="E343" i="2" s="1"/>
  <c r="D407" i="2"/>
  <c r="E407" i="2" s="1"/>
  <c r="D471" i="2"/>
  <c r="E471" i="2" s="1"/>
  <c r="D535" i="2"/>
  <c r="E535" i="2" s="1"/>
  <c r="D599" i="2"/>
  <c r="E599" i="2" s="1"/>
  <c r="D663" i="2"/>
  <c r="E663" i="2" s="1"/>
  <c r="D799" i="2"/>
  <c r="E799" i="2" s="1"/>
  <c r="D1036" i="2"/>
  <c r="E1036" i="2" s="1"/>
  <c r="D224" i="2"/>
  <c r="E224" i="2" s="1"/>
  <c r="D304" i="2"/>
  <c r="E304" i="2" s="1"/>
  <c r="D384" i="2"/>
  <c r="E384" i="2" s="1"/>
  <c r="D496" i="2"/>
  <c r="E496" i="2" s="1"/>
  <c r="D722" i="2"/>
  <c r="E722" i="2" s="1"/>
  <c r="D890" i="2"/>
  <c r="E890" i="2" s="1"/>
  <c r="D1050" i="2"/>
  <c r="E1050" i="2" s="1"/>
  <c r="D1226" i="2"/>
  <c r="E1226" i="2" s="1"/>
  <c r="D1378" i="2"/>
  <c r="E1378" i="2" s="1"/>
  <c r="D1506" i="2"/>
  <c r="E1506" i="2" s="1"/>
  <c r="D1634" i="2"/>
  <c r="E1634" i="2" s="1"/>
  <c r="D825" i="2"/>
  <c r="E825" i="2" s="1"/>
  <c r="D1024" i="2"/>
  <c r="E1024" i="2" s="1"/>
  <c r="D746" i="2"/>
  <c r="E746" i="2" s="1"/>
  <c r="D831" i="2"/>
  <c r="E831" i="2" s="1"/>
  <c r="D944" i="2"/>
  <c r="E944" i="2" s="1"/>
  <c r="D1085" i="2"/>
  <c r="E1085" i="2" s="1"/>
  <c r="D117" i="2"/>
  <c r="E117" i="2" s="1"/>
  <c r="D213" i="2"/>
  <c r="E213" i="2" s="1"/>
  <c r="D285" i="2"/>
  <c r="E285" i="2" s="1"/>
  <c r="D357" i="2"/>
  <c r="E357" i="2" s="1"/>
  <c r="D429" i="2"/>
  <c r="E429" i="2" s="1"/>
  <c r="D493" i="2"/>
  <c r="E493" i="2" s="1"/>
  <c r="D565" i="2"/>
  <c r="E565" i="2" s="1"/>
  <c r="D783" i="2"/>
  <c r="E783" i="2" s="1"/>
  <c r="D1060" i="2"/>
  <c r="E1060" i="2" s="1"/>
  <c r="D1197" i="2"/>
  <c r="E1197" i="2" s="1"/>
  <c r="D1341" i="2"/>
  <c r="E1341" i="2" s="1"/>
  <c r="D1469" i="2"/>
  <c r="E1469" i="2" s="1"/>
  <c r="D1581" i="2"/>
  <c r="E1581" i="2" s="1"/>
  <c r="D1597" i="2"/>
  <c r="E1597" i="2" s="1"/>
  <c r="D1613" i="2"/>
  <c r="E1613" i="2" s="1"/>
  <c r="D724" i="2"/>
  <c r="E724" i="2" s="1"/>
  <c r="D738" i="2"/>
  <c r="E738" i="2" s="1"/>
  <c r="D756" i="2"/>
  <c r="E756" i="2" s="1"/>
  <c r="D893" i="2"/>
  <c r="E893" i="2" s="1"/>
  <c r="D912" i="2"/>
  <c r="E912" i="2" s="1"/>
  <c r="D919" i="2"/>
  <c r="E919" i="2" s="1"/>
  <c r="D1061" i="2"/>
  <c r="E1061" i="2" s="1"/>
  <c r="D1074" i="2"/>
  <c r="E1074" i="2" s="1"/>
  <c r="D1108" i="2"/>
  <c r="E1108" i="2" s="1"/>
  <c r="D918" i="2"/>
  <c r="E918" i="2" s="1"/>
  <c r="D934" i="2"/>
  <c r="E934" i="2" s="1"/>
  <c r="D950" i="2"/>
  <c r="E950" i="2" s="1"/>
  <c r="D1190" i="2"/>
  <c r="E1190" i="2" s="1"/>
  <c r="D1209" i="2"/>
  <c r="E1209" i="2" s="1"/>
  <c r="D1219" i="2"/>
  <c r="E1219" i="2" s="1"/>
  <c r="D1773" i="2"/>
  <c r="E1773" i="2" s="1"/>
  <c r="D1805" i="2"/>
  <c r="E1805" i="2" s="1"/>
  <c r="D1826" i="2"/>
  <c r="E1826" i="2" s="1"/>
  <c r="D1834" i="2"/>
  <c r="E1834" i="2" s="1"/>
  <c r="D2048" i="2"/>
  <c r="E2048" i="2" s="1"/>
  <c r="D982" i="2"/>
  <c r="E982" i="2" s="1"/>
  <c r="D1211" i="2"/>
  <c r="E1211" i="2" s="1"/>
  <c r="D1230" i="2"/>
  <c r="E1230" i="2" s="1"/>
  <c r="D1270" i="2"/>
  <c r="E1270" i="2" s="1"/>
  <c r="D1329" i="2"/>
  <c r="E1329" i="2" s="1"/>
  <c r="D1334" i="2"/>
  <c r="E1334" i="2" s="1"/>
  <c r="D1345" i="2"/>
  <c r="E1345" i="2" s="1"/>
  <c r="D1398" i="2"/>
  <c r="E1398" i="2" s="1"/>
  <c r="D1409" i="2"/>
  <c r="E1409" i="2" s="1"/>
  <c r="D1414" i="2"/>
  <c r="E1414" i="2" s="1"/>
  <c r="D1462" i="2"/>
  <c r="E1462" i="2" s="1"/>
  <c r="D1478" i="2"/>
  <c r="E1478" i="2" s="1"/>
  <c r="D1489" i="2"/>
  <c r="E1489" i="2" s="1"/>
  <c r="D1542" i="2"/>
  <c r="E1542" i="2" s="1"/>
  <c r="D1553" i="2"/>
  <c r="E1553" i="2" s="1"/>
  <c r="D1558" i="2"/>
  <c r="E1558" i="2" s="1"/>
  <c r="D1617" i="2"/>
  <c r="E1617" i="2" s="1"/>
  <c r="D1622" i="2"/>
  <c r="E1622" i="2" s="1"/>
  <c r="D1633" i="2"/>
  <c r="E1633" i="2" s="1"/>
  <c r="D1686" i="2"/>
  <c r="E1686" i="2" s="1"/>
  <c r="D1717" i="2"/>
  <c r="E1717" i="2" s="1"/>
  <c r="D1749" i="2"/>
  <c r="E1749" i="2" s="1"/>
  <c r="D1032" i="2"/>
  <c r="E1032" i="2" s="1"/>
  <c r="D1064" i="2"/>
  <c r="E1064" i="2" s="1"/>
  <c r="D1096" i="2"/>
  <c r="E1096" i="2" s="1"/>
  <c r="D1158" i="2"/>
  <c r="E1158" i="2" s="1"/>
  <c r="D1166" i="2"/>
  <c r="E1166" i="2" s="1"/>
  <c r="D1174" i="2"/>
  <c r="E1174" i="2" s="1"/>
  <c r="D1730" i="2"/>
  <c r="E1730" i="2" s="1"/>
  <c r="D1762" i="2"/>
  <c r="E1762" i="2" s="1"/>
  <c r="D1794" i="2"/>
  <c r="E1794" i="2" s="1"/>
  <c r="D1882" i="2"/>
  <c r="E1882" i="2" s="1"/>
  <c r="D1890" i="2"/>
  <c r="E1890" i="2" s="1"/>
  <c r="D1898" i="2"/>
  <c r="E1898" i="2" s="1"/>
  <c r="D1946" i="2"/>
  <c r="E1946" i="2" s="1"/>
  <c r="D1954" i="2"/>
  <c r="E1954" i="2" s="1"/>
  <c r="D1962" i="2"/>
  <c r="E1962" i="2" s="1"/>
  <c r="D894" i="2"/>
  <c r="E894" i="2" s="1"/>
  <c r="D910" i="2"/>
  <c r="E910" i="2" s="1"/>
  <c r="D926" i="2"/>
  <c r="E926" i="2" s="1"/>
  <c r="D1086" i="2"/>
  <c r="E1086" i="2" s="1"/>
  <c r="D1187" i="2"/>
  <c r="E1187" i="2" s="1"/>
  <c r="D1202" i="2"/>
  <c r="E1202" i="2" s="1"/>
  <c r="D1837" i="2"/>
  <c r="E1837" i="2" s="1"/>
  <c r="D888" i="2"/>
  <c r="E888" i="2" s="1"/>
  <c r="D904" i="2"/>
  <c r="E904" i="2" s="1"/>
  <c r="D1040" i="2"/>
  <c r="E1040" i="2" s="1"/>
  <c r="D1072" i="2"/>
  <c r="E1072" i="2" s="1"/>
  <c r="D1104" i="2"/>
  <c r="E1104" i="2" s="1"/>
  <c r="D1802" i="2"/>
  <c r="E1802" i="2" s="1"/>
  <c r="D1845" i="2"/>
  <c r="E1845" i="2" s="1"/>
  <c r="D870" i="2"/>
  <c r="E870" i="2" s="1"/>
  <c r="D1198" i="2"/>
  <c r="E1198" i="2" s="1"/>
  <c r="D1243" i="2"/>
  <c r="E1243" i="2" s="1"/>
  <c r="D1262" i="2"/>
  <c r="E1262" i="2" s="1"/>
  <c r="D1321" i="2"/>
  <c r="E1321" i="2" s="1"/>
  <c r="D1326" i="2"/>
  <c r="E1326" i="2" s="1"/>
  <c r="D1337" i="2"/>
  <c r="E1337" i="2" s="1"/>
  <c r="D1390" i="2"/>
  <c r="E1390" i="2" s="1"/>
  <c r="D1401" i="2"/>
  <c r="E1401" i="2" s="1"/>
  <c r="D1406" i="2"/>
  <c r="E1406" i="2" s="1"/>
  <c r="D1454" i="2"/>
  <c r="E1454" i="2" s="1"/>
  <c r="D1465" i="2"/>
  <c r="E1465" i="2" s="1"/>
  <c r="D1470" i="2"/>
  <c r="E1470" i="2" s="1"/>
  <c r="D1529" i="2"/>
  <c r="E1529" i="2" s="1"/>
  <c r="D1534" i="2"/>
  <c r="E1534" i="2" s="1"/>
  <c r="D1550" i="2"/>
  <c r="E1550" i="2" s="1"/>
  <c r="D1614" i="2"/>
  <c r="E1614" i="2" s="1"/>
  <c r="D1625" i="2"/>
  <c r="E1625" i="2" s="1"/>
  <c r="D1630" i="2"/>
  <c r="E1630" i="2" s="1"/>
  <c r="D1701" i="2"/>
  <c r="E1701" i="2" s="1"/>
  <c r="D1733" i="2"/>
  <c r="E1733" i="2" s="1"/>
  <c r="D1765" i="2"/>
  <c r="E1765" i="2" s="1"/>
  <c r="D1877" i="2"/>
  <c r="E1877" i="2" s="1"/>
  <c r="D1885" i="2"/>
  <c r="E1885" i="2" s="1"/>
  <c r="D1893" i="2"/>
  <c r="E1893" i="2" s="1"/>
  <c r="D2021" i="2"/>
  <c r="E2021" i="2" s="1"/>
  <c r="D2029" i="2"/>
  <c r="E2029" i="2" s="1"/>
  <c r="D2037" i="2"/>
  <c r="E2037" i="2" s="1"/>
  <c r="D1112" i="2"/>
  <c r="E1112" i="2" s="1"/>
  <c r="D1120" i="2"/>
  <c r="E1120" i="2" s="1"/>
  <c r="D1128" i="2"/>
  <c r="E1128" i="2" s="1"/>
  <c r="D1176" i="2"/>
  <c r="E1176" i="2" s="1"/>
  <c r="D1184" i="2"/>
  <c r="E1184" i="2" s="1"/>
  <c r="D1224" i="2"/>
  <c r="E1224" i="2" s="1"/>
  <c r="D1193" i="2"/>
  <c r="E1193" i="2" s="1"/>
  <c r="D1214" i="2"/>
  <c r="E1214" i="2" s="1"/>
  <c r="D1246" i="2"/>
  <c r="E1246" i="2" s="1"/>
  <c r="D2049" i="2"/>
  <c r="E2049" i="2" s="1"/>
  <c r="D2068" i="2"/>
  <c r="E2068" i="2" s="1"/>
  <c r="D2081" i="2"/>
  <c r="E2081" i="2" s="1"/>
  <c r="D2591" i="2"/>
  <c r="E2591" i="2" s="1"/>
  <c r="D2607" i="2"/>
  <c r="E2607" i="2" s="1"/>
  <c r="D2623" i="2"/>
  <c r="E2623" i="2" s="1"/>
  <c r="D2201" i="2"/>
  <c r="E2201" i="2" s="1"/>
  <c r="D2265" i="2"/>
  <c r="E2265" i="2" s="1"/>
  <c r="D2329" i="2"/>
  <c r="E2329" i="2" s="1"/>
  <c r="D2089" i="2"/>
  <c r="E2089" i="2" s="1"/>
  <c r="D2145" i="2"/>
  <c r="E2145" i="2" s="1"/>
  <c r="D2209" i="2"/>
  <c r="E2209" i="2" s="1"/>
  <c r="D2369" i="2"/>
  <c r="E2369" i="2" s="1"/>
  <c r="D2377" i="2"/>
  <c r="E2377" i="2" s="1"/>
  <c r="D2385" i="2"/>
  <c r="E2385" i="2" s="1"/>
  <c r="D2433" i="2"/>
  <c r="E2433" i="2" s="1"/>
  <c r="D2441" i="2"/>
  <c r="E2441" i="2" s="1"/>
  <c r="D2449" i="2"/>
  <c r="E2449" i="2" s="1"/>
  <c r="D2497" i="2"/>
  <c r="E2497" i="2" s="1"/>
  <c r="D2505" i="2"/>
  <c r="E2505" i="2" s="1"/>
  <c r="D2513" i="2"/>
  <c r="E2513" i="2" s="1"/>
  <c r="D1990" i="2"/>
  <c r="E1990" i="2" s="1"/>
  <c r="D2008" i="2"/>
  <c r="E2008" i="2" s="1"/>
  <c r="D2024" i="2"/>
  <c r="E2024" i="2" s="1"/>
  <c r="D2602" i="2"/>
  <c r="E2602" i="2" s="1"/>
  <c r="D2618" i="2"/>
  <c r="E2618" i="2" s="1"/>
  <c r="D2634" i="2"/>
  <c r="E2634" i="2" s="1"/>
  <c r="D1710" i="2"/>
  <c r="E1710" i="2" s="1"/>
  <c r="D1718" i="2"/>
  <c r="E1718" i="2" s="1"/>
  <c r="D1726" i="2"/>
  <c r="E1726" i="2" s="1"/>
  <c r="D1774" i="2"/>
  <c r="E1774" i="2" s="1"/>
  <c r="D1782" i="2"/>
  <c r="E1782" i="2" s="1"/>
  <c r="D1790" i="2"/>
  <c r="E1790" i="2" s="1"/>
  <c r="D1838" i="2"/>
  <c r="E1838" i="2" s="1"/>
  <c r="D1846" i="2"/>
  <c r="E1846" i="2" s="1"/>
  <c r="D1854" i="2"/>
  <c r="E1854" i="2" s="1"/>
  <c r="D1902" i="2"/>
  <c r="E1902" i="2" s="1"/>
  <c r="D1910" i="2"/>
  <c r="E1910" i="2" s="1"/>
  <c r="D1918" i="2"/>
  <c r="E1918" i="2" s="1"/>
  <c r="D1966" i="2"/>
  <c r="E1966" i="2" s="1"/>
  <c r="D1974" i="2"/>
  <c r="E1974" i="2" s="1"/>
  <c r="D1982" i="2"/>
  <c r="E1982" i="2" s="1"/>
  <c r="D2046" i="2"/>
  <c r="E2046" i="2" s="1"/>
  <c r="D2052" i="2"/>
  <c r="E2052" i="2" s="1"/>
  <c r="D2065" i="2"/>
  <c r="E2065" i="2" s="1"/>
  <c r="D1195" i="2"/>
  <c r="E1195" i="2" s="1"/>
  <c r="D1227" i="2"/>
  <c r="E1227" i="2" s="1"/>
  <c r="D1259" i="2"/>
  <c r="E1259" i="2" s="1"/>
  <c r="D2572" i="2"/>
  <c r="E2572" i="2" s="1"/>
  <c r="D1185" i="2"/>
  <c r="E1185" i="2" s="1"/>
  <c r="D1206" i="2"/>
  <c r="E1206" i="2" s="1"/>
  <c r="D1299" i="2"/>
  <c r="E1299" i="2" s="1"/>
  <c r="D1307" i="2"/>
  <c r="E1307" i="2" s="1"/>
  <c r="D1315" i="2"/>
  <c r="E1315" i="2" s="1"/>
  <c r="D1363" i="2"/>
  <c r="E1363" i="2" s="1"/>
  <c r="D1371" i="2"/>
  <c r="E1371" i="2" s="1"/>
  <c r="D1379" i="2"/>
  <c r="E1379" i="2" s="1"/>
  <c r="D1427" i="2"/>
  <c r="E1427" i="2" s="1"/>
  <c r="D1435" i="2"/>
  <c r="E1435" i="2" s="1"/>
  <c r="D1443" i="2"/>
  <c r="E1443" i="2" s="1"/>
  <c r="D1491" i="2"/>
  <c r="E1491" i="2" s="1"/>
  <c r="D1499" i="2"/>
  <c r="E1499" i="2" s="1"/>
  <c r="D1507" i="2"/>
  <c r="E1507" i="2" s="1"/>
  <c r="D1555" i="2"/>
  <c r="E1555" i="2" s="1"/>
  <c r="D1563" i="2"/>
  <c r="E1563" i="2" s="1"/>
  <c r="D1571" i="2"/>
  <c r="E1571" i="2" s="1"/>
  <c r="D1619" i="2"/>
  <c r="E1619" i="2" s="1"/>
  <c r="D1627" i="2"/>
  <c r="E1627" i="2" s="1"/>
  <c r="D1635" i="2"/>
  <c r="E1635" i="2" s="1"/>
  <c r="D1683" i="2"/>
  <c r="E1683" i="2" s="1"/>
  <c r="D1691" i="2"/>
  <c r="E1691" i="2" s="1"/>
  <c r="D1699" i="2"/>
  <c r="E1699" i="2" s="1"/>
  <c r="D1747" i="2"/>
  <c r="E1747" i="2" s="1"/>
  <c r="D1755" i="2"/>
  <c r="E1755" i="2" s="1"/>
  <c r="D1763" i="2"/>
  <c r="E1763" i="2" s="1"/>
  <c r="D1811" i="2"/>
  <c r="E1811" i="2" s="1"/>
  <c r="D1819" i="2"/>
  <c r="E1819" i="2" s="1"/>
  <c r="D1827" i="2"/>
  <c r="E1827" i="2" s="1"/>
  <c r="D1875" i="2"/>
  <c r="E1875" i="2" s="1"/>
  <c r="D1883" i="2"/>
  <c r="E1883" i="2" s="1"/>
  <c r="D1891" i="2"/>
  <c r="E1891" i="2" s="1"/>
  <c r="D1939" i="2"/>
  <c r="E1939" i="2" s="1"/>
  <c r="D1947" i="2"/>
  <c r="E1947" i="2" s="1"/>
  <c r="D1955" i="2"/>
  <c r="E1955" i="2" s="1"/>
  <c r="D2073" i="2"/>
  <c r="E2073" i="2" s="1"/>
  <c r="D2092" i="2"/>
  <c r="E2092" i="2" s="1"/>
  <c r="D2113" i="2"/>
  <c r="E2113" i="2" s="1"/>
  <c r="D1992" i="2"/>
  <c r="E1992" i="2" s="1"/>
  <c r="D2006" i="2"/>
  <c r="E2006" i="2" s="1"/>
  <c r="D2016" i="2"/>
  <c r="E2016" i="2" s="1"/>
  <c r="D2558" i="2"/>
  <c r="E2558" i="2" s="1"/>
  <c r="D2559" i="2"/>
  <c r="E2559" i="2" s="1"/>
  <c r="D2604" i="2"/>
  <c r="E2604" i="2" s="1"/>
  <c r="D369" i="3"/>
  <c r="E369" i="3" s="1"/>
  <c r="D385" i="3"/>
  <c r="E385" i="3" s="1"/>
  <c r="D393" i="3"/>
  <c r="E393" i="3" s="1"/>
  <c r="D441" i="3"/>
  <c r="E441" i="3" s="1"/>
  <c r="D2079" i="2"/>
  <c r="E2079" i="2" s="1"/>
  <c r="D2087" i="2"/>
  <c r="E2087" i="2" s="1"/>
  <c r="D2095" i="2"/>
  <c r="E2095" i="2" s="1"/>
  <c r="D2143" i="2"/>
  <c r="E2143" i="2" s="1"/>
  <c r="D2151" i="2"/>
  <c r="E2151" i="2" s="1"/>
  <c r="D2159" i="2"/>
  <c r="E2159" i="2" s="1"/>
  <c r="D2215" i="2"/>
  <c r="E2215" i="2" s="1"/>
  <c r="D2223" i="2"/>
  <c r="E2223" i="2" s="1"/>
  <c r="D2231" i="2"/>
  <c r="E2231" i="2" s="1"/>
  <c r="D2279" i="2"/>
  <c r="E2279" i="2" s="1"/>
  <c r="D2287" i="2"/>
  <c r="E2287" i="2" s="1"/>
  <c r="D2295" i="2"/>
  <c r="E2295" i="2" s="1"/>
  <c r="D2343" i="2"/>
  <c r="E2343" i="2" s="1"/>
  <c r="D2351" i="2"/>
  <c r="E2351" i="2" s="1"/>
  <c r="D2359" i="2"/>
  <c r="E2359" i="2" s="1"/>
  <c r="D2455" i="2"/>
  <c r="E2455" i="2" s="1"/>
  <c r="D2463" i="2"/>
  <c r="E2463" i="2" s="1"/>
  <c r="D2471" i="2"/>
  <c r="E2471" i="2" s="1"/>
  <c r="D2703" i="2"/>
  <c r="E2703" i="2" s="1"/>
  <c r="D2727" i="2"/>
  <c r="E2727" i="2" s="1"/>
  <c r="D2565" i="2"/>
  <c r="E2565" i="2" s="1"/>
  <c r="D2670" i="2"/>
  <c r="E2670" i="2" s="1"/>
  <c r="D2710" i="2"/>
  <c r="E2710" i="2" s="1"/>
  <c r="D2734" i="2"/>
  <c r="E2734" i="2" s="1"/>
  <c r="D19" i="3"/>
  <c r="E19" i="3" s="1"/>
  <c r="D51" i="3"/>
  <c r="E51" i="3" s="1"/>
  <c r="D59" i="3"/>
  <c r="E59" i="3" s="1"/>
  <c r="D67" i="3"/>
  <c r="E67" i="3" s="1"/>
  <c r="D83" i="3"/>
  <c r="E83" i="3" s="1"/>
  <c r="D115" i="3"/>
  <c r="E115" i="3" s="1"/>
  <c r="D123" i="3"/>
  <c r="E123" i="3" s="1"/>
  <c r="D131" i="3"/>
  <c r="E131" i="3" s="1"/>
  <c r="D147" i="3"/>
  <c r="E147" i="3" s="1"/>
  <c r="D179" i="3"/>
  <c r="E179" i="3" s="1"/>
  <c r="D187" i="3"/>
  <c r="E187" i="3" s="1"/>
  <c r="D195" i="3"/>
  <c r="E195" i="3" s="1"/>
  <c r="D211" i="3"/>
  <c r="E211" i="3" s="1"/>
  <c r="D243" i="3"/>
  <c r="E243" i="3" s="1"/>
  <c r="D251" i="3"/>
  <c r="E251" i="3" s="1"/>
  <c r="D259" i="3"/>
  <c r="E259" i="3" s="1"/>
  <c r="D275" i="3"/>
  <c r="E275" i="3" s="1"/>
  <c r="D2116" i="2"/>
  <c r="E2116" i="2" s="1"/>
  <c r="D2124" i="2"/>
  <c r="E2124" i="2" s="1"/>
  <c r="D2132" i="2"/>
  <c r="E2132" i="2" s="1"/>
  <c r="D2148" i="2"/>
  <c r="E2148" i="2" s="1"/>
  <c r="D2180" i="2"/>
  <c r="E2180" i="2" s="1"/>
  <c r="D2188" i="2"/>
  <c r="E2188" i="2" s="1"/>
  <c r="D2196" i="2"/>
  <c r="E2196" i="2" s="1"/>
  <c r="D2212" i="2"/>
  <c r="E2212" i="2" s="1"/>
  <c r="D2244" i="2"/>
  <c r="E2244" i="2" s="1"/>
  <c r="D2252" i="2"/>
  <c r="E2252" i="2" s="1"/>
  <c r="D2260" i="2"/>
  <c r="E2260" i="2" s="1"/>
  <c r="D2276" i="2"/>
  <c r="E2276" i="2" s="1"/>
  <c r="D2308" i="2"/>
  <c r="E2308" i="2" s="1"/>
  <c r="D2316" i="2"/>
  <c r="E2316" i="2" s="1"/>
  <c r="D2324" i="2"/>
  <c r="E2324" i="2" s="1"/>
  <c r="D2340" i="2"/>
  <c r="E2340" i="2" s="1"/>
  <c r="D2372" i="2"/>
  <c r="E2372" i="2" s="1"/>
  <c r="D2380" i="2"/>
  <c r="E2380" i="2" s="1"/>
  <c r="D2388" i="2"/>
  <c r="E2388" i="2" s="1"/>
  <c r="D2404" i="2"/>
  <c r="E2404" i="2" s="1"/>
  <c r="D2436" i="2"/>
  <c r="E2436" i="2" s="1"/>
  <c r="D2444" i="2"/>
  <c r="E2444" i="2" s="1"/>
  <c r="D2452" i="2"/>
  <c r="E2452" i="2" s="1"/>
  <c r="D2468" i="2"/>
  <c r="E2468" i="2" s="1"/>
  <c r="D2500" i="2"/>
  <c r="E2500" i="2" s="1"/>
  <c r="D2508" i="2"/>
  <c r="E2508" i="2" s="1"/>
  <c r="D2516" i="2"/>
  <c r="E2516" i="2" s="1"/>
  <c r="D2532" i="2"/>
  <c r="E2532" i="2" s="1"/>
  <c r="D2566" i="2"/>
  <c r="E2566" i="2" s="1"/>
  <c r="D2580" i="2"/>
  <c r="E2580" i="2" s="1"/>
  <c r="D2687" i="2"/>
  <c r="E2687" i="2" s="1"/>
  <c r="D324" i="3"/>
  <c r="E324" i="3" s="1"/>
  <c r="D2061" i="2"/>
  <c r="E2061" i="2" s="1"/>
  <c r="D2069" i="2"/>
  <c r="E2069" i="2" s="1"/>
  <c r="D2077" i="2"/>
  <c r="E2077" i="2" s="1"/>
  <c r="D2093" i="2"/>
  <c r="E2093" i="2" s="1"/>
  <c r="D2189" i="2"/>
  <c r="E2189" i="2" s="1"/>
  <c r="D2197" i="2"/>
  <c r="E2197" i="2" s="1"/>
  <c r="D2205" i="2"/>
  <c r="E2205" i="2" s="1"/>
  <c r="D2269" i="2"/>
  <c r="E2269" i="2" s="1"/>
  <c r="D2381" i="2"/>
  <c r="E2381" i="2" s="1"/>
  <c r="D2389" i="2"/>
  <c r="E2389" i="2" s="1"/>
  <c r="D2397" i="2"/>
  <c r="E2397" i="2" s="1"/>
  <c r="D2413" i="2"/>
  <c r="E2413" i="2" s="1"/>
  <c r="D2453" i="2"/>
  <c r="E2453" i="2" s="1"/>
  <c r="D2461" i="2"/>
  <c r="E2461" i="2" s="1"/>
  <c r="D2501" i="2"/>
  <c r="E2501" i="2" s="1"/>
  <c r="D2517" i="2"/>
  <c r="E2517" i="2" s="1"/>
  <c r="D2557" i="2"/>
  <c r="E2557" i="2" s="1"/>
  <c r="D2576" i="2"/>
  <c r="E2576" i="2" s="1"/>
  <c r="D2694" i="2"/>
  <c r="E2694" i="2" s="1"/>
  <c r="D2742" i="2"/>
  <c r="E2742" i="2" s="1"/>
  <c r="D37" i="3"/>
  <c r="E37" i="3" s="1"/>
  <c r="D45" i="3"/>
  <c r="E45" i="3" s="1"/>
  <c r="D53" i="3"/>
  <c r="E53" i="3" s="1"/>
  <c r="D69" i="3"/>
  <c r="E69" i="3" s="1"/>
  <c r="D101" i="3"/>
  <c r="E101" i="3" s="1"/>
  <c r="D109" i="3"/>
  <c r="E109" i="3" s="1"/>
  <c r="D117" i="3"/>
  <c r="E117" i="3" s="1"/>
  <c r="D133" i="3"/>
  <c r="E133" i="3" s="1"/>
  <c r="D165" i="3"/>
  <c r="E165" i="3" s="1"/>
  <c r="D173" i="3"/>
  <c r="E173" i="3" s="1"/>
  <c r="D181" i="3"/>
  <c r="E181" i="3" s="1"/>
  <c r="D197" i="3"/>
  <c r="E197" i="3" s="1"/>
  <c r="D229" i="3"/>
  <c r="E229" i="3" s="1"/>
  <c r="D237" i="3"/>
  <c r="E237" i="3" s="1"/>
  <c r="D245" i="3"/>
  <c r="E245" i="3" s="1"/>
  <c r="D261" i="3"/>
  <c r="E261" i="3" s="1"/>
  <c r="D2568" i="2"/>
  <c r="E2568" i="2" s="1"/>
  <c r="D2718" i="2"/>
  <c r="E2718" i="2" s="1"/>
  <c r="D2743" i="2"/>
  <c r="E2743" i="2" s="1"/>
  <c r="D286" i="3"/>
  <c r="E286" i="3" s="1"/>
  <c r="D2646" i="2"/>
  <c r="E2646" i="2" s="1"/>
  <c r="D2662" i="2"/>
  <c r="E2662" i="2" s="1"/>
  <c r="D2678" i="2"/>
  <c r="E2678" i="2" s="1"/>
  <c r="D2751" i="2"/>
  <c r="E2751" i="2" s="1"/>
  <c r="D2066" i="2"/>
  <c r="E2066" i="2" s="1"/>
  <c r="D2074" i="2"/>
  <c r="E2074" i="2" s="1"/>
  <c r="D2082" i="2"/>
  <c r="E2082" i="2" s="1"/>
  <c r="D2098" i="2"/>
  <c r="E2098" i="2" s="1"/>
  <c r="D2138" i="2"/>
  <c r="E2138" i="2" s="1"/>
  <c r="D2146" i="2"/>
  <c r="E2146" i="2" s="1"/>
  <c r="D2162" i="2"/>
  <c r="E2162" i="2" s="1"/>
  <c r="D2178" i="2"/>
  <c r="E2178" i="2" s="1"/>
  <c r="D2218" i="2"/>
  <c r="E2218" i="2" s="1"/>
  <c r="D2226" i="2"/>
  <c r="E2226" i="2" s="1"/>
  <c r="D2234" i="2"/>
  <c r="E2234" i="2" s="1"/>
  <c r="D2250" i="2"/>
  <c r="E2250" i="2" s="1"/>
  <c r="D2306" i="2"/>
  <c r="E2306" i="2" s="1"/>
  <c r="D2322" i="2"/>
  <c r="E2322" i="2" s="1"/>
  <c r="D2330" i="2"/>
  <c r="E2330" i="2" s="1"/>
  <c r="D2719" i="2"/>
  <c r="E2719" i="2" s="1"/>
  <c r="D16" i="3"/>
  <c r="E16" i="3" s="1"/>
  <c r="D24" i="3"/>
  <c r="E24" i="3" s="1"/>
  <c r="D32" i="3"/>
  <c r="E32" i="3" s="1"/>
  <c r="D48" i="3"/>
  <c r="E48" i="3" s="1"/>
  <c r="D80" i="3"/>
  <c r="E80" i="3" s="1"/>
  <c r="D88" i="3"/>
  <c r="E88" i="3" s="1"/>
  <c r="D96" i="3"/>
  <c r="E96" i="3" s="1"/>
  <c r="D112" i="3"/>
  <c r="E112" i="3" s="1"/>
  <c r="D144" i="3"/>
  <c r="E144" i="3" s="1"/>
  <c r="D152" i="3"/>
  <c r="E152" i="3" s="1"/>
  <c r="D160" i="3"/>
  <c r="E160" i="3" s="1"/>
  <c r="D280" i="3"/>
  <c r="E280" i="3" s="1"/>
  <c r="D2605" i="2"/>
  <c r="E2605" i="2" s="1"/>
  <c r="D2613" i="2"/>
  <c r="E2613" i="2" s="1"/>
  <c r="D2621" i="2"/>
  <c r="E2621" i="2" s="1"/>
  <c r="D2637" i="2"/>
  <c r="E2637" i="2" s="1"/>
  <c r="D2669" i="2"/>
  <c r="E2669" i="2" s="1"/>
  <c r="D2677" i="2"/>
  <c r="E2677" i="2" s="1"/>
  <c r="D2685" i="2"/>
  <c r="E2685" i="2" s="1"/>
  <c r="D2701" i="2"/>
  <c r="E2701" i="2" s="1"/>
  <c r="D2733" i="2"/>
  <c r="E2733" i="2" s="1"/>
  <c r="D2741" i="2"/>
  <c r="E2741" i="2" s="1"/>
  <c r="D2749" i="2"/>
  <c r="E2749" i="2" s="1"/>
  <c r="D2765" i="2"/>
  <c r="E2765" i="2" s="1"/>
  <c r="D23" i="3"/>
  <c r="E23" i="3" s="1"/>
  <c r="D31" i="3"/>
  <c r="E31" i="3" s="1"/>
  <c r="D313" i="3"/>
  <c r="E313" i="3" s="1"/>
  <c r="D376" i="3"/>
  <c r="E376" i="3" s="1"/>
  <c r="D450" i="3"/>
  <c r="E450" i="3" s="1"/>
  <c r="D462" i="3"/>
  <c r="E462" i="3" s="1"/>
  <c r="D468" i="3"/>
  <c r="E468" i="3" s="1"/>
  <c r="D532" i="3"/>
  <c r="E532" i="3" s="1"/>
  <c r="D296" i="3"/>
  <c r="E296" i="3" s="1"/>
  <c r="D331" i="3"/>
  <c r="E331" i="3" s="1"/>
  <c r="D363" i="3"/>
  <c r="E363" i="3" s="1"/>
  <c r="D422" i="3"/>
  <c r="E422" i="3" s="1"/>
  <c r="D492" i="3"/>
  <c r="E492" i="3" s="1"/>
  <c r="D550" i="3"/>
  <c r="E550" i="3" s="1"/>
  <c r="D556" i="3"/>
  <c r="E556" i="3" s="1"/>
  <c r="D610" i="3"/>
  <c r="E610" i="3" s="1"/>
  <c r="D802" i="3"/>
  <c r="E802" i="3" s="1"/>
  <c r="D4" i="3"/>
  <c r="E4" i="3" s="1"/>
  <c r="D305" i="3"/>
  <c r="E305" i="3" s="1"/>
  <c r="D382" i="3"/>
  <c r="E382" i="3" s="1"/>
  <c r="D452" i="3"/>
  <c r="E452" i="3" s="1"/>
  <c r="D510" i="3"/>
  <c r="E510" i="3" s="1"/>
  <c r="D516" i="3"/>
  <c r="E516" i="3" s="1"/>
  <c r="D588" i="3"/>
  <c r="E588" i="3" s="1"/>
  <c r="D36" i="3"/>
  <c r="E36" i="3" s="1"/>
  <c r="D44" i="3"/>
  <c r="E44" i="3" s="1"/>
  <c r="D52" i="3"/>
  <c r="E52" i="3" s="1"/>
  <c r="D76" i="3"/>
  <c r="E76" i="3" s="1"/>
  <c r="D116" i="3"/>
  <c r="E116" i="3" s="1"/>
  <c r="D132" i="3"/>
  <c r="E132" i="3" s="1"/>
  <c r="D140" i="3"/>
  <c r="E140" i="3" s="1"/>
  <c r="D188" i="3"/>
  <c r="E188" i="3" s="1"/>
  <c r="D220" i="3"/>
  <c r="E220" i="3" s="1"/>
  <c r="D228" i="3"/>
  <c r="E228" i="3" s="1"/>
  <c r="D236" i="3"/>
  <c r="E236" i="3" s="1"/>
  <c r="D252" i="3"/>
  <c r="E252" i="3" s="1"/>
  <c r="D306" i="3"/>
  <c r="E306" i="3" s="1"/>
  <c r="D310" i="3"/>
  <c r="E310" i="3" s="1"/>
  <c r="D319" i="3"/>
  <c r="E319" i="3" s="1"/>
  <c r="D346" i="3"/>
  <c r="E346" i="3" s="1"/>
  <c r="D406" i="3"/>
  <c r="E406" i="3" s="1"/>
  <c r="D412" i="3"/>
  <c r="E412" i="3" s="1"/>
  <c r="D458" i="3"/>
  <c r="E458" i="3" s="1"/>
  <c r="D476" i="3"/>
  <c r="E476" i="3" s="1"/>
  <c r="D636" i="3"/>
  <c r="E636" i="3" s="1"/>
  <c r="D668" i="3"/>
  <c r="E668" i="3" s="1"/>
  <c r="D281" i="3"/>
  <c r="E281" i="3" s="1"/>
  <c r="D360" i="3"/>
  <c r="E360" i="3" s="1"/>
  <c r="D482" i="3"/>
  <c r="E482" i="3" s="1"/>
  <c r="D494" i="3"/>
  <c r="E494" i="3" s="1"/>
  <c r="D500" i="3"/>
  <c r="E500" i="3" s="1"/>
  <c r="D564" i="3"/>
  <c r="E564" i="3" s="1"/>
  <c r="D741" i="3"/>
  <c r="E741" i="3" s="1"/>
  <c r="D773" i="3"/>
  <c r="E773" i="3" s="1"/>
  <c r="D845" i="3"/>
  <c r="E845" i="3" s="1"/>
  <c r="D2584" i="2"/>
  <c r="E2584" i="2" s="1"/>
  <c r="D33" i="3"/>
  <c r="E33" i="3" s="1"/>
  <c r="D41" i="3"/>
  <c r="E41" i="3" s="1"/>
  <c r="D49" i="3"/>
  <c r="E49" i="3" s="1"/>
  <c r="D65" i="3"/>
  <c r="E65" i="3" s="1"/>
  <c r="D97" i="3"/>
  <c r="E97" i="3" s="1"/>
  <c r="D105" i="3"/>
  <c r="E105" i="3" s="1"/>
  <c r="D113" i="3"/>
  <c r="E113" i="3" s="1"/>
  <c r="D129" i="3"/>
  <c r="E129" i="3" s="1"/>
  <c r="D161" i="3"/>
  <c r="E161" i="3" s="1"/>
  <c r="D169" i="3"/>
  <c r="E169" i="3" s="1"/>
  <c r="D177" i="3"/>
  <c r="E177" i="3" s="1"/>
  <c r="D193" i="3"/>
  <c r="E193" i="3" s="1"/>
  <c r="D225" i="3"/>
  <c r="E225" i="3" s="1"/>
  <c r="D233" i="3"/>
  <c r="E233" i="3" s="1"/>
  <c r="D241" i="3"/>
  <c r="E241" i="3" s="1"/>
  <c r="D257" i="3"/>
  <c r="E257" i="3" s="1"/>
  <c r="D302" i="3"/>
  <c r="E302" i="3" s="1"/>
  <c r="D316" i="3"/>
  <c r="E316" i="3" s="1"/>
  <c r="D347" i="3"/>
  <c r="E347" i="3" s="1"/>
  <c r="D390" i="3"/>
  <c r="E390" i="3" s="1"/>
  <c r="D460" i="3"/>
  <c r="E460" i="3" s="1"/>
  <c r="D518" i="3"/>
  <c r="E518" i="3" s="1"/>
  <c r="D524" i="3"/>
  <c r="E524" i="3" s="1"/>
  <c r="D2574" i="2"/>
  <c r="E2574" i="2" s="1"/>
  <c r="D2616" i="2"/>
  <c r="E2616" i="2" s="1"/>
  <c r="D2640" i="2"/>
  <c r="E2640" i="2" s="1"/>
  <c r="D2656" i="2"/>
  <c r="E2656" i="2" s="1"/>
  <c r="D2680" i="2"/>
  <c r="E2680" i="2" s="1"/>
  <c r="D2744" i="2"/>
  <c r="E2744" i="2" s="1"/>
  <c r="D2752" i="2"/>
  <c r="E2752" i="2" s="1"/>
  <c r="D2760" i="2"/>
  <c r="E2760" i="2" s="1"/>
  <c r="D334" i="3"/>
  <c r="E334" i="3" s="1"/>
  <c r="D420" i="3"/>
  <c r="E420" i="3" s="1"/>
  <c r="D466" i="3"/>
  <c r="E466" i="3" s="1"/>
  <c r="D478" i="3"/>
  <c r="E478" i="3" s="1"/>
  <c r="D542" i="3"/>
  <c r="E542" i="3" s="1"/>
  <c r="D719" i="3"/>
  <c r="E719" i="3" s="1"/>
  <c r="D735" i="3"/>
  <c r="E735" i="3" s="1"/>
  <c r="D751" i="3"/>
  <c r="E751" i="3" s="1"/>
  <c r="D783" i="3"/>
  <c r="E783" i="3" s="1"/>
  <c r="G4" i="3"/>
  <c r="D401" i="3" s="1"/>
  <c r="E401" i="3" s="1"/>
  <c r="D6" i="3"/>
  <c r="E6" i="3" s="1"/>
  <c r="D14" i="3"/>
  <c r="E14" i="3" s="1"/>
  <c r="D22" i="3"/>
  <c r="E22" i="3" s="1"/>
  <c r="D38" i="3"/>
  <c r="E38" i="3" s="1"/>
  <c r="D54" i="3"/>
  <c r="E54" i="3" s="1"/>
  <c r="D62" i="3"/>
  <c r="E62" i="3" s="1"/>
  <c r="D70" i="3"/>
  <c r="E70" i="3" s="1"/>
  <c r="D78" i="3"/>
  <c r="E78" i="3" s="1"/>
  <c r="D86" i="3"/>
  <c r="E86" i="3" s="1"/>
  <c r="D102" i="3"/>
  <c r="E102" i="3" s="1"/>
  <c r="D118" i="3"/>
  <c r="E118" i="3" s="1"/>
  <c r="D126" i="3"/>
  <c r="E126" i="3" s="1"/>
  <c r="D134" i="3"/>
  <c r="E134" i="3" s="1"/>
  <c r="D142" i="3"/>
  <c r="E142" i="3" s="1"/>
  <c r="D150" i="3"/>
  <c r="E150" i="3" s="1"/>
  <c r="D166" i="3"/>
  <c r="E166" i="3" s="1"/>
  <c r="D182" i="3"/>
  <c r="E182" i="3" s="1"/>
  <c r="D190" i="3"/>
  <c r="E190" i="3" s="1"/>
  <c r="D198" i="3"/>
  <c r="E198" i="3" s="1"/>
  <c r="D206" i="3"/>
  <c r="E206" i="3" s="1"/>
  <c r="D214" i="3"/>
  <c r="E214" i="3" s="1"/>
  <c r="D230" i="3"/>
  <c r="E230" i="3" s="1"/>
  <c r="D246" i="3"/>
  <c r="E246" i="3" s="1"/>
  <c r="D254" i="3"/>
  <c r="E254" i="3" s="1"/>
  <c r="D262" i="3"/>
  <c r="E262" i="3" s="1"/>
  <c r="D270" i="3"/>
  <c r="E270" i="3" s="1"/>
  <c r="D278" i="3"/>
  <c r="E278" i="3" s="1"/>
  <c r="D299" i="3"/>
  <c r="E299" i="3" s="1"/>
  <c r="D330" i="3"/>
  <c r="E330" i="3" s="1"/>
  <c r="D343" i="3"/>
  <c r="E343" i="3" s="1"/>
  <c r="D362" i="3"/>
  <c r="E362" i="3" s="1"/>
  <c r="D375" i="3"/>
  <c r="E375" i="3" s="1"/>
  <c r="D426" i="3"/>
  <c r="E426" i="3" s="1"/>
  <c r="D444" i="3"/>
  <c r="E444" i="3" s="1"/>
  <c r="D508" i="3"/>
  <c r="E508" i="3" s="1"/>
  <c r="D566" i="3"/>
  <c r="E566" i="3" s="1"/>
  <c r="D572" i="3"/>
  <c r="E572" i="3" s="1"/>
  <c r="D712" i="3"/>
  <c r="E712" i="3" s="1"/>
  <c r="D744" i="3"/>
  <c r="E744" i="3" s="1"/>
  <c r="D808" i="3"/>
  <c r="E808" i="3" s="1"/>
  <c r="D384" i="3"/>
  <c r="E384" i="3" s="1"/>
  <c r="D392" i="3"/>
  <c r="E392" i="3" s="1"/>
  <c r="D400" i="3"/>
  <c r="E400" i="3" s="1"/>
  <c r="D408" i="3"/>
  <c r="E408" i="3" s="1"/>
  <c r="D416" i="3"/>
  <c r="E416" i="3" s="1"/>
  <c r="D432" i="3"/>
  <c r="E432" i="3" s="1"/>
  <c r="D448" i="3"/>
  <c r="E448" i="3" s="1"/>
  <c r="D456" i="3"/>
  <c r="E456" i="3" s="1"/>
  <c r="D464" i="3"/>
  <c r="E464" i="3" s="1"/>
  <c r="D472" i="3"/>
  <c r="E472" i="3" s="1"/>
  <c r="D480" i="3"/>
  <c r="E480" i="3" s="1"/>
  <c r="D496" i="3"/>
  <c r="E496" i="3" s="1"/>
  <c r="D512" i="3"/>
  <c r="E512" i="3" s="1"/>
  <c r="D520" i="3"/>
  <c r="E520" i="3" s="1"/>
  <c r="D528" i="3"/>
  <c r="E528" i="3" s="1"/>
  <c r="D536" i="3"/>
  <c r="E536" i="3" s="1"/>
  <c r="D544" i="3"/>
  <c r="E544" i="3" s="1"/>
  <c r="D560" i="3"/>
  <c r="E560" i="3" s="1"/>
  <c r="D576" i="3"/>
  <c r="E576" i="3" s="1"/>
  <c r="D584" i="3"/>
  <c r="E584" i="3" s="1"/>
  <c r="D592" i="3"/>
  <c r="E592" i="3" s="1"/>
  <c r="D612" i="3"/>
  <c r="E612" i="3" s="1"/>
  <c r="D650" i="3"/>
  <c r="E650" i="3" s="1"/>
  <c r="D678" i="3"/>
  <c r="E678" i="3" s="1"/>
  <c r="D720" i="3"/>
  <c r="E720" i="3" s="1"/>
  <c r="D734" i="3"/>
  <c r="E734" i="3" s="1"/>
  <c r="D752" i="3"/>
  <c r="E752" i="3" s="1"/>
  <c r="D766" i="3"/>
  <c r="E766" i="3" s="1"/>
  <c r="D784" i="3"/>
  <c r="E784" i="3" s="1"/>
  <c r="D825" i="3"/>
  <c r="E825" i="3" s="1"/>
  <c r="D856" i="3"/>
  <c r="E856" i="3" s="1"/>
  <c r="D904" i="3"/>
  <c r="E904" i="3" s="1"/>
  <c r="D936" i="3"/>
  <c r="E936" i="3" s="1"/>
  <c r="D976" i="3"/>
  <c r="E976" i="3" s="1"/>
  <c r="D1031" i="3"/>
  <c r="E1031" i="3" s="1"/>
  <c r="D1104" i="3"/>
  <c r="E1104" i="3" s="1"/>
  <c r="D1159" i="3"/>
  <c r="E1159" i="3" s="1"/>
  <c r="D1192" i="3"/>
  <c r="E1192" i="3" s="1"/>
  <c r="D1232" i="3"/>
  <c r="E1232" i="3" s="1"/>
  <c r="D1253" i="3"/>
  <c r="E1253" i="3" s="1"/>
  <c r="D1304" i="3"/>
  <c r="E1304" i="3" s="1"/>
  <c r="D596" i="3"/>
  <c r="E596" i="3" s="1"/>
  <c r="D637" i="3"/>
  <c r="E637" i="3" s="1"/>
  <c r="D666" i="3"/>
  <c r="E666" i="3" s="1"/>
  <c r="D679" i="3"/>
  <c r="E679" i="3" s="1"/>
  <c r="D695" i="3"/>
  <c r="E695" i="3" s="1"/>
  <c r="D721" i="3"/>
  <c r="E721" i="3" s="1"/>
  <c r="D785" i="3"/>
  <c r="E785" i="3" s="1"/>
  <c r="D816" i="3"/>
  <c r="E816" i="3" s="1"/>
  <c r="D851" i="3"/>
  <c r="E851" i="3" s="1"/>
  <c r="D885" i="3"/>
  <c r="E885" i="3" s="1"/>
  <c r="D951" i="3"/>
  <c r="E951" i="3" s="1"/>
  <c r="D984" i="3"/>
  <c r="E984" i="3" s="1"/>
  <c r="D1079" i="3"/>
  <c r="E1079" i="3" s="1"/>
  <c r="D1152" i="3"/>
  <c r="E1152" i="3" s="1"/>
  <c r="D1173" i="3"/>
  <c r="E1173" i="3" s="1"/>
  <c r="D1207" i="3"/>
  <c r="E1207" i="3" s="1"/>
  <c r="D1240" i="3"/>
  <c r="E1240" i="3" s="1"/>
  <c r="D1327" i="3"/>
  <c r="E1327" i="3" s="1"/>
  <c r="D618" i="3"/>
  <c r="E618" i="3" s="1"/>
  <c r="D646" i="3"/>
  <c r="E646" i="3" s="1"/>
  <c r="D655" i="3"/>
  <c r="E655" i="3" s="1"/>
  <c r="D684" i="3"/>
  <c r="E684" i="3" s="1"/>
  <c r="D708" i="3"/>
  <c r="E708" i="3" s="1"/>
  <c r="D717" i="3"/>
  <c r="E717" i="3" s="1"/>
  <c r="D781" i="3"/>
  <c r="E781" i="3" s="1"/>
  <c r="D817" i="3"/>
  <c r="E817" i="3" s="1"/>
  <c r="D827" i="3"/>
  <c r="E827" i="3" s="1"/>
  <c r="D833" i="3"/>
  <c r="E833" i="3" s="1"/>
  <c r="D839" i="3"/>
  <c r="E839" i="3" s="1"/>
  <c r="D863" i="3"/>
  <c r="E863" i="3" s="1"/>
  <c r="D886" i="3"/>
  <c r="E886" i="3" s="1"/>
  <c r="D965" i="3"/>
  <c r="E965" i="3" s="1"/>
  <c r="D999" i="3"/>
  <c r="E999" i="3" s="1"/>
  <c r="D1032" i="3"/>
  <c r="E1032" i="3" s="1"/>
  <c r="D1072" i="3"/>
  <c r="E1072" i="3" s="1"/>
  <c r="D1093" i="3"/>
  <c r="E1093" i="3" s="1"/>
  <c r="D1160" i="3"/>
  <c r="E1160" i="3" s="1"/>
  <c r="D1221" i="3"/>
  <c r="E1221" i="3" s="1"/>
  <c r="D1255" i="3"/>
  <c r="E1255" i="3" s="1"/>
  <c r="D1462" i="3"/>
  <c r="E1462" i="3" s="1"/>
  <c r="D1524" i="3"/>
  <c r="E1524" i="3" s="1"/>
  <c r="D605" i="3"/>
  <c r="E605" i="3" s="1"/>
  <c r="D647" i="3"/>
  <c r="E647" i="3" s="1"/>
  <c r="D680" i="3"/>
  <c r="E680" i="3" s="1"/>
  <c r="D692" i="3"/>
  <c r="E692" i="3" s="1"/>
  <c r="D713" i="3"/>
  <c r="E713" i="3" s="1"/>
  <c r="D726" i="3"/>
  <c r="E726" i="3" s="1"/>
  <c r="D745" i="3"/>
  <c r="E745" i="3" s="1"/>
  <c r="D777" i="3"/>
  <c r="E777" i="3" s="1"/>
  <c r="D840" i="3"/>
  <c r="E840" i="3" s="1"/>
  <c r="D858" i="3"/>
  <c r="E858" i="3" s="1"/>
  <c r="D875" i="3"/>
  <c r="E875" i="3" s="1"/>
  <c r="D906" i="3"/>
  <c r="E906" i="3" s="1"/>
  <c r="D919" i="3"/>
  <c r="E919" i="3" s="1"/>
  <c r="D992" i="3"/>
  <c r="E992" i="3" s="1"/>
  <c r="D1080" i="3"/>
  <c r="E1080" i="3" s="1"/>
  <c r="D1120" i="3"/>
  <c r="E1120" i="3" s="1"/>
  <c r="D1141" i="3"/>
  <c r="E1141" i="3" s="1"/>
  <c r="D1175" i="3"/>
  <c r="E1175" i="3" s="1"/>
  <c r="D1208" i="3"/>
  <c r="E1208" i="3" s="1"/>
  <c r="D1256" i="3"/>
  <c r="E1256" i="3" s="1"/>
  <c r="D1388" i="3"/>
  <c r="E1388" i="3" s="1"/>
  <c r="D1396" i="3"/>
  <c r="E1396" i="3" s="1"/>
  <c r="D490" i="3"/>
  <c r="E490" i="3" s="1"/>
  <c r="D498" i="3"/>
  <c r="E498" i="3" s="1"/>
  <c r="D506" i="3"/>
  <c r="E506" i="3" s="1"/>
  <c r="D522" i="3"/>
  <c r="E522" i="3" s="1"/>
  <c r="D538" i="3"/>
  <c r="E538" i="3" s="1"/>
  <c r="D546" i="3"/>
  <c r="E546" i="3" s="1"/>
  <c r="D554" i="3"/>
  <c r="E554" i="3" s="1"/>
  <c r="D562" i="3"/>
  <c r="E562" i="3" s="1"/>
  <c r="D570" i="3"/>
  <c r="E570" i="3" s="1"/>
  <c r="D586" i="3"/>
  <c r="E586" i="3" s="1"/>
  <c r="D614" i="3"/>
  <c r="E614" i="3" s="1"/>
  <c r="D623" i="3"/>
  <c r="E623" i="3" s="1"/>
  <c r="D652" i="3"/>
  <c r="E652" i="3" s="1"/>
  <c r="D676" i="3"/>
  <c r="E676" i="3" s="1"/>
  <c r="D714" i="3"/>
  <c r="E714" i="3" s="1"/>
  <c r="D778" i="3"/>
  <c r="E778" i="3" s="1"/>
  <c r="D822" i="3"/>
  <c r="E822" i="3" s="1"/>
  <c r="D859" i="3"/>
  <c r="E859" i="3" s="1"/>
  <c r="D894" i="3"/>
  <c r="E894" i="3" s="1"/>
  <c r="D933" i="3"/>
  <c r="E933" i="3" s="1"/>
  <c r="D967" i="3"/>
  <c r="E967" i="3" s="1"/>
  <c r="D1040" i="3"/>
  <c r="E1040" i="3" s="1"/>
  <c r="D1095" i="3"/>
  <c r="E1095" i="3" s="1"/>
  <c r="D1128" i="3"/>
  <c r="E1128" i="3" s="1"/>
  <c r="D1168" i="3"/>
  <c r="E1168" i="3" s="1"/>
  <c r="D1189" i="3"/>
  <c r="E1189" i="3" s="1"/>
  <c r="D1223" i="3"/>
  <c r="E1223" i="3" s="1"/>
  <c r="D290" i="3"/>
  <c r="E290" i="3" s="1"/>
  <c r="D602" i="3"/>
  <c r="E602" i="3" s="1"/>
  <c r="D615" i="3"/>
  <c r="E615" i="3" s="1"/>
  <c r="D631" i="3"/>
  <c r="E631" i="3" s="1"/>
  <c r="D648" i="3"/>
  <c r="E648" i="3" s="1"/>
  <c r="D660" i="3"/>
  <c r="E660" i="3" s="1"/>
  <c r="D701" i="3"/>
  <c r="E701" i="3" s="1"/>
  <c r="D728" i="3"/>
  <c r="E728" i="3" s="1"/>
  <c r="D737" i="3"/>
  <c r="E737" i="3" s="1"/>
  <c r="D755" i="3"/>
  <c r="E755" i="3" s="1"/>
  <c r="D760" i="3"/>
  <c r="E760" i="3" s="1"/>
  <c r="D769" i="3"/>
  <c r="E769" i="3" s="1"/>
  <c r="D792" i="3"/>
  <c r="E792" i="3" s="1"/>
  <c r="D877" i="3"/>
  <c r="E877" i="3" s="1"/>
  <c r="D901" i="3"/>
  <c r="E901" i="3" s="1"/>
  <c r="D920" i="3"/>
  <c r="E920" i="3" s="1"/>
  <c r="D960" i="3"/>
  <c r="E960" i="3" s="1"/>
  <c r="D1015" i="3"/>
  <c r="E1015" i="3" s="1"/>
  <c r="D1088" i="3"/>
  <c r="E1088" i="3" s="1"/>
  <c r="D1143" i="3"/>
  <c r="E1143" i="3" s="1"/>
  <c r="D1176" i="3"/>
  <c r="E1176" i="3" s="1"/>
  <c r="D1216" i="3"/>
  <c r="E1216" i="3" s="1"/>
  <c r="D1237" i="3"/>
  <c r="E1237" i="3" s="1"/>
  <c r="D1286" i="3"/>
  <c r="E1286" i="3" s="1"/>
  <c r="D338" i="3"/>
  <c r="E338" i="3" s="1"/>
  <c r="D370" i="3"/>
  <c r="E370" i="3" s="1"/>
  <c r="D620" i="3"/>
  <c r="E620" i="3" s="1"/>
  <c r="D644" i="3"/>
  <c r="E644" i="3" s="1"/>
  <c r="D682" i="3"/>
  <c r="E682" i="3" s="1"/>
  <c r="D690" i="3"/>
  <c r="E690" i="3" s="1"/>
  <c r="D742" i="3"/>
  <c r="E742" i="3" s="1"/>
  <c r="D798" i="3"/>
  <c r="E798" i="3" s="1"/>
  <c r="D819" i="3"/>
  <c r="E819" i="3" s="1"/>
  <c r="D824" i="3"/>
  <c r="E824" i="3" s="1"/>
  <c r="D842" i="3"/>
  <c r="E842" i="3" s="1"/>
  <c r="D848" i="3"/>
  <c r="E848" i="3" s="1"/>
  <c r="D935" i="3"/>
  <c r="E935" i="3" s="1"/>
  <c r="D1008" i="3"/>
  <c r="E1008" i="3" s="1"/>
  <c r="D1063" i="3"/>
  <c r="E1063" i="3" s="1"/>
  <c r="D1096" i="3"/>
  <c r="E1096" i="3" s="1"/>
  <c r="D1136" i="3"/>
  <c r="E1136" i="3" s="1"/>
  <c r="D1157" i="3"/>
  <c r="E1157" i="3" s="1"/>
  <c r="D1224" i="3"/>
  <c r="E1224" i="3" s="1"/>
  <c r="D1295" i="3"/>
  <c r="E1295" i="3" s="1"/>
  <c r="D1345" i="3"/>
  <c r="E1345" i="3" s="1"/>
  <c r="D1353" i="3"/>
  <c r="E1353" i="3" s="1"/>
  <c r="D1383" i="3"/>
  <c r="E1383" i="3" s="1"/>
  <c r="D1406" i="3"/>
  <c r="E1406" i="3" s="1"/>
  <c r="D282" i="3"/>
  <c r="E282" i="3" s="1"/>
  <c r="D335" i="3"/>
  <c r="E335" i="3" s="1"/>
  <c r="D351" i="3"/>
  <c r="E351" i="3" s="1"/>
  <c r="D367" i="3"/>
  <c r="E367" i="3" s="1"/>
  <c r="D383" i="3"/>
  <c r="E383" i="3" s="1"/>
  <c r="D391" i="3"/>
  <c r="E391" i="3" s="1"/>
  <c r="D407" i="3"/>
  <c r="E407" i="3" s="1"/>
  <c r="D423" i="3"/>
  <c r="E423" i="3" s="1"/>
  <c r="D431" i="3"/>
  <c r="E431" i="3" s="1"/>
  <c r="D439" i="3"/>
  <c r="E439" i="3" s="1"/>
  <c r="D447" i="3"/>
  <c r="E447" i="3" s="1"/>
  <c r="D455" i="3"/>
  <c r="E455" i="3" s="1"/>
  <c r="D471" i="3"/>
  <c r="E471" i="3" s="1"/>
  <c r="D487" i="3"/>
  <c r="E487" i="3" s="1"/>
  <c r="D495" i="3"/>
  <c r="E495" i="3" s="1"/>
  <c r="D503" i="3"/>
  <c r="E503" i="3" s="1"/>
  <c r="D511" i="3"/>
  <c r="E511" i="3" s="1"/>
  <c r="D519" i="3"/>
  <c r="E519" i="3" s="1"/>
  <c r="D535" i="3"/>
  <c r="E535" i="3" s="1"/>
  <c r="D551" i="3"/>
  <c r="E551" i="3" s="1"/>
  <c r="D559" i="3"/>
  <c r="E559" i="3" s="1"/>
  <c r="D567" i="3"/>
  <c r="E567" i="3" s="1"/>
  <c r="D575" i="3"/>
  <c r="E575" i="3" s="1"/>
  <c r="D583" i="3"/>
  <c r="E583" i="3" s="1"/>
  <c r="D599" i="3"/>
  <c r="E599" i="3" s="1"/>
  <c r="D628" i="3"/>
  <c r="E628" i="3" s="1"/>
  <c r="D649" i="3"/>
  <c r="E649" i="3" s="1"/>
  <c r="D669" i="3"/>
  <c r="E669" i="3" s="1"/>
  <c r="D698" i="3"/>
  <c r="E698" i="3" s="1"/>
  <c r="D729" i="3"/>
  <c r="E729" i="3" s="1"/>
  <c r="D793" i="3"/>
  <c r="E793" i="3" s="1"/>
  <c r="D830" i="3"/>
  <c r="E830" i="3" s="1"/>
  <c r="D897" i="3"/>
  <c r="E897" i="3" s="1"/>
  <c r="D903" i="3"/>
  <c r="E903" i="3" s="1"/>
  <c r="D928" i="3"/>
  <c r="E928" i="3" s="1"/>
  <c r="D983" i="3"/>
  <c r="E983" i="3" s="1"/>
  <c r="D1056" i="3"/>
  <c r="E1056" i="3" s="1"/>
  <c r="D1111" i="3"/>
  <c r="E1111" i="3" s="1"/>
  <c r="D1144" i="3"/>
  <c r="E1144" i="3" s="1"/>
  <c r="D1184" i="3"/>
  <c r="E1184" i="3" s="1"/>
  <c r="D1205" i="3"/>
  <c r="E1205" i="3" s="1"/>
  <c r="D1239" i="3"/>
  <c r="E1239" i="3" s="1"/>
  <c r="D1572" i="3"/>
  <c r="E1572" i="3" s="1"/>
  <c r="D1755" i="3"/>
  <c r="E1755" i="3" s="1"/>
  <c r="D624" i="3"/>
  <c r="E624" i="3" s="1"/>
  <c r="D656" i="3"/>
  <c r="E656" i="3" s="1"/>
  <c r="D688" i="3"/>
  <c r="E688" i="3" s="1"/>
  <c r="D718" i="3"/>
  <c r="E718" i="3" s="1"/>
  <c r="D782" i="3"/>
  <c r="E782" i="3" s="1"/>
  <c r="D857" i="3"/>
  <c r="E857" i="3" s="1"/>
  <c r="D887" i="3"/>
  <c r="E887" i="3" s="1"/>
  <c r="D923" i="3"/>
  <c r="E923" i="3" s="1"/>
  <c r="D939" i="3"/>
  <c r="E939" i="3" s="1"/>
  <c r="D955" i="3"/>
  <c r="E955" i="3" s="1"/>
  <c r="D987" i="3"/>
  <c r="E987" i="3" s="1"/>
  <c r="D1019" i="3"/>
  <c r="E1019" i="3" s="1"/>
  <c r="D1035" i="3"/>
  <c r="E1035" i="3" s="1"/>
  <c r="D1051" i="3"/>
  <c r="E1051" i="3" s="1"/>
  <c r="D1067" i="3"/>
  <c r="E1067" i="3" s="1"/>
  <c r="D1083" i="3"/>
  <c r="E1083" i="3" s="1"/>
  <c r="D1115" i="3"/>
  <c r="E1115" i="3" s="1"/>
  <c r="D1147" i="3"/>
  <c r="E1147" i="3" s="1"/>
  <c r="D1163" i="3"/>
  <c r="E1163" i="3" s="1"/>
  <c r="D1179" i="3"/>
  <c r="E1179" i="3" s="1"/>
  <c r="D1195" i="3"/>
  <c r="E1195" i="3" s="1"/>
  <c r="D1211" i="3"/>
  <c r="E1211" i="3" s="1"/>
  <c r="D1243" i="3"/>
  <c r="E1243" i="3" s="1"/>
  <c r="D1270" i="3"/>
  <c r="E1270" i="3" s="1"/>
  <c r="D1352" i="3"/>
  <c r="E1352" i="3" s="1"/>
  <c r="D1489" i="3"/>
  <c r="E1489" i="3" s="1"/>
  <c r="D1647" i="3"/>
  <c r="E1647" i="3" s="1"/>
  <c r="D1655" i="3"/>
  <c r="E1655" i="3" s="1"/>
  <c r="D1963" i="3"/>
  <c r="E1963" i="3" s="1"/>
  <c r="D1648" i="3"/>
  <c r="E1648" i="3" s="1"/>
  <c r="D1804" i="3"/>
  <c r="E1804" i="3" s="1"/>
  <c r="D1820" i="3"/>
  <c r="E1820" i="3" s="1"/>
  <c r="D1836" i="3"/>
  <c r="E1836" i="3" s="1"/>
  <c r="D1852" i="3"/>
  <c r="E1852" i="3" s="1"/>
  <c r="D1884" i="3"/>
  <c r="E1884" i="3" s="1"/>
  <c r="D1916" i="3"/>
  <c r="E1916" i="3" s="1"/>
  <c r="D1932" i="3"/>
  <c r="E1932" i="3" s="1"/>
  <c r="D1300" i="3"/>
  <c r="E1300" i="3" s="1"/>
  <c r="D1312" i="3"/>
  <c r="E1312" i="3" s="1"/>
  <c r="D1335" i="3"/>
  <c r="E1335" i="3" s="1"/>
  <c r="D1372" i="3"/>
  <c r="E1372" i="3" s="1"/>
  <c r="D1436" i="3"/>
  <c r="E1436" i="3" s="1"/>
  <c r="D1540" i="3"/>
  <c r="E1540" i="3" s="1"/>
  <c r="D1719" i="3"/>
  <c r="E1719" i="3" s="1"/>
  <c r="D1949" i="3"/>
  <c r="E1949" i="3" s="1"/>
  <c r="D1989" i="3"/>
  <c r="E1989" i="3" s="1"/>
  <c r="D834" i="3"/>
  <c r="E834" i="3" s="1"/>
  <c r="D854" i="3"/>
  <c r="E854" i="3" s="1"/>
  <c r="D872" i="3"/>
  <c r="E872" i="3" s="1"/>
  <c r="D898" i="3"/>
  <c r="E898" i="3" s="1"/>
  <c r="D910" i="3"/>
  <c r="E910" i="3" s="1"/>
  <c r="D941" i="3"/>
  <c r="E941" i="3" s="1"/>
  <c r="D973" i="3"/>
  <c r="E973" i="3" s="1"/>
  <c r="D1085" i="3"/>
  <c r="E1085" i="3" s="1"/>
  <c r="D1101" i="3"/>
  <c r="E1101" i="3" s="1"/>
  <c r="D1117" i="3"/>
  <c r="E1117" i="3" s="1"/>
  <c r="D1133" i="3"/>
  <c r="E1133" i="3" s="1"/>
  <c r="D1149" i="3"/>
  <c r="E1149" i="3" s="1"/>
  <c r="D1181" i="3"/>
  <c r="E1181" i="3" s="1"/>
  <c r="D1213" i="3"/>
  <c r="E1213" i="3" s="1"/>
  <c r="D1229" i="3"/>
  <c r="E1229" i="3" s="1"/>
  <c r="D1245" i="3"/>
  <c r="E1245" i="3" s="1"/>
  <c r="D1261" i="3"/>
  <c r="E1261" i="3" s="1"/>
  <c r="D1289" i="3"/>
  <c r="E1289" i="3" s="1"/>
  <c r="D1318" i="3"/>
  <c r="E1318" i="3" s="1"/>
  <c r="D1336" i="3"/>
  <c r="E1336" i="3" s="1"/>
  <c r="D1348" i="3"/>
  <c r="E1348" i="3" s="1"/>
  <c r="D1366" i="3"/>
  <c r="E1366" i="3" s="1"/>
  <c r="D1385" i="3"/>
  <c r="E1385" i="3" s="1"/>
  <c r="D1410" i="3"/>
  <c r="E1410" i="3" s="1"/>
  <c r="D1541" i="3"/>
  <c r="E1541" i="3" s="1"/>
  <c r="D1620" i="3"/>
  <c r="E1620" i="3" s="1"/>
  <c r="D1712" i="3"/>
  <c r="E1712" i="3" s="1"/>
  <c r="D608" i="3"/>
  <c r="E608" i="3" s="1"/>
  <c r="D640" i="3"/>
  <c r="E640" i="3" s="1"/>
  <c r="D672" i="3"/>
  <c r="E672" i="3" s="1"/>
  <c r="D730" i="3"/>
  <c r="E730" i="3" s="1"/>
  <c r="D794" i="3"/>
  <c r="E794" i="3" s="1"/>
  <c r="D826" i="3"/>
  <c r="E826" i="3" s="1"/>
  <c r="D855" i="3"/>
  <c r="E855" i="3" s="1"/>
  <c r="D889" i="3"/>
  <c r="E889" i="3" s="1"/>
  <c r="D915" i="3"/>
  <c r="E915" i="3" s="1"/>
  <c r="D947" i="3"/>
  <c r="E947" i="3" s="1"/>
  <c r="D979" i="3"/>
  <c r="E979" i="3" s="1"/>
  <c r="D995" i="3"/>
  <c r="E995" i="3" s="1"/>
  <c r="D1011" i="3"/>
  <c r="E1011" i="3" s="1"/>
  <c r="D1027" i="3"/>
  <c r="E1027" i="3" s="1"/>
  <c r="D1043" i="3"/>
  <c r="E1043" i="3" s="1"/>
  <c r="D1075" i="3"/>
  <c r="E1075" i="3" s="1"/>
  <c r="D1107" i="3"/>
  <c r="E1107" i="3" s="1"/>
  <c r="D1123" i="3"/>
  <c r="E1123" i="3" s="1"/>
  <c r="D1139" i="3"/>
  <c r="E1139" i="3" s="1"/>
  <c r="D1155" i="3"/>
  <c r="E1155" i="3" s="1"/>
  <c r="D1171" i="3"/>
  <c r="E1171" i="3" s="1"/>
  <c r="D1203" i="3"/>
  <c r="E1203" i="3" s="1"/>
  <c r="D1235" i="3"/>
  <c r="E1235" i="3" s="1"/>
  <c r="D1251" i="3"/>
  <c r="E1251" i="3" s="1"/>
  <c r="D1337" i="3"/>
  <c r="E1337" i="3" s="1"/>
  <c r="D1361" i="3"/>
  <c r="E1361" i="3" s="1"/>
  <c r="D1398" i="3"/>
  <c r="E1398" i="3" s="1"/>
  <c r="D1529" i="3"/>
  <c r="E1529" i="3" s="1"/>
  <c r="D1783" i="3"/>
  <c r="E1783" i="3" s="1"/>
  <c r="D727" i="3"/>
  <c r="E727" i="3" s="1"/>
  <c r="D759" i="3"/>
  <c r="E759" i="3" s="1"/>
  <c r="D791" i="3"/>
  <c r="E791" i="3" s="1"/>
  <c r="D823" i="3"/>
  <c r="E823" i="3" s="1"/>
  <c r="D865" i="3"/>
  <c r="E865" i="3" s="1"/>
  <c r="D890" i="3"/>
  <c r="E890" i="3" s="1"/>
  <c r="D907" i="3"/>
  <c r="E907" i="3" s="1"/>
  <c r="D927" i="3"/>
  <c r="E927" i="3" s="1"/>
  <c r="D943" i="3"/>
  <c r="E943" i="3" s="1"/>
  <c r="D959" i="3"/>
  <c r="E959" i="3" s="1"/>
  <c r="D991" i="3"/>
  <c r="E991" i="3" s="1"/>
  <c r="D1023" i="3"/>
  <c r="E1023" i="3" s="1"/>
  <c r="D1039" i="3"/>
  <c r="E1039" i="3" s="1"/>
  <c r="D1055" i="3"/>
  <c r="E1055" i="3" s="1"/>
  <c r="D1071" i="3"/>
  <c r="E1071" i="3" s="1"/>
  <c r="D1087" i="3"/>
  <c r="E1087" i="3" s="1"/>
  <c r="D1119" i="3"/>
  <c r="E1119" i="3" s="1"/>
  <c r="D1151" i="3"/>
  <c r="E1151" i="3" s="1"/>
  <c r="D1167" i="3"/>
  <c r="E1167" i="3" s="1"/>
  <c r="D1183" i="3"/>
  <c r="E1183" i="3" s="1"/>
  <c r="D1199" i="3"/>
  <c r="E1199" i="3" s="1"/>
  <c r="D1215" i="3"/>
  <c r="E1215" i="3" s="1"/>
  <c r="D1247" i="3"/>
  <c r="E1247" i="3" s="1"/>
  <c r="D1268" i="3"/>
  <c r="E1268" i="3" s="1"/>
  <c r="D1279" i="3"/>
  <c r="E1279" i="3" s="1"/>
  <c r="D1296" i="3"/>
  <c r="E1296" i="3" s="1"/>
  <c r="D1392" i="3"/>
  <c r="E1392" i="3" s="1"/>
  <c r="D1668" i="3"/>
  <c r="E1668" i="3" s="1"/>
  <c r="D1691" i="3"/>
  <c r="E1691" i="3" s="1"/>
  <c r="D600" i="3"/>
  <c r="E600" i="3" s="1"/>
  <c r="D632" i="3"/>
  <c r="E632" i="3" s="1"/>
  <c r="D664" i="3"/>
  <c r="E664" i="3" s="1"/>
  <c r="D696" i="3"/>
  <c r="E696" i="3" s="1"/>
  <c r="D831" i="3"/>
  <c r="E831" i="3" s="1"/>
  <c r="D895" i="3"/>
  <c r="E895" i="3" s="1"/>
  <c r="D1303" i="3"/>
  <c r="E1303" i="3" s="1"/>
  <c r="D1350" i="3"/>
  <c r="E1350" i="3" s="1"/>
  <c r="D1375" i="3"/>
  <c r="E1375" i="3" s="1"/>
  <c r="D1393" i="3"/>
  <c r="E1393" i="3" s="1"/>
  <c r="D1420" i="3"/>
  <c r="E1420" i="3" s="1"/>
  <c r="D1426" i="3"/>
  <c r="E1426" i="3" s="1"/>
  <c r="D1446" i="3"/>
  <c r="E1446" i="3" s="1"/>
  <c r="D1452" i="3"/>
  <c r="E1452" i="3" s="1"/>
  <c r="D1739" i="3"/>
  <c r="E1739" i="3" s="1"/>
  <c r="D841" i="3"/>
  <c r="E841" i="3" s="1"/>
  <c r="D873" i="3"/>
  <c r="E873" i="3" s="1"/>
  <c r="D905" i="3"/>
  <c r="E905" i="3" s="1"/>
  <c r="D911" i="3"/>
  <c r="E911" i="3" s="1"/>
  <c r="D918" i="3"/>
  <c r="E918" i="3" s="1"/>
  <c r="D926" i="3"/>
  <c r="E926" i="3" s="1"/>
  <c r="D942" i="3"/>
  <c r="E942" i="3" s="1"/>
  <c r="D950" i="3"/>
  <c r="E950" i="3" s="1"/>
  <c r="D958" i="3"/>
  <c r="E958" i="3" s="1"/>
  <c r="D966" i="3"/>
  <c r="E966" i="3" s="1"/>
  <c r="D974" i="3"/>
  <c r="E974" i="3" s="1"/>
  <c r="D982" i="3"/>
  <c r="E982" i="3" s="1"/>
  <c r="D990" i="3"/>
  <c r="E990" i="3" s="1"/>
  <c r="D1014" i="3"/>
  <c r="E1014" i="3" s="1"/>
  <c r="D1022" i="3"/>
  <c r="E1022" i="3" s="1"/>
  <c r="D1030" i="3"/>
  <c r="E1030" i="3" s="1"/>
  <c r="D1038" i="3"/>
  <c r="E1038" i="3" s="1"/>
  <c r="D1046" i="3"/>
  <c r="E1046" i="3" s="1"/>
  <c r="D1054" i="3"/>
  <c r="E1054" i="3" s="1"/>
  <c r="D1062" i="3"/>
  <c r="E1062" i="3" s="1"/>
  <c r="D1102" i="3"/>
  <c r="E1102" i="3" s="1"/>
  <c r="D1110" i="3"/>
  <c r="E1110" i="3" s="1"/>
  <c r="D1118" i="3"/>
  <c r="E1118" i="3" s="1"/>
  <c r="D1126" i="3"/>
  <c r="E1126" i="3" s="1"/>
  <c r="D1134" i="3"/>
  <c r="E1134" i="3" s="1"/>
  <c r="D1142" i="3"/>
  <c r="E1142" i="3" s="1"/>
  <c r="D1150" i="3"/>
  <c r="E1150" i="3" s="1"/>
  <c r="D1166" i="3"/>
  <c r="E1166" i="3" s="1"/>
  <c r="D1174" i="3"/>
  <c r="E1174" i="3" s="1"/>
  <c r="D1182" i="3"/>
  <c r="E1182" i="3" s="1"/>
  <c r="D1214" i="3"/>
  <c r="E1214" i="3" s="1"/>
  <c r="D1222" i="3"/>
  <c r="E1222" i="3" s="1"/>
  <c r="D1238" i="3"/>
  <c r="E1238" i="3" s="1"/>
  <c r="D1246" i="3"/>
  <c r="E1246" i="3" s="1"/>
  <c r="D1262" i="3"/>
  <c r="E1262" i="3" s="1"/>
  <c r="D1272" i="3"/>
  <c r="E1272" i="3" s="1"/>
  <c r="D1281" i="3"/>
  <c r="E1281" i="3" s="1"/>
  <c r="D1316" i="3"/>
  <c r="E1316" i="3" s="1"/>
  <c r="D1351" i="3"/>
  <c r="E1351" i="3" s="1"/>
  <c r="D1360" i="3"/>
  <c r="E1360" i="3" s="1"/>
  <c r="D1400" i="3"/>
  <c r="E1400" i="3" s="1"/>
  <c r="D1450" i="3"/>
  <c r="E1450" i="3" s="1"/>
  <c r="D1481" i="3"/>
  <c r="E1481" i="3" s="1"/>
  <c r="D1516" i="3"/>
  <c r="E1516" i="3" s="1"/>
  <c r="D1588" i="3"/>
  <c r="E1588" i="3" s="1"/>
  <c r="D1619" i="3"/>
  <c r="E1619" i="3" s="1"/>
  <c r="D1632" i="3"/>
  <c r="E1632" i="3" s="1"/>
  <c r="D1639" i="3"/>
  <c r="E1639" i="3" s="1"/>
  <c r="D1696" i="3"/>
  <c r="E1696" i="3" s="1"/>
  <c r="D1703" i="3"/>
  <c r="E1703" i="3" s="1"/>
  <c r="D1724" i="3"/>
  <c r="E1724" i="3" s="1"/>
  <c r="D1760" i="3"/>
  <c r="E1760" i="3" s="1"/>
  <c r="D1767" i="3"/>
  <c r="E1767" i="3" s="1"/>
  <c r="D1788" i="3"/>
  <c r="E1788" i="3" s="1"/>
  <c r="D1803" i="3"/>
  <c r="E1803" i="3" s="1"/>
  <c r="D1835" i="3"/>
  <c r="E1835" i="3" s="1"/>
  <c r="D1851" i="3"/>
  <c r="E1851" i="3" s="1"/>
  <c r="D1867" i="3"/>
  <c r="E1867" i="3" s="1"/>
  <c r="D1883" i="3"/>
  <c r="E1883" i="3" s="1"/>
  <c r="D1899" i="3"/>
  <c r="E1899" i="3" s="1"/>
  <c r="D1915" i="3"/>
  <c r="E1915" i="3" s="1"/>
  <c r="D1931" i="3"/>
  <c r="E1931" i="3" s="1"/>
  <c r="D2009" i="3"/>
  <c r="E2009" i="3" s="1"/>
  <c r="D2017" i="3"/>
  <c r="E2017" i="3" s="1"/>
  <c r="D1380" i="3"/>
  <c r="E1380" i="3" s="1"/>
  <c r="D1422" i="3"/>
  <c r="E1422" i="3" s="1"/>
  <c r="D1442" i="3"/>
  <c r="E1442" i="3" s="1"/>
  <c r="D1468" i="3"/>
  <c r="E1468" i="3" s="1"/>
  <c r="D1484" i="3"/>
  <c r="E1484" i="3" s="1"/>
  <c r="D1542" i="3"/>
  <c r="E1542" i="3" s="1"/>
  <c r="D1566" i="3"/>
  <c r="E1566" i="3" s="1"/>
  <c r="D1604" i="3"/>
  <c r="E1604" i="3" s="1"/>
  <c r="D1616" i="3"/>
  <c r="E1616" i="3" s="1"/>
  <c r="D1664" i="3"/>
  <c r="E1664" i="3" s="1"/>
  <c r="D1671" i="3"/>
  <c r="E1671" i="3" s="1"/>
  <c r="D1692" i="3"/>
  <c r="E1692" i="3" s="1"/>
  <c r="D1735" i="3"/>
  <c r="E1735" i="3" s="1"/>
  <c r="D1756" i="3"/>
  <c r="E1756" i="3" s="1"/>
  <c r="D1792" i="3"/>
  <c r="E1792" i="3" s="1"/>
  <c r="D1799" i="3"/>
  <c r="E1799" i="3" s="1"/>
  <c r="D1815" i="3"/>
  <c r="E1815" i="3" s="1"/>
  <c r="D1831" i="3"/>
  <c r="E1831" i="3" s="1"/>
  <c r="D1847" i="3"/>
  <c r="E1847" i="3" s="1"/>
  <c r="D1879" i="3"/>
  <c r="E1879" i="3" s="1"/>
  <c r="D1895" i="3"/>
  <c r="E1895" i="3" s="1"/>
  <c r="D1911" i="3"/>
  <c r="E1911" i="3" s="1"/>
  <c r="D1927" i="3"/>
  <c r="E1927" i="3" s="1"/>
  <c r="D913" i="3"/>
  <c r="E913" i="3" s="1"/>
  <c r="D921" i="3"/>
  <c r="E921" i="3" s="1"/>
  <c r="D929" i="3"/>
  <c r="E929" i="3" s="1"/>
  <c r="D945" i="3"/>
  <c r="E945" i="3" s="1"/>
  <c r="D953" i="3"/>
  <c r="E953" i="3" s="1"/>
  <c r="D961" i="3"/>
  <c r="E961" i="3" s="1"/>
  <c r="D969" i="3"/>
  <c r="E969" i="3" s="1"/>
  <c r="D977" i="3"/>
  <c r="E977" i="3" s="1"/>
  <c r="D985" i="3"/>
  <c r="E985" i="3" s="1"/>
  <c r="D993" i="3"/>
  <c r="E993" i="3" s="1"/>
  <c r="D1009" i="3"/>
  <c r="E1009" i="3" s="1"/>
  <c r="D1017" i="3"/>
  <c r="E1017" i="3" s="1"/>
  <c r="D1025" i="3"/>
  <c r="E1025" i="3" s="1"/>
  <c r="D1033" i="3"/>
  <c r="E1033" i="3" s="1"/>
  <c r="D1041" i="3"/>
  <c r="E1041" i="3" s="1"/>
  <c r="D1049" i="3"/>
  <c r="E1049" i="3" s="1"/>
  <c r="D1057" i="3"/>
  <c r="E1057" i="3" s="1"/>
  <c r="D1073" i="3"/>
  <c r="E1073" i="3" s="1"/>
  <c r="D1081" i="3"/>
  <c r="E1081" i="3" s="1"/>
  <c r="D1089" i="3"/>
  <c r="E1089" i="3" s="1"/>
  <c r="D1097" i="3"/>
  <c r="E1097" i="3" s="1"/>
  <c r="D1105" i="3"/>
  <c r="E1105" i="3" s="1"/>
  <c r="D1113" i="3"/>
  <c r="E1113" i="3" s="1"/>
  <c r="D1121" i="3"/>
  <c r="E1121" i="3" s="1"/>
  <c r="D1137" i="3"/>
  <c r="E1137" i="3" s="1"/>
  <c r="D1145" i="3"/>
  <c r="E1145" i="3" s="1"/>
  <c r="D1153" i="3"/>
  <c r="E1153" i="3" s="1"/>
  <c r="D1161" i="3"/>
  <c r="E1161" i="3" s="1"/>
  <c r="D1169" i="3"/>
  <c r="E1169" i="3" s="1"/>
  <c r="D1177" i="3"/>
  <c r="E1177" i="3" s="1"/>
  <c r="D1185" i="3"/>
  <c r="E1185" i="3" s="1"/>
  <c r="D1201" i="3"/>
  <c r="E1201" i="3" s="1"/>
  <c r="D1209" i="3"/>
  <c r="E1209" i="3" s="1"/>
  <c r="D1217" i="3"/>
  <c r="E1217" i="3" s="1"/>
  <c r="D1225" i="3"/>
  <c r="E1225" i="3" s="1"/>
  <c r="D1233" i="3"/>
  <c r="E1233" i="3" s="1"/>
  <c r="D1241" i="3"/>
  <c r="E1241" i="3" s="1"/>
  <c r="D1249" i="3"/>
  <c r="E1249" i="3" s="1"/>
  <c r="D1265" i="3"/>
  <c r="E1265" i="3" s="1"/>
  <c r="D1288" i="3"/>
  <c r="E1288" i="3" s="1"/>
  <c r="D1297" i="3"/>
  <c r="E1297" i="3" s="1"/>
  <c r="D1332" i="3"/>
  <c r="E1332" i="3" s="1"/>
  <c r="D1367" i="3"/>
  <c r="E1367" i="3" s="1"/>
  <c r="D1376" i="3"/>
  <c r="E1376" i="3" s="1"/>
  <c r="D1412" i="3"/>
  <c r="E1412" i="3" s="1"/>
  <c r="D1438" i="3"/>
  <c r="E1438" i="3" s="1"/>
  <c r="D1458" i="3"/>
  <c r="E1458" i="3" s="1"/>
  <c r="D1508" i="3"/>
  <c r="E1508" i="3" s="1"/>
  <c r="D1598" i="3"/>
  <c r="E1598" i="3" s="1"/>
  <c r="D1636" i="3"/>
  <c r="E1636" i="3" s="1"/>
  <c r="D1643" i="3"/>
  <c r="E1643" i="3" s="1"/>
  <c r="D1679" i="3"/>
  <c r="E1679" i="3" s="1"/>
  <c r="D1707" i="3"/>
  <c r="E1707" i="3" s="1"/>
  <c r="D1771" i="3"/>
  <c r="E1771" i="3" s="1"/>
  <c r="D1808" i="3"/>
  <c r="E1808" i="3" s="1"/>
  <c r="D1824" i="3"/>
  <c r="E1824" i="3" s="1"/>
  <c r="D1840" i="3"/>
  <c r="E1840" i="3" s="1"/>
  <c r="D1856" i="3"/>
  <c r="E1856" i="3" s="1"/>
  <c r="D1872" i="3"/>
  <c r="E1872" i="3" s="1"/>
  <c r="D1904" i="3"/>
  <c r="E1904" i="3" s="1"/>
  <c r="D1920" i="3"/>
  <c r="E1920" i="3" s="1"/>
  <c r="D1936" i="3"/>
  <c r="E1936" i="3" s="1"/>
  <c r="D849" i="3"/>
  <c r="E849" i="3" s="1"/>
  <c r="D881" i="3"/>
  <c r="E881" i="3" s="1"/>
  <c r="D1266" i="3"/>
  <c r="E1266" i="3" s="1"/>
  <c r="D1284" i="3"/>
  <c r="E1284" i="3" s="1"/>
  <c r="D1328" i="3"/>
  <c r="E1328" i="3" s="1"/>
  <c r="D1368" i="3"/>
  <c r="E1368" i="3" s="1"/>
  <c r="D1377" i="3"/>
  <c r="E1377" i="3" s="1"/>
  <c r="D1418" i="3"/>
  <c r="E1418" i="3" s="1"/>
  <c r="D1454" i="3"/>
  <c r="E1454" i="3" s="1"/>
  <c r="D1474" i="3"/>
  <c r="E1474" i="3" s="1"/>
  <c r="D1497" i="3"/>
  <c r="E1497" i="3" s="1"/>
  <c r="D1555" i="3"/>
  <c r="E1555" i="3" s="1"/>
  <c r="D1568" i="3"/>
  <c r="E1568" i="3" s="1"/>
  <c r="D1630" i="3"/>
  <c r="E1630" i="3" s="1"/>
  <c r="D1644" i="3"/>
  <c r="E1644" i="3" s="1"/>
  <c r="D1680" i="3"/>
  <c r="E1680" i="3" s="1"/>
  <c r="D1687" i="3"/>
  <c r="E1687" i="3" s="1"/>
  <c r="D1708" i="3"/>
  <c r="E1708" i="3" s="1"/>
  <c r="D1751" i="3"/>
  <c r="E1751" i="3" s="1"/>
  <c r="D1772" i="3"/>
  <c r="E1772" i="3" s="1"/>
  <c r="D1271" i="3"/>
  <c r="E1271" i="3" s="1"/>
  <c r="D1280" i="3"/>
  <c r="E1280" i="3" s="1"/>
  <c r="D1320" i="3"/>
  <c r="E1320" i="3" s="1"/>
  <c r="D1329" i="3"/>
  <c r="E1329" i="3" s="1"/>
  <c r="D1364" i="3"/>
  <c r="E1364" i="3" s="1"/>
  <c r="D1408" i="3"/>
  <c r="E1408" i="3" s="1"/>
  <c r="D1414" i="3"/>
  <c r="E1414" i="3" s="1"/>
  <c r="D1444" i="3"/>
  <c r="E1444" i="3" s="1"/>
  <c r="D1460" i="3"/>
  <c r="E1460" i="3" s="1"/>
  <c r="D1470" i="3"/>
  <c r="E1470" i="3" s="1"/>
  <c r="D1492" i="3"/>
  <c r="E1492" i="3" s="1"/>
  <c r="D1521" i="3"/>
  <c r="E1521" i="3" s="1"/>
  <c r="D1587" i="3"/>
  <c r="E1587" i="3" s="1"/>
  <c r="D1600" i="3"/>
  <c r="E1600" i="3" s="1"/>
  <c r="D1652" i="3"/>
  <c r="E1652" i="3" s="1"/>
  <c r="D1659" i="3"/>
  <c r="E1659" i="3" s="1"/>
  <c r="D1695" i="3"/>
  <c r="E1695" i="3" s="1"/>
  <c r="D1723" i="3"/>
  <c r="E1723" i="3" s="1"/>
  <c r="D1787" i="3"/>
  <c r="E1787" i="3" s="1"/>
  <c r="D1298" i="3"/>
  <c r="E1298" i="3" s="1"/>
  <c r="D1314" i="3"/>
  <c r="E1314" i="3" s="1"/>
  <c r="D1330" i="3"/>
  <c r="E1330" i="3" s="1"/>
  <c r="D1346" i="3"/>
  <c r="E1346" i="3" s="1"/>
  <c r="D1362" i="3"/>
  <c r="E1362" i="3" s="1"/>
  <c r="D1378" i="3"/>
  <c r="E1378" i="3" s="1"/>
  <c r="D1394" i="3"/>
  <c r="E1394" i="3" s="1"/>
  <c r="D1464" i="3"/>
  <c r="E1464" i="3" s="1"/>
  <c r="D1482" i="3"/>
  <c r="E1482" i="3" s="1"/>
  <c r="D1490" i="3"/>
  <c r="E1490" i="3" s="1"/>
  <c r="D1498" i="3"/>
  <c r="E1498" i="3" s="1"/>
  <c r="D1506" i="3"/>
  <c r="E1506" i="3" s="1"/>
  <c r="D1514" i="3"/>
  <c r="E1514" i="3" s="1"/>
  <c r="D1522" i="3"/>
  <c r="E1522" i="3" s="1"/>
  <c r="D1543" i="3"/>
  <c r="E1543" i="3" s="1"/>
  <c r="D1547" i="3"/>
  <c r="E1547" i="3" s="1"/>
  <c r="D1575" i="3"/>
  <c r="E1575" i="3" s="1"/>
  <c r="D1607" i="3"/>
  <c r="E1607" i="3" s="1"/>
  <c r="D1945" i="3"/>
  <c r="E1945" i="3" s="1"/>
  <c r="D2003" i="3"/>
  <c r="E2003" i="3" s="1"/>
  <c r="D2010" i="3"/>
  <c r="E2010" i="3" s="1"/>
  <c r="D2154" i="3"/>
  <c r="E2154" i="3" s="1"/>
  <c r="D2186" i="3"/>
  <c r="E2186" i="3" s="1"/>
  <c r="D1946" i="3"/>
  <c r="E1946" i="3" s="1"/>
  <c r="D1952" i="3"/>
  <c r="E1952" i="3" s="1"/>
  <c r="D1964" i="3"/>
  <c r="E1964" i="3" s="1"/>
  <c r="D1998" i="3"/>
  <c r="E1998" i="3" s="1"/>
  <c r="D2027" i="3"/>
  <c r="E2027" i="3" s="1"/>
  <c r="D1440" i="3"/>
  <c r="E1440" i="3" s="1"/>
  <c r="D1472" i="3"/>
  <c r="E1472" i="3" s="1"/>
  <c r="D1535" i="3"/>
  <c r="E1535" i="3" s="1"/>
  <c r="D1539" i="3"/>
  <c r="E1539" i="3" s="1"/>
  <c r="D1553" i="3"/>
  <c r="E1553" i="3" s="1"/>
  <c r="D1585" i="3"/>
  <c r="E1585" i="3" s="1"/>
  <c r="D1617" i="3"/>
  <c r="E1617" i="3" s="1"/>
  <c r="D1953" i="3"/>
  <c r="E1953" i="3" s="1"/>
  <c r="D1965" i="3"/>
  <c r="E1965" i="3" s="1"/>
  <c r="D1711" i="3"/>
  <c r="E1711" i="3" s="1"/>
  <c r="D1716" i="3"/>
  <c r="E1716" i="3" s="1"/>
  <c r="D1727" i="3"/>
  <c r="E1727" i="3" s="1"/>
  <c r="D1732" i="3"/>
  <c r="E1732" i="3" s="1"/>
  <c r="D1743" i="3"/>
  <c r="E1743" i="3" s="1"/>
  <c r="D1759" i="3"/>
  <c r="E1759" i="3" s="1"/>
  <c r="D1764" i="3"/>
  <c r="E1764" i="3" s="1"/>
  <c r="D1775" i="3"/>
  <c r="E1775" i="3" s="1"/>
  <c r="D1780" i="3"/>
  <c r="E1780" i="3" s="1"/>
  <c r="D1791" i="3"/>
  <c r="E1791" i="3" s="1"/>
  <c r="D1796" i="3"/>
  <c r="E1796" i="3" s="1"/>
  <c r="D1807" i="3"/>
  <c r="E1807" i="3" s="1"/>
  <c r="D1823" i="3"/>
  <c r="E1823" i="3" s="1"/>
  <c r="D1828" i="3"/>
  <c r="E1828" i="3" s="1"/>
  <c r="D1839" i="3"/>
  <c r="E1839" i="3" s="1"/>
  <c r="D1844" i="3"/>
  <c r="E1844" i="3" s="1"/>
  <c r="D1855" i="3"/>
  <c r="E1855" i="3" s="1"/>
  <c r="D1860" i="3"/>
  <c r="E1860" i="3" s="1"/>
  <c r="D1871" i="3"/>
  <c r="E1871" i="3" s="1"/>
  <c r="D1887" i="3"/>
  <c r="E1887" i="3" s="1"/>
  <c r="D1892" i="3"/>
  <c r="E1892" i="3" s="1"/>
  <c r="D1903" i="3"/>
  <c r="E1903" i="3" s="1"/>
  <c r="D1908" i="3"/>
  <c r="E1908" i="3" s="1"/>
  <c r="D1919" i="3"/>
  <c r="E1919" i="3" s="1"/>
  <c r="D1924" i="3"/>
  <c r="E1924" i="3" s="1"/>
  <c r="D1935" i="3"/>
  <c r="E1935" i="3" s="1"/>
  <c r="D1979" i="3"/>
  <c r="E1979" i="3" s="1"/>
  <c r="D2013" i="3"/>
  <c r="E2013" i="3" s="1"/>
  <c r="D2045" i="3"/>
  <c r="E2045" i="3" s="1"/>
  <c r="D2061" i="3"/>
  <c r="E2061" i="3" s="1"/>
  <c r="D2077" i="3"/>
  <c r="E2077" i="3" s="1"/>
  <c r="D2093" i="3"/>
  <c r="E2093" i="3" s="1"/>
  <c r="D2109" i="3"/>
  <c r="E2109" i="3" s="1"/>
  <c r="D1274" i="3"/>
  <c r="E1274" i="3" s="1"/>
  <c r="D1290" i="3"/>
  <c r="E1290" i="3" s="1"/>
  <c r="D1306" i="3"/>
  <c r="E1306" i="3" s="1"/>
  <c r="D1322" i="3"/>
  <c r="E1322" i="3" s="1"/>
  <c r="D1338" i="3"/>
  <c r="E1338" i="3" s="1"/>
  <c r="D1354" i="3"/>
  <c r="E1354" i="3" s="1"/>
  <c r="D1370" i="3"/>
  <c r="E1370" i="3" s="1"/>
  <c r="D1402" i="3"/>
  <c r="E1402" i="3" s="1"/>
  <c r="D1416" i="3"/>
  <c r="E1416" i="3" s="1"/>
  <c r="D1448" i="3"/>
  <c r="E1448" i="3" s="1"/>
  <c r="D1480" i="3"/>
  <c r="E1480" i="3" s="1"/>
  <c r="D1488" i="3"/>
  <c r="E1488" i="3" s="1"/>
  <c r="D1496" i="3"/>
  <c r="E1496" i="3" s="1"/>
  <c r="D1504" i="3"/>
  <c r="E1504" i="3" s="1"/>
  <c r="D1520" i="3"/>
  <c r="E1520" i="3" s="1"/>
  <c r="D1528" i="3"/>
  <c r="E1528" i="3" s="1"/>
  <c r="D1545" i="3"/>
  <c r="E1545" i="3" s="1"/>
  <c r="D1559" i="3"/>
  <c r="E1559" i="3" s="1"/>
  <c r="D1591" i="3"/>
  <c r="E1591" i="3" s="1"/>
  <c r="D1623" i="3"/>
  <c r="E1623" i="3" s="1"/>
  <c r="D1960" i="3"/>
  <c r="E1960" i="3" s="1"/>
  <c r="D1466" i="3"/>
  <c r="E1466" i="3" s="1"/>
  <c r="D1550" i="3"/>
  <c r="E1550" i="3" s="1"/>
  <c r="D1582" i="3"/>
  <c r="E1582" i="3" s="1"/>
  <c r="D1614" i="3"/>
  <c r="E1614" i="3" s="1"/>
  <c r="D1968" i="3"/>
  <c r="E1968" i="3" s="1"/>
  <c r="D1974" i="3"/>
  <c r="E1974" i="3" s="1"/>
  <c r="D1988" i="3"/>
  <c r="E1988" i="3" s="1"/>
  <c r="D1456" i="3"/>
  <c r="E1456" i="3" s="1"/>
  <c r="D1569" i="3"/>
  <c r="E1569" i="3" s="1"/>
  <c r="D1601" i="3"/>
  <c r="E1601" i="3" s="1"/>
  <c r="D1633" i="3"/>
  <c r="E1633" i="3" s="1"/>
  <c r="D2016" i="3"/>
  <c r="E2016" i="3" s="1"/>
  <c r="D2024" i="3"/>
  <c r="E2024" i="3" s="1"/>
  <c r="D2144" i="3"/>
  <c r="E2144" i="3" s="1"/>
  <c r="D1580" i="3"/>
  <c r="E1580" i="3" s="1"/>
  <c r="D1596" i="3"/>
  <c r="E1596" i="3" s="1"/>
  <c r="D1612" i="3"/>
  <c r="E1612" i="3" s="1"/>
  <c r="D1628" i="3"/>
  <c r="E1628" i="3" s="1"/>
  <c r="D1943" i="3"/>
  <c r="E1943" i="3" s="1"/>
  <c r="D1997" i="3"/>
  <c r="E1997" i="3" s="1"/>
  <c r="D2176" i="3"/>
  <c r="E2176" i="3" s="1"/>
  <c r="D2417" i="3"/>
  <c r="E2417" i="3" s="1"/>
  <c r="D2032" i="3"/>
  <c r="E2032" i="3" s="1"/>
  <c r="D2128" i="3"/>
  <c r="E2128" i="3" s="1"/>
  <c r="D2158" i="3"/>
  <c r="E2158" i="3" s="1"/>
  <c r="D2244" i="3"/>
  <c r="E2244" i="3" s="1"/>
  <c r="D2267" i="3"/>
  <c r="E2267" i="3" s="1"/>
  <c r="D2282" i="3"/>
  <c r="E2282" i="3" s="1"/>
  <c r="D2059" i="3"/>
  <c r="E2059" i="3" s="1"/>
  <c r="D2075" i="3"/>
  <c r="E2075" i="3" s="1"/>
  <c r="D2091" i="3"/>
  <c r="E2091" i="3" s="1"/>
  <c r="D2107" i="3"/>
  <c r="E2107" i="3" s="1"/>
  <c r="D2123" i="3"/>
  <c r="E2123" i="3" s="1"/>
  <c r="D2129" i="3"/>
  <c r="E2129" i="3" s="1"/>
  <c r="D2141" i="3"/>
  <c r="E2141" i="3" s="1"/>
  <c r="D2210" i="3"/>
  <c r="E2210" i="3" s="1"/>
  <c r="D2232" i="3"/>
  <c r="E2232" i="3" s="1"/>
  <c r="D2038" i="3"/>
  <c r="E2038" i="3" s="1"/>
  <c r="D2049" i="3"/>
  <c r="E2049" i="3" s="1"/>
  <c r="D2054" i="3"/>
  <c r="E2054" i="3" s="1"/>
  <c r="D2065" i="3"/>
  <c r="E2065" i="3" s="1"/>
  <c r="D2070" i="3"/>
  <c r="E2070" i="3" s="1"/>
  <c r="D2086" i="3"/>
  <c r="E2086" i="3" s="1"/>
  <c r="D2097" i="3"/>
  <c r="E2097" i="3" s="1"/>
  <c r="D2102" i="3"/>
  <c r="E2102" i="3" s="1"/>
  <c r="D2113" i="3"/>
  <c r="E2113" i="3" s="1"/>
  <c r="D2118" i="3"/>
  <c r="E2118" i="3" s="1"/>
  <c r="D2130" i="3"/>
  <c r="E2130" i="3" s="1"/>
  <c r="D2179" i="3"/>
  <c r="E2179" i="3" s="1"/>
  <c r="D2029" i="3"/>
  <c r="E2029" i="3" s="1"/>
  <c r="D2136" i="3"/>
  <c r="E2136" i="3" s="1"/>
  <c r="D2160" i="3"/>
  <c r="E2160" i="3" s="1"/>
  <c r="D2192" i="3"/>
  <c r="E2192" i="3" s="1"/>
  <c r="D2226" i="3"/>
  <c r="E2226" i="3" s="1"/>
  <c r="D2317" i="3"/>
  <c r="E2317" i="3" s="1"/>
  <c r="D2533" i="3"/>
  <c r="E2533" i="3" s="1"/>
  <c r="D1966" i="3"/>
  <c r="E1966" i="3" s="1"/>
  <c r="D1985" i="3"/>
  <c r="E1985" i="3" s="1"/>
  <c r="D2000" i="3"/>
  <c r="E2000" i="3" s="1"/>
  <c r="D2030" i="3"/>
  <c r="E2030" i="3" s="1"/>
  <c r="D2227" i="3"/>
  <c r="E2227" i="3" s="1"/>
  <c r="D2256" i="3"/>
  <c r="E2256" i="3" s="1"/>
  <c r="D1641" i="3"/>
  <c r="E1641" i="3" s="1"/>
  <c r="D1657" i="3"/>
  <c r="E1657" i="3" s="1"/>
  <c r="D1665" i="3"/>
  <c r="E1665" i="3" s="1"/>
  <c r="D1673" i="3"/>
  <c r="E1673" i="3" s="1"/>
  <c r="D1681" i="3"/>
  <c r="E1681" i="3" s="1"/>
  <c r="D1689" i="3"/>
  <c r="E1689" i="3" s="1"/>
  <c r="D1697" i="3"/>
  <c r="E1697" i="3" s="1"/>
  <c r="D1705" i="3"/>
  <c r="E1705" i="3" s="1"/>
  <c r="D1721" i="3"/>
  <c r="E1721" i="3" s="1"/>
  <c r="D1729" i="3"/>
  <c r="E1729" i="3" s="1"/>
  <c r="D1737" i="3"/>
  <c r="E1737" i="3" s="1"/>
  <c r="D1745" i="3"/>
  <c r="E1745" i="3" s="1"/>
  <c r="D1753" i="3"/>
  <c r="E1753" i="3" s="1"/>
  <c r="D1761" i="3"/>
  <c r="E1761" i="3" s="1"/>
  <c r="D1769" i="3"/>
  <c r="E1769" i="3" s="1"/>
  <c r="D1785" i="3"/>
  <c r="E1785" i="3" s="1"/>
  <c r="D1793" i="3"/>
  <c r="E1793" i="3" s="1"/>
  <c r="D1801" i="3"/>
  <c r="E1801" i="3" s="1"/>
  <c r="D1809" i="3"/>
  <c r="E1809" i="3" s="1"/>
  <c r="D1817" i="3"/>
  <c r="E1817" i="3" s="1"/>
  <c r="D1825" i="3"/>
  <c r="E1825" i="3" s="1"/>
  <c r="D1833" i="3"/>
  <c r="E1833" i="3" s="1"/>
  <c r="D1849" i="3"/>
  <c r="E1849" i="3" s="1"/>
  <c r="D1857" i="3"/>
  <c r="E1857" i="3" s="1"/>
  <c r="D1865" i="3"/>
  <c r="E1865" i="3" s="1"/>
  <c r="D1873" i="3"/>
  <c r="E1873" i="3" s="1"/>
  <c r="D1881" i="3"/>
  <c r="E1881" i="3" s="1"/>
  <c r="D1889" i="3"/>
  <c r="E1889" i="3" s="1"/>
  <c r="D1897" i="3"/>
  <c r="E1897" i="3" s="1"/>
  <c r="D1913" i="3"/>
  <c r="E1913" i="3" s="1"/>
  <c r="D1921" i="3"/>
  <c r="E1921" i="3" s="1"/>
  <c r="D1929" i="3"/>
  <c r="E1929" i="3" s="1"/>
  <c r="D1937" i="3"/>
  <c r="E1937" i="3" s="1"/>
  <c r="D1942" i="3"/>
  <c r="E1942" i="3" s="1"/>
  <c r="D1947" i="3"/>
  <c r="E1947" i="3" s="1"/>
  <c r="D1971" i="3"/>
  <c r="E1971" i="3" s="1"/>
  <c r="D2011" i="3"/>
  <c r="E2011" i="3" s="1"/>
  <c r="D2035" i="3"/>
  <c r="E2035" i="3" s="1"/>
  <c r="D2051" i="3"/>
  <c r="E2051" i="3" s="1"/>
  <c r="D2067" i="3"/>
  <c r="E2067" i="3" s="1"/>
  <c r="D2083" i="3"/>
  <c r="E2083" i="3" s="1"/>
  <c r="D2099" i="3"/>
  <c r="E2099" i="3" s="1"/>
  <c r="D2115" i="3"/>
  <c r="E2115" i="3" s="1"/>
  <c r="D2149" i="3"/>
  <c r="E2149" i="3" s="1"/>
  <c r="D2162" i="3"/>
  <c r="E2162" i="3" s="1"/>
  <c r="D2194" i="3"/>
  <c r="E2194" i="3" s="1"/>
  <c r="D2303" i="3"/>
  <c r="E2303" i="3" s="1"/>
  <c r="D1551" i="3"/>
  <c r="E1551" i="3" s="1"/>
  <c r="D1567" i="3"/>
  <c r="E1567" i="3" s="1"/>
  <c r="D1583" i="3"/>
  <c r="E1583" i="3" s="1"/>
  <c r="D1615" i="3"/>
  <c r="E1615" i="3" s="1"/>
  <c r="D1631" i="3"/>
  <c r="E1631" i="3" s="1"/>
  <c r="D1957" i="3"/>
  <c r="E1957" i="3" s="1"/>
  <c r="D1977" i="3"/>
  <c r="E1977" i="3" s="1"/>
  <c r="D1996" i="3"/>
  <c r="E1996" i="3" s="1"/>
  <c r="D2006" i="3"/>
  <c r="E2006" i="3" s="1"/>
  <c r="D2021" i="3"/>
  <c r="E2021" i="3" s="1"/>
  <c r="D2046" i="3"/>
  <c r="E2046" i="3" s="1"/>
  <c r="D2057" i="3"/>
  <c r="E2057" i="3" s="1"/>
  <c r="D2062" i="3"/>
  <c r="E2062" i="3" s="1"/>
  <c r="D2073" i="3"/>
  <c r="E2073" i="3" s="1"/>
  <c r="D2078" i="3"/>
  <c r="E2078" i="3" s="1"/>
  <c r="D2089" i="3"/>
  <c r="E2089" i="3" s="1"/>
  <c r="D2094" i="3"/>
  <c r="E2094" i="3" s="1"/>
  <c r="D2110" i="3"/>
  <c r="E2110" i="3" s="1"/>
  <c r="D2121" i="3"/>
  <c r="E2121" i="3" s="1"/>
  <c r="D2126" i="3"/>
  <c r="E2126" i="3" s="1"/>
  <c r="D2139" i="3"/>
  <c r="E2139" i="3" s="1"/>
  <c r="D2150" i="3"/>
  <c r="E2150" i="3" s="1"/>
  <c r="D2163" i="3"/>
  <c r="E2163" i="3" s="1"/>
  <c r="D2195" i="3"/>
  <c r="E2195" i="3" s="1"/>
  <c r="D2229" i="3"/>
  <c r="E2229" i="3" s="1"/>
  <c r="D1969" i="3"/>
  <c r="E1969" i="3" s="1"/>
  <c r="D1980" i="3"/>
  <c r="E1980" i="3" s="1"/>
  <c r="D2001" i="3"/>
  <c r="E2001" i="3" s="1"/>
  <c r="D2012" i="3"/>
  <c r="E2012" i="3" s="1"/>
  <c r="D2033" i="3"/>
  <c r="E2033" i="3" s="1"/>
  <c r="D2044" i="3"/>
  <c r="E2044" i="3" s="1"/>
  <c r="D2060" i="3"/>
  <c r="E2060" i="3" s="1"/>
  <c r="D2068" i="3"/>
  <c r="E2068" i="3" s="1"/>
  <c r="D2076" i="3"/>
  <c r="E2076" i="3" s="1"/>
  <c r="D2084" i="3"/>
  <c r="E2084" i="3" s="1"/>
  <c r="D2092" i="3"/>
  <c r="E2092" i="3" s="1"/>
  <c r="D2100" i="3"/>
  <c r="E2100" i="3" s="1"/>
  <c r="D2108" i="3"/>
  <c r="E2108" i="3" s="1"/>
  <c r="D2124" i="3"/>
  <c r="E2124" i="3" s="1"/>
  <c r="D2152" i="3"/>
  <c r="E2152" i="3" s="1"/>
  <c r="D2168" i="3"/>
  <c r="E2168" i="3" s="1"/>
  <c r="D2184" i="3"/>
  <c r="E2184" i="3" s="1"/>
  <c r="D2200" i="3"/>
  <c r="E2200" i="3" s="1"/>
  <c r="D2216" i="3"/>
  <c r="E2216" i="3" s="1"/>
  <c r="D2250" i="3"/>
  <c r="E2250" i="3" s="1"/>
  <c r="D2629" i="3"/>
  <c r="E2629" i="3" s="1"/>
  <c r="D2296" i="3"/>
  <c r="E2296" i="3" s="1"/>
  <c r="D2308" i="3"/>
  <c r="E2308" i="3" s="1"/>
  <c r="D2314" i="3"/>
  <c r="E2314" i="3" s="1"/>
  <c r="D2338" i="3"/>
  <c r="E2338" i="3" s="1"/>
  <c r="D2370" i="3"/>
  <c r="E2370" i="3" s="1"/>
  <c r="D2402" i="3"/>
  <c r="E2402" i="3" s="1"/>
  <c r="D2443" i="3"/>
  <c r="E2443" i="3" s="1"/>
  <c r="D2498" i="3"/>
  <c r="E2498" i="3" s="1"/>
  <c r="D2520" i="3"/>
  <c r="E2520" i="3" s="1"/>
  <c r="D2730" i="3"/>
  <c r="E2730" i="3" s="1"/>
  <c r="D2423" i="3"/>
  <c r="E2423" i="3" s="1"/>
  <c r="D2430" i="3"/>
  <c r="E2430" i="3" s="1"/>
  <c r="D2521" i="3"/>
  <c r="E2521" i="3" s="1"/>
  <c r="D2274" i="3"/>
  <c r="E2274" i="3" s="1"/>
  <c r="D2285" i="3"/>
  <c r="E2285" i="3" s="1"/>
  <c r="D2316" i="3"/>
  <c r="E2316" i="3" s="1"/>
  <c r="D2352" i="3"/>
  <c r="E2352" i="3" s="1"/>
  <c r="D2379" i="3"/>
  <c r="E2379" i="3" s="1"/>
  <c r="D2384" i="3"/>
  <c r="E2384" i="3" s="1"/>
  <c r="D2411" i="3"/>
  <c r="E2411" i="3" s="1"/>
  <c r="D2224" i="3"/>
  <c r="E2224" i="3" s="1"/>
  <c r="D2230" i="3"/>
  <c r="E2230" i="3" s="1"/>
  <c r="D2236" i="3"/>
  <c r="E2236" i="3" s="1"/>
  <c r="D2258" i="3"/>
  <c r="E2258" i="3" s="1"/>
  <c r="D2298" i="3"/>
  <c r="E2298" i="3" s="1"/>
  <c r="D2322" i="3"/>
  <c r="E2322" i="3" s="1"/>
  <c r="D2341" i="3"/>
  <c r="E2341" i="3" s="1"/>
  <c r="D2412" i="3"/>
  <c r="E2412" i="3" s="1"/>
  <c r="D2425" i="3"/>
  <c r="E2425" i="3" s="1"/>
  <c r="D2487" i="3"/>
  <c r="E2487" i="3" s="1"/>
  <c r="D2493" i="3"/>
  <c r="E2493" i="3" s="1"/>
  <c r="D2501" i="3"/>
  <c r="E2501" i="3" s="1"/>
  <c r="D2575" i="3"/>
  <c r="E2575" i="3" s="1"/>
  <c r="D2597" i="3"/>
  <c r="E2597" i="3" s="1"/>
  <c r="D1950" i="3"/>
  <c r="E1950" i="3" s="1"/>
  <c r="D1982" i="3"/>
  <c r="E1982" i="3" s="1"/>
  <c r="D2014" i="3"/>
  <c r="E2014" i="3" s="1"/>
  <c r="D2127" i="3"/>
  <c r="E2127" i="3" s="1"/>
  <c r="D2137" i="3"/>
  <c r="E2137" i="3" s="1"/>
  <c r="D2155" i="3"/>
  <c r="E2155" i="3" s="1"/>
  <c r="D2171" i="3"/>
  <c r="E2171" i="3" s="1"/>
  <c r="D2203" i="3"/>
  <c r="E2203" i="3" s="1"/>
  <c r="D2214" i="3"/>
  <c r="E2214" i="3" s="1"/>
  <c r="D2219" i="3"/>
  <c r="E2219" i="3" s="1"/>
  <c r="D2231" i="3"/>
  <c r="E2231" i="3" s="1"/>
  <c r="D2253" i="3"/>
  <c r="E2253" i="3" s="1"/>
  <c r="D2270" i="3"/>
  <c r="E2270" i="3" s="1"/>
  <c r="D2354" i="3"/>
  <c r="E2354" i="3" s="1"/>
  <c r="D2657" i="3"/>
  <c r="E2657" i="3" s="1"/>
  <c r="D2672" i="3"/>
  <c r="E2672" i="3" s="1"/>
  <c r="D1961" i="3"/>
  <c r="E1961" i="3" s="1"/>
  <c r="D1993" i="3"/>
  <c r="E1993" i="3" s="1"/>
  <c r="D2025" i="3"/>
  <c r="E2025" i="3" s="1"/>
  <c r="D2036" i="3"/>
  <c r="E2036" i="3" s="1"/>
  <c r="D2146" i="3"/>
  <c r="E2146" i="3" s="1"/>
  <c r="D2276" i="3"/>
  <c r="E2276" i="3" s="1"/>
  <c r="D2293" i="3"/>
  <c r="E2293" i="3" s="1"/>
  <c r="D2300" i="3"/>
  <c r="E2300" i="3" s="1"/>
  <c r="D2318" i="3"/>
  <c r="E2318" i="3" s="1"/>
  <c r="D2440" i="3"/>
  <c r="E2440" i="3" s="1"/>
  <c r="D2540" i="3"/>
  <c r="E2540" i="3" s="1"/>
  <c r="D2658" i="3"/>
  <c r="E2658" i="3" s="1"/>
  <c r="D1990" i="3"/>
  <c r="E1990" i="3" s="1"/>
  <c r="D2022" i="3"/>
  <c r="E2022" i="3" s="1"/>
  <c r="D2133" i="3"/>
  <c r="E2133" i="3" s="1"/>
  <c r="D2142" i="3"/>
  <c r="E2142" i="3" s="1"/>
  <c r="D2271" i="3"/>
  <c r="E2271" i="3" s="1"/>
  <c r="D2301" i="3"/>
  <c r="E2301" i="3" s="1"/>
  <c r="D2331" i="3"/>
  <c r="E2331" i="3" s="1"/>
  <c r="D2363" i="3"/>
  <c r="E2363" i="3" s="1"/>
  <c r="D2368" i="3"/>
  <c r="E2368" i="3" s="1"/>
  <c r="D2395" i="3"/>
  <c r="E2395" i="3" s="1"/>
  <c r="D2400" i="3"/>
  <c r="E2400" i="3" s="1"/>
  <c r="D2420" i="3"/>
  <c r="E2420" i="3" s="1"/>
  <c r="D2428" i="3"/>
  <c r="E2428" i="3" s="1"/>
  <c r="D2549" i="3"/>
  <c r="E2549" i="3" s="1"/>
  <c r="D2698" i="3"/>
  <c r="E2698" i="3" s="1"/>
  <c r="D2153" i="3"/>
  <c r="E2153" i="3" s="1"/>
  <c r="D2161" i="3"/>
  <c r="E2161" i="3" s="1"/>
  <c r="D2169" i="3"/>
  <c r="E2169" i="3" s="1"/>
  <c r="D2177" i="3"/>
  <c r="E2177" i="3" s="1"/>
  <c r="D2185" i="3"/>
  <c r="E2185" i="3" s="1"/>
  <c r="D2193" i="3"/>
  <c r="E2193" i="3" s="1"/>
  <c r="D2209" i="3"/>
  <c r="E2209" i="3" s="1"/>
  <c r="D2217" i="3"/>
  <c r="E2217" i="3" s="1"/>
  <c r="D2239" i="3"/>
  <c r="E2239" i="3" s="1"/>
  <c r="D2251" i="3"/>
  <c r="E2251" i="3" s="1"/>
  <c r="D2259" i="3"/>
  <c r="E2259" i="3" s="1"/>
  <c r="D2286" i="3"/>
  <c r="E2286" i="3" s="1"/>
  <c r="D2330" i="3"/>
  <c r="E2330" i="3" s="1"/>
  <c r="D2362" i="3"/>
  <c r="E2362" i="3" s="1"/>
  <c r="D2378" i="3"/>
  <c r="E2378" i="3" s="1"/>
  <c r="D2394" i="3"/>
  <c r="E2394" i="3" s="1"/>
  <c r="D2405" i="3"/>
  <c r="E2405" i="3" s="1"/>
  <c r="D2511" i="3"/>
  <c r="E2511" i="3" s="1"/>
  <c r="D2565" i="3"/>
  <c r="E2565" i="3" s="1"/>
  <c r="D2639" i="3"/>
  <c r="E2639" i="3" s="1"/>
  <c r="D2745" i="3"/>
  <c r="E2745" i="3" s="1"/>
  <c r="D2145" i="3"/>
  <c r="E2145" i="3" s="1"/>
  <c r="D2172" i="3"/>
  <c r="E2172" i="3" s="1"/>
  <c r="D2180" i="3"/>
  <c r="E2180" i="3" s="1"/>
  <c r="D2228" i="3"/>
  <c r="E2228" i="3" s="1"/>
  <c r="D2262" i="3"/>
  <c r="E2262" i="3" s="1"/>
  <c r="D2284" i="3"/>
  <c r="E2284" i="3" s="1"/>
  <c r="D2328" i="3"/>
  <c r="E2328" i="3" s="1"/>
  <c r="D2333" i="3"/>
  <c r="E2333" i="3" s="1"/>
  <c r="D2349" i="3"/>
  <c r="E2349" i="3" s="1"/>
  <c r="D2365" i="3"/>
  <c r="E2365" i="3" s="1"/>
  <c r="D2371" i="3"/>
  <c r="E2371" i="3" s="1"/>
  <c r="D2387" i="3"/>
  <c r="E2387" i="3" s="1"/>
  <c r="D2414" i="3"/>
  <c r="E2414" i="3" s="1"/>
  <c r="D2437" i="3"/>
  <c r="E2437" i="3" s="1"/>
  <c r="D2450" i="3"/>
  <c r="E2450" i="3" s="1"/>
  <c r="D2475" i="3"/>
  <c r="E2475" i="3" s="1"/>
  <c r="D2562" i="3"/>
  <c r="E2562" i="3" s="1"/>
  <c r="D2616" i="3"/>
  <c r="E2616" i="3" s="1"/>
  <c r="D2704" i="3"/>
  <c r="E2704" i="3" s="1"/>
  <c r="D2238" i="3"/>
  <c r="E2238" i="3" s="1"/>
  <c r="D2304" i="3"/>
  <c r="E2304" i="3" s="1"/>
  <c r="D2310" i="3"/>
  <c r="E2310" i="3" s="1"/>
  <c r="D2319" i="3"/>
  <c r="E2319" i="3" s="1"/>
  <c r="D2344" i="3"/>
  <c r="E2344" i="3" s="1"/>
  <c r="D2360" i="3"/>
  <c r="E2360" i="3" s="1"/>
  <c r="D2376" i="3"/>
  <c r="E2376" i="3" s="1"/>
  <c r="D2392" i="3"/>
  <c r="E2392" i="3" s="1"/>
  <c r="D2604" i="3"/>
  <c r="E2604" i="3" s="1"/>
  <c r="D2617" i="3"/>
  <c r="E2617" i="3" s="1"/>
  <c r="D2645" i="3"/>
  <c r="E2645" i="3" s="1"/>
  <c r="D2268" i="3"/>
  <c r="E2268" i="3" s="1"/>
  <c r="D2290" i="3"/>
  <c r="E2290" i="3" s="1"/>
  <c r="D2409" i="3"/>
  <c r="E2409" i="3" s="1"/>
  <c r="D2524" i="3"/>
  <c r="E2524" i="3" s="1"/>
  <c r="D2744" i="3"/>
  <c r="E2744" i="3" s="1"/>
  <c r="D2246" i="3"/>
  <c r="E2246" i="3" s="1"/>
  <c r="D2278" i="3"/>
  <c r="E2278" i="3" s="1"/>
  <c r="D2288" i="3"/>
  <c r="E2288" i="3" s="1"/>
  <c r="D2320" i="3"/>
  <c r="E2320" i="3" s="1"/>
  <c r="D2403" i="3"/>
  <c r="E2403" i="3" s="1"/>
  <c r="D2433" i="3"/>
  <c r="E2433" i="3" s="1"/>
  <c r="D2484" i="3"/>
  <c r="E2484" i="3" s="1"/>
  <c r="D2508" i="3"/>
  <c r="E2508" i="3" s="1"/>
  <c r="D2572" i="3"/>
  <c r="E2572" i="3" s="1"/>
  <c r="D2584" i="3"/>
  <c r="E2584" i="3" s="1"/>
  <c r="D2626" i="3"/>
  <c r="E2626" i="3" s="1"/>
  <c r="D2656" i="3"/>
  <c r="E2656" i="3" s="1"/>
  <c r="D2709" i="3"/>
  <c r="E2709" i="3" s="1"/>
  <c r="D2762" i="3"/>
  <c r="E2762" i="3" s="1"/>
  <c r="D2699" i="3"/>
  <c r="E2699" i="3" s="1"/>
  <c r="D2738" i="3"/>
  <c r="E2738" i="3" s="1"/>
  <c r="D2283" i="3"/>
  <c r="E2283" i="3" s="1"/>
  <c r="D2294" i="3"/>
  <c r="E2294" i="3" s="1"/>
  <c r="D2315" i="3"/>
  <c r="E2315" i="3" s="1"/>
  <c r="D2326" i="3"/>
  <c r="E2326" i="3" s="1"/>
  <c r="D2418" i="3"/>
  <c r="E2418" i="3" s="1"/>
  <c r="D2426" i="3"/>
  <c r="E2426" i="3" s="1"/>
  <c r="D2436" i="3"/>
  <c r="E2436" i="3" s="1"/>
  <c r="D2488" i="3"/>
  <c r="E2488" i="3" s="1"/>
  <c r="D2517" i="3"/>
  <c r="E2517" i="3" s="1"/>
  <c r="D2552" i="3"/>
  <c r="E2552" i="3" s="1"/>
  <c r="D2594" i="3"/>
  <c r="E2594" i="3" s="1"/>
  <c r="D2681" i="3"/>
  <c r="E2681" i="3" s="1"/>
  <c r="D2254" i="3"/>
  <c r="E2254" i="3" s="1"/>
  <c r="D2312" i="3"/>
  <c r="E2312" i="3" s="1"/>
  <c r="D2427" i="3"/>
  <c r="E2427" i="3" s="1"/>
  <c r="D2456" i="3"/>
  <c r="E2456" i="3" s="1"/>
  <c r="D2461" i="3"/>
  <c r="E2461" i="3" s="1"/>
  <c r="D2483" i="3"/>
  <c r="E2483" i="3" s="1"/>
  <c r="D2530" i="3"/>
  <c r="E2530" i="3" s="1"/>
  <c r="D2553" i="3"/>
  <c r="E2553" i="3" s="1"/>
  <c r="D2636" i="3"/>
  <c r="E2636" i="3" s="1"/>
  <c r="D2648" i="3"/>
  <c r="E2648" i="3" s="1"/>
  <c r="D2708" i="3"/>
  <c r="E2708" i="3" s="1"/>
  <c r="D2727" i="3"/>
  <c r="E2727" i="3" s="1"/>
  <c r="D2740" i="3"/>
  <c r="E2740" i="3" s="1"/>
  <c r="D2291" i="3"/>
  <c r="E2291" i="3" s="1"/>
  <c r="D2302" i="3"/>
  <c r="E2302" i="3" s="1"/>
  <c r="D2323" i="3"/>
  <c r="E2323" i="3" s="1"/>
  <c r="D2334" i="3"/>
  <c r="E2334" i="3" s="1"/>
  <c r="D2342" i="3"/>
  <c r="E2342" i="3" s="1"/>
  <c r="D2350" i="3"/>
  <c r="E2350" i="3" s="1"/>
  <c r="D2358" i="3"/>
  <c r="E2358" i="3" s="1"/>
  <c r="D2374" i="3"/>
  <c r="E2374" i="3" s="1"/>
  <c r="D2382" i="3"/>
  <c r="E2382" i="3" s="1"/>
  <c r="D2390" i="3"/>
  <c r="E2390" i="3" s="1"/>
  <c r="D2398" i="3"/>
  <c r="E2398" i="3" s="1"/>
  <c r="D2607" i="3"/>
  <c r="E2607" i="3" s="1"/>
  <c r="D2613" i="3"/>
  <c r="E2613" i="3" s="1"/>
  <c r="D2649" i="3"/>
  <c r="E2649" i="3" s="1"/>
  <c r="D2688" i="3"/>
  <c r="E2688" i="3" s="1"/>
  <c r="D2695" i="3"/>
  <c r="E2695" i="3" s="1"/>
  <c r="D2715" i="3"/>
  <c r="E2715" i="3" s="1"/>
  <c r="D2748" i="3"/>
  <c r="E2748" i="3" s="1"/>
  <c r="D2755" i="3"/>
  <c r="E2755" i="3" s="1"/>
  <c r="D2413" i="3"/>
  <c r="E2413" i="3" s="1"/>
  <c r="D2455" i="3"/>
  <c r="E2455" i="3" s="1"/>
  <c r="D2491" i="3"/>
  <c r="E2491" i="3" s="1"/>
  <c r="D2671" i="3"/>
  <c r="E2671" i="3" s="1"/>
  <c r="D2692" i="3"/>
  <c r="E2692" i="3" s="1"/>
  <c r="D2723" i="3"/>
  <c r="E2723" i="3" s="1"/>
  <c r="D2753" i="3"/>
  <c r="E2753" i="3" s="1"/>
  <c r="D2764" i="3"/>
  <c r="E2764" i="3" s="1"/>
  <c r="D2659" i="3"/>
  <c r="E2659" i="3" s="1"/>
  <c r="D2735" i="3"/>
  <c r="E2735" i="3" s="1"/>
  <c r="D2756" i="3"/>
  <c r="E2756" i="3" s="1"/>
  <c r="D2458" i="3"/>
  <c r="E2458" i="3" s="1"/>
  <c r="D2468" i="3"/>
  <c r="E2468" i="3" s="1"/>
  <c r="D2674" i="3"/>
  <c r="E2674" i="3" s="1"/>
  <c r="D2680" i="3"/>
  <c r="E2680" i="3" s="1"/>
  <c r="D2690" i="3"/>
  <c r="E2690" i="3" s="1"/>
  <c r="D2731" i="3"/>
  <c r="E2731" i="3" s="1"/>
  <c r="D2736" i="3"/>
  <c r="E2736" i="3" s="1"/>
  <c r="D2741" i="3"/>
  <c r="E2741" i="3" s="1"/>
  <c r="D2747" i="3"/>
  <c r="E2747" i="3" s="1"/>
  <c r="D2421" i="3"/>
  <c r="E2421" i="3" s="1"/>
  <c r="D2451" i="3"/>
  <c r="E2451" i="3" s="1"/>
  <c r="D2459" i="3"/>
  <c r="E2459" i="3" s="1"/>
  <c r="D2660" i="3"/>
  <c r="E2660" i="3" s="1"/>
  <c r="D2691" i="3"/>
  <c r="E2691" i="3" s="1"/>
  <c r="D2721" i="3"/>
  <c r="E2721" i="3" s="1"/>
  <c r="D2767" i="3"/>
  <c r="E2767" i="3" s="1"/>
  <c r="D2481" i="3"/>
  <c r="E2481" i="3" s="1"/>
  <c r="D2490" i="3"/>
  <c r="E2490" i="3" s="1"/>
  <c r="D2504" i="3"/>
  <c r="E2504" i="3" s="1"/>
  <c r="D2568" i="3"/>
  <c r="E2568" i="3" s="1"/>
  <c r="D2600" i="3"/>
  <c r="E2600" i="3" s="1"/>
  <c r="D2632" i="3"/>
  <c r="E2632" i="3" s="1"/>
  <c r="D2651" i="3"/>
  <c r="E2651" i="3" s="1"/>
  <c r="D2676" i="3"/>
  <c r="E2676" i="3" s="1"/>
  <c r="D2706" i="3"/>
  <c r="E2706" i="3" s="1"/>
  <c r="D2712" i="3"/>
  <c r="E2712" i="3" s="1"/>
  <c r="D2752" i="3"/>
  <c r="E2752" i="3" s="1"/>
  <c r="D2763" i="3"/>
  <c r="E2763" i="3" s="1"/>
  <c r="D2507" i="3"/>
  <c r="E2507" i="3" s="1"/>
  <c r="D2523" i="3"/>
  <c r="E2523" i="3" s="1"/>
  <c r="D2539" i="3"/>
  <c r="E2539" i="3" s="1"/>
  <c r="D2555" i="3"/>
  <c r="E2555" i="3" s="1"/>
  <c r="D2571" i="3"/>
  <c r="E2571" i="3" s="1"/>
  <c r="D2603" i="3"/>
  <c r="E2603" i="3" s="1"/>
  <c r="D2619" i="3"/>
  <c r="E2619" i="3" s="1"/>
  <c r="D2635" i="3"/>
  <c r="E2635" i="3" s="1"/>
  <c r="D2669" i="3"/>
  <c r="E2669" i="3" s="1"/>
  <c r="D2701" i="3"/>
  <c r="E2701" i="3" s="1"/>
  <c r="D2733" i="3"/>
  <c r="E2733" i="3" s="1"/>
  <c r="D2765" i="3"/>
  <c r="E2765" i="3" s="1"/>
  <c r="D2515" i="3"/>
  <c r="E2515" i="3" s="1"/>
  <c r="D2531" i="3"/>
  <c r="E2531" i="3" s="1"/>
  <c r="D2547" i="3"/>
  <c r="E2547" i="3" s="1"/>
  <c r="D2563" i="3"/>
  <c r="E2563" i="3" s="1"/>
  <c r="D2579" i="3"/>
  <c r="E2579" i="3" s="1"/>
  <c r="D2595" i="3"/>
  <c r="E2595" i="3" s="1"/>
  <c r="D2611" i="3"/>
  <c r="E2611" i="3" s="1"/>
  <c r="D2643" i="3"/>
  <c r="E2643" i="3" s="1"/>
  <c r="D2653" i="3"/>
  <c r="E2653" i="3" s="1"/>
  <c r="D2685" i="3"/>
  <c r="E2685" i="3" s="1"/>
  <c r="D2717" i="3"/>
  <c r="E2717" i="3" s="1"/>
  <c r="D2749" i="3"/>
  <c r="E2749" i="3" s="1"/>
  <c r="D2435" i="3"/>
  <c r="E2435" i="3" s="1"/>
  <c r="D2467" i="3"/>
  <c r="E2467" i="3" s="1"/>
  <c r="D2512" i="3"/>
  <c r="E2512" i="3" s="1"/>
  <c r="D2528" i="3"/>
  <c r="E2528" i="3" s="1"/>
  <c r="D2544" i="3"/>
  <c r="E2544" i="3" s="1"/>
  <c r="D2560" i="3"/>
  <c r="E2560" i="3" s="1"/>
  <c r="D2576" i="3"/>
  <c r="E2576" i="3" s="1"/>
  <c r="D2592" i="3"/>
  <c r="E2592" i="3" s="1"/>
  <c r="D2608" i="3"/>
  <c r="E2608" i="3" s="1"/>
  <c r="D2640" i="3"/>
  <c r="E2640" i="3" s="1"/>
  <c r="D2664" i="3"/>
  <c r="E2664" i="3" s="1"/>
  <c r="D2675" i="3"/>
  <c r="E2675" i="3" s="1"/>
  <c r="D2696" i="3"/>
  <c r="E2696" i="3" s="1"/>
  <c r="D2707" i="3"/>
  <c r="E2707" i="3" s="1"/>
  <c r="D2728" i="3"/>
  <c r="E2728" i="3" s="1"/>
  <c r="D2739" i="3"/>
  <c r="E2739" i="3" s="1"/>
  <c r="D2661" i="3"/>
  <c r="E2661" i="3" s="1"/>
  <c r="D2693" i="3"/>
  <c r="E2693" i="3" s="1"/>
  <c r="D2725" i="3"/>
  <c r="E2725" i="3" s="1"/>
  <c r="D2757" i="3"/>
  <c r="E2757" i="3" s="1"/>
  <c r="D2768" i="3"/>
  <c r="E2768" i="3" s="1"/>
  <c r="D2749" i="1"/>
  <c r="E2749" i="1" s="1"/>
  <c r="D2741" i="1"/>
  <c r="E2741" i="1" s="1"/>
  <c r="D2733" i="1"/>
  <c r="E2733" i="1" s="1"/>
  <c r="D2621" i="1"/>
  <c r="E2621" i="1" s="1"/>
  <c r="D2613" i="1"/>
  <c r="E2613" i="1" s="1"/>
  <c r="D2605" i="1"/>
  <c r="E2605" i="1" s="1"/>
  <c r="D2493" i="1"/>
  <c r="E2493" i="1" s="1"/>
  <c r="D2485" i="1"/>
  <c r="E2485" i="1" s="1"/>
  <c r="D2477" i="1"/>
  <c r="E2477" i="1" s="1"/>
  <c r="D2365" i="1"/>
  <c r="E2365" i="1" s="1"/>
  <c r="D2357" i="1"/>
  <c r="E2357" i="1" s="1"/>
  <c r="D2349" i="1"/>
  <c r="E2349" i="1" s="1"/>
  <c r="D2245" i="1"/>
  <c r="E2245" i="1" s="1"/>
  <c r="D2237" i="1"/>
  <c r="E2237" i="1" s="1"/>
  <c r="D2229" i="1"/>
  <c r="E2229" i="1" s="1"/>
  <c r="D2221" i="1"/>
  <c r="E2221" i="1" s="1"/>
  <c r="D2117" i="1"/>
  <c r="E2117" i="1" s="1"/>
  <c r="D2109" i="1"/>
  <c r="E2109" i="1" s="1"/>
  <c r="D2101" i="1"/>
  <c r="E2101" i="1" s="1"/>
  <c r="D2093" i="1"/>
  <c r="E2093" i="1" s="1"/>
  <c r="D2668" i="1"/>
  <c r="E2668" i="1" s="1"/>
  <c r="D2660" i="1"/>
  <c r="E2660" i="1" s="1"/>
  <c r="D2652" i="1"/>
  <c r="E2652" i="1" s="1"/>
  <c r="D2644" i="1"/>
  <c r="E2644" i="1" s="1"/>
  <c r="D2588" i="1"/>
  <c r="E2588" i="1" s="1"/>
  <c r="D2540" i="1"/>
  <c r="E2540" i="1" s="1"/>
  <c r="D2532" i="1"/>
  <c r="E2532" i="1" s="1"/>
  <c r="D2524" i="1"/>
  <c r="E2524" i="1" s="1"/>
  <c r="D2516" i="1"/>
  <c r="E2516" i="1" s="1"/>
  <c r="D2460" i="1"/>
  <c r="E2460" i="1" s="1"/>
  <c r="D2412" i="1"/>
  <c r="E2412" i="1" s="1"/>
  <c r="D2404" i="1"/>
  <c r="E2404" i="1" s="1"/>
  <c r="D2396" i="1"/>
  <c r="E2396" i="1" s="1"/>
  <c r="D2388" i="1"/>
  <c r="E2388" i="1" s="1"/>
  <c r="D2332" i="1"/>
  <c r="E2332" i="1" s="1"/>
  <c r="D2284" i="1"/>
  <c r="E2284" i="1" s="1"/>
  <c r="D2276" i="1"/>
  <c r="E2276" i="1" s="1"/>
  <c r="D2268" i="1"/>
  <c r="E2268" i="1" s="1"/>
  <c r="D2260" i="1"/>
  <c r="E2260" i="1" s="1"/>
  <c r="D2204" i="1"/>
  <c r="E2204" i="1" s="1"/>
  <c r="D2156" i="1"/>
  <c r="E2156" i="1" s="1"/>
  <c r="D2148" i="1"/>
  <c r="E2148" i="1" s="1"/>
  <c r="D2140" i="1"/>
  <c r="E2140" i="1" s="1"/>
  <c r="D2132" i="1"/>
  <c r="E2132" i="1" s="1"/>
  <c r="D2076" i="1"/>
  <c r="E2076" i="1" s="1"/>
  <c r="D2722" i="1"/>
  <c r="E2722" i="1" s="1"/>
  <c r="D2714" i="1"/>
  <c r="E2714" i="1" s="1"/>
  <c r="D2706" i="1"/>
  <c r="E2706" i="1" s="1"/>
  <c r="D2698" i="1"/>
  <c r="E2698" i="1" s="1"/>
  <c r="D2642" i="1"/>
  <c r="E2642" i="1" s="1"/>
  <c r="D2594" i="1"/>
  <c r="E2594" i="1" s="1"/>
  <c r="D2586" i="1"/>
  <c r="E2586" i="1" s="1"/>
  <c r="D2578" i="1"/>
  <c r="E2578" i="1" s="1"/>
  <c r="D2570" i="1"/>
  <c r="E2570" i="1" s="1"/>
  <c r="D2514" i="1"/>
  <c r="E2514" i="1" s="1"/>
  <c r="D2466" i="1"/>
  <c r="E2466" i="1" s="1"/>
  <c r="D2458" i="1"/>
  <c r="E2458" i="1" s="1"/>
  <c r="D2450" i="1"/>
  <c r="E2450" i="1" s="1"/>
  <c r="D2442" i="1"/>
  <c r="E2442" i="1" s="1"/>
  <c r="D2386" i="1"/>
  <c r="E2386" i="1" s="1"/>
  <c r="D2338" i="1"/>
  <c r="E2338" i="1" s="1"/>
  <c r="D2330" i="1"/>
  <c r="E2330" i="1" s="1"/>
  <c r="D2322" i="1"/>
  <c r="E2322" i="1" s="1"/>
  <c r="D2314" i="1"/>
  <c r="E2314" i="1" s="1"/>
  <c r="D2258" i="1"/>
  <c r="E2258" i="1" s="1"/>
  <c r="D2210" i="1"/>
  <c r="E2210" i="1" s="1"/>
  <c r="D2202" i="1"/>
  <c r="E2202" i="1" s="1"/>
  <c r="D2194" i="1"/>
  <c r="E2194" i="1" s="1"/>
  <c r="D2186" i="1"/>
  <c r="E2186" i="1" s="1"/>
  <c r="D2130" i="1"/>
  <c r="E2130" i="1" s="1"/>
  <c r="D2082" i="1"/>
  <c r="E2082" i="1" s="1"/>
  <c r="D2074" i="1"/>
  <c r="E2074" i="1" s="1"/>
  <c r="D2066" i="1"/>
  <c r="E2066" i="1" s="1"/>
  <c r="D2058" i="1"/>
  <c r="E2058" i="1" s="1"/>
  <c r="D2002" i="1"/>
  <c r="E2002" i="1" s="1"/>
  <c r="D1954" i="1"/>
  <c r="E1954" i="1" s="1"/>
  <c r="D1946" i="1"/>
  <c r="E1946" i="1" s="1"/>
  <c r="D1938" i="1"/>
  <c r="E1938" i="1" s="1"/>
  <c r="D1930" i="1"/>
  <c r="E1930" i="1" s="1"/>
  <c r="G5" i="1"/>
  <c r="D1949" i="1" s="1"/>
  <c r="E1949" i="1" s="1"/>
  <c r="G4" i="1"/>
  <c r="D152" i="1" s="1"/>
  <c r="E152" i="1" s="1"/>
  <c r="D2069" i="1"/>
  <c r="E2069" i="1" s="1"/>
  <c r="D2021" i="1"/>
  <c r="E2021" i="1" s="1"/>
  <c r="D2013" i="1"/>
  <c r="E2013" i="1" s="1"/>
  <c r="D2005" i="1"/>
  <c r="E2005" i="1" s="1"/>
  <c r="D1997" i="1"/>
  <c r="E1997" i="1" s="1"/>
  <c r="D1957" i="1"/>
  <c r="E1957" i="1" s="1"/>
  <c r="D1941" i="1"/>
  <c r="E1941" i="1" s="1"/>
  <c r="D1893" i="1"/>
  <c r="E1893" i="1" s="1"/>
  <c r="D1885" i="1"/>
  <c r="E1885" i="1" s="1"/>
  <c r="D1877" i="1"/>
  <c r="E1877" i="1" s="1"/>
  <c r="D1869" i="1"/>
  <c r="E1869" i="1" s="1"/>
  <c r="D1829" i="1"/>
  <c r="E1829" i="1" s="1"/>
  <c r="D1813" i="1"/>
  <c r="E1813" i="1" s="1"/>
  <c r="D1765" i="1"/>
  <c r="E1765" i="1" s="1"/>
  <c r="D1757" i="1"/>
  <c r="E1757" i="1" s="1"/>
  <c r="D1749" i="1"/>
  <c r="E1749" i="1" s="1"/>
  <c r="D1741" i="1"/>
  <c r="E1741" i="1" s="1"/>
  <c r="D1701" i="1"/>
  <c r="E1701" i="1" s="1"/>
  <c r="D1685" i="1"/>
  <c r="E1685" i="1" s="1"/>
  <c r="D1637" i="1"/>
  <c r="E1637" i="1" s="1"/>
  <c r="D1629" i="1"/>
  <c r="E1629" i="1" s="1"/>
  <c r="D1621" i="1"/>
  <c r="E1621" i="1" s="1"/>
  <c r="D1613" i="1"/>
  <c r="E1613" i="1" s="1"/>
  <c r="D1573" i="1"/>
  <c r="E1573" i="1" s="1"/>
  <c r="D1557" i="1"/>
  <c r="E1557" i="1" s="1"/>
  <c r="D1509" i="1"/>
  <c r="E1509" i="1" s="1"/>
  <c r="D1501" i="1"/>
  <c r="E1501" i="1" s="1"/>
  <c r="D1493" i="1"/>
  <c r="E1493" i="1" s="1"/>
  <c r="D1485" i="1"/>
  <c r="E1485" i="1" s="1"/>
  <c r="D1445" i="1"/>
  <c r="E1445" i="1" s="1"/>
  <c r="D1429" i="1"/>
  <c r="E1429" i="1" s="1"/>
  <c r="D2060" i="1"/>
  <c r="E2060" i="1" s="1"/>
  <c r="D2052" i="1"/>
  <c r="E2052" i="1" s="1"/>
  <c r="D2044" i="1"/>
  <c r="E2044" i="1" s="1"/>
  <c r="D2036" i="1"/>
  <c r="E2036" i="1" s="1"/>
  <c r="D1996" i="1"/>
  <c r="E1996" i="1" s="1"/>
  <c r="D1980" i="1"/>
  <c r="E1980" i="1" s="1"/>
  <c r="D1932" i="1"/>
  <c r="E1932" i="1" s="1"/>
  <c r="D1924" i="1"/>
  <c r="E1924" i="1" s="1"/>
  <c r="D1916" i="1"/>
  <c r="E1916" i="1" s="1"/>
  <c r="D1908" i="1"/>
  <c r="E1908" i="1" s="1"/>
  <c r="D1868" i="1"/>
  <c r="E1868" i="1" s="1"/>
  <c r="D1860" i="1"/>
  <c r="E1860" i="1" s="1"/>
  <c r="D1852" i="1"/>
  <c r="E1852" i="1" s="1"/>
  <c r="D1804" i="1"/>
  <c r="E1804" i="1" s="1"/>
  <c r="D1796" i="1"/>
  <c r="E1796" i="1" s="1"/>
  <c r="D1788" i="1"/>
  <c r="E1788" i="1" s="1"/>
  <c r="D1780" i="1"/>
  <c r="E1780" i="1" s="1"/>
  <c r="D1740" i="1"/>
  <c r="E1740" i="1" s="1"/>
  <c r="D1732" i="1"/>
  <c r="E1732" i="1" s="1"/>
  <c r="D1724" i="1"/>
  <c r="E1724" i="1" s="1"/>
  <c r="D1716" i="1"/>
  <c r="E1716" i="1" s="1"/>
  <c r="D1676" i="1"/>
  <c r="E1676" i="1" s="1"/>
  <c r="D1668" i="1"/>
  <c r="E1668" i="1" s="1"/>
  <c r="D1660" i="1"/>
  <c r="E1660" i="1" s="1"/>
  <c r="D1652" i="1"/>
  <c r="E1652" i="1" s="1"/>
  <c r="D1612" i="1"/>
  <c r="E1612" i="1" s="1"/>
  <c r="D1604" i="1"/>
  <c r="E1604" i="1" s="1"/>
  <c r="D1596" i="1"/>
  <c r="E1596" i="1" s="1"/>
  <c r="D1588" i="1"/>
  <c r="E1588" i="1" s="1"/>
  <c r="D1548" i="1"/>
  <c r="E1548" i="1" s="1"/>
  <c r="D1540" i="1"/>
  <c r="E1540" i="1" s="1"/>
  <c r="D1532" i="1"/>
  <c r="E1532" i="1" s="1"/>
  <c r="D1524" i="1"/>
  <c r="E1524" i="1" s="1"/>
  <c r="D2747" i="1"/>
  <c r="E2747" i="1" s="1"/>
  <c r="D2739" i="1"/>
  <c r="E2739" i="1" s="1"/>
  <c r="D2731" i="1"/>
  <c r="E2731" i="1" s="1"/>
  <c r="D2723" i="1"/>
  <c r="E2723" i="1" s="1"/>
  <c r="D2683" i="1"/>
  <c r="E2683" i="1" s="1"/>
  <c r="D2675" i="1"/>
  <c r="E2675" i="1" s="1"/>
  <c r="D2667" i="1"/>
  <c r="E2667" i="1" s="1"/>
  <c r="D2659" i="1"/>
  <c r="E2659" i="1" s="1"/>
  <c r="D2619" i="1"/>
  <c r="E2619" i="1" s="1"/>
  <c r="D2611" i="1"/>
  <c r="E2611" i="1" s="1"/>
  <c r="D2603" i="1"/>
  <c r="E2603" i="1" s="1"/>
  <c r="D2595" i="1"/>
  <c r="E2595" i="1" s="1"/>
  <c r="D2555" i="1"/>
  <c r="E2555" i="1" s="1"/>
  <c r="D2547" i="1"/>
  <c r="E2547" i="1" s="1"/>
  <c r="D2539" i="1"/>
  <c r="E2539" i="1" s="1"/>
  <c r="D2531" i="1"/>
  <c r="E2531" i="1" s="1"/>
  <c r="D2491" i="1"/>
  <c r="E2491" i="1" s="1"/>
  <c r="D2483" i="1"/>
  <c r="E2483" i="1" s="1"/>
  <c r="D2475" i="1"/>
  <c r="E2475" i="1" s="1"/>
  <c r="D2467" i="1"/>
  <c r="E2467" i="1" s="1"/>
  <c r="D2427" i="1"/>
  <c r="E2427" i="1" s="1"/>
  <c r="D2419" i="1"/>
  <c r="E2419" i="1" s="1"/>
  <c r="D2411" i="1"/>
  <c r="E2411" i="1" s="1"/>
  <c r="D2403" i="1"/>
  <c r="E2403" i="1" s="1"/>
  <c r="D2363" i="1"/>
  <c r="E2363" i="1" s="1"/>
  <c r="D2355" i="1"/>
  <c r="E2355" i="1" s="1"/>
  <c r="D2347" i="1"/>
  <c r="E2347" i="1" s="1"/>
  <c r="D2339" i="1"/>
  <c r="E2339" i="1" s="1"/>
  <c r="D2299" i="1"/>
  <c r="E2299" i="1" s="1"/>
  <c r="D2291" i="1"/>
  <c r="E2291" i="1" s="1"/>
  <c r="D2283" i="1"/>
  <c r="E2283" i="1" s="1"/>
  <c r="D2275" i="1"/>
  <c r="E2275" i="1" s="1"/>
  <c r="D2235" i="1"/>
  <c r="E2235" i="1" s="1"/>
  <c r="D2227" i="1"/>
  <c r="E2227" i="1" s="1"/>
  <c r="D2219" i="1"/>
  <c r="E2219" i="1" s="1"/>
  <c r="D2211" i="1"/>
  <c r="E2211" i="1" s="1"/>
  <c r="D2171" i="1"/>
  <c r="E2171" i="1" s="1"/>
  <c r="D2163" i="1"/>
  <c r="E2163" i="1" s="1"/>
  <c r="D2155" i="1"/>
  <c r="E2155" i="1" s="1"/>
  <c r="D2147" i="1"/>
  <c r="E2147" i="1" s="1"/>
  <c r="D2107" i="1"/>
  <c r="E2107" i="1" s="1"/>
  <c r="D2099" i="1"/>
  <c r="E2099" i="1" s="1"/>
  <c r="D2091" i="1"/>
  <c r="E2091" i="1" s="1"/>
  <c r="D2083" i="1"/>
  <c r="E2083" i="1" s="1"/>
  <c r="D2043" i="1"/>
  <c r="E2043" i="1" s="1"/>
  <c r="D2035" i="1"/>
  <c r="E2035" i="1" s="1"/>
  <c r="D2027" i="1"/>
  <c r="E2027" i="1" s="1"/>
  <c r="D2019" i="1"/>
  <c r="E2019" i="1" s="1"/>
  <c r="D1979" i="1"/>
  <c r="E1979" i="1" s="1"/>
  <c r="D1971" i="1"/>
  <c r="E1971" i="1" s="1"/>
  <c r="D1963" i="1"/>
  <c r="E1963" i="1" s="1"/>
  <c r="D1922" i="1"/>
  <c r="E1922" i="1" s="1"/>
  <c r="D1882" i="1"/>
  <c r="E1882" i="1" s="1"/>
  <c r="D1874" i="1"/>
  <c r="E1874" i="1" s="1"/>
  <c r="D1866" i="1"/>
  <c r="E1866" i="1" s="1"/>
  <c r="D1858" i="1"/>
  <c r="E1858" i="1" s="1"/>
  <c r="D1818" i="1"/>
  <c r="E1818" i="1" s="1"/>
  <c r="D1810" i="1"/>
  <c r="E1810" i="1" s="1"/>
  <c r="D1802" i="1"/>
  <c r="E1802" i="1" s="1"/>
  <c r="D1794" i="1"/>
  <c r="E1794" i="1" s="1"/>
  <c r="D1754" i="1"/>
  <c r="E1754" i="1" s="1"/>
  <c r="D1746" i="1"/>
  <c r="E1746" i="1" s="1"/>
  <c r="D1738" i="1"/>
  <c r="E1738" i="1" s="1"/>
  <c r="D1730" i="1"/>
  <c r="E1730" i="1" s="1"/>
  <c r="D1690" i="1"/>
  <c r="E1690" i="1" s="1"/>
  <c r="D1682" i="1"/>
  <c r="E1682" i="1" s="1"/>
  <c r="D1674" i="1"/>
  <c r="E1674" i="1" s="1"/>
  <c r="D1666" i="1"/>
  <c r="E1666" i="1" s="1"/>
  <c r="D1626" i="1"/>
  <c r="E1626" i="1" s="1"/>
  <c r="D1618" i="1"/>
  <c r="E1618" i="1" s="1"/>
  <c r="D1610" i="1"/>
  <c r="E1610" i="1" s="1"/>
  <c r="D1602" i="1"/>
  <c r="E1602" i="1" s="1"/>
  <c r="D1562" i="1"/>
  <c r="E1562" i="1" s="1"/>
  <c r="D1554" i="1"/>
  <c r="E1554" i="1" s="1"/>
  <c r="D1546" i="1"/>
  <c r="E1546" i="1" s="1"/>
  <c r="D1538" i="1"/>
  <c r="E1538" i="1" s="1"/>
  <c r="D1498" i="1"/>
  <c r="E1498" i="1" s="1"/>
  <c r="D1490" i="1"/>
  <c r="E1490" i="1" s="1"/>
  <c r="D1482" i="1"/>
  <c r="E1482" i="1" s="1"/>
  <c r="D1474" i="1"/>
  <c r="E1474" i="1" s="1"/>
  <c r="D1434" i="1"/>
  <c r="E1434" i="1" s="1"/>
  <c r="D1426" i="1"/>
  <c r="E1426" i="1" s="1"/>
  <c r="D1418" i="1"/>
  <c r="E1418" i="1" s="1"/>
  <c r="D1410" i="1"/>
  <c r="E1410" i="1" s="1"/>
  <c r="D1370" i="1"/>
  <c r="E1370" i="1" s="1"/>
  <c r="D1362" i="1"/>
  <c r="E1362" i="1" s="1"/>
  <c r="D1354" i="1"/>
  <c r="E1354" i="1" s="1"/>
  <c r="D1346" i="1"/>
  <c r="E1346" i="1" s="1"/>
  <c r="D1306" i="1"/>
  <c r="E1306" i="1" s="1"/>
  <c r="D1298" i="1"/>
  <c r="E1298" i="1" s="1"/>
  <c r="D1290" i="1"/>
  <c r="E1290" i="1" s="1"/>
  <c r="D1282" i="1"/>
  <c r="E1282" i="1" s="1"/>
  <c r="D2761" i="1"/>
  <c r="E2761" i="1" s="1"/>
  <c r="D2745" i="1"/>
  <c r="E2745" i="1" s="1"/>
  <c r="D2737" i="1"/>
  <c r="E2737" i="1" s="1"/>
  <c r="D2729" i="1"/>
  <c r="E2729" i="1" s="1"/>
  <c r="D2689" i="1"/>
  <c r="E2689" i="1" s="1"/>
  <c r="D2681" i="1"/>
  <c r="E2681" i="1" s="1"/>
  <c r="D2673" i="1"/>
  <c r="E2673" i="1" s="1"/>
  <c r="D2665" i="1"/>
  <c r="E2665" i="1" s="1"/>
  <c r="D2617" i="1"/>
  <c r="E2617" i="1" s="1"/>
  <c r="D2609" i="1"/>
  <c r="E2609" i="1" s="1"/>
  <c r="D2601" i="1"/>
  <c r="E2601" i="1" s="1"/>
  <c r="D2593" i="1"/>
  <c r="E2593" i="1" s="1"/>
  <c r="D2553" i="1"/>
  <c r="E2553" i="1" s="1"/>
  <c r="D2545" i="1"/>
  <c r="E2545" i="1" s="1"/>
  <c r="D2537" i="1"/>
  <c r="E2537" i="1" s="1"/>
  <c r="D2529" i="1"/>
  <c r="E2529" i="1" s="1"/>
  <c r="D2489" i="1"/>
  <c r="E2489" i="1" s="1"/>
  <c r="D2481" i="1"/>
  <c r="E2481" i="1" s="1"/>
  <c r="D2473" i="1"/>
  <c r="E2473" i="1" s="1"/>
  <c r="D2465" i="1"/>
  <c r="E2465" i="1" s="1"/>
  <c r="D2425" i="1"/>
  <c r="E2425" i="1" s="1"/>
  <c r="D2417" i="1"/>
  <c r="E2417" i="1" s="1"/>
  <c r="D2409" i="1"/>
  <c r="E2409" i="1" s="1"/>
  <c r="D2401" i="1"/>
  <c r="E2401" i="1" s="1"/>
  <c r="D2361" i="1"/>
  <c r="E2361" i="1" s="1"/>
  <c r="D2353" i="1"/>
  <c r="E2353" i="1" s="1"/>
  <c r="D2345" i="1"/>
  <c r="E2345" i="1" s="1"/>
  <c r="D2337" i="1"/>
  <c r="E2337" i="1" s="1"/>
  <c r="D2297" i="1"/>
  <c r="E2297" i="1" s="1"/>
  <c r="D2289" i="1"/>
  <c r="E2289" i="1" s="1"/>
  <c r="D2281" i="1"/>
  <c r="E2281" i="1" s="1"/>
  <c r="D2273" i="1"/>
  <c r="E2273" i="1" s="1"/>
  <c r="D2233" i="1"/>
  <c r="E2233" i="1" s="1"/>
  <c r="D2225" i="1"/>
  <c r="E2225" i="1" s="1"/>
  <c r="D2217" i="1"/>
  <c r="E2217" i="1" s="1"/>
  <c r="D2209" i="1"/>
  <c r="E2209" i="1" s="1"/>
  <c r="D2752" i="1"/>
  <c r="E2752" i="1" s="1"/>
  <c r="D2744" i="1"/>
  <c r="E2744" i="1" s="1"/>
  <c r="D2736" i="1"/>
  <c r="E2736" i="1" s="1"/>
  <c r="D2728" i="1"/>
  <c r="E2728" i="1" s="1"/>
  <c r="D2688" i="1"/>
  <c r="E2688" i="1" s="1"/>
  <c r="D2680" i="1"/>
  <c r="E2680" i="1" s="1"/>
  <c r="D2767" i="1"/>
  <c r="E2767" i="1" s="1"/>
  <c r="D2759" i="1"/>
  <c r="E2759" i="1" s="1"/>
  <c r="D2719" i="1"/>
  <c r="E2719" i="1" s="1"/>
  <c r="D2711" i="1"/>
  <c r="E2711" i="1" s="1"/>
  <c r="D2703" i="1"/>
  <c r="E2703" i="1" s="1"/>
  <c r="D2695" i="1"/>
  <c r="E2695" i="1" s="1"/>
  <c r="D2750" i="1"/>
  <c r="E2750" i="1" s="1"/>
  <c r="D2742" i="1"/>
  <c r="E2742" i="1" s="1"/>
  <c r="D2734" i="1"/>
  <c r="E2734" i="1" s="1"/>
  <c r="D2726" i="1"/>
  <c r="E2726" i="1" s="1"/>
  <c r="D2702" i="1"/>
  <c r="E2702" i="1" s="1"/>
  <c r="D2686" i="1"/>
  <c r="E2686" i="1" s="1"/>
  <c r="D2678" i="1"/>
  <c r="E2678" i="1" s="1"/>
  <c r="D1389" i="1"/>
  <c r="E1389" i="1" s="1"/>
  <c r="D1381" i="1"/>
  <c r="E1381" i="1" s="1"/>
  <c r="D1357" i="1"/>
  <c r="E1357" i="1" s="1"/>
  <c r="D1341" i="1"/>
  <c r="E1341" i="1" s="1"/>
  <c r="D1333" i="1"/>
  <c r="E1333" i="1" s="1"/>
  <c r="D1325" i="1"/>
  <c r="E1325" i="1" s="1"/>
  <c r="D1317" i="1"/>
  <c r="E1317" i="1" s="1"/>
  <c r="D1293" i="1"/>
  <c r="E1293" i="1" s="1"/>
  <c r="D1277" i="1"/>
  <c r="E1277" i="1" s="1"/>
  <c r="D1269" i="1"/>
  <c r="E1269" i="1" s="1"/>
  <c r="D1261" i="1"/>
  <c r="E1261" i="1" s="1"/>
  <c r="D1253" i="1"/>
  <c r="E1253" i="1" s="1"/>
  <c r="D1484" i="1"/>
  <c r="E1484" i="1" s="1"/>
  <c r="D1468" i="1"/>
  <c r="E1468" i="1" s="1"/>
  <c r="D1460" i="1"/>
  <c r="E1460" i="1" s="1"/>
  <c r="D1452" i="1"/>
  <c r="E1452" i="1" s="1"/>
  <c r="D1444" i="1"/>
  <c r="E1444" i="1" s="1"/>
  <c r="D1420" i="1"/>
  <c r="E1420" i="1" s="1"/>
  <c r="D1947" i="1"/>
  <c r="E1947" i="1" s="1"/>
  <c r="D1939" i="1"/>
  <c r="E1939" i="1" s="1"/>
  <c r="D1931" i="1"/>
  <c r="E1931" i="1" s="1"/>
  <c r="D1923" i="1"/>
  <c r="E1923" i="1" s="1"/>
  <c r="D1899" i="1"/>
  <c r="E1899" i="1" s="1"/>
  <c r="D1883" i="1"/>
  <c r="E1883" i="1" s="1"/>
  <c r="D1875" i="1"/>
  <c r="E1875" i="1" s="1"/>
  <c r="D1867" i="1"/>
  <c r="E1867" i="1" s="1"/>
  <c r="D1859" i="1"/>
  <c r="E1859" i="1" s="1"/>
  <c r="D1835" i="1"/>
  <c r="E1835" i="1" s="1"/>
  <c r="D1819" i="1"/>
  <c r="E1819" i="1" s="1"/>
  <c r="D1811" i="1"/>
  <c r="E1811" i="1" s="1"/>
  <c r="D1803" i="1"/>
  <c r="E1803" i="1" s="1"/>
  <c r="D1795" i="1"/>
  <c r="E1795" i="1" s="1"/>
  <c r="D1771" i="1"/>
  <c r="E1771" i="1" s="1"/>
  <c r="D1755" i="1"/>
  <c r="E1755" i="1" s="1"/>
  <c r="D1747" i="1"/>
  <c r="E1747" i="1" s="1"/>
  <c r="D1739" i="1"/>
  <c r="E1739" i="1" s="1"/>
  <c r="D1731" i="1"/>
  <c r="E1731" i="1" s="1"/>
  <c r="D1707" i="1"/>
  <c r="E1707" i="1" s="1"/>
  <c r="D1691" i="1"/>
  <c r="E1691" i="1" s="1"/>
  <c r="D1683" i="1"/>
  <c r="E1683" i="1" s="1"/>
  <c r="D1675" i="1"/>
  <c r="E1675" i="1" s="1"/>
  <c r="D1667" i="1"/>
  <c r="E1667" i="1" s="1"/>
  <c r="D1643" i="1"/>
  <c r="E1643" i="1" s="1"/>
  <c r="D1627" i="1"/>
  <c r="E1627" i="1" s="1"/>
  <c r="D1619" i="1"/>
  <c r="E1619" i="1" s="1"/>
  <c r="D1611" i="1"/>
  <c r="E1611" i="1" s="1"/>
  <c r="D1603" i="1"/>
  <c r="E1603" i="1" s="1"/>
  <c r="D1579" i="1"/>
  <c r="E1579" i="1" s="1"/>
  <c r="D1563" i="1"/>
  <c r="E1563" i="1" s="1"/>
  <c r="D1555" i="1"/>
  <c r="E1555" i="1" s="1"/>
  <c r="D1547" i="1"/>
  <c r="E1547" i="1" s="1"/>
  <c r="D1539" i="1"/>
  <c r="E1539" i="1" s="1"/>
  <c r="D1515" i="1"/>
  <c r="E1515" i="1" s="1"/>
  <c r="D1499" i="1"/>
  <c r="E1499" i="1" s="1"/>
  <c r="D1491" i="1"/>
  <c r="E1491" i="1" s="1"/>
  <c r="D1483" i="1"/>
  <c r="E1483" i="1" s="1"/>
  <c r="D1475" i="1"/>
  <c r="E1475" i="1" s="1"/>
  <c r="D1451" i="1"/>
  <c r="E1451" i="1" s="1"/>
  <c r="D1435" i="1"/>
  <c r="E1435" i="1" s="1"/>
  <c r="D1427" i="1"/>
  <c r="E1427" i="1" s="1"/>
  <c r="D1419" i="1"/>
  <c r="E1419" i="1" s="1"/>
  <c r="D1411" i="1"/>
  <c r="E1411" i="1" s="1"/>
  <c r="D1387" i="1"/>
  <c r="E1387" i="1" s="1"/>
  <c r="D1371" i="1"/>
  <c r="E1371" i="1" s="1"/>
  <c r="D1363" i="1"/>
  <c r="E1363" i="1" s="1"/>
  <c r="D1355" i="1"/>
  <c r="E1355" i="1" s="1"/>
  <c r="D1347" i="1"/>
  <c r="E1347" i="1" s="1"/>
  <c r="D1323" i="1"/>
  <c r="E1323" i="1" s="1"/>
  <c r="D1307" i="1"/>
  <c r="E1307" i="1" s="1"/>
  <c r="D1299" i="1"/>
  <c r="E1299" i="1" s="1"/>
  <c r="D1291" i="1"/>
  <c r="E1291" i="1" s="1"/>
  <c r="D1283" i="1"/>
  <c r="E1283" i="1" s="1"/>
  <c r="D1226" i="1"/>
  <c r="E1226" i="1" s="1"/>
  <c r="D1210" i="1"/>
  <c r="E1210" i="1" s="1"/>
  <c r="D1202" i="1"/>
  <c r="E1202" i="1" s="1"/>
  <c r="D1194" i="1"/>
  <c r="E1194" i="1" s="1"/>
  <c r="D1186" i="1"/>
  <c r="E1186" i="1" s="1"/>
  <c r="D1162" i="1"/>
  <c r="E1162" i="1" s="1"/>
  <c r="D1146" i="1"/>
  <c r="E1146" i="1" s="1"/>
  <c r="D1138" i="1"/>
  <c r="E1138" i="1" s="1"/>
  <c r="D1130" i="1"/>
  <c r="E1130" i="1" s="1"/>
  <c r="D1122" i="1"/>
  <c r="E1122" i="1" s="1"/>
  <c r="D1098" i="1"/>
  <c r="E1098" i="1" s="1"/>
  <c r="D1082" i="1"/>
  <c r="E1082" i="1" s="1"/>
  <c r="D1074" i="1"/>
  <c r="E1074" i="1" s="1"/>
  <c r="D1066" i="1"/>
  <c r="E1066" i="1" s="1"/>
  <c r="D1058" i="1"/>
  <c r="E1058" i="1" s="1"/>
  <c r="D2169" i="1"/>
  <c r="E2169" i="1" s="1"/>
  <c r="D2153" i="1"/>
  <c r="E2153" i="1" s="1"/>
  <c r="D2145" i="1"/>
  <c r="E2145" i="1" s="1"/>
  <c r="D2137" i="1"/>
  <c r="E2137" i="1" s="1"/>
  <c r="D2129" i="1"/>
  <c r="E2129" i="1" s="1"/>
  <c r="D2105" i="1"/>
  <c r="E2105" i="1" s="1"/>
  <c r="D2089" i="1"/>
  <c r="E2089" i="1" s="1"/>
  <c r="D2081" i="1"/>
  <c r="E2081" i="1" s="1"/>
  <c r="D2073" i="1"/>
  <c r="E2073" i="1" s="1"/>
  <c r="D2065" i="1"/>
  <c r="E2065" i="1" s="1"/>
  <c r="D2041" i="1"/>
  <c r="E2041" i="1" s="1"/>
  <c r="D2025" i="1"/>
  <c r="E2025" i="1" s="1"/>
  <c r="D2017" i="1"/>
  <c r="E2017" i="1" s="1"/>
  <c r="D2009" i="1"/>
  <c r="E2009" i="1" s="1"/>
  <c r="D2001" i="1"/>
  <c r="E2001" i="1" s="1"/>
  <c r="D1977" i="1"/>
  <c r="E1977" i="1" s="1"/>
  <c r="D2664" i="1"/>
  <c r="E2664" i="1" s="1"/>
  <c r="D2656" i="1"/>
  <c r="E2656" i="1" s="1"/>
  <c r="D2648" i="1"/>
  <c r="E2648" i="1" s="1"/>
  <c r="D2640" i="1"/>
  <c r="E2640" i="1" s="1"/>
  <c r="D2616" i="1"/>
  <c r="E2616" i="1" s="1"/>
  <c r="D2600" i="1"/>
  <c r="E2600" i="1" s="1"/>
  <c r="D2592" i="1"/>
  <c r="E2592" i="1" s="1"/>
  <c r="D2584" i="1"/>
  <c r="E2584" i="1" s="1"/>
  <c r="D2576" i="1"/>
  <c r="E2576" i="1" s="1"/>
  <c r="D2552" i="1"/>
  <c r="E2552" i="1" s="1"/>
  <c r="D2544" i="1"/>
  <c r="E2544" i="1" s="1"/>
  <c r="D2536" i="1"/>
  <c r="E2536" i="1" s="1"/>
  <c r="D2528" i="1"/>
  <c r="E2528" i="1" s="1"/>
  <c r="D2520" i="1"/>
  <c r="E2520" i="1" s="1"/>
  <c r="D2512" i="1"/>
  <c r="E2512" i="1" s="1"/>
  <c r="D2488" i="1"/>
  <c r="E2488" i="1" s="1"/>
  <c r="D2480" i="1"/>
  <c r="E2480" i="1" s="1"/>
  <c r="D2472" i="1"/>
  <c r="E2472" i="1" s="1"/>
  <c r="D2464" i="1"/>
  <c r="E2464" i="1" s="1"/>
  <c r="D2456" i="1"/>
  <c r="E2456" i="1" s="1"/>
  <c r="D2448" i="1"/>
  <c r="E2448" i="1" s="1"/>
  <c r="D2424" i="1"/>
  <c r="E2424" i="1" s="1"/>
  <c r="D2416" i="1"/>
  <c r="E2416" i="1" s="1"/>
  <c r="D2408" i="1"/>
  <c r="E2408" i="1" s="1"/>
  <c r="D2400" i="1"/>
  <c r="E2400" i="1" s="1"/>
  <c r="D2392" i="1"/>
  <c r="E2392" i="1" s="1"/>
  <c r="D2384" i="1"/>
  <c r="E2384" i="1" s="1"/>
  <c r="D2360" i="1"/>
  <c r="E2360" i="1" s="1"/>
  <c r="D2352" i="1"/>
  <c r="E2352" i="1" s="1"/>
  <c r="D2344" i="1"/>
  <c r="E2344" i="1" s="1"/>
  <c r="D2336" i="1"/>
  <c r="E2336" i="1" s="1"/>
  <c r="D2328" i="1"/>
  <c r="E2328" i="1" s="1"/>
  <c r="D2320" i="1"/>
  <c r="E2320" i="1" s="1"/>
  <c r="D2296" i="1"/>
  <c r="E2296" i="1" s="1"/>
  <c r="D2288" i="1"/>
  <c r="E2288" i="1" s="1"/>
  <c r="D2280" i="1"/>
  <c r="E2280" i="1" s="1"/>
  <c r="D2272" i="1"/>
  <c r="E2272" i="1" s="1"/>
  <c r="D2264" i="1"/>
  <c r="E2264" i="1" s="1"/>
  <c r="D2256" i="1"/>
  <c r="E2256" i="1" s="1"/>
  <c r="D2232" i="1"/>
  <c r="E2232" i="1" s="1"/>
  <c r="D2224" i="1"/>
  <c r="E2224" i="1" s="1"/>
  <c r="D2216" i="1"/>
  <c r="E2216" i="1" s="1"/>
  <c r="D2208" i="1"/>
  <c r="E2208" i="1" s="1"/>
  <c r="D2200" i="1"/>
  <c r="E2200" i="1" s="1"/>
  <c r="D2192" i="1"/>
  <c r="E2192" i="1" s="1"/>
  <c r="D2176" i="1"/>
  <c r="E2176" i="1" s="1"/>
  <c r="D2168" i="1"/>
  <c r="E2168" i="1" s="1"/>
  <c r="D2160" i="1"/>
  <c r="E2160" i="1" s="1"/>
  <c r="D2152" i="1"/>
  <c r="E2152" i="1" s="1"/>
  <c r="D2144" i="1"/>
  <c r="E2144" i="1" s="1"/>
  <c r="D2136" i="1"/>
  <c r="E2136" i="1" s="1"/>
  <c r="D2128" i="1"/>
  <c r="E2128" i="1" s="1"/>
  <c r="D2112" i="1"/>
  <c r="E2112" i="1" s="1"/>
  <c r="D2104" i="1"/>
  <c r="E2104" i="1" s="1"/>
  <c r="D2096" i="1"/>
  <c r="E2096" i="1" s="1"/>
  <c r="D2088" i="1"/>
  <c r="E2088" i="1" s="1"/>
  <c r="D2080" i="1"/>
  <c r="E2080" i="1" s="1"/>
  <c r="D2072" i="1"/>
  <c r="E2072" i="1" s="1"/>
  <c r="D2064" i="1"/>
  <c r="E2064" i="1" s="1"/>
  <c r="D2048" i="1"/>
  <c r="E2048" i="1" s="1"/>
  <c r="D2040" i="1"/>
  <c r="E2040" i="1" s="1"/>
  <c r="D2032" i="1"/>
  <c r="E2032" i="1" s="1"/>
  <c r="D2024" i="1"/>
  <c r="E2024" i="1" s="1"/>
  <c r="D2016" i="1"/>
  <c r="E2016" i="1" s="1"/>
  <c r="D2008" i="1"/>
  <c r="E2008" i="1" s="1"/>
  <c r="D2000" i="1"/>
  <c r="E2000" i="1" s="1"/>
  <c r="D1984" i="1"/>
  <c r="E1984" i="1" s="1"/>
  <c r="D2671" i="1"/>
  <c r="E2671" i="1" s="1"/>
  <c r="D2663" i="1"/>
  <c r="E2663" i="1" s="1"/>
  <c r="D2655" i="1"/>
  <c r="E2655" i="1" s="1"/>
  <c r="D2647" i="1"/>
  <c r="E2647" i="1" s="1"/>
  <c r="D2639" i="1"/>
  <c r="E2639" i="1" s="1"/>
  <c r="D2631" i="1"/>
  <c r="E2631" i="1" s="1"/>
  <c r="D2615" i="1"/>
  <c r="E2615" i="1" s="1"/>
  <c r="D2607" i="1"/>
  <c r="E2607" i="1" s="1"/>
  <c r="D2599" i="1"/>
  <c r="E2599" i="1" s="1"/>
  <c r="D2591" i="1"/>
  <c r="E2591" i="1" s="1"/>
  <c r="D2583" i="1"/>
  <c r="E2583" i="1" s="1"/>
  <c r="D2575" i="1"/>
  <c r="E2575" i="1" s="1"/>
  <c r="D2567" i="1"/>
  <c r="E2567" i="1" s="1"/>
  <c r="D2551" i="1"/>
  <c r="E2551" i="1" s="1"/>
  <c r="D2543" i="1"/>
  <c r="E2543" i="1" s="1"/>
  <c r="D2535" i="1"/>
  <c r="E2535" i="1" s="1"/>
  <c r="D2527" i="1"/>
  <c r="E2527" i="1" s="1"/>
  <c r="D2519" i="1"/>
  <c r="E2519" i="1" s="1"/>
  <c r="D2511" i="1"/>
  <c r="E2511" i="1" s="1"/>
  <c r="D2503" i="1"/>
  <c r="E2503" i="1" s="1"/>
  <c r="D2487" i="1"/>
  <c r="E2487" i="1" s="1"/>
  <c r="D2479" i="1"/>
  <c r="E2479" i="1" s="1"/>
  <c r="D2471" i="1"/>
  <c r="E2471" i="1" s="1"/>
  <c r="D2463" i="1"/>
  <c r="E2463" i="1" s="1"/>
  <c r="D2455" i="1"/>
  <c r="E2455" i="1" s="1"/>
  <c r="D2447" i="1"/>
  <c r="E2447" i="1" s="1"/>
  <c r="D2439" i="1"/>
  <c r="E2439" i="1" s="1"/>
  <c r="D2423" i="1"/>
  <c r="E2423" i="1" s="1"/>
  <c r="D2415" i="1"/>
  <c r="E2415" i="1" s="1"/>
  <c r="D2407" i="1"/>
  <c r="E2407" i="1" s="1"/>
  <c r="D2399" i="1"/>
  <c r="E2399" i="1" s="1"/>
  <c r="D2391" i="1"/>
  <c r="E2391" i="1" s="1"/>
  <c r="D2383" i="1"/>
  <c r="E2383" i="1" s="1"/>
  <c r="D2375" i="1"/>
  <c r="E2375" i="1" s="1"/>
  <c r="D2359" i="1"/>
  <c r="E2359" i="1" s="1"/>
  <c r="D2351" i="1"/>
  <c r="E2351" i="1" s="1"/>
  <c r="D2343" i="1"/>
  <c r="E2343" i="1" s="1"/>
  <c r="D2335" i="1"/>
  <c r="E2335" i="1" s="1"/>
  <c r="D2327" i="1"/>
  <c r="E2327" i="1" s="1"/>
  <c r="D2319" i="1"/>
  <c r="E2319" i="1" s="1"/>
  <c r="D2311" i="1"/>
  <c r="E2311" i="1" s="1"/>
  <c r="D2295" i="1"/>
  <c r="E2295" i="1" s="1"/>
  <c r="D2287" i="1"/>
  <c r="E2287" i="1" s="1"/>
  <c r="D2279" i="1"/>
  <c r="E2279" i="1" s="1"/>
  <c r="D2271" i="1"/>
  <c r="E2271" i="1" s="1"/>
  <c r="D2263" i="1"/>
  <c r="E2263" i="1" s="1"/>
  <c r="D2255" i="1"/>
  <c r="E2255" i="1" s="1"/>
  <c r="D2247" i="1"/>
  <c r="E2247" i="1" s="1"/>
  <c r="D2231" i="1"/>
  <c r="E2231" i="1" s="1"/>
  <c r="D2223" i="1"/>
  <c r="E2223" i="1" s="1"/>
  <c r="D2215" i="1"/>
  <c r="E2215" i="1" s="1"/>
  <c r="D2207" i="1"/>
  <c r="E2207" i="1" s="1"/>
  <c r="D2199" i="1"/>
  <c r="E2199" i="1" s="1"/>
  <c r="D2191" i="1"/>
  <c r="E2191" i="1" s="1"/>
  <c r="D2183" i="1"/>
  <c r="E2183" i="1" s="1"/>
  <c r="D2167" i="1"/>
  <c r="E2167" i="1" s="1"/>
  <c r="D2159" i="1"/>
  <c r="E2159" i="1" s="1"/>
  <c r="D2151" i="1"/>
  <c r="E2151" i="1" s="1"/>
  <c r="D2143" i="1"/>
  <c r="E2143" i="1" s="1"/>
  <c r="D2135" i="1"/>
  <c r="E2135" i="1" s="1"/>
  <c r="D2127" i="1"/>
  <c r="E2127" i="1" s="1"/>
  <c r="D2119" i="1"/>
  <c r="E2119" i="1" s="1"/>
  <c r="D2103" i="1"/>
  <c r="E2103" i="1" s="1"/>
  <c r="D2095" i="1"/>
  <c r="E2095" i="1" s="1"/>
  <c r="D2087" i="1"/>
  <c r="E2087" i="1" s="1"/>
  <c r="D2079" i="1"/>
  <c r="E2079" i="1" s="1"/>
  <c r="D2071" i="1"/>
  <c r="E2071" i="1" s="1"/>
  <c r="D2063" i="1"/>
  <c r="E2063" i="1" s="1"/>
  <c r="D2055" i="1"/>
  <c r="E2055" i="1" s="1"/>
  <c r="D2039" i="1"/>
  <c r="E2039" i="1" s="1"/>
  <c r="D2031" i="1"/>
  <c r="E2031" i="1" s="1"/>
  <c r="D2023" i="1"/>
  <c r="E2023" i="1" s="1"/>
  <c r="D2015" i="1"/>
  <c r="E2015" i="1" s="1"/>
  <c r="D2007" i="1"/>
  <c r="E2007" i="1" s="1"/>
  <c r="D1999" i="1"/>
  <c r="E1999" i="1" s="1"/>
  <c r="D1991" i="1"/>
  <c r="E1991" i="1" s="1"/>
  <c r="D1975" i="1"/>
  <c r="E1975" i="1" s="1"/>
  <c r="D1967" i="1"/>
  <c r="E1967" i="1" s="1"/>
  <c r="D1959" i="1"/>
  <c r="E1959" i="1" s="1"/>
  <c r="D1951" i="1"/>
  <c r="E1951" i="1" s="1"/>
  <c r="D1943" i="1"/>
  <c r="E1943" i="1" s="1"/>
  <c r="D1935" i="1"/>
  <c r="E1935" i="1" s="1"/>
  <c r="D1927" i="1"/>
  <c r="E1927" i="1" s="1"/>
  <c r="D1911" i="1"/>
  <c r="E1911" i="1" s="1"/>
  <c r="D1903" i="1"/>
  <c r="E1903" i="1" s="1"/>
  <c r="D1895" i="1"/>
  <c r="E1895" i="1" s="1"/>
  <c r="D1887" i="1"/>
  <c r="E1887" i="1" s="1"/>
  <c r="D1879" i="1"/>
  <c r="E1879" i="1" s="1"/>
  <c r="D1871" i="1"/>
  <c r="E1871" i="1" s="1"/>
  <c r="D1863" i="1"/>
  <c r="E1863" i="1" s="1"/>
  <c r="D2662" i="1"/>
  <c r="E2662" i="1" s="1"/>
  <c r="D2654" i="1"/>
  <c r="E2654" i="1" s="1"/>
  <c r="D2646" i="1"/>
  <c r="E2646" i="1" s="1"/>
  <c r="D2638" i="1"/>
  <c r="E2638" i="1" s="1"/>
  <c r="D2630" i="1"/>
  <c r="E2630" i="1" s="1"/>
  <c r="D2622" i="1"/>
  <c r="E2622" i="1" s="1"/>
  <c r="D2614" i="1"/>
  <c r="E2614" i="1" s="1"/>
  <c r="D2598" i="1"/>
  <c r="E2598" i="1" s="1"/>
  <c r="D2590" i="1"/>
  <c r="E2590" i="1" s="1"/>
  <c r="D2582" i="1"/>
  <c r="E2582" i="1" s="1"/>
  <c r="D2574" i="1"/>
  <c r="E2574" i="1" s="1"/>
  <c r="D2566" i="1"/>
  <c r="E2566" i="1" s="1"/>
  <c r="D2558" i="1"/>
  <c r="E2558" i="1" s="1"/>
  <c r="D2550" i="1"/>
  <c r="E2550" i="1" s="1"/>
  <c r="D2534" i="1"/>
  <c r="E2534" i="1" s="1"/>
  <c r="D2526" i="1"/>
  <c r="E2526" i="1" s="1"/>
  <c r="D2518" i="1"/>
  <c r="E2518" i="1" s="1"/>
  <c r="D2510" i="1"/>
  <c r="E2510" i="1" s="1"/>
  <c r="D2502" i="1"/>
  <c r="E2502" i="1" s="1"/>
  <c r="D2494" i="1"/>
  <c r="E2494" i="1" s="1"/>
  <c r="D2486" i="1"/>
  <c r="E2486" i="1" s="1"/>
  <c r="D2470" i="1"/>
  <c r="E2470" i="1" s="1"/>
  <c r="D2462" i="1"/>
  <c r="E2462" i="1" s="1"/>
  <c r="D2454" i="1"/>
  <c r="E2454" i="1" s="1"/>
  <c r="D2446" i="1"/>
  <c r="E2446" i="1" s="1"/>
  <c r="D2438" i="1"/>
  <c r="E2438" i="1" s="1"/>
  <c r="D2430" i="1"/>
  <c r="E2430" i="1" s="1"/>
  <c r="D2422" i="1"/>
  <c r="E2422" i="1" s="1"/>
  <c r="D2406" i="1"/>
  <c r="E2406" i="1" s="1"/>
  <c r="D2398" i="1"/>
  <c r="E2398" i="1" s="1"/>
  <c r="D2390" i="1"/>
  <c r="E2390" i="1" s="1"/>
  <c r="D2382" i="1"/>
  <c r="E2382" i="1" s="1"/>
  <c r="D2374" i="1"/>
  <c r="E2374" i="1" s="1"/>
  <c r="D2366" i="1"/>
  <c r="E2366" i="1" s="1"/>
  <c r="D2358" i="1"/>
  <c r="E2358" i="1" s="1"/>
  <c r="D2342" i="1"/>
  <c r="E2342" i="1" s="1"/>
  <c r="D2334" i="1"/>
  <c r="E2334" i="1" s="1"/>
  <c r="D2326" i="1"/>
  <c r="E2326" i="1" s="1"/>
  <c r="D2318" i="1"/>
  <c r="E2318" i="1" s="1"/>
  <c r="D2310" i="1"/>
  <c r="E2310" i="1" s="1"/>
  <c r="D2302" i="1"/>
  <c r="E2302" i="1" s="1"/>
  <c r="D2294" i="1"/>
  <c r="E2294" i="1" s="1"/>
  <c r="D2278" i="1"/>
  <c r="E2278" i="1" s="1"/>
  <c r="D2270" i="1"/>
  <c r="E2270" i="1" s="1"/>
  <c r="D2262" i="1"/>
  <c r="E2262" i="1" s="1"/>
  <c r="D2254" i="1"/>
  <c r="E2254" i="1" s="1"/>
  <c r="D2246" i="1"/>
  <c r="E2246" i="1" s="1"/>
  <c r="D2238" i="1"/>
  <c r="E2238" i="1" s="1"/>
  <c r="D2230" i="1"/>
  <c r="E2230" i="1" s="1"/>
  <c r="D2214" i="1"/>
  <c r="E2214" i="1" s="1"/>
  <c r="D2206" i="1"/>
  <c r="E2206" i="1" s="1"/>
  <c r="D2198" i="1"/>
  <c r="E2198" i="1" s="1"/>
  <c r="D2190" i="1"/>
  <c r="E2190" i="1" s="1"/>
  <c r="D2182" i="1"/>
  <c r="E2182" i="1" s="1"/>
  <c r="D2174" i="1"/>
  <c r="E2174" i="1" s="1"/>
  <c r="D2166" i="1"/>
  <c r="E2166" i="1" s="1"/>
  <c r="D2150" i="1"/>
  <c r="E2150" i="1" s="1"/>
  <c r="D2142" i="1"/>
  <c r="E2142" i="1" s="1"/>
  <c r="D2134" i="1"/>
  <c r="E2134" i="1" s="1"/>
  <c r="D2126" i="1"/>
  <c r="E2126" i="1" s="1"/>
  <c r="D2118" i="1"/>
  <c r="E2118" i="1" s="1"/>
  <c r="D2110" i="1"/>
  <c r="E2110" i="1" s="1"/>
  <c r="D2102" i="1"/>
  <c r="E2102" i="1" s="1"/>
  <c r="D2086" i="1"/>
  <c r="E2086" i="1" s="1"/>
  <c r="D2078" i="1"/>
  <c r="E2078" i="1" s="1"/>
  <c r="D2070" i="1"/>
  <c r="E2070" i="1" s="1"/>
  <c r="D2062" i="1"/>
  <c r="E2062" i="1" s="1"/>
  <c r="D2054" i="1"/>
  <c r="E2054" i="1" s="1"/>
  <c r="D2046" i="1"/>
  <c r="E2046" i="1" s="1"/>
  <c r="D2038" i="1"/>
  <c r="E2038" i="1" s="1"/>
  <c r="D2022" i="1"/>
  <c r="E2022" i="1" s="1"/>
  <c r="D2014" i="1"/>
  <c r="E2014" i="1" s="1"/>
  <c r="D2006" i="1"/>
  <c r="E2006" i="1" s="1"/>
  <c r="D1998" i="1"/>
  <c r="E1998" i="1" s="1"/>
  <c r="D1990" i="1"/>
  <c r="E1990" i="1" s="1"/>
  <c r="D1982" i="1"/>
  <c r="E1982" i="1" s="1"/>
  <c r="D1275" i="1"/>
  <c r="E1275" i="1" s="1"/>
  <c r="D1050" i="1"/>
  <c r="E1050" i="1" s="1"/>
  <c r="D1042" i="1"/>
  <c r="E1042" i="1" s="1"/>
  <c r="D1034" i="1"/>
  <c r="E1034" i="1" s="1"/>
  <c r="D1026" i="1"/>
  <c r="E1026" i="1" s="1"/>
  <c r="D1018" i="1"/>
  <c r="E1018" i="1" s="1"/>
  <c r="D1010" i="1"/>
  <c r="E1010" i="1" s="1"/>
  <c r="D1002" i="1"/>
  <c r="E1002" i="1" s="1"/>
  <c r="D986" i="1"/>
  <c r="E986" i="1" s="1"/>
  <c r="D978" i="1"/>
  <c r="E978" i="1" s="1"/>
  <c r="D970" i="1"/>
  <c r="E970" i="1" s="1"/>
  <c r="D962" i="1"/>
  <c r="E962" i="1" s="1"/>
  <c r="D954" i="1"/>
  <c r="E954" i="1" s="1"/>
  <c r="D946" i="1"/>
  <c r="E946" i="1" s="1"/>
  <c r="D938" i="1"/>
  <c r="E938" i="1" s="1"/>
  <c r="D922" i="1"/>
  <c r="E922" i="1" s="1"/>
  <c r="D914" i="1"/>
  <c r="E914" i="1" s="1"/>
  <c r="D906" i="1"/>
  <c r="E906" i="1" s="1"/>
  <c r="D898" i="1"/>
  <c r="E898" i="1" s="1"/>
  <c r="D890" i="1"/>
  <c r="E890" i="1" s="1"/>
  <c r="D1969" i="1"/>
  <c r="E1969" i="1" s="1"/>
  <c r="D1961" i="1"/>
  <c r="E1961" i="1" s="1"/>
  <c r="D1945" i="1"/>
  <c r="E1945" i="1" s="1"/>
  <c r="D1937" i="1"/>
  <c r="E1937" i="1" s="1"/>
  <c r="D1929" i="1"/>
  <c r="E1929" i="1" s="1"/>
  <c r="D1921" i="1"/>
  <c r="E1921" i="1" s="1"/>
  <c r="D1913" i="1"/>
  <c r="E1913" i="1" s="1"/>
  <c r="D1905" i="1"/>
  <c r="E1905" i="1" s="1"/>
  <c r="D1897" i="1"/>
  <c r="E1897" i="1" s="1"/>
  <c r="D1881" i="1"/>
  <c r="E1881" i="1" s="1"/>
  <c r="D1873" i="1"/>
  <c r="E1873" i="1" s="1"/>
  <c r="D1865" i="1"/>
  <c r="E1865" i="1" s="1"/>
  <c r="D1857" i="1"/>
  <c r="E1857" i="1" s="1"/>
  <c r="D1849" i="1"/>
  <c r="E1849" i="1" s="1"/>
  <c r="D1841" i="1"/>
  <c r="E1841" i="1" s="1"/>
  <c r="D1833" i="1"/>
  <c r="E1833" i="1" s="1"/>
  <c r="D1817" i="1"/>
  <c r="E1817" i="1" s="1"/>
  <c r="D1809" i="1"/>
  <c r="E1809" i="1" s="1"/>
  <c r="D1801" i="1"/>
  <c r="E1801" i="1" s="1"/>
  <c r="D1793" i="1"/>
  <c r="E1793" i="1" s="1"/>
  <c r="D1785" i="1"/>
  <c r="E1785" i="1" s="1"/>
  <c r="D1777" i="1"/>
  <c r="E1777" i="1" s="1"/>
  <c r="D1769" i="1"/>
  <c r="E1769" i="1" s="1"/>
  <c r="D1753" i="1"/>
  <c r="E1753" i="1" s="1"/>
  <c r="D1745" i="1"/>
  <c r="E1745" i="1" s="1"/>
  <c r="D1737" i="1"/>
  <c r="E1737" i="1" s="1"/>
  <c r="D1729" i="1"/>
  <c r="E1729" i="1" s="1"/>
  <c r="D1721" i="1"/>
  <c r="E1721" i="1" s="1"/>
  <c r="D1713" i="1"/>
  <c r="E1713" i="1" s="1"/>
  <c r="D1705" i="1"/>
  <c r="E1705" i="1" s="1"/>
  <c r="D1689" i="1"/>
  <c r="E1689" i="1" s="1"/>
  <c r="D1681" i="1"/>
  <c r="E1681" i="1" s="1"/>
  <c r="D1673" i="1"/>
  <c r="E1673" i="1" s="1"/>
  <c r="D1665" i="1"/>
  <c r="E1665" i="1" s="1"/>
  <c r="D1657" i="1"/>
  <c r="E1657" i="1" s="1"/>
  <c r="D1649" i="1"/>
  <c r="E1649" i="1" s="1"/>
  <c r="D1641" i="1"/>
  <c r="E1641" i="1" s="1"/>
  <c r="D1625" i="1"/>
  <c r="E1625" i="1" s="1"/>
  <c r="D1617" i="1"/>
  <c r="E1617" i="1" s="1"/>
  <c r="D1609" i="1"/>
  <c r="E1609" i="1" s="1"/>
  <c r="D1601" i="1"/>
  <c r="E1601" i="1" s="1"/>
  <c r="D1593" i="1"/>
  <c r="E1593" i="1" s="1"/>
  <c r="D1585" i="1"/>
  <c r="E1585" i="1" s="1"/>
  <c r="D1577" i="1"/>
  <c r="E1577" i="1" s="1"/>
  <c r="D1561" i="1"/>
  <c r="E1561" i="1" s="1"/>
  <c r="D1553" i="1"/>
  <c r="E1553" i="1" s="1"/>
  <c r="D1545" i="1"/>
  <c r="E1545" i="1" s="1"/>
  <c r="D1537" i="1"/>
  <c r="E1537" i="1" s="1"/>
  <c r="D1529" i="1"/>
  <c r="E1529" i="1" s="1"/>
  <c r="D1521" i="1"/>
  <c r="E1521" i="1" s="1"/>
  <c r="D1513" i="1"/>
  <c r="E1513" i="1" s="1"/>
  <c r="D1497" i="1"/>
  <c r="E1497" i="1" s="1"/>
  <c r="D1489" i="1"/>
  <c r="E1489" i="1" s="1"/>
  <c r="D1481" i="1"/>
  <c r="E1481" i="1" s="1"/>
  <c r="D1473" i="1"/>
  <c r="E1473" i="1" s="1"/>
  <c r="D1465" i="1"/>
  <c r="E1465" i="1" s="1"/>
  <c r="D1457" i="1"/>
  <c r="E1457" i="1" s="1"/>
  <c r="D1449" i="1"/>
  <c r="E1449" i="1" s="1"/>
  <c r="D1433" i="1"/>
  <c r="E1433" i="1" s="1"/>
  <c r="D1425" i="1"/>
  <c r="E1425" i="1" s="1"/>
  <c r="D1417" i="1"/>
  <c r="E1417" i="1" s="1"/>
  <c r="D1409" i="1"/>
  <c r="E1409" i="1" s="1"/>
  <c r="D1401" i="1"/>
  <c r="E1401" i="1" s="1"/>
  <c r="D1393" i="1"/>
  <c r="E1393" i="1" s="1"/>
  <c r="D1385" i="1"/>
  <c r="E1385" i="1" s="1"/>
  <c r="D1369" i="1"/>
  <c r="E1369" i="1" s="1"/>
  <c r="D1361" i="1"/>
  <c r="E1361" i="1" s="1"/>
  <c r="D1353" i="1"/>
  <c r="E1353" i="1" s="1"/>
  <c r="D1345" i="1"/>
  <c r="E1345" i="1" s="1"/>
  <c r="D1337" i="1"/>
  <c r="E1337" i="1" s="1"/>
  <c r="D1329" i="1"/>
  <c r="E1329" i="1" s="1"/>
  <c r="D1321" i="1"/>
  <c r="E1321" i="1" s="1"/>
  <c r="D1305" i="1"/>
  <c r="E1305" i="1" s="1"/>
  <c r="D1297" i="1"/>
  <c r="E1297" i="1" s="1"/>
  <c r="D1976" i="1"/>
  <c r="E1976" i="1" s="1"/>
  <c r="D1968" i="1"/>
  <c r="E1968" i="1" s="1"/>
  <c r="D1960" i="1"/>
  <c r="E1960" i="1" s="1"/>
  <c r="D1952" i="1"/>
  <c r="E1952" i="1" s="1"/>
  <c r="D1944" i="1"/>
  <c r="E1944" i="1" s="1"/>
  <c r="D1928" i="1"/>
  <c r="E1928" i="1" s="1"/>
  <c r="D1920" i="1"/>
  <c r="E1920" i="1" s="1"/>
  <c r="D1912" i="1"/>
  <c r="E1912" i="1" s="1"/>
  <c r="D1904" i="1"/>
  <c r="E1904" i="1" s="1"/>
  <c r="D1896" i="1"/>
  <c r="E1896" i="1" s="1"/>
  <c r="D1888" i="1"/>
  <c r="E1888" i="1" s="1"/>
  <c r="D1880" i="1"/>
  <c r="E1880" i="1" s="1"/>
  <c r="D1864" i="1"/>
  <c r="E1864" i="1" s="1"/>
  <c r="D1856" i="1"/>
  <c r="E1856" i="1" s="1"/>
  <c r="D1848" i="1"/>
  <c r="E1848" i="1" s="1"/>
  <c r="D1840" i="1"/>
  <c r="E1840" i="1" s="1"/>
  <c r="D1832" i="1"/>
  <c r="E1832" i="1" s="1"/>
  <c r="D1824" i="1"/>
  <c r="E1824" i="1" s="1"/>
  <c r="D1816" i="1"/>
  <c r="E1816" i="1" s="1"/>
  <c r="D1800" i="1"/>
  <c r="E1800" i="1" s="1"/>
  <c r="D1792" i="1"/>
  <c r="E1792" i="1" s="1"/>
  <c r="D1784" i="1"/>
  <c r="E1784" i="1" s="1"/>
  <c r="D1776" i="1"/>
  <c r="E1776" i="1" s="1"/>
  <c r="D1768" i="1"/>
  <c r="E1768" i="1" s="1"/>
  <c r="D1760" i="1"/>
  <c r="E1760" i="1" s="1"/>
  <c r="D1752" i="1"/>
  <c r="E1752" i="1" s="1"/>
  <c r="D1736" i="1"/>
  <c r="E1736" i="1" s="1"/>
  <c r="D1728" i="1"/>
  <c r="E1728" i="1" s="1"/>
  <c r="D1720" i="1"/>
  <c r="E1720" i="1" s="1"/>
  <c r="D1712" i="1"/>
  <c r="E1712" i="1" s="1"/>
  <c r="D1704" i="1"/>
  <c r="E1704" i="1" s="1"/>
  <c r="D1696" i="1"/>
  <c r="E1696" i="1" s="1"/>
  <c r="D1688" i="1"/>
  <c r="E1688" i="1" s="1"/>
  <c r="D1672" i="1"/>
  <c r="E1672" i="1" s="1"/>
  <c r="D1664" i="1"/>
  <c r="E1664" i="1" s="1"/>
  <c r="D1656" i="1"/>
  <c r="E1656" i="1" s="1"/>
  <c r="D1648" i="1"/>
  <c r="E1648" i="1" s="1"/>
  <c r="D1640" i="1"/>
  <c r="E1640" i="1" s="1"/>
  <c r="D1632" i="1"/>
  <c r="E1632" i="1" s="1"/>
  <c r="D1624" i="1"/>
  <c r="E1624" i="1" s="1"/>
  <c r="D1608" i="1"/>
  <c r="E1608" i="1" s="1"/>
  <c r="D1600" i="1"/>
  <c r="E1600" i="1" s="1"/>
  <c r="D1592" i="1"/>
  <c r="E1592" i="1" s="1"/>
  <c r="D1584" i="1"/>
  <c r="E1584" i="1" s="1"/>
  <c r="D1576" i="1"/>
  <c r="E1576" i="1" s="1"/>
  <c r="D1568" i="1"/>
  <c r="E1568" i="1" s="1"/>
  <c r="D1560" i="1"/>
  <c r="E1560" i="1" s="1"/>
  <c r="D1544" i="1"/>
  <c r="E1544" i="1" s="1"/>
  <c r="D1536" i="1"/>
  <c r="E1536" i="1" s="1"/>
  <c r="D1528" i="1"/>
  <c r="E1528" i="1" s="1"/>
  <c r="D1520" i="1"/>
  <c r="E1520" i="1" s="1"/>
  <c r="D1512" i="1"/>
  <c r="E1512" i="1" s="1"/>
  <c r="D1504" i="1"/>
  <c r="E1504" i="1" s="1"/>
  <c r="D1496" i="1"/>
  <c r="E1496" i="1" s="1"/>
  <c r="D1480" i="1"/>
  <c r="E1480" i="1" s="1"/>
  <c r="D1472" i="1"/>
  <c r="E1472" i="1" s="1"/>
  <c r="D1464" i="1"/>
  <c r="E1464" i="1" s="1"/>
  <c r="D1456" i="1"/>
  <c r="E1456" i="1" s="1"/>
  <c r="D1448" i="1"/>
  <c r="E1448" i="1" s="1"/>
  <c r="D1440" i="1"/>
  <c r="E1440" i="1" s="1"/>
  <c r="D1432" i="1"/>
  <c r="E1432" i="1" s="1"/>
  <c r="D1424" i="1"/>
  <c r="E1424" i="1" s="1"/>
  <c r="D1416" i="1"/>
  <c r="E1416" i="1" s="1"/>
  <c r="D1408" i="1"/>
  <c r="E1408" i="1" s="1"/>
  <c r="D1400" i="1"/>
  <c r="E1400" i="1" s="1"/>
  <c r="D1392" i="1"/>
  <c r="E1392" i="1" s="1"/>
  <c r="D1384" i="1"/>
  <c r="E1384" i="1" s="1"/>
  <c r="D1376" i="1"/>
  <c r="E1376" i="1" s="1"/>
  <c r="D1368" i="1"/>
  <c r="E1368" i="1" s="1"/>
  <c r="D1360" i="1"/>
  <c r="E1360" i="1" s="1"/>
  <c r="D1352" i="1"/>
  <c r="E1352" i="1" s="1"/>
  <c r="D1344" i="1"/>
  <c r="E1344" i="1" s="1"/>
  <c r="D1336" i="1"/>
  <c r="E1336" i="1" s="1"/>
  <c r="D1328" i="1"/>
  <c r="E1328" i="1" s="1"/>
  <c r="D1320" i="1"/>
  <c r="E1320" i="1" s="1"/>
  <c r="D1312" i="1"/>
  <c r="E1312" i="1" s="1"/>
  <c r="D1304" i="1"/>
  <c r="E1304" i="1" s="1"/>
  <c r="D1296" i="1"/>
  <c r="E1296" i="1" s="1"/>
  <c r="D1288" i="1"/>
  <c r="E1288" i="1" s="1"/>
  <c r="D1855" i="1"/>
  <c r="E1855" i="1" s="1"/>
  <c r="D1847" i="1"/>
  <c r="E1847" i="1" s="1"/>
  <c r="D1839" i="1"/>
  <c r="E1839" i="1" s="1"/>
  <c r="D1831" i="1"/>
  <c r="E1831" i="1" s="1"/>
  <c r="D1823" i="1"/>
  <c r="E1823" i="1" s="1"/>
  <c r="D1815" i="1"/>
  <c r="E1815" i="1" s="1"/>
  <c r="D1807" i="1"/>
  <c r="E1807" i="1" s="1"/>
  <c r="D1799" i="1"/>
  <c r="E1799" i="1" s="1"/>
  <c r="D1791" i="1"/>
  <c r="E1791" i="1" s="1"/>
  <c r="D1783" i="1"/>
  <c r="E1783" i="1" s="1"/>
  <c r="D1775" i="1"/>
  <c r="E1775" i="1" s="1"/>
  <c r="D1767" i="1"/>
  <c r="E1767" i="1" s="1"/>
  <c r="D1759" i="1"/>
  <c r="E1759" i="1" s="1"/>
  <c r="D1751" i="1"/>
  <c r="E1751" i="1" s="1"/>
  <c r="D1743" i="1"/>
  <c r="E1743" i="1" s="1"/>
  <c r="D1735" i="1"/>
  <c r="E1735" i="1" s="1"/>
  <c r="D1727" i="1"/>
  <c r="E1727" i="1" s="1"/>
  <c r="D1719" i="1"/>
  <c r="E1719" i="1" s="1"/>
  <c r="D1711" i="1"/>
  <c r="E1711" i="1" s="1"/>
  <c r="D1703" i="1"/>
  <c r="E1703" i="1" s="1"/>
  <c r="D1695" i="1"/>
  <c r="E1695" i="1" s="1"/>
  <c r="D1687" i="1"/>
  <c r="E1687" i="1" s="1"/>
  <c r="D1679" i="1"/>
  <c r="E1679" i="1" s="1"/>
  <c r="D1671" i="1"/>
  <c r="E1671" i="1" s="1"/>
  <c r="D1663" i="1"/>
  <c r="E1663" i="1" s="1"/>
  <c r="D1655" i="1"/>
  <c r="E1655" i="1" s="1"/>
  <c r="D1647" i="1"/>
  <c r="E1647" i="1" s="1"/>
  <c r="D1639" i="1"/>
  <c r="E1639" i="1" s="1"/>
  <c r="D1631" i="1"/>
  <c r="E1631" i="1" s="1"/>
  <c r="D1623" i="1"/>
  <c r="E1623" i="1" s="1"/>
  <c r="D1615" i="1"/>
  <c r="E1615" i="1" s="1"/>
  <c r="D1607" i="1"/>
  <c r="E1607" i="1" s="1"/>
  <c r="D1599" i="1"/>
  <c r="E1599" i="1" s="1"/>
  <c r="D1591" i="1"/>
  <c r="E1591" i="1" s="1"/>
  <c r="D1583" i="1"/>
  <c r="E1583" i="1" s="1"/>
  <c r="D1575" i="1"/>
  <c r="E1575" i="1" s="1"/>
  <c r="D1567" i="1"/>
  <c r="E1567" i="1" s="1"/>
  <c r="D1559" i="1"/>
  <c r="E1559" i="1" s="1"/>
  <c r="D1551" i="1"/>
  <c r="E1551" i="1" s="1"/>
  <c r="D1543" i="1"/>
  <c r="E1543" i="1" s="1"/>
  <c r="D1535" i="1"/>
  <c r="E1535" i="1" s="1"/>
  <c r="D1527" i="1"/>
  <c r="E1527" i="1" s="1"/>
  <c r="D1519" i="1"/>
  <c r="E1519" i="1" s="1"/>
  <c r="D1511" i="1"/>
  <c r="E1511" i="1" s="1"/>
  <c r="D1503" i="1"/>
  <c r="E1503" i="1" s="1"/>
  <c r="D1495" i="1"/>
  <c r="E1495" i="1" s="1"/>
  <c r="D1487" i="1"/>
  <c r="E1487" i="1" s="1"/>
  <c r="D1479" i="1"/>
  <c r="E1479" i="1" s="1"/>
  <c r="D1471" i="1"/>
  <c r="E1471" i="1" s="1"/>
  <c r="D1463" i="1"/>
  <c r="E1463" i="1" s="1"/>
  <c r="D1455" i="1"/>
  <c r="E1455" i="1" s="1"/>
  <c r="D1447" i="1"/>
  <c r="E1447" i="1" s="1"/>
  <c r="D1439" i="1"/>
  <c r="E1439" i="1" s="1"/>
  <c r="D1431" i="1"/>
  <c r="E1431" i="1" s="1"/>
  <c r="D1423" i="1"/>
  <c r="E1423" i="1" s="1"/>
  <c r="D1415" i="1"/>
  <c r="E1415" i="1" s="1"/>
  <c r="D1407" i="1"/>
  <c r="E1407" i="1" s="1"/>
  <c r="D1399" i="1"/>
  <c r="E1399" i="1" s="1"/>
  <c r="D1391" i="1"/>
  <c r="E1391" i="1" s="1"/>
  <c r="D1383" i="1"/>
  <c r="E1383" i="1" s="1"/>
  <c r="D1375" i="1"/>
  <c r="E1375" i="1" s="1"/>
  <c r="D1367" i="1"/>
  <c r="E1367" i="1" s="1"/>
  <c r="D1359" i="1"/>
  <c r="E1359" i="1" s="1"/>
  <c r="D1351" i="1"/>
  <c r="E1351" i="1" s="1"/>
  <c r="D1343" i="1"/>
  <c r="E1343" i="1" s="1"/>
  <c r="D1335" i="1"/>
  <c r="E1335" i="1" s="1"/>
  <c r="D1327" i="1"/>
  <c r="E1327" i="1" s="1"/>
  <c r="D1319" i="1"/>
  <c r="E1319" i="1" s="1"/>
  <c r="D1311" i="1"/>
  <c r="E1311" i="1" s="1"/>
  <c r="D1303" i="1"/>
  <c r="E1303" i="1" s="1"/>
  <c r="D1295" i="1"/>
  <c r="E1295" i="1" s="1"/>
  <c r="D1287" i="1"/>
  <c r="E1287" i="1" s="1"/>
  <c r="D1279" i="1"/>
  <c r="E1279" i="1" s="1"/>
  <c r="D1271" i="1"/>
  <c r="E1271" i="1" s="1"/>
  <c r="D1263" i="1"/>
  <c r="E1263" i="1" s="1"/>
  <c r="D1255" i="1"/>
  <c r="E1255" i="1" s="1"/>
  <c r="D1247" i="1"/>
  <c r="E1247" i="1" s="1"/>
  <c r="D1239" i="1"/>
  <c r="E1239" i="1" s="1"/>
  <c r="D1231" i="1"/>
  <c r="E1231" i="1" s="1"/>
  <c r="D1223" i="1"/>
  <c r="E1223" i="1" s="1"/>
  <c r="D1215" i="1"/>
  <c r="E1215" i="1" s="1"/>
  <c r="D1207" i="1"/>
  <c r="E1207" i="1" s="1"/>
  <c r="D1199" i="1"/>
  <c r="E1199" i="1" s="1"/>
  <c r="D1191" i="1"/>
  <c r="E1191" i="1" s="1"/>
  <c r="D1183" i="1"/>
  <c r="E1183" i="1" s="1"/>
  <c r="D1175" i="1"/>
  <c r="E1175" i="1" s="1"/>
  <c r="D1167" i="1"/>
  <c r="E1167" i="1" s="1"/>
  <c r="D1159" i="1"/>
  <c r="E1159" i="1" s="1"/>
  <c r="D1151" i="1"/>
  <c r="E1151" i="1" s="1"/>
  <c r="D1143" i="1"/>
  <c r="E1143" i="1" s="1"/>
  <c r="D1135" i="1"/>
  <c r="E1135" i="1" s="1"/>
  <c r="D1127" i="1"/>
  <c r="E1127" i="1" s="1"/>
  <c r="D1119" i="1"/>
  <c r="E1119" i="1" s="1"/>
  <c r="D1111" i="1"/>
  <c r="E1111" i="1" s="1"/>
  <c r="D1103" i="1"/>
  <c r="E1103" i="1" s="1"/>
  <c r="D1095" i="1"/>
  <c r="E1095" i="1" s="1"/>
  <c r="D1087" i="1"/>
  <c r="E1087" i="1" s="1"/>
  <c r="D1079" i="1"/>
  <c r="E1079" i="1" s="1"/>
  <c r="D1071" i="1"/>
  <c r="E1071" i="1" s="1"/>
  <c r="D1063" i="1"/>
  <c r="E1063" i="1" s="1"/>
  <c r="D1055" i="1"/>
  <c r="E1055" i="1" s="1"/>
  <c r="D1047" i="1"/>
  <c r="E1047" i="1" s="1"/>
  <c r="D1039" i="1"/>
  <c r="E1039" i="1" s="1"/>
  <c r="D1031" i="1"/>
  <c r="E1031" i="1" s="1"/>
  <c r="D1023" i="1"/>
  <c r="E1023" i="1" s="1"/>
  <c r="D1015" i="1"/>
  <c r="E1015" i="1" s="1"/>
  <c r="D1007" i="1"/>
  <c r="E1007" i="1" s="1"/>
  <c r="D999" i="1"/>
  <c r="E999" i="1" s="1"/>
  <c r="D991" i="1"/>
  <c r="E991" i="1" s="1"/>
  <c r="D983" i="1"/>
  <c r="E983" i="1" s="1"/>
  <c r="D975" i="1"/>
  <c r="E975" i="1" s="1"/>
  <c r="D967" i="1"/>
  <c r="E967" i="1" s="1"/>
  <c r="D959" i="1"/>
  <c r="E959" i="1" s="1"/>
  <c r="D951" i="1"/>
  <c r="E951" i="1" s="1"/>
  <c r="D943" i="1"/>
  <c r="E943" i="1" s="1"/>
  <c r="D935" i="1"/>
  <c r="E935" i="1" s="1"/>
  <c r="D927" i="1"/>
  <c r="E927" i="1" s="1"/>
  <c r="D919" i="1"/>
  <c r="E919" i="1" s="1"/>
  <c r="D911" i="1"/>
  <c r="E911" i="1" s="1"/>
  <c r="D903" i="1"/>
  <c r="E903" i="1" s="1"/>
  <c r="D895" i="1"/>
  <c r="E895" i="1" s="1"/>
  <c r="D887" i="1"/>
  <c r="E887" i="1" s="1"/>
  <c r="D879" i="1"/>
  <c r="E879" i="1" s="1"/>
  <c r="D871" i="1"/>
  <c r="E871" i="1" s="1"/>
  <c r="D863" i="1"/>
  <c r="E863" i="1" s="1"/>
  <c r="D855" i="1"/>
  <c r="E855" i="1" s="1"/>
  <c r="D847" i="1"/>
  <c r="E847" i="1" s="1"/>
  <c r="D839" i="1"/>
  <c r="E839" i="1" s="1"/>
  <c r="D831" i="1"/>
  <c r="E831" i="1" s="1"/>
  <c r="D823" i="1"/>
  <c r="E823" i="1" s="1"/>
  <c r="D815" i="1"/>
  <c r="E815" i="1" s="1"/>
  <c r="D807" i="1"/>
  <c r="E807" i="1" s="1"/>
  <c r="D799" i="1"/>
  <c r="E799" i="1" s="1"/>
  <c r="D791" i="1"/>
  <c r="E791" i="1" s="1"/>
  <c r="D783" i="1"/>
  <c r="E783" i="1" s="1"/>
  <c r="D775" i="1"/>
  <c r="E775" i="1" s="1"/>
  <c r="D767" i="1"/>
  <c r="E767" i="1" s="1"/>
  <c r="D759" i="1"/>
  <c r="E759" i="1" s="1"/>
  <c r="D751" i="1"/>
  <c r="E751" i="1" s="1"/>
  <c r="D743" i="1"/>
  <c r="E743" i="1" s="1"/>
  <c r="D735" i="1"/>
  <c r="E735" i="1" s="1"/>
  <c r="D727" i="1"/>
  <c r="E727" i="1" s="1"/>
  <c r="D719" i="1"/>
  <c r="E719" i="1" s="1"/>
  <c r="D711" i="1"/>
  <c r="E711" i="1" s="1"/>
  <c r="D703" i="1"/>
  <c r="E703" i="1" s="1"/>
  <c r="D695" i="1"/>
  <c r="E695" i="1" s="1"/>
  <c r="D687" i="1"/>
  <c r="E687" i="1" s="1"/>
  <c r="D679" i="1"/>
  <c r="E679" i="1" s="1"/>
  <c r="D671" i="1"/>
  <c r="E671" i="1" s="1"/>
  <c r="D663" i="1"/>
  <c r="E663" i="1" s="1"/>
  <c r="D655" i="1"/>
  <c r="E655" i="1" s="1"/>
  <c r="D647" i="1"/>
  <c r="E647" i="1" s="1"/>
  <c r="D639" i="1"/>
  <c r="E639" i="1" s="1"/>
  <c r="D1974" i="1"/>
  <c r="E1974" i="1" s="1"/>
  <c r="D1966" i="1"/>
  <c r="E1966" i="1" s="1"/>
  <c r="D1958" i="1"/>
  <c r="E1958" i="1" s="1"/>
  <c r="D1950" i="1"/>
  <c r="E1950" i="1" s="1"/>
  <c r="D1942" i="1"/>
  <c r="E1942" i="1" s="1"/>
  <c r="D1934" i="1"/>
  <c r="E1934" i="1" s="1"/>
  <c r="D1926" i="1"/>
  <c r="E1926" i="1" s="1"/>
  <c r="D1918" i="1"/>
  <c r="E1918" i="1" s="1"/>
  <c r="D1910" i="1"/>
  <c r="E1910" i="1" s="1"/>
  <c r="D1902" i="1"/>
  <c r="E1902" i="1" s="1"/>
  <c r="D1894" i="1"/>
  <c r="E1894" i="1" s="1"/>
  <c r="D1886" i="1"/>
  <c r="E1886" i="1" s="1"/>
  <c r="D1878" i="1"/>
  <c r="E1878" i="1" s="1"/>
  <c r="D1870" i="1"/>
  <c r="E1870" i="1" s="1"/>
  <c r="D1862" i="1"/>
  <c r="E1862" i="1" s="1"/>
  <c r="D1854" i="1"/>
  <c r="E1854" i="1" s="1"/>
  <c r="D1846" i="1"/>
  <c r="E1846" i="1" s="1"/>
  <c r="D1838" i="1"/>
  <c r="E1838" i="1" s="1"/>
  <c r="D1830" i="1"/>
  <c r="E1830" i="1" s="1"/>
  <c r="D1822" i="1"/>
  <c r="E1822" i="1" s="1"/>
  <c r="D1814" i="1"/>
  <c r="E1814" i="1" s="1"/>
  <c r="D1806" i="1"/>
  <c r="E1806" i="1" s="1"/>
  <c r="D1798" i="1"/>
  <c r="E1798" i="1" s="1"/>
  <c r="D1790" i="1"/>
  <c r="E1790" i="1" s="1"/>
  <c r="D1782" i="1"/>
  <c r="E1782" i="1" s="1"/>
  <c r="D1774" i="1"/>
  <c r="E1774" i="1" s="1"/>
  <c r="D1766" i="1"/>
  <c r="E1766" i="1" s="1"/>
  <c r="D1758" i="1"/>
  <c r="E1758" i="1" s="1"/>
  <c r="D1750" i="1"/>
  <c r="E1750" i="1" s="1"/>
  <c r="D1742" i="1"/>
  <c r="E1742" i="1" s="1"/>
  <c r="D1734" i="1"/>
  <c r="E1734" i="1" s="1"/>
  <c r="D1726" i="1"/>
  <c r="E1726" i="1" s="1"/>
  <c r="D1718" i="1"/>
  <c r="E1718" i="1" s="1"/>
  <c r="D1710" i="1"/>
  <c r="E1710" i="1" s="1"/>
  <c r="D1702" i="1"/>
  <c r="E1702" i="1" s="1"/>
  <c r="D1694" i="1"/>
  <c r="E1694" i="1" s="1"/>
  <c r="D1686" i="1"/>
  <c r="E1686" i="1" s="1"/>
  <c r="D1678" i="1"/>
  <c r="E1678" i="1" s="1"/>
  <c r="D1670" i="1"/>
  <c r="E1670" i="1" s="1"/>
  <c r="D1662" i="1"/>
  <c r="E1662" i="1" s="1"/>
  <c r="D1654" i="1"/>
  <c r="E1654" i="1" s="1"/>
  <c r="D1646" i="1"/>
  <c r="E1646" i="1" s="1"/>
  <c r="D1638" i="1"/>
  <c r="E1638" i="1" s="1"/>
  <c r="D1630" i="1"/>
  <c r="E1630" i="1" s="1"/>
  <c r="D1622" i="1"/>
  <c r="E1622" i="1" s="1"/>
  <c r="D1614" i="1"/>
  <c r="E1614" i="1" s="1"/>
  <c r="D1606" i="1"/>
  <c r="E1606" i="1" s="1"/>
  <c r="D1598" i="1"/>
  <c r="E1598" i="1" s="1"/>
  <c r="D1590" i="1"/>
  <c r="E1590" i="1" s="1"/>
  <c r="D1582" i="1"/>
  <c r="E1582" i="1" s="1"/>
  <c r="D1574" i="1"/>
  <c r="E1574" i="1" s="1"/>
  <c r="D1566" i="1"/>
  <c r="E1566" i="1" s="1"/>
  <c r="D1558" i="1"/>
  <c r="E1558" i="1" s="1"/>
  <c r="D1550" i="1"/>
  <c r="E1550" i="1" s="1"/>
  <c r="D1542" i="1"/>
  <c r="E1542" i="1" s="1"/>
  <c r="D1534" i="1"/>
  <c r="E1534" i="1" s="1"/>
  <c r="D1526" i="1"/>
  <c r="E1526" i="1" s="1"/>
  <c r="D1518" i="1"/>
  <c r="E1518" i="1" s="1"/>
  <c r="D1510" i="1"/>
  <c r="E1510" i="1" s="1"/>
  <c r="D1502" i="1"/>
  <c r="E1502" i="1" s="1"/>
  <c r="D1494" i="1"/>
  <c r="E1494" i="1" s="1"/>
  <c r="D1486" i="1"/>
  <c r="E1486" i="1" s="1"/>
  <c r="D1478" i="1"/>
  <c r="E1478" i="1" s="1"/>
  <c r="D1470" i="1"/>
  <c r="E1470" i="1" s="1"/>
  <c r="D1462" i="1"/>
  <c r="E1462" i="1" s="1"/>
  <c r="D1454" i="1"/>
  <c r="E1454" i="1" s="1"/>
  <c r="D1446" i="1"/>
  <c r="E1446" i="1" s="1"/>
  <c r="D1438" i="1"/>
  <c r="E1438" i="1" s="1"/>
  <c r="D1430" i="1"/>
  <c r="E1430" i="1" s="1"/>
  <c r="D1422" i="1"/>
  <c r="E1422" i="1" s="1"/>
  <c r="D1414" i="1"/>
  <c r="E1414" i="1" s="1"/>
  <c r="D1406" i="1"/>
  <c r="E1406" i="1" s="1"/>
  <c r="D1398" i="1"/>
  <c r="E1398" i="1" s="1"/>
  <c r="D1390" i="1"/>
  <c r="E1390" i="1" s="1"/>
  <c r="D1382" i="1"/>
  <c r="E1382" i="1" s="1"/>
  <c r="D1374" i="1"/>
  <c r="E1374" i="1" s="1"/>
  <c r="D1366" i="1"/>
  <c r="E1366" i="1" s="1"/>
  <c r="D1358" i="1"/>
  <c r="E1358" i="1" s="1"/>
  <c r="D1350" i="1"/>
  <c r="E1350" i="1" s="1"/>
  <c r="D1342" i="1"/>
  <c r="E1342" i="1" s="1"/>
  <c r="D1334" i="1"/>
  <c r="E1334" i="1" s="1"/>
  <c r="D1326" i="1"/>
  <c r="E1326" i="1" s="1"/>
  <c r="D1318" i="1"/>
  <c r="E1318" i="1" s="1"/>
  <c r="D1310" i="1"/>
  <c r="E1310" i="1" s="1"/>
  <c r="D1302" i="1"/>
  <c r="E1302" i="1" s="1"/>
  <c r="D1294" i="1"/>
  <c r="E1294" i="1" s="1"/>
  <c r="D1286" i="1"/>
  <c r="E1286" i="1" s="1"/>
  <c r="D1278" i="1"/>
  <c r="E1278" i="1" s="1"/>
  <c r="D1270" i="1"/>
  <c r="E1270" i="1" s="1"/>
  <c r="D1262" i="1"/>
  <c r="E1262" i="1" s="1"/>
  <c r="D1254" i="1"/>
  <c r="E1254" i="1" s="1"/>
  <c r="D1289" i="1"/>
  <c r="E1289" i="1" s="1"/>
  <c r="D1281" i="1"/>
  <c r="E1281" i="1" s="1"/>
  <c r="D1273" i="1"/>
  <c r="E1273" i="1" s="1"/>
  <c r="D1265" i="1"/>
  <c r="E1265" i="1" s="1"/>
  <c r="D1257" i="1"/>
  <c r="E1257" i="1" s="1"/>
  <c r="D1249" i="1"/>
  <c r="E1249" i="1" s="1"/>
  <c r="D1280" i="1"/>
  <c r="E1280" i="1" s="1"/>
  <c r="D1272" i="1"/>
  <c r="E1272" i="1" s="1"/>
  <c r="D1264" i="1"/>
  <c r="E1264" i="1" s="1"/>
  <c r="D1256" i="1"/>
  <c r="E1256" i="1" s="1"/>
  <c r="D1248" i="1"/>
  <c r="E1248" i="1" s="1"/>
  <c r="D1240" i="1"/>
  <c r="E1240" i="1" s="1"/>
  <c r="D631" i="1"/>
  <c r="E631" i="1" s="1"/>
  <c r="D623" i="1"/>
  <c r="E623" i="1" s="1"/>
  <c r="D615" i="1"/>
  <c r="E615" i="1" s="1"/>
  <c r="D607" i="1"/>
  <c r="E607" i="1" s="1"/>
  <c r="D599" i="1"/>
  <c r="E599" i="1" s="1"/>
  <c r="D591" i="1"/>
  <c r="E591" i="1" s="1"/>
  <c r="D583" i="1"/>
  <c r="E583" i="1" s="1"/>
  <c r="D575" i="1"/>
  <c r="E575" i="1" s="1"/>
  <c r="D1246" i="1"/>
  <c r="E1246" i="1" s="1"/>
  <c r="D1238" i="1"/>
  <c r="E1238" i="1" s="1"/>
  <c r="D1230" i="1"/>
  <c r="E1230" i="1" s="1"/>
  <c r="D1222" i="1"/>
  <c r="E1222" i="1" s="1"/>
  <c r="D1214" i="1"/>
  <c r="E1214" i="1" s="1"/>
  <c r="D1206" i="1"/>
  <c r="E1206" i="1" s="1"/>
  <c r="D1198" i="1"/>
  <c r="E1198" i="1" s="1"/>
  <c r="D1190" i="1"/>
  <c r="E1190" i="1" s="1"/>
  <c r="D1182" i="1"/>
  <c r="E1182" i="1" s="1"/>
  <c r="D1174" i="1"/>
  <c r="E1174" i="1" s="1"/>
  <c r="D1166" i="1"/>
  <c r="E1166" i="1" s="1"/>
  <c r="D1158" i="1"/>
  <c r="E1158" i="1" s="1"/>
  <c r="D1150" i="1"/>
  <c r="E1150" i="1" s="1"/>
  <c r="D1142" i="1"/>
  <c r="E1142" i="1" s="1"/>
  <c r="D1134" i="1"/>
  <c r="E1134" i="1" s="1"/>
  <c r="D1126" i="1"/>
  <c r="E1126" i="1" s="1"/>
  <c r="D1118" i="1"/>
  <c r="E1118" i="1" s="1"/>
  <c r="D1110" i="1"/>
  <c r="E1110" i="1" s="1"/>
  <c r="D1102" i="1"/>
  <c r="E1102" i="1" s="1"/>
  <c r="D1094" i="1"/>
  <c r="E1094" i="1" s="1"/>
  <c r="D1086" i="1"/>
  <c r="E1086" i="1" s="1"/>
  <c r="D1078" i="1"/>
  <c r="E1078" i="1" s="1"/>
  <c r="D1070" i="1"/>
  <c r="E1070" i="1" s="1"/>
  <c r="D1062" i="1"/>
  <c r="E1062" i="1" s="1"/>
  <c r="D1054" i="1"/>
  <c r="E1054" i="1" s="1"/>
  <c r="D1046" i="1"/>
  <c r="E1046" i="1" s="1"/>
  <c r="D1038" i="1"/>
  <c r="E1038" i="1" s="1"/>
  <c r="D1030" i="1"/>
  <c r="E1030" i="1" s="1"/>
  <c r="D1022" i="1"/>
  <c r="E1022" i="1" s="1"/>
  <c r="D1014" i="1"/>
  <c r="E1014" i="1" s="1"/>
  <c r="D1006" i="1"/>
  <c r="E1006" i="1" s="1"/>
  <c r="D998" i="1"/>
  <c r="E998" i="1" s="1"/>
  <c r="D990" i="1"/>
  <c r="E990" i="1" s="1"/>
  <c r="D982" i="1"/>
  <c r="E982" i="1" s="1"/>
  <c r="D974" i="1"/>
  <c r="E974" i="1" s="1"/>
  <c r="D966" i="1"/>
  <c r="E966" i="1" s="1"/>
  <c r="D958" i="1"/>
  <c r="E958" i="1" s="1"/>
  <c r="D950" i="1"/>
  <c r="E950" i="1" s="1"/>
  <c r="D942" i="1"/>
  <c r="E942" i="1" s="1"/>
  <c r="D934" i="1"/>
  <c r="E934" i="1" s="1"/>
  <c r="D926" i="1"/>
  <c r="E926" i="1" s="1"/>
  <c r="D918" i="1"/>
  <c r="E918" i="1" s="1"/>
  <c r="D910" i="1"/>
  <c r="E910" i="1" s="1"/>
  <c r="D902" i="1"/>
  <c r="E902" i="1" s="1"/>
  <c r="D894" i="1"/>
  <c r="E894" i="1" s="1"/>
  <c r="D886" i="1"/>
  <c r="E886" i="1" s="1"/>
  <c r="D878" i="1"/>
  <c r="E878" i="1" s="1"/>
  <c r="D870" i="1"/>
  <c r="E870" i="1" s="1"/>
  <c r="D862" i="1"/>
  <c r="E862" i="1" s="1"/>
  <c r="D854" i="1"/>
  <c r="E854" i="1" s="1"/>
  <c r="D846" i="1"/>
  <c r="E846" i="1" s="1"/>
  <c r="D838" i="1"/>
  <c r="E838" i="1" s="1"/>
  <c r="D830" i="1"/>
  <c r="E830" i="1" s="1"/>
  <c r="D822" i="1"/>
  <c r="E822" i="1" s="1"/>
  <c r="D814" i="1"/>
  <c r="E814" i="1" s="1"/>
  <c r="D806" i="1"/>
  <c r="E806" i="1" s="1"/>
  <c r="D798" i="1"/>
  <c r="E798" i="1" s="1"/>
  <c r="D790" i="1"/>
  <c r="E790" i="1" s="1"/>
  <c r="D782" i="1"/>
  <c r="E782" i="1" s="1"/>
  <c r="D774" i="1"/>
  <c r="E774" i="1" s="1"/>
  <c r="D766" i="1"/>
  <c r="E766" i="1" s="1"/>
  <c r="D758" i="1"/>
  <c r="E758" i="1" s="1"/>
  <c r="D750" i="1"/>
  <c r="E750" i="1" s="1"/>
  <c r="D742" i="1"/>
  <c r="E742" i="1" s="1"/>
  <c r="D734" i="1"/>
  <c r="E734" i="1" s="1"/>
  <c r="D726" i="1"/>
  <c r="E726" i="1" s="1"/>
  <c r="D718" i="1"/>
  <c r="E718" i="1" s="1"/>
  <c r="D710" i="1"/>
  <c r="E710" i="1" s="1"/>
  <c r="D702" i="1"/>
  <c r="E702" i="1" s="1"/>
  <c r="D694" i="1"/>
  <c r="E694" i="1" s="1"/>
  <c r="D686" i="1"/>
  <c r="E686" i="1" s="1"/>
  <c r="D678" i="1"/>
  <c r="E678" i="1" s="1"/>
  <c r="D670" i="1"/>
  <c r="E670" i="1" s="1"/>
  <c r="D662" i="1"/>
  <c r="E662" i="1" s="1"/>
  <c r="D654" i="1"/>
  <c r="E654" i="1" s="1"/>
  <c r="D646" i="1"/>
  <c r="E646" i="1" s="1"/>
  <c r="D638" i="1"/>
  <c r="E638" i="1" s="1"/>
  <c r="D630" i="1"/>
  <c r="E630" i="1" s="1"/>
  <c r="D622" i="1"/>
  <c r="E622" i="1" s="1"/>
  <c r="D614" i="1"/>
  <c r="E614" i="1" s="1"/>
  <c r="D606" i="1"/>
  <c r="E606" i="1" s="1"/>
  <c r="D598" i="1"/>
  <c r="E598" i="1" s="1"/>
  <c r="D590" i="1"/>
  <c r="E590" i="1" s="1"/>
  <c r="D582" i="1"/>
  <c r="E582" i="1" s="1"/>
  <c r="D574" i="1"/>
  <c r="E574" i="1" s="1"/>
  <c r="D1245" i="1"/>
  <c r="E1245" i="1" s="1"/>
  <c r="D1237" i="1"/>
  <c r="E1237" i="1" s="1"/>
  <c r="D1229" i="1"/>
  <c r="E1229" i="1" s="1"/>
  <c r="D1221" i="1"/>
  <c r="E1221" i="1" s="1"/>
  <c r="D1213" i="1"/>
  <c r="E1213" i="1" s="1"/>
  <c r="D1205" i="1"/>
  <c r="E1205" i="1" s="1"/>
  <c r="D1197" i="1"/>
  <c r="E1197" i="1" s="1"/>
  <c r="D1189" i="1"/>
  <c r="E1189" i="1" s="1"/>
  <c r="D1181" i="1"/>
  <c r="E1181" i="1" s="1"/>
  <c r="D1173" i="1"/>
  <c r="E1173" i="1" s="1"/>
  <c r="D1165" i="1"/>
  <c r="E1165" i="1" s="1"/>
  <c r="D1157" i="1"/>
  <c r="E1157" i="1" s="1"/>
  <c r="D1149" i="1"/>
  <c r="E1149" i="1" s="1"/>
  <c r="D1141" i="1"/>
  <c r="E1141" i="1" s="1"/>
  <c r="D1133" i="1"/>
  <c r="E1133" i="1" s="1"/>
  <c r="D1125" i="1"/>
  <c r="E1125" i="1" s="1"/>
  <c r="D1117" i="1"/>
  <c r="E1117" i="1" s="1"/>
  <c r="D1109" i="1"/>
  <c r="E1109" i="1" s="1"/>
  <c r="D1101" i="1"/>
  <c r="E1101" i="1" s="1"/>
  <c r="D1093" i="1"/>
  <c r="E1093" i="1" s="1"/>
  <c r="D1085" i="1"/>
  <c r="E1085" i="1" s="1"/>
  <c r="D1077" i="1"/>
  <c r="E1077" i="1" s="1"/>
  <c r="D1069" i="1"/>
  <c r="E1069" i="1" s="1"/>
  <c r="D1061" i="1"/>
  <c r="E1061" i="1" s="1"/>
  <c r="D1053" i="1"/>
  <c r="E1053" i="1" s="1"/>
  <c r="D1045" i="1"/>
  <c r="E1045" i="1" s="1"/>
  <c r="D1037" i="1"/>
  <c r="E1037" i="1" s="1"/>
  <c r="D1029" i="1"/>
  <c r="E1029" i="1" s="1"/>
  <c r="D1021" i="1"/>
  <c r="E1021" i="1" s="1"/>
  <c r="D1013" i="1"/>
  <c r="E1013" i="1" s="1"/>
  <c r="D1005" i="1"/>
  <c r="E1005" i="1" s="1"/>
  <c r="D997" i="1"/>
  <c r="E997" i="1" s="1"/>
  <c r="D989" i="1"/>
  <c r="E989" i="1" s="1"/>
  <c r="D981" i="1"/>
  <c r="E981" i="1" s="1"/>
  <c r="D973" i="1"/>
  <c r="E973" i="1" s="1"/>
  <c r="D965" i="1"/>
  <c r="E965" i="1" s="1"/>
  <c r="D957" i="1"/>
  <c r="E957" i="1" s="1"/>
  <c r="D949" i="1"/>
  <c r="E949" i="1" s="1"/>
  <c r="D941" i="1"/>
  <c r="E941" i="1" s="1"/>
  <c r="D933" i="1"/>
  <c r="E933" i="1" s="1"/>
  <c r="D925" i="1"/>
  <c r="E925" i="1" s="1"/>
  <c r="D917" i="1"/>
  <c r="E917" i="1" s="1"/>
  <c r="D909" i="1"/>
  <c r="E909" i="1" s="1"/>
  <c r="D901" i="1"/>
  <c r="E901" i="1" s="1"/>
  <c r="D893" i="1"/>
  <c r="E893" i="1" s="1"/>
  <c r="D885" i="1"/>
  <c r="E885" i="1" s="1"/>
  <c r="D877" i="1"/>
  <c r="E877" i="1" s="1"/>
  <c r="D869" i="1"/>
  <c r="E869" i="1" s="1"/>
  <c r="D861" i="1"/>
  <c r="E861" i="1" s="1"/>
  <c r="D853" i="1"/>
  <c r="E853" i="1" s="1"/>
  <c r="D845" i="1"/>
  <c r="E845" i="1" s="1"/>
  <c r="D837" i="1"/>
  <c r="E837" i="1" s="1"/>
  <c r="D829" i="1"/>
  <c r="E829" i="1" s="1"/>
  <c r="D821" i="1"/>
  <c r="E821" i="1" s="1"/>
  <c r="D813" i="1"/>
  <c r="E813" i="1" s="1"/>
  <c r="D805" i="1"/>
  <c r="E805" i="1" s="1"/>
  <c r="D797" i="1"/>
  <c r="E797" i="1" s="1"/>
  <c r="D789" i="1"/>
  <c r="E789" i="1" s="1"/>
  <c r="D781" i="1"/>
  <c r="E781" i="1" s="1"/>
  <c r="D773" i="1"/>
  <c r="E773" i="1" s="1"/>
  <c r="D765" i="1"/>
  <c r="E765" i="1" s="1"/>
  <c r="D757" i="1"/>
  <c r="E757" i="1" s="1"/>
  <c r="D749" i="1"/>
  <c r="E749" i="1" s="1"/>
  <c r="D741" i="1"/>
  <c r="E741" i="1" s="1"/>
  <c r="D733" i="1"/>
  <c r="E733" i="1" s="1"/>
  <c r="D725" i="1"/>
  <c r="E725" i="1" s="1"/>
  <c r="D717" i="1"/>
  <c r="E717" i="1" s="1"/>
  <c r="D709" i="1"/>
  <c r="E709" i="1" s="1"/>
  <c r="D701" i="1"/>
  <c r="E701" i="1" s="1"/>
  <c r="D693" i="1"/>
  <c r="E693" i="1" s="1"/>
  <c r="D685" i="1"/>
  <c r="E685" i="1" s="1"/>
  <c r="D677" i="1"/>
  <c r="E677" i="1" s="1"/>
  <c r="D669" i="1"/>
  <c r="E669" i="1" s="1"/>
  <c r="D661" i="1"/>
  <c r="E661" i="1" s="1"/>
  <c r="D653" i="1"/>
  <c r="E653" i="1" s="1"/>
  <c r="D645" i="1"/>
  <c r="E645" i="1" s="1"/>
  <c r="D637" i="1"/>
  <c r="E637" i="1" s="1"/>
  <c r="D629" i="1"/>
  <c r="E629" i="1" s="1"/>
  <c r="D621" i="1"/>
  <c r="E621" i="1" s="1"/>
  <c r="D613" i="1"/>
  <c r="E613" i="1" s="1"/>
  <c r="D605" i="1"/>
  <c r="E605" i="1" s="1"/>
  <c r="D597" i="1"/>
  <c r="E597" i="1" s="1"/>
  <c r="D589" i="1"/>
  <c r="E589" i="1" s="1"/>
  <c r="D581" i="1"/>
  <c r="E581" i="1" s="1"/>
  <c r="D1412" i="1"/>
  <c r="E1412" i="1" s="1"/>
  <c r="D1404" i="1"/>
  <c r="E1404" i="1" s="1"/>
  <c r="D1396" i="1"/>
  <c r="E1396" i="1" s="1"/>
  <c r="D1388" i="1"/>
  <c r="E1388" i="1" s="1"/>
  <c r="D1380" i="1"/>
  <c r="E1380" i="1" s="1"/>
  <c r="D1372" i="1"/>
  <c r="E1372" i="1" s="1"/>
  <c r="D1364" i="1"/>
  <c r="E1364" i="1" s="1"/>
  <c r="D1356" i="1"/>
  <c r="E1356" i="1" s="1"/>
  <c r="D1348" i="1"/>
  <c r="E1348" i="1" s="1"/>
  <c r="D1340" i="1"/>
  <c r="E1340" i="1" s="1"/>
  <c r="D1332" i="1"/>
  <c r="E1332" i="1" s="1"/>
  <c r="D1324" i="1"/>
  <c r="E1324" i="1" s="1"/>
  <c r="D1316" i="1"/>
  <c r="E1316" i="1" s="1"/>
  <c r="D1308" i="1"/>
  <c r="E1308" i="1" s="1"/>
  <c r="D1300" i="1"/>
  <c r="E1300" i="1" s="1"/>
  <c r="D1292" i="1"/>
  <c r="E1292" i="1" s="1"/>
  <c r="D1284" i="1"/>
  <c r="E1284" i="1" s="1"/>
  <c r="D1276" i="1"/>
  <c r="E1276" i="1" s="1"/>
  <c r="D1268" i="1"/>
  <c r="E1268" i="1" s="1"/>
  <c r="D1260" i="1"/>
  <c r="E1260" i="1" s="1"/>
  <c r="D1252" i="1"/>
  <c r="E1252" i="1" s="1"/>
  <c r="D1244" i="1"/>
  <c r="E1244" i="1" s="1"/>
  <c r="D1236" i="1"/>
  <c r="E1236" i="1" s="1"/>
  <c r="D1228" i="1"/>
  <c r="E1228" i="1" s="1"/>
  <c r="D1220" i="1"/>
  <c r="E1220" i="1" s="1"/>
  <c r="D1212" i="1"/>
  <c r="E1212" i="1" s="1"/>
  <c r="D1204" i="1"/>
  <c r="E1204" i="1" s="1"/>
  <c r="D1196" i="1"/>
  <c r="E1196" i="1" s="1"/>
  <c r="D1188" i="1"/>
  <c r="E1188" i="1" s="1"/>
  <c r="D1180" i="1"/>
  <c r="E1180" i="1" s="1"/>
  <c r="D1172" i="1"/>
  <c r="E1172" i="1" s="1"/>
  <c r="D1164" i="1"/>
  <c r="E1164" i="1" s="1"/>
  <c r="D1156" i="1"/>
  <c r="E1156" i="1" s="1"/>
  <c r="D1148" i="1"/>
  <c r="E1148" i="1" s="1"/>
  <c r="D1140" i="1"/>
  <c r="E1140" i="1" s="1"/>
  <c r="D1132" i="1"/>
  <c r="E1132" i="1" s="1"/>
  <c r="D1124" i="1"/>
  <c r="E1124" i="1" s="1"/>
  <c r="D1116" i="1"/>
  <c r="E1116" i="1" s="1"/>
  <c r="D1108" i="1"/>
  <c r="E1108" i="1" s="1"/>
  <c r="D1100" i="1"/>
  <c r="E1100" i="1" s="1"/>
  <c r="D1092" i="1"/>
  <c r="E1092" i="1" s="1"/>
  <c r="D1084" i="1"/>
  <c r="E1084" i="1" s="1"/>
  <c r="D1076" i="1"/>
  <c r="E1076" i="1" s="1"/>
  <c r="D1068" i="1"/>
  <c r="E1068" i="1" s="1"/>
  <c r="D1060" i="1"/>
  <c r="E1060" i="1" s="1"/>
  <c r="D1052" i="1"/>
  <c r="E1052" i="1" s="1"/>
  <c r="D1044" i="1"/>
  <c r="E1044" i="1" s="1"/>
  <c r="D1036" i="1"/>
  <c r="E1036" i="1" s="1"/>
  <c r="D1028" i="1"/>
  <c r="E1028" i="1" s="1"/>
  <c r="D1020" i="1"/>
  <c r="E1020" i="1" s="1"/>
  <c r="D1012" i="1"/>
  <c r="E1012" i="1" s="1"/>
  <c r="D1004" i="1"/>
  <c r="E1004" i="1" s="1"/>
  <c r="D996" i="1"/>
  <c r="E996" i="1" s="1"/>
  <c r="D988" i="1"/>
  <c r="E988" i="1" s="1"/>
  <c r="D980" i="1"/>
  <c r="E980" i="1" s="1"/>
  <c r="D972" i="1"/>
  <c r="E972" i="1" s="1"/>
  <c r="D964" i="1"/>
  <c r="E964" i="1" s="1"/>
  <c r="D956" i="1"/>
  <c r="E956" i="1" s="1"/>
  <c r="D948" i="1"/>
  <c r="E948" i="1" s="1"/>
  <c r="D940" i="1"/>
  <c r="E940" i="1" s="1"/>
  <c r="D932" i="1"/>
  <c r="E932" i="1" s="1"/>
  <c r="D924" i="1"/>
  <c r="E924" i="1" s="1"/>
  <c r="D916" i="1"/>
  <c r="E916" i="1" s="1"/>
  <c r="D908" i="1"/>
  <c r="E908" i="1" s="1"/>
  <c r="D900" i="1"/>
  <c r="E900" i="1" s="1"/>
  <c r="D892" i="1"/>
  <c r="E892" i="1" s="1"/>
  <c r="D884" i="1"/>
  <c r="E884" i="1" s="1"/>
  <c r="D876" i="1"/>
  <c r="E876" i="1" s="1"/>
  <c r="D868" i="1"/>
  <c r="E868" i="1" s="1"/>
  <c r="D860" i="1"/>
  <c r="E860" i="1" s="1"/>
  <c r="D852" i="1"/>
  <c r="E852" i="1" s="1"/>
  <c r="D844" i="1"/>
  <c r="E844" i="1" s="1"/>
  <c r="D836" i="1"/>
  <c r="E836" i="1" s="1"/>
  <c r="D828" i="1"/>
  <c r="E828" i="1" s="1"/>
  <c r="D820" i="1"/>
  <c r="E820" i="1" s="1"/>
  <c r="D812" i="1"/>
  <c r="E812" i="1" s="1"/>
  <c r="D804" i="1"/>
  <c r="E804" i="1" s="1"/>
  <c r="D796" i="1"/>
  <c r="E796" i="1" s="1"/>
  <c r="D788" i="1"/>
  <c r="E788" i="1" s="1"/>
  <c r="D780" i="1"/>
  <c r="E780" i="1" s="1"/>
  <c r="D772" i="1"/>
  <c r="E772" i="1" s="1"/>
  <c r="D764" i="1"/>
  <c r="E764" i="1" s="1"/>
  <c r="D756" i="1"/>
  <c r="E756" i="1" s="1"/>
  <c r="D748" i="1"/>
  <c r="E748" i="1" s="1"/>
  <c r="D740" i="1"/>
  <c r="E740" i="1" s="1"/>
  <c r="D732" i="1"/>
  <c r="E732" i="1" s="1"/>
  <c r="D724" i="1"/>
  <c r="E724" i="1" s="1"/>
  <c r="D716" i="1"/>
  <c r="E716" i="1" s="1"/>
  <c r="D708" i="1"/>
  <c r="E708" i="1" s="1"/>
  <c r="D700" i="1"/>
  <c r="E700" i="1" s="1"/>
  <c r="D692" i="1"/>
  <c r="E692" i="1" s="1"/>
  <c r="D684" i="1"/>
  <c r="E684" i="1" s="1"/>
  <c r="D676" i="1"/>
  <c r="E676" i="1" s="1"/>
  <c r="D668" i="1"/>
  <c r="E668" i="1" s="1"/>
  <c r="D660" i="1"/>
  <c r="E660" i="1" s="1"/>
  <c r="D652" i="1"/>
  <c r="E652" i="1" s="1"/>
  <c r="D644" i="1"/>
  <c r="E644" i="1" s="1"/>
  <c r="D636" i="1"/>
  <c r="E636" i="1" s="1"/>
  <c r="D628" i="1"/>
  <c r="E628" i="1" s="1"/>
  <c r="D620" i="1"/>
  <c r="E620" i="1" s="1"/>
  <c r="D612" i="1"/>
  <c r="E612" i="1" s="1"/>
  <c r="D604" i="1"/>
  <c r="E604" i="1" s="1"/>
  <c r="D596" i="1"/>
  <c r="E596" i="1" s="1"/>
  <c r="D588" i="1"/>
  <c r="E588" i="1" s="1"/>
  <c r="D580" i="1"/>
  <c r="E580" i="1" s="1"/>
  <c r="D1259" i="1"/>
  <c r="E1259" i="1" s="1"/>
  <c r="D1251" i="1"/>
  <c r="E1251" i="1" s="1"/>
  <c r="D1243" i="1"/>
  <c r="E1243" i="1" s="1"/>
  <c r="D1235" i="1"/>
  <c r="E1235" i="1" s="1"/>
  <c r="D1227" i="1"/>
  <c r="E1227" i="1" s="1"/>
  <c r="D1219" i="1"/>
  <c r="E1219" i="1" s="1"/>
  <c r="D1211" i="1"/>
  <c r="E1211" i="1" s="1"/>
  <c r="D1203" i="1"/>
  <c r="E1203" i="1" s="1"/>
  <c r="D1195" i="1"/>
  <c r="E1195" i="1" s="1"/>
  <c r="D1187" i="1"/>
  <c r="E1187" i="1" s="1"/>
  <c r="D1179" i="1"/>
  <c r="E1179" i="1" s="1"/>
  <c r="D1171" i="1"/>
  <c r="E1171" i="1" s="1"/>
  <c r="D1163" i="1"/>
  <c r="E1163" i="1" s="1"/>
  <c r="D1155" i="1"/>
  <c r="E1155" i="1" s="1"/>
  <c r="D1147" i="1"/>
  <c r="E1147" i="1" s="1"/>
  <c r="D1139" i="1"/>
  <c r="E1139" i="1" s="1"/>
  <c r="D1131" i="1"/>
  <c r="E1131" i="1" s="1"/>
  <c r="D1123" i="1"/>
  <c r="E1123" i="1" s="1"/>
  <c r="D1115" i="1"/>
  <c r="E1115" i="1" s="1"/>
  <c r="D1107" i="1"/>
  <c r="E1107" i="1" s="1"/>
  <c r="D1099" i="1"/>
  <c r="E1099" i="1" s="1"/>
  <c r="D1091" i="1"/>
  <c r="E1091" i="1" s="1"/>
  <c r="D1083" i="1"/>
  <c r="E1083" i="1" s="1"/>
  <c r="D1075" i="1"/>
  <c r="E1075" i="1" s="1"/>
  <c r="D1067" i="1"/>
  <c r="E1067" i="1" s="1"/>
  <c r="D1059" i="1"/>
  <c r="E1059" i="1" s="1"/>
  <c r="D1051" i="1"/>
  <c r="E1051" i="1" s="1"/>
  <c r="D1043" i="1"/>
  <c r="E1043" i="1" s="1"/>
  <c r="D1035" i="1"/>
  <c r="E1035" i="1" s="1"/>
  <c r="D1027" i="1"/>
  <c r="E1027" i="1" s="1"/>
  <c r="D1019" i="1"/>
  <c r="E1019" i="1" s="1"/>
  <c r="D1011" i="1"/>
  <c r="E1011" i="1" s="1"/>
  <c r="D1003" i="1"/>
  <c r="E1003" i="1" s="1"/>
  <c r="D995" i="1"/>
  <c r="E995" i="1" s="1"/>
  <c r="D987" i="1"/>
  <c r="E987" i="1" s="1"/>
  <c r="D979" i="1"/>
  <c r="E979" i="1" s="1"/>
  <c r="D971" i="1"/>
  <c r="E971" i="1" s="1"/>
  <c r="D963" i="1"/>
  <c r="E963" i="1" s="1"/>
  <c r="D955" i="1"/>
  <c r="E955" i="1" s="1"/>
  <c r="D947" i="1"/>
  <c r="E947" i="1" s="1"/>
  <c r="D939" i="1"/>
  <c r="E939" i="1" s="1"/>
  <c r="D931" i="1"/>
  <c r="E931" i="1" s="1"/>
  <c r="D923" i="1"/>
  <c r="E923" i="1" s="1"/>
  <c r="D915" i="1"/>
  <c r="E915" i="1" s="1"/>
  <c r="D907" i="1"/>
  <c r="E907" i="1" s="1"/>
  <c r="D899" i="1"/>
  <c r="E899" i="1" s="1"/>
  <c r="D891" i="1"/>
  <c r="E891" i="1" s="1"/>
  <c r="D883" i="1"/>
  <c r="E883" i="1" s="1"/>
  <c r="D875" i="1"/>
  <c r="E875" i="1" s="1"/>
  <c r="D867" i="1"/>
  <c r="E867" i="1" s="1"/>
  <c r="D859" i="1"/>
  <c r="E859" i="1" s="1"/>
  <c r="D851" i="1"/>
  <c r="E851" i="1" s="1"/>
  <c r="D843" i="1"/>
  <c r="E843" i="1" s="1"/>
  <c r="D835" i="1"/>
  <c r="E835" i="1" s="1"/>
  <c r="D827" i="1"/>
  <c r="E827" i="1" s="1"/>
  <c r="D819" i="1"/>
  <c r="E819" i="1" s="1"/>
  <c r="D811" i="1"/>
  <c r="E811" i="1" s="1"/>
  <c r="D803" i="1"/>
  <c r="E803" i="1" s="1"/>
  <c r="D795" i="1"/>
  <c r="E795" i="1" s="1"/>
  <c r="D787" i="1"/>
  <c r="E787" i="1" s="1"/>
  <c r="D779" i="1"/>
  <c r="E779" i="1" s="1"/>
  <c r="D771" i="1"/>
  <c r="E771" i="1" s="1"/>
  <c r="D763" i="1"/>
  <c r="E763" i="1" s="1"/>
  <c r="D755" i="1"/>
  <c r="E755" i="1" s="1"/>
  <c r="D747" i="1"/>
  <c r="E747" i="1" s="1"/>
  <c r="D731" i="1"/>
  <c r="E731" i="1" s="1"/>
  <c r="D723" i="1"/>
  <c r="E723" i="1" s="1"/>
  <c r="D715" i="1"/>
  <c r="E715" i="1" s="1"/>
  <c r="D707" i="1"/>
  <c r="E707" i="1" s="1"/>
  <c r="D699" i="1"/>
  <c r="E699" i="1" s="1"/>
  <c r="D691" i="1"/>
  <c r="E691" i="1" s="1"/>
  <c r="D683" i="1"/>
  <c r="E683" i="1" s="1"/>
  <c r="D667" i="1"/>
  <c r="E667" i="1" s="1"/>
  <c r="D659" i="1"/>
  <c r="E659" i="1" s="1"/>
  <c r="D651" i="1"/>
  <c r="E651" i="1" s="1"/>
  <c r="D643" i="1"/>
  <c r="E643" i="1" s="1"/>
  <c r="D635" i="1"/>
  <c r="E635" i="1" s="1"/>
  <c r="D627" i="1"/>
  <c r="E627" i="1" s="1"/>
  <c r="D619" i="1"/>
  <c r="E619" i="1" s="1"/>
  <c r="D611" i="1"/>
  <c r="E611" i="1" s="1"/>
  <c r="D603" i="1"/>
  <c r="E603" i="1" s="1"/>
  <c r="D595" i="1"/>
  <c r="E595" i="1" s="1"/>
  <c r="D587" i="1"/>
  <c r="E587" i="1" s="1"/>
  <c r="D579" i="1"/>
  <c r="E579" i="1" s="1"/>
  <c r="D882" i="1"/>
  <c r="E882" i="1" s="1"/>
  <c r="D874" i="1"/>
  <c r="E874" i="1" s="1"/>
  <c r="D866" i="1"/>
  <c r="E866" i="1" s="1"/>
  <c r="D858" i="1"/>
  <c r="E858" i="1" s="1"/>
  <c r="D850" i="1"/>
  <c r="E850" i="1" s="1"/>
  <c r="D842" i="1"/>
  <c r="E842" i="1" s="1"/>
  <c r="D834" i="1"/>
  <c r="E834" i="1" s="1"/>
  <c r="D826" i="1"/>
  <c r="E826" i="1" s="1"/>
  <c r="D818" i="1"/>
  <c r="E818" i="1" s="1"/>
  <c r="D810" i="1"/>
  <c r="E810" i="1" s="1"/>
  <c r="D802" i="1"/>
  <c r="E802" i="1" s="1"/>
  <c r="D794" i="1"/>
  <c r="E794" i="1" s="1"/>
  <c r="D786" i="1"/>
  <c r="E786" i="1" s="1"/>
  <c r="D778" i="1"/>
  <c r="E778" i="1" s="1"/>
  <c r="D770" i="1"/>
  <c r="E770" i="1" s="1"/>
  <c r="D762" i="1"/>
  <c r="E762" i="1" s="1"/>
  <c r="D754" i="1"/>
  <c r="E754" i="1" s="1"/>
  <c r="D746" i="1"/>
  <c r="E746" i="1" s="1"/>
  <c r="D738" i="1"/>
  <c r="E738" i="1" s="1"/>
  <c r="D730" i="1"/>
  <c r="E730" i="1" s="1"/>
  <c r="D722" i="1"/>
  <c r="E722" i="1" s="1"/>
  <c r="D714" i="1"/>
  <c r="E714" i="1" s="1"/>
  <c r="D706" i="1"/>
  <c r="E706" i="1" s="1"/>
  <c r="D698" i="1"/>
  <c r="E698" i="1" s="1"/>
  <c r="D690" i="1"/>
  <c r="E690" i="1" s="1"/>
  <c r="D682" i="1"/>
  <c r="E682" i="1" s="1"/>
  <c r="D674" i="1"/>
  <c r="E674" i="1" s="1"/>
  <c r="D666" i="1"/>
  <c r="E666" i="1" s="1"/>
  <c r="D658" i="1"/>
  <c r="E658" i="1" s="1"/>
  <c r="D650" i="1"/>
  <c r="E650" i="1" s="1"/>
  <c r="D642" i="1"/>
  <c r="E642" i="1" s="1"/>
  <c r="D634" i="1"/>
  <c r="E634" i="1" s="1"/>
  <c r="D626" i="1"/>
  <c r="E626" i="1" s="1"/>
  <c r="D618" i="1"/>
  <c r="E618" i="1" s="1"/>
  <c r="D610" i="1"/>
  <c r="E610" i="1" s="1"/>
  <c r="D602" i="1"/>
  <c r="E602" i="1" s="1"/>
  <c r="D594" i="1"/>
  <c r="E594" i="1" s="1"/>
  <c r="D586" i="1"/>
  <c r="E586" i="1" s="1"/>
  <c r="D578" i="1"/>
  <c r="E578" i="1" s="1"/>
  <c r="D1241" i="1"/>
  <c r="E1241" i="1" s="1"/>
  <c r="D1233" i="1"/>
  <c r="E1233" i="1" s="1"/>
  <c r="D1225" i="1"/>
  <c r="E1225" i="1" s="1"/>
  <c r="D1217" i="1"/>
  <c r="E1217" i="1" s="1"/>
  <c r="D1209" i="1"/>
  <c r="E1209" i="1" s="1"/>
  <c r="D1201" i="1"/>
  <c r="E1201" i="1" s="1"/>
  <c r="D1193" i="1"/>
  <c r="E1193" i="1" s="1"/>
  <c r="D1185" i="1"/>
  <c r="E1185" i="1" s="1"/>
  <c r="D1177" i="1"/>
  <c r="E1177" i="1" s="1"/>
  <c r="D1169" i="1"/>
  <c r="E1169" i="1" s="1"/>
  <c r="D1161" i="1"/>
  <c r="E1161" i="1" s="1"/>
  <c r="D1153" i="1"/>
  <c r="E1153" i="1" s="1"/>
  <c r="D1145" i="1"/>
  <c r="E1145" i="1" s="1"/>
  <c r="D1137" i="1"/>
  <c r="E1137" i="1" s="1"/>
  <c r="D1129" i="1"/>
  <c r="E1129" i="1" s="1"/>
  <c r="D1121" i="1"/>
  <c r="E1121" i="1" s="1"/>
  <c r="D1113" i="1"/>
  <c r="E1113" i="1" s="1"/>
  <c r="D1105" i="1"/>
  <c r="E1105" i="1" s="1"/>
  <c r="D1097" i="1"/>
  <c r="E1097" i="1" s="1"/>
  <c r="D1089" i="1"/>
  <c r="E1089" i="1" s="1"/>
  <c r="D1081" i="1"/>
  <c r="E1081" i="1" s="1"/>
  <c r="D1073" i="1"/>
  <c r="E1073" i="1" s="1"/>
  <c r="D1065" i="1"/>
  <c r="E1065" i="1" s="1"/>
  <c r="D1057" i="1"/>
  <c r="E1057" i="1" s="1"/>
  <c r="D1049" i="1"/>
  <c r="E1049" i="1" s="1"/>
  <c r="D1041" i="1"/>
  <c r="E1041" i="1" s="1"/>
  <c r="D1033" i="1"/>
  <c r="E1033" i="1" s="1"/>
  <c r="D1025" i="1"/>
  <c r="E1025" i="1" s="1"/>
  <c r="D1017" i="1"/>
  <c r="E1017" i="1" s="1"/>
  <c r="D1009" i="1"/>
  <c r="E1009" i="1" s="1"/>
  <c r="D1001" i="1"/>
  <c r="E1001" i="1" s="1"/>
  <c r="D993" i="1"/>
  <c r="E993" i="1" s="1"/>
  <c r="D985" i="1"/>
  <c r="E985" i="1" s="1"/>
  <c r="D977" i="1"/>
  <c r="E977" i="1" s="1"/>
  <c r="D969" i="1"/>
  <c r="E969" i="1" s="1"/>
  <c r="D961" i="1"/>
  <c r="E961" i="1" s="1"/>
  <c r="D953" i="1"/>
  <c r="E953" i="1" s="1"/>
  <c r="D945" i="1"/>
  <c r="E945" i="1" s="1"/>
  <c r="D937" i="1"/>
  <c r="E937" i="1" s="1"/>
  <c r="D929" i="1"/>
  <c r="E929" i="1" s="1"/>
  <c r="D921" i="1"/>
  <c r="E921" i="1" s="1"/>
  <c r="D913" i="1"/>
  <c r="E913" i="1" s="1"/>
  <c r="D905" i="1"/>
  <c r="E905" i="1" s="1"/>
  <c r="D897" i="1"/>
  <c r="E897" i="1" s="1"/>
  <c r="D889" i="1"/>
  <c r="E889" i="1" s="1"/>
  <c r="D881" i="1"/>
  <c r="E881" i="1" s="1"/>
  <c r="D873" i="1"/>
  <c r="E873" i="1" s="1"/>
  <c r="D865" i="1"/>
  <c r="E865" i="1" s="1"/>
  <c r="D857" i="1"/>
  <c r="E857" i="1" s="1"/>
  <c r="D849" i="1"/>
  <c r="E849" i="1" s="1"/>
  <c r="D841" i="1"/>
  <c r="E841" i="1" s="1"/>
  <c r="D833" i="1"/>
  <c r="E833" i="1" s="1"/>
  <c r="D825" i="1"/>
  <c r="E825" i="1" s="1"/>
  <c r="D817" i="1"/>
  <c r="E817" i="1" s="1"/>
  <c r="D809" i="1"/>
  <c r="E809" i="1" s="1"/>
  <c r="D801" i="1"/>
  <c r="E801" i="1" s="1"/>
  <c r="D793" i="1"/>
  <c r="E793" i="1" s="1"/>
  <c r="D785" i="1"/>
  <c r="E785" i="1" s="1"/>
  <c r="D777" i="1"/>
  <c r="E777" i="1" s="1"/>
  <c r="D769" i="1"/>
  <c r="E769" i="1" s="1"/>
  <c r="D761" i="1"/>
  <c r="E761" i="1" s="1"/>
  <c r="D753" i="1"/>
  <c r="E753" i="1" s="1"/>
  <c r="D745" i="1"/>
  <c r="E745" i="1" s="1"/>
  <c r="D737" i="1"/>
  <c r="E737" i="1" s="1"/>
  <c r="D729" i="1"/>
  <c r="E729" i="1" s="1"/>
  <c r="D721" i="1"/>
  <c r="E721" i="1" s="1"/>
  <c r="D713" i="1"/>
  <c r="E713" i="1" s="1"/>
  <c r="D705" i="1"/>
  <c r="E705" i="1" s="1"/>
  <c r="D697" i="1"/>
  <c r="E697" i="1" s="1"/>
  <c r="D689" i="1"/>
  <c r="E689" i="1" s="1"/>
  <c r="D681" i="1"/>
  <c r="E681" i="1" s="1"/>
  <c r="D673" i="1"/>
  <c r="E673" i="1" s="1"/>
  <c r="D665" i="1"/>
  <c r="E665" i="1" s="1"/>
  <c r="D657" i="1"/>
  <c r="E657" i="1" s="1"/>
  <c r="D649" i="1"/>
  <c r="E649" i="1" s="1"/>
  <c r="D641" i="1"/>
  <c r="E641" i="1" s="1"/>
  <c r="D633" i="1"/>
  <c r="E633" i="1" s="1"/>
  <c r="D625" i="1"/>
  <c r="E625" i="1" s="1"/>
  <c r="D617" i="1"/>
  <c r="E617" i="1" s="1"/>
  <c r="D609" i="1"/>
  <c r="E609" i="1" s="1"/>
  <c r="D601" i="1"/>
  <c r="E601" i="1" s="1"/>
  <c r="D593" i="1"/>
  <c r="E593" i="1" s="1"/>
  <c r="D585" i="1"/>
  <c r="E585" i="1" s="1"/>
  <c r="D577" i="1"/>
  <c r="E577" i="1" s="1"/>
  <c r="D1232" i="1"/>
  <c r="E1232" i="1" s="1"/>
  <c r="D1224" i="1"/>
  <c r="E1224" i="1" s="1"/>
  <c r="D1216" i="1"/>
  <c r="E1216" i="1" s="1"/>
  <c r="D1208" i="1"/>
  <c r="E1208" i="1" s="1"/>
  <c r="D1200" i="1"/>
  <c r="E1200" i="1" s="1"/>
  <c r="D1192" i="1"/>
  <c r="E1192" i="1" s="1"/>
  <c r="D1184" i="1"/>
  <c r="E1184" i="1" s="1"/>
  <c r="D1176" i="1"/>
  <c r="E1176" i="1" s="1"/>
  <c r="D1168" i="1"/>
  <c r="E1168" i="1" s="1"/>
  <c r="D1160" i="1"/>
  <c r="E1160" i="1" s="1"/>
  <c r="D1152" i="1"/>
  <c r="E1152" i="1" s="1"/>
  <c r="D1144" i="1"/>
  <c r="E1144" i="1" s="1"/>
  <c r="D1136" i="1"/>
  <c r="E1136" i="1" s="1"/>
  <c r="D1128" i="1"/>
  <c r="E1128" i="1" s="1"/>
  <c r="D1120" i="1"/>
  <c r="E1120" i="1" s="1"/>
  <c r="D1112" i="1"/>
  <c r="E1112" i="1" s="1"/>
  <c r="D1104" i="1"/>
  <c r="E1104" i="1" s="1"/>
  <c r="D1096" i="1"/>
  <c r="E1096" i="1" s="1"/>
  <c r="D1088" i="1"/>
  <c r="E1088" i="1" s="1"/>
  <c r="D1080" i="1"/>
  <c r="E1080" i="1" s="1"/>
  <c r="D1072" i="1"/>
  <c r="E1072" i="1" s="1"/>
  <c r="D1064" i="1"/>
  <c r="E1064" i="1" s="1"/>
  <c r="D1056" i="1"/>
  <c r="E1056" i="1" s="1"/>
  <c r="D1048" i="1"/>
  <c r="E1048" i="1" s="1"/>
  <c r="D1040" i="1"/>
  <c r="E1040" i="1" s="1"/>
  <c r="D1032" i="1"/>
  <c r="E1032" i="1" s="1"/>
  <c r="D1024" i="1"/>
  <c r="E1024" i="1" s="1"/>
  <c r="D1016" i="1"/>
  <c r="E1016" i="1" s="1"/>
  <c r="D1008" i="1"/>
  <c r="E1008" i="1" s="1"/>
  <c r="D1000" i="1"/>
  <c r="E1000" i="1" s="1"/>
  <c r="D992" i="1"/>
  <c r="E992" i="1" s="1"/>
  <c r="D984" i="1"/>
  <c r="E984" i="1" s="1"/>
  <c r="D976" i="1"/>
  <c r="E976" i="1" s="1"/>
  <c r="D968" i="1"/>
  <c r="E968" i="1" s="1"/>
  <c r="D960" i="1"/>
  <c r="E960" i="1" s="1"/>
  <c r="D952" i="1"/>
  <c r="E952" i="1" s="1"/>
  <c r="D944" i="1"/>
  <c r="E944" i="1" s="1"/>
  <c r="D936" i="1"/>
  <c r="E936" i="1" s="1"/>
  <c r="D928" i="1"/>
  <c r="E928" i="1" s="1"/>
  <c r="D920" i="1"/>
  <c r="E920" i="1" s="1"/>
  <c r="D912" i="1"/>
  <c r="E912" i="1" s="1"/>
  <c r="D904" i="1"/>
  <c r="E904" i="1" s="1"/>
  <c r="D896" i="1"/>
  <c r="E896" i="1" s="1"/>
  <c r="D888" i="1"/>
  <c r="E888" i="1" s="1"/>
  <c r="D880" i="1"/>
  <c r="E880" i="1" s="1"/>
  <c r="D872" i="1"/>
  <c r="E872" i="1" s="1"/>
  <c r="D864" i="1"/>
  <c r="E864" i="1" s="1"/>
  <c r="D856" i="1"/>
  <c r="E856" i="1" s="1"/>
  <c r="D848" i="1"/>
  <c r="E848" i="1" s="1"/>
  <c r="D840" i="1"/>
  <c r="E840" i="1" s="1"/>
  <c r="D832" i="1"/>
  <c r="E832" i="1" s="1"/>
  <c r="D824" i="1"/>
  <c r="E824" i="1" s="1"/>
  <c r="D816" i="1"/>
  <c r="E816" i="1" s="1"/>
  <c r="D808" i="1"/>
  <c r="E808" i="1" s="1"/>
  <c r="D800" i="1"/>
  <c r="E800" i="1" s="1"/>
  <c r="D792" i="1"/>
  <c r="E792" i="1" s="1"/>
  <c r="D784" i="1"/>
  <c r="E784" i="1" s="1"/>
  <c r="D776" i="1"/>
  <c r="E776" i="1" s="1"/>
  <c r="D768" i="1"/>
  <c r="E768" i="1" s="1"/>
  <c r="D760" i="1"/>
  <c r="E760" i="1" s="1"/>
  <c r="D752" i="1"/>
  <c r="E752" i="1" s="1"/>
  <c r="D744" i="1"/>
  <c r="E744" i="1" s="1"/>
  <c r="D736" i="1"/>
  <c r="E736" i="1" s="1"/>
  <c r="D728" i="1"/>
  <c r="E728" i="1" s="1"/>
  <c r="D720" i="1"/>
  <c r="E720" i="1" s="1"/>
  <c r="D712" i="1"/>
  <c r="E712" i="1" s="1"/>
  <c r="D704" i="1"/>
  <c r="E704" i="1" s="1"/>
  <c r="D696" i="1"/>
  <c r="E696" i="1" s="1"/>
  <c r="D688" i="1"/>
  <c r="E688" i="1" s="1"/>
  <c r="D680" i="1"/>
  <c r="E680" i="1" s="1"/>
  <c r="D672" i="1"/>
  <c r="E672" i="1" s="1"/>
  <c r="D664" i="1"/>
  <c r="E664" i="1" s="1"/>
  <c r="D656" i="1"/>
  <c r="E656" i="1" s="1"/>
  <c r="D648" i="1"/>
  <c r="E648" i="1" s="1"/>
  <c r="D640" i="1"/>
  <c r="E640" i="1" s="1"/>
  <c r="D632" i="1"/>
  <c r="E632" i="1" s="1"/>
  <c r="D624" i="1"/>
  <c r="E624" i="1" s="1"/>
  <c r="D616" i="1"/>
  <c r="E616" i="1" s="1"/>
  <c r="D608" i="1"/>
  <c r="E608" i="1" s="1"/>
  <c r="D600" i="1"/>
  <c r="E600" i="1" s="1"/>
  <c r="D592" i="1"/>
  <c r="E592" i="1" s="1"/>
  <c r="D584" i="1"/>
  <c r="E584" i="1" s="1"/>
  <c r="D576" i="1"/>
  <c r="E576" i="1" s="1"/>
  <c r="D29" i="1"/>
  <c r="E29" i="1" s="1"/>
  <c r="D185" i="1"/>
  <c r="E185" i="1" s="1"/>
  <c r="D164" i="1"/>
  <c r="E164" i="1" s="1"/>
  <c r="D144" i="1"/>
  <c r="E144" i="1" s="1"/>
  <c r="D137" i="1"/>
  <c r="E137" i="1" s="1"/>
  <c r="D80" i="1"/>
  <c r="E80" i="1" s="1"/>
  <c r="D38" i="1"/>
  <c r="E38" i="1" s="1"/>
  <c r="D569" i="1"/>
  <c r="E569" i="1" s="1"/>
  <c r="D561" i="1"/>
  <c r="E561" i="1" s="1"/>
  <c r="D553" i="1"/>
  <c r="E553" i="1" s="1"/>
  <c r="D545" i="1"/>
  <c r="E545" i="1" s="1"/>
  <c r="D537" i="1"/>
  <c r="E537" i="1" s="1"/>
  <c r="D529" i="1"/>
  <c r="E529" i="1" s="1"/>
  <c r="D521" i="1"/>
  <c r="E521" i="1" s="1"/>
  <c r="D513" i="1"/>
  <c r="E513" i="1" s="1"/>
  <c r="D505" i="1"/>
  <c r="E505" i="1" s="1"/>
  <c r="D497" i="1"/>
  <c r="E497" i="1" s="1"/>
  <c r="D489" i="1"/>
  <c r="E489" i="1" s="1"/>
  <c r="D481" i="1"/>
  <c r="E481" i="1" s="1"/>
  <c r="D473" i="1"/>
  <c r="E473" i="1" s="1"/>
  <c r="D465" i="1"/>
  <c r="E465" i="1" s="1"/>
  <c r="D457" i="1"/>
  <c r="E457" i="1" s="1"/>
  <c r="D449" i="1"/>
  <c r="E449" i="1" s="1"/>
  <c r="D441" i="1"/>
  <c r="E441" i="1" s="1"/>
  <c r="D433" i="1"/>
  <c r="E433" i="1" s="1"/>
  <c r="D425" i="1"/>
  <c r="E425" i="1" s="1"/>
  <c r="D276" i="1"/>
  <c r="E276" i="1" s="1"/>
  <c r="D268" i="1"/>
  <c r="E268" i="1" s="1"/>
  <c r="D260" i="1"/>
  <c r="E260" i="1" s="1"/>
  <c r="D252" i="1"/>
  <c r="E252" i="1" s="1"/>
  <c r="D244" i="1"/>
  <c r="E244" i="1" s="1"/>
  <c r="D236" i="1"/>
  <c r="E236" i="1" s="1"/>
  <c r="D571" i="1"/>
  <c r="E571" i="1" s="1"/>
  <c r="D567" i="1"/>
  <c r="E567" i="1" s="1"/>
  <c r="D563" i="1"/>
  <c r="E563" i="1" s="1"/>
  <c r="D559" i="1"/>
  <c r="E559" i="1" s="1"/>
  <c r="D555" i="1"/>
  <c r="E555" i="1" s="1"/>
  <c r="D551" i="1"/>
  <c r="E551" i="1" s="1"/>
  <c r="D547" i="1"/>
  <c r="E547" i="1" s="1"/>
  <c r="D543" i="1"/>
  <c r="E543" i="1" s="1"/>
  <c r="D539" i="1"/>
  <c r="E539" i="1" s="1"/>
  <c r="D535" i="1"/>
  <c r="E535" i="1" s="1"/>
  <c r="D531" i="1"/>
  <c r="E531" i="1" s="1"/>
  <c r="D527" i="1"/>
  <c r="E527" i="1" s="1"/>
  <c r="D523" i="1"/>
  <c r="E523" i="1" s="1"/>
  <c r="D519" i="1"/>
  <c r="E519" i="1" s="1"/>
  <c r="D515" i="1"/>
  <c r="E515" i="1" s="1"/>
  <c r="D511" i="1"/>
  <c r="E511" i="1" s="1"/>
  <c r="D507" i="1"/>
  <c r="E507" i="1" s="1"/>
  <c r="D503" i="1"/>
  <c r="E503" i="1" s="1"/>
  <c r="D499" i="1"/>
  <c r="E499" i="1" s="1"/>
  <c r="D495" i="1"/>
  <c r="E495" i="1" s="1"/>
  <c r="D475" i="1"/>
  <c r="E475" i="1" s="1"/>
  <c r="D443" i="1"/>
  <c r="E443" i="1" s="1"/>
  <c r="D418" i="1"/>
  <c r="E418" i="1" s="1"/>
  <c r="D407" i="1"/>
  <c r="E407" i="1" s="1"/>
  <c r="D402" i="1"/>
  <c r="E402" i="1" s="1"/>
  <c r="D391" i="1"/>
  <c r="E391" i="1" s="1"/>
  <c r="D386" i="1"/>
  <c r="E386" i="1" s="1"/>
  <c r="D375" i="1"/>
  <c r="E375" i="1" s="1"/>
  <c r="D366" i="1"/>
  <c r="E366" i="1" s="1"/>
  <c r="D357" i="1"/>
  <c r="E357" i="1" s="1"/>
  <c r="D343" i="1"/>
  <c r="E343" i="1" s="1"/>
  <c r="D334" i="1"/>
  <c r="E334" i="1" s="1"/>
  <c r="D325" i="1"/>
  <c r="E325" i="1" s="1"/>
  <c r="D311" i="1"/>
  <c r="E311" i="1" s="1"/>
  <c r="D302" i="1"/>
  <c r="E302" i="1" s="1"/>
  <c r="D293" i="1"/>
  <c r="E293" i="1" s="1"/>
  <c r="D566" i="1"/>
  <c r="E566" i="1" s="1"/>
  <c r="D558" i="1"/>
  <c r="E558" i="1" s="1"/>
  <c r="D550" i="1"/>
  <c r="E550" i="1" s="1"/>
  <c r="D542" i="1"/>
  <c r="E542" i="1" s="1"/>
  <c r="D534" i="1"/>
  <c r="E534" i="1" s="1"/>
  <c r="D526" i="1"/>
  <c r="E526" i="1" s="1"/>
  <c r="D518" i="1"/>
  <c r="E518" i="1" s="1"/>
  <c r="D510" i="1"/>
  <c r="E510" i="1" s="1"/>
  <c r="D502" i="1"/>
  <c r="E502" i="1" s="1"/>
  <c r="D494" i="1"/>
  <c r="E494" i="1" s="1"/>
  <c r="D487" i="1"/>
  <c r="E487" i="1" s="1"/>
  <c r="D462" i="1"/>
  <c r="E462" i="1" s="1"/>
  <c r="D455" i="1"/>
  <c r="E455" i="1" s="1"/>
  <c r="D430" i="1"/>
  <c r="E430" i="1" s="1"/>
  <c r="D423" i="1"/>
  <c r="E423" i="1" s="1"/>
  <c r="D417" i="1"/>
  <c r="E417" i="1" s="1"/>
  <c r="D401" i="1"/>
  <c r="E401" i="1" s="1"/>
  <c r="D385" i="1"/>
  <c r="E385" i="1" s="1"/>
  <c r="D370" i="1"/>
  <c r="E370" i="1" s="1"/>
  <c r="D361" i="1"/>
  <c r="E361" i="1" s="1"/>
  <c r="D347" i="1"/>
  <c r="E347" i="1" s="1"/>
  <c r="D338" i="1"/>
  <c r="E338" i="1" s="1"/>
  <c r="D467" i="1"/>
  <c r="E467" i="1" s="1"/>
  <c r="D435" i="1"/>
  <c r="E435" i="1" s="1"/>
  <c r="D411" i="1"/>
  <c r="E411" i="1" s="1"/>
  <c r="D406" i="1"/>
  <c r="E406" i="1" s="1"/>
  <c r="D395" i="1"/>
  <c r="E395" i="1" s="1"/>
  <c r="D390" i="1"/>
  <c r="E390" i="1" s="1"/>
  <c r="D379" i="1"/>
  <c r="E379" i="1" s="1"/>
  <c r="D374" i="1"/>
  <c r="E374" i="1" s="1"/>
  <c r="D365" i="1"/>
  <c r="E365" i="1" s="1"/>
  <c r="D351" i="1"/>
  <c r="E351" i="1" s="1"/>
  <c r="D342" i="1"/>
  <c r="E342" i="1" s="1"/>
  <c r="D333" i="1"/>
  <c r="E333" i="1" s="1"/>
  <c r="D319" i="1"/>
  <c r="E319" i="1" s="1"/>
  <c r="D310" i="1"/>
  <c r="E310" i="1" s="1"/>
  <c r="D301" i="1"/>
  <c r="E301" i="1" s="1"/>
  <c r="D287" i="1"/>
  <c r="E287" i="1" s="1"/>
  <c r="D278" i="1"/>
  <c r="E278" i="1" s="1"/>
  <c r="D269" i="1"/>
  <c r="E269" i="1" s="1"/>
  <c r="D255" i="1"/>
  <c r="E255" i="1" s="1"/>
  <c r="D246" i="1"/>
  <c r="E246" i="1" s="1"/>
  <c r="D237" i="1"/>
  <c r="E237" i="1" s="1"/>
  <c r="D478" i="1"/>
  <c r="E478" i="1" s="1"/>
  <c r="D471" i="1"/>
  <c r="E471" i="1" s="1"/>
  <c r="D446" i="1"/>
  <c r="E446" i="1" s="1"/>
  <c r="D439" i="1"/>
  <c r="E439" i="1" s="1"/>
  <c r="D479" i="1"/>
  <c r="E479" i="1" s="1"/>
  <c r="D454" i="1"/>
  <c r="E454" i="1" s="1"/>
  <c r="D419" i="1"/>
  <c r="E419" i="1" s="1"/>
  <c r="D410" i="1"/>
  <c r="E410" i="1" s="1"/>
  <c r="D393" i="1"/>
  <c r="E393" i="1" s="1"/>
  <c r="D362" i="1"/>
  <c r="E362" i="1" s="1"/>
  <c r="D354" i="1"/>
  <c r="E354" i="1" s="1"/>
  <c r="D346" i="1"/>
  <c r="E346" i="1" s="1"/>
  <c r="D326" i="1"/>
  <c r="E326" i="1" s="1"/>
  <c r="D295" i="1"/>
  <c r="E295" i="1" s="1"/>
  <c r="D279" i="1"/>
  <c r="E279" i="1" s="1"/>
  <c r="D274" i="1"/>
  <c r="E274" i="1" s="1"/>
  <c r="D263" i="1"/>
  <c r="E263" i="1" s="1"/>
  <c r="D258" i="1"/>
  <c r="E258" i="1" s="1"/>
  <c r="D253" i="1"/>
  <c r="E253" i="1" s="1"/>
  <c r="D223" i="1"/>
  <c r="E223" i="1" s="1"/>
  <c r="D214" i="1"/>
  <c r="E214" i="1" s="1"/>
  <c r="D205" i="1"/>
  <c r="E205" i="1" s="1"/>
  <c r="D191" i="1"/>
  <c r="E191" i="1" s="1"/>
  <c r="D182" i="1"/>
  <c r="E182" i="1" s="1"/>
  <c r="D173" i="1"/>
  <c r="E173" i="1" s="1"/>
  <c r="D159" i="1"/>
  <c r="E159" i="1" s="1"/>
  <c r="D155" i="1"/>
  <c r="E155" i="1" s="1"/>
  <c r="D151" i="1"/>
  <c r="E151" i="1" s="1"/>
  <c r="D147" i="1"/>
  <c r="E147" i="1" s="1"/>
  <c r="D143" i="1"/>
  <c r="E143" i="1" s="1"/>
  <c r="D139" i="1"/>
  <c r="E139" i="1" s="1"/>
  <c r="D135" i="1"/>
  <c r="E135" i="1" s="1"/>
  <c r="D131" i="1"/>
  <c r="E131" i="1" s="1"/>
  <c r="D127" i="1"/>
  <c r="E127" i="1" s="1"/>
  <c r="D123" i="1"/>
  <c r="E123" i="1" s="1"/>
  <c r="D119" i="1"/>
  <c r="E119" i="1" s="1"/>
  <c r="D115" i="1"/>
  <c r="E115" i="1" s="1"/>
  <c r="D111" i="1"/>
  <c r="E111" i="1" s="1"/>
  <c r="D107" i="1"/>
  <c r="E107" i="1" s="1"/>
  <c r="D103" i="1"/>
  <c r="E103" i="1" s="1"/>
  <c r="D99" i="1"/>
  <c r="E99" i="1" s="1"/>
  <c r="D95" i="1"/>
  <c r="E95" i="1" s="1"/>
  <c r="D91" i="1"/>
  <c r="E91" i="1" s="1"/>
  <c r="D87" i="1"/>
  <c r="E87" i="1" s="1"/>
  <c r="D83" i="1"/>
  <c r="E83" i="1" s="1"/>
  <c r="D79" i="1"/>
  <c r="E79" i="1" s="1"/>
  <c r="D75" i="1"/>
  <c r="E75" i="1" s="1"/>
  <c r="D71" i="1"/>
  <c r="E71" i="1" s="1"/>
  <c r="D67" i="1"/>
  <c r="E67" i="1" s="1"/>
  <c r="D63" i="1"/>
  <c r="E63" i="1" s="1"/>
  <c r="D59" i="1"/>
  <c r="E59" i="1" s="1"/>
  <c r="D55" i="1"/>
  <c r="E55" i="1" s="1"/>
  <c r="D51" i="1"/>
  <c r="E51" i="1" s="1"/>
  <c r="D47" i="1"/>
  <c r="E47" i="1" s="1"/>
  <c r="D43" i="1"/>
  <c r="E43" i="1" s="1"/>
  <c r="D39" i="1"/>
  <c r="E39" i="1" s="1"/>
  <c r="D35" i="1"/>
  <c r="E35" i="1" s="1"/>
  <c r="D31" i="1"/>
  <c r="E31" i="1" s="1"/>
  <c r="D27" i="1"/>
  <c r="E27" i="1" s="1"/>
  <c r="D23" i="1"/>
  <c r="E23" i="1" s="1"/>
  <c r="D19" i="1"/>
  <c r="E19" i="1" s="1"/>
  <c r="D16" i="1"/>
  <c r="E16" i="1" s="1"/>
  <c r="D9" i="1"/>
  <c r="E9" i="1" s="1"/>
  <c r="D6" i="1"/>
  <c r="E6" i="1" s="1"/>
  <c r="D491" i="1"/>
  <c r="E491" i="1" s="1"/>
  <c r="D427" i="1"/>
  <c r="E427" i="1" s="1"/>
  <c r="D409" i="1"/>
  <c r="E409" i="1" s="1"/>
  <c r="D383" i="1"/>
  <c r="E383" i="1" s="1"/>
  <c r="D339" i="1"/>
  <c r="E339" i="1" s="1"/>
  <c r="D331" i="1"/>
  <c r="E331" i="1" s="1"/>
  <c r="D313" i="1"/>
  <c r="E313" i="1" s="1"/>
  <c r="D307" i="1"/>
  <c r="E307" i="1" s="1"/>
  <c r="D289" i="1"/>
  <c r="E289" i="1" s="1"/>
  <c r="D273" i="1"/>
  <c r="E273" i="1" s="1"/>
  <c r="D247" i="1"/>
  <c r="E247" i="1" s="1"/>
  <c r="D242" i="1"/>
  <c r="E242" i="1" s="1"/>
  <c r="D227" i="1"/>
  <c r="E227" i="1" s="1"/>
  <c r="D218" i="1"/>
  <c r="E218" i="1" s="1"/>
  <c r="D209" i="1"/>
  <c r="E209" i="1" s="1"/>
  <c r="D204" i="1"/>
  <c r="E204" i="1" s="1"/>
  <c r="D195" i="1"/>
  <c r="E195" i="1" s="1"/>
  <c r="D186" i="1"/>
  <c r="E186" i="1" s="1"/>
  <c r="D177" i="1"/>
  <c r="E177" i="1" s="1"/>
  <c r="D172" i="1"/>
  <c r="E172" i="1" s="1"/>
  <c r="D163" i="1"/>
  <c r="E163" i="1" s="1"/>
  <c r="D451" i="1"/>
  <c r="E451" i="1" s="1"/>
  <c r="D399" i="1"/>
  <c r="E399" i="1" s="1"/>
  <c r="D367" i="1"/>
  <c r="E367" i="1" s="1"/>
  <c r="D359" i="1"/>
  <c r="E359" i="1" s="1"/>
  <c r="D353" i="1"/>
  <c r="E353" i="1" s="1"/>
  <c r="D345" i="1"/>
  <c r="E345" i="1" s="1"/>
  <c r="D337" i="1"/>
  <c r="E337" i="1" s="1"/>
  <c r="D318" i="1"/>
  <c r="E318" i="1" s="1"/>
  <c r="D306" i="1"/>
  <c r="E306" i="1" s="1"/>
  <c r="D294" i="1"/>
  <c r="E294" i="1" s="1"/>
  <c r="D283" i="1"/>
  <c r="E283" i="1" s="1"/>
  <c r="D267" i="1"/>
  <c r="E267" i="1" s="1"/>
  <c r="D262" i="1"/>
  <c r="E262" i="1" s="1"/>
  <c r="D257" i="1"/>
  <c r="E257" i="1" s="1"/>
  <c r="D241" i="1"/>
  <c r="E241" i="1" s="1"/>
  <c r="D231" i="1"/>
  <c r="E231" i="1" s="1"/>
  <c r="D222" i="1"/>
  <c r="E222" i="1" s="1"/>
  <c r="D213" i="1"/>
  <c r="E213" i="1" s="1"/>
  <c r="D199" i="1"/>
  <c r="E199" i="1" s="1"/>
  <c r="D190" i="1"/>
  <c r="E190" i="1" s="1"/>
  <c r="D181" i="1"/>
  <c r="E181" i="1" s="1"/>
  <c r="D167" i="1"/>
  <c r="E167" i="1" s="1"/>
  <c r="D158" i="1"/>
  <c r="E158" i="1" s="1"/>
  <c r="D154" i="1"/>
  <c r="E154" i="1" s="1"/>
  <c r="D150" i="1"/>
  <c r="E150" i="1" s="1"/>
  <c r="D146" i="1"/>
  <c r="E146" i="1" s="1"/>
  <c r="D142" i="1"/>
  <c r="E142" i="1" s="1"/>
  <c r="D138" i="1"/>
  <c r="E138" i="1" s="1"/>
  <c r="D134" i="1"/>
  <c r="E134" i="1" s="1"/>
  <c r="D130" i="1"/>
  <c r="E130" i="1" s="1"/>
  <c r="D126" i="1"/>
  <c r="E126" i="1" s="1"/>
  <c r="D122" i="1"/>
  <c r="E122" i="1" s="1"/>
  <c r="D118" i="1"/>
  <c r="E118" i="1" s="1"/>
  <c r="D114" i="1"/>
  <c r="E114" i="1" s="1"/>
  <c r="D110" i="1"/>
  <c r="E110" i="1" s="1"/>
  <c r="D106" i="1"/>
  <c r="E106" i="1" s="1"/>
  <c r="D102" i="1"/>
  <c r="E102" i="1" s="1"/>
  <c r="D98" i="1"/>
  <c r="E98" i="1" s="1"/>
  <c r="D94" i="1"/>
  <c r="E94" i="1" s="1"/>
  <c r="D90" i="1"/>
  <c r="E90" i="1" s="1"/>
  <c r="D86" i="1"/>
  <c r="E86" i="1" s="1"/>
  <c r="D82" i="1"/>
  <c r="E82" i="1" s="1"/>
  <c r="D78" i="1"/>
  <c r="E78" i="1" s="1"/>
  <c r="D74" i="1"/>
  <c r="E74" i="1" s="1"/>
  <c r="D70" i="1"/>
  <c r="E70" i="1" s="1"/>
  <c r="D66" i="1"/>
  <c r="E66" i="1" s="1"/>
  <c r="D62" i="1"/>
  <c r="E62" i="1" s="1"/>
  <c r="D58" i="1"/>
  <c r="E58" i="1" s="1"/>
  <c r="D54" i="1"/>
  <c r="E54" i="1" s="1"/>
  <c r="D50" i="1"/>
  <c r="E50" i="1" s="1"/>
  <c r="D46" i="1"/>
  <c r="E46" i="1" s="1"/>
  <c r="D459" i="1"/>
  <c r="E459" i="1" s="1"/>
  <c r="D434" i="1"/>
  <c r="E434" i="1" s="1"/>
  <c r="D422" i="1"/>
  <c r="E422" i="1" s="1"/>
  <c r="D7" i="1"/>
  <c r="E7" i="1" s="1"/>
  <c r="D15" i="1"/>
  <c r="E15" i="1" s="1"/>
  <c r="D18" i="1"/>
  <c r="E18" i="1" s="1"/>
  <c r="D32" i="1"/>
  <c r="E32" i="1" s="1"/>
  <c r="D41" i="1"/>
  <c r="E41" i="1" s="1"/>
  <c r="D52" i="1"/>
  <c r="E52" i="1" s="1"/>
  <c r="D77" i="1"/>
  <c r="E77" i="1" s="1"/>
  <c r="D84" i="1"/>
  <c r="E84" i="1" s="1"/>
  <c r="D109" i="1"/>
  <c r="E109" i="1" s="1"/>
  <c r="D116" i="1"/>
  <c r="E116" i="1" s="1"/>
  <c r="D141" i="1"/>
  <c r="E141" i="1" s="1"/>
  <c r="D148" i="1"/>
  <c r="E148" i="1" s="1"/>
  <c r="D161" i="1"/>
  <c r="E161" i="1" s="1"/>
  <c r="D169" i="1"/>
  <c r="E169" i="1" s="1"/>
  <c r="D175" i="1"/>
  <c r="E175" i="1" s="1"/>
  <c r="D183" i="1"/>
  <c r="E183" i="1" s="1"/>
  <c r="D226" i="1"/>
  <c r="E226" i="1" s="1"/>
  <c r="D234" i="1"/>
  <c r="E234" i="1" s="1"/>
  <c r="D243" i="1"/>
  <c r="E243" i="1" s="1"/>
  <c r="D250" i="1"/>
  <c r="E250" i="1" s="1"/>
  <c r="D259" i="1"/>
  <c r="E259" i="1" s="1"/>
  <c r="D285" i="1"/>
  <c r="E285" i="1" s="1"/>
  <c r="D303" i="1"/>
  <c r="E303" i="1" s="1"/>
  <c r="D322" i="1"/>
  <c r="E322" i="1" s="1"/>
  <c r="D355" i="1"/>
  <c r="E355" i="1" s="1"/>
  <c r="D394" i="1"/>
  <c r="E394" i="1" s="1"/>
  <c r="D405" i="1"/>
  <c r="E405" i="1" s="1"/>
  <c r="D4" i="1"/>
  <c r="E4" i="1" s="1"/>
  <c r="D11" i="1"/>
  <c r="E11" i="1" s="1"/>
  <c r="D28" i="1"/>
  <c r="E28" i="1" s="1"/>
  <c r="D37" i="1"/>
  <c r="E37" i="1" s="1"/>
  <c r="D65" i="1"/>
  <c r="E65" i="1" s="1"/>
  <c r="D72" i="1"/>
  <c r="E72" i="1" s="1"/>
  <c r="D97" i="1"/>
  <c r="E97" i="1" s="1"/>
  <c r="D104" i="1"/>
  <c r="E104" i="1" s="1"/>
  <c r="D129" i="1"/>
  <c r="E129" i="1" s="1"/>
  <c r="D136" i="1"/>
  <c r="E136" i="1" s="1"/>
  <c r="D198" i="1"/>
  <c r="E198" i="1" s="1"/>
  <c r="D206" i="1"/>
  <c r="E206" i="1" s="1"/>
  <c r="D212" i="1"/>
  <c r="E212" i="1" s="1"/>
  <c r="D220" i="1"/>
  <c r="E220" i="1" s="1"/>
  <c r="D228" i="1"/>
  <c r="E228" i="1" s="1"/>
  <c r="D251" i="1"/>
  <c r="E251" i="1" s="1"/>
  <c r="D314" i="1"/>
  <c r="E314" i="1" s="1"/>
  <c r="D369" i="1"/>
  <c r="E369" i="1" s="1"/>
  <c r="D381" i="1"/>
  <c r="E381" i="1" s="1"/>
  <c r="D447" i="1"/>
  <c r="E447" i="1" s="1"/>
  <c r="D570" i="1"/>
  <c r="E570" i="1" s="1"/>
  <c r="D562" i="1"/>
  <c r="E562" i="1" s="1"/>
  <c r="D554" i="1"/>
  <c r="E554" i="1" s="1"/>
  <c r="D546" i="1"/>
  <c r="E546" i="1" s="1"/>
  <c r="D538" i="1"/>
  <c r="E538" i="1" s="1"/>
  <c r="D530" i="1"/>
  <c r="E530" i="1" s="1"/>
  <c r="D522" i="1"/>
  <c r="E522" i="1" s="1"/>
  <c r="D514" i="1"/>
  <c r="E514" i="1" s="1"/>
  <c r="D506" i="1"/>
  <c r="E506" i="1" s="1"/>
  <c r="D498" i="1"/>
  <c r="E498" i="1" s="1"/>
  <c r="D490" i="1"/>
  <c r="E490" i="1" s="1"/>
  <c r="D482" i="1"/>
  <c r="E482" i="1" s="1"/>
  <c r="D474" i="1"/>
  <c r="E474" i="1" s="1"/>
  <c r="D466" i="1"/>
  <c r="E466" i="1" s="1"/>
  <c r="D450" i="1"/>
  <c r="E450" i="1" s="1"/>
  <c r="D442" i="1"/>
  <c r="E442" i="1" s="1"/>
  <c r="D24" i="1"/>
  <c r="E24" i="1" s="1"/>
  <c r="D33" i="1"/>
  <c r="E33" i="1" s="1"/>
  <c r="D42" i="1"/>
  <c r="E42" i="1" s="1"/>
  <c r="D53" i="1"/>
  <c r="E53" i="1" s="1"/>
  <c r="D60" i="1"/>
  <c r="E60" i="1" s="1"/>
  <c r="D85" i="1"/>
  <c r="E85" i="1" s="1"/>
  <c r="D92" i="1"/>
  <c r="E92" i="1" s="1"/>
  <c r="D117" i="1"/>
  <c r="E117" i="1" s="1"/>
  <c r="D124" i="1"/>
  <c r="E124" i="1" s="1"/>
  <c r="D149" i="1"/>
  <c r="E149" i="1" s="1"/>
  <c r="D156" i="1"/>
  <c r="E156" i="1" s="1"/>
  <c r="D162" i="1"/>
  <c r="E162" i="1" s="1"/>
  <c r="D170" i="1"/>
  <c r="E170" i="1" s="1"/>
  <c r="D178" i="1"/>
  <c r="E178" i="1" s="1"/>
  <c r="D221" i="1"/>
  <c r="E221" i="1" s="1"/>
  <c r="D229" i="1"/>
  <c r="E229" i="1" s="1"/>
  <c r="D235" i="1"/>
  <c r="E235" i="1" s="1"/>
  <c r="D261" i="1"/>
  <c r="E261" i="1" s="1"/>
  <c r="D270" i="1"/>
  <c r="E270" i="1" s="1"/>
  <c r="D277" i="1"/>
  <c r="E277" i="1" s="1"/>
  <c r="D286" i="1"/>
  <c r="E286" i="1" s="1"/>
  <c r="D315" i="1"/>
  <c r="E315" i="1" s="1"/>
  <c r="D323" i="1"/>
  <c r="E323" i="1" s="1"/>
  <c r="D335" i="1"/>
  <c r="E335" i="1" s="1"/>
  <c r="D358" i="1"/>
  <c r="E358" i="1" s="1"/>
  <c r="D371" i="1"/>
  <c r="E371" i="1" s="1"/>
  <c r="D382" i="1"/>
  <c r="E382" i="1" s="1"/>
  <c r="D397" i="1"/>
  <c r="E397" i="1" s="1"/>
  <c r="D426" i="1"/>
  <c r="E426" i="1" s="1"/>
  <c r="D193" i="1"/>
  <c r="E193" i="1" s="1"/>
  <c r="D201" i="1"/>
  <c r="E201" i="1" s="1"/>
  <c r="D207" i="1"/>
  <c r="E207" i="1" s="1"/>
  <c r="D215" i="1"/>
  <c r="E215" i="1" s="1"/>
  <c r="D238" i="1"/>
  <c r="E238" i="1" s="1"/>
  <c r="D245" i="1"/>
  <c r="E245" i="1" s="1"/>
  <c r="D254" i="1"/>
  <c r="E254" i="1" s="1"/>
  <c r="D297" i="1"/>
  <c r="E297" i="1" s="1"/>
  <c r="D305" i="1"/>
  <c r="E305" i="1" s="1"/>
  <c r="D349" i="1"/>
  <c r="E349" i="1" s="1"/>
  <c r="D398" i="1"/>
  <c r="E398" i="1" s="1"/>
  <c r="D413" i="1"/>
  <c r="E413" i="1" s="1"/>
  <c r="D431" i="1"/>
  <c r="E431" i="1" s="1"/>
  <c r="D568" i="1"/>
  <c r="E568" i="1" s="1"/>
  <c r="D560" i="1"/>
  <c r="E560" i="1" s="1"/>
  <c r="D552" i="1"/>
  <c r="E552" i="1" s="1"/>
  <c r="D544" i="1"/>
  <c r="E544" i="1" s="1"/>
  <c r="D536" i="1"/>
  <c r="E536" i="1" s="1"/>
  <c r="D528" i="1"/>
  <c r="E528" i="1" s="1"/>
  <c r="D520" i="1"/>
  <c r="E520" i="1" s="1"/>
  <c r="D512" i="1"/>
  <c r="E512" i="1" s="1"/>
  <c r="D504" i="1"/>
  <c r="E504" i="1" s="1"/>
  <c r="D496" i="1"/>
  <c r="E496" i="1" s="1"/>
  <c r="D488" i="1"/>
  <c r="E488" i="1" s="1"/>
  <c r="D480" i="1"/>
  <c r="E480" i="1" s="1"/>
  <c r="D472" i="1"/>
  <c r="E472" i="1" s="1"/>
  <c r="D464" i="1"/>
  <c r="E464" i="1" s="1"/>
  <c r="D456" i="1"/>
  <c r="E456" i="1" s="1"/>
  <c r="D448" i="1"/>
  <c r="E448" i="1" s="1"/>
  <c r="D440" i="1"/>
  <c r="E440" i="1" s="1"/>
  <c r="D432" i="1"/>
  <c r="E432" i="1" s="1"/>
  <c r="D424" i="1"/>
  <c r="E424" i="1" s="1"/>
  <c r="D416" i="1"/>
  <c r="E416" i="1" s="1"/>
  <c r="D408" i="1"/>
  <c r="E408" i="1" s="1"/>
  <c r="D400" i="1"/>
  <c r="E400" i="1" s="1"/>
  <c r="D392" i="1"/>
  <c r="E392" i="1" s="1"/>
  <c r="D384" i="1"/>
  <c r="E384" i="1" s="1"/>
  <c r="D376" i="1"/>
  <c r="E376" i="1" s="1"/>
  <c r="D368" i="1"/>
  <c r="E368" i="1" s="1"/>
  <c r="D360" i="1"/>
  <c r="E360" i="1" s="1"/>
  <c r="D352" i="1"/>
  <c r="E352" i="1" s="1"/>
  <c r="D344" i="1"/>
  <c r="E344" i="1" s="1"/>
  <c r="D336" i="1"/>
  <c r="E336" i="1" s="1"/>
  <c r="D328" i="1"/>
  <c r="E328" i="1" s="1"/>
  <c r="D320" i="1"/>
  <c r="E320" i="1" s="1"/>
  <c r="D312" i="1"/>
  <c r="E312" i="1" s="1"/>
  <c r="D304" i="1"/>
  <c r="E304" i="1" s="1"/>
  <c r="D296" i="1"/>
  <c r="E296" i="1" s="1"/>
  <c r="D288" i="1"/>
  <c r="E288" i="1" s="1"/>
  <c r="D280" i="1"/>
  <c r="E280" i="1" s="1"/>
  <c r="D272" i="1"/>
  <c r="E272" i="1" s="1"/>
  <c r="D264" i="1"/>
  <c r="E264" i="1" s="1"/>
  <c r="D256" i="1"/>
  <c r="E256" i="1" s="1"/>
  <c r="D248" i="1"/>
  <c r="E248" i="1" s="1"/>
  <c r="D240" i="1"/>
  <c r="E240" i="1" s="1"/>
  <c r="D232" i="1"/>
  <c r="E232" i="1" s="1"/>
  <c r="D208" i="1"/>
  <c r="E208" i="1" s="1"/>
  <c r="D200" i="1"/>
  <c r="E200" i="1" s="1"/>
  <c r="D176" i="1"/>
  <c r="E176" i="1" s="1"/>
  <c r="D168" i="1"/>
  <c r="E168" i="1" s="1"/>
  <c r="D5" i="1"/>
  <c r="E5" i="1" s="1"/>
  <c r="D13" i="1"/>
  <c r="E13" i="1" s="1"/>
  <c r="D25" i="1"/>
  <c r="E25" i="1" s="1"/>
  <c r="D34" i="1"/>
  <c r="E34" i="1" s="1"/>
  <c r="D61" i="1"/>
  <c r="E61" i="1" s="1"/>
  <c r="D68" i="1"/>
  <c r="E68" i="1" s="1"/>
  <c r="D93" i="1"/>
  <c r="E93" i="1" s="1"/>
  <c r="D100" i="1"/>
  <c r="E100" i="1" s="1"/>
  <c r="D125" i="1"/>
  <c r="E125" i="1" s="1"/>
  <c r="D132" i="1"/>
  <c r="E132" i="1" s="1"/>
  <c r="D157" i="1"/>
  <c r="E157" i="1" s="1"/>
  <c r="D165" i="1"/>
  <c r="E165" i="1" s="1"/>
  <c r="D171" i="1"/>
  <c r="E171" i="1" s="1"/>
  <c r="D179" i="1"/>
  <c r="E179" i="1" s="1"/>
  <c r="D187" i="1"/>
  <c r="E187" i="1" s="1"/>
  <c r="D230" i="1"/>
  <c r="E230" i="1" s="1"/>
  <c r="D271" i="1"/>
  <c r="E271" i="1" s="1"/>
  <c r="D298" i="1"/>
  <c r="E298" i="1" s="1"/>
  <c r="D317" i="1"/>
  <c r="E317" i="1" s="1"/>
  <c r="D327" i="1"/>
  <c r="E327" i="1" s="1"/>
  <c r="D387" i="1"/>
  <c r="E387" i="1" s="1"/>
  <c r="D414" i="1"/>
  <c r="E414" i="1" s="1"/>
  <c r="D458" i="1"/>
  <c r="E458" i="1" s="1"/>
  <c r="D483" i="1"/>
  <c r="E483" i="1" s="1"/>
  <c r="D17" i="1"/>
  <c r="E17" i="1" s="1"/>
  <c r="D21" i="1"/>
  <c r="E21" i="1" s="1"/>
  <c r="D30" i="1"/>
  <c r="E30" i="1" s="1"/>
  <c r="D44" i="1"/>
  <c r="E44" i="1" s="1"/>
  <c r="D49" i="1"/>
  <c r="E49" i="1" s="1"/>
  <c r="D56" i="1"/>
  <c r="E56" i="1" s="1"/>
  <c r="D81" i="1"/>
  <c r="E81" i="1" s="1"/>
  <c r="D88" i="1"/>
  <c r="E88" i="1" s="1"/>
  <c r="D113" i="1"/>
  <c r="E113" i="1" s="1"/>
  <c r="D120" i="1"/>
  <c r="E120" i="1" s="1"/>
  <c r="D145" i="1"/>
  <c r="E145" i="1" s="1"/>
  <c r="D194" i="1"/>
  <c r="E194" i="1" s="1"/>
  <c r="D202" i="1"/>
  <c r="E202" i="1" s="1"/>
  <c r="D210" i="1"/>
  <c r="E210" i="1" s="1"/>
  <c r="D239" i="1"/>
  <c r="E239" i="1" s="1"/>
  <c r="D265" i="1"/>
  <c r="E265" i="1" s="1"/>
  <c r="D281" i="1"/>
  <c r="E281" i="1" s="1"/>
  <c r="D290" i="1"/>
  <c r="E290" i="1" s="1"/>
  <c r="D309" i="1"/>
  <c r="E309" i="1" s="1"/>
  <c r="D350" i="1"/>
  <c r="E350" i="1" s="1"/>
  <c r="D363" i="1"/>
  <c r="E363" i="1" s="1"/>
  <c r="D373" i="1"/>
  <c r="E373" i="1" s="1"/>
  <c r="D403" i="1"/>
  <c r="E403" i="1" s="1"/>
  <c r="D486" i="1"/>
  <c r="E486" i="1" s="1"/>
  <c r="D3" i="1"/>
  <c r="D10" i="1"/>
  <c r="E10" i="1" s="1"/>
  <c r="D14" i="1"/>
  <c r="E14" i="1" s="1"/>
  <c r="D26" i="1"/>
  <c r="E26" i="1" s="1"/>
  <c r="D40" i="1"/>
  <c r="E40" i="1" s="1"/>
  <c r="D69" i="1"/>
  <c r="E69" i="1" s="1"/>
  <c r="D76" i="1"/>
  <c r="E76" i="1" s="1"/>
  <c r="D101" i="1"/>
  <c r="E101" i="1" s="1"/>
  <c r="D108" i="1"/>
  <c r="E108" i="1" s="1"/>
  <c r="D133" i="1"/>
  <c r="E133" i="1" s="1"/>
  <c r="D140" i="1"/>
  <c r="E140" i="1" s="1"/>
  <c r="D166" i="1"/>
  <c r="E166" i="1" s="1"/>
  <c r="D174" i="1"/>
  <c r="E174" i="1" s="1"/>
  <c r="D180" i="1"/>
  <c r="E180" i="1" s="1"/>
  <c r="D188" i="1"/>
  <c r="E188" i="1" s="1"/>
  <c r="D196" i="1"/>
  <c r="E196" i="1" s="1"/>
  <c r="D217" i="1"/>
  <c r="E217" i="1" s="1"/>
  <c r="D225" i="1"/>
  <c r="E225" i="1" s="1"/>
  <c r="D233" i="1"/>
  <c r="E233" i="1" s="1"/>
  <c r="D249" i="1"/>
  <c r="E249" i="1" s="1"/>
  <c r="D299" i="1"/>
  <c r="E299" i="1" s="1"/>
  <c r="D321" i="1"/>
  <c r="E321" i="1" s="1"/>
  <c r="D329" i="1"/>
  <c r="E329" i="1" s="1"/>
  <c r="D341" i="1"/>
  <c r="E341" i="1" s="1"/>
  <c r="D377" i="1"/>
  <c r="E377" i="1" s="1"/>
  <c r="D415" i="1"/>
  <c r="E415" i="1" s="1"/>
  <c r="D438" i="1"/>
  <c r="E438" i="1" s="1"/>
  <c r="D463" i="1"/>
  <c r="E463" i="1" s="1"/>
  <c r="D22" i="1"/>
  <c r="E22" i="1" s="1"/>
  <c r="D36" i="1"/>
  <c r="E36" i="1" s="1"/>
  <c r="D45" i="1"/>
  <c r="E45" i="1" s="1"/>
  <c r="D57" i="1"/>
  <c r="E57" i="1" s="1"/>
  <c r="D64" i="1"/>
  <c r="E64" i="1" s="1"/>
  <c r="D89" i="1"/>
  <c r="E89" i="1" s="1"/>
  <c r="D96" i="1"/>
  <c r="E96" i="1" s="1"/>
  <c r="D121" i="1"/>
  <c r="E121" i="1" s="1"/>
  <c r="D153" i="1"/>
  <c r="E153" i="1" s="1"/>
  <c r="D189" i="1"/>
  <c r="E189" i="1" s="1"/>
  <c r="D197" i="1"/>
  <c r="E197" i="1" s="1"/>
  <c r="D203" i="1"/>
  <c r="E203" i="1" s="1"/>
  <c r="D211" i="1"/>
  <c r="E211" i="1" s="1"/>
  <c r="D219" i="1"/>
  <c r="E219" i="1" s="1"/>
  <c r="D266" i="1"/>
  <c r="E266" i="1" s="1"/>
  <c r="D275" i="1"/>
  <c r="E275" i="1" s="1"/>
  <c r="D282" i="1"/>
  <c r="E282" i="1" s="1"/>
  <c r="D291" i="1"/>
  <c r="E291" i="1" s="1"/>
  <c r="D330" i="1"/>
  <c r="E330" i="1" s="1"/>
  <c r="D378" i="1"/>
  <c r="E378" i="1" s="1"/>
  <c r="D389" i="1"/>
  <c r="E389" i="1" s="1"/>
  <c r="D470" i="1"/>
  <c r="E470" i="1" s="1"/>
  <c r="D573" i="1"/>
  <c r="E573" i="1" s="1"/>
  <c r="D565" i="1"/>
  <c r="E565" i="1" s="1"/>
  <c r="D557" i="1"/>
  <c r="E557" i="1" s="1"/>
  <c r="D549" i="1"/>
  <c r="E549" i="1" s="1"/>
  <c r="D541" i="1"/>
  <c r="E541" i="1" s="1"/>
  <c r="D533" i="1"/>
  <c r="E533" i="1" s="1"/>
  <c r="D525" i="1"/>
  <c r="E525" i="1" s="1"/>
  <c r="D517" i="1"/>
  <c r="E517" i="1" s="1"/>
  <c r="D509" i="1"/>
  <c r="E509" i="1" s="1"/>
  <c r="D501" i="1"/>
  <c r="E501" i="1" s="1"/>
  <c r="D493" i="1"/>
  <c r="E493" i="1" s="1"/>
  <c r="D485" i="1"/>
  <c r="E485" i="1" s="1"/>
  <c r="D477" i="1"/>
  <c r="E477" i="1" s="1"/>
  <c r="D469" i="1"/>
  <c r="E469" i="1" s="1"/>
  <c r="D461" i="1"/>
  <c r="E461" i="1" s="1"/>
  <c r="D453" i="1"/>
  <c r="E453" i="1" s="1"/>
  <c r="D445" i="1"/>
  <c r="E445" i="1" s="1"/>
  <c r="D437" i="1"/>
  <c r="E437" i="1" s="1"/>
  <c r="D429" i="1"/>
  <c r="E429" i="1" s="1"/>
  <c r="D421" i="1"/>
  <c r="E421" i="1" s="1"/>
  <c r="D572" i="1"/>
  <c r="E572" i="1" s="1"/>
  <c r="D564" i="1"/>
  <c r="E564" i="1" s="1"/>
  <c r="D556" i="1"/>
  <c r="E556" i="1" s="1"/>
  <c r="D548" i="1"/>
  <c r="E548" i="1" s="1"/>
  <c r="D540" i="1"/>
  <c r="E540" i="1" s="1"/>
  <c r="D532" i="1"/>
  <c r="E532" i="1" s="1"/>
  <c r="D524" i="1"/>
  <c r="E524" i="1" s="1"/>
  <c r="D516" i="1"/>
  <c r="E516" i="1" s="1"/>
  <c r="D508" i="1"/>
  <c r="E508" i="1" s="1"/>
  <c r="D500" i="1"/>
  <c r="E500" i="1" s="1"/>
  <c r="D492" i="1"/>
  <c r="E492" i="1" s="1"/>
  <c r="D484" i="1"/>
  <c r="E484" i="1" s="1"/>
  <c r="D476" i="1"/>
  <c r="E476" i="1" s="1"/>
  <c r="D468" i="1"/>
  <c r="E468" i="1" s="1"/>
  <c r="D460" i="1"/>
  <c r="E460" i="1" s="1"/>
  <c r="D452" i="1"/>
  <c r="E452" i="1" s="1"/>
  <c r="D444" i="1"/>
  <c r="E444" i="1" s="1"/>
  <c r="D436" i="1"/>
  <c r="E436" i="1" s="1"/>
  <c r="D428" i="1"/>
  <c r="E428" i="1" s="1"/>
  <c r="D420" i="1"/>
  <c r="E420" i="1" s="1"/>
  <c r="D412" i="1"/>
  <c r="E412" i="1" s="1"/>
  <c r="D404" i="1"/>
  <c r="E404" i="1" s="1"/>
  <c r="D396" i="1"/>
  <c r="E396" i="1" s="1"/>
  <c r="D388" i="1"/>
  <c r="E388" i="1" s="1"/>
  <c r="D380" i="1"/>
  <c r="E380" i="1" s="1"/>
  <c r="D372" i="1"/>
  <c r="E372" i="1" s="1"/>
  <c r="D364" i="1"/>
  <c r="E364" i="1" s="1"/>
  <c r="D356" i="1"/>
  <c r="E356" i="1" s="1"/>
  <c r="D348" i="1"/>
  <c r="E348" i="1" s="1"/>
  <c r="D340" i="1"/>
  <c r="E340" i="1" s="1"/>
  <c r="D332" i="1"/>
  <c r="E332" i="1" s="1"/>
  <c r="D324" i="1"/>
  <c r="E324" i="1" s="1"/>
  <c r="D316" i="1"/>
  <c r="E316" i="1" s="1"/>
  <c r="D308" i="1"/>
  <c r="E308" i="1" s="1"/>
  <c r="D300" i="1"/>
  <c r="E300" i="1" s="1"/>
  <c r="D292" i="1"/>
  <c r="E292" i="1" s="1"/>
  <c r="D284" i="1"/>
  <c r="E284" i="1" s="1"/>
  <c r="D2606" i="2" l="1"/>
  <c r="E2606" i="2" s="1"/>
  <c r="D2503" i="2"/>
  <c r="E2503" i="2" s="1"/>
  <c r="D2375" i="2"/>
  <c r="E2375" i="2" s="1"/>
  <c r="D2311" i="2"/>
  <c r="E2311" i="2" s="1"/>
  <c r="D2247" i="2"/>
  <c r="E2247" i="2" s="1"/>
  <c r="D2183" i="2"/>
  <c r="E2183" i="2" s="1"/>
  <c r="D2111" i="2"/>
  <c r="E2111" i="2" s="1"/>
  <c r="D2726" i="2"/>
  <c r="E2726" i="2" s="1"/>
  <c r="D2121" i="2"/>
  <c r="E2121" i="2" s="1"/>
  <c r="D2241" i="2"/>
  <c r="E2241" i="2" s="1"/>
  <c r="D1971" i="2"/>
  <c r="E1971" i="2" s="1"/>
  <c r="D1907" i="2"/>
  <c r="E1907" i="2" s="1"/>
  <c r="D1843" i="2"/>
  <c r="E1843" i="2" s="1"/>
  <c r="D1779" i="2"/>
  <c r="E1779" i="2" s="1"/>
  <c r="D1715" i="2"/>
  <c r="E1715" i="2" s="1"/>
  <c r="D1651" i="2"/>
  <c r="E1651" i="2" s="1"/>
  <c r="D1587" i="2"/>
  <c r="E1587" i="2" s="1"/>
  <c r="D1523" i="2"/>
  <c r="E1523" i="2" s="1"/>
  <c r="D1459" i="2"/>
  <c r="E1459" i="2" s="1"/>
  <c r="D1395" i="2"/>
  <c r="E1395" i="2" s="1"/>
  <c r="D1331" i="2"/>
  <c r="E1331" i="2" s="1"/>
  <c r="D1267" i="2"/>
  <c r="E1267" i="2" s="1"/>
  <c r="D2105" i="2"/>
  <c r="E2105" i="2" s="1"/>
  <c r="D2097" i="2"/>
  <c r="E2097" i="2" s="1"/>
  <c r="D2014" i="2"/>
  <c r="E2014" i="2" s="1"/>
  <c r="D1934" i="2"/>
  <c r="E1934" i="2" s="1"/>
  <c r="D1870" i="2"/>
  <c r="E1870" i="2" s="1"/>
  <c r="D1806" i="2"/>
  <c r="E1806" i="2" s="1"/>
  <c r="D1742" i="2"/>
  <c r="E1742" i="2" s="1"/>
  <c r="D2666" i="2"/>
  <c r="E2666" i="2" s="1"/>
  <c r="D2153" i="2"/>
  <c r="E2153" i="2" s="1"/>
  <c r="D2529" i="2"/>
  <c r="E2529" i="2" s="1"/>
  <c r="D2465" i="2"/>
  <c r="E2465" i="2" s="1"/>
  <c r="D2401" i="2"/>
  <c r="E2401" i="2" s="1"/>
  <c r="D2337" i="2"/>
  <c r="E2337" i="2" s="1"/>
  <c r="D1713" i="2"/>
  <c r="E1713" i="2" s="1"/>
  <c r="D2655" i="2"/>
  <c r="E2655" i="2" s="1"/>
  <c r="D2129" i="2"/>
  <c r="E2129" i="2" s="1"/>
  <c r="D2022" i="2"/>
  <c r="E2022" i="2" s="1"/>
  <c r="D1714" i="2"/>
  <c r="E1714" i="2" s="1"/>
  <c r="D1144" i="2"/>
  <c r="E1144" i="2" s="1"/>
  <c r="D984" i="2"/>
  <c r="E984" i="2" s="1"/>
  <c r="D1909" i="2"/>
  <c r="E1909" i="2" s="1"/>
  <c r="D1810" i="2"/>
  <c r="E1810" i="2" s="1"/>
  <c r="D1646" i="2"/>
  <c r="E1646" i="2" s="1"/>
  <c r="D1566" i="2"/>
  <c r="E1566" i="2" s="1"/>
  <c r="D1486" i="2"/>
  <c r="E1486" i="2" s="1"/>
  <c r="D1422" i="2"/>
  <c r="E1422" i="2" s="1"/>
  <c r="D1358" i="2"/>
  <c r="E1358" i="2" s="1"/>
  <c r="D1278" i="2"/>
  <c r="E1278" i="2" s="1"/>
  <c r="D998" i="2"/>
  <c r="E998" i="2" s="1"/>
  <c r="D1694" i="2"/>
  <c r="E1694" i="2" s="1"/>
  <c r="D936" i="2"/>
  <c r="E936" i="2" s="1"/>
  <c r="D1251" i="2"/>
  <c r="E1251" i="2" s="1"/>
  <c r="D958" i="2"/>
  <c r="E958" i="2" s="1"/>
  <c r="D1978" i="2"/>
  <c r="E1978" i="2" s="1"/>
  <c r="D1914" i="2"/>
  <c r="E1914" i="2" s="1"/>
  <c r="D1850" i="2"/>
  <c r="E1850" i="2" s="1"/>
  <c r="D1192" i="2"/>
  <c r="E1192" i="2" s="1"/>
  <c r="D1126" i="2"/>
  <c r="E1126" i="2" s="1"/>
  <c r="D1821" i="2"/>
  <c r="E1821" i="2" s="1"/>
  <c r="D1649" i="2"/>
  <c r="E1649" i="2" s="1"/>
  <c r="D1574" i="2"/>
  <c r="E1574" i="2" s="1"/>
  <c r="D1510" i="2"/>
  <c r="E1510" i="2" s="1"/>
  <c r="D1430" i="2"/>
  <c r="E1430" i="2" s="1"/>
  <c r="D1366" i="2"/>
  <c r="E1366" i="2" s="1"/>
  <c r="D1286" i="2"/>
  <c r="E1286" i="2" s="1"/>
  <c r="D1046" i="2"/>
  <c r="E1046" i="2" s="1"/>
  <c r="D1722" i="2"/>
  <c r="E1722" i="2" s="1"/>
  <c r="D1254" i="2"/>
  <c r="E1254" i="2" s="1"/>
  <c r="D1006" i="2"/>
  <c r="E1006" i="2" s="1"/>
  <c r="D1143" i="2"/>
  <c r="E1143" i="2" s="1"/>
  <c r="D980" i="2"/>
  <c r="E980" i="2" s="1"/>
  <c r="D788" i="2"/>
  <c r="E788" i="2" s="1"/>
  <c r="D1645" i="2"/>
  <c r="E1645" i="2" s="1"/>
  <c r="D1517" i="2"/>
  <c r="E1517" i="2" s="1"/>
  <c r="D1389" i="2"/>
  <c r="E1389" i="2" s="1"/>
  <c r="D1261" i="2"/>
  <c r="E1261" i="2" s="1"/>
  <c r="D1149" i="2"/>
  <c r="E1149" i="2" s="1"/>
  <c r="D938" i="2"/>
  <c r="E938" i="2" s="1"/>
  <c r="D597" i="2"/>
  <c r="E597" i="2" s="1"/>
  <c r="D525" i="2"/>
  <c r="E525" i="2" s="1"/>
  <c r="D453" i="2"/>
  <c r="E453" i="2" s="1"/>
  <c r="D381" i="2"/>
  <c r="E381" i="2" s="1"/>
  <c r="D317" i="2"/>
  <c r="E317" i="2" s="1"/>
  <c r="D237" i="2"/>
  <c r="E237" i="2" s="1"/>
  <c r="D141" i="2"/>
  <c r="E141" i="2" s="1"/>
  <c r="D1127" i="2"/>
  <c r="E1127" i="2" s="1"/>
  <c r="D965" i="2"/>
  <c r="E965" i="2" s="1"/>
  <c r="D847" i="2"/>
  <c r="E847" i="2" s="1"/>
  <c r="D796" i="2"/>
  <c r="E796" i="2" s="1"/>
  <c r="D1092" i="2"/>
  <c r="E1092" i="2" s="1"/>
  <c r="D863" i="2"/>
  <c r="E863" i="2" s="1"/>
  <c r="D1682" i="2"/>
  <c r="E1682" i="2" s="1"/>
  <c r="D1554" i="2"/>
  <c r="E1554" i="2" s="1"/>
  <c r="D1426" i="2"/>
  <c r="E1426" i="2" s="1"/>
  <c r="D1298" i="2"/>
  <c r="E1298" i="2" s="1"/>
  <c r="D1146" i="2"/>
  <c r="E1146" i="2" s="1"/>
  <c r="D983" i="2"/>
  <c r="E983" i="2" s="1"/>
  <c r="D772" i="2"/>
  <c r="E772" i="2" s="1"/>
  <c r="D520" i="2"/>
  <c r="E520" i="2" s="1"/>
  <c r="D408" i="2"/>
  <c r="E408" i="2" s="1"/>
  <c r="D336" i="2"/>
  <c r="E336" i="2" s="1"/>
  <c r="D256" i="2"/>
  <c r="E256" i="2" s="1"/>
  <c r="D1103" i="2"/>
  <c r="E1103" i="2" s="1"/>
  <c r="D935" i="2"/>
  <c r="E935" i="2" s="1"/>
  <c r="D687" i="2"/>
  <c r="E687" i="2" s="1"/>
  <c r="D623" i="2"/>
  <c r="E623" i="2" s="1"/>
  <c r="D559" i="2"/>
  <c r="E559" i="2" s="1"/>
  <c r="D495" i="2"/>
  <c r="E495" i="2" s="1"/>
  <c r="D431" i="2"/>
  <c r="E431" i="2" s="1"/>
  <c r="D367" i="2"/>
  <c r="E367" i="2" s="1"/>
  <c r="D303" i="2"/>
  <c r="E303" i="2" s="1"/>
  <c r="D239" i="2"/>
  <c r="E239" i="2" s="1"/>
  <c r="D1076" i="2"/>
  <c r="E1076" i="2" s="1"/>
  <c r="D861" i="2"/>
  <c r="E861" i="2" s="1"/>
  <c r="D818" i="2"/>
  <c r="E818" i="2" s="1"/>
  <c r="D1255" i="2"/>
  <c r="E1255" i="2" s="1"/>
  <c r="D1151" i="2"/>
  <c r="E1151" i="2" s="1"/>
  <c r="D906" i="2"/>
  <c r="E906" i="2" s="1"/>
  <c r="D743" i="2"/>
  <c r="E743" i="2" s="1"/>
  <c r="D650" i="2"/>
  <c r="E650" i="2" s="1"/>
  <c r="D586" i="2"/>
  <c r="E586" i="2" s="1"/>
  <c r="D522" i="2"/>
  <c r="E522" i="2" s="1"/>
  <c r="D458" i="2"/>
  <c r="E458" i="2" s="1"/>
  <c r="D394" i="2"/>
  <c r="E394" i="2" s="1"/>
  <c r="D330" i="2"/>
  <c r="E330" i="2" s="1"/>
  <c r="D266" i="2"/>
  <c r="E266" i="2" s="1"/>
  <c r="D202" i="2"/>
  <c r="E202" i="2" s="1"/>
  <c r="D138" i="2"/>
  <c r="E138" i="2" s="1"/>
  <c r="D814" i="2"/>
  <c r="E814" i="2" s="1"/>
  <c r="D718" i="2"/>
  <c r="E718" i="2" s="1"/>
  <c r="D191" i="2"/>
  <c r="E191" i="2" s="1"/>
  <c r="D644" i="2"/>
  <c r="E644" i="2" s="1"/>
  <c r="D580" i="2"/>
  <c r="E580" i="2" s="1"/>
  <c r="D516" i="2"/>
  <c r="E516" i="2" s="1"/>
  <c r="D452" i="2"/>
  <c r="E452" i="2" s="1"/>
  <c r="D388" i="2"/>
  <c r="E388" i="2" s="1"/>
  <c r="D324" i="2"/>
  <c r="E324" i="2" s="1"/>
  <c r="D260" i="2"/>
  <c r="E260" i="2" s="1"/>
  <c r="D196" i="2"/>
  <c r="E196" i="2" s="1"/>
  <c r="D160" i="2"/>
  <c r="E160" i="2" s="1"/>
  <c r="D60" i="2"/>
  <c r="E60" i="2" s="1"/>
  <c r="D164" i="2"/>
  <c r="E164" i="2" s="1"/>
  <c r="D809" i="2"/>
  <c r="E809" i="2" s="1"/>
  <c r="D713" i="2"/>
  <c r="E713" i="2" s="1"/>
  <c r="D112" i="2"/>
  <c r="E112" i="2" s="1"/>
  <c r="D23" i="2"/>
  <c r="E23" i="2" s="1"/>
  <c r="D152" i="2"/>
  <c r="E152" i="2" s="1"/>
  <c r="D92" i="2"/>
  <c r="E92" i="2" s="1"/>
  <c r="D78" i="2"/>
  <c r="E78" i="2" s="1"/>
  <c r="D1676" i="3"/>
  <c r="E1676" i="3" s="1"/>
  <c r="D1231" i="3"/>
  <c r="E1231" i="3" s="1"/>
  <c r="D1103" i="3"/>
  <c r="E1103" i="3" s="1"/>
  <c r="D975" i="3"/>
  <c r="E975" i="3" s="1"/>
  <c r="D843" i="3"/>
  <c r="E843" i="3" s="1"/>
  <c r="D1500" i="3"/>
  <c r="E1500" i="3" s="1"/>
  <c r="D1187" i="3"/>
  <c r="E1187" i="3" s="1"/>
  <c r="D1059" i="3"/>
  <c r="E1059" i="3" s="1"/>
  <c r="D931" i="3"/>
  <c r="E931" i="3" s="1"/>
  <c r="D704" i="3"/>
  <c r="E704" i="3" s="1"/>
  <c r="D1478" i="3"/>
  <c r="E1478" i="3" s="1"/>
  <c r="D1313" i="3"/>
  <c r="E1313" i="3" s="1"/>
  <c r="D1165" i="3"/>
  <c r="E1165" i="3" s="1"/>
  <c r="D957" i="3"/>
  <c r="E957" i="3" s="1"/>
  <c r="D809" i="3"/>
  <c r="E809" i="3" s="1"/>
  <c r="D1359" i="3"/>
  <c r="E1359" i="3" s="1"/>
  <c r="D1868" i="3"/>
  <c r="E1868" i="3" s="1"/>
  <c r="D1663" i="3"/>
  <c r="E1663" i="3" s="1"/>
  <c r="D1227" i="3"/>
  <c r="E1227" i="3" s="1"/>
  <c r="D1099" i="3"/>
  <c r="E1099" i="3" s="1"/>
  <c r="D971" i="3"/>
  <c r="E971" i="3" s="1"/>
  <c r="D750" i="3"/>
  <c r="E750" i="3" s="1"/>
  <c r="D1273" i="3"/>
  <c r="E1273" i="3" s="1"/>
  <c r="D1016" i="3"/>
  <c r="E1016" i="3" s="1"/>
  <c r="D761" i="3"/>
  <c r="E761" i="3" s="1"/>
  <c r="D591" i="3"/>
  <c r="E591" i="3" s="1"/>
  <c r="D527" i="3"/>
  <c r="E527" i="3" s="1"/>
  <c r="D463" i="3"/>
  <c r="E463" i="3" s="1"/>
  <c r="D399" i="3"/>
  <c r="E399" i="3" s="1"/>
  <c r="D1552" i="3"/>
  <c r="E1552" i="3" s="1"/>
  <c r="D1191" i="3"/>
  <c r="E1191" i="3" s="1"/>
  <c r="D878" i="3"/>
  <c r="E878" i="3" s="1"/>
  <c r="D710" i="3"/>
  <c r="E710" i="3" s="1"/>
  <c r="D1308" i="3"/>
  <c r="E1308" i="3" s="1"/>
  <c r="D1048" i="3"/>
  <c r="E1048" i="3" s="1"/>
  <c r="D787" i="3"/>
  <c r="E787" i="3" s="1"/>
  <c r="D681" i="3"/>
  <c r="E681" i="3" s="1"/>
  <c r="D1343" i="3"/>
  <c r="E1343" i="3" s="1"/>
  <c r="D1000" i="3"/>
  <c r="E1000" i="3" s="1"/>
  <c r="D746" i="3"/>
  <c r="E746" i="3" s="1"/>
  <c r="D578" i="3"/>
  <c r="E578" i="3" s="1"/>
  <c r="D514" i="3"/>
  <c r="E514" i="3" s="1"/>
  <c r="D1248" i="3"/>
  <c r="E1248" i="3" s="1"/>
  <c r="D952" i="3"/>
  <c r="E952" i="3" s="1"/>
  <c r="D758" i="3"/>
  <c r="E758" i="3" s="1"/>
  <c r="D634" i="3"/>
  <c r="E634" i="3" s="1"/>
  <c r="D1127" i="3"/>
  <c r="E1127" i="3" s="1"/>
  <c r="D880" i="3"/>
  <c r="E880" i="3" s="1"/>
  <c r="D749" i="3"/>
  <c r="E749" i="3" s="1"/>
  <c r="D1476" i="3"/>
  <c r="E1476" i="3" s="1"/>
  <c r="D1024" i="3"/>
  <c r="E1024" i="3" s="1"/>
  <c r="D753" i="3"/>
  <c r="E753" i="3" s="1"/>
  <c r="D1401" i="3"/>
  <c r="E1401" i="3" s="1"/>
  <c r="D1064" i="3"/>
  <c r="E1064" i="3" s="1"/>
  <c r="D805" i="3"/>
  <c r="E805" i="3" s="1"/>
  <c r="D658" i="3"/>
  <c r="E658" i="3" s="1"/>
  <c r="D552" i="3"/>
  <c r="E552" i="3" s="1"/>
  <c r="D488" i="3"/>
  <c r="E488" i="3" s="1"/>
  <c r="D424" i="3"/>
  <c r="E424" i="3" s="1"/>
  <c r="D776" i="3"/>
  <c r="E776" i="3" s="1"/>
  <c r="D438" i="3"/>
  <c r="E438" i="3" s="1"/>
  <c r="D287" i="3"/>
  <c r="E287" i="3" s="1"/>
  <c r="D222" i="3"/>
  <c r="E222" i="3" s="1"/>
  <c r="D158" i="3"/>
  <c r="E158" i="3" s="1"/>
  <c r="D94" i="3"/>
  <c r="E94" i="3" s="1"/>
  <c r="D30" i="3"/>
  <c r="E30" i="3" s="1"/>
  <c r="D767" i="3"/>
  <c r="E767" i="3" s="1"/>
  <c r="D484" i="3"/>
  <c r="E484" i="3" s="1"/>
  <c r="D2768" i="2"/>
  <c r="E2768" i="2" s="1"/>
  <c r="D2672" i="2"/>
  <c r="E2672" i="2" s="1"/>
  <c r="D686" i="3"/>
  <c r="E686" i="3" s="1"/>
  <c r="D379" i="3"/>
  <c r="E379" i="3" s="1"/>
  <c r="D249" i="3"/>
  <c r="E249" i="3" s="1"/>
  <c r="D185" i="3"/>
  <c r="E185" i="3" s="1"/>
  <c r="D121" i="3"/>
  <c r="E121" i="3" s="1"/>
  <c r="D57" i="3"/>
  <c r="E57" i="3" s="1"/>
  <c r="D2573" i="2"/>
  <c r="E2573" i="2" s="1"/>
  <c r="D558" i="3"/>
  <c r="E558" i="3" s="1"/>
  <c r="D328" i="3"/>
  <c r="E328" i="3" s="1"/>
  <c r="D470" i="3"/>
  <c r="E470" i="3" s="1"/>
  <c r="D327" i="3"/>
  <c r="E327" i="3" s="1"/>
  <c r="D244" i="3"/>
  <c r="E244" i="3" s="1"/>
  <c r="D180" i="3"/>
  <c r="E180" i="3" s="1"/>
  <c r="D60" i="3"/>
  <c r="E60" i="3" s="1"/>
  <c r="D574" i="3"/>
  <c r="E574" i="3" s="1"/>
  <c r="D350" i="3"/>
  <c r="E350" i="3" s="1"/>
  <c r="D580" i="3"/>
  <c r="E580" i="3" s="1"/>
  <c r="D410" i="3"/>
  <c r="E410" i="3" s="1"/>
  <c r="D526" i="3"/>
  <c r="E526" i="3" s="1"/>
  <c r="D344" i="3"/>
  <c r="E344" i="3" s="1"/>
  <c r="D2757" i="2"/>
  <c r="E2757" i="2" s="1"/>
  <c r="D2693" i="2"/>
  <c r="E2693" i="2" s="1"/>
  <c r="D2629" i="2"/>
  <c r="E2629" i="2" s="1"/>
  <c r="D168" i="3"/>
  <c r="E168" i="3" s="1"/>
  <c r="D104" i="3"/>
  <c r="E104" i="3" s="1"/>
  <c r="D40" i="3"/>
  <c r="E40" i="3" s="1"/>
  <c r="D2702" i="2"/>
  <c r="E2702" i="2" s="1"/>
  <c r="D2242" i="2"/>
  <c r="E2242" i="2" s="1"/>
  <c r="D2170" i="2"/>
  <c r="E2170" i="2" s="1"/>
  <c r="D2090" i="2"/>
  <c r="E2090" i="2" s="1"/>
  <c r="D2695" i="2"/>
  <c r="E2695" i="2" s="1"/>
  <c r="D2750" i="2"/>
  <c r="E2750" i="2" s="1"/>
  <c r="D253" i="3"/>
  <c r="E253" i="3" s="1"/>
  <c r="D189" i="3"/>
  <c r="E189" i="3" s="1"/>
  <c r="D125" i="3"/>
  <c r="E125" i="3" s="1"/>
  <c r="D61" i="3"/>
  <c r="E61" i="3" s="1"/>
  <c r="D2711" i="2"/>
  <c r="E2711" i="2" s="1"/>
  <c r="D2509" i="2"/>
  <c r="E2509" i="2" s="1"/>
  <c r="D2405" i="2"/>
  <c r="E2405" i="2" s="1"/>
  <c r="D2221" i="2"/>
  <c r="E2221" i="2" s="1"/>
  <c r="D2085" i="2"/>
  <c r="E2085" i="2" s="1"/>
  <c r="D2735" i="2"/>
  <c r="E2735" i="2" s="1"/>
  <c r="D2524" i="2"/>
  <c r="E2524" i="2" s="1"/>
  <c r="D2460" i="2"/>
  <c r="E2460" i="2" s="1"/>
  <c r="D2396" i="2"/>
  <c r="E2396" i="2" s="1"/>
  <c r="D2332" i="2"/>
  <c r="E2332" i="2" s="1"/>
  <c r="D2268" i="2"/>
  <c r="E2268" i="2" s="1"/>
  <c r="D2204" i="2"/>
  <c r="E2204" i="2" s="1"/>
  <c r="D2140" i="2"/>
  <c r="E2140" i="2" s="1"/>
  <c r="D267" i="3"/>
  <c r="E267" i="3" s="1"/>
  <c r="D203" i="3"/>
  <c r="E203" i="3" s="1"/>
  <c r="D139" i="3"/>
  <c r="E139" i="3" s="1"/>
  <c r="D75" i="3"/>
  <c r="E75" i="3" s="1"/>
  <c r="D11" i="3"/>
  <c r="E11" i="3" s="1"/>
  <c r="D2590" i="2"/>
  <c r="E2590" i="2" s="1"/>
  <c r="D2495" i="2"/>
  <c r="E2495" i="2" s="1"/>
  <c r="D2367" i="2"/>
  <c r="E2367" i="2" s="1"/>
  <c r="D2303" i="2"/>
  <c r="E2303" i="2" s="1"/>
  <c r="D2239" i="2"/>
  <c r="E2239" i="2" s="1"/>
  <c r="D2175" i="2"/>
  <c r="E2175" i="2" s="1"/>
  <c r="D2103" i="2"/>
  <c r="E2103" i="2" s="1"/>
  <c r="D2679" i="2"/>
  <c r="E2679" i="2" s="1"/>
  <c r="D2032" i="2"/>
  <c r="E2032" i="2" s="1"/>
  <c r="D2177" i="2"/>
  <c r="E2177" i="2" s="1"/>
  <c r="D1963" i="2"/>
  <c r="E1963" i="2" s="1"/>
  <c r="D1899" i="2"/>
  <c r="E1899" i="2" s="1"/>
  <c r="D1835" i="2"/>
  <c r="E1835" i="2" s="1"/>
  <c r="D1771" i="2"/>
  <c r="E1771" i="2" s="1"/>
  <c r="D1707" i="2"/>
  <c r="E1707" i="2" s="1"/>
  <c r="D1643" i="2"/>
  <c r="E1643" i="2" s="1"/>
  <c r="D1579" i="2"/>
  <c r="E1579" i="2" s="1"/>
  <c r="D1515" i="2"/>
  <c r="E1515" i="2" s="1"/>
  <c r="D1451" i="2"/>
  <c r="E1451" i="2" s="1"/>
  <c r="D1387" i="2"/>
  <c r="E1387" i="2" s="1"/>
  <c r="D1323" i="2"/>
  <c r="E1323" i="2" s="1"/>
  <c r="D1238" i="2"/>
  <c r="E1238" i="2" s="1"/>
  <c r="D2000" i="2"/>
  <c r="E2000" i="2" s="1"/>
  <c r="D2084" i="2"/>
  <c r="E2084" i="2" s="1"/>
  <c r="D1995" i="2"/>
  <c r="E1995" i="2" s="1"/>
  <c r="D1926" i="2"/>
  <c r="E1926" i="2" s="1"/>
  <c r="D1862" i="2"/>
  <c r="E1862" i="2" s="1"/>
  <c r="D1798" i="2"/>
  <c r="E1798" i="2" s="1"/>
  <c r="D1734" i="2"/>
  <c r="E1734" i="2" s="1"/>
  <c r="D2650" i="2"/>
  <c r="E2650" i="2" s="1"/>
  <c r="D2040" i="2"/>
  <c r="E2040" i="2" s="1"/>
  <c r="D2521" i="2"/>
  <c r="E2521" i="2" s="1"/>
  <c r="D2457" i="2"/>
  <c r="E2457" i="2" s="1"/>
  <c r="D2393" i="2"/>
  <c r="E2393" i="2" s="1"/>
  <c r="D2273" i="2"/>
  <c r="E2273" i="2" s="1"/>
  <c r="D1697" i="2"/>
  <c r="E1697" i="2" s="1"/>
  <c r="D2639" i="2"/>
  <c r="E2639" i="2" s="1"/>
  <c r="D2100" i="2"/>
  <c r="E2100" i="2" s="1"/>
  <c r="D2011" i="2"/>
  <c r="E2011" i="2" s="1"/>
  <c r="D1248" i="2"/>
  <c r="E1248" i="2" s="1"/>
  <c r="D1136" i="2"/>
  <c r="E1136" i="2" s="1"/>
  <c r="D2045" i="2"/>
  <c r="E2045" i="2" s="1"/>
  <c r="D1901" i="2"/>
  <c r="E1901" i="2" s="1"/>
  <c r="D1797" i="2"/>
  <c r="E1797" i="2" s="1"/>
  <c r="D1641" i="2"/>
  <c r="E1641" i="2" s="1"/>
  <c r="D1561" i="2"/>
  <c r="E1561" i="2" s="1"/>
  <c r="D1481" i="2"/>
  <c r="E1481" i="2" s="1"/>
  <c r="D1417" i="2"/>
  <c r="E1417" i="2" s="1"/>
  <c r="D1342" i="2"/>
  <c r="E1342" i="2" s="1"/>
  <c r="D1273" i="2"/>
  <c r="E1273" i="2" s="1"/>
  <c r="D966" i="2"/>
  <c r="E966" i="2" s="1"/>
  <c r="D1242" i="2"/>
  <c r="E1242" i="2" s="1"/>
  <c r="D920" i="2"/>
  <c r="E920" i="2" s="1"/>
  <c r="D1222" i="2"/>
  <c r="E1222" i="2" s="1"/>
  <c r="D942" i="2"/>
  <c r="E942" i="2" s="1"/>
  <c r="D1970" i="2"/>
  <c r="E1970" i="2" s="1"/>
  <c r="D1906" i="2"/>
  <c r="E1906" i="2" s="1"/>
  <c r="D1829" i="2"/>
  <c r="E1829" i="2" s="1"/>
  <c r="D1182" i="2"/>
  <c r="E1182" i="2" s="1"/>
  <c r="D1118" i="2"/>
  <c r="E1118" i="2" s="1"/>
  <c r="D1781" i="2"/>
  <c r="E1781" i="2" s="1"/>
  <c r="D1638" i="2"/>
  <c r="E1638" i="2" s="1"/>
  <c r="D1569" i="2"/>
  <c r="E1569" i="2" s="1"/>
  <c r="D1494" i="2"/>
  <c r="E1494" i="2" s="1"/>
  <c r="D1425" i="2"/>
  <c r="E1425" i="2" s="1"/>
  <c r="D1350" i="2"/>
  <c r="E1350" i="2" s="1"/>
  <c r="D1281" i="2"/>
  <c r="E1281" i="2" s="1"/>
  <c r="D1014" i="2"/>
  <c r="E1014" i="2" s="1"/>
  <c r="D1210" i="2"/>
  <c r="E1210" i="2" s="1"/>
  <c r="D1234" i="2"/>
  <c r="E1234" i="2" s="1"/>
  <c r="D974" i="2"/>
  <c r="E974" i="2" s="1"/>
  <c r="D1114" i="2"/>
  <c r="E1114" i="2" s="1"/>
  <c r="D925" i="2"/>
  <c r="E925" i="2" s="1"/>
  <c r="D770" i="2"/>
  <c r="E770" i="2" s="1"/>
  <c r="D1629" i="2"/>
  <c r="E1629" i="2" s="1"/>
  <c r="D1501" i="2"/>
  <c r="E1501" i="2" s="1"/>
  <c r="D1373" i="2"/>
  <c r="E1373" i="2" s="1"/>
  <c r="D1237" i="2"/>
  <c r="E1237" i="2" s="1"/>
  <c r="D1135" i="2"/>
  <c r="E1135" i="2" s="1"/>
  <c r="D932" i="2"/>
  <c r="E932" i="2" s="1"/>
  <c r="D589" i="2"/>
  <c r="E589" i="2" s="1"/>
  <c r="D509" i="2"/>
  <c r="E509" i="2" s="1"/>
  <c r="D445" i="2"/>
  <c r="E445" i="2" s="1"/>
  <c r="D373" i="2"/>
  <c r="E373" i="2" s="1"/>
  <c r="D309" i="2"/>
  <c r="E309" i="2" s="1"/>
  <c r="D229" i="2"/>
  <c r="E229" i="2" s="1"/>
  <c r="D133" i="2"/>
  <c r="E133" i="2" s="1"/>
  <c r="D1106" i="2"/>
  <c r="E1106" i="2" s="1"/>
  <c r="D957" i="2"/>
  <c r="E957" i="2" s="1"/>
  <c r="D842" i="2"/>
  <c r="E842" i="2" s="1"/>
  <c r="D778" i="2"/>
  <c r="E778" i="2" s="1"/>
  <c r="D1071" i="2"/>
  <c r="E1071" i="2" s="1"/>
  <c r="D857" i="2"/>
  <c r="E857" i="2" s="1"/>
  <c r="D1666" i="2"/>
  <c r="E1666" i="2" s="1"/>
  <c r="D1538" i="2"/>
  <c r="E1538" i="2" s="1"/>
  <c r="D1410" i="2"/>
  <c r="E1410" i="2" s="1"/>
  <c r="D1282" i="2"/>
  <c r="E1282" i="2" s="1"/>
  <c r="D1125" i="2"/>
  <c r="E1125" i="2" s="1"/>
  <c r="D922" i="2"/>
  <c r="E922" i="2" s="1"/>
  <c r="D754" i="2"/>
  <c r="E754" i="2" s="1"/>
  <c r="D512" i="2"/>
  <c r="E512" i="2" s="1"/>
  <c r="D400" i="2"/>
  <c r="E400" i="2" s="1"/>
  <c r="D320" i="2"/>
  <c r="E320" i="2" s="1"/>
  <c r="D248" i="2"/>
  <c r="E248" i="2" s="1"/>
  <c r="D1090" i="2"/>
  <c r="E1090" i="2" s="1"/>
  <c r="D928" i="2"/>
  <c r="E928" i="2" s="1"/>
  <c r="D679" i="2"/>
  <c r="E679" i="2" s="1"/>
  <c r="D615" i="2"/>
  <c r="E615" i="2" s="1"/>
  <c r="D551" i="2"/>
  <c r="E551" i="2" s="1"/>
  <c r="D487" i="2"/>
  <c r="E487" i="2" s="1"/>
  <c r="D423" i="2"/>
  <c r="E423" i="2" s="1"/>
  <c r="D359" i="2"/>
  <c r="E359" i="2" s="1"/>
  <c r="D295" i="2"/>
  <c r="E295" i="2" s="1"/>
  <c r="D231" i="2"/>
  <c r="E231" i="2" s="1"/>
  <c r="D1042" i="2"/>
  <c r="E1042" i="2" s="1"/>
  <c r="D855" i="2"/>
  <c r="E855" i="2" s="1"/>
  <c r="D812" i="2"/>
  <c r="E812" i="2" s="1"/>
  <c r="D1247" i="2"/>
  <c r="E1247" i="2" s="1"/>
  <c r="D1122" i="2"/>
  <c r="E1122" i="2" s="1"/>
  <c r="D900" i="2"/>
  <c r="E900" i="2" s="1"/>
  <c r="D711" i="2"/>
  <c r="E711" i="2" s="1"/>
  <c r="D642" i="2"/>
  <c r="E642" i="2" s="1"/>
  <c r="D578" i="2"/>
  <c r="E578" i="2" s="1"/>
  <c r="D514" i="2"/>
  <c r="E514" i="2" s="1"/>
  <c r="D450" i="2"/>
  <c r="E450" i="2" s="1"/>
  <c r="D386" i="2"/>
  <c r="E386" i="2" s="1"/>
  <c r="D322" i="2"/>
  <c r="E322" i="2" s="1"/>
  <c r="D258" i="2"/>
  <c r="E258" i="2" s="1"/>
  <c r="D194" i="2"/>
  <c r="E194" i="2" s="1"/>
  <c r="D130" i="2"/>
  <c r="E130" i="2" s="1"/>
  <c r="D790" i="2"/>
  <c r="E790" i="2" s="1"/>
  <c r="D710" i="2"/>
  <c r="E710" i="2" s="1"/>
  <c r="D172" i="2"/>
  <c r="E172" i="2" s="1"/>
  <c r="D700" i="2"/>
  <c r="E700" i="2" s="1"/>
  <c r="D636" i="2"/>
  <c r="E636" i="2" s="1"/>
  <c r="D572" i="2"/>
  <c r="E572" i="2" s="1"/>
  <c r="D508" i="2"/>
  <c r="E508" i="2" s="1"/>
  <c r="D444" i="2"/>
  <c r="E444" i="2" s="1"/>
  <c r="D380" i="2"/>
  <c r="E380" i="2" s="1"/>
  <c r="D316" i="2"/>
  <c r="E316" i="2" s="1"/>
  <c r="D252" i="2"/>
  <c r="E252" i="2" s="1"/>
  <c r="D184" i="2"/>
  <c r="E184" i="2" s="1"/>
  <c r="D124" i="2"/>
  <c r="E124" i="2" s="1"/>
  <c r="D52" i="2"/>
  <c r="E52" i="2" s="1"/>
  <c r="D159" i="2"/>
  <c r="E159" i="2" s="1"/>
  <c r="D785" i="2"/>
  <c r="E785" i="2" s="1"/>
  <c r="D705" i="2"/>
  <c r="E705" i="2" s="1"/>
  <c r="D84" i="2"/>
  <c r="E84" i="2" s="1"/>
  <c r="D15" i="2"/>
  <c r="E15" i="2" s="1"/>
  <c r="D116" i="2"/>
  <c r="E116" i="2" s="1"/>
  <c r="D74" i="2"/>
  <c r="E74" i="2" s="1"/>
  <c r="D89" i="2"/>
  <c r="E89" i="2" s="1"/>
  <c r="D1485" i="2"/>
  <c r="E1485" i="2" s="1"/>
  <c r="D1357" i="2"/>
  <c r="E1357" i="2" s="1"/>
  <c r="D1205" i="2"/>
  <c r="E1205" i="2" s="1"/>
  <c r="D1100" i="2"/>
  <c r="E1100" i="2" s="1"/>
  <c r="D869" i="2"/>
  <c r="E869" i="2" s="1"/>
  <c r="D573" i="2"/>
  <c r="E573" i="2" s="1"/>
  <c r="D501" i="2"/>
  <c r="E501" i="2" s="1"/>
  <c r="D437" i="2"/>
  <c r="E437" i="2" s="1"/>
  <c r="D365" i="2"/>
  <c r="E365" i="2" s="1"/>
  <c r="D293" i="2"/>
  <c r="E293" i="2" s="1"/>
  <c r="D221" i="2"/>
  <c r="E221" i="2" s="1"/>
  <c r="D125" i="2"/>
  <c r="E125" i="2" s="1"/>
  <c r="D1093" i="2"/>
  <c r="E1093" i="2" s="1"/>
  <c r="D951" i="2"/>
  <c r="E951" i="2" s="1"/>
  <c r="D836" i="2"/>
  <c r="E836" i="2" s="1"/>
  <c r="D764" i="2"/>
  <c r="E764" i="2" s="1"/>
  <c r="D1058" i="2"/>
  <c r="E1058" i="2" s="1"/>
  <c r="D841" i="2"/>
  <c r="E841" i="2" s="1"/>
  <c r="D1650" i="2"/>
  <c r="E1650" i="2" s="1"/>
  <c r="D1522" i="2"/>
  <c r="E1522" i="2" s="1"/>
  <c r="D1394" i="2"/>
  <c r="E1394" i="2" s="1"/>
  <c r="D1266" i="2"/>
  <c r="E1266" i="2" s="1"/>
  <c r="D1111" i="2"/>
  <c r="E1111" i="2" s="1"/>
  <c r="D916" i="2"/>
  <c r="E916" i="2" s="1"/>
  <c r="D740" i="2"/>
  <c r="E740" i="2" s="1"/>
  <c r="D504" i="2"/>
  <c r="E504" i="2" s="1"/>
  <c r="D392" i="2"/>
  <c r="E392" i="2" s="1"/>
  <c r="D312" i="2"/>
  <c r="E312" i="2" s="1"/>
  <c r="D240" i="2"/>
  <c r="E240" i="2" s="1"/>
  <c r="D1056" i="2"/>
  <c r="E1056" i="2" s="1"/>
  <c r="D896" i="2"/>
  <c r="E896" i="2" s="1"/>
  <c r="D671" i="2"/>
  <c r="E671" i="2" s="1"/>
  <c r="D607" i="2"/>
  <c r="E607" i="2" s="1"/>
  <c r="D543" i="2"/>
  <c r="E543" i="2" s="1"/>
  <c r="D479" i="2"/>
  <c r="E479" i="2" s="1"/>
  <c r="D415" i="2"/>
  <c r="E415" i="2" s="1"/>
  <c r="D351" i="2"/>
  <c r="E351" i="2" s="1"/>
  <c r="D287" i="2"/>
  <c r="E287" i="2" s="1"/>
  <c r="D223" i="2"/>
  <c r="E223" i="2" s="1"/>
  <c r="D1029" i="2"/>
  <c r="E1029" i="2" s="1"/>
  <c r="D850" i="2"/>
  <c r="E850" i="2" s="1"/>
  <c r="D794" i="2"/>
  <c r="E794" i="2" s="1"/>
  <c r="D1223" i="2"/>
  <c r="E1223" i="2" s="1"/>
  <c r="D1088" i="2"/>
  <c r="E1088" i="2" s="1"/>
  <c r="D860" i="2"/>
  <c r="E860" i="2" s="1"/>
  <c r="D698" i="2"/>
  <c r="E698" i="2" s="1"/>
  <c r="D634" i="2"/>
  <c r="E634" i="2" s="1"/>
  <c r="D570" i="2"/>
  <c r="E570" i="2" s="1"/>
  <c r="D506" i="2"/>
  <c r="E506" i="2" s="1"/>
  <c r="D442" i="2"/>
  <c r="E442" i="2" s="1"/>
  <c r="D378" i="2"/>
  <c r="E378" i="2" s="1"/>
  <c r="D314" i="2"/>
  <c r="E314" i="2" s="1"/>
  <c r="D250" i="2"/>
  <c r="E250" i="2" s="1"/>
  <c r="D186" i="2"/>
  <c r="E186" i="2" s="1"/>
  <c r="D122" i="2"/>
  <c r="E122" i="2" s="1"/>
  <c r="D782" i="2"/>
  <c r="E782" i="2" s="1"/>
  <c r="D168" i="2"/>
  <c r="E168" i="2" s="1"/>
  <c r="D167" i="2"/>
  <c r="E167" i="2" s="1"/>
  <c r="D692" i="2"/>
  <c r="E692" i="2" s="1"/>
  <c r="D628" i="2"/>
  <c r="E628" i="2" s="1"/>
  <c r="D564" i="2"/>
  <c r="E564" i="2" s="1"/>
  <c r="D500" i="2"/>
  <c r="E500" i="2" s="1"/>
  <c r="D436" i="2"/>
  <c r="E436" i="2" s="1"/>
  <c r="D372" i="2"/>
  <c r="E372" i="2" s="1"/>
  <c r="D308" i="2"/>
  <c r="E308" i="2" s="1"/>
  <c r="D244" i="2"/>
  <c r="E244" i="2" s="1"/>
  <c r="D148" i="2"/>
  <c r="E148" i="2" s="1"/>
  <c r="D119" i="2"/>
  <c r="E119" i="2" s="1"/>
  <c r="D44" i="2"/>
  <c r="E44" i="2" s="1"/>
  <c r="D136" i="2"/>
  <c r="E136" i="2" s="1"/>
  <c r="D777" i="2"/>
  <c r="E777" i="2" s="1"/>
  <c r="D697" i="2"/>
  <c r="E697" i="2" s="1"/>
  <c r="D71" i="2"/>
  <c r="E71" i="2" s="1"/>
  <c r="D7" i="2"/>
  <c r="E7" i="2" s="1"/>
  <c r="D111" i="2"/>
  <c r="E111" i="2" s="1"/>
  <c r="D66" i="2"/>
  <c r="E66" i="2" s="1"/>
  <c r="D2763" i="2"/>
  <c r="E2763" i="2" s="1"/>
  <c r="D2755" i="2"/>
  <c r="E2755" i="2" s="1"/>
  <c r="D2747" i="2"/>
  <c r="E2747" i="2" s="1"/>
  <c r="D2739" i="2"/>
  <c r="E2739" i="2" s="1"/>
  <c r="D2731" i="2"/>
  <c r="E2731" i="2" s="1"/>
  <c r="D2723" i="2"/>
  <c r="E2723" i="2" s="1"/>
  <c r="D2715" i="2"/>
  <c r="E2715" i="2" s="1"/>
  <c r="D2707" i="2"/>
  <c r="E2707" i="2" s="1"/>
  <c r="D2699" i="2"/>
  <c r="E2699" i="2" s="1"/>
  <c r="D2691" i="2"/>
  <c r="E2691" i="2" s="1"/>
  <c r="D2683" i="2"/>
  <c r="E2683" i="2" s="1"/>
  <c r="D2675" i="2"/>
  <c r="E2675" i="2" s="1"/>
  <c r="D2667" i="2"/>
  <c r="E2667" i="2" s="1"/>
  <c r="D2659" i="2"/>
  <c r="E2659" i="2" s="1"/>
  <c r="D2651" i="2"/>
  <c r="E2651" i="2" s="1"/>
  <c r="D2643" i="2"/>
  <c r="E2643" i="2" s="1"/>
  <c r="D2635" i="2"/>
  <c r="E2635" i="2" s="1"/>
  <c r="D2627" i="2"/>
  <c r="E2627" i="2" s="1"/>
  <c r="D2619" i="2"/>
  <c r="E2619" i="2" s="1"/>
  <c r="D2611" i="2"/>
  <c r="E2611" i="2" s="1"/>
  <c r="D2603" i="2"/>
  <c r="E2603" i="2" s="1"/>
  <c r="D2595" i="2"/>
  <c r="E2595" i="2" s="1"/>
  <c r="D2587" i="2"/>
  <c r="E2587" i="2" s="1"/>
  <c r="D2712" i="2"/>
  <c r="E2712" i="2" s="1"/>
  <c r="D2704" i="2"/>
  <c r="E2704" i="2" s="1"/>
  <c r="D2696" i="2"/>
  <c r="E2696" i="2" s="1"/>
  <c r="D2688" i="2"/>
  <c r="E2688" i="2" s="1"/>
  <c r="D2664" i="2"/>
  <c r="E2664" i="2" s="1"/>
  <c r="D2648" i="2"/>
  <c r="E2648" i="2" s="1"/>
  <c r="D2632" i="2"/>
  <c r="E2632" i="2" s="1"/>
  <c r="D2624" i="2"/>
  <c r="E2624" i="2" s="1"/>
  <c r="D2570" i="2"/>
  <c r="E2570" i="2" s="1"/>
  <c r="D2567" i="2"/>
  <c r="E2567" i="2" s="1"/>
  <c r="D2563" i="2"/>
  <c r="E2563" i="2" s="1"/>
  <c r="D2554" i="2"/>
  <c r="E2554" i="2" s="1"/>
  <c r="D2546" i="2"/>
  <c r="E2546" i="2" s="1"/>
  <c r="D2538" i="2"/>
  <c r="E2538" i="2" s="1"/>
  <c r="D2530" i="2"/>
  <c r="E2530" i="2" s="1"/>
  <c r="D2522" i="2"/>
  <c r="E2522" i="2" s="1"/>
  <c r="D2514" i="2"/>
  <c r="E2514" i="2" s="1"/>
  <c r="D2506" i="2"/>
  <c r="E2506" i="2" s="1"/>
  <c r="D2498" i="2"/>
  <c r="E2498" i="2" s="1"/>
  <c r="D2490" i="2"/>
  <c r="E2490" i="2" s="1"/>
  <c r="D2482" i="2"/>
  <c r="E2482" i="2" s="1"/>
  <c r="D2474" i="2"/>
  <c r="E2474" i="2" s="1"/>
  <c r="D2466" i="2"/>
  <c r="E2466" i="2" s="1"/>
  <c r="D2458" i="2"/>
  <c r="E2458" i="2" s="1"/>
  <c r="D2450" i="2"/>
  <c r="E2450" i="2" s="1"/>
  <c r="D2442" i="2"/>
  <c r="E2442" i="2" s="1"/>
  <c r="D2434" i="2"/>
  <c r="E2434" i="2" s="1"/>
  <c r="D2426" i="2"/>
  <c r="E2426" i="2" s="1"/>
  <c r="D2418" i="2"/>
  <c r="E2418" i="2" s="1"/>
  <c r="D2410" i="2"/>
  <c r="E2410" i="2" s="1"/>
  <c r="D2402" i="2"/>
  <c r="E2402" i="2" s="1"/>
  <c r="D2394" i="2"/>
  <c r="E2394" i="2" s="1"/>
  <c r="D2386" i="2"/>
  <c r="E2386" i="2" s="1"/>
  <c r="D2378" i="2"/>
  <c r="E2378" i="2" s="1"/>
  <c r="D2370" i="2"/>
  <c r="E2370" i="2" s="1"/>
  <c r="D2362" i="2"/>
  <c r="E2362" i="2" s="1"/>
  <c r="D2354" i="2"/>
  <c r="E2354" i="2" s="1"/>
  <c r="D2346" i="2"/>
  <c r="E2346" i="2" s="1"/>
  <c r="D2338" i="2"/>
  <c r="E2338" i="2" s="1"/>
  <c r="D2314" i="2"/>
  <c r="E2314" i="2" s="1"/>
  <c r="D2290" i="2"/>
  <c r="E2290" i="2" s="1"/>
  <c r="D2266" i="2"/>
  <c r="E2266" i="2" s="1"/>
  <c r="D2258" i="2"/>
  <c r="E2258" i="2" s="1"/>
  <c r="D2202" i="2"/>
  <c r="E2202" i="2" s="1"/>
  <c r="D2154" i="2"/>
  <c r="E2154" i="2" s="1"/>
  <c r="D2122" i="2"/>
  <c r="E2122" i="2" s="1"/>
  <c r="D2058" i="2"/>
  <c r="E2058" i="2" s="1"/>
  <c r="D2764" i="2"/>
  <c r="E2764" i="2" s="1"/>
  <c r="D2756" i="2"/>
  <c r="E2756" i="2" s="1"/>
  <c r="D2748" i="2"/>
  <c r="E2748" i="2" s="1"/>
  <c r="D2740" i="2"/>
  <c r="E2740" i="2" s="1"/>
  <c r="D2732" i="2"/>
  <c r="E2732" i="2" s="1"/>
  <c r="D2724" i="2"/>
  <c r="E2724" i="2" s="1"/>
  <c r="D2716" i="2"/>
  <c r="E2716" i="2" s="1"/>
  <c r="D2708" i="2"/>
  <c r="E2708" i="2" s="1"/>
  <c r="D2700" i="2"/>
  <c r="E2700" i="2" s="1"/>
  <c r="D2692" i="2"/>
  <c r="E2692" i="2" s="1"/>
  <c r="D2684" i="2"/>
  <c r="E2684" i="2" s="1"/>
  <c r="D2676" i="2"/>
  <c r="E2676" i="2" s="1"/>
  <c r="D2668" i="2"/>
  <c r="E2668" i="2" s="1"/>
  <c r="D2660" i="2"/>
  <c r="E2660" i="2" s="1"/>
  <c r="D2652" i="2"/>
  <c r="E2652" i="2" s="1"/>
  <c r="D2644" i="2"/>
  <c r="E2644" i="2" s="1"/>
  <c r="D2636" i="2"/>
  <c r="E2636" i="2" s="1"/>
  <c r="D2628" i="2"/>
  <c r="E2628" i="2" s="1"/>
  <c r="D2620" i="2"/>
  <c r="E2620" i="2" s="1"/>
  <c r="D2612" i="2"/>
  <c r="E2612" i="2" s="1"/>
  <c r="D2596" i="2"/>
  <c r="E2596" i="2" s="1"/>
  <c r="D2588" i="2"/>
  <c r="E2588" i="2" s="1"/>
  <c r="D2577" i="2"/>
  <c r="E2577" i="2" s="1"/>
  <c r="D2551" i="2"/>
  <c r="E2551" i="2" s="1"/>
  <c r="D2543" i="2"/>
  <c r="E2543" i="2" s="1"/>
  <c r="D2535" i="2"/>
  <c r="E2535" i="2" s="1"/>
  <c r="D2519" i="2"/>
  <c r="E2519" i="2" s="1"/>
  <c r="D2487" i="2"/>
  <c r="E2487" i="2" s="1"/>
  <c r="D2479" i="2"/>
  <c r="E2479" i="2" s="1"/>
  <c r="D2431" i="2"/>
  <c r="E2431" i="2" s="1"/>
  <c r="D2423" i="2"/>
  <c r="E2423" i="2" s="1"/>
  <c r="D2415" i="2"/>
  <c r="E2415" i="2" s="1"/>
  <c r="D2407" i="2"/>
  <c r="E2407" i="2" s="1"/>
  <c r="D2399" i="2"/>
  <c r="E2399" i="2" s="1"/>
  <c r="D2391" i="2"/>
  <c r="E2391" i="2" s="1"/>
  <c r="D2167" i="2"/>
  <c r="E2167" i="2" s="1"/>
  <c r="D2071" i="2"/>
  <c r="E2071" i="2" s="1"/>
  <c r="D2063" i="2"/>
  <c r="E2063" i="2" s="1"/>
  <c r="D2762" i="2"/>
  <c r="E2762" i="2" s="1"/>
  <c r="D2754" i="2"/>
  <c r="E2754" i="2" s="1"/>
  <c r="D2746" i="2"/>
  <c r="E2746" i="2" s="1"/>
  <c r="D2761" i="2"/>
  <c r="E2761" i="2" s="1"/>
  <c r="D2753" i="2"/>
  <c r="E2753" i="2" s="1"/>
  <c r="D2745" i="2"/>
  <c r="E2745" i="2" s="1"/>
  <c r="D2737" i="2"/>
  <c r="E2737" i="2" s="1"/>
  <c r="D2729" i="2"/>
  <c r="E2729" i="2" s="1"/>
  <c r="D2721" i="2"/>
  <c r="E2721" i="2" s="1"/>
  <c r="D2713" i="2"/>
  <c r="E2713" i="2" s="1"/>
  <c r="D2705" i="2"/>
  <c r="E2705" i="2" s="1"/>
  <c r="D2697" i="2"/>
  <c r="E2697" i="2" s="1"/>
  <c r="D2689" i="2"/>
  <c r="E2689" i="2" s="1"/>
  <c r="D2681" i="2"/>
  <c r="E2681" i="2" s="1"/>
  <c r="D2673" i="2"/>
  <c r="E2673" i="2" s="1"/>
  <c r="D2665" i="2"/>
  <c r="E2665" i="2" s="1"/>
  <c r="D2657" i="2"/>
  <c r="E2657" i="2" s="1"/>
  <c r="D2649" i="2"/>
  <c r="E2649" i="2" s="1"/>
  <c r="D2641" i="2"/>
  <c r="E2641" i="2" s="1"/>
  <c r="D2633" i="2"/>
  <c r="E2633" i="2" s="1"/>
  <c r="D2625" i="2"/>
  <c r="E2625" i="2" s="1"/>
  <c r="D2617" i="2"/>
  <c r="E2617" i="2" s="1"/>
  <c r="D2609" i="2"/>
  <c r="E2609" i="2" s="1"/>
  <c r="D2601" i="2"/>
  <c r="E2601" i="2" s="1"/>
  <c r="D2593" i="2"/>
  <c r="E2593" i="2" s="1"/>
  <c r="D2585" i="2"/>
  <c r="E2585" i="2" s="1"/>
  <c r="D2549" i="2"/>
  <c r="E2549" i="2" s="1"/>
  <c r="D2493" i="2"/>
  <c r="E2493" i="2" s="1"/>
  <c r="D2485" i="2"/>
  <c r="E2485" i="2" s="1"/>
  <c r="D2477" i="2"/>
  <c r="E2477" i="2" s="1"/>
  <c r="D2469" i="2"/>
  <c r="E2469" i="2" s="1"/>
  <c r="D2437" i="2"/>
  <c r="E2437" i="2" s="1"/>
  <c r="D2373" i="2"/>
  <c r="E2373" i="2" s="1"/>
  <c r="D2349" i="2"/>
  <c r="E2349" i="2" s="1"/>
  <c r="D2341" i="2"/>
  <c r="E2341" i="2" s="1"/>
  <c r="D2333" i="2"/>
  <c r="E2333" i="2" s="1"/>
  <c r="D2325" i="2"/>
  <c r="E2325" i="2" s="1"/>
  <c r="D2317" i="2"/>
  <c r="E2317" i="2" s="1"/>
  <c r="D2309" i="2"/>
  <c r="E2309" i="2" s="1"/>
  <c r="D2301" i="2"/>
  <c r="E2301" i="2" s="1"/>
  <c r="D2293" i="2"/>
  <c r="E2293" i="2" s="1"/>
  <c r="D2277" i="2"/>
  <c r="E2277" i="2" s="1"/>
  <c r="D2261" i="2"/>
  <c r="E2261" i="2" s="1"/>
  <c r="D2253" i="2"/>
  <c r="E2253" i="2" s="1"/>
  <c r="D2245" i="2"/>
  <c r="E2245" i="2" s="1"/>
  <c r="D2237" i="2"/>
  <c r="E2237" i="2" s="1"/>
  <c r="D2229" i="2"/>
  <c r="E2229" i="2" s="1"/>
  <c r="D2213" i="2"/>
  <c r="E2213" i="2" s="1"/>
  <c r="D2181" i="2"/>
  <c r="E2181" i="2" s="1"/>
  <c r="D2165" i="2"/>
  <c r="E2165" i="2" s="1"/>
  <c r="D2157" i="2"/>
  <c r="E2157" i="2" s="1"/>
  <c r="D2149" i="2"/>
  <c r="E2149" i="2" s="1"/>
  <c r="D2141" i="2"/>
  <c r="E2141" i="2" s="1"/>
  <c r="D2133" i="2"/>
  <c r="E2133" i="2" s="1"/>
  <c r="D2109" i="2"/>
  <c r="E2109" i="2" s="1"/>
  <c r="D2101" i="2"/>
  <c r="E2101" i="2" s="1"/>
  <c r="D2550" i="2"/>
  <c r="E2550" i="2" s="1"/>
  <c r="D2542" i="2"/>
  <c r="E2542" i="2" s="1"/>
  <c r="D2534" i="2"/>
  <c r="E2534" i="2" s="1"/>
  <c r="D2526" i="2"/>
  <c r="E2526" i="2" s="1"/>
  <c r="D2518" i="2"/>
  <c r="E2518" i="2" s="1"/>
  <c r="D2510" i="2"/>
  <c r="E2510" i="2" s="1"/>
  <c r="D2502" i="2"/>
  <c r="E2502" i="2" s="1"/>
  <c r="D2494" i="2"/>
  <c r="E2494" i="2" s="1"/>
  <c r="D2486" i="2"/>
  <c r="E2486" i="2" s="1"/>
  <c r="D2478" i="2"/>
  <c r="E2478" i="2" s="1"/>
  <c r="D2470" i="2"/>
  <c r="E2470" i="2" s="1"/>
  <c r="D2462" i="2"/>
  <c r="E2462" i="2" s="1"/>
  <c r="D2454" i="2"/>
  <c r="E2454" i="2" s="1"/>
  <c r="D2446" i="2"/>
  <c r="E2446" i="2" s="1"/>
  <c r="D2438" i="2"/>
  <c r="E2438" i="2" s="1"/>
  <c r="D2430" i="2"/>
  <c r="E2430" i="2" s="1"/>
  <c r="D2422" i="2"/>
  <c r="E2422" i="2" s="1"/>
  <c r="D2414" i="2"/>
  <c r="E2414" i="2" s="1"/>
  <c r="D2406" i="2"/>
  <c r="E2406" i="2" s="1"/>
  <c r="D2398" i="2"/>
  <c r="E2398" i="2" s="1"/>
  <c r="D2390" i="2"/>
  <c r="E2390" i="2" s="1"/>
  <c r="D2382" i="2"/>
  <c r="E2382" i="2" s="1"/>
  <c r="D2374" i="2"/>
  <c r="E2374" i="2" s="1"/>
  <c r="D2366" i="2"/>
  <c r="E2366" i="2" s="1"/>
  <c r="D2358" i="2"/>
  <c r="E2358" i="2" s="1"/>
  <c r="D2350" i="2"/>
  <c r="E2350" i="2" s="1"/>
  <c r="D2342" i="2"/>
  <c r="E2342" i="2" s="1"/>
  <c r="D2334" i="2"/>
  <c r="E2334" i="2" s="1"/>
  <c r="D2326" i="2"/>
  <c r="E2326" i="2" s="1"/>
  <c r="D2318" i="2"/>
  <c r="E2318" i="2" s="1"/>
  <c r="D2310" i="2"/>
  <c r="E2310" i="2" s="1"/>
  <c r="D2302" i="2"/>
  <c r="E2302" i="2" s="1"/>
  <c r="D2294" i="2"/>
  <c r="E2294" i="2" s="1"/>
  <c r="D2286" i="2"/>
  <c r="E2286" i="2" s="1"/>
  <c r="D2278" i="2"/>
  <c r="E2278" i="2" s="1"/>
  <c r="D2270" i="2"/>
  <c r="E2270" i="2" s="1"/>
  <c r="D2262" i="2"/>
  <c r="E2262" i="2" s="1"/>
  <c r="D2254" i="2"/>
  <c r="E2254" i="2" s="1"/>
  <c r="D2246" i="2"/>
  <c r="E2246" i="2" s="1"/>
  <c r="D2238" i="2"/>
  <c r="E2238" i="2" s="1"/>
  <c r="D2230" i="2"/>
  <c r="E2230" i="2" s="1"/>
  <c r="D2222" i="2"/>
  <c r="E2222" i="2" s="1"/>
  <c r="D2214" i="2"/>
  <c r="E2214" i="2" s="1"/>
  <c r="D2206" i="2"/>
  <c r="E2206" i="2" s="1"/>
  <c r="D2198" i="2"/>
  <c r="E2198" i="2" s="1"/>
  <c r="D2190" i="2"/>
  <c r="E2190" i="2" s="1"/>
  <c r="D2182" i="2"/>
  <c r="E2182" i="2" s="1"/>
  <c r="D2174" i="2"/>
  <c r="E2174" i="2" s="1"/>
  <c r="D2166" i="2"/>
  <c r="E2166" i="2" s="1"/>
  <c r="D2158" i="2"/>
  <c r="E2158" i="2" s="1"/>
  <c r="D2150" i="2"/>
  <c r="E2150" i="2" s="1"/>
  <c r="D2142" i="2"/>
  <c r="E2142" i="2" s="1"/>
  <c r="D2134" i="2"/>
  <c r="E2134" i="2" s="1"/>
  <c r="D2126" i="2"/>
  <c r="E2126" i="2" s="1"/>
  <c r="D2118" i="2"/>
  <c r="E2118" i="2" s="1"/>
  <c r="D2110" i="2"/>
  <c r="E2110" i="2" s="1"/>
  <c r="D2102" i="2"/>
  <c r="E2102" i="2" s="1"/>
  <c r="D2094" i="2"/>
  <c r="E2094" i="2" s="1"/>
  <c r="D2086" i="2"/>
  <c r="E2086" i="2" s="1"/>
  <c r="D2078" i="2"/>
  <c r="E2078" i="2" s="1"/>
  <c r="D2070" i="2"/>
  <c r="E2070" i="2" s="1"/>
  <c r="D2062" i="2"/>
  <c r="E2062" i="2" s="1"/>
  <c r="D2054" i="2"/>
  <c r="E2054" i="2" s="1"/>
  <c r="D2041" i="2"/>
  <c r="E2041" i="2" s="1"/>
  <c r="D2033" i="2"/>
  <c r="E2033" i="2" s="1"/>
  <c r="D2025" i="2"/>
  <c r="E2025" i="2" s="1"/>
  <c r="D2017" i="2"/>
  <c r="E2017" i="2" s="1"/>
  <c r="D2009" i="2"/>
  <c r="E2009" i="2" s="1"/>
  <c r="D2001" i="2"/>
  <c r="E2001" i="2" s="1"/>
  <c r="D1993" i="2"/>
  <c r="E1993" i="2" s="1"/>
  <c r="D1985" i="2"/>
  <c r="E1985" i="2" s="1"/>
  <c r="D1977" i="2"/>
  <c r="E1977" i="2" s="1"/>
  <c r="D1969" i="2"/>
  <c r="E1969" i="2" s="1"/>
  <c r="D1961" i="2"/>
  <c r="E1961" i="2" s="1"/>
  <c r="D1953" i="2"/>
  <c r="E1953" i="2" s="1"/>
  <c r="D1945" i="2"/>
  <c r="E1945" i="2" s="1"/>
  <c r="D1937" i="2"/>
  <c r="E1937" i="2" s="1"/>
  <c r="D1929" i="2"/>
  <c r="E1929" i="2" s="1"/>
  <c r="D1921" i="2"/>
  <c r="E1921" i="2" s="1"/>
  <c r="D1913" i="2"/>
  <c r="E1913" i="2" s="1"/>
  <c r="D1905" i="2"/>
  <c r="E1905" i="2" s="1"/>
  <c r="D1897" i="2"/>
  <c r="E1897" i="2" s="1"/>
  <c r="D1889" i="2"/>
  <c r="E1889" i="2" s="1"/>
  <c r="D1881" i="2"/>
  <c r="E1881" i="2" s="1"/>
  <c r="D1873" i="2"/>
  <c r="E1873" i="2" s="1"/>
  <c r="D1865" i="2"/>
  <c r="E1865" i="2" s="1"/>
  <c r="D1857" i="2"/>
  <c r="E1857" i="2" s="1"/>
  <c r="D1849" i="2"/>
  <c r="E1849" i="2" s="1"/>
  <c r="D1841" i="2"/>
  <c r="E1841" i="2" s="1"/>
  <c r="D1833" i="2"/>
  <c r="E1833" i="2" s="1"/>
  <c r="D1825" i="2"/>
  <c r="E1825" i="2" s="1"/>
  <c r="D1817" i="2"/>
  <c r="E1817" i="2" s="1"/>
  <c r="D1809" i="2"/>
  <c r="E1809" i="2" s="1"/>
  <c r="D1801" i="2"/>
  <c r="E1801" i="2" s="1"/>
  <c r="D1793" i="2"/>
  <c r="E1793" i="2" s="1"/>
  <c r="D1785" i="2"/>
  <c r="E1785" i="2" s="1"/>
  <c r="D1777" i="2"/>
  <c r="E1777" i="2" s="1"/>
  <c r="D1769" i="2"/>
  <c r="E1769" i="2" s="1"/>
  <c r="D1761" i="2"/>
  <c r="E1761" i="2" s="1"/>
  <c r="D1753" i="2"/>
  <c r="E1753" i="2" s="1"/>
  <c r="D1745" i="2"/>
  <c r="E1745" i="2" s="1"/>
  <c r="D1737" i="2"/>
  <c r="E1737" i="2" s="1"/>
  <c r="D1729" i="2"/>
  <c r="E1729" i="2" s="1"/>
  <c r="D1721" i="2"/>
  <c r="E1721" i="2" s="1"/>
  <c r="D1705" i="2"/>
  <c r="E1705" i="2" s="1"/>
  <c r="D1689" i="2"/>
  <c r="E1689" i="2" s="1"/>
  <c r="D1665" i="2"/>
  <c r="E1665" i="2" s="1"/>
  <c r="D1657" i="2"/>
  <c r="E1657" i="2" s="1"/>
  <c r="D1609" i="2"/>
  <c r="E1609" i="2" s="1"/>
  <c r="D1585" i="2"/>
  <c r="E1585" i="2" s="1"/>
  <c r="D1577" i="2"/>
  <c r="E1577" i="2" s="1"/>
  <c r="D1545" i="2"/>
  <c r="E1545" i="2" s="1"/>
  <c r="D1505" i="2"/>
  <c r="E1505" i="2" s="1"/>
  <c r="D1497" i="2"/>
  <c r="E1497" i="2" s="1"/>
  <c r="D1473" i="2"/>
  <c r="E1473" i="2" s="1"/>
  <c r="D1361" i="2"/>
  <c r="E1361" i="2" s="1"/>
  <c r="D1353" i="2"/>
  <c r="E1353" i="2" s="1"/>
  <c r="D1265" i="2"/>
  <c r="E1265" i="2" s="1"/>
  <c r="D1257" i="2"/>
  <c r="E1257" i="2" s="1"/>
  <c r="D1249" i="2"/>
  <c r="E1249" i="2" s="1"/>
  <c r="D1241" i="2"/>
  <c r="E1241" i="2" s="1"/>
  <c r="D1233" i="2"/>
  <c r="E1233" i="2" s="1"/>
  <c r="D1225" i="2"/>
  <c r="E1225" i="2" s="1"/>
  <c r="D1217" i="2"/>
  <c r="E1217" i="2" s="1"/>
  <c r="D2730" i="2"/>
  <c r="E2730" i="2" s="1"/>
  <c r="D1302" i="2"/>
  <c r="E1302" i="2" s="1"/>
  <c r="D1294" i="2"/>
  <c r="E1294" i="2" s="1"/>
  <c r="D2722" i="2"/>
  <c r="E2722" i="2" s="1"/>
  <c r="D2571" i="2"/>
  <c r="E2571" i="2" s="1"/>
  <c r="D2561" i="2"/>
  <c r="E2561" i="2" s="1"/>
  <c r="D2552" i="2"/>
  <c r="E2552" i="2" s="1"/>
  <c r="D2544" i="2"/>
  <c r="E2544" i="2" s="1"/>
  <c r="D2536" i="2"/>
  <c r="E2536" i="2" s="1"/>
  <c r="D2528" i="2"/>
  <c r="E2528" i="2" s="1"/>
  <c r="D2520" i="2"/>
  <c r="E2520" i="2" s="1"/>
  <c r="D2512" i="2"/>
  <c r="E2512" i="2" s="1"/>
  <c r="D2504" i="2"/>
  <c r="E2504" i="2" s="1"/>
  <c r="D2496" i="2"/>
  <c r="E2496" i="2" s="1"/>
  <c r="D2488" i="2"/>
  <c r="E2488" i="2" s="1"/>
  <c r="D2480" i="2"/>
  <c r="E2480" i="2" s="1"/>
  <c r="D2472" i="2"/>
  <c r="E2472" i="2" s="1"/>
  <c r="D2464" i="2"/>
  <c r="E2464" i="2" s="1"/>
  <c r="D2456" i="2"/>
  <c r="E2456" i="2" s="1"/>
  <c r="D2448" i="2"/>
  <c r="E2448" i="2" s="1"/>
  <c r="D2440" i="2"/>
  <c r="E2440" i="2" s="1"/>
  <c r="D2432" i="2"/>
  <c r="E2432" i="2" s="1"/>
  <c r="D2424" i="2"/>
  <c r="E2424" i="2" s="1"/>
  <c r="D2416" i="2"/>
  <c r="E2416" i="2" s="1"/>
  <c r="D2408" i="2"/>
  <c r="E2408" i="2" s="1"/>
  <c r="D2400" i="2"/>
  <c r="E2400" i="2" s="1"/>
  <c r="D2392" i="2"/>
  <c r="E2392" i="2" s="1"/>
  <c r="D2384" i="2"/>
  <c r="E2384" i="2" s="1"/>
  <c r="D2376" i="2"/>
  <c r="E2376" i="2" s="1"/>
  <c r="D2368" i="2"/>
  <c r="E2368" i="2" s="1"/>
  <c r="D2360" i="2"/>
  <c r="E2360" i="2" s="1"/>
  <c r="D2352" i="2"/>
  <c r="E2352" i="2" s="1"/>
  <c r="D2344" i="2"/>
  <c r="E2344" i="2" s="1"/>
  <c r="D2336" i="2"/>
  <c r="E2336" i="2" s="1"/>
  <c r="D2328" i="2"/>
  <c r="E2328" i="2" s="1"/>
  <c r="D2320" i="2"/>
  <c r="E2320" i="2" s="1"/>
  <c r="D2312" i="2"/>
  <c r="E2312" i="2" s="1"/>
  <c r="D2304" i="2"/>
  <c r="E2304" i="2" s="1"/>
  <c r="D2296" i="2"/>
  <c r="E2296" i="2" s="1"/>
  <c r="D2288" i="2"/>
  <c r="E2288" i="2" s="1"/>
  <c r="D2280" i="2"/>
  <c r="E2280" i="2" s="1"/>
  <c r="D2272" i="2"/>
  <c r="E2272" i="2" s="1"/>
  <c r="D2264" i="2"/>
  <c r="E2264" i="2" s="1"/>
  <c r="D2256" i="2"/>
  <c r="E2256" i="2" s="1"/>
  <c r="D2248" i="2"/>
  <c r="E2248" i="2" s="1"/>
  <c r="D2240" i="2"/>
  <c r="E2240" i="2" s="1"/>
  <c r="D2232" i="2"/>
  <c r="E2232" i="2" s="1"/>
  <c r="D2224" i="2"/>
  <c r="E2224" i="2" s="1"/>
  <c r="D2216" i="2"/>
  <c r="E2216" i="2" s="1"/>
  <c r="D2208" i="2"/>
  <c r="E2208" i="2" s="1"/>
  <c r="D2200" i="2"/>
  <c r="E2200" i="2" s="1"/>
  <c r="D2192" i="2"/>
  <c r="E2192" i="2" s="1"/>
  <c r="D2184" i="2"/>
  <c r="E2184" i="2" s="1"/>
  <c r="D2176" i="2"/>
  <c r="E2176" i="2" s="1"/>
  <c r="D2168" i="2"/>
  <c r="E2168" i="2" s="1"/>
  <c r="D2160" i="2"/>
  <c r="E2160" i="2" s="1"/>
  <c r="D2152" i="2"/>
  <c r="E2152" i="2" s="1"/>
  <c r="D2144" i="2"/>
  <c r="E2144" i="2" s="1"/>
  <c r="D2136" i="2"/>
  <c r="E2136" i="2" s="1"/>
  <c r="D2128" i="2"/>
  <c r="E2128" i="2" s="1"/>
  <c r="D2120" i="2"/>
  <c r="E2120" i="2" s="1"/>
  <c r="D2112" i="2"/>
  <c r="E2112" i="2" s="1"/>
  <c r="D2104" i="2"/>
  <c r="E2104" i="2" s="1"/>
  <c r="D2674" i="2"/>
  <c r="E2674" i="2" s="1"/>
  <c r="D2658" i="2"/>
  <c r="E2658" i="2" s="1"/>
  <c r="D2642" i="2"/>
  <c r="E2642" i="2" s="1"/>
  <c r="D2626" i="2"/>
  <c r="E2626" i="2" s="1"/>
  <c r="D2610" i="2"/>
  <c r="E2610" i="2" s="1"/>
  <c r="D2594" i="2"/>
  <c r="E2594" i="2" s="1"/>
  <c r="D2579" i="2"/>
  <c r="E2579" i="2" s="1"/>
  <c r="D2575" i="2"/>
  <c r="E2575" i="2" s="1"/>
  <c r="D2714" i="2"/>
  <c r="E2714" i="2" s="1"/>
  <c r="D2663" i="2"/>
  <c r="E2663" i="2" s="1"/>
  <c r="D2647" i="2"/>
  <c r="E2647" i="2" s="1"/>
  <c r="D2631" i="2"/>
  <c r="E2631" i="2" s="1"/>
  <c r="D2615" i="2"/>
  <c r="E2615" i="2" s="1"/>
  <c r="D2599" i="2"/>
  <c r="E2599" i="2" s="1"/>
  <c r="D2555" i="2"/>
  <c r="E2555" i="2" s="1"/>
  <c r="D2547" i="2"/>
  <c r="E2547" i="2" s="1"/>
  <c r="D2539" i="2"/>
  <c r="E2539" i="2" s="1"/>
  <c r="D2531" i="2"/>
  <c r="E2531" i="2" s="1"/>
  <c r="D2523" i="2"/>
  <c r="E2523" i="2" s="1"/>
  <c r="D2515" i="2"/>
  <c r="E2515" i="2" s="1"/>
  <c r="D2507" i="2"/>
  <c r="E2507" i="2" s="1"/>
  <c r="D2499" i="2"/>
  <c r="E2499" i="2" s="1"/>
  <c r="D2491" i="2"/>
  <c r="E2491" i="2" s="1"/>
  <c r="D2483" i="2"/>
  <c r="E2483" i="2" s="1"/>
  <c r="D2475" i="2"/>
  <c r="E2475" i="2" s="1"/>
  <c r="D2467" i="2"/>
  <c r="E2467" i="2" s="1"/>
  <c r="D2459" i="2"/>
  <c r="E2459" i="2" s="1"/>
  <c r="D2451" i="2"/>
  <c r="E2451" i="2" s="1"/>
  <c r="D2443" i="2"/>
  <c r="E2443" i="2" s="1"/>
  <c r="D2435" i="2"/>
  <c r="E2435" i="2" s="1"/>
  <c r="D2427" i="2"/>
  <c r="E2427" i="2" s="1"/>
  <c r="D2419" i="2"/>
  <c r="E2419" i="2" s="1"/>
  <c r="D2411" i="2"/>
  <c r="E2411" i="2" s="1"/>
  <c r="D2403" i="2"/>
  <c r="E2403" i="2" s="1"/>
  <c r="D2395" i="2"/>
  <c r="E2395" i="2" s="1"/>
  <c r="D2387" i="2"/>
  <c r="E2387" i="2" s="1"/>
  <c r="D2379" i="2"/>
  <c r="E2379" i="2" s="1"/>
  <c r="D2371" i="2"/>
  <c r="E2371" i="2" s="1"/>
  <c r="D2363" i="2"/>
  <c r="E2363" i="2" s="1"/>
  <c r="D2355" i="2"/>
  <c r="E2355" i="2" s="1"/>
  <c r="D2347" i="2"/>
  <c r="E2347" i="2" s="1"/>
  <c r="D2339" i="2"/>
  <c r="E2339" i="2" s="1"/>
  <c r="D2331" i="2"/>
  <c r="E2331" i="2" s="1"/>
  <c r="D2323" i="2"/>
  <c r="E2323" i="2" s="1"/>
  <c r="D2315" i="2"/>
  <c r="E2315" i="2" s="1"/>
  <c r="D2307" i="2"/>
  <c r="E2307" i="2" s="1"/>
  <c r="D2299" i="2"/>
  <c r="E2299" i="2" s="1"/>
  <c r="D2291" i="2"/>
  <c r="E2291" i="2" s="1"/>
  <c r="D2283" i="2"/>
  <c r="E2283" i="2" s="1"/>
  <c r="D2275" i="2"/>
  <c r="E2275" i="2" s="1"/>
  <c r="D2267" i="2"/>
  <c r="E2267" i="2" s="1"/>
  <c r="D2259" i="2"/>
  <c r="E2259" i="2" s="1"/>
  <c r="D2251" i="2"/>
  <c r="E2251" i="2" s="1"/>
  <c r="D2243" i="2"/>
  <c r="E2243" i="2" s="1"/>
  <c r="D2235" i="2"/>
  <c r="E2235" i="2" s="1"/>
  <c r="D2227" i="2"/>
  <c r="E2227" i="2" s="1"/>
  <c r="D2219" i="2"/>
  <c r="E2219" i="2" s="1"/>
  <c r="D2211" i="2"/>
  <c r="E2211" i="2" s="1"/>
  <c r="D2203" i="2"/>
  <c r="E2203" i="2" s="1"/>
  <c r="D2195" i="2"/>
  <c r="E2195" i="2" s="1"/>
  <c r="D2187" i="2"/>
  <c r="E2187" i="2" s="1"/>
  <c r="D2179" i="2"/>
  <c r="E2179" i="2" s="1"/>
  <c r="D2171" i="2"/>
  <c r="E2171" i="2" s="1"/>
  <c r="D2163" i="2"/>
  <c r="E2163" i="2" s="1"/>
  <c r="D2155" i="2"/>
  <c r="E2155" i="2" s="1"/>
  <c r="D2147" i="2"/>
  <c r="E2147" i="2" s="1"/>
  <c r="D2139" i="2"/>
  <c r="E2139" i="2" s="1"/>
  <c r="D2131" i="2"/>
  <c r="E2131" i="2" s="1"/>
  <c r="D2123" i="2"/>
  <c r="E2123" i="2" s="1"/>
  <c r="D2115" i="2"/>
  <c r="E2115" i="2" s="1"/>
  <c r="D2107" i="2"/>
  <c r="E2107" i="2" s="1"/>
  <c r="D2099" i="2"/>
  <c r="E2099" i="2" s="1"/>
  <c r="D2091" i="2"/>
  <c r="E2091" i="2" s="1"/>
  <c r="D2083" i="2"/>
  <c r="E2083" i="2" s="1"/>
  <c r="D2075" i="2"/>
  <c r="E2075" i="2" s="1"/>
  <c r="D2067" i="2"/>
  <c r="E2067" i="2" s="1"/>
  <c r="D2059" i="2"/>
  <c r="E2059" i="2" s="1"/>
  <c r="D2051" i="2"/>
  <c r="E2051" i="2" s="1"/>
  <c r="D2047" i="2"/>
  <c r="E2047" i="2" s="1"/>
  <c r="D2039" i="2"/>
  <c r="E2039" i="2" s="1"/>
  <c r="D2031" i="2"/>
  <c r="E2031" i="2" s="1"/>
  <c r="D2023" i="2"/>
  <c r="E2023" i="2" s="1"/>
  <c r="D2015" i="2"/>
  <c r="E2015" i="2" s="1"/>
  <c r="D2738" i="2"/>
  <c r="E2738" i="2" s="1"/>
  <c r="D2690" i="2"/>
  <c r="E2690" i="2" s="1"/>
  <c r="D2583" i="2"/>
  <c r="E2583" i="2" s="1"/>
  <c r="D2578" i="2"/>
  <c r="E2578" i="2" s="1"/>
  <c r="D2569" i="2"/>
  <c r="E2569" i="2" s="1"/>
  <c r="D2564" i="2"/>
  <c r="E2564" i="2" s="1"/>
  <c r="D2044" i="2"/>
  <c r="E2044" i="2" s="1"/>
  <c r="D2036" i="2"/>
  <c r="E2036" i="2" s="1"/>
  <c r="D2028" i="2"/>
  <c r="E2028" i="2" s="1"/>
  <c r="D2020" i="2"/>
  <c r="E2020" i="2" s="1"/>
  <c r="D2012" i="2"/>
  <c r="E2012" i="2" s="1"/>
  <c r="D2004" i="2"/>
  <c r="E2004" i="2" s="1"/>
  <c r="D1996" i="2"/>
  <c r="E1996" i="2" s="1"/>
  <c r="D1988" i="2"/>
  <c r="E1988" i="2" s="1"/>
  <c r="D1980" i="2"/>
  <c r="E1980" i="2" s="1"/>
  <c r="D1972" i="2"/>
  <c r="E1972" i="2" s="1"/>
  <c r="D1964" i="2"/>
  <c r="E1964" i="2" s="1"/>
  <c r="D1956" i="2"/>
  <c r="E1956" i="2" s="1"/>
  <c r="D1948" i="2"/>
  <c r="E1948" i="2" s="1"/>
  <c r="D1940" i="2"/>
  <c r="E1940" i="2" s="1"/>
  <c r="D1932" i="2"/>
  <c r="E1932" i="2" s="1"/>
  <c r="D1924" i="2"/>
  <c r="E1924" i="2" s="1"/>
  <c r="D1916" i="2"/>
  <c r="E1916" i="2" s="1"/>
  <c r="D1908" i="2"/>
  <c r="E1908" i="2" s="1"/>
  <c r="D1900" i="2"/>
  <c r="E1900" i="2" s="1"/>
  <c r="D1892" i="2"/>
  <c r="E1892" i="2" s="1"/>
  <c r="D1884" i="2"/>
  <c r="E1884" i="2" s="1"/>
  <c r="D1876" i="2"/>
  <c r="E1876" i="2" s="1"/>
  <c r="D1868" i="2"/>
  <c r="E1868" i="2" s="1"/>
  <c r="D1860" i="2"/>
  <c r="E1860" i="2" s="1"/>
  <c r="D1852" i="2"/>
  <c r="E1852" i="2" s="1"/>
  <c r="D1844" i="2"/>
  <c r="E1844" i="2" s="1"/>
  <c r="D1836" i="2"/>
  <c r="E1836" i="2" s="1"/>
  <c r="D1828" i="2"/>
  <c r="E1828" i="2" s="1"/>
  <c r="D1820" i="2"/>
  <c r="E1820" i="2" s="1"/>
  <c r="D1812" i="2"/>
  <c r="E1812" i="2" s="1"/>
  <c r="D1804" i="2"/>
  <c r="E1804" i="2" s="1"/>
  <c r="D1796" i="2"/>
  <c r="E1796" i="2" s="1"/>
  <c r="D1788" i="2"/>
  <c r="E1788" i="2" s="1"/>
  <c r="D1780" i="2"/>
  <c r="E1780" i="2" s="1"/>
  <c r="D1772" i="2"/>
  <c r="E1772" i="2" s="1"/>
  <c r="D1764" i="2"/>
  <c r="E1764" i="2" s="1"/>
  <c r="D1756" i="2"/>
  <c r="E1756" i="2" s="1"/>
  <c r="D1748" i="2"/>
  <c r="E1748" i="2" s="1"/>
  <c r="D1740" i="2"/>
  <c r="E1740" i="2" s="1"/>
  <c r="D1732" i="2"/>
  <c r="E1732" i="2" s="1"/>
  <c r="D1724" i="2"/>
  <c r="E1724" i="2" s="1"/>
  <c r="D1716" i="2"/>
  <c r="E1716" i="2" s="1"/>
  <c r="D1708" i="2"/>
  <c r="E1708" i="2" s="1"/>
  <c r="D1700" i="2"/>
  <c r="E1700" i="2" s="1"/>
  <c r="D1692" i="2"/>
  <c r="E1692" i="2" s="1"/>
  <c r="D1684" i="2"/>
  <c r="E1684" i="2" s="1"/>
  <c r="D1676" i="2"/>
  <c r="E1676" i="2" s="1"/>
  <c r="D1668" i="2"/>
  <c r="E1668" i="2" s="1"/>
  <c r="D1660" i="2"/>
  <c r="E1660" i="2" s="1"/>
  <c r="D1652" i="2"/>
  <c r="E1652" i="2" s="1"/>
  <c r="D1644" i="2"/>
  <c r="E1644" i="2" s="1"/>
  <c r="D1636" i="2"/>
  <c r="E1636" i="2" s="1"/>
  <c r="D1628" i="2"/>
  <c r="E1628" i="2" s="1"/>
  <c r="D1620" i="2"/>
  <c r="E1620" i="2" s="1"/>
  <c r="D1612" i="2"/>
  <c r="E1612" i="2" s="1"/>
  <c r="D1604" i="2"/>
  <c r="E1604" i="2" s="1"/>
  <c r="D1596" i="2"/>
  <c r="E1596" i="2" s="1"/>
  <c r="D1588" i="2"/>
  <c r="E1588" i="2" s="1"/>
  <c r="D1580" i="2"/>
  <c r="E1580" i="2" s="1"/>
  <c r="D1572" i="2"/>
  <c r="E1572" i="2" s="1"/>
  <c r="D1564" i="2"/>
  <c r="E1564" i="2" s="1"/>
  <c r="D1556" i="2"/>
  <c r="E1556" i="2" s="1"/>
  <c r="D1548" i="2"/>
  <c r="E1548" i="2" s="1"/>
  <c r="D1540" i="2"/>
  <c r="E1540" i="2" s="1"/>
  <c r="D1532" i="2"/>
  <c r="E1532" i="2" s="1"/>
  <c r="D1524" i="2"/>
  <c r="E1524" i="2" s="1"/>
  <c r="D1516" i="2"/>
  <c r="E1516" i="2" s="1"/>
  <c r="D1508" i="2"/>
  <c r="E1508" i="2" s="1"/>
  <c r="D1500" i="2"/>
  <c r="E1500" i="2" s="1"/>
  <c r="D1492" i="2"/>
  <c r="E1492" i="2" s="1"/>
  <c r="D1484" i="2"/>
  <c r="E1484" i="2" s="1"/>
  <c r="D1476" i="2"/>
  <c r="E1476" i="2" s="1"/>
  <c r="D1468" i="2"/>
  <c r="E1468" i="2" s="1"/>
  <c r="D1460" i="2"/>
  <c r="E1460" i="2" s="1"/>
  <c r="D1452" i="2"/>
  <c r="E1452" i="2" s="1"/>
  <c r="D1444" i="2"/>
  <c r="E1444" i="2" s="1"/>
  <c r="D1436" i="2"/>
  <c r="E1436" i="2" s="1"/>
  <c r="D1428" i="2"/>
  <c r="E1428" i="2" s="1"/>
  <c r="D1420" i="2"/>
  <c r="E1420" i="2" s="1"/>
  <c r="D1412" i="2"/>
  <c r="E1412" i="2" s="1"/>
  <c r="D1404" i="2"/>
  <c r="E1404" i="2" s="1"/>
  <c r="D1396" i="2"/>
  <c r="E1396" i="2" s="1"/>
  <c r="D1388" i="2"/>
  <c r="E1388" i="2" s="1"/>
  <c r="D1380" i="2"/>
  <c r="E1380" i="2" s="1"/>
  <c r="D1372" i="2"/>
  <c r="E1372" i="2" s="1"/>
  <c r="D1364" i="2"/>
  <c r="E1364" i="2" s="1"/>
  <c r="D1356" i="2"/>
  <c r="E1356" i="2" s="1"/>
  <c r="D1348" i="2"/>
  <c r="E1348" i="2" s="1"/>
  <c r="D1340" i="2"/>
  <c r="E1340" i="2" s="1"/>
  <c r="D1332" i="2"/>
  <c r="E1332" i="2" s="1"/>
  <c r="D1324" i="2"/>
  <c r="E1324" i="2" s="1"/>
  <c r="D1316" i="2"/>
  <c r="E1316" i="2" s="1"/>
  <c r="D1308" i="2"/>
  <c r="E1308" i="2" s="1"/>
  <c r="D1300" i="2"/>
  <c r="E1300" i="2" s="1"/>
  <c r="D1292" i="2"/>
  <c r="E1292" i="2" s="1"/>
  <c r="D1284" i="2"/>
  <c r="E1284" i="2" s="1"/>
  <c r="D1276" i="2"/>
  <c r="E1276" i="2" s="1"/>
  <c r="D1268" i="2"/>
  <c r="E1268" i="2" s="1"/>
  <c r="D2080" i="2"/>
  <c r="E2080" i="2" s="1"/>
  <c r="D1260" i="2"/>
  <c r="E1260" i="2" s="1"/>
  <c r="D1228" i="2"/>
  <c r="E1228" i="2" s="1"/>
  <c r="D1196" i="2"/>
  <c r="E1196" i="2" s="1"/>
  <c r="D2042" i="2"/>
  <c r="E2042" i="2" s="1"/>
  <c r="D2026" i="2"/>
  <c r="E2026" i="2" s="1"/>
  <c r="D1983" i="2"/>
  <c r="E1983" i="2" s="1"/>
  <c r="D1975" i="2"/>
  <c r="E1975" i="2" s="1"/>
  <c r="D1967" i="2"/>
  <c r="E1967" i="2" s="1"/>
  <c r="D1959" i="2"/>
  <c r="E1959" i="2" s="1"/>
  <c r="D1951" i="2"/>
  <c r="E1951" i="2" s="1"/>
  <c r="D1943" i="2"/>
  <c r="E1943" i="2" s="1"/>
  <c r="D1935" i="2"/>
  <c r="E1935" i="2" s="1"/>
  <c r="D1927" i="2"/>
  <c r="E1927" i="2" s="1"/>
  <c r="D1919" i="2"/>
  <c r="E1919" i="2" s="1"/>
  <c r="D1911" i="2"/>
  <c r="E1911" i="2" s="1"/>
  <c r="D1903" i="2"/>
  <c r="E1903" i="2" s="1"/>
  <c r="D1895" i="2"/>
  <c r="E1895" i="2" s="1"/>
  <c r="D1887" i="2"/>
  <c r="E1887" i="2" s="1"/>
  <c r="D1879" i="2"/>
  <c r="E1879" i="2" s="1"/>
  <c r="D1871" i="2"/>
  <c r="E1871" i="2" s="1"/>
  <c r="D1863" i="2"/>
  <c r="E1863" i="2" s="1"/>
  <c r="D1855" i="2"/>
  <c r="E1855" i="2" s="1"/>
  <c r="D1847" i="2"/>
  <c r="E1847" i="2" s="1"/>
  <c r="D1839" i="2"/>
  <c r="E1839" i="2" s="1"/>
  <c r="D1831" i="2"/>
  <c r="E1831" i="2" s="1"/>
  <c r="D1823" i="2"/>
  <c r="E1823" i="2" s="1"/>
  <c r="D1815" i="2"/>
  <c r="E1815" i="2" s="1"/>
  <c r="D1807" i="2"/>
  <c r="E1807" i="2" s="1"/>
  <c r="D1799" i="2"/>
  <c r="E1799" i="2" s="1"/>
  <c r="D1791" i="2"/>
  <c r="E1791" i="2" s="1"/>
  <c r="D1783" i="2"/>
  <c r="E1783" i="2" s="1"/>
  <c r="D1775" i="2"/>
  <c r="E1775" i="2" s="1"/>
  <c r="D1767" i="2"/>
  <c r="E1767" i="2" s="1"/>
  <c r="D1759" i="2"/>
  <c r="E1759" i="2" s="1"/>
  <c r="D1751" i="2"/>
  <c r="E1751" i="2" s="1"/>
  <c r="D1743" i="2"/>
  <c r="E1743" i="2" s="1"/>
  <c r="D1735" i="2"/>
  <c r="E1735" i="2" s="1"/>
  <c r="D1727" i="2"/>
  <c r="E1727" i="2" s="1"/>
  <c r="D1719" i="2"/>
  <c r="E1719" i="2" s="1"/>
  <c r="D1711" i="2"/>
  <c r="E1711" i="2" s="1"/>
  <c r="D1703" i="2"/>
  <c r="E1703" i="2" s="1"/>
  <c r="D1695" i="2"/>
  <c r="E1695" i="2" s="1"/>
  <c r="D1687" i="2"/>
  <c r="E1687" i="2" s="1"/>
  <c r="D1679" i="2"/>
  <c r="E1679" i="2" s="1"/>
  <c r="D1671" i="2"/>
  <c r="E1671" i="2" s="1"/>
  <c r="D1663" i="2"/>
  <c r="E1663" i="2" s="1"/>
  <c r="D1655" i="2"/>
  <c r="E1655" i="2" s="1"/>
  <c r="D1647" i="2"/>
  <c r="E1647" i="2" s="1"/>
  <c r="D1639" i="2"/>
  <c r="E1639" i="2" s="1"/>
  <c r="D1631" i="2"/>
  <c r="E1631" i="2" s="1"/>
  <c r="D1623" i="2"/>
  <c r="E1623" i="2" s="1"/>
  <c r="D1615" i="2"/>
  <c r="E1615" i="2" s="1"/>
  <c r="D1607" i="2"/>
  <c r="E1607" i="2" s="1"/>
  <c r="D1599" i="2"/>
  <c r="E1599" i="2" s="1"/>
  <c r="D1591" i="2"/>
  <c r="E1591" i="2" s="1"/>
  <c r="D1583" i="2"/>
  <c r="E1583" i="2" s="1"/>
  <c r="D1575" i="2"/>
  <c r="E1575" i="2" s="1"/>
  <c r="D1567" i="2"/>
  <c r="E1567" i="2" s="1"/>
  <c r="D1559" i="2"/>
  <c r="E1559" i="2" s="1"/>
  <c r="D1551" i="2"/>
  <c r="E1551" i="2" s="1"/>
  <c r="D1543" i="2"/>
  <c r="E1543" i="2" s="1"/>
  <c r="D1535" i="2"/>
  <c r="E1535" i="2" s="1"/>
  <c r="D1527" i="2"/>
  <c r="E1527" i="2" s="1"/>
  <c r="D1519" i="2"/>
  <c r="E1519" i="2" s="1"/>
  <c r="D1511" i="2"/>
  <c r="E1511" i="2" s="1"/>
  <c r="D1503" i="2"/>
  <c r="E1503" i="2" s="1"/>
  <c r="D1495" i="2"/>
  <c r="E1495" i="2" s="1"/>
  <c r="D1487" i="2"/>
  <c r="E1487" i="2" s="1"/>
  <c r="D1479" i="2"/>
  <c r="E1479" i="2" s="1"/>
  <c r="D1471" i="2"/>
  <c r="E1471" i="2" s="1"/>
  <c r="D1463" i="2"/>
  <c r="E1463" i="2" s="1"/>
  <c r="D1455" i="2"/>
  <c r="E1455" i="2" s="1"/>
  <c r="D1447" i="2"/>
  <c r="E1447" i="2" s="1"/>
  <c r="D1439" i="2"/>
  <c r="E1439" i="2" s="1"/>
  <c r="D1431" i="2"/>
  <c r="E1431" i="2" s="1"/>
  <c r="D1423" i="2"/>
  <c r="E1423" i="2" s="1"/>
  <c r="D1415" i="2"/>
  <c r="E1415" i="2" s="1"/>
  <c r="D1407" i="2"/>
  <c r="E1407" i="2" s="1"/>
  <c r="D1399" i="2"/>
  <c r="E1399" i="2" s="1"/>
  <c r="D1391" i="2"/>
  <c r="E1391" i="2" s="1"/>
  <c r="D1383" i="2"/>
  <c r="E1383" i="2" s="1"/>
  <c r="D1375" i="2"/>
  <c r="E1375" i="2" s="1"/>
  <c r="D1367" i="2"/>
  <c r="E1367" i="2" s="1"/>
  <c r="D1359" i="2"/>
  <c r="E1359" i="2" s="1"/>
  <c r="D1351" i="2"/>
  <c r="E1351" i="2" s="1"/>
  <c r="D1343" i="2"/>
  <c r="E1343" i="2" s="1"/>
  <c r="D1335" i="2"/>
  <c r="E1335" i="2" s="1"/>
  <c r="D1327" i="2"/>
  <c r="E1327" i="2" s="1"/>
  <c r="D1319" i="2"/>
  <c r="E1319" i="2" s="1"/>
  <c r="D1311" i="2"/>
  <c r="E1311" i="2" s="1"/>
  <c r="D1303" i="2"/>
  <c r="E1303" i="2" s="1"/>
  <c r="D1295" i="2"/>
  <c r="E1295" i="2" s="1"/>
  <c r="D1287" i="2"/>
  <c r="E1287" i="2" s="1"/>
  <c r="D1279" i="2"/>
  <c r="E1279" i="2" s="1"/>
  <c r="D1271" i="2"/>
  <c r="E1271" i="2" s="1"/>
  <c r="D1263" i="2"/>
  <c r="E1263" i="2" s="1"/>
  <c r="D1245" i="2"/>
  <c r="E1245" i="2" s="1"/>
  <c r="D1231" i="2"/>
  <c r="E1231" i="2" s="1"/>
  <c r="D1213" i="2"/>
  <c r="E1213" i="2" s="1"/>
  <c r="D1199" i="2"/>
  <c r="E1199" i="2" s="1"/>
  <c r="D1179" i="2"/>
  <c r="E1179" i="2" s="1"/>
  <c r="D1171" i="2"/>
  <c r="E1171" i="2" s="1"/>
  <c r="D1163" i="2"/>
  <c r="E1163" i="2" s="1"/>
  <c r="D1155" i="2"/>
  <c r="E1155" i="2" s="1"/>
  <c r="D1147" i="2"/>
  <c r="E1147" i="2" s="1"/>
  <c r="D1139" i="2"/>
  <c r="E1139" i="2" s="1"/>
  <c r="D1131" i="2"/>
  <c r="E1131" i="2" s="1"/>
  <c r="D1123" i="2"/>
  <c r="E1123" i="2" s="1"/>
  <c r="D1115" i="2"/>
  <c r="E1115" i="2" s="1"/>
  <c r="D1107" i="2"/>
  <c r="E1107" i="2" s="1"/>
  <c r="D1099" i="2"/>
  <c r="E1099" i="2" s="1"/>
  <c r="D1091" i="2"/>
  <c r="E1091" i="2" s="1"/>
  <c r="D1083" i="2"/>
  <c r="E1083" i="2" s="1"/>
  <c r="D1075" i="2"/>
  <c r="E1075" i="2" s="1"/>
  <c r="D1067" i="2"/>
  <c r="E1067" i="2" s="1"/>
  <c r="D1059" i="2"/>
  <c r="E1059" i="2" s="1"/>
  <c r="D1051" i="2"/>
  <c r="E1051" i="2" s="1"/>
  <c r="D1043" i="2"/>
  <c r="E1043" i="2" s="1"/>
  <c r="D1035" i="2"/>
  <c r="E1035" i="2" s="1"/>
  <c r="D1027" i="2"/>
  <c r="E1027" i="2" s="1"/>
  <c r="D1019" i="2"/>
  <c r="E1019" i="2" s="1"/>
  <c r="D1011" i="2"/>
  <c r="E1011" i="2" s="1"/>
  <c r="D1003" i="2"/>
  <c r="E1003" i="2" s="1"/>
  <c r="D995" i="2"/>
  <c r="E995" i="2" s="1"/>
  <c r="D987" i="2"/>
  <c r="E987" i="2" s="1"/>
  <c r="D979" i="2"/>
  <c r="E979" i="2" s="1"/>
  <c r="D971" i="2"/>
  <c r="E971" i="2" s="1"/>
  <c r="D963" i="2"/>
  <c r="E963" i="2" s="1"/>
  <c r="D2072" i="2"/>
  <c r="E2072" i="2" s="1"/>
  <c r="D1991" i="2"/>
  <c r="E1991" i="2" s="1"/>
  <c r="D1252" i="2"/>
  <c r="E1252" i="2" s="1"/>
  <c r="D1220" i="2"/>
  <c r="E1220" i="2" s="1"/>
  <c r="D1188" i="2"/>
  <c r="E1188" i="2" s="1"/>
  <c r="D2096" i="2"/>
  <c r="E2096" i="2" s="1"/>
  <c r="D2064" i="2"/>
  <c r="E2064" i="2" s="1"/>
  <c r="D1999" i="2"/>
  <c r="E1999" i="2" s="1"/>
  <c r="D2034" i="2"/>
  <c r="E2034" i="2" s="1"/>
  <c r="D2018" i="2"/>
  <c r="E2018" i="2" s="1"/>
  <c r="D1994" i="2"/>
  <c r="E1994" i="2" s="1"/>
  <c r="D1989" i="2"/>
  <c r="E1989" i="2" s="1"/>
  <c r="D1981" i="2"/>
  <c r="E1981" i="2" s="1"/>
  <c r="D1973" i="2"/>
  <c r="E1973" i="2" s="1"/>
  <c r="D1965" i="2"/>
  <c r="E1965" i="2" s="1"/>
  <c r="D1957" i="2"/>
  <c r="E1957" i="2" s="1"/>
  <c r="D1949" i="2"/>
  <c r="E1949" i="2" s="1"/>
  <c r="D1941" i="2"/>
  <c r="E1941" i="2" s="1"/>
  <c r="D1933" i="2"/>
  <c r="E1933" i="2" s="1"/>
  <c r="D1925" i="2"/>
  <c r="E1925" i="2" s="1"/>
  <c r="D2088" i="2"/>
  <c r="E2088" i="2" s="1"/>
  <c r="D2056" i="2"/>
  <c r="E2056" i="2" s="1"/>
  <c r="D2007" i="2"/>
  <c r="E2007" i="2" s="1"/>
  <c r="D1984" i="2"/>
  <c r="E1984" i="2" s="1"/>
  <c r="D1976" i="2"/>
  <c r="E1976" i="2" s="1"/>
  <c r="D1968" i="2"/>
  <c r="E1968" i="2" s="1"/>
  <c r="D1960" i="2"/>
  <c r="E1960" i="2" s="1"/>
  <c r="D1952" i="2"/>
  <c r="E1952" i="2" s="1"/>
  <c r="D1944" i="2"/>
  <c r="E1944" i="2" s="1"/>
  <c r="D1936" i="2"/>
  <c r="E1936" i="2" s="1"/>
  <c r="D1928" i="2"/>
  <c r="E1928" i="2" s="1"/>
  <c r="D1920" i="2"/>
  <c r="E1920" i="2" s="1"/>
  <c r="D1912" i="2"/>
  <c r="E1912" i="2" s="1"/>
  <c r="D1904" i="2"/>
  <c r="E1904" i="2" s="1"/>
  <c r="D1896" i="2"/>
  <c r="E1896" i="2" s="1"/>
  <c r="D1888" i="2"/>
  <c r="E1888" i="2" s="1"/>
  <c r="D1880" i="2"/>
  <c r="E1880" i="2" s="1"/>
  <c r="D1872" i="2"/>
  <c r="E1872" i="2" s="1"/>
  <c r="D1864" i="2"/>
  <c r="E1864" i="2" s="1"/>
  <c r="D1856" i="2"/>
  <c r="E1856" i="2" s="1"/>
  <c r="D1848" i="2"/>
  <c r="E1848" i="2" s="1"/>
  <c r="D1840" i="2"/>
  <c r="E1840" i="2" s="1"/>
  <c r="D1832" i="2"/>
  <c r="E1832" i="2" s="1"/>
  <c r="D1824" i="2"/>
  <c r="E1824" i="2" s="1"/>
  <c r="D1816" i="2"/>
  <c r="E1816" i="2" s="1"/>
  <c r="D1808" i="2"/>
  <c r="E1808" i="2" s="1"/>
  <c r="D2002" i="2"/>
  <c r="E2002" i="2" s="1"/>
  <c r="D1997" i="2"/>
  <c r="E1997" i="2" s="1"/>
  <c r="D1253" i="2"/>
  <c r="E1253" i="2" s="1"/>
  <c r="D1239" i="2"/>
  <c r="E1239" i="2" s="1"/>
  <c r="D1221" i="2"/>
  <c r="E1221" i="2" s="1"/>
  <c r="D1207" i="2"/>
  <c r="E1207" i="2" s="1"/>
  <c r="D1189" i="2"/>
  <c r="E1189" i="2" s="1"/>
  <c r="D1177" i="2"/>
  <c r="E1177" i="2" s="1"/>
  <c r="D1169" i="2"/>
  <c r="E1169" i="2" s="1"/>
  <c r="D1161" i="2"/>
  <c r="E1161" i="2" s="1"/>
  <c r="D1153" i="2"/>
  <c r="E1153" i="2" s="1"/>
  <c r="D1145" i="2"/>
  <c r="E1145" i="2" s="1"/>
  <c r="D1137" i="2"/>
  <c r="E1137" i="2" s="1"/>
  <c r="D1129" i="2"/>
  <c r="E1129" i="2" s="1"/>
  <c r="D1121" i="2"/>
  <c r="E1121" i="2" s="1"/>
  <c r="D1113" i="2"/>
  <c r="E1113" i="2" s="1"/>
  <c r="D1784" i="2"/>
  <c r="E1784" i="2" s="1"/>
  <c r="D1752" i="2"/>
  <c r="E1752" i="2" s="1"/>
  <c r="D1720" i="2"/>
  <c r="E1720" i="2" s="1"/>
  <c r="D1258" i="2"/>
  <c r="E1258" i="2" s="1"/>
  <c r="D1208" i="2"/>
  <c r="E1208" i="2" s="1"/>
  <c r="D1204" i="2"/>
  <c r="E1204" i="2" s="1"/>
  <c r="D1194" i="2"/>
  <c r="E1194" i="2" s="1"/>
  <c r="D1180" i="2"/>
  <c r="E1180" i="2" s="1"/>
  <c r="D1172" i="2"/>
  <c r="E1172" i="2" s="1"/>
  <c r="D1164" i="2"/>
  <c r="E1164" i="2" s="1"/>
  <c r="D1156" i="2"/>
  <c r="E1156" i="2" s="1"/>
  <c r="D1148" i="2"/>
  <c r="E1148" i="2" s="1"/>
  <c r="D1140" i="2"/>
  <c r="E1140" i="2" s="1"/>
  <c r="D1132" i="2"/>
  <c r="E1132" i="2" s="1"/>
  <c r="D1124" i="2"/>
  <c r="E1124" i="2" s="1"/>
  <c r="D1116" i="2"/>
  <c r="E1116" i="2" s="1"/>
  <c r="D1105" i="2"/>
  <c r="E1105" i="2" s="1"/>
  <c r="D1101" i="2"/>
  <c r="E1101" i="2" s="1"/>
  <c r="D1087" i="2"/>
  <c r="E1087" i="2" s="1"/>
  <c r="D1073" i="2"/>
  <c r="E1073" i="2" s="1"/>
  <c r="D1069" i="2"/>
  <c r="E1069" i="2" s="1"/>
  <c r="D1055" i="2"/>
  <c r="E1055" i="2" s="1"/>
  <c r="D1041" i="2"/>
  <c r="E1041" i="2" s="1"/>
  <c r="D1037" i="2"/>
  <c r="E1037" i="2" s="1"/>
  <c r="D1023" i="2"/>
  <c r="E1023" i="2" s="1"/>
  <c r="D1009" i="2"/>
  <c r="E1009" i="2" s="1"/>
  <c r="D1005" i="2"/>
  <c r="E1005" i="2" s="1"/>
  <c r="D991" i="2"/>
  <c r="E991" i="2" s="1"/>
  <c r="D977" i="2"/>
  <c r="E977" i="2" s="1"/>
  <c r="D973" i="2"/>
  <c r="E973" i="2" s="1"/>
  <c r="D959" i="2"/>
  <c r="E959" i="2" s="1"/>
  <c r="D949" i="2"/>
  <c r="E949" i="2" s="1"/>
  <c r="D946" i="2"/>
  <c r="E946" i="2" s="1"/>
  <c r="D943" i="2"/>
  <c r="E943" i="2" s="1"/>
  <c r="D933" i="2"/>
  <c r="E933" i="2" s="1"/>
  <c r="D930" i="2"/>
  <c r="E930" i="2" s="1"/>
  <c r="D927" i="2"/>
  <c r="E927" i="2" s="1"/>
  <c r="D917" i="2"/>
  <c r="E917" i="2" s="1"/>
  <c r="D914" i="2"/>
  <c r="E914" i="2" s="1"/>
  <c r="D911" i="2"/>
  <c r="E911" i="2" s="1"/>
  <c r="D901" i="2"/>
  <c r="E901" i="2" s="1"/>
  <c r="D898" i="2"/>
  <c r="E898" i="2" s="1"/>
  <c r="D895" i="2"/>
  <c r="E895" i="2" s="1"/>
  <c r="D885" i="2"/>
  <c r="E885" i="2" s="1"/>
  <c r="D882" i="2"/>
  <c r="E882" i="2" s="1"/>
  <c r="D879" i="2"/>
  <c r="E879" i="2" s="1"/>
  <c r="D876" i="2"/>
  <c r="E876" i="2" s="1"/>
  <c r="D873" i="2"/>
  <c r="E873" i="2" s="1"/>
  <c r="D867" i="2"/>
  <c r="E867" i="2" s="1"/>
  <c r="D853" i="2"/>
  <c r="E853" i="2" s="1"/>
  <c r="D845" i="2"/>
  <c r="E845" i="2" s="1"/>
  <c r="D837" i="2"/>
  <c r="E837" i="2" s="1"/>
  <c r="D829" i="2"/>
  <c r="E829" i="2" s="1"/>
  <c r="D821" i="2"/>
  <c r="E821" i="2" s="1"/>
  <c r="D813" i="2"/>
  <c r="E813" i="2" s="1"/>
  <c r="D805" i="2"/>
  <c r="E805" i="2" s="1"/>
  <c r="D797" i="2"/>
  <c r="E797" i="2" s="1"/>
  <c r="D789" i="2"/>
  <c r="E789" i="2" s="1"/>
  <c r="D781" i="2"/>
  <c r="E781" i="2" s="1"/>
  <c r="D773" i="2"/>
  <c r="E773" i="2" s="1"/>
  <c r="D765" i="2"/>
  <c r="E765" i="2" s="1"/>
  <c r="D757" i="2"/>
  <c r="E757" i="2" s="1"/>
  <c r="D749" i="2"/>
  <c r="E749" i="2" s="1"/>
  <c r="D741" i="2"/>
  <c r="E741" i="2" s="1"/>
  <c r="D733" i="2"/>
  <c r="E733" i="2" s="1"/>
  <c r="D725" i="2"/>
  <c r="E725" i="2" s="1"/>
  <c r="D717" i="2"/>
  <c r="E717" i="2" s="1"/>
  <c r="D709" i="2"/>
  <c r="E709" i="2" s="1"/>
  <c r="D701" i="2"/>
  <c r="E701" i="2" s="1"/>
  <c r="D693" i="2"/>
  <c r="E693" i="2" s="1"/>
  <c r="D685" i="2"/>
  <c r="E685" i="2" s="1"/>
  <c r="D677" i="2"/>
  <c r="E677" i="2" s="1"/>
  <c r="D669" i="2"/>
  <c r="E669" i="2" s="1"/>
  <c r="D661" i="2"/>
  <c r="E661" i="2" s="1"/>
  <c r="D653" i="2"/>
  <c r="E653" i="2" s="1"/>
  <c r="D645" i="2"/>
  <c r="E645" i="2" s="1"/>
  <c r="D629" i="2"/>
  <c r="E629" i="2" s="1"/>
  <c r="D621" i="2"/>
  <c r="E621" i="2" s="1"/>
  <c r="D613" i="2"/>
  <c r="E613" i="2" s="1"/>
  <c r="D581" i="2"/>
  <c r="E581" i="2" s="1"/>
  <c r="D517" i="2"/>
  <c r="E517" i="2" s="1"/>
  <c r="D413" i="2"/>
  <c r="E413" i="2" s="1"/>
  <c r="D301" i="2"/>
  <c r="E301" i="2" s="1"/>
  <c r="D269" i="2"/>
  <c r="E269" i="2" s="1"/>
  <c r="D181" i="2"/>
  <c r="E181" i="2" s="1"/>
  <c r="D173" i="2"/>
  <c r="E173" i="2" s="1"/>
  <c r="D165" i="2"/>
  <c r="E165" i="2" s="1"/>
  <c r="D157" i="2"/>
  <c r="E157" i="2" s="1"/>
  <c r="D1218" i="2"/>
  <c r="E1218" i="2" s="1"/>
  <c r="D955" i="2"/>
  <c r="E955" i="2" s="1"/>
  <c r="D939" i="2"/>
  <c r="E939" i="2" s="1"/>
  <c r="D923" i="2"/>
  <c r="E923" i="2" s="1"/>
  <c r="D907" i="2"/>
  <c r="E907" i="2" s="1"/>
  <c r="D891" i="2"/>
  <c r="E891" i="2" s="1"/>
  <c r="D1776" i="2"/>
  <c r="E1776" i="2" s="1"/>
  <c r="D1744" i="2"/>
  <c r="E1744" i="2" s="1"/>
  <c r="D1712" i="2"/>
  <c r="E1712" i="2" s="1"/>
  <c r="D1688" i="2"/>
  <c r="E1688" i="2" s="1"/>
  <c r="D1672" i="2"/>
  <c r="E1672" i="2" s="1"/>
  <c r="D1656" i="2"/>
  <c r="E1656" i="2" s="1"/>
  <c r="D1640" i="2"/>
  <c r="E1640" i="2" s="1"/>
  <c r="D1624" i="2"/>
  <c r="E1624" i="2" s="1"/>
  <c r="D1608" i="2"/>
  <c r="E1608" i="2" s="1"/>
  <c r="D1592" i="2"/>
  <c r="E1592" i="2" s="1"/>
  <c r="D1576" i="2"/>
  <c r="E1576" i="2" s="1"/>
  <c r="D1560" i="2"/>
  <c r="E1560" i="2" s="1"/>
  <c r="D1544" i="2"/>
  <c r="E1544" i="2" s="1"/>
  <c r="D1528" i="2"/>
  <c r="E1528" i="2" s="1"/>
  <c r="D1512" i="2"/>
  <c r="E1512" i="2" s="1"/>
  <c r="D1496" i="2"/>
  <c r="E1496" i="2" s="1"/>
  <c r="D1480" i="2"/>
  <c r="E1480" i="2" s="1"/>
  <c r="D1464" i="2"/>
  <c r="E1464" i="2" s="1"/>
  <c r="D1448" i="2"/>
  <c r="E1448" i="2" s="1"/>
  <c r="D1432" i="2"/>
  <c r="E1432" i="2" s="1"/>
  <c r="D1416" i="2"/>
  <c r="E1416" i="2" s="1"/>
  <c r="D1400" i="2"/>
  <c r="E1400" i="2" s="1"/>
  <c r="D1384" i="2"/>
  <c r="E1384" i="2" s="1"/>
  <c r="D1368" i="2"/>
  <c r="E1368" i="2" s="1"/>
  <c r="D1352" i="2"/>
  <c r="E1352" i="2" s="1"/>
  <c r="D1336" i="2"/>
  <c r="E1336" i="2" s="1"/>
  <c r="D1320" i="2"/>
  <c r="E1320" i="2" s="1"/>
  <c r="D1304" i="2"/>
  <c r="E1304" i="2" s="1"/>
  <c r="D1288" i="2"/>
  <c r="E1288" i="2" s="1"/>
  <c r="D1272" i="2"/>
  <c r="E1272" i="2" s="1"/>
  <c r="D1232" i="2"/>
  <c r="E1232" i="2" s="1"/>
  <c r="D1097" i="2"/>
  <c r="E1097" i="2" s="1"/>
  <c r="D1065" i="2"/>
  <c r="E1065" i="2" s="1"/>
  <c r="D1033" i="2"/>
  <c r="E1033" i="2" s="1"/>
  <c r="D1001" i="2"/>
  <c r="E1001" i="2" s="1"/>
  <c r="D969" i="2"/>
  <c r="E969" i="2" s="1"/>
  <c r="D1212" i="2"/>
  <c r="E1212" i="2" s="1"/>
  <c r="D945" i="2"/>
  <c r="E945" i="2" s="1"/>
  <c r="D929" i="2"/>
  <c r="E929" i="2" s="1"/>
  <c r="D913" i="2"/>
  <c r="E913" i="2" s="1"/>
  <c r="D897" i="2"/>
  <c r="E897" i="2" s="1"/>
  <c r="D881" i="2"/>
  <c r="E881" i="2" s="1"/>
  <c r="D1800" i="2"/>
  <c r="E1800" i="2" s="1"/>
  <c r="D1768" i="2"/>
  <c r="E1768" i="2" s="1"/>
  <c r="D1736" i="2"/>
  <c r="E1736" i="2" s="1"/>
  <c r="D1704" i="2"/>
  <c r="E1704" i="2" s="1"/>
  <c r="D1236" i="2"/>
  <c r="E1236" i="2" s="1"/>
  <c r="D1089" i="2"/>
  <c r="E1089" i="2" s="1"/>
  <c r="D1057" i="2"/>
  <c r="E1057" i="2" s="1"/>
  <c r="D1025" i="2"/>
  <c r="E1025" i="2" s="1"/>
  <c r="D993" i="2"/>
  <c r="E993" i="2" s="1"/>
  <c r="D961" i="2"/>
  <c r="E961" i="2" s="1"/>
  <c r="D1250" i="2"/>
  <c r="E1250" i="2" s="1"/>
  <c r="D1186" i="2"/>
  <c r="E1186" i="2" s="1"/>
  <c r="D947" i="2"/>
  <c r="E947" i="2" s="1"/>
  <c r="D931" i="2"/>
  <c r="E931" i="2" s="1"/>
  <c r="D915" i="2"/>
  <c r="E915" i="2" s="1"/>
  <c r="D1792" i="2"/>
  <c r="E1792" i="2" s="1"/>
  <c r="D1760" i="2"/>
  <c r="E1760" i="2" s="1"/>
  <c r="D1728" i="2"/>
  <c r="E1728" i="2" s="1"/>
  <c r="D1680" i="2"/>
  <c r="E1680" i="2" s="1"/>
  <c r="D1664" i="2"/>
  <c r="E1664" i="2" s="1"/>
  <c r="D1648" i="2"/>
  <c r="E1648" i="2" s="1"/>
  <c r="D1632" i="2"/>
  <c r="E1632" i="2" s="1"/>
  <c r="D1616" i="2"/>
  <c r="E1616" i="2" s="1"/>
  <c r="D1600" i="2"/>
  <c r="E1600" i="2" s="1"/>
  <c r="D1584" i="2"/>
  <c r="E1584" i="2" s="1"/>
  <c r="D1568" i="2"/>
  <c r="E1568" i="2" s="1"/>
  <c r="D1552" i="2"/>
  <c r="E1552" i="2" s="1"/>
  <c r="D1536" i="2"/>
  <c r="E1536" i="2" s="1"/>
  <c r="D1520" i="2"/>
  <c r="E1520" i="2" s="1"/>
  <c r="D1504" i="2"/>
  <c r="E1504" i="2" s="1"/>
  <c r="D1488" i="2"/>
  <c r="E1488" i="2" s="1"/>
  <c r="D1472" i="2"/>
  <c r="E1472" i="2" s="1"/>
  <c r="D1456" i="2"/>
  <c r="E1456" i="2" s="1"/>
  <c r="D1440" i="2"/>
  <c r="E1440" i="2" s="1"/>
  <c r="D1424" i="2"/>
  <c r="E1424" i="2" s="1"/>
  <c r="D1408" i="2"/>
  <c r="E1408" i="2" s="1"/>
  <c r="D1392" i="2"/>
  <c r="E1392" i="2" s="1"/>
  <c r="D1376" i="2"/>
  <c r="E1376" i="2" s="1"/>
  <c r="D1360" i="2"/>
  <c r="E1360" i="2" s="1"/>
  <c r="D1344" i="2"/>
  <c r="E1344" i="2" s="1"/>
  <c r="D1328" i="2"/>
  <c r="E1328" i="2" s="1"/>
  <c r="D1312" i="2"/>
  <c r="E1312" i="2" s="1"/>
  <c r="D1296" i="2"/>
  <c r="E1296" i="2" s="1"/>
  <c r="D1280" i="2"/>
  <c r="E1280" i="2" s="1"/>
  <c r="D1264" i="2"/>
  <c r="E1264" i="2" s="1"/>
  <c r="D1215" i="2"/>
  <c r="E1215" i="2" s="1"/>
  <c r="D1200" i="2"/>
  <c r="E1200" i="2" s="1"/>
  <c r="D1696" i="2"/>
  <c r="E1696" i="2" s="1"/>
  <c r="D1690" i="2"/>
  <c r="E1690" i="2" s="1"/>
  <c r="D1685" i="2"/>
  <c r="E1685" i="2" s="1"/>
  <c r="D1674" i="2"/>
  <c r="E1674" i="2" s="1"/>
  <c r="D1669" i="2"/>
  <c r="E1669" i="2" s="1"/>
  <c r="D1658" i="2"/>
  <c r="E1658" i="2" s="1"/>
  <c r="D1653" i="2"/>
  <c r="E1653" i="2" s="1"/>
  <c r="D1642" i="2"/>
  <c r="E1642" i="2" s="1"/>
  <c r="D1637" i="2"/>
  <c r="E1637" i="2" s="1"/>
  <c r="D1626" i="2"/>
  <c r="E1626" i="2" s="1"/>
  <c r="D1621" i="2"/>
  <c r="E1621" i="2" s="1"/>
  <c r="D1610" i="2"/>
  <c r="E1610" i="2" s="1"/>
  <c r="D1605" i="2"/>
  <c r="E1605" i="2" s="1"/>
  <c r="D1594" i="2"/>
  <c r="E1594" i="2" s="1"/>
  <c r="D1589" i="2"/>
  <c r="E1589" i="2" s="1"/>
  <c r="D1578" i="2"/>
  <c r="E1578" i="2" s="1"/>
  <c r="D1573" i="2"/>
  <c r="E1573" i="2" s="1"/>
  <c r="D1562" i="2"/>
  <c r="E1562" i="2" s="1"/>
  <c r="D1557" i="2"/>
  <c r="E1557" i="2" s="1"/>
  <c r="D1546" i="2"/>
  <c r="E1546" i="2" s="1"/>
  <c r="D1541" i="2"/>
  <c r="E1541" i="2" s="1"/>
  <c r="D1530" i="2"/>
  <c r="E1530" i="2" s="1"/>
  <c r="D1525" i="2"/>
  <c r="E1525" i="2" s="1"/>
  <c r="D1514" i="2"/>
  <c r="E1514" i="2" s="1"/>
  <c r="D1509" i="2"/>
  <c r="E1509" i="2" s="1"/>
  <c r="D1498" i="2"/>
  <c r="E1498" i="2" s="1"/>
  <c r="D1493" i="2"/>
  <c r="E1493" i="2" s="1"/>
  <c r="D1482" i="2"/>
  <c r="E1482" i="2" s="1"/>
  <c r="D1477" i="2"/>
  <c r="E1477" i="2" s="1"/>
  <c r="D1466" i="2"/>
  <c r="E1466" i="2" s="1"/>
  <c r="D1461" i="2"/>
  <c r="E1461" i="2" s="1"/>
  <c r="D1450" i="2"/>
  <c r="E1450" i="2" s="1"/>
  <c r="D1445" i="2"/>
  <c r="E1445" i="2" s="1"/>
  <c r="D1434" i="2"/>
  <c r="E1434" i="2" s="1"/>
  <c r="D1429" i="2"/>
  <c r="E1429" i="2" s="1"/>
  <c r="D1418" i="2"/>
  <c r="E1418" i="2" s="1"/>
  <c r="D1413" i="2"/>
  <c r="E1413" i="2" s="1"/>
  <c r="D1402" i="2"/>
  <c r="E1402" i="2" s="1"/>
  <c r="D1397" i="2"/>
  <c r="E1397" i="2" s="1"/>
  <c r="D1386" i="2"/>
  <c r="E1386" i="2" s="1"/>
  <c r="D1381" i="2"/>
  <c r="E1381" i="2" s="1"/>
  <c r="D1370" i="2"/>
  <c r="E1370" i="2" s="1"/>
  <c r="D1365" i="2"/>
  <c r="E1365" i="2" s="1"/>
  <c r="D1354" i="2"/>
  <c r="E1354" i="2" s="1"/>
  <c r="D1349" i="2"/>
  <c r="E1349" i="2" s="1"/>
  <c r="D1338" i="2"/>
  <c r="E1338" i="2" s="1"/>
  <c r="D1333" i="2"/>
  <c r="E1333" i="2" s="1"/>
  <c r="D1322" i="2"/>
  <c r="E1322" i="2" s="1"/>
  <c r="D1317" i="2"/>
  <c r="E1317" i="2" s="1"/>
  <c r="D1306" i="2"/>
  <c r="E1306" i="2" s="1"/>
  <c r="D1301" i="2"/>
  <c r="E1301" i="2" s="1"/>
  <c r="D1290" i="2"/>
  <c r="E1290" i="2" s="1"/>
  <c r="D1285" i="2"/>
  <c r="E1285" i="2" s="1"/>
  <c r="D1274" i="2"/>
  <c r="E1274" i="2" s="1"/>
  <c r="D1269" i="2"/>
  <c r="E1269" i="2" s="1"/>
  <c r="D1244" i="2"/>
  <c r="E1244" i="2" s="1"/>
  <c r="D1229" i="2"/>
  <c r="E1229" i="2" s="1"/>
  <c r="D1098" i="2"/>
  <c r="E1098" i="2" s="1"/>
  <c r="D1084" i="2"/>
  <c r="E1084" i="2" s="1"/>
  <c r="D1066" i="2"/>
  <c r="E1066" i="2" s="1"/>
  <c r="D1052" i="2"/>
  <c r="E1052" i="2" s="1"/>
  <c r="D1034" i="2"/>
  <c r="E1034" i="2" s="1"/>
  <c r="D1020" i="2"/>
  <c r="E1020" i="2" s="1"/>
  <c r="D1002" i="2"/>
  <c r="E1002" i="2" s="1"/>
  <c r="D988" i="2"/>
  <c r="E988" i="2" s="1"/>
  <c r="D970" i="2"/>
  <c r="E970" i="2" s="1"/>
  <c r="D956" i="2"/>
  <c r="E956" i="2" s="1"/>
  <c r="D953" i="2"/>
  <c r="E953" i="2" s="1"/>
  <c r="D940" i="2"/>
  <c r="E940" i="2" s="1"/>
  <c r="D937" i="2"/>
  <c r="E937" i="2" s="1"/>
  <c r="D924" i="2"/>
  <c r="E924" i="2" s="1"/>
  <c r="D921" i="2"/>
  <c r="E921" i="2" s="1"/>
  <c r="D908" i="2"/>
  <c r="E908" i="2" s="1"/>
  <c r="D905" i="2"/>
  <c r="E905" i="2" s="1"/>
  <c r="D892" i="2"/>
  <c r="E892" i="2" s="1"/>
  <c r="D889" i="2"/>
  <c r="E889" i="2" s="1"/>
  <c r="D856" i="2"/>
  <c r="E856" i="2" s="1"/>
  <c r="D848" i="2"/>
  <c r="E848" i="2" s="1"/>
  <c r="D840" i="2"/>
  <c r="E840" i="2" s="1"/>
  <c r="D832" i="2"/>
  <c r="E832" i="2" s="1"/>
  <c r="D824" i="2"/>
  <c r="E824" i="2" s="1"/>
  <c r="D816" i="2"/>
  <c r="E816" i="2" s="1"/>
  <c r="D808" i="2"/>
  <c r="E808" i="2" s="1"/>
  <c r="D800" i="2"/>
  <c r="E800" i="2" s="1"/>
  <c r="D792" i="2"/>
  <c r="E792" i="2" s="1"/>
  <c r="D784" i="2"/>
  <c r="E784" i="2" s="1"/>
  <c r="D776" i="2"/>
  <c r="E776" i="2" s="1"/>
  <c r="D768" i="2"/>
  <c r="E768" i="2" s="1"/>
  <c r="D760" i="2"/>
  <c r="E760" i="2" s="1"/>
  <c r="D752" i="2"/>
  <c r="E752" i="2" s="1"/>
  <c r="D744" i="2"/>
  <c r="E744" i="2" s="1"/>
  <c r="D736" i="2"/>
  <c r="E736" i="2" s="1"/>
  <c r="D728" i="2"/>
  <c r="E728" i="2" s="1"/>
  <c r="D720" i="2"/>
  <c r="E720" i="2" s="1"/>
  <c r="D712" i="2"/>
  <c r="E712" i="2" s="1"/>
  <c r="D704" i="2"/>
  <c r="E704" i="2" s="1"/>
  <c r="D696" i="2"/>
  <c r="E696" i="2" s="1"/>
  <c r="D688" i="2"/>
  <c r="E688" i="2" s="1"/>
  <c r="D680" i="2"/>
  <c r="E680" i="2" s="1"/>
  <c r="D672" i="2"/>
  <c r="E672" i="2" s="1"/>
  <c r="D664" i="2"/>
  <c r="E664" i="2" s="1"/>
  <c r="D656" i="2"/>
  <c r="E656" i="2" s="1"/>
  <c r="D648" i="2"/>
  <c r="E648" i="2" s="1"/>
  <c r="D640" i="2"/>
  <c r="E640" i="2" s="1"/>
  <c r="D632" i="2"/>
  <c r="E632" i="2" s="1"/>
  <c r="D624" i="2"/>
  <c r="E624" i="2" s="1"/>
  <c r="D616" i="2"/>
  <c r="E616" i="2" s="1"/>
  <c r="D608" i="2"/>
  <c r="E608" i="2" s="1"/>
  <c r="D600" i="2"/>
  <c r="E600" i="2" s="1"/>
  <c r="D592" i="2"/>
  <c r="E592" i="2" s="1"/>
  <c r="D584" i="2"/>
  <c r="E584" i="2" s="1"/>
  <c r="D576" i="2"/>
  <c r="E576" i="2" s="1"/>
  <c r="D568" i="2"/>
  <c r="E568" i="2" s="1"/>
  <c r="D560" i="2"/>
  <c r="E560" i="2" s="1"/>
  <c r="D552" i="2"/>
  <c r="E552" i="2" s="1"/>
  <c r="D488" i="2"/>
  <c r="E488" i="2" s="1"/>
  <c r="D472" i="2"/>
  <c r="E472" i="2" s="1"/>
  <c r="D464" i="2"/>
  <c r="E464" i="2" s="1"/>
  <c r="D456" i="2"/>
  <c r="E456" i="2" s="1"/>
  <c r="D448" i="2"/>
  <c r="E448" i="2" s="1"/>
  <c r="D424" i="2"/>
  <c r="E424" i="2" s="1"/>
  <c r="D376" i="2"/>
  <c r="E376" i="2" s="1"/>
  <c r="D328" i="2"/>
  <c r="E328" i="2" s="1"/>
  <c r="D264" i="2"/>
  <c r="E264" i="2" s="1"/>
  <c r="D232" i="2"/>
  <c r="E232" i="2" s="1"/>
  <c r="D216" i="2"/>
  <c r="E216" i="2" s="1"/>
  <c r="D208" i="2"/>
  <c r="E208" i="2" s="1"/>
  <c r="D104" i="2"/>
  <c r="E104" i="2" s="1"/>
  <c r="D1013" i="2"/>
  <c r="E1013" i="2" s="1"/>
  <c r="D899" i="2"/>
  <c r="E899" i="2" s="1"/>
  <c r="D865" i="2"/>
  <c r="E865" i="2" s="1"/>
  <c r="D859" i="2"/>
  <c r="E859" i="2" s="1"/>
  <c r="D843" i="2"/>
  <c r="E843" i="2" s="1"/>
  <c r="D827" i="2"/>
  <c r="E827" i="2" s="1"/>
  <c r="D811" i="2"/>
  <c r="E811" i="2" s="1"/>
  <c r="D779" i="2"/>
  <c r="E779" i="2" s="1"/>
  <c r="D747" i="2"/>
  <c r="E747" i="2" s="1"/>
  <c r="D715" i="2"/>
  <c r="E715" i="2" s="1"/>
  <c r="D999" i="2"/>
  <c r="E999" i="2" s="1"/>
  <c r="D985" i="2"/>
  <c r="E985" i="2" s="1"/>
  <c r="D874" i="2"/>
  <c r="E874" i="2" s="1"/>
  <c r="D806" i="2"/>
  <c r="E806" i="2" s="1"/>
  <c r="D801" i="2"/>
  <c r="E801" i="2" s="1"/>
  <c r="D689" i="2"/>
  <c r="E689" i="2" s="1"/>
  <c r="D681" i="2"/>
  <c r="E681" i="2" s="1"/>
  <c r="D673" i="2"/>
  <c r="E673" i="2" s="1"/>
  <c r="D665" i="2"/>
  <c r="E665" i="2" s="1"/>
  <c r="D657" i="2"/>
  <c r="E657" i="2" s="1"/>
  <c r="D649" i="2"/>
  <c r="E649" i="2" s="1"/>
  <c r="D641" i="2"/>
  <c r="E641" i="2" s="1"/>
  <c r="D633" i="2"/>
  <c r="E633" i="2" s="1"/>
  <c r="D625" i="2"/>
  <c r="E625" i="2" s="1"/>
  <c r="D617" i="2"/>
  <c r="E617" i="2" s="1"/>
  <c r="D601" i="2"/>
  <c r="E601" i="2" s="1"/>
  <c r="D593" i="2"/>
  <c r="E593" i="2" s="1"/>
  <c r="D585" i="2"/>
  <c r="E585" i="2" s="1"/>
  <c r="D577" i="2"/>
  <c r="E577" i="2" s="1"/>
  <c r="D569" i="2"/>
  <c r="E569" i="2" s="1"/>
  <c r="D561" i="2"/>
  <c r="E561" i="2" s="1"/>
  <c r="D553" i="2"/>
  <c r="E553" i="2" s="1"/>
  <c r="D545" i="2"/>
  <c r="E545" i="2" s="1"/>
  <c r="D537" i="2"/>
  <c r="E537" i="2" s="1"/>
  <c r="D529" i="2"/>
  <c r="E529" i="2" s="1"/>
  <c r="D521" i="2"/>
  <c r="E521" i="2" s="1"/>
  <c r="D513" i="2"/>
  <c r="E513" i="2" s="1"/>
  <c r="D505" i="2"/>
  <c r="E505" i="2" s="1"/>
  <c r="D497" i="2"/>
  <c r="E497" i="2" s="1"/>
  <c r="D489" i="2"/>
  <c r="E489" i="2" s="1"/>
  <c r="D481" i="2"/>
  <c r="E481" i="2" s="1"/>
  <c r="D473" i="2"/>
  <c r="E473" i="2" s="1"/>
  <c r="D465" i="2"/>
  <c r="E465" i="2" s="1"/>
  <c r="D457" i="2"/>
  <c r="E457" i="2" s="1"/>
  <c r="D449" i="2"/>
  <c r="E449" i="2" s="1"/>
  <c r="D441" i="2"/>
  <c r="E441" i="2" s="1"/>
  <c r="D433" i="2"/>
  <c r="E433" i="2" s="1"/>
  <c r="D425" i="2"/>
  <c r="E425" i="2" s="1"/>
  <c r="D417" i="2"/>
  <c r="E417" i="2" s="1"/>
  <c r="D409" i="2"/>
  <c r="E409" i="2" s="1"/>
  <c r="D401" i="2"/>
  <c r="E401" i="2" s="1"/>
  <c r="D393" i="2"/>
  <c r="E393" i="2" s="1"/>
  <c r="D385" i="2"/>
  <c r="E385" i="2" s="1"/>
  <c r="D377" i="2"/>
  <c r="E377" i="2" s="1"/>
  <c r="D369" i="2"/>
  <c r="E369" i="2" s="1"/>
  <c r="D361" i="2"/>
  <c r="E361" i="2" s="1"/>
  <c r="D353" i="2"/>
  <c r="E353" i="2" s="1"/>
  <c r="D345" i="2"/>
  <c r="E345" i="2" s="1"/>
  <c r="D337" i="2"/>
  <c r="E337" i="2" s="1"/>
  <c r="D329" i="2"/>
  <c r="E329" i="2" s="1"/>
  <c r="D321" i="2"/>
  <c r="E321" i="2" s="1"/>
  <c r="D313" i="2"/>
  <c r="E313" i="2" s="1"/>
  <c r="D305" i="2"/>
  <c r="E305" i="2" s="1"/>
  <c r="D297" i="2"/>
  <c r="E297" i="2" s="1"/>
  <c r="D289" i="2"/>
  <c r="E289" i="2" s="1"/>
  <c r="D281" i="2"/>
  <c r="E281" i="2" s="1"/>
  <c r="D273" i="2"/>
  <c r="E273" i="2" s="1"/>
  <c r="D265" i="2"/>
  <c r="E265" i="2" s="1"/>
  <c r="D257" i="2"/>
  <c r="E257" i="2" s="1"/>
  <c r="D249" i="2"/>
  <c r="E249" i="2" s="1"/>
  <c r="D241" i="2"/>
  <c r="E241" i="2" s="1"/>
  <c r="D233" i="2"/>
  <c r="E233" i="2" s="1"/>
  <c r="D225" i="2"/>
  <c r="E225" i="2" s="1"/>
  <c r="D217" i="2"/>
  <c r="E217" i="2" s="1"/>
  <c r="D209" i="2"/>
  <c r="E209" i="2" s="1"/>
  <c r="D201" i="2"/>
  <c r="E201" i="2" s="1"/>
  <c r="D193" i="2"/>
  <c r="E193" i="2" s="1"/>
  <c r="D185" i="2"/>
  <c r="E185" i="2" s="1"/>
  <c r="D177" i="2"/>
  <c r="E177" i="2" s="1"/>
  <c r="D169" i="2"/>
  <c r="E169" i="2" s="1"/>
  <c r="D161" i="2"/>
  <c r="E161" i="2" s="1"/>
  <c r="D153" i="2"/>
  <c r="E153" i="2" s="1"/>
  <c r="D145" i="2"/>
  <c r="E145" i="2" s="1"/>
  <c r="D1045" i="2"/>
  <c r="E1045" i="2" s="1"/>
  <c r="D787" i="2"/>
  <c r="E787" i="2" s="1"/>
  <c r="D755" i="2"/>
  <c r="E755" i="2" s="1"/>
  <c r="D723" i="2"/>
  <c r="E723" i="2" s="1"/>
  <c r="D1031" i="2"/>
  <c r="E1031" i="2" s="1"/>
  <c r="D1017" i="2"/>
  <c r="E1017" i="2" s="1"/>
  <c r="D868" i="2"/>
  <c r="E868" i="2" s="1"/>
  <c r="D1077" i="2"/>
  <c r="E1077" i="2" s="1"/>
  <c r="D851" i="2"/>
  <c r="E851" i="2" s="1"/>
  <c r="D835" i="2"/>
  <c r="E835" i="2" s="1"/>
  <c r="D819" i="2"/>
  <c r="E819" i="2" s="1"/>
  <c r="D795" i="2"/>
  <c r="E795" i="2" s="1"/>
  <c r="D763" i="2"/>
  <c r="E763" i="2" s="1"/>
  <c r="D731" i="2"/>
  <c r="E731" i="2" s="1"/>
  <c r="D1063" i="2"/>
  <c r="E1063" i="2" s="1"/>
  <c r="D1049" i="2"/>
  <c r="E1049" i="2" s="1"/>
  <c r="D883" i="2"/>
  <c r="E883" i="2" s="1"/>
  <c r="D699" i="2"/>
  <c r="E699" i="2" s="1"/>
  <c r="D691" i="2"/>
  <c r="E691" i="2" s="1"/>
  <c r="D683" i="2"/>
  <c r="E683" i="2" s="1"/>
  <c r="D675" i="2"/>
  <c r="E675" i="2" s="1"/>
  <c r="D667" i="2"/>
  <c r="E667" i="2" s="1"/>
  <c r="D659" i="2"/>
  <c r="E659" i="2" s="1"/>
  <c r="D651" i="2"/>
  <c r="E651" i="2" s="1"/>
  <c r="D643" i="2"/>
  <c r="E643" i="2" s="1"/>
  <c r="D635" i="2"/>
  <c r="E635" i="2" s="1"/>
  <c r="D627" i="2"/>
  <c r="E627" i="2" s="1"/>
  <c r="D619" i="2"/>
  <c r="E619" i="2" s="1"/>
  <c r="D611" i="2"/>
  <c r="E611" i="2" s="1"/>
  <c r="D603" i="2"/>
  <c r="E603" i="2" s="1"/>
  <c r="D595" i="2"/>
  <c r="E595" i="2" s="1"/>
  <c r="D587" i="2"/>
  <c r="E587" i="2" s="1"/>
  <c r="D579" i="2"/>
  <c r="E579" i="2" s="1"/>
  <c r="D571" i="2"/>
  <c r="E571" i="2" s="1"/>
  <c r="D563" i="2"/>
  <c r="E563" i="2" s="1"/>
  <c r="D555" i="2"/>
  <c r="E555" i="2" s="1"/>
  <c r="D547" i="2"/>
  <c r="E547" i="2" s="1"/>
  <c r="D539" i="2"/>
  <c r="E539" i="2" s="1"/>
  <c r="D531" i="2"/>
  <c r="E531" i="2" s="1"/>
  <c r="D523" i="2"/>
  <c r="E523" i="2" s="1"/>
  <c r="D515" i="2"/>
  <c r="E515" i="2" s="1"/>
  <c r="D507" i="2"/>
  <c r="E507" i="2" s="1"/>
  <c r="D499" i="2"/>
  <c r="E499" i="2" s="1"/>
  <c r="D491" i="2"/>
  <c r="E491" i="2" s="1"/>
  <c r="D483" i="2"/>
  <c r="E483" i="2" s="1"/>
  <c r="D475" i="2"/>
  <c r="E475" i="2" s="1"/>
  <c r="D467" i="2"/>
  <c r="E467" i="2" s="1"/>
  <c r="D459" i="2"/>
  <c r="E459" i="2" s="1"/>
  <c r="D451" i="2"/>
  <c r="E451" i="2" s="1"/>
  <c r="D443" i="2"/>
  <c r="E443" i="2" s="1"/>
  <c r="D435" i="2"/>
  <c r="E435" i="2" s="1"/>
  <c r="D427" i="2"/>
  <c r="E427" i="2" s="1"/>
  <c r="D419" i="2"/>
  <c r="E419" i="2" s="1"/>
  <c r="D411" i="2"/>
  <c r="E411" i="2" s="1"/>
  <c r="D403" i="2"/>
  <c r="E403" i="2" s="1"/>
  <c r="D395" i="2"/>
  <c r="E395" i="2" s="1"/>
  <c r="D387" i="2"/>
  <c r="E387" i="2" s="1"/>
  <c r="D379" i="2"/>
  <c r="E379" i="2" s="1"/>
  <c r="D371" i="2"/>
  <c r="E371" i="2" s="1"/>
  <c r="D363" i="2"/>
  <c r="E363" i="2" s="1"/>
  <c r="D355" i="2"/>
  <c r="E355" i="2" s="1"/>
  <c r="D347" i="2"/>
  <c r="E347" i="2" s="1"/>
  <c r="D339" i="2"/>
  <c r="E339" i="2" s="1"/>
  <c r="D331" i="2"/>
  <c r="E331" i="2" s="1"/>
  <c r="D323" i="2"/>
  <c r="E323" i="2" s="1"/>
  <c r="D315" i="2"/>
  <c r="E315" i="2" s="1"/>
  <c r="D307" i="2"/>
  <c r="E307" i="2" s="1"/>
  <c r="D299" i="2"/>
  <c r="E299" i="2" s="1"/>
  <c r="D291" i="2"/>
  <c r="E291" i="2" s="1"/>
  <c r="D283" i="2"/>
  <c r="E283" i="2" s="1"/>
  <c r="D275" i="2"/>
  <c r="E275" i="2" s="1"/>
  <c r="D267" i="2"/>
  <c r="E267" i="2" s="1"/>
  <c r="D259" i="2"/>
  <c r="E259" i="2" s="1"/>
  <c r="D251" i="2"/>
  <c r="E251" i="2" s="1"/>
  <c r="D243" i="2"/>
  <c r="E243" i="2" s="1"/>
  <c r="D235" i="2"/>
  <c r="E235" i="2" s="1"/>
  <c r="D227" i="2"/>
  <c r="E227" i="2" s="1"/>
  <c r="D219" i="2"/>
  <c r="E219" i="2" s="1"/>
  <c r="D211" i="2"/>
  <c r="E211" i="2" s="1"/>
  <c r="D203" i="2"/>
  <c r="E203" i="2" s="1"/>
  <c r="D1109" i="2"/>
  <c r="E1109" i="2" s="1"/>
  <c r="D981" i="2"/>
  <c r="E981" i="2" s="1"/>
  <c r="D871" i="2"/>
  <c r="E871" i="2" s="1"/>
  <c r="D803" i="2"/>
  <c r="E803" i="2" s="1"/>
  <c r="D771" i="2"/>
  <c r="E771" i="2" s="1"/>
  <c r="D739" i="2"/>
  <c r="E739" i="2" s="1"/>
  <c r="D707" i="2"/>
  <c r="E707" i="2" s="1"/>
  <c r="D88" i="2"/>
  <c r="E88" i="2" s="1"/>
  <c r="D80" i="2"/>
  <c r="E80" i="2" s="1"/>
  <c r="D1095" i="2"/>
  <c r="E1095" i="2" s="1"/>
  <c r="D1081" i="2"/>
  <c r="E1081" i="2" s="1"/>
  <c r="D967" i="2"/>
  <c r="E967" i="2" s="1"/>
  <c r="D854" i="2"/>
  <c r="E854" i="2" s="1"/>
  <c r="D838" i="2"/>
  <c r="E838" i="2" s="1"/>
  <c r="D822" i="2"/>
  <c r="E822" i="2" s="1"/>
  <c r="D798" i="2"/>
  <c r="E798" i="2" s="1"/>
  <c r="D793" i="2"/>
  <c r="E793" i="2" s="1"/>
  <c r="D766" i="2"/>
  <c r="E766" i="2" s="1"/>
  <c r="D761" i="2"/>
  <c r="E761" i="2" s="1"/>
  <c r="D734" i="2"/>
  <c r="E734" i="2" s="1"/>
  <c r="D729" i="2"/>
  <c r="E729" i="2" s="1"/>
  <c r="D702" i="2"/>
  <c r="E702" i="2" s="1"/>
  <c r="D694" i="2"/>
  <c r="E694" i="2" s="1"/>
  <c r="D686" i="2"/>
  <c r="E686" i="2" s="1"/>
  <c r="D678" i="2"/>
  <c r="E678" i="2" s="1"/>
  <c r="D670" i="2"/>
  <c r="E670" i="2" s="1"/>
  <c r="D662" i="2"/>
  <c r="E662" i="2" s="1"/>
  <c r="D654" i="2"/>
  <c r="E654" i="2" s="1"/>
  <c r="D646" i="2"/>
  <c r="E646" i="2" s="1"/>
  <c r="D638" i="2"/>
  <c r="E638" i="2" s="1"/>
  <c r="D630" i="2"/>
  <c r="E630" i="2" s="1"/>
  <c r="D622" i="2"/>
  <c r="E622" i="2" s="1"/>
  <c r="D614" i="2"/>
  <c r="E614" i="2" s="1"/>
  <c r="D606" i="2"/>
  <c r="E606" i="2" s="1"/>
  <c r="D598" i="2"/>
  <c r="E598" i="2" s="1"/>
  <c r="D590" i="2"/>
  <c r="E590" i="2" s="1"/>
  <c r="D582" i="2"/>
  <c r="E582" i="2" s="1"/>
  <c r="D574" i="2"/>
  <c r="E574" i="2" s="1"/>
  <c r="D566" i="2"/>
  <c r="E566" i="2" s="1"/>
  <c r="D558" i="2"/>
  <c r="E558" i="2" s="1"/>
  <c r="D550" i="2"/>
  <c r="E550" i="2" s="1"/>
  <c r="D542" i="2"/>
  <c r="E542" i="2" s="1"/>
  <c r="D534" i="2"/>
  <c r="E534" i="2" s="1"/>
  <c r="D526" i="2"/>
  <c r="E526" i="2" s="1"/>
  <c r="D518" i="2"/>
  <c r="E518" i="2" s="1"/>
  <c r="D510" i="2"/>
  <c r="E510" i="2" s="1"/>
  <c r="D502" i="2"/>
  <c r="E502" i="2" s="1"/>
  <c r="D494" i="2"/>
  <c r="E494" i="2" s="1"/>
  <c r="D486" i="2"/>
  <c r="E486" i="2" s="1"/>
  <c r="D478" i="2"/>
  <c r="E478" i="2" s="1"/>
  <c r="D470" i="2"/>
  <c r="E470" i="2" s="1"/>
  <c r="D462" i="2"/>
  <c r="E462" i="2" s="1"/>
  <c r="D454" i="2"/>
  <c r="E454" i="2" s="1"/>
  <c r="D446" i="2"/>
  <c r="E446" i="2" s="1"/>
  <c r="D438" i="2"/>
  <c r="E438" i="2" s="1"/>
  <c r="D430" i="2"/>
  <c r="E430" i="2" s="1"/>
  <c r="D422" i="2"/>
  <c r="E422" i="2" s="1"/>
  <c r="D414" i="2"/>
  <c r="E414" i="2" s="1"/>
  <c r="D406" i="2"/>
  <c r="E406" i="2" s="1"/>
  <c r="D398" i="2"/>
  <c r="E398" i="2" s="1"/>
  <c r="D390" i="2"/>
  <c r="E390" i="2" s="1"/>
  <c r="D382" i="2"/>
  <c r="E382" i="2" s="1"/>
  <c r="D374" i="2"/>
  <c r="E374" i="2" s="1"/>
  <c r="D366" i="2"/>
  <c r="E366" i="2" s="1"/>
  <c r="D358" i="2"/>
  <c r="E358" i="2" s="1"/>
  <c r="D350" i="2"/>
  <c r="E350" i="2" s="1"/>
  <c r="D342" i="2"/>
  <c r="E342" i="2" s="1"/>
  <c r="D334" i="2"/>
  <c r="E334" i="2" s="1"/>
  <c r="D326" i="2"/>
  <c r="E326" i="2" s="1"/>
  <c r="D318" i="2"/>
  <c r="E318" i="2" s="1"/>
  <c r="D310" i="2"/>
  <c r="E310" i="2" s="1"/>
  <c r="D302" i="2"/>
  <c r="E302" i="2" s="1"/>
  <c r="D294" i="2"/>
  <c r="E294" i="2" s="1"/>
  <c r="D286" i="2"/>
  <c r="E286" i="2" s="1"/>
  <c r="D278" i="2"/>
  <c r="E278" i="2" s="1"/>
  <c r="D270" i="2"/>
  <c r="E270" i="2" s="1"/>
  <c r="D262" i="2"/>
  <c r="E262" i="2" s="1"/>
  <c r="D254" i="2"/>
  <c r="E254" i="2" s="1"/>
  <c r="D246" i="2"/>
  <c r="E246" i="2" s="1"/>
  <c r="D238" i="2"/>
  <c r="E238" i="2" s="1"/>
  <c r="D230" i="2"/>
  <c r="E230" i="2" s="1"/>
  <c r="D222" i="2"/>
  <c r="E222" i="2" s="1"/>
  <c r="D214" i="2"/>
  <c r="E214" i="2" s="1"/>
  <c r="D206" i="2"/>
  <c r="E206" i="2" s="1"/>
  <c r="D198" i="2"/>
  <c r="E198" i="2" s="1"/>
  <c r="D190" i="2"/>
  <c r="E190" i="2" s="1"/>
  <c r="D182" i="2"/>
  <c r="E182" i="2" s="1"/>
  <c r="D174" i="2"/>
  <c r="E174" i="2" s="1"/>
  <c r="D166" i="2"/>
  <c r="E166" i="2" s="1"/>
  <c r="D158" i="2"/>
  <c r="E158" i="2" s="1"/>
  <c r="D150" i="2"/>
  <c r="E150" i="2" s="1"/>
  <c r="D142" i="2"/>
  <c r="E142" i="2" s="1"/>
  <c r="D134" i="2"/>
  <c r="E134" i="2" s="1"/>
  <c r="D126" i="2"/>
  <c r="E126" i="2" s="1"/>
  <c r="D118" i="2"/>
  <c r="E118" i="2" s="1"/>
  <c r="D110" i="2"/>
  <c r="E110" i="2" s="1"/>
  <c r="D102" i="2"/>
  <c r="E102" i="2" s="1"/>
  <c r="D94" i="2"/>
  <c r="E94" i="2" s="1"/>
  <c r="D85" i="2"/>
  <c r="E85" i="2" s="1"/>
  <c r="D77" i="2"/>
  <c r="E77" i="2" s="1"/>
  <c r="D69" i="2"/>
  <c r="E69" i="2" s="1"/>
  <c r="D61" i="2"/>
  <c r="E61" i="2" s="1"/>
  <c r="D53" i="2"/>
  <c r="E53" i="2" s="1"/>
  <c r="D45" i="2"/>
  <c r="E45" i="2" s="1"/>
  <c r="D37" i="2"/>
  <c r="E37" i="2" s="1"/>
  <c r="D29" i="2"/>
  <c r="E29" i="2" s="1"/>
  <c r="D21" i="2"/>
  <c r="E21" i="2" s="1"/>
  <c r="D13" i="2"/>
  <c r="E13" i="2" s="1"/>
  <c r="D3" i="2"/>
  <c r="E3" i="2" s="1"/>
  <c r="D179" i="2"/>
  <c r="E179" i="2" s="1"/>
  <c r="D115" i="2"/>
  <c r="E115" i="2" s="1"/>
  <c r="D41" i="2"/>
  <c r="E41" i="2" s="1"/>
  <c r="D25" i="2"/>
  <c r="E25" i="2" s="1"/>
  <c r="D17" i="2"/>
  <c r="E17" i="2" s="1"/>
  <c r="D9" i="2"/>
  <c r="E9" i="2" s="1"/>
  <c r="D155" i="2"/>
  <c r="E155" i="2" s="1"/>
  <c r="D91" i="2"/>
  <c r="E91" i="2" s="1"/>
  <c r="D70" i="2"/>
  <c r="E70" i="2" s="1"/>
  <c r="D131" i="2"/>
  <c r="E131" i="2" s="1"/>
  <c r="D195" i="2"/>
  <c r="E195" i="2" s="1"/>
  <c r="D171" i="2"/>
  <c r="E171" i="2" s="1"/>
  <c r="D107" i="2"/>
  <c r="E107" i="2" s="1"/>
  <c r="D72" i="2"/>
  <c r="E72" i="2" s="1"/>
  <c r="D64" i="2"/>
  <c r="E64" i="2" s="1"/>
  <c r="D56" i="2"/>
  <c r="E56" i="2" s="1"/>
  <c r="D48" i="2"/>
  <c r="E48" i="2" s="1"/>
  <c r="D40" i="2"/>
  <c r="E40" i="2" s="1"/>
  <c r="D32" i="2"/>
  <c r="E32" i="2" s="1"/>
  <c r="D24" i="2"/>
  <c r="E24" i="2" s="1"/>
  <c r="D16" i="2"/>
  <c r="E16" i="2" s="1"/>
  <c r="D8" i="2"/>
  <c r="E8" i="2" s="1"/>
  <c r="D62" i="2"/>
  <c r="E62" i="2" s="1"/>
  <c r="D22" i="2"/>
  <c r="E22" i="2" s="1"/>
  <c r="D147" i="2"/>
  <c r="E147" i="2" s="1"/>
  <c r="D6" i="2"/>
  <c r="E6" i="2" s="1"/>
  <c r="D187" i="2"/>
  <c r="E187" i="2" s="1"/>
  <c r="D123" i="2"/>
  <c r="E123" i="2" s="1"/>
  <c r="D75" i="2"/>
  <c r="E75" i="2" s="1"/>
  <c r="D67" i="2"/>
  <c r="E67" i="2" s="1"/>
  <c r="D59" i="2"/>
  <c r="E59" i="2" s="1"/>
  <c r="D51" i="2"/>
  <c r="E51" i="2" s="1"/>
  <c r="D43" i="2"/>
  <c r="E43" i="2" s="1"/>
  <c r="D35" i="2"/>
  <c r="E35" i="2" s="1"/>
  <c r="D27" i="2"/>
  <c r="E27" i="2" s="1"/>
  <c r="D19" i="2"/>
  <c r="E19" i="2" s="1"/>
  <c r="D11" i="2"/>
  <c r="E11" i="2" s="1"/>
  <c r="D163" i="2"/>
  <c r="E163" i="2" s="1"/>
  <c r="D99" i="2"/>
  <c r="E99" i="2" s="1"/>
  <c r="D139" i="2"/>
  <c r="E139" i="2" s="1"/>
  <c r="D83" i="2"/>
  <c r="E83" i="2" s="1"/>
  <c r="D54" i="2"/>
  <c r="E54" i="2" s="1"/>
  <c r="D46" i="2"/>
  <c r="E46" i="2" s="1"/>
  <c r="D38" i="2"/>
  <c r="E38" i="2" s="1"/>
  <c r="D30" i="2"/>
  <c r="E30" i="2" s="1"/>
  <c r="D14" i="2"/>
  <c r="E14" i="2" s="1"/>
  <c r="D105" i="2"/>
  <c r="E105" i="2" s="1"/>
  <c r="D50" i="2"/>
  <c r="E50" i="2" s="1"/>
  <c r="D73" i="2"/>
  <c r="E73" i="2" s="1"/>
  <c r="D1453" i="2"/>
  <c r="E1453" i="2" s="1"/>
  <c r="D1325" i="2"/>
  <c r="E1325" i="2" s="1"/>
  <c r="D1181" i="2"/>
  <c r="E1181" i="2" s="1"/>
  <c r="D1039" i="2"/>
  <c r="E1039" i="2" s="1"/>
  <c r="D751" i="2"/>
  <c r="E751" i="2" s="1"/>
  <c r="D557" i="2"/>
  <c r="E557" i="2" s="1"/>
  <c r="D485" i="2"/>
  <c r="E485" i="2" s="1"/>
  <c r="D421" i="2"/>
  <c r="E421" i="2" s="1"/>
  <c r="D349" i="2"/>
  <c r="E349" i="2" s="1"/>
  <c r="D277" i="2"/>
  <c r="E277" i="2" s="1"/>
  <c r="D205" i="2"/>
  <c r="E205" i="2" s="1"/>
  <c r="D109" i="2"/>
  <c r="E109" i="2" s="1"/>
  <c r="D1079" i="2"/>
  <c r="E1079" i="2" s="1"/>
  <c r="D880" i="2"/>
  <c r="E880" i="2" s="1"/>
  <c r="D826" i="2"/>
  <c r="E826" i="2" s="1"/>
  <c r="D732" i="2"/>
  <c r="E732" i="2" s="1"/>
  <c r="D1004" i="2"/>
  <c r="E1004" i="2" s="1"/>
  <c r="D791" i="2"/>
  <c r="E791" i="2" s="1"/>
  <c r="D1618" i="2"/>
  <c r="E1618" i="2" s="1"/>
  <c r="D1490" i="2"/>
  <c r="E1490" i="2" s="1"/>
  <c r="D1362" i="2"/>
  <c r="E1362" i="2" s="1"/>
  <c r="D1178" i="2"/>
  <c r="E1178" i="2" s="1"/>
  <c r="D1044" i="2"/>
  <c r="E1044" i="2" s="1"/>
  <c r="D884" i="2"/>
  <c r="E884" i="2" s="1"/>
  <c r="D708" i="2"/>
  <c r="E708" i="2" s="1"/>
  <c r="D480" i="2"/>
  <c r="E480" i="2" s="1"/>
  <c r="D368" i="2"/>
  <c r="E368" i="2" s="1"/>
  <c r="D296" i="2"/>
  <c r="E296" i="2" s="1"/>
  <c r="D200" i="2"/>
  <c r="E200" i="2" s="1"/>
  <c r="D996" i="2"/>
  <c r="E996" i="2" s="1"/>
  <c r="D767" i="2"/>
  <c r="E767" i="2" s="1"/>
  <c r="D655" i="2"/>
  <c r="E655" i="2" s="1"/>
  <c r="D591" i="2"/>
  <c r="E591" i="2" s="1"/>
  <c r="D527" i="2"/>
  <c r="E527" i="2" s="1"/>
  <c r="D463" i="2"/>
  <c r="E463" i="2" s="1"/>
  <c r="D399" i="2"/>
  <c r="E399" i="2" s="1"/>
  <c r="D335" i="2"/>
  <c r="E335" i="2" s="1"/>
  <c r="D271" i="2"/>
  <c r="E271" i="2" s="1"/>
  <c r="D207" i="2"/>
  <c r="E207" i="2" s="1"/>
  <c r="D1015" i="2"/>
  <c r="E1015" i="2" s="1"/>
  <c r="D839" i="2"/>
  <c r="E839" i="2" s="1"/>
  <c r="D762" i="2"/>
  <c r="E762" i="2" s="1"/>
  <c r="D1183" i="2"/>
  <c r="E1183" i="2" s="1"/>
  <c r="D1028" i="2"/>
  <c r="E1028" i="2" s="1"/>
  <c r="D833" i="2"/>
  <c r="E833" i="2" s="1"/>
  <c r="D682" i="2"/>
  <c r="E682" i="2" s="1"/>
  <c r="D618" i="2"/>
  <c r="E618" i="2" s="1"/>
  <c r="D554" i="2"/>
  <c r="E554" i="2" s="1"/>
  <c r="D490" i="2"/>
  <c r="E490" i="2" s="1"/>
  <c r="D426" i="2"/>
  <c r="E426" i="2" s="1"/>
  <c r="D362" i="2"/>
  <c r="E362" i="2" s="1"/>
  <c r="D298" i="2"/>
  <c r="E298" i="2" s="1"/>
  <c r="D234" i="2"/>
  <c r="E234" i="2" s="1"/>
  <c r="D170" i="2"/>
  <c r="E170" i="2" s="1"/>
  <c r="D106" i="2"/>
  <c r="E106" i="2" s="1"/>
  <c r="D758" i="2"/>
  <c r="E758" i="2" s="1"/>
  <c r="D127" i="2"/>
  <c r="E127" i="2" s="1"/>
  <c r="D108" i="2"/>
  <c r="E108" i="2" s="1"/>
  <c r="D676" i="2"/>
  <c r="E676" i="2" s="1"/>
  <c r="D612" i="2"/>
  <c r="E612" i="2" s="1"/>
  <c r="D548" i="2"/>
  <c r="E548" i="2" s="1"/>
  <c r="D484" i="2"/>
  <c r="E484" i="2" s="1"/>
  <c r="D420" i="2"/>
  <c r="E420" i="2" s="1"/>
  <c r="D356" i="2"/>
  <c r="E356" i="2" s="1"/>
  <c r="D292" i="2"/>
  <c r="E292" i="2" s="1"/>
  <c r="D228" i="2"/>
  <c r="E228" i="2" s="1"/>
  <c r="D137" i="2"/>
  <c r="E137" i="2" s="1"/>
  <c r="D96" i="2"/>
  <c r="E96" i="2" s="1"/>
  <c r="D28" i="2"/>
  <c r="E28" i="2" s="1"/>
  <c r="D95" i="2"/>
  <c r="E95" i="2" s="1"/>
  <c r="D753" i="2"/>
  <c r="E753" i="2" s="1"/>
  <c r="D176" i="2"/>
  <c r="E176" i="2" s="1"/>
  <c r="D55" i="2"/>
  <c r="E55" i="2" s="1"/>
  <c r="D58" i="2"/>
  <c r="E58" i="2" s="1"/>
  <c r="D79" i="2"/>
  <c r="E79" i="2" s="1"/>
  <c r="D34" i="2"/>
  <c r="E34" i="2" s="1"/>
  <c r="D65" i="2"/>
  <c r="E65" i="2" s="1"/>
  <c r="D2750" i="3"/>
  <c r="E2750" i="3" s="1"/>
  <c r="D2746" i="3"/>
  <c r="E2746" i="3" s="1"/>
  <c r="D2732" i="3"/>
  <c r="E2732" i="3" s="1"/>
  <c r="D2718" i="3"/>
  <c r="E2718" i="3" s="1"/>
  <c r="D2714" i="3"/>
  <c r="E2714" i="3" s="1"/>
  <c r="D2700" i="3"/>
  <c r="E2700" i="3" s="1"/>
  <c r="D2686" i="3"/>
  <c r="E2686" i="3" s="1"/>
  <c r="D2682" i="3"/>
  <c r="E2682" i="3" s="1"/>
  <c r="D2668" i="3"/>
  <c r="E2668" i="3" s="1"/>
  <c r="D2654" i="3"/>
  <c r="E2654" i="3" s="1"/>
  <c r="D2650" i="3"/>
  <c r="E2650" i="3" s="1"/>
  <c r="D2637" i="3"/>
  <c r="E2637" i="3" s="1"/>
  <c r="D2634" i="3"/>
  <c r="E2634" i="3" s="1"/>
  <c r="D2621" i="3"/>
  <c r="E2621" i="3" s="1"/>
  <c r="D2618" i="3"/>
  <c r="E2618" i="3" s="1"/>
  <c r="D2605" i="3"/>
  <c r="E2605" i="3" s="1"/>
  <c r="D2602" i="3"/>
  <c r="E2602" i="3" s="1"/>
  <c r="D2589" i="3"/>
  <c r="E2589" i="3" s="1"/>
  <c r="D2586" i="3"/>
  <c r="E2586" i="3" s="1"/>
  <c r="D2573" i="3"/>
  <c r="E2573" i="3" s="1"/>
  <c r="D2570" i="3"/>
  <c r="E2570" i="3" s="1"/>
  <c r="D2557" i="3"/>
  <c r="E2557" i="3" s="1"/>
  <c r="D2554" i="3"/>
  <c r="E2554" i="3" s="1"/>
  <c r="D2541" i="3"/>
  <c r="E2541" i="3" s="1"/>
  <c r="D2538" i="3"/>
  <c r="E2538" i="3" s="1"/>
  <c r="D2525" i="3"/>
  <c r="E2525" i="3" s="1"/>
  <c r="D2522" i="3"/>
  <c r="E2522" i="3" s="1"/>
  <c r="D2509" i="3"/>
  <c r="E2509" i="3" s="1"/>
  <c r="D2506" i="3"/>
  <c r="E2506" i="3" s="1"/>
  <c r="D2476" i="3"/>
  <c r="E2476" i="3" s="1"/>
  <c r="D2473" i="3"/>
  <c r="E2473" i="3" s="1"/>
  <c r="D2470" i="3"/>
  <c r="E2470" i="3" s="1"/>
  <c r="D2464" i="3"/>
  <c r="E2464" i="3" s="1"/>
  <c r="D2742" i="3"/>
  <c r="E2742" i="3" s="1"/>
  <c r="D2710" i="3"/>
  <c r="E2710" i="3" s="1"/>
  <c r="D2678" i="3"/>
  <c r="E2678" i="3" s="1"/>
  <c r="D2646" i="3"/>
  <c r="E2646" i="3" s="1"/>
  <c r="D2630" i="3"/>
  <c r="E2630" i="3" s="1"/>
  <c r="D2614" i="3"/>
  <c r="E2614" i="3" s="1"/>
  <c r="D2598" i="3"/>
  <c r="E2598" i="3" s="1"/>
  <c r="D2582" i="3"/>
  <c r="E2582" i="3" s="1"/>
  <c r="D2566" i="3"/>
  <c r="E2566" i="3" s="1"/>
  <c r="D2550" i="3"/>
  <c r="E2550" i="3" s="1"/>
  <c r="D2534" i="3"/>
  <c r="E2534" i="3" s="1"/>
  <c r="D2518" i="3"/>
  <c r="E2518" i="3" s="1"/>
  <c r="D2502" i="3"/>
  <c r="E2502" i="3" s="1"/>
  <c r="D2478" i="3"/>
  <c r="E2478" i="3" s="1"/>
  <c r="D2758" i="3"/>
  <c r="E2758" i="3" s="1"/>
  <c r="D2726" i="3"/>
  <c r="E2726" i="3" s="1"/>
  <c r="D2694" i="3"/>
  <c r="E2694" i="3" s="1"/>
  <c r="D2662" i="3"/>
  <c r="E2662" i="3" s="1"/>
  <c r="D2638" i="3"/>
  <c r="E2638" i="3" s="1"/>
  <c r="D2622" i="3"/>
  <c r="E2622" i="3" s="1"/>
  <c r="D2606" i="3"/>
  <c r="E2606" i="3" s="1"/>
  <c r="D2590" i="3"/>
  <c r="E2590" i="3" s="1"/>
  <c r="D2574" i="3"/>
  <c r="E2574" i="3" s="1"/>
  <c r="D2558" i="3"/>
  <c r="E2558" i="3" s="1"/>
  <c r="D2542" i="3"/>
  <c r="E2542" i="3" s="1"/>
  <c r="D2526" i="3"/>
  <c r="E2526" i="3" s="1"/>
  <c r="D2510" i="3"/>
  <c r="E2510" i="3" s="1"/>
  <c r="D2494" i="3"/>
  <c r="E2494" i="3" s="1"/>
  <c r="D2462" i="3"/>
  <c r="E2462" i="3" s="1"/>
  <c r="D2737" i="3"/>
  <c r="E2737" i="3" s="1"/>
  <c r="D2655" i="3"/>
  <c r="E2655" i="3" s="1"/>
  <c r="D2641" i="3"/>
  <c r="E2641" i="3" s="1"/>
  <c r="D2609" i="3"/>
  <c r="E2609" i="3" s="1"/>
  <c r="D2577" i="3"/>
  <c r="E2577" i="3" s="1"/>
  <c r="D2545" i="3"/>
  <c r="E2545" i="3" s="1"/>
  <c r="D2513" i="3"/>
  <c r="E2513" i="3" s="1"/>
  <c r="D2424" i="3"/>
  <c r="E2424" i="3" s="1"/>
  <c r="D2711" i="3"/>
  <c r="E2711" i="3" s="1"/>
  <c r="D2670" i="3"/>
  <c r="E2670" i="3" s="1"/>
  <c r="D2665" i="3"/>
  <c r="E2665" i="3" s="1"/>
  <c r="D2631" i="3"/>
  <c r="E2631" i="3" s="1"/>
  <c r="D2599" i="3"/>
  <c r="E2599" i="3" s="1"/>
  <c r="D2567" i="3"/>
  <c r="E2567" i="3" s="1"/>
  <c r="D2535" i="3"/>
  <c r="E2535" i="3" s="1"/>
  <c r="D2503" i="3"/>
  <c r="E2503" i="3" s="1"/>
  <c r="D2485" i="3"/>
  <c r="E2485" i="3" s="1"/>
  <c r="D2480" i="3"/>
  <c r="E2480" i="3" s="1"/>
  <c r="D2463" i="3"/>
  <c r="E2463" i="3" s="1"/>
  <c r="D2454" i="3"/>
  <c r="E2454" i="3" s="1"/>
  <c r="D2415" i="3"/>
  <c r="E2415" i="3" s="1"/>
  <c r="D2355" i="3"/>
  <c r="E2355" i="3" s="1"/>
  <c r="D2347" i="3"/>
  <c r="E2347" i="3" s="1"/>
  <c r="D2339" i="3"/>
  <c r="E2339" i="3" s="1"/>
  <c r="D2307" i="3"/>
  <c r="E2307" i="3" s="1"/>
  <c r="D2751" i="3"/>
  <c r="E2751" i="3" s="1"/>
  <c r="D2705" i="3"/>
  <c r="E2705" i="3" s="1"/>
  <c r="D2644" i="3"/>
  <c r="E2644" i="3" s="1"/>
  <c r="D2612" i="3"/>
  <c r="E2612" i="3" s="1"/>
  <c r="D2580" i="3"/>
  <c r="E2580" i="3" s="1"/>
  <c r="D2548" i="3"/>
  <c r="E2548" i="3" s="1"/>
  <c r="D2516" i="3"/>
  <c r="E2516" i="3" s="1"/>
  <c r="D2444" i="3"/>
  <c r="E2444" i="3" s="1"/>
  <c r="D2441" i="3"/>
  <c r="E2441" i="3" s="1"/>
  <c r="D2438" i="3"/>
  <c r="E2438" i="3" s="1"/>
  <c r="D2432" i="3"/>
  <c r="E2432" i="3" s="1"/>
  <c r="D2766" i="3"/>
  <c r="E2766" i="3" s="1"/>
  <c r="D2761" i="3"/>
  <c r="E2761" i="3" s="1"/>
  <c r="D2679" i="3"/>
  <c r="E2679" i="3" s="1"/>
  <c r="D2743" i="3"/>
  <c r="E2743" i="3" s="1"/>
  <c r="D2702" i="3"/>
  <c r="E2702" i="3" s="1"/>
  <c r="D2697" i="3"/>
  <c r="E2697" i="3" s="1"/>
  <c r="D2666" i="3"/>
  <c r="E2666" i="3" s="1"/>
  <c r="D2623" i="3"/>
  <c r="E2623" i="3" s="1"/>
  <c r="D2591" i="3"/>
  <c r="E2591" i="3" s="1"/>
  <c r="D2559" i="3"/>
  <c r="E2559" i="3" s="1"/>
  <c r="D2527" i="3"/>
  <c r="E2527" i="3" s="1"/>
  <c r="D2495" i="3"/>
  <c r="E2495" i="3" s="1"/>
  <c r="D2486" i="3"/>
  <c r="E2486" i="3" s="1"/>
  <c r="D2477" i="3"/>
  <c r="E2477" i="3" s="1"/>
  <c r="D2469" i="3"/>
  <c r="E2469" i="3" s="1"/>
  <c r="D2460" i="3"/>
  <c r="E2460" i="3" s="1"/>
  <c r="D2448" i="3"/>
  <c r="E2448" i="3" s="1"/>
  <c r="D2445" i="3"/>
  <c r="E2445" i="3" s="1"/>
  <c r="D2442" i="3"/>
  <c r="E2442" i="3" s="1"/>
  <c r="D2439" i="3"/>
  <c r="E2439" i="3" s="1"/>
  <c r="D2407" i="3"/>
  <c r="E2407" i="3" s="1"/>
  <c r="D2404" i="3"/>
  <c r="E2404" i="3" s="1"/>
  <c r="D2401" i="3"/>
  <c r="E2401" i="3" s="1"/>
  <c r="D2393" i="3"/>
  <c r="E2393" i="3" s="1"/>
  <c r="D2385" i="3"/>
  <c r="E2385" i="3" s="1"/>
  <c r="D2377" i="3"/>
  <c r="E2377" i="3" s="1"/>
  <c r="D2369" i="3"/>
  <c r="E2369" i="3" s="1"/>
  <c r="D2361" i="3"/>
  <c r="E2361" i="3" s="1"/>
  <c r="D2353" i="3"/>
  <c r="E2353" i="3" s="1"/>
  <c r="D2345" i="3"/>
  <c r="E2345" i="3" s="1"/>
  <c r="D2337" i="3"/>
  <c r="E2337" i="3" s="1"/>
  <c r="D2734" i="3"/>
  <c r="E2734" i="3" s="1"/>
  <c r="D2625" i="3"/>
  <c r="E2625" i="3" s="1"/>
  <c r="D2601" i="3"/>
  <c r="E2601" i="3" s="1"/>
  <c r="D2583" i="3"/>
  <c r="E2583" i="3" s="1"/>
  <c r="D2446" i="3"/>
  <c r="E2446" i="3" s="1"/>
  <c r="D2419" i="3"/>
  <c r="E2419" i="3" s="1"/>
  <c r="D2257" i="3"/>
  <c r="E2257" i="3" s="1"/>
  <c r="D2225" i="3"/>
  <c r="E2225" i="3" s="1"/>
  <c r="D2642" i="3"/>
  <c r="E2642" i="3" s="1"/>
  <c r="D2588" i="3"/>
  <c r="E2588" i="3" s="1"/>
  <c r="D2466" i="3"/>
  <c r="E2466" i="3" s="1"/>
  <c r="D2397" i="3"/>
  <c r="E2397" i="3" s="1"/>
  <c r="D2389" i="3"/>
  <c r="E2389" i="3" s="1"/>
  <c r="D2381" i="3"/>
  <c r="E2381" i="3" s="1"/>
  <c r="D2305" i="3"/>
  <c r="E2305" i="3" s="1"/>
  <c r="D2287" i="3"/>
  <c r="E2287" i="3" s="1"/>
  <c r="D2280" i="3"/>
  <c r="E2280" i="3" s="1"/>
  <c r="D2277" i="3"/>
  <c r="E2277" i="3" s="1"/>
  <c r="D2248" i="3"/>
  <c r="E2248" i="3" s="1"/>
  <c r="D2245" i="3"/>
  <c r="E2245" i="3" s="1"/>
  <c r="D2242" i="3"/>
  <c r="E2242" i="3" s="1"/>
  <c r="D2206" i="3"/>
  <c r="E2206" i="3" s="1"/>
  <c r="D2198" i="3"/>
  <c r="E2198" i="3" s="1"/>
  <c r="D2190" i="3"/>
  <c r="E2190" i="3" s="1"/>
  <c r="D2182" i="3"/>
  <c r="E2182" i="3" s="1"/>
  <c r="D2174" i="3"/>
  <c r="E2174" i="3" s="1"/>
  <c r="D2166" i="3"/>
  <c r="E2166" i="3" s="1"/>
  <c r="D2759" i="3"/>
  <c r="E2759" i="3" s="1"/>
  <c r="D2719" i="3"/>
  <c r="E2719" i="3" s="1"/>
  <c r="D2713" i="3"/>
  <c r="E2713" i="3" s="1"/>
  <c r="D2687" i="3"/>
  <c r="E2687" i="3" s="1"/>
  <c r="D2673" i="3"/>
  <c r="E2673" i="3" s="1"/>
  <c r="D2647" i="3"/>
  <c r="E2647" i="3" s="1"/>
  <c r="D2564" i="3"/>
  <c r="E2564" i="3" s="1"/>
  <c r="D2546" i="3"/>
  <c r="E2546" i="3" s="1"/>
  <c r="D2529" i="3"/>
  <c r="E2529" i="3" s="1"/>
  <c r="D2500" i="3"/>
  <c r="E2500" i="3" s="1"/>
  <c r="D2482" i="3"/>
  <c r="E2482" i="3" s="1"/>
  <c r="D2471" i="3"/>
  <c r="E2471" i="3" s="1"/>
  <c r="D2422" i="3"/>
  <c r="E2422" i="3" s="1"/>
  <c r="D2410" i="3"/>
  <c r="E2410" i="3" s="1"/>
  <c r="D2265" i="3"/>
  <c r="E2265" i="3" s="1"/>
  <c r="D2233" i="3"/>
  <c r="E2233" i="3" s="1"/>
  <c r="D2729" i="3"/>
  <c r="E2729" i="3" s="1"/>
  <c r="D2596" i="3"/>
  <c r="E2596" i="3" s="1"/>
  <c r="D2578" i="3"/>
  <c r="E2578" i="3" s="1"/>
  <c r="D2537" i="3"/>
  <c r="E2537" i="3" s="1"/>
  <c r="D2519" i="3"/>
  <c r="E2519" i="3" s="1"/>
  <c r="D2452" i="3"/>
  <c r="E2452" i="3" s="1"/>
  <c r="D2327" i="3"/>
  <c r="E2327" i="3" s="1"/>
  <c r="D2313" i="3"/>
  <c r="E2313" i="3" s="1"/>
  <c r="D2309" i="3"/>
  <c r="E2309" i="3" s="1"/>
  <c r="D2295" i="3"/>
  <c r="E2295" i="3" s="1"/>
  <c r="D2281" i="3"/>
  <c r="E2281" i="3" s="1"/>
  <c r="D2272" i="3"/>
  <c r="E2272" i="3" s="1"/>
  <c r="D2269" i="3"/>
  <c r="E2269" i="3" s="1"/>
  <c r="D2266" i="3"/>
  <c r="E2266" i="3" s="1"/>
  <c r="D2240" i="3"/>
  <c r="E2240" i="3" s="1"/>
  <c r="D2237" i="3"/>
  <c r="E2237" i="3" s="1"/>
  <c r="D2234" i="3"/>
  <c r="E2234" i="3" s="1"/>
  <c r="D2220" i="3"/>
  <c r="E2220" i="3" s="1"/>
  <c r="D2212" i="3"/>
  <c r="E2212" i="3" s="1"/>
  <c r="D2204" i="3"/>
  <c r="E2204" i="3" s="1"/>
  <c r="D2196" i="3"/>
  <c r="E2196" i="3" s="1"/>
  <c r="D2188" i="3"/>
  <c r="E2188" i="3" s="1"/>
  <c r="D2164" i="3"/>
  <c r="E2164" i="3" s="1"/>
  <c r="D2156" i="3"/>
  <c r="E2156" i="3" s="1"/>
  <c r="D2148" i="3"/>
  <c r="E2148" i="3" s="1"/>
  <c r="D2140" i="3"/>
  <c r="E2140" i="3" s="1"/>
  <c r="D2132" i="3"/>
  <c r="E2132" i="3" s="1"/>
  <c r="D2551" i="3"/>
  <c r="E2551" i="3" s="1"/>
  <c r="D2388" i="3"/>
  <c r="E2388" i="3" s="1"/>
  <c r="D2372" i="3"/>
  <c r="E2372" i="3" s="1"/>
  <c r="D2356" i="3"/>
  <c r="E2356" i="3" s="1"/>
  <c r="D2340" i="3"/>
  <c r="E2340" i="3" s="1"/>
  <c r="D2329" i="3"/>
  <c r="E2329" i="3" s="1"/>
  <c r="D2028" i="3"/>
  <c r="E2028" i="3" s="1"/>
  <c r="D2020" i="3"/>
  <c r="E2020" i="3" s="1"/>
  <c r="D2004" i="3"/>
  <c r="E2004" i="3" s="1"/>
  <c r="D1972" i="3"/>
  <c r="E1972" i="3" s="1"/>
  <c r="D1948" i="3"/>
  <c r="E1948" i="3" s="1"/>
  <c r="D2652" i="3"/>
  <c r="E2652" i="3" s="1"/>
  <c r="D2543" i="3"/>
  <c r="E2543" i="3" s="1"/>
  <c r="D2324" i="3"/>
  <c r="E2324" i="3" s="1"/>
  <c r="D2610" i="3"/>
  <c r="E2610" i="3" s="1"/>
  <c r="D2569" i="3"/>
  <c r="E2569" i="3" s="1"/>
  <c r="D2408" i="3"/>
  <c r="E2408" i="3" s="1"/>
  <c r="D2289" i="3"/>
  <c r="E2289" i="3" s="1"/>
  <c r="D2684" i="3"/>
  <c r="E2684" i="3" s="1"/>
  <c r="D2532" i="3"/>
  <c r="E2532" i="3" s="1"/>
  <c r="D2497" i="3"/>
  <c r="E2497" i="3" s="1"/>
  <c r="D2416" i="3"/>
  <c r="E2416" i="3" s="1"/>
  <c r="D2399" i="3"/>
  <c r="E2399" i="3" s="1"/>
  <c r="D2383" i="3"/>
  <c r="E2383" i="3" s="1"/>
  <c r="D2367" i="3"/>
  <c r="E2367" i="3" s="1"/>
  <c r="D2351" i="3"/>
  <c r="E2351" i="3" s="1"/>
  <c r="D2335" i="3"/>
  <c r="E2335" i="3" s="1"/>
  <c r="D2273" i="3"/>
  <c r="E2273" i="3" s="1"/>
  <c r="D2264" i="3"/>
  <c r="E2264" i="3" s="1"/>
  <c r="D2255" i="3"/>
  <c r="E2255" i="3" s="1"/>
  <c r="D2247" i="3"/>
  <c r="E2247" i="3" s="1"/>
  <c r="D2243" i="3"/>
  <c r="E2243" i="3" s="1"/>
  <c r="D2221" i="3"/>
  <c r="E2221" i="3" s="1"/>
  <c r="D2213" i="3"/>
  <c r="E2213" i="3" s="1"/>
  <c r="D2205" i="3"/>
  <c r="E2205" i="3" s="1"/>
  <c r="D2197" i="3"/>
  <c r="E2197" i="3" s="1"/>
  <c r="D2189" i="3"/>
  <c r="E2189" i="3" s="1"/>
  <c r="D2181" i="3"/>
  <c r="E2181" i="3" s="1"/>
  <c r="D2173" i="3"/>
  <c r="E2173" i="3" s="1"/>
  <c r="D2165" i="3"/>
  <c r="E2165" i="3" s="1"/>
  <c r="D2157" i="3"/>
  <c r="E2157" i="3" s="1"/>
  <c r="D2143" i="3"/>
  <c r="E2143" i="3" s="1"/>
  <c r="D2119" i="3"/>
  <c r="E2119" i="3" s="1"/>
  <c r="D2111" i="3"/>
  <c r="E2111" i="3" s="1"/>
  <c r="D2103" i="3"/>
  <c r="E2103" i="3" s="1"/>
  <c r="D2095" i="3"/>
  <c r="E2095" i="3" s="1"/>
  <c r="D2087" i="3"/>
  <c r="E2087" i="3" s="1"/>
  <c r="D2079" i="3"/>
  <c r="E2079" i="3" s="1"/>
  <c r="D2071" i="3"/>
  <c r="E2071" i="3" s="1"/>
  <c r="D2063" i="3"/>
  <c r="E2063" i="3" s="1"/>
  <c r="D2055" i="3"/>
  <c r="E2055" i="3" s="1"/>
  <c r="D2047" i="3"/>
  <c r="E2047" i="3" s="1"/>
  <c r="D2628" i="3"/>
  <c r="E2628" i="3" s="1"/>
  <c r="D2434" i="3"/>
  <c r="E2434" i="3" s="1"/>
  <c r="D2375" i="3"/>
  <c r="E2375" i="3" s="1"/>
  <c r="D2343" i="3"/>
  <c r="E2343" i="3" s="1"/>
  <c r="D2249" i="3"/>
  <c r="E2249" i="3" s="1"/>
  <c r="D2215" i="3"/>
  <c r="E2215" i="3" s="1"/>
  <c r="D2199" i="3"/>
  <c r="E2199" i="3" s="1"/>
  <c r="D2183" i="3"/>
  <c r="E2183" i="3" s="1"/>
  <c r="D2167" i="3"/>
  <c r="E2167" i="3" s="1"/>
  <c r="D2151" i="3"/>
  <c r="E2151" i="3" s="1"/>
  <c r="D2015" i="3"/>
  <c r="E2015" i="3" s="1"/>
  <c r="D1983" i="3"/>
  <c r="E1983" i="3" s="1"/>
  <c r="D1951" i="3"/>
  <c r="E1951" i="3" s="1"/>
  <c r="D2620" i="3"/>
  <c r="E2620" i="3" s="1"/>
  <c r="D2306" i="3"/>
  <c r="E2306" i="3" s="1"/>
  <c r="D2018" i="3"/>
  <c r="E2018" i="3" s="1"/>
  <c r="D2633" i="3"/>
  <c r="E2633" i="3" s="1"/>
  <c r="D2561" i="3"/>
  <c r="E2561" i="3" s="1"/>
  <c r="D2453" i="3"/>
  <c r="E2453" i="3" s="1"/>
  <c r="D2380" i="3"/>
  <c r="E2380" i="3" s="1"/>
  <c r="D2348" i="3"/>
  <c r="E2348" i="3" s="1"/>
  <c r="D2311" i="3"/>
  <c r="E2311" i="3" s="1"/>
  <c r="D2275" i="3"/>
  <c r="E2275" i="3" s="1"/>
  <c r="D2039" i="3"/>
  <c r="E2039" i="3" s="1"/>
  <c r="D2007" i="3"/>
  <c r="E2007" i="3" s="1"/>
  <c r="D1975" i="3"/>
  <c r="E1975" i="3" s="1"/>
  <c r="D2663" i="3"/>
  <c r="E2663" i="3" s="1"/>
  <c r="D2474" i="3"/>
  <c r="E2474" i="3" s="1"/>
  <c r="D2292" i="3"/>
  <c r="E2292" i="3" s="1"/>
  <c r="D2514" i="3"/>
  <c r="E2514" i="3" s="1"/>
  <c r="D2479" i="3"/>
  <c r="E2479" i="3" s="1"/>
  <c r="D2391" i="3"/>
  <c r="E2391" i="3" s="1"/>
  <c r="D2359" i="3"/>
  <c r="E2359" i="3" s="1"/>
  <c r="D2297" i="3"/>
  <c r="E2297" i="3" s="1"/>
  <c r="D2279" i="3"/>
  <c r="E2279" i="3" s="1"/>
  <c r="D2252" i="3"/>
  <c r="E2252" i="3" s="1"/>
  <c r="D2492" i="3"/>
  <c r="E2492" i="3" s="1"/>
  <c r="D2321" i="3"/>
  <c r="E2321" i="3" s="1"/>
  <c r="D2505" i="3"/>
  <c r="E2505" i="3" s="1"/>
  <c r="D2396" i="3"/>
  <c r="E2396" i="3" s="1"/>
  <c r="D2364" i="3"/>
  <c r="E2364" i="3" s="1"/>
  <c r="D2332" i="3"/>
  <c r="E2332" i="3" s="1"/>
  <c r="D2615" i="3"/>
  <c r="E2615" i="3" s="1"/>
  <c r="D2593" i="3"/>
  <c r="E2593" i="3" s="1"/>
  <c r="D2449" i="3"/>
  <c r="E2449" i="3" s="1"/>
  <c r="D2325" i="3"/>
  <c r="E2325" i="3" s="1"/>
  <c r="D2261" i="3"/>
  <c r="E2261" i="3" s="1"/>
  <c r="D2147" i="3"/>
  <c r="E2147" i="3" s="1"/>
  <c r="D2120" i="3"/>
  <c r="E2120" i="3" s="1"/>
  <c r="D2112" i="3"/>
  <c r="E2112" i="3" s="1"/>
  <c r="D2104" i="3"/>
  <c r="E2104" i="3" s="1"/>
  <c r="D2096" i="3"/>
  <c r="E2096" i="3" s="1"/>
  <c r="D2088" i="3"/>
  <c r="E2088" i="3" s="1"/>
  <c r="D2080" i="3"/>
  <c r="E2080" i="3" s="1"/>
  <c r="D2072" i="3"/>
  <c r="E2072" i="3" s="1"/>
  <c r="D2064" i="3"/>
  <c r="E2064" i="3" s="1"/>
  <c r="D2056" i="3"/>
  <c r="E2056" i="3" s="1"/>
  <c r="D2048" i="3"/>
  <c r="E2048" i="3" s="1"/>
  <c r="D2040" i="3"/>
  <c r="E2040" i="3" s="1"/>
  <c r="D2026" i="3"/>
  <c r="E2026" i="3" s="1"/>
  <c r="D2008" i="3"/>
  <c r="E2008" i="3" s="1"/>
  <c r="D1994" i="3"/>
  <c r="E1994" i="3" s="1"/>
  <c r="D1976" i="3"/>
  <c r="E1976" i="3" s="1"/>
  <c r="D1962" i="3"/>
  <c r="E1962" i="3" s="1"/>
  <c r="D1944" i="3"/>
  <c r="E1944" i="3" s="1"/>
  <c r="D1941" i="3"/>
  <c r="E1941" i="3" s="1"/>
  <c r="D1938" i="3"/>
  <c r="E1938" i="3" s="1"/>
  <c r="D1930" i="3"/>
  <c r="E1930" i="3" s="1"/>
  <c r="D1922" i="3"/>
  <c r="E1922" i="3" s="1"/>
  <c r="D1914" i="3"/>
  <c r="E1914" i="3" s="1"/>
  <c r="D1906" i="3"/>
  <c r="E1906" i="3" s="1"/>
  <c r="D1898" i="3"/>
  <c r="E1898" i="3" s="1"/>
  <c r="D1890" i="3"/>
  <c r="E1890" i="3" s="1"/>
  <c r="D1882" i="3"/>
  <c r="E1882" i="3" s="1"/>
  <c r="D1874" i="3"/>
  <c r="E1874" i="3" s="1"/>
  <c r="D1866" i="3"/>
  <c r="E1866" i="3" s="1"/>
  <c r="D1858" i="3"/>
  <c r="E1858" i="3" s="1"/>
  <c r="D1850" i="3"/>
  <c r="E1850" i="3" s="1"/>
  <c r="D1842" i="3"/>
  <c r="E1842" i="3" s="1"/>
  <c r="D1834" i="3"/>
  <c r="E1834" i="3" s="1"/>
  <c r="D1826" i="3"/>
  <c r="E1826" i="3" s="1"/>
  <c r="D1818" i="3"/>
  <c r="E1818" i="3" s="1"/>
  <c r="D1810" i="3"/>
  <c r="E1810" i="3" s="1"/>
  <c r="D1802" i="3"/>
  <c r="E1802" i="3" s="1"/>
  <c r="D1794" i="3"/>
  <c r="E1794" i="3" s="1"/>
  <c r="D1786" i="3"/>
  <c r="E1786" i="3" s="1"/>
  <c r="D1778" i="3"/>
  <c r="E1778" i="3" s="1"/>
  <c r="D1770" i="3"/>
  <c r="E1770" i="3" s="1"/>
  <c r="D1762" i="3"/>
  <c r="E1762" i="3" s="1"/>
  <c r="D1754" i="3"/>
  <c r="E1754" i="3" s="1"/>
  <c r="D1746" i="3"/>
  <c r="E1746" i="3" s="1"/>
  <c r="D1738" i="3"/>
  <c r="E1738" i="3" s="1"/>
  <c r="D1730" i="3"/>
  <c r="E1730" i="3" s="1"/>
  <c r="D1722" i="3"/>
  <c r="E1722" i="3" s="1"/>
  <c r="D1714" i="3"/>
  <c r="E1714" i="3" s="1"/>
  <c r="D1706" i="3"/>
  <c r="E1706" i="3" s="1"/>
  <c r="D1698" i="3"/>
  <c r="E1698" i="3" s="1"/>
  <c r="D1690" i="3"/>
  <c r="E1690" i="3" s="1"/>
  <c r="D1682" i="3"/>
  <c r="E1682" i="3" s="1"/>
  <c r="D1674" i="3"/>
  <c r="E1674" i="3" s="1"/>
  <c r="D1666" i="3"/>
  <c r="E1666" i="3" s="1"/>
  <c r="D1658" i="3"/>
  <c r="E1658" i="3" s="1"/>
  <c r="D1650" i="3"/>
  <c r="E1650" i="3" s="1"/>
  <c r="D1642" i="3"/>
  <c r="E1642" i="3" s="1"/>
  <c r="D2207" i="3"/>
  <c r="E2207" i="3" s="1"/>
  <c r="D2175" i="3"/>
  <c r="E2175" i="3" s="1"/>
  <c r="D2031" i="3"/>
  <c r="E2031" i="3" s="1"/>
  <c r="D1967" i="3"/>
  <c r="E1967" i="3" s="1"/>
  <c r="D1634" i="3"/>
  <c r="E1634" i="3" s="1"/>
  <c r="D1618" i="3"/>
  <c r="E1618" i="3" s="1"/>
  <c r="D1602" i="3"/>
  <c r="E1602" i="3" s="1"/>
  <c r="D1586" i="3"/>
  <c r="E1586" i="3" s="1"/>
  <c r="D1570" i="3"/>
  <c r="E1570" i="3" s="1"/>
  <c r="D1554" i="3"/>
  <c r="E1554" i="3" s="1"/>
  <c r="D2241" i="3"/>
  <c r="E2241" i="3" s="1"/>
  <c r="D2235" i="3"/>
  <c r="E2235" i="3" s="1"/>
  <c r="D1995" i="3"/>
  <c r="E1995" i="3" s="1"/>
  <c r="D1991" i="3"/>
  <c r="E1991" i="3" s="1"/>
  <c r="D1981" i="3"/>
  <c r="E1981" i="3" s="1"/>
  <c r="D1933" i="3"/>
  <c r="E1933" i="3" s="1"/>
  <c r="D1925" i="3"/>
  <c r="E1925" i="3" s="1"/>
  <c r="D1917" i="3"/>
  <c r="E1917" i="3" s="1"/>
  <c r="D1909" i="3"/>
  <c r="E1909" i="3" s="1"/>
  <c r="D1901" i="3"/>
  <c r="E1901" i="3" s="1"/>
  <c r="D1893" i="3"/>
  <c r="E1893" i="3" s="1"/>
  <c r="D1885" i="3"/>
  <c r="E1885" i="3" s="1"/>
  <c r="D1877" i="3"/>
  <c r="E1877" i="3" s="1"/>
  <c r="D1869" i="3"/>
  <c r="E1869" i="3" s="1"/>
  <c r="D1861" i="3"/>
  <c r="E1861" i="3" s="1"/>
  <c r="D1853" i="3"/>
  <c r="E1853" i="3" s="1"/>
  <c r="D1845" i="3"/>
  <c r="E1845" i="3" s="1"/>
  <c r="D1837" i="3"/>
  <c r="E1837" i="3" s="1"/>
  <c r="D1829" i="3"/>
  <c r="E1829" i="3" s="1"/>
  <c r="D1821" i="3"/>
  <c r="E1821" i="3" s="1"/>
  <c r="D1813" i="3"/>
  <c r="E1813" i="3" s="1"/>
  <c r="D1805" i="3"/>
  <c r="E1805" i="3" s="1"/>
  <c r="D1797" i="3"/>
  <c r="E1797" i="3" s="1"/>
  <c r="D1789" i="3"/>
  <c r="E1789" i="3" s="1"/>
  <c r="D1781" i="3"/>
  <c r="E1781" i="3" s="1"/>
  <c r="D1773" i="3"/>
  <c r="E1773" i="3" s="1"/>
  <c r="D1765" i="3"/>
  <c r="E1765" i="3" s="1"/>
  <c r="D1757" i="3"/>
  <c r="E1757" i="3" s="1"/>
  <c r="D1749" i="3"/>
  <c r="E1749" i="3" s="1"/>
  <c r="D1741" i="3"/>
  <c r="E1741" i="3" s="1"/>
  <c r="D1733" i="3"/>
  <c r="E1733" i="3" s="1"/>
  <c r="D1725" i="3"/>
  <c r="E1725" i="3" s="1"/>
  <c r="D1717" i="3"/>
  <c r="E1717" i="3" s="1"/>
  <c r="D1709" i="3"/>
  <c r="E1709" i="3" s="1"/>
  <c r="D1701" i="3"/>
  <c r="E1701" i="3" s="1"/>
  <c r="D1693" i="3"/>
  <c r="E1693" i="3" s="1"/>
  <c r="D1685" i="3"/>
  <c r="E1685" i="3" s="1"/>
  <c r="D1677" i="3"/>
  <c r="E1677" i="3" s="1"/>
  <c r="D1669" i="3"/>
  <c r="E1669" i="3" s="1"/>
  <c r="D1661" i="3"/>
  <c r="E1661" i="3" s="1"/>
  <c r="D1653" i="3"/>
  <c r="E1653" i="3" s="1"/>
  <c r="D1645" i="3"/>
  <c r="E1645" i="3" s="1"/>
  <c r="D1637" i="3"/>
  <c r="E1637" i="3" s="1"/>
  <c r="D1627" i="3"/>
  <c r="E1627" i="3" s="1"/>
  <c r="D1624" i="3"/>
  <c r="E1624" i="3" s="1"/>
  <c r="D1621" i="3"/>
  <c r="E1621" i="3" s="1"/>
  <c r="D1611" i="3"/>
  <c r="E1611" i="3" s="1"/>
  <c r="D1608" i="3"/>
  <c r="E1608" i="3" s="1"/>
  <c r="D1605" i="3"/>
  <c r="E1605" i="3" s="1"/>
  <c r="D1595" i="3"/>
  <c r="E1595" i="3" s="1"/>
  <c r="D1592" i="3"/>
  <c r="E1592" i="3" s="1"/>
  <c r="D1589" i="3"/>
  <c r="E1589" i="3" s="1"/>
  <c r="D1579" i="3"/>
  <c r="E1579" i="3" s="1"/>
  <c r="D1576" i="3"/>
  <c r="E1576" i="3" s="1"/>
  <c r="D1573" i="3"/>
  <c r="E1573" i="3" s="1"/>
  <c r="D1563" i="3"/>
  <c r="E1563" i="3" s="1"/>
  <c r="D1560" i="3"/>
  <c r="E1560" i="3" s="1"/>
  <c r="D1557" i="3"/>
  <c r="E1557" i="3" s="1"/>
  <c r="D1536" i="3"/>
  <c r="E1536" i="3" s="1"/>
  <c r="D1533" i="3"/>
  <c r="E1533" i="3" s="1"/>
  <c r="D1525" i="3"/>
  <c r="E1525" i="3" s="1"/>
  <c r="D1517" i="3"/>
  <c r="E1517" i="3" s="1"/>
  <c r="D1509" i="3"/>
  <c r="E1509" i="3" s="1"/>
  <c r="D1501" i="3"/>
  <c r="E1501" i="3" s="1"/>
  <c r="D1493" i="3"/>
  <c r="E1493" i="3" s="1"/>
  <c r="D1485" i="3"/>
  <c r="E1485" i="3" s="1"/>
  <c r="D1477" i="3"/>
  <c r="E1477" i="3" s="1"/>
  <c r="D1469" i="3"/>
  <c r="E1469" i="3" s="1"/>
  <c r="D1461" i="3"/>
  <c r="E1461" i="3" s="1"/>
  <c r="D1453" i="3"/>
  <c r="E1453" i="3" s="1"/>
  <c r="D1445" i="3"/>
  <c r="E1445" i="3" s="1"/>
  <c r="D1437" i="3"/>
  <c r="E1437" i="3" s="1"/>
  <c r="D1429" i="3"/>
  <c r="E1429" i="3" s="1"/>
  <c r="D1421" i="3"/>
  <c r="E1421" i="3" s="1"/>
  <c r="D1413" i="3"/>
  <c r="E1413" i="3" s="1"/>
  <c r="D1405" i="3"/>
  <c r="E1405" i="3" s="1"/>
  <c r="D2114" i="3"/>
  <c r="E2114" i="3" s="1"/>
  <c r="D2098" i="3"/>
  <c r="E2098" i="3" s="1"/>
  <c r="D2082" i="3"/>
  <c r="E2082" i="3" s="1"/>
  <c r="D2066" i="3"/>
  <c r="E2066" i="3" s="1"/>
  <c r="D2050" i="3"/>
  <c r="E2050" i="3" s="1"/>
  <c r="D2005" i="3"/>
  <c r="E2005" i="3" s="1"/>
  <c r="D2019" i="3"/>
  <c r="E2019" i="3" s="1"/>
  <c r="D2218" i="3"/>
  <c r="E2218" i="3" s="1"/>
  <c r="D2191" i="3"/>
  <c r="E2191" i="3" s="1"/>
  <c r="D2159" i="3"/>
  <c r="E2159" i="3" s="1"/>
  <c r="D2135" i="3"/>
  <c r="E2135" i="3" s="1"/>
  <c r="D2023" i="3"/>
  <c r="E2023" i="3" s="1"/>
  <c r="D2223" i="3"/>
  <c r="E2223" i="3" s="1"/>
  <c r="D2134" i="3"/>
  <c r="E2134" i="3" s="1"/>
  <c r="D2122" i="3"/>
  <c r="E2122" i="3" s="1"/>
  <c r="D2117" i="3"/>
  <c r="E2117" i="3" s="1"/>
  <c r="D2106" i="3"/>
  <c r="E2106" i="3" s="1"/>
  <c r="D2101" i="3"/>
  <c r="E2101" i="3" s="1"/>
  <c r="D2090" i="3"/>
  <c r="E2090" i="3" s="1"/>
  <c r="D2085" i="3"/>
  <c r="E2085" i="3" s="1"/>
  <c r="D2074" i="3"/>
  <c r="E2074" i="3" s="1"/>
  <c r="D2069" i="3"/>
  <c r="E2069" i="3" s="1"/>
  <c r="D2058" i="3"/>
  <c r="E2058" i="3" s="1"/>
  <c r="D2053" i="3"/>
  <c r="E2053" i="3" s="1"/>
  <c r="D2042" i="3"/>
  <c r="E2042" i="3" s="1"/>
  <c r="D2037" i="3"/>
  <c r="E2037" i="3" s="1"/>
  <c r="D2202" i="3"/>
  <c r="E2202" i="3" s="1"/>
  <c r="D2170" i="3"/>
  <c r="E2170" i="3" s="1"/>
  <c r="D2002" i="3"/>
  <c r="E2002" i="3" s="1"/>
  <c r="D1987" i="3"/>
  <c r="E1987" i="3" s="1"/>
  <c r="D1548" i="3"/>
  <c r="E1548" i="3" s="1"/>
  <c r="D1531" i="3"/>
  <c r="E1531" i="3" s="1"/>
  <c r="D1523" i="3"/>
  <c r="E1523" i="3" s="1"/>
  <c r="D1515" i="3"/>
  <c r="E1515" i="3" s="1"/>
  <c r="D1507" i="3"/>
  <c r="E1507" i="3" s="1"/>
  <c r="D1499" i="3"/>
  <c r="E1499" i="3" s="1"/>
  <c r="D1491" i="3"/>
  <c r="E1491" i="3" s="1"/>
  <c r="D1483" i="3"/>
  <c r="E1483" i="3" s="1"/>
  <c r="D1926" i="3"/>
  <c r="E1926" i="3" s="1"/>
  <c r="D1910" i="3"/>
  <c r="E1910" i="3" s="1"/>
  <c r="D1894" i="3"/>
  <c r="E1894" i="3" s="1"/>
  <c r="D1878" i="3"/>
  <c r="E1878" i="3" s="1"/>
  <c r="D1862" i="3"/>
  <c r="E1862" i="3" s="1"/>
  <c r="D1846" i="3"/>
  <c r="E1846" i="3" s="1"/>
  <c r="D1830" i="3"/>
  <c r="E1830" i="3" s="1"/>
  <c r="D1814" i="3"/>
  <c r="E1814" i="3" s="1"/>
  <c r="D1798" i="3"/>
  <c r="E1798" i="3" s="1"/>
  <c r="D1782" i="3"/>
  <c r="E1782" i="3" s="1"/>
  <c r="D1766" i="3"/>
  <c r="E1766" i="3" s="1"/>
  <c r="D1750" i="3"/>
  <c r="E1750" i="3" s="1"/>
  <c r="D1734" i="3"/>
  <c r="E1734" i="3" s="1"/>
  <c r="D1718" i="3"/>
  <c r="E1718" i="3" s="1"/>
  <c r="D1702" i="3"/>
  <c r="E1702" i="3" s="1"/>
  <c r="D1686" i="3"/>
  <c r="E1686" i="3" s="1"/>
  <c r="D1670" i="3"/>
  <c r="E1670" i="3" s="1"/>
  <c r="D1654" i="3"/>
  <c r="E1654" i="3" s="1"/>
  <c r="D1638" i="3"/>
  <c r="E1638" i="3" s="1"/>
  <c r="D1610" i="3"/>
  <c r="E1610" i="3" s="1"/>
  <c r="D1606" i="3"/>
  <c r="E1606" i="3" s="1"/>
  <c r="D1578" i="3"/>
  <c r="E1578" i="3" s="1"/>
  <c r="D1574" i="3"/>
  <c r="E1574" i="3" s="1"/>
  <c r="D1546" i="3"/>
  <c r="E1546" i="3" s="1"/>
  <c r="D1537" i="3"/>
  <c r="E1537" i="3" s="1"/>
  <c r="D1955" i="3"/>
  <c r="E1955" i="3" s="1"/>
  <c r="D1473" i="3"/>
  <c r="E1473" i="3" s="1"/>
  <c r="D1459" i="3"/>
  <c r="E1459" i="3" s="1"/>
  <c r="D1455" i="3"/>
  <c r="E1455" i="3" s="1"/>
  <c r="D1441" i="3"/>
  <c r="E1441" i="3" s="1"/>
  <c r="D1427" i="3"/>
  <c r="E1427" i="3" s="1"/>
  <c r="D1423" i="3"/>
  <c r="E1423" i="3" s="1"/>
  <c r="D1409" i="3"/>
  <c r="E1409" i="3" s="1"/>
  <c r="D1389" i="3"/>
  <c r="E1389" i="3" s="1"/>
  <c r="D1373" i="3"/>
  <c r="E1373" i="3" s="1"/>
  <c r="D1357" i="3"/>
  <c r="E1357" i="3" s="1"/>
  <c r="D1341" i="3"/>
  <c r="E1341" i="3" s="1"/>
  <c r="D1325" i="3"/>
  <c r="E1325" i="3" s="1"/>
  <c r="D1309" i="3"/>
  <c r="E1309" i="3" s="1"/>
  <c r="D1293" i="3"/>
  <c r="E1293" i="3" s="1"/>
  <c r="D1277" i="3"/>
  <c r="E1277" i="3" s="1"/>
  <c r="D1230" i="3"/>
  <c r="E1230" i="3" s="1"/>
  <c r="D1206" i="3"/>
  <c r="E1206" i="3" s="1"/>
  <c r="D1198" i="3"/>
  <c r="E1198" i="3" s="1"/>
  <c r="D1190" i="3"/>
  <c r="E1190" i="3" s="1"/>
  <c r="D1086" i="3"/>
  <c r="E1086" i="3" s="1"/>
  <c r="D1078" i="3"/>
  <c r="E1078" i="3" s="1"/>
  <c r="D1070" i="3"/>
  <c r="E1070" i="3" s="1"/>
  <c r="D1006" i="3"/>
  <c r="E1006" i="3" s="1"/>
  <c r="D1609" i="3"/>
  <c r="E1609" i="3" s="1"/>
  <c r="D1577" i="3"/>
  <c r="E1577" i="3" s="1"/>
  <c r="D1999" i="3"/>
  <c r="E1999" i="3" s="1"/>
  <c r="D1992" i="3"/>
  <c r="E1992" i="3" s="1"/>
  <c r="D1973" i="3"/>
  <c r="E1973" i="3" s="1"/>
  <c r="D1978" i="3"/>
  <c r="E1978" i="3" s="1"/>
  <c r="D1959" i="3"/>
  <c r="E1959" i="3" s="1"/>
  <c r="D1934" i="3"/>
  <c r="E1934" i="3" s="1"/>
  <c r="D1918" i="3"/>
  <c r="E1918" i="3" s="1"/>
  <c r="D1902" i="3"/>
  <c r="E1902" i="3" s="1"/>
  <c r="D1886" i="3"/>
  <c r="E1886" i="3" s="1"/>
  <c r="D1870" i="3"/>
  <c r="E1870" i="3" s="1"/>
  <c r="D1854" i="3"/>
  <c r="E1854" i="3" s="1"/>
  <c r="D1838" i="3"/>
  <c r="E1838" i="3" s="1"/>
  <c r="D1822" i="3"/>
  <c r="E1822" i="3" s="1"/>
  <c r="D1806" i="3"/>
  <c r="E1806" i="3" s="1"/>
  <c r="D1790" i="3"/>
  <c r="E1790" i="3" s="1"/>
  <c r="D1774" i="3"/>
  <c r="E1774" i="3" s="1"/>
  <c r="D1758" i="3"/>
  <c r="E1758" i="3" s="1"/>
  <c r="D1742" i="3"/>
  <c r="E1742" i="3" s="1"/>
  <c r="D1726" i="3"/>
  <c r="E1726" i="3" s="1"/>
  <c r="D1710" i="3"/>
  <c r="E1710" i="3" s="1"/>
  <c r="D1694" i="3"/>
  <c r="E1694" i="3" s="1"/>
  <c r="D1678" i="3"/>
  <c r="E1678" i="3" s="1"/>
  <c r="D1662" i="3"/>
  <c r="E1662" i="3" s="1"/>
  <c r="D1646" i="3"/>
  <c r="E1646" i="3" s="1"/>
  <c r="D1626" i="3"/>
  <c r="E1626" i="3" s="1"/>
  <c r="D1622" i="3"/>
  <c r="E1622" i="3" s="1"/>
  <c r="D1594" i="3"/>
  <c r="E1594" i="3" s="1"/>
  <c r="D1590" i="3"/>
  <c r="E1590" i="3" s="1"/>
  <c r="D1562" i="3"/>
  <c r="E1562" i="3" s="1"/>
  <c r="D1558" i="3"/>
  <c r="E1558" i="3" s="1"/>
  <c r="D1984" i="3"/>
  <c r="E1984" i="3" s="1"/>
  <c r="D1939" i="3"/>
  <c r="E1939" i="3" s="1"/>
  <c r="D1928" i="3"/>
  <c r="E1928" i="3" s="1"/>
  <c r="D1923" i="3"/>
  <c r="E1923" i="3" s="1"/>
  <c r="D1912" i="3"/>
  <c r="E1912" i="3" s="1"/>
  <c r="D1907" i="3"/>
  <c r="E1907" i="3" s="1"/>
  <c r="D1896" i="3"/>
  <c r="E1896" i="3" s="1"/>
  <c r="D1891" i="3"/>
  <c r="E1891" i="3" s="1"/>
  <c r="D1880" i="3"/>
  <c r="E1880" i="3" s="1"/>
  <c r="D1875" i="3"/>
  <c r="E1875" i="3" s="1"/>
  <c r="D1864" i="3"/>
  <c r="E1864" i="3" s="1"/>
  <c r="D1859" i="3"/>
  <c r="E1859" i="3" s="1"/>
  <c r="D1848" i="3"/>
  <c r="E1848" i="3" s="1"/>
  <c r="D1843" i="3"/>
  <c r="E1843" i="3" s="1"/>
  <c r="D1832" i="3"/>
  <c r="E1832" i="3" s="1"/>
  <c r="D1827" i="3"/>
  <c r="E1827" i="3" s="1"/>
  <c r="D1816" i="3"/>
  <c r="E1816" i="3" s="1"/>
  <c r="D1811" i="3"/>
  <c r="E1811" i="3" s="1"/>
  <c r="D1800" i="3"/>
  <c r="E1800" i="3" s="1"/>
  <c r="D1625" i="3"/>
  <c r="E1625" i="3" s="1"/>
  <c r="D1593" i="3"/>
  <c r="E1593" i="3" s="1"/>
  <c r="D1561" i="3"/>
  <c r="E1561" i="3" s="1"/>
  <c r="D1534" i="3"/>
  <c r="E1534" i="3" s="1"/>
  <c r="D1526" i="3"/>
  <c r="E1526" i="3" s="1"/>
  <c r="D1518" i="3"/>
  <c r="E1518" i="3" s="1"/>
  <c r="D1510" i="3"/>
  <c r="E1510" i="3" s="1"/>
  <c r="D1502" i="3"/>
  <c r="E1502" i="3" s="1"/>
  <c r="D1494" i="3"/>
  <c r="E1494" i="3" s="1"/>
  <c r="D1486" i="3"/>
  <c r="E1486" i="3" s="1"/>
  <c r="D1269" i="3"/>
  <c r="E1269" i="3" s="1"/>
  <c r="D1549" i="3"/>
  <c r="E1549" i="3" s="1"/>
  <c r="D1503" i="3"/>
  <c r="E1503" i="3" s="1"/>
  <c r="D1449" i="3"/>
  <c r="E1449" i="3" s="1"/>
  <c r="D1390" i="3"/>
  <c r="E1390" i="3" s="1"/>
  <c r="D1381" i="3"/>
  <c r="E1381" i="3" s="1"/>
  <c r="D1355" i="3"/>
  <c r="E1355" i="3" s="1"/>
  <c r="D1315" i="3"/>
  <c r="E1315" i="3" s="1"/>
  <c r="D884" i="3"/>
  <c r="E884" i="3" s="1"/>
  <c r="D852" i="3"/>
  <c r="E852" i="3" s="1"/>
  <c r="D820" i="3"/>
  <c r="E820" i="3" s="1"/>
  <c r="D788" i="3"/>
  <c r="E788" i="3" s="1"/>
  <c r="D756" i="3"/>
  <c r="E756" i="3" s="1"/>
  <c r="D724" i="3"/>
  <c r="E724" i="3" s="1"/>
  <c r="D1779" i="3"/>
  <c r="E1779" i="3" s="1"/>
  <c r="D1736" i="3"/>
  <c r="E1736" i="3" s="1"/>
  <c r="D1715" i="3"/>
  <c r="E1715" i="3" s="1"/>
  <c r="D1672" i="3"/>
  <c r="E1672" i="3" s="1"/>
  <c r="D1651" i="3"/>
  <c r="E1651" i="3" s="1"/>
  <c r="D1479" i="3"/>
  <c r="E1479" i="3" s="1"/>
  <c r="D1443" i="3"/>
  <c r="E1443" i="3" s="1"/>
  <c r="D1433" i="3"/>
  <c r="E1433" i="3" s="1"/>
  <c r="D1407" i="3"/>
  <c r="E1407" i="3" s="1"/>
  <c r="D1403" i="3"/>
  <c r="E1403" i="3" s="1"/>
  <c r="D1363" i="3"/>
  <c r="E1363" i="3" s="1"/>
  <c r="D1310" i="3"/>
  <c r="E1310" i="3" s="1"/>
  <c r="D1301" i="3"/>
  <c r="E1301" i="3" s="1"/>
  <c r="D1275" i="3"/>
  <c r="E1275" i="3" s="1"/>
  <c r="D1053" i="3"/>
  <c r="E1053" i="3" s="1"/>
  <c r="D1045" i="3"/>
  <c r="E1045" i="3" s="1"/>
  <c r="D1037" i="3"/>
  <c r="E1037" i="3" s="1"/>
  <c r="D1029" i="3"/>
  <c r="E1029" i="3" s="1"/>
  <c r="D1021" i="3"/>
  <c r="E1021" i="3" s="1"/>
  <c r="D1013" i="3"/>
  <c r="E1013" i="3" s="1"/>
  <c r="D1005" i="3"/>
  <c r="E1005" i="3" s="1"/>
  <c r="D997" i="3"/>
  <c r="E997" i="3" s="1"/>
  <c r="D989" i="3"/>
  <c r="E989" i="3" s="1"/>
  <c r="D981" i="3"/>
  <c r="E981" i="3" s="1"/>
  <c r="D949" i="3"/>
  <c r="E949" i="3" s="1"/>
  <c r="D925" i="3"/>
  <c r="E925" i="3" s="1"/>
  <c r="D917" i="3"/>
  <c r="E917" i="3" s="1"/>
  <c r="D1629" i="3"/>
  <c r="E1629" i="3" s="1"/>
  <c r="D1519" i="3"/>
  <c r="E1519" i="3" s="1"/>
  <c r="D1417" i="3"/>
  <c r="E1417" i="3" s="1"/>
  <c r="D1358" i="3"/>
  <c r="E1358" i="3" s="1"/>
  <c r="D1349" i="3"/>
  <c r="E1349" i="3" s="1"/>
  <c r="D1323" i="3"/>
  <c r="E1323" i="3" s="1"/>
  <c r="D1283" i="3"/>
  <c r="E1283" i="3" s="1"/>
  <c r="D892" i="3"/>
  <c r="E892" i="3" s="1"/>
  <c r="D860" i="3"/>
  <c r="E860" i="3" s="1"/>
  <c r="D828" i="3"/>
  <c r="E828" i="3" s="1"/>
  <c r="D1784" i="3"/>
  <c r="E1784" i="3" s="1"/>
  <c r="D1763" i="3"/>
  <c r="E1763" i="3" s="1"/>
  <c r="D1720" i="3"/>
  <c r="E1720" i="3" s="1"/>
  <c r="D1699" i="3"/>
  <c r="E1699" i="3" s="1"/>
  <c r="D1656" i="3"/>
  <c r="E1656" i="3" s="1"/>
  <c r="D1635" i="3"/>
  <c r="E1635" i="3" s="1"/>
  <c r="D1597" i="3"/>
  <c r="E1597" i="3" s="1"/>
  <c r="D1495" i="3"/>
  <c r="E1495" i="3" s="1"/>
  <c r="D1463" i="3"/>
  <c r="E1463" i="3" s="1"/>
  <c r="D1457" i="3"/>
  <c r="E1457" i="3" s="1"/>
  <c r="D1447" i="3"/>
  <c r="E1447" i="3" s="1"/>
  <c r="D1411" i="3"/>
  <c r="E1411" i="3" s="1"/>
  <c r="D1397" i="3"/>
  <c r="E1397" i="3" s="1"/>
  <c r="D1371" i="3"/>
  <c r="E1371" i="3" s="1"/>
  <c r="D1795" i="3"/>
  <c r="E1795" i="3" s="1"/>
  <c r="D1752" i="3"/>
  <c r="E1752" i="3" s="1"/>
  <c r="D1731" i="3"/>
  <c r="E1731" i="3" s="1"/>
  <c r="D1688" i="3"/>
  <c r="E1688" i="3" s="1"/>
  <c r="D1667" i="3"/>
  <c r="E1667" i="3" s="1"/>
  <c r="D1581" i="3"/>
  <c r="E1581" i="3" s="1"/>
  <c r="D1544" i="3"/>
  <c r="E1544" i="3" s="1"/>
  <c r="D1538" i="3"/>
  <c r="E1538" i="3" s="1"/>
  <c r="D1527" i="3"/>
  <c r="E1527" i="3" s="1"/>
  <c r="D1475" i="3"/>
  <c r="E1475" i="3" s="1"/>
  <c r="D1465" i="3"/>
  <c r="E1465" i="3" s="1"/>
  <c r="D1439" i="3"/>
  <c r="E1439" i="3" s="1"/>
  <c r="D1419" i="3"/>
  <c r="E1419" i="3" s="1"/>
  <c r="D1404" i="3"/>
  <c r="E1404" i="3" s="1"/>
  <c r="D1395" i="3"/>
  <c r="E1395" i="3" s="1"/>
  <c r="D1369" i="3"/>
  <c r="E1369" i="3" s="1"/>
  <c r="D1342" i="3"/>
  <c r="E1342" i="3" s="1"/>
  <c r="D1333" i="3"/>
  <c r="E1333" i="3" s="1"/>
  <c r="D1311" i="3"/>
  <c r="E1311" i="3" s="1"/>
  <c r="D1307" i="3"/>
  <c r="E1307" i="3" s="1"/>
  <c r="D1302" i="3"/>
  <c r="E1302" i="3" s="1"/>
  <c r="D1276" i="3"/>
  <c r="E1276" i="3" s="1"/>
  <c r="D1267" i="3"/>
  <c r="E1267" i="3" s="1"/>
  <c r="D1258" i="3"/>
  <c r="E1258" i="3" s="1"/>
  <c r="D1250" i="3"/>
  <c r="E1250" i="3" s="1"/>
  <c r="D1242" i="3"/>
  <c r="E1242" i="3" s="1"/>
  <c r="D1234" i="3"/>
  <c r="E1234" i="3" s="1"/>
  <c r="D1226" i="3"/>
  <c r="E1226" i="3" s="1"/>
  <c r="D1218" i="3"/>
  <c r="E1218" i="3" s="1"/>
  <c r="D1210" i="3"/>
  <c r="E1210" i="3" s="1"/>
  <c r="D1202" i="3"/>
  <c r="E1202" i="3" s="1"/>
  <c r="D1194" i="3"/>
  <c r="E1194" i="3" s="1"/>
  <c r="D1186" i="3"/>
  <c r="E1186" i="3" s="1"/>
  <c r="D1178" i="3"/>
  <c r="E1178" i="3" s="1"/>
  <c r="D1170" i="3"/>
  <c r="E1170" i="3" s="1"/>
  <c r="D1162" i="3"/>
  <c r="E1162" i="3" s="1"/>
  <c r="D1154" i="3"/>
  <c r="E1154" i="3" s="1"/>
  <c r="D1146" i="3"/>
  <c r="E1146" i="3" s="1"/>
  <c r="D1138" i="3"/>
  <c r="E1138" i="3" s="1"/>
  <c r="D1130" i="3"/>
  <c r="E1130" i="3" s="1"/>
  <c r="D1122" i="3"/>
  <c r="E1122" i="3" s="1"/>
  <c r="D1114" i="3"/>
  <c r="E1114" i="3" s="1"/>
  <c r="D1106" i="3"/>
  <c r="E1106" i="3" s="1"/>
  <c r="D1098" i="3"/>
  <c r="E1098" i="3" s="1"/>
  <c r="D1090" i="3"/>
  <c r="E1090" i="3" s="1"/>
  <c r="D1082" i="3"/>
  <c r="E1082" i="3" s="1"/>
  <c r="D1074" i="3"/>
  <c r="E1074" i="3" s="1"/>
  <c r="D1066" i="3"/>
  <c r="E1066" i="3" s="1"/>
  <c r="D1058" i="3"/>
  <c r="E1058" i="3" s="1"/>
  <c r="D1050" i="3"/>
  <c r="E1050" i="3" s="1"/>
  <c r="D1042" i="3"/>
  <c r="E1042" i="3" s="1"/>
  <c r="D1034" i="3"/>
  <c r="E1034" i="3" s="1"/>
  <c r="D1026" i="3"/>
  <c r="E1026" i="3" s="1"/>
  <c r="D1018" i="3"/>
  <c r="E1018" i="3" s="1"/>
  <c r="D1010" i="3"/>
  <c r="E1010" i="3" s="1"/>
  <c r="D1002" i="3"/>
  <c r="E1002" i="3" s="1"/>
  <c r="D994" i="3"/>
  <c r="E994" i="3" s="1"/>
  <c r="D986" i="3"/>
  <c r="E986" i="3" s="1"/>
  <c r="D978" i="3"/>
  <c r="E978" i="3" s="1"/>
  <c r="D970" i="3"/>
  <c r="E970" i="3" s="1"/>
  <c r="D962" i="3"/>
  <c r="E962" i="3" s="1"/>
  <c r="D954" i="3"/>
  <c r="E954" i="3" s="1"/>
  <c r="D946" i="3"/>
  <c r="E946" i="3" s="1"/>
  <c r="D938" i="3"/>
  <c r="E938" i="3" s="1"/>
  <c r="D930" i="3"/>
  <c r="E930" i="3" s="1"/>
  <c r="D922" i="3"/>
  <c r="E922" i="3" s="1"/>
  <c r="D914" i="3"/>
  <c r="E914" i="3" s="1"/>
  <c r="D899" i="3"/>
  <c r="E899" i="3" s="1"/>
  <c r="D896" i="3"/>
  <c r="E896" i="3" s="1"/>
  <c r="D893" i="3"/>
  <c r="E893" i="3" s="1"/>
  <c r="D867" i="3"/>
  <c r="E867" i="3" s="1"/>
  <c r="D864" i="3"/>
  <c r="E864" i="3" s="1"/>
  <c r="D861" i="3"/>
  <c r="E861" i="3" s="1"/>
  <c r="D835" i="3"/>
  <c r="E835" i="3" s="1"/>
  <c r="D832" i="3"/>
  <c r="E832" i="3" s="1"/>
  <c r="D829" i="3"/>
  <c r="E829" i="3" s="1"/>
  <c r="D1571" i="3"/>
  <c r="E1571" i="3" s="1"/>
  <c r="D1487" i="3"/>
  <c r="E1487" i="3" s="1"/>
  <c r="D1387" i="3"/>
  <c r="E1387" i="3" s="1"/>
  <c r="D1356" i="3"/>
  <c r="E1356" i="3" s="1"/>
  <c r="D1326" i="3"/>
  <c r="E1326" i="3" s="1"/>
  <c r="D1291" i="3"/>
  <c r="E1291" i="3" s="1"/>
  <c r="D1285" i="3"/>
  <c r="E1285" i="3" s="1"/>
  <c r="D1252" i="3"/>
  <c r="E1252" i="3" s="1"/>
  <c r="D1236" i="3"/>
  <c r="E1236" i="3" s="1"/>
  <c r="D1220" i="3"/>
  <c r="E1220" i="3" s="1"/>
  <c r="D1204" i="3"/>
  <c r="E1204" i="3" s="1"/>
  <c r="D1188" i="3"/>
  <c r="E1188" i="3" s="1"/>
  <c r="D1172" i="3"/>
  <c r="E1172" i="3" s="1"/>
  <c r="D1156" i="3"/>
  <c r="E1156" i="3" s="1"/>
  <c r="D1140" i="3"/>
  <c r="E1140" i="3" s="1"/>
  <c r="D1124" i="3"/>
  <c r="E1124" i="3" s="1"/>
  <c r="D1108" i="3"/>
  <c r="E1108" i="3" s="1"/>
  <c r="D1092" i="3"/>
  <c r="E1092" i="3" s="1"/>
  <c r="D1076" i="3"/>
  <c r="E1076" i="3" s="1"/>
  <c r="D1060" i="3"/>
  <c r="E1060" i="3" s="1"/>
  <c r="D1044" i="3"/>
  <c r="E1044" i="3" s="1"/>
  <c r="D1028" i="3"/>
  <c r="E1028" i="3" s="1"/>
  <c r="D1012" i="3"/>
  <c r="E1012" i="3" s="1"/>
  <c r="D996" i="3"/>
  <c r="E996" i="3" s="1"/>
  <c r="D980" i="3"/>
  <c r="E980" i="3" s="1"/>
  <c r="D964" i="3"/>
  <c r="E964" i="3" s="1"/>
  <c r="D948" i="3"/>
  <c r="E948" i="3" s="1"/>
  <c r="D932" i="3"/>
  <c r="E932" i="3" s="1"/>
  <c r="D916" i="3"/>
  <c r="E916" i="3" s="1"/>
  <c r="D1768" i="3"/>
  <c r="E1768" i="3" s="1"/>
  <c r="D1683" i="3"/>
  <c r="E1683" i="3" s="1"/>
  <c r="D1451" i="3"/>
  <c r="E1451" i="3" s="1"/>
  <c r="D1425" i="3"/>
  <c r="E1425" i="3" s="1"/>
  <c r="D1374" i="3"/>
  <c r="E1374" i="3" s="1"/>
  <c r="D1331" i="3"/>
  <c r="E1331" i="3" s="1"/>
  <c r="D847" i="3"/>
  <c r="E847" i="3" s="1"/>
  <c r="D803" i="3"/>
  <c r="E803" i="3" s="1"/>
  <c r="D800" i="3"/>
  <c r="E800" i="3" s="1"/>
  <c r="D797" i="3"/>
  <c r="E797" i="3" s="1"/>
  <c r="D771" i="3"/>
  <c r="E771" i="3" s="1"/>
  <c r="D768" i="3"/>
  <c r="E768" i="3" s="1"/>
  <c r="D765" i="3"/>
  <c r="E765" i="3" s="1"/>
  <c r="D739" i="3"/>
  <c r="E739" i="3" s="1"/>
  <c r="D736" i="3"/>
  <c r="E736" i="3" s="1"/>
  <c r="D733" i="3"/>
  <c r="E733" i="3" s="1"/>
  <c r="D707" i="3"/>
  <c r="E707" i="3" s="1"/>
  <c r="D675" i="3"/>
  <c r="E675" i="3" s="1"/>
  <c r="D643" i="3"/>
  <c r="E643" i="3" s="1"/>
  <c r="D611" i="3"/>
  <c r="E611" i="3" s="1"/>
  <c r="D1613" i="3"/>
  <c r="E1613" i="3" s="1"/>
  <c r="D1471" i="3"/>
  <c r="E1471" i="3" s="1"/>
  <c r="D1431" i="3"/>
  <c r="E1431" i="3" s="1"/>
  <c r="D1391" i="3"/>
  <c r="E1391" i="3" s="1"/>
  <c r="D1379" i="3"/>
  <c r="E1379" i="3" s="1"/>
  <c r="D1278" i="3"/>
  <c r="E1278" i="3" s="1"/>
  <c r="D1704" i="3"/>
  <c r="E1704" i="3" s="1"/>
  <c r="D902" i="3"/>
  <c r="E902" i="3" s="1"/>
  <c r="D876" i="3"/>
  <c r="E876" i="3" s="1"/>
  <c r="D868" i="3"/>
  <c r="E868" i="3" s="1"/>
  <c r="D850" i="3"/>
  <c r="E850" i="3" s="1"/>
  <c r="D838" i="3"/>
  <c r="E838" i="3" s="1"/>
  <c r="D812" i="3"/>
  <c r="E812" i="3" s="1"/>
  <c r="D1365" i="3"/>
  <c r="E1365" i="3" s="1"/>
  <c r="D1347" i="3"/>
  <c r="E1347" i="3" s="1"/>
  <c r="D1317" i="3"/>
  <c r="E1317" i="3" s="1"/>
  <c r="D1294" i="3"/>
  <c r="E1294" i="3" s="1"/>
  <c r="D1260" i="3"/>
  <c r="E1260" i="3" s="1"/>
  <c r="D1640" i="3"/>
  <c r="E1640" i="3" s="1"/>
  <c r="D1511" i="3"/>
  <c r="E1511" i="3" s="1"/>
  <c r="D1603" i="3"/>
  <c r="E1603" i="3" s="1"/>
  <c r="D1382" i="3"/>
  <c r="E1382" i="3" s="1"/>
  <c r="D804" i="3"/>
  <c r="E804" i="3" s="1"/>
  <c r="D772" i="3"/>
  <c r="E772" i="3" s="1"/>
  <c r="D740" i="3"/>
  <c r="E740" i="3" s="1"/>
  <c r="D1747" i="3"/>
  <c r="E1747" i="3" s="1"/>
  <c r="D1565" i="3"/>
  <c r="E1565" i="3" s="1"/>
  <c r="D1339" i="3"/>
  <c r="E1339" i="3" s="1"/>
  <c r="D1244" i="3"/>
  <c r="E1244" i="3" s="1"/>
  <c r="D1116" i="3"/>
  <c r="E1116" i="3" s="1"/>
  <c r="D988" i="3"/>
  <c r="E988" i="3" s="1"/>
  <c r="D836" i="3"/>
  <c r="E836" i="3" s="1"/>
  <c r="D779" i="3"/>
  <c r="E779" i="3" s="1"/>
  <c r="D747" i="3"/>
  <c r="E747" i="3" s="1"/>
  <c r="D715" i="3"/>
  <c r="E715" i="3" s="1"/>
  <c r="D702" i="3"/>
  <c r="E702" i="3" s="1"/>
  <c r="D694" i="3"/>
  <c r="E694" i="3" s="1"/>
  <c r="D673" i="3"/>
  <c r="E673" i="3" s="1"/>
  <c r="D665" i="3"/>
  <c r="E665" i="3" s="1"/>
  <c r="D661" i="3"/>
  <c r="E661" i="3" s="1"/>
  <c r="D653" i="3"/>
  <c r="E653" i="3" s="1"/>
  <c r="D603" i="3"/>
  <c r="E603" i="3" s="1"/>
  <c r="D595" i="3"/>
  <c r="E595" i="3" s="1"/>
  <c r="D587" i="3"/>
  <c r="E587" i="3" s="1"/>
  <c r="D579" i="3"/>
  <c r="E579" i="3" s="1"/>
  <c r="D571" i="3"/>
  <c r="E571" i="3" s="1"/>
  <c r="D563" i="3"/>
  <c r="E563" i="3" s="1"/>
  <c r="D555" i="3"/>
  <c r="E555" i="3" s="1"/>
  <c r="D547" i="3"/>
  <c r="E547" i="3" s="1"/>
  <c r="D539" i="3"/>
  <c r="E539" i="3" s="1"/>
  <c r="D531" i="3"/>
  <c r="E531" i="3" s="1"/>
  <c r="D523" i="3"/>
  <c r="E523" i="3" s="1"/>
  <c r="D515" i="3"/>
  <c r="E515" i="3" s="1"/>
  <c r="D507" i="3"/>
  <c r="E507" i="3" s="1"/>
  <c r="D499" i="3"/>
  <c r="E499" i="3" s="1"/>
  <c r="D491" i="3"/>
  <c r="E491" i="3" s="1"/>
  <c r="D483" i="3"/>
  <c r="E483" i="3" s="1"/>
  <c r="D475" i="3"/>
  <c r="E475" i="3" s="1"/>
  <c r="D467" i="3"/>
  <c r="E467" i="3" s="1"/>
  <c r="D459" i="3"/>
  <c r="E459" i="3" s="1"/>
  <c r="D451" i="3"/>
  <c r="E451" i="3" s="1"/>
  <c r="D443" i="3"/>
  <c r="E443" i="3" s="1"/>
  <c r="D435" i="3"/>
  <c r="E435" i="3" s="1"/>
  <c r="D427" i="3"/>
  <c r="E427" i="3" s="1"/>
  <c r="D419" i="3"/>
  <c r="E419" i="3" s="1"/>
  <c r="D411" i="3"/>
  <c r="E411" i="3" s="1"/>
  <c r="D403" i="3"/>
  <c r="E403" i="3" s="1"/>
  <c r="D395" i="3"/>
  <c r="E395" i="3" s="1"/>
  <c r="D387" i="3"/>
  <c r="E387" i="3" s="1"/>
  <c r="D172" i="3"/>
  <c r="E172" i="3" s="1"/>
  <c r="D164" i="3"/>
  <c r="E164" i="3" s="1"/>
  <c r="D156" i="3"/>
  <c r="E156" i="3" s="1"/>
  <c r="D148" i="3"/>
  <c r="E148" i="3" s="1"/>
  <c r="D124" i="3"/>
  <c r="E124" i="3" s="1"/>
  <c r="D100" i="3"/>
  <c r="E100" i="3" s="1"/>
  <c r="D68" i="3"/>
  <c r="E68" i="3" s="1"/>
  <c r="D20" i="3"/>
  <c r="E20" i="3" s="1"/>
  <c r="D1435" i="3"/>
  <c r="E1435" i="3" s="1"/>
  <c r="D1196" i="3"/>
  <c r="E1196" i="3" s="1"/>
  <c r="D1068" i="3"/>
  <c r="E1068" i="3" s="1"/>
  <c r="D940" i="3"/>
  <c r="E940" i="3" s="1"/>
  <c r="D908" i="3"/>
  <c r="E908" i="3" s="1"/>
  <c r="D373" i="3"/>
  <c r="E373" i="3" s="1"/>
  <c r="D357" i="3"/>
  <c r="E357" i="3" s="1"/>
  <c r="D341" i="3"/>
  <c r="E341" i="3" s="1"/>
  <c r="D325" i="3"/>
  <c r="E325" i="3" s="1"/>
  <c r="D293" i="3"/>
  <c r="E293" i="3" s="1"/>
  <c r="D1264" i="3"/>
  <c r="E1264" i="3" s="1"/>
  <c r="D1148" i="3"/>
  <c r="E1148" i="3" s="1"/>
  <c r="D1020" i="3"/>
  <c r="E1020" i="3" s="1"/>
  <c r="D882" i="3"/>
  <c r="E882" i="3" s="1"/>
  <c r="D871" i="3"/>
  <c r="E871" i="3" s="1"/>
  <c r="D764" i="3"/>
  <c r="E764" i="3" s="1"/>
  <c r="D732" i="3"/>
  <c r="E732" i="3" s="1"/>
  <c r="D705" i="3"/>
  <c r="E705" i="3" s="1"/>
  <c r="D697" i="3"/>
  <c r="E697" i="3" s="1"/>
  <c r="D693" i="3"/>
  <c r="E693" i="3" s="1"/>
  <c r="D685" i="3"/>
  <c r="E685" i="3" s="1"/>
  <c r="D635" i="3"/>
  <c r="E635" i="3" s="1"/>
  <c r="D627" i="3"/>
  <c r="E627" i="3" s="1"/>
  <c r="D619" i="3"/>
  <c r="E619" i="3" s="1"/>
  <c r="D606" i="3"/>
  <c r="E606" i="3" s="1"/>
  <c r="D598" i="3"/>
  <c r="E598" i="3" s="1"/>
  <c r="D1228" i="3"/>
  <c r="E1228" i="3" s="1"/>
  <c r="D1100" i="3"/>
  <c r="E1100" i="3" s="1"/>
  <c r="D972" i="3"/>
  <c r="E972" i="3" s="1"/>
  <c r="D912" i="3"/>
  <c r="E912" i="3" s="1"/>
  <c r="D900" i="3"/>
  <c r="E900" i="3" s="1"/>
  <c r="D853" i="3"/>
  <c r="E853" i="3" s="1"/>
  <c r="D818" i="3"/>
  <c r="E818" i="3" s="1"/>
  <c r="D796" i="3"/>
  <c r="E796" i="3" s="1"/>
  <c r="D1321" i="3"/>
  <c r="E1321" i="3" s="1"/>
  <c r="D1299" i="3"/>
  <c r="E1299" i="3" s="1"/>
  <c r="D1180" i="3"/>
  <c r="E1180" i="3" s="1"/>
  <c r="D1052" i="3"/>
  <c r="E1052" i="3" s="1"/>
  <c r="D924" i="3"/>
  <c r="E924" i="3" s="1"/>
  <c r="D870" i="3"/>
  <c r="E870" i="3" s="1"/>
  <c r="D807" i="3"/>
  <c r="E807" i="3" s="1"/>
  <c r="D786" i="3"/>
  <c r="E786" i="3" s="1"/>
  <c r="D763" i="3"/>
  <c r="E763" i="3" s="1"/>
  <c r="D754" i="3"/>
  <c r="E754" i="3" s="1"/>
  <c r="D731" i="3"/>
  <c r="E731" i="3" s="1"/>
  <c r="D722" i="3"/>
  <c r="E722" i="3" s="1"/>
  <c r="D700" i="3"/>
  <c r="E700" i="3" s="1"/>
  <c r="D671" i="3"/>
  <c r="E671" i="3" s="1"/>
  <c r="D667" i="3"/>
  <c r="E667" i="3" s="1"/>
  <c r="D659" i="3"/>
  <c r="E659" i="3" s="1"/>
  <c r="D651" i="3"/>
  <c r="E651" i="3" s="1"/>
  <c r="D642" i="3"/>
  <c r="E642" i="3" s="1"/>
  <c r="D638" i="3"/>
  <c r="E638" i="3" s="1"/>
  <c r="D630" i="3"/>
  <c r="E630" i="3" s="1"/>
  <c r="D622" i="3"/>
  <c r="E622" i="3" s="1"/>
  <c r="D613" i="3"/>
  <c r="E613" i="3" s="1"/>
  <c r="D609" i="3"/>
  <c r="E609" i="3" s="1"/>
  <c r="D601" i="3"/>
  <c r="E601" i="3" s="1"/>
  <c r="D597" i="3"/>
  <c r="E597" i="3" s="1"/>
  <c r="D593" i="3"/>
  <c r="E593" i="3" s="1"/>
  <c r="D589" i="3"/>
  <c r="E589" i="3" s="1"/>
  <c r="D585" i="3"/>
  <c r="E585" i="3" s="1"/>
  <c r="D581" i="3"/>
  <c r="E581" i="3" s="1"/>
  <c r="D577" i="3"/>
  <c r="E577" i="3" s="1"/>
  <c r="D1305" i="3"/>
  <c r="E1305" i="3" s="1"/>
  <c r="D1132" i="3"/>
  <c r="E1132" i="3" s="1"/>
  <c r="D1004" i="3"/>
  <c r="E1004" i="3" s="1"/>
  <c r="D874" i="3"/>
  <c r="E874" i="3" s="1"/>
  <c r="D821" i="3"/>
  <c r="E821" i="3" s="1"/>
  <c r="D811" i="3"/>
  <c r="E811" i="3" s="1"/>
  <c r="D795" i="3"/>
  <c r="E795" i="3" s="1"/>
  <c r="D1340" i="3"/>
  <c r="E1340" i="3" s="1"/>
  <c r="D1334" i="3"/>
  <c r="E1334" i="3" s="1"/>
  <c r="D1212" i="3"/>
  <c r="E1212" i="3" s="1"/>
  <c r="D1084" i="3"/>
  <c r="E1084" i="3" s="1"/>
  <c r="D956" i="3"/>
  <c r="E956" i="3" s="1"/>
  <c r="D891" i="3"/>
  <c r="E891" i="3" s="1"/>
  <c r="D862" i="3"/>
  <c r="E862" i="3" s="1"/>
  <c r="D844" i="3"/>
  <c r="E844" i="3" s="1"/>
  <c r="D789" i="3"/>
  <c r="E789" i="3" s="1"/>
  <c r="D780" i="3"/>
  <c r="E780" i="3" s="1"/>
  <c r="D757" i="3"/>
  <c r="E757" i="3" s="1"/>
  <c r="D748" i="3"/>
  <c r="E748" i="3" s="1"/>
  <c r="D725" i="3"/>
  <c r="E725" i="3" s="1"/>
  <c r="D716" i="3"/>
  <c r="E716" i="3" s="1"/>
  <c r="D703" i="3"/>
  <c r="E703" i="3" s="1"/>
  <c r="D699" i="3"/>
  <c r="E699" i="3" s="1"/>
  <c r="D691" i="3"/>
  <c r="E691" i="3" s="1"/>
  <c r="D683" i="3"/>
  <c r="E683" i="3" s="1"/>
  <c r="D674" i="3"/>
  <c r="E674" i="3" s="1"/>
  <c r="D670" i="3"/>
  <c r="E670" i="3" s="1"/>
  <c r="D662" i="3"/>
  <c r="E662" i="3" s="1"/>
  <c r="D654" i="3"/>
  <c r="E654" i="3" s="1"/>
  <c r="D645" i="3"/>
  <c r="E645" i="3" s="1"/>
  <c r="D641" i="3"/>
  <c r="E641" i="3" s="1"/>
  <c r="D633" i="3"/>
  <c r="E633" i="3" s="1"/>
  <c r="D629" i="3"/>
  <c r="E629" i="3" s="1"/>
  <c r="D625" i="3"/>
  <c r="E625" i="3" s="1"/>
  <c r="D621" i="3"/>
  <c r="E621" i="3" s="1"/>
  <c r="D604" i="3"/>
  <c r="E604" i="3" s="1"/>
  <c r="D1467" i="3"/>
  <c r="E1467" i="3" s="1"/>
  <c r="D1415" i="3"/>
  <c r="E1415" i="3" s="1"/>
  <c r="D1164" i="3"/>
  <c r="E1164" i="3" s="1"/>
  <c r="D1036" i="3"/>
  <c r="E1036" i="3" s="1"/>
  <c r="D909" i="3"/>
  <c r="E909" i="3" s="1"/>
  <c r="D879" i="3"/>
  <c r="E879" i="3" s="1"/>
  <c r="D815" i="3"/>
  <c r="E815" i="3" s="1"/>
  <c r="D799" i="3"/>
  <c r="E799" i="3" s="1"/>
  <c r="D775" i="3"/>
  <c r="E775" i="3" s="1"/>
  <c r="D743" i="3"/>
  <c r="E743" i="3" s="1"/>
  <c r="D711" i="3"/>
  <c r="E711" i="3" s="1"/>
  <c r="D380" i="3"/>
  <c r="E380" i="3" s="1"/>
  <c r="D377" i="3"/>
  <c r="E377" i="3" s="1"/>
  <c r="D364" i="3"/>
  <c r="E364" i="3" s="1"/>
  <c r="D361" i="3"/>
  <c r="E361" i="3" s="1"/>
  <c r="D348" i="3"/>
  <c r="E348" i="3" s="1"/>
  <c r="D345" i="3"/>
  <c r="E345" i="3" s="1"/>
  <c r="D332" i="3"/>
  <c r="E332" i="3" s="1"/>
  <c r="D329" i="3"/>
  <c r="E329" i="3" s="1"/>
  <c r="D323" i="3"/>
  <c r="E323" i="3" s="1"/>
  <c r="D320" i="3"/>
  <c r="E320" i="3" s="1"/>
  <c r="D317" i="3"/>
  <c r="E317" i="3" s="1"/>
  <c r="D311" i="3"/>
  <c r="E311" i="3" s="1"/>
  <c r="D291" i="3"/>
  <c r="E291" i="3" s="1"/>
  <c r="D288" i="3"/>
  <c r="E288" i="3" s="1"/>
  <c r="D285" i="3"/>
  <c r="E285" i="3" s="1"/>
  <c r="D279" i="3"/>
  <c r="E279" i="3" s="1"/>
  <c r="D271" i="3"/>
  <c r="E271" i="3" s="1"/>
  <c r="D263" i="3"/>
  <c r="E263" i="3" s="1"/>
  <c r="D255" i="3"/>
  <c r="E255" i="3" s="1"/>
  <c r="D247" i="3"/>
  <c r="E247" i="3" s="1"/>
  <c r="D239" i="3"/>
  <c r="E239" i="3" s="1"/>
  <c r="D231" i="3"/>
  <c r="E231" i="3" s="1"/>
  <c r="D223" i="3"/>
  <c r="E223" i="3" s="1"/>
  <c r="D215" i="3"/>
  <c r="E215" i="3" s="1"/>
  <c r="D207" i="3"/>
  <c r="E207" i="3" s="1"/>
  <c r="D199" i="3"/>
  <c r="E199" i="3" s="1"/>
  <c r="D191" i="3"/>
  <c r="E191" i="3" s="1"/>
  <c r="D183" i="3"/>
  <c r="E183" i="3" s="1"/>
  <c r="D175" i="3"/>
  <c r="E175" i="3" s="1"/>
  <c r="D167" i="3"/>
  <c r="E167" i="3" s="1"/>
  <c r="D159" i="3"/>
  <c r="E159" i="3" s="1"/>
  <c r="D151" i="3"/>
  <c r="E151" i="3" s="1"/>
  <c r="D143" i="3"/>
  <c r="E143" i="3" s="1"/>
  <c r="D135" i="3"/>
  <c r="E135" i="3" s="1"/>
  <c r="D127" i="3"/>
  <c r="E127" i="3" s="1"/>
  <c r="D119" i="3"/>
  <c r="E119" i="3" s="1"/>
  <c r="D111" i="3"/>
  <c r="E111" i="3" s="1"/>
  <c r="D103" i="3"/>
  <c r="E103" i="3" s="1"/>
  <c r="D95" i="3"/>
  <c r="E95" i="3" s="1"/>
  <c r="D87" i="3"/>
  <c r="E87" i="3" s="1"/>
  <c r="D79" i="3"/>
  <c r="E79" i="3" s="1"/>
  <c r="D71" i="3"/>
  <c r="E71" i="3" s="1"/>
  <c r="D63" i="3"/>
  <c r="E63" i="3" s="1"/>
  <c r="D55" i="3"/>
  <c r="E55" i="3" s="1"/>
  <c r="D47" i="3"/>
  <c r="E47" i="3" s="1"/>
  <c r="D39" i="3"/>
  <c r="E39" i="3" s="1"/>
  <c r="D525" i="3"/>
  <c r="E525" i="3" s="1"/>
  <c r="D513" i="3"/>
  <c r="E513" i="3" s="1"/>
  <c r="D461" i="3"/>
  <c r="E461" i="3" s="1"/>
  <c r="D397" i="3"/>
  <c r="E397" i="3" s="1"/>
  <c r="D371" i="3"/>
  <c r="E371" i="3" s="1"/>
  <c r="D339" i="3"/>
  <c r="E339" i="3" s="1"/>
  <c r="D274" i="3"/>
  <c r="E274" i="3" s="1"/>
  <c r="D266" i="3"/>
  <c r="E266" i="3" s="1"/>
  <c r="D258" i="3"/>
  <c r="E258" i="3" s="1"/>
  <c r="D250" i="3"/>
  <c r="E250" i="3" s="1"/>
  <c r="D242" i="3"/>
  <c r="E242" i="3" s="1"/>
  <c r="D234" i="3"/>
  <c r="E234" i="3" s="1"/>
  <c r="D226" i="3"/>
  <c r="E226" i="3" s="1"/>
  <c r="D218" i="3"/>
  <c r="E218" i="3" s="1"/>
  <c r="D210" i="3"/>
  <c r="E210" i="3" s="1"/>
  <c r="D202" i="3"/>
  <c r="E202" i="3" s="1"/>
  <c r="D194" i="3"/>
  <c r="E194" i="3" s="1"/>
  <c r="D186" i="3"/>
  <c r="E186" i="3" s="1"/>
  <c r="D178" i="3"/>
  <c r="E178" i="3" s="1"/>
  <c r="D170" i="3"/>
  <c r="E170" i="3" s="1"/>
  <c r="D162" i="3"/>
  <c r="E162" i="3" s="1"/>
  <c r="D154" i="3"/>
  <c r="E154" i="3" s="1"/>
  <c r="D146" i="3"/>
  <c r="E146" i="3" s="1"/>
  <c r="D138" i="3"/>
  <c r="E138" i="3" s="1"/>
  <c r="D130" i="3"/>
  <c r="E130" i="3" s="1"/>
  <c r="D122" i="3"/>
  <c r="E122" i="3" s="1"/>
  <c r="D114" i="3"/>
  <c r="E114" i="3" s="1"/>
  <c r="D106" i="3"/>
  <c r="E106" i="3" s="1"/>
  <c r="D98" i="3"/>
  <c r="E98" i="3" s="1"/>
  <c r="D90" i="3"/>
  <c r="E90" i="3" s="1"/>
  <c r="D82" i="3"/>
  <c r="E82" i="3" s="1"/>
  <c r="D74" i="3"/>
  <c r="E74" i="3" s="1"/>
  <c r="D66" i="3"/>
  <c r="E66" i="3" s="1"/>
  <c r="D58" i="3"/>
  <c r="E58" i="3" s="1"/>
  <c r="D50" i="3"/>
  <c r="E50" i="3" s="1"/>
  <c r="D42" i="3"/>
  <c r="E42" i="3" s="1"/>
  <c r="D34" i="3"/>
  <c r="E34" i="3" s="1"/>
  <c r="D26" i="3"/>
  <c r="E26" i="3" s="1"/>
  <c r="D18" i="3"/>
  <c r="E18" i="3" s="1"/>
  <c r="D10" i="3"/>
  <c r="E10" i="3" s="1"/>
  <c r="D565" i="3"/>
  <c r="E565" i="3" s="1"/>
  <c r="D553" i="3"/>
  <c r="E553" i="3" s="1"/>
  <c r="D501" i="3"/>
  <c r="E501" i="3" s="1"/>
  <c r="D489" i="3"/>
  <c r="E489" i="3" s="1"/>
  <c r="D437" i="3"/>
  <c r="E437" i="3" s="1"/>
  <c r="D425" i="3"/>
  <c r="E425" i="3" s="1"/>
  <c r="D356" i="3"/>
  <c r="E356" i="3" s="1"/>
  <c r="D312" i="3"/>
  <c r="E312" i="3" s="1"/>
  <c r="D307" i="3"/>
  <c r="E307" i="3" s="1"/>
  <c r="D541" i="3"/>
  <c r="E541" i="3" s="1"/>
  <c r="D529" i="3"/>
  <c r="E529" i="3" s="1"/>
  <c r="D477" i="3"/>
  <c r="E477" i="3" s="1"/>
  <c r="D465" i="3"/>
  <c r="E465" i="3" s="1"/>
  <c r="D413" i="3"/>
  <c r="E413" i="3" s="1"/>
  <c r="D374" i="3"/>
  <c r="E374" i="3" s="1"/>
  <c r="D352" i="3"/>
  <c r="E352" i="3" s="1"/>
  <c r="D342" i="3"/>
  <c r="E342" i="3" s="1"/>
  <c r="D294" i="3"/>
  <c r="E294" i="3" s="1"/>
  <c r="D569" i="3"/>
  <c r="E569" i="3" s="1"/>
  <c r="D517" i="3"/>
  <c r="E517" i="3" s="1"/>
  <c r="D505" i="3"/>
  <c r="E505" i="3" s="1"/>
  <c r="D453" i="3"/>
  <c r="E453" i="3" s="1"/>
  <c r="D389" i="3"/>
  <c r="E389" i="3" s="1"/>
  <c r="D365" i="3"/>
  <c r="E365" i="3" s="1"/>
  <c r="D333" i="3"/>
  <c r="E333" i="3" s="1"/>
  <c r="D301" i="3"/>
  <c r="E301" i="3" s="1"/>
  <c r="D5" i="3"/>
  <c r="E5" i="3" s="1"/>
  <c r="D557" i="3"/>
  <c r="E557" i="3" s="1"/>
  <c r="D545" i="3"/>
  <c r="E545" i="3" s="1"/>
  <c r="D493" i="3"/>
  <c r="E493" i="3" s="1"/>
  <c r="D481" i="3"/>
  <c r="E481" i="3" s="1"/>
  <c r="D429" i="3"/>
  <c r="E429" i="3" s="1"/>
  <c r="D417" i="3"/>
  <c r="E417" i="3" s="1"/>
  <c r="D355" i="3"/>
  <c r="E355" i="3" s="1"/>
  <c r="D297" i="3"/>
  <c r="E297" i="3" s="1"/>
  <c r="D289" i="3"/>
  <c r="E289" i="3" s="1"/>
  <c r="D272" i="3"/>
  <c r="E272" i="3" s="1"/>
  <c r="D264" i="3"/>
  <c r="E264" i="3" s="1"/>
  <c r="D256" i="3"/>
  <c r="E256" i="3" s="1"/>
  <c r="D248" i="3"/>
  <c r="E248" i="3" s="1"/>
  <c r="D240" i="3"/>
  <c r="E240" i="3" s="1"/>
  <c r="D232" i="3"/>
  <c r="E232" i="3" s="1"/>
  <c r="D224" i="3"/>
  <c r="E224" i="3" s="1"/>
  <c r="D216" i="3"/>
  <c r="E216" i="3" s="1"/>
  <c r="D208" i="3"/>
  <c r="E208" i="3" s="1"/>
  <c r="D200" i="3"/>
  <c r="E200" i="3" s="1"/>
  <c r="D192" i="3"/>
  <c r="E192" i="3" s="1"/>
  <c r="D184" i="3"/>
  <c r="E184" i="3" s="1"/>
  <c r="D176" i="3"/>
  <c r="E176" i="3" s="1"/>
  <c r="D533" i="3"/>
  <c r="E533" i="3" s="1"/>
  <c r="D521" i="3"/>
  <c r="E521" i="3" s="1"/>
  <c r="D469" i="3"/>
  <c r="E469" i="3" s="1"/>
  <c r="D405" i="3"/>
  <c r="E405" i="3" s="1"/>
  <c r="D573" i="3"/>
  <c r="E573" i="3" s="1"/>
  <c r="D561" i="3"/>
  <c r="E561" i="3" s="1"/>
  <c r="D509" i="3"/>
  <c r="E509" i="3" s="1"/>
  <c r="D497" i="3"/>
  <c r="E497" i="3" s="1"/>
  <c r="D445" i="3"/>
  <c r="E445" i="3" s="1"/>
  <c r="D433" i="3"/>
  <c r="E433" i="3" s="1"/>
  <c r="D368" i="3"/>
  <c r="E368" i="3" s="1"/>
  <c r="D358" i="3"/>
  <c r="E358" i="3" s="1"/>
  <c r="D336" i="3"/>
  <c r="E336" i="3" s="1"/>
  <c r="D326" i="3"/>
  <c r="E326" i="3" s="1"/>
  <c r="D318" i="3"/>
  <c r="E318" i="3" s="1"/>
  <c r="D309" i="3"/>
  <c r="E309" i="3" s="1"/>
  <c r="D304" i="3"/>
  <c r="E304" i="3" s="1"/>
  <c r="D300" i="3"/>
  <c r="E300" i="3" s="1"/>
  <c r="D292" i="3"/>
  <c r="E292" i="3" s="1"/>
  <c r="D549" i="3"/>
  <c r="E549" i="3" s="1"/>
  <c r="D537" i="3"/>
  <c r="E537" i="3" s="1"/>
  <c r="D485" i="3"/>
  <c r="E485" i="3" s="1"/>
  <c r="D473" i="3"/>
  <c r="E473" i="3" s="1"/>
  <c r="D421" i="3"/>
  <c r="E421" i="3" s="1"/>
  <c r="D409" i="3"/>
  <c r="E409" i="3" s="1"/>
  <c r="D381" i="3"/>
  <c r="E381" i="3" s="1"/>
  <c r="D353" i="3"/>
  <c r="E353" i="3" s="1"/>
  <c r="D349" i="3"/>
  <c r="E349" i="3" s="1"/>
  <c r="D295" i="3"/>
  <c r="E295" i="3" s="1"/>
  <c r="D639" i="3"/>
  <c r="E639" i="3" s="1"/>
  <c r="D414" i="3"/>
  <c r="E414" i="3" s="1"/>
  <c r="D2736" i="2"/>
  <c r="E2736" i="2" s="1"/>
  <c r="D2608" i="2"/>
  <c r="E2608" i="2" s="1"/>
  <c r="D454" i="3"/>
  <c r="E454" i="3" s="1"/>
  <c r="D298" i="3"/>
  <c r="E298" i="3" s="1"/>
  <c r="D217" i="3"/>
  <c r="E217" i="3" s="1"/>
  <c r="D153" i="3"/>
  <c r="E153" i="3" s="1"/>
  <c r="D89" i="3"/>
  <c r="E89" i="3" s="1"/>
  <c r="D25" i="3"/>
  <c r="E25" i="3" s="1"/>
  <c r="D709" i="3"/>
  <c r="E709" i="3" s="1"/>
  <c r="D436" i="3"/>
  <c r="E436" i="3" s="1"/>
  <c r="D582" i="3"/>
  <c r="E582" i="3" s="1"/>
  <c r="D394" i="3"/>
  <c r="E394" i="3" s="1"/>
  <c r="D276" i="3"/>
  <c r="E276" i="3" s="1"/>
  <c r="D212" i="3"/>
  <c r="E212" i="3" s="1"/>
  <c r="D108" i="3"/>
  <c r="E108" i="3" s="1"/>
  <c r="D28" i="3"/>
  <c r="E28" i="3" s="1"/>
  <c r="D446" i="3"/>
  <c r="E446" i="3" s="1"/>
  <c r="D770" i="3"/>
  <c r="E770" i="3" s="1"/>
  <c r="D486" i="3"/>
  <c r="E486" i="3" s="1"/>
  <c r="D284" i="3"/>
  <c r="E284" i="3" s="1"/>
  <c r="D404" i="3"/>
  <c r="E404" i="3" s="1"/>
  <c r="D15" i="3"/>
  <c r="E15" i="3" s="1"/>
  <c r="D2725" i="2"/>
  <c r="E2725" i="2" s="1"/>
  <c r="D2661" i="2"/>
  <c r="E2661" i="2" s="1"/>
  <c r="D2597" i="2"/>
  <c r="E2597" i="2" s="1"/>
  <c r="D136" i="3"/>
  <c r="E136" i="3" s="1"/>
  <c r="D72" i="3"/>
  <c r="E72" i="3" s="1"/>
  <c r="D8" i="3"/>
  <c r="E8" i="3" s="1"/>
  <c r="D2298" i="2"/>
  <c r="E2298" i="2" s="1"/>
  <c r="D2210" i="2"/>
  <c r="E2210" i="2" s="1"/>
  <c r="D2130" i="2"/>
  <c r="E2130" i="2" s="1"/>
  <c r="D2050" i="2"/>
  <c r="E2050" i="2" s="1"/>
  <c r="D2630" i="2"/>
  <c r="E2630" i="2" s="1"/>
  <c r="D2562" i="2"/>
  <c r="E2562" i="2" s="1"/>
  <c r="D221" i="3"/>
  <c r="E221" i="3" s="1"/>
  <c r="D157" i="3"/>
  <c r="E157" i="3" s="1"/>
  <c r="D93" i="3"/>
  <c r="E93" i="3" s="1"/>
  <c r="D29" i="3"/>
  <c r="E29" i="3" s="1"/>
  <c r="D2541" i="2"/>
  <c r="E2541" i="2" s="1"/>
  <c r="D2445" i="2"/>
  <c r="E2445" i="2" s="1"/>
  <c r="D2365" i="2"/>
  <c r="E2365" i="2" s="1"/>
  <c r="D2173" i="2"/>
  <c r="E2173" i="2" s="1"/>
  <c r="D2053" i="2"/>
  <c r="E2053" i="2" s="1"/>
  <c r="D2556" i="2"/>
  <c r="E2556" i="2" s="1"/>
  <c r="D2492" i="2"/>
  <c r="E2492" i="2" s="1"/>
  <c r="D2428" i="2"/>
  <c r="E2428" i="2" s="1"/>
  <c r="D2364" i="2"/>
  <c r="E2364" i="2" s="1"/>
  <c r="D2300" i="2"/>
  <c r="E2300" i="2" s="1"/>
  <c r="D2236" i="2"/>
  <c r="E2236" i="2" s="1"/>
  <c r="D2172" i="2"/>
  <c r="E2172" i="2" s="1"/>
  <c r="D2108" i="2"/>
  <c r="E2108" i="2" s="1"/>
  <c r="D235" i="3"/>
  <c r="E235" i="3" s="1"/>
  <c r="D171" i="3"/>
  <c r="E171" i="3" s="1"/>
  <c r="D107" i="3"/>
  <c r="E107" i="3" s="1"/>
  <c r="D43" i="3"/>
  <c r="E43" i="3" s="1"/>
  <c r="D2654" i="2"/>
  <c r="E2654" i="2" s="1"/>
  <c r="D2686" i="2"/>
  <c r="E2686" i="2" s="1"/>
  <c r="D2447" i="2"/>
  <c r="E2447" i="2" s="1"/>
  <c r="D2335" i="2"/>
  <c r="E2335" i="2" s="1"/>
  <c r="D2271" i="2"/>
  <c r="E2271" i="2" s="1"/>
  <c r="D2207" i="2"/>
  <c r="E2207" i="2" s="1"/>
  <c r="D2135" i="2"/>
  <c r="E2135" i="2" s="1"/>
  <c r="D2055" i="2"/>
  <c r="E2055" i="2" s="1"/>
  <c r="D337" i="3"/>
  <c r="E337" i="3" s="1"/>
  <c r="D2313" i="2"/>
  <c r="E2313" i="2" s="1"/>
  <c r="D1235" i="2"/>
  <c r="E1235" i="2" s="1"/>
  <c r="D2060" i="2"/>
  <c r="E2060" i="2" s="1"/>
  <c r="D1931" i="2"/>
  <c r="E1931" i="2" s="1"/>
  <c r="D1867" i="2"/>
  <c r="E1867" i="2" s="1"/>
  <c r="D1803" i="2"/>
  <c r="E1803" i="2" s="1"/>
  <c r="D1739" i="2"/>
  <c r="E1739" i="2" s="1"/>
  <c r="D1675" i="2"/>
  <c r="E1675" i="2" s="1"/>
  <c r="D1611" i="2"/>
  <c r="E1611" i="2" s="1"/>
  <c r="D1547" i="2"/>
  <c r="E1547" i="2" s="1"/>
  <c r="D1483" i="2"/>
  <c r="E1483" i="2" s="1"/>
  <c r="D1419" i="2"/>
  <c r="E1419" i="2" s="1"/>
  <c r="D1355" i="2"/>
  <c r="E1355" i="2" s="1"/>
  <c r="D1291" i="2"/>
  <c r="E1291" i="2" s="1"/>
  <c r="D2297" i="2"/>
  <c r="E2297" i="2" s="1"/>
  <c r="D2289" i="2"/>
  <c r="E2289" i="2" s="1"/>
  <c r="D2035" i="2"/>
  <c r="E2035" i="2" s="1"/>
  <c r="D1958" i="2"/>
  <c r="E1958" i="2" s="1"/>
  <c r="D1894" i="2"/>
  <c r="E1894" i="2" s="1"/>
  <c r="D1830" i="2"/>
  <c r="E1830" i="2" s="1"/>
  <c r="D1766" i="2"/>
  <c r="E1766" i="2" s="1"/>
  <c r="D2706" i="2"/>
  <c r="E2706" i="2" s="1"/>
  <c r="D2586" i="2"/>
  <c r="E2586" i="2" s="1"/>
  <c r="D2553" i="2"/>
  <c r="E2553" i="2" s="1"/>
  <c r="D2489" i="2"/>
  <c r="E2489" i="2" s="1"/>
  <c r="D2425" i="2"/>
  <c r="E2425" i="2" s="1"/>
  <c r="D2361" i="2"/>
  <c r="E2361" i="2" s="1"/>
  <c r="D2076" i="2"/>
  <c r="E2076" i="2" s="1"/>
  <c r="D2137" i="2"/>
  <c r="E2137" i="2" s="1"/>
  <c r="D2321" i="2"/>
  <c r="E2321" i="2" s="1"/>
  <c r="D2043" i="2"/>
  <c r="E2043" i="2" s="1"/>
  <c r="D1818" i="2"/>
  <c r="E1818" i="2" s="1"/>
  <c r="D1168" i="2"/>
  <c r="E1168" i="2" s="1"/>
  <c r="D1080" i="2"/>
  <c r="E1080" i="2" s="1"/>
  <c r="D2013" i="2"/>
  <c r="E2013" i="2" s="1"/>
  <c r="D1869" i="2"/>
  <c r="E1869" i="2" s="1"/>
  <c r="D1678" i="2"/>
  <c r="E1678" i="2" s="1"/>
  <c r="D1598" i="2"/>
  <c r="E1598" i="2" s="1"/>
  <c r="D1518" i="2"/>
  <c r="E1518" i="2" s="1"/>
  <c r="D1449" i="2"/>
  <c r="E1449" i="2" s="1"/>
  <c r="D1385" i="2"/>
  <c r="E1385" i="2" s="1"/>
  <c r="D1310" i="2"/>
  <c r="E1310" i="2" s="1"/>
  <c r="D1094" i="2"/>
  <c r="E1094" i="2" s="1"/>
  <c r="D1770" i="2"/>
  <c r="E1770" i="2" s="1"/>
  <c r="D1008" i="2"/>
  <c r="E1008" i="2" s="1"/>
  <c r="D1789" i="2"/>
  <c r="E1789" i="2" s="1"/>
  <c r="D1054" i="2"/>
  <c r="E1054" i="2" s="1"/>
  <c r="D878" i="2"/>
  <c r="E878" i="2" s="1"/>
  <c r="D1938" i="2"/>
  <c r="E1938" i="2" s="1"/>
  <c r="D1874" i="2"/>
  <c r="E1874" i="2" s="1"/>
  <c r="D1693" i="2"/>
  <c r="E1693" i="2" s="1"/>
  <c r="D1150" i="2"/>
  <c r="E1150" i="2" s="1"/>
  <c r="D1000" i="2"/>
  <c r="E1000" i="2" s="1"/>
  <c r="D1681" i="2"/>
  <c r="E1681" i="2" s="1"/>
  <c r="D1606" i="2"/>
  <c r="E1606" i="2" s="1"/>
  <c r="D1537" i="2"/>
  <c r="E1537" i="2" s="1"/>
  <c r="D1457" i="2"/>
  <c r="E1457" i="2" s="1"/>
  <c r="D1393" i="2"/>
  <c r="E1393" i="2" s="1"/>
  <c r="D1318" i="2"/>
  <c r="E1318" i="2" s="1"/>
  <c r="D1201" i="2"/>
  <c r="E1201" i="2" s="1"/>
  <c r="D1813" i="2"/>
  <c r="E1813" i="2" s="1"/>
  <c r="D1741" i="2"/>
  <c r="E1741" i="2" s="1"/>
  <c r="D1102" i="2"/>
  <c r="E1102" i="2" s="1"/>
  <c r="D902" i="2"/>
  <c r="E902" i="2" s="1"/>
  <c r="D1053" i="2"/>
  <c r="E1053" i="2" s="1"/>
  <c r="D887" i="2"/>
  <c r="E887" i="2" s="1"/>
  <c r="D706" i="2"/>
  <c r="E706" i="2" s="1"/>
  <c r="D1565" i="2"/>
  <c r="E1565" i="2" s="1"/>
  <c r="D1437" i="2"/>
  <c r="E1437" i="2" s="1"/>
  <c r="D1309" i="2"/>
  <c r="E1309" i="2" s="1"/>
  <c r="D1173" i="2"/>
  <c r="E1173" i="2" s="1"/>
  <c r="D1026" i="2"/>
  <c r="E1026" i="2" s="1"/>
  <c r="D719" i="2"/>
  <c r="E719" i="2" s="1"/>
  <c r="D549" i="2"/>
  <c r="E549" i="2" s="1"/>
  <c r="D477" i="2"/>
  <c r="E477" i="2" s="1"/>
  <c r="D405" i="2"/>
  <c r="E405" i="2" s="1"/>
  <c r="D341" i="2"/>
  <c r="E341" i="2" s="1"/>
  <c r="D261" i="2"/>
  <c r="E261" i="2" s="1"/>
  <c r="D197" i="2"/>
  <c r="E197" i="2" s="1"/>
  <c r="D101" i="2"/>
  <c r="E101" i="2" s="1"/>
  <c r="D1018" i="2"/>
  <c r="E1018" i="2" s="1"/>
  <c r="D864" i="2"/>
  <c r="E864" i="2" s="1"/>
  <c r="D820" i="2"/>
  <c r="E820" i="2" s="1"/>
  <c r="D714" i="2"/>
  <c r="E714" i="2" s="1"/>
  <c r="D964" i="2"/>
  <c r="E964" i="2" s="1"/>
  <c r="D759" i="2"/>
  <c r="E759" i="2" s="1"/>
  <c r="D1602" i="2"/>
  <c r="E1602" i="2" s="1"/>
  <c r="D1474" i="2"/>
  <c r="E1474" i="2" s="1"/>
  <c r="D1346" i="2"/>
  <c r="E1346" i="2" s="1"/>
  <c r="D1170" i="2"/>
  <c r="E1170" i="2" s="1"/>
  <c r="D1010" i="2"/>
  <c r="E1010" i="2" s="1"/>
  <c r="D872" i="2"/>
  <c r="E872" i="2" s="1"/>
  <c r="D544" i="2"/>
  <c r="E544" i="2" s="1"/>
  <c r="D440" i="2"/>
  <c r="E440" i="2" s="1"/>
  <c r="D360" i="2"/>
  <c r="E360" i="2" s="1"/>
  <c r="D288" i="2"/>
  <c r="E288" i="2" s="1"/>
  <c r="D192" i="2"/>
  <c r="E192" i="2" s="1"/>
  <c r="D975" i="2"/>
  <c r="E975" i="2" s="1"/>
  <c r="D735" i="2"/>
  <c r="E735" i="2" s="1"/>
  <c r="D647" i="2"/>
  <c r="E647" i="2" s="1"/>
  <c r="D583" i="2"/>
  <c r="E583" i="2" s="1"/>
  <c r="D519" i="2"/>
  <c r="E519" i="2" s="1"/>
  <c r="D455" i="2"/>
  <c r="E455" i="2" s="1"/>
  <c r="D391" i="2"/>
  <c r="E391" i="2" s="1"/>
  <c r="D327" i="2"/>
  <c r="E327" i="2" s="1"/>
  <c r="D263" i="2"/>
  <c r="E263" i="2" s="1"/>
  <c r="D1240" i="2"/>
  <c r="E1240" i="2" s="1"/>
  <c r="D954" i="2"/>
  <c r="E954" i="2" s="1"/>
  <c r="D834" i="2"/>
  <c r="E834" i="2" s="1"/>
  <c r="D748" i="2"/>
  <c r="E748" i="2" s="1"/>
  <c r="D1175" i="2"/>
  <c r="E1175" i="2" s="1"/>
  <c r="D1007" i="2"/>
  <c r="E1007" i="2" s="1"/>
  <c r="D817" i="2"/>
  <c r="E817" i="2" s="1"/>
  <c r="D674" i="2"/>
  <c r="E674" i="2" s="1"/>
  <c r="D610" i="2"/>
  <c r="E610" i="2" s="1"/>
  <c r="D546" i="2"/>
  <c r="E546" i="2" s="1"/>
  <c r="D482" i="2"/>
  <c r="E482" i="2" s="1"/>
  <c r="D418" i="2"/>
  <c r="E418" i="2" s="1"/>
  <c r="D354" i="2"/>
  <c r="E354" i="2" s="1"/>
  <c r="D290" i="2"/>
  <c r="E290" i="2" s="1"/>
  <c r="D226" i="2"/>
  <c r="E226" i="2" s="1"/>
  <c r="D162" i="2"/>
  <c r="E162" i="2" s="1"/>
  <c r="D98" i="2"/>
  <c r="E98" i="2" s="1"/>
  <c r="D750" i="2"/>
  <c r="E750" i="2" s="1"/>
  <c r="D121" i="2"/>
  <c r="E121" i="2" s="1"/>
  <c r="D103" i="2"/>
  <c r="E103" i="2" s="1"/>
  <c r="D668" i="2"/>
  <c r="E668" i="2" s="1"/>
  <c r="D604" i="2"/>
  <c r="E604" i="2" s="1"/>
  <c r="D540" i="2"/>
  <c r="E540" i="2" s="1"/>
  <c r="D476" i="2"/>
  <c r="E476" i="2" s="1"/>
  <c r="D412" i="2"/>
  <c r="E412" i="2" s="1"/>
  <c r="D348" i="2"/>
  <c r="E348" i="2" s="1"/>
  <c r="D284" i="2"/>
  <c r="E284" i="2" s="1"/>
  <c r="D220" i="2"/>
  <c r="E220" i="2" s="1"/>
  <c r="D120" i="2"/>
  <c r="E120" i="2" s="1"/>
  <c r="D90" i="2"/>
  <c r="E90" i="2" s="1"/>
  <c r="D20" i="2"/>
  <c r="E20" i="2" s="1"/>
  <c r="D4" i="2"/>
  <c r="E4" i="2" s="1"/>
  <c r="D745" i="2"/>
  <c r="E745" i="2" s="1"/>
  <c r="D140" i="2"/>
  <c r="E140" i="2" s="1"/>
  <c r="D47" i="2"/>
  <c r="E47" i="2" s="1"/>
  <c r="D26" i="2"/>
  <c r="E26" i="2" s="1"/>
  <c r="D199" i="2"/>
  <c r="E199" i="2" s="1"/>
  <c r="D18" i="2"/>
  <c r="E18" i="2" s="1"/>
  <c r="D57" i="2"/>
  <c r="E57" i="2" s="1"/>
  <c r="D2581" i="2"/>
  <c r="E2581" i="2" s="1"/>
  <c r="D607" i="3"/>
  <c r="E607" i="3" s="1"/>
  <c r="D402" i="3"/>
  <c r="E402" i="3" s="1"/>
  <c r="D2728" i="2"/>
  <c r="E2728" i="2" s="1"/>
  <c r="D2600" i="2"/>
  <c r="E2600" i="2" s="1"/>
  <c r="D442" i="3"/>
  <c r="E442" i="3" s="1"/>
  <c r="D273" i="3"/>
  <c r="E273" i="3" s="1"/>
  <c r="D209" i="3"/>
  <c r="E209" i="3" s="1"/>
  <c r="D145" i="3"/>
  <c r="E145" i="3" s="1"/>
  <c r="D81" i="3"/>
  <c r="E81" i="3" s="1"/>
  <c r="D17" i="3"/>
  <c r="E17" i="3" s="1"/>
  <c r="D677" i="3"/>
  <c r="E677" i="3" s="1"/>
  <c r="D430" i="3"/>
  <c r="E430" i="3" s="1"/>
  <c r="D540" i="3"/>
  <c r="E540" i="3" s="1"/>
  <c r="D378" i="3"/>
  <c r="E378" i="3" s="1"/>
  <c r="D268" i="3"/>
  <c r="E268" i="3" s="1"/>
  <c r="D204" i="3"/>
  <c r="E204" i="3" s="1"/>
  <c r="D92" i="3"/>
  <c r="E92" i="3" s="1"/>
  <c r="D12" i="3"/>
  <c r="E12" i="3" s="1"/>
  <c r="D434" i="3"/>
  <c r="E434" i="3" s="1"/>
  <c r="D738" i="3"/>
  <c r="E738" i="3" s="1"/>
  <c r="D474" i="3"/>
  <c r="E474" i="3" s="1"/>
  <c r="D689" i="3"/>
  <c r="E689" i="3" s="1"/>
  <c r="D398" i="3"/>
  <c r="E398" i="3" s="1"/>
  <c r="D7" i="3"/>
  <c r="E7" i="3" s="1"/>
  <c r="D2717" i="2"/>
  <c r="E2717" i="2" s="1"/>
  <c r="D2653" i="2"/>
  <c r="E2653" i="2" s="1"/>
  <c r="D2589" i="2"/>
  <c r="E2589" i="2" s="1"/>
  <c r="D128" i="3"/>
  <c r="E128" i="3" s="1"/>
  <c r="D64" i="3"/>
  <c r="E64" i="3" s="1"/>
  <c r="D2766" i="2"/>
  <c r="E2766" i="2" s="1"/>
  <c r="D2282" i="2"/>
  <c r="E2282" i="2" s="1"/>
  <c r="D2194" i="2"/>
  <c r="E2194" i="2" s="1"/>
  <c r="D2114" i="2"/>
  <c r="E2114" i="2" s="1"/>
  <c r="D303" i="3"/>
  <c r="E303" i="3" s="1"/>
  <c r="D2614" i="2"/>
  <c r="E2614" i="2" s="1"/>
  <c r="D277" i="3"/>
  <c r="E277" i="3" s="1"/>
  <c r="D213" i="3"/>
  <c r="E213" i="3" s="1"/>
  <c r="D149" i="3"/>
  <c r="E149" i="3" s="1"/>
  <c r="D85" i="3"/>
  <c r="E85" i="3" s="1"/>
  <c r="D21" i="3"/>
  <c r="E21" i="3" s="1"/>
  <c r="D2533" i="2"/>
  <c r="E2533" i="2" s="1"/>
  <c r="D2429" i="2"/>
  <c r="E2429" i="2" s="1"/>
  <c r="D2357" i="2"/>
  <c r="E2357" i="2" s="1"/>
  <c r="D2125" i="2"/>
  <c r="E2125" i="2" s="1"/>
  <c r="D372" i="3"/>
  <c r="E372" i="3" s="1"/>
  <c r="D2548" i="2"/>
  <c r="E2548" i="2" s="1"/>
  <c r="D2484" i="2"/>
  <c r="E2484" i="2" s="1"/>
  <c r="D2420" i="2"/>
  <c r="E2420" i="2" s="1"/>
  <c r="D2356" i="2"/>
  <c r="E2356" i="2" s="1"/>
  <c r="D2292" i="2"/>
  <c r="E2292" i="2" s="1"/>
  <c r="D2228" i="2"/>
  <c r="E2228" i="2" s="1"/>
  <c r="D2164" i="2"/>
  <c r="E2164" i="2" s="1"/>
  <c r="D315" i="3"/>
  <c r="E315" i="3" s="1"/>
  <c r="D227" i="3"/>
  <c r="E227" i="3" s="1"/>
  <c r="D163" i="3"/>
  <c r="E163" i="3" s="1"/>
  <c r="D99" i="3"/>
  <c r="E99" i="3" s="1"/>
  <c r="D35" i="3"/>
  <c r="E35" i="3" s="1"/>
  <c r="D2638" i="2"/>
  <c r="E2638" i="2" s="1"/>
  <c r="D2527" i="2"/>
  <c r="E2527" i="2" s="1"/>
  <c r="D2439" i="2"/>
  <c r="E2439" i="2" s="1"/>
  <c r="D2327" i="2"/>
  <c r="E2327" i="2" s="1"/>
  <c r="D2263" i="2"/>
  <c r="E2263" i="2" s="1"/>
  <c r="D2199" i="2"/>
  <c r="E2199" i="2" s="1"/>
  <c r="D2127" i="2"/>
  <c r="E2127" i="2" s="1"/>
  <c r="D457" i="3"/>
  <c r="E457" i="3" s="1"/>
  <c r="D321" i="3"/>
  <c r="E321" i="3" s="1"/>
  <c r="D2249" i="2"/>
  <c r="E2249" i="2" s="1"/>
  <c r="D1203" i="2"/>
  <c r="E1203" i="2" s="1"/>
  <c r="D1987" i="2"/>
  <c r="E1987" i="2" s="1"/>
  <c r="D1923" i="2"/>
  <c r="E1923" i="2" s="1"/>
  <c r="D1859" i="2"/>
  <c r="E1859" i="2" s="1"/>
  <c r="D1795" i="2"/>
  <c r="E1795" i="2" s="1"/>
  <c r="D1731" i="2"/>
  <c r="E1731" i="2" s="1"/>
  <c r="D1667" i="2"/>
  <c r="E1667" i="2" s="1"/>
  <c r="D1603" i="2"/>
  <c r="E1603" i="2" s="1"/>
  <c r="D1539" i="2"/>
  <c r="E1539" i="2" s="1"/>
  <c r="D1475" i="2"/>
  <c r="E1475" i="2" s="1"/>
  <c r="D1411" i="2"/>
  <c r="E1411" i="2" s="1"/>
  <c r="D1347" i="2"/>
  <c r="E1347" i="2" s="1"/>
  <c r="D1283" i="2"/>
  <c r="E1283" i="2" s="1"/>
  <c r="D2233" i="2"/>
  <c r="E2233" i="2" s="1"/>
  <c r="D2225" i="2"/>
  <c r="E2225" i="2" s="1"/>
  <c r="D2030" i="2"/>
  <c r="E2030" i="2" s="1"/>
  <c r="D1950" i="2"/>
  <c r="E1950" i="2" s="1"/>
  <c r="D1886" i="2"/>
  <c r="E1886" i="2" s="1"/>
  <c r="D1822" i="2"/>
  <c r="E1822" i="2" s="1"/>
  <c r="D1758" i="2"/>
  <c r="E1758" i="2" s="1"/>
  <c r="D2698" i="2"/>
  <c r="E2698" i="2" s="1"/>
  <c r="D2281" i="2"/>
  <c r="E2281" i="2" s="1"/>
  <c r="D2545" i="2"/>
  <c r="E2545" i="2" s="1"/>
  <c r="D2481" i="2"/>
  <c r="E2481" i="2" s="1"/>
  <c r="D2417" i="2"/>
  <c r="E2417" i="2" s="1"/>
  <c r="D2353" i="2"/>
  <c r="E2353" i="2" s="1"/>
  <c r="D2057" i="2"/>
  <c r="E2057" i="2" s="1"/>
  <c r="D1998" i="2"/>
  <c r="E1998" i="2" s="1"/>
  <c r="D2257" i="2"/>
  <c r="E2257" i="2" s="1"/>
  <c r="D2038" i="2"/>
  <c r="E2038" i="2" s="1"/>
  <c r="D1778" i="2"/>
  <c r="E1778" i="2" s="1"/>
  <c r="D1160" i="2"/>
  <c r="E1160" i="2" s="1"/>
  <c r="D1048" i="2"/>
  <c r="E1048" i="2" s="1"/>
  <c r="D2005" i="2"/>
  <c r="E2005" i="2" s="1"/>
  <c r="D1861" i="2"/>
  <c r="E1861" i="2" s="1"/>
  <c r="D1673" i="2"/>
  <c r="E1673" i="2" s="1"/>
  <c r="D1593" i="2"/>
  <c r="E1593" i="2" s="1"/>
  <c r="D1513" i="2"/>
  <c r="E1513" i="2" s="1"/>
  <c r="D1438" i="2"/>
  <c r="E1438" i="2" s="1"/>
  <c r="D1374" i="2"/>
  <c r="E1374" i="2" s="1"/>
  <c r="D1305" i="2"/>
  <c r="E1305" i="2" s="1"/>
  <c r="D1062" i="2"/>
  <c r="E1062" i="2" s="1"/>
  <c r="D1738" i="2"/>
  <c r="E1738" i="2" s="1"/>
  <c r="D976" i="2"/>
  <c r="E976" i="2" s="1"/>
  <c r="D1757" i="2"/>
  <c r="E1757" i="2" s="1"/>
  <c r="D1022" i="2"/>
  <c r="E1022" i="2" s="1"/>
  <c r="D2010" i="2"/>
  <c r="E2010" i="2" s="1"/>
  <c r="D1930" i="2"/>
  <c r="E1930" i="2" s="1"/>
  <c r="D1866" i="2"/>
  <c r="E1866" i="2" s="1"/>
  <c r="D1256" i="2"/>
  <c r="E1256" i="2" s="1"/>
  <c r="D1142" i="2"/>
  <c r="E1142" i="2" s="1"/>
  <c r="D968" i="2"/>
  <c r="E968" i="2" s="1"/>
  <c r="D1670" i="2"/>
  <c r="E1670" i="2" s="1"/>
  <c r="D1601" i="2"/>
  <c r="E1601" i="2" s="1"/>
  <c r="D1526" i="2"/>
  <c r="E1526" i="2" s="1"/>
  <c r="D1446" i="2"/>
  <c r="E1446" i="2" s="1"/>
  <c r="D1382" i="2"/>
  <c r="E1382" i="2" s="1"/>
  <c r="D1313" i="2"/>
  <c r="E1313" i="2" s="1"/>
  <c r="D1110" i="2"/>
  <c r="E1110" i="2" s="1"/>
  <c r="D1786" i="2"/>
  <c r="E1786" i="2" s="1"/>
  <c r="D1709" i="2"/>
  <c r="E1709" i="2" s="1"/>
  <c r="D1070" i="2"/>
  <c r="E1070" i="2" s="1"/>
  <c r="D886" i="2"/>
  <c r="E886" i="2" s="1"/>
  <c r="D1047" i="2"/>
  <c r="E1047" i="2" s="1"/>
  <c r="D875" i="2"/>
  <c r="E875" i="2" s="1"/>
  <c r="D1677" i="2"/>
  <c r="E1677" i="2" s="1"/>
  <c r="D1549" i="2"/>
  <c r="E1549" i="2" s="1"/>
  <c r="D1421" i="2"/>
  <c r="E1421" i="2" s="1"/>
  <c r="D1293" i="2"/>
  <c r="E1293" i="2" s="1"/>
  <c r="D1165" i="2"/>
  <c r="E1165" i="2" s="1"/>
  <c r="D992" i="2"/>
  <c r="E992" i="2" s="1"/>
  <c r="D637" i="2"/>
  <c r="E637" i="2" s="1"/>
  <c r="D541" i="2"/>
  <c r="E541" i="2" s="1"/>
  <c r="D469" i="2"/>
  <c r="E469" i="2" s="1"/>
  <c r="D397" i="2"/>
  <c r="E397" i="2" s="1"/>
  <c r="D333" i="2"/>
  <c r="E333" i="2" s="1"/>
  <c r="D253" i="2"/>
  <c r="E253" i="2" s="1"/>
  <c r="D189" i="2"/>
  <c r="E189" i="2" s="1"/>
  <c r="D93" i="2"/>
  <c r="E93" i="2" s="1"/>
  <c r="D1012" i="2"/>
  <c r="E1012" i="2" s="1"/>
  <c r="D858" i="2"/>
  <c r="E858" i="2" s="1"/>
  <c r="D815" i="2"/>
  <c r="E815" i="2" s="1"/>
  <c r="D1133" i="2"/>
  <c r="E1133" i="2" s="1"/>
  <c r="D909" i="2"/>
  <c r="E909" i="2" s="1"/>
  <c r="D727" i="2"/>
  <c r="E727" i="2" s="1"/>
  <c r="D1586" i="2"/>
  <c r="E1586" i="2" s="1"/>
  <c r="D1458" i="2"/>
  <c r="E1458" i="2" s="1"/>
  <c r="D1330" i="2"/>
  <c r="E1330" i="2" s="1"/>
  <c r="D1162" i="2"/>
  <c r="E1162" i="2" s="1"/>
  <c r="D997" i="2"/>
  <c r="E997" i="2" s="1"/>
  <c r="D804" i="2"/>
  <c r="E804" i="2" s="1"/>
  <c r="D536" i="2"/>
  <c r="E536" i="2" s="1"/>
  <c r="D432" i="2"/>
  <c r="E432" i="2" s="1"/>
  <c r="D352" i="2"/>
  <c r="E352" i="2" s="1"/>
  <c r="D280" i="2"/>
  <c r="E280" i="2" s="1"/>
  <c r="D1138" i="2"/>
  <c r="E1138" i="2" s="1"/>
  <c r="D962" i="2"/>
  <c r="E962" i="2" s="1"/>
  <c r="D703" i="2"/>
  <c r="E703" i="2" s="1"/>
  <c r="D639" i="2"/>
  <c r="E639" i="2" s="1"/>
  <c r="D575" i="2"/>
  <c r="E575" i="2" s="1"/>
  <c r="D511" i="2"/>
  <c r="E511" i="2" s="1"/>
  <c r="D447" i="2"/>
  <c r="E447" i="2" s="1"/>
  <c r="D383" i="2"/>
  <c r="E383" i="2" s="1"/>
  <c r="D319" i="2"/>
  <c r="E319" i="2" s="1"/>
  <c r="D255" i="2"/>
  <c r="E255" i="2" s="1"/>
  <c r="D1130" i="2"/>
  <c r="E1130" i="2" s="1"/>
  <c r="D948" i="2"/>
  <c r="E948" i="2" s="1"/>
  <c r="D828" i="2"/>
  <c r="E828" i="2" s="1"/>
  <c r="D730" i="2"/>
  <c r="E730" i="2" s="1"/>
  <c r="D1167" i="2"/>
  <c r="E1167" i="2" s="1"/>
  <c r="D994" i="2"/>
  <c r="E994" i="2" s="1"/>
  <c r="D807" i="2"/>
  <c r="E807" i="2" s="1"/>
  <c r="D666" i="2"/>
  <c r="E666" i="2" s="1"/>
  <c r="D602" i="2"/>
  <c r="E602" i="2" s="1"/>
  <c r="D538" i="2"/>
  <c r="E538" i="2" s="1"/>
  <c r="D474" i="2"/>
  <c r="E474" i="2" s="1"/>
  <c r="D410" i="2"/>
  <c r="E410" i="2" s="1"/>
  <c r="D346" i="2"/>
  <c r="E346" i="2" s="1"/>
  <c r="D282" i="2"/>
  <c r="E282" i="2" s="1"/>
  <c r="D218" i="2"/>
  <c r="E218" i="2" s="1"/>
  <c r="D154" i="2"/>
  <c r="E154" i="2" s="1"/>
  <c r="D846" i="2"/>
  <c r="E846" i="2" s="1"/>
  <c r="D742" i="2"/>
  <c r="E742" i="2" s="1"/>
  <c r="D87" i="2"/>
  <c r="E87" i="2" s="1"/>
  <c r="D97" i="2"/>
  <c r="E97" i="2" s="1"/>
  <c r="D660" i="2"/>
  <c r="E660" i="2" s="1"/>
  <c r="D596" i="2"/>
  <c r="E596" i="2" s="1"/>
  <c r="D532" i="2"/>
  <c r="E532" i="2" s="1"/>
  <c r="D468" i="2"/>
  <c r="E468" i="2" s="1"/>
  <c r="D404" i="2"/>
  <c r="E404" i="2" s="1"/>
  <c r="D340" i="2"/>
  <c r="E340" i="2" s="1"/>
  <c r="D276" i="2"/>
  <c r="E276" i="2" s="1"/>
  <c r="D212" i="2"/>
  <c r="E212" i="2" s="1"/>
  <c r="D5" i="2"/>
  <c r="E5" i="2" s="1"/>
  <c r="D76" i="2"/>
  <c r="E76" i="2" s="1"/>
  <c r="D12" i="2"/>
  <c r="E12" i="2" s="1"/>
  <c r="D151" i="2"/>
  <c r="E151" i="2" s="1"/>
  <c r="D737" i="2"/>
  <c r="E737" i="2" s="1"/>
  <c r="D135" i="2"/>
  <c r="E135" i="2" s="1"/>
  <c r="D39" i="2"/>
  <c r="E39" i="2" s="1"/>
  <c r="D180" i="2"/>
  <c r="E180" i="2" s="1"/>
  <c r="D156" i="2"/>
  <c r="E156" i="2" s="1"/>
  <c r="D10" i="2"/>
  <c r="E10" i="2" s="1"/>
  <c r="D49" i="2"/>
  <c r="E49" i="2" s="1"/>
  <c r="D2760" i="3"/>
  <c r="E2760" i="3" s="1"/>
  <c r="D2624" i="3"/>
  <c r="E2624" i="3" s="1"/>
  <c r="D2496" i="3"/>
  <c r="E2496" i="3" s="1"/>
  <c r="D2627" i="3"/>
  <c r="E2627" i="3" s="1"/>
  <c r="D2499" i="3"/>
  <c r="E2499" i="3" s="1"/>
  <c r="D2587" i="3"/>
  <c r="E2587" i="3" s="1"/>
  <c r="D2722" i="3"/>
  <c r="E2722" i="3" s="1"/>
  <c r="D2536" i="3"/>
  <c r="E2536" i="3" s="1"/>
  <c r="D2472" i="3"/>
  <c r="E2472" i="3" s="1"/>
  <c r="D2720" i="3"/>
  <c r="E2720" i="3" s="1"/>
  <c r="D2689" i="3"/>
  <c r="E2689" i="3" s="1"/>
  <c r="D2465" i="3"/>
  <c r="E2465" i="3" s="1"/>
  <c r="D2683" i="3"/>
  <c r="E2683" i="3" s="1"/>
  <c r="D2366" i="3"/>
  <c r="E2366" i="3" s="1"/>
  <c r="D2754" i="3"/>
  <c r="E2754" i="3" s="1"/>
  <c r="D2489" i="3"/>
  <c r="E2489" i="3" s="1"/>
  <c r="D2667" i="3"/>
  <c r="E2667" i="3" s="1"/>
  <c r="D2406" i="3"/>
  <c r="E2406" i="3" s="1"/>
  <c r="D2716" i="3"/>
  <c r="E2716" i="3" s="1"/>
  <c r="D2447" i="3"/>
  <c r="E2447" i="3" s="1"/>
  <c r="D2585" i="3"/>
  <c r="E2585" i="3" s="1"/>
  <c r="D2457" i="3"/>
  <c r="E2457" i="3" s="1"/>
  <c r="D2263" i="3"/>
  <c r="E2263" i="3" s="1"/>
  <c r="D2431" i="3"/>
  <c r="E2431" i="3" s="1"/>
  <c r="D2299" i="3"/>
  <c r="E2299" i="3" s="1"/>
  <c r="D2677" i="3"/>
  <c r="E2677" i="3" s="1"/>
  <c r="D2346" i="3"/>
  <c r="E2346" i="3" s="1"/>
  <c r="D2201" i="3"/>
  <c r="E2201" i="3" s="1"/>
  <c r="D2556" i="3"/>
  <c r="E2556" i="3" s="1"/>
  <c r="D2336" i="3"/>
  <c r="E2336" i="3" s="1"/>
  <c r="D1958" i="3"/>
  <c r="E1958" i="3" s="1"/>
  <c r="D2260" i="3"/>
  <c r="E2260" i="3" s="1"/>
  <c r="D2386" i="3"/>
  <c r="E2386" i="3" s="1"/>
  <c r="D2187" i="3"/>
  <c r="E2187" i="3" s="1"/>
  <c r="D2703" i="3"/>
  <c r="E2703" i="3" s="1"/>
  <c r="D2373" i="3"/>
  <c r="E2373" i="3" s="1"/>
  <c r="D2724" i="3"/>
  <c r="E2724" i="3" s="1"/>
  <c r="D2581" i="3"/>
  <c r="E2581" i="3" s="1"/>
  <c r="D2429" i="3"/>
  <c r="E2429" i="3" s="1"/>
  <c r="D2357" i="3"/>
  <c r="E2357" i="3" s="1"/>
  <c r="D2116" i="3"/>
  <c r="E2116" i="3" s="1"/>
  <c r="D2052" i="3"/>
  <c r="E2052" i="3" s="1"/>
  <c r="D2222" i="3"/>
  <c r="E2222" i="3" s="1"/>
  <c r="D2105" i="3"/>
  <c r="E2105" i="3" s="1"/>
  <c r="D2041" i="3"/>
  <c r="E2041" i="3" s="1"/>
  <c r="D1599" i="3"/>
  <c r="E1599" i="3" s="1"/>
  <c r="D2138" i="3"/>
  <c r="E2138" i="3" s="1"/>
  <c r="D1986" i="3"/>
  <c r="E1986" i="3" s="1"/>
  <c r="D1905" i="3"/>
  <c r="E1905" i="3" s="1"/>
  <c r="D1841" i="3"/>
  <c r="E1841" i="3" s="1"/>
  <c r="D1777" i="3"/>
  <c r="E1777" i="3" s="1"/>
  <c r="D1713" i="3"/>
  <c r="E1713" i="3" s="1"/>
  <c r="D1649" i="3"/>
  <c r="E1649" i="3" s="1"/>
  <c r="D1956" i="3"/>
  <c r="E1956" i="3" s="1"/>
  <c r="D2211" i="3"/>
  <c r="E2211" i="3" s="1"/>
  <c r="D2081" i="3"/>
  <c r="E2081" i="3" s="1"/>
  <c r="D2178" i="3"/>
  <c r="E2178" i="3" s="1"/>
  <c r="D2043" i="3"/>
  <c r="E2043" i="3" s="1"/>
  <c r="D2208" i="3"/>
  <c r="E2208" i="3" s="1"/>
  <c r="D1564" i="3"/>
  <c r="E1564" i="3" s="1"/>
  <c r="D1424" i="3"/>
  <c r="E1424" i="3" s="1"/>
  <c r="D1434" i="3"/>
  <c r="E1434" i="3" s="1"/>
  <c r="D1512" i="3"/>
  <c r="E1512" i="3" s="1"/>
  <c r="D1386" i="3"/>
  <c r="E1386" i="3" s="1"/>
  <c r="D2125" i="3"/>
  <c r="E2125" i="3" s="1"/>
  <c r="D1954" i="3"/>
  <c r="E1954" i="3" s="1"/>
  <c r="D1876" i="3"/>
  <c r="E1876" i="3" s="1"/>
  <c r="D1812" i="3"/>
  <c r="E1812" i="3" s="1"/>
  <c r="D1748" i="3"/>
  <c r="E1748" i="3" s="1"/>
  <c r="D1940" i="3"/>
  <c r="E1940" i="3" s="1"/>
  <c r="D2131" i="3"/>
  <c r="E2131" i="3" s="1"/>
  <c r="D2034" i="3"/>
  <c r="E2034" i="3" s="1"/>
  <c r="D1530" i="3"/>
  <c r="E1530" i="3" s="1"/>
  <c r="D1432" i="3"/>
  <c r="E1432" i="3" s="1"/>
  <c r="D1282" i="3"/>
  <c r="E1282" i="3" s="1"/>
  <c r="D1556" i="3"/>
  <c r="E1556" i="3" s="1"/>
  <c r="D1399" i="3"/>
  <c r="E1399" i="3" s="1"/>
  <c r="D1744" i="3"/>
  <c r="E1744" i="3" s="1"/>
  <c r="D1532" i="3"/>
  <c r="E1532" i="3" s="1"/>
  <c r="D1319" i="3"/>
  <c r="E1319" i="3" s="1"/>
  <c r="D1888" i="3"/>
  <c r="E1888" i="3" s="1"/>
  <c r="D1700" i="3"/>
  <c r="E1700" i="3" s="1"/>
  <c r="D1428" i="3"/>
  <c r="E1428" i="3" s="1"/>
  <c r="D1257" i="3"/>
  <c r="E1257" i="3" s="1"/>
  <c r="D1193" i="3"/>
  <c r="E1193" i="3" s="1"/>
  <c r="D1129" i="3"/>
  <c r="E1129" i="3" s="1"/>
  <c r="D1065" i="3"/>
  <c r="E1065" i="3" s="1"/>
  <c r="D1001" i="3"/>
  <c r="E1001" i="3" s="1"/>
  <c r="D937" i="3"/>
  <c r="E937" i="3" s="1"/>
  <c r="D1863" i="3"/>
  <c r="E1863" i="3" s="1"/>
  <c r="D1728" i="3"/>
  <c r="E1728" i="3" s="1"/>
  <c r="D1513" i="3"/>
  <c r="E1513" i="3" s="1"/>
  <c r="D1970" i="3"/>
  <c r="E1970" i="3" s="1"/>
  <c r="D1819" i="3"/>
  <c r="E1819" i="3" s="1"/>
  <c r="D1660" i="3"/>
  <c r="E1660" i="3" s="1"/>
  <c r="D1430" i="3"/>
  <c r="E1430" i="3" s="1"/>
  <c r="D1254" i="3"/>
  <c r="E1254" i="3" s="1"/>
  <c r="D1158" i="3"/>
  <c r="E1158" i="3" s="1"/>
  <c r="D1094" i="3"/>
  <c r="E1094" i="3" s="1"/>
  <c r="D998" i="3"/>
  <c r="E998" i="3" s="1"/>
  <c r="D934" i="3"/>
  <c r="E934" i="3" s="1"/>
  <c r="D1684" i="3"/>
  <c r="E1684" i="3" s="1"/>
  <c r="D1344" i="3"/>
  <c r="E1344" i="3" s="1"/>
  <c r="D1776" i="3"/>
  <c r="E1776" i="3" s="1"/>
  <c r="D1263" i="3"/>
  <c r="E1263" i="3" s="1"/>
  <c r="D1135" i="3"/>
  <c r="E1135" i="3" s="1"/>
  <c r="D1007" i="3"/>
  <c r="E1007" i="3" s="1"/>
  <c r="D869" i="3"/>
  <c r="E869" i="3" s="1"/>
  <c r="D1675" i="3"/>
  <c r="E1675" i="3" s="1"/>
  <c r="D1219" i="3"/>
  <c r="E1219" i="3" s="1"/>
  <c r="D1091" i="3"/>
  <c r="E1091" i="3" s="1"/>
  <c r="D963" i="3"/>
  <c r="E963" i="3" s="1"/>
  <c r="D762" i="3"/>
  <c r="E762" i="3" s="1"/>
  <c r="D1584" i="3"/>
  <c r="E1584" i="3" s="1"/>
  <c r="D1324" i="3"/>
  <c r="E1324" i="3" s="1"/>
  <c r="D1197" i="3"/>
  <c r="E1197" i="3" s="1"/>
  <c r="D1069" i="3"/>
  <c r="E1069" i="3" s="1"/>
  <c r="D846" i="3"/>
  <c r="E846" i="3" s="1"/>
  <c r="D1384" i="3"/>
  <c r="E1384" i="3" s="1"/>
  <c r="D1900" i="3"/>
  <c r="E1900" i="3" s="1"/>
  <c r="D1505" i="3"/>
  <c r="E1505" i="3" s="1"/>
  <c r="D1259" i="3"/>
  <c r="E1259" i="3" s="1"/>
  <c r="D1131" i="3"/>
  <c r="E1131" i="3" s="1"/>
  <c r="D1003" i="3"/>
  <c r="E1003" i="3" s="1"/>
  <c r="D814" i="3"/>
  <c r="E814" i="3" s="1"/>
  <c r="D1740" i="3"/>
  <c r="E1740" i="3" s="1"/>
  <c r="D1077" i="3"/>
  <c r="E1077" i="3" s="1"/>
  <c r="D810" i="3"/>
  <c r="E810" i="3" s="1"/>
  <c r="D616" i="3"/>
  <c r="E616" i="3" s="1"/>
  <c r="D543" i="3"/>
  <c r="E543" i="3" s="1"/>
  <c r="D479" i="3"/>
  <c r="E479" i="3" s="1"/>
  <c r="D415" i="3"/>
  <c r="E415" i="3" s="1"/>
  <c r="D314" i="3"/>
  <c r="E314" i="3" s="1"/>
  <c r="D1287" i="3"/>
  <c r="E1287" i="3" s="1"/>
  <c r="D968" i="3"/>
  <c r="E968" i="3" s="1"/>
  <c r="D774" i="3"/>
  <c r="E774" i="3" s="1"/>
  <c r="D354" i="3"/>
  <c r="E354" i="3" s="1"/>
  <c r="D1109" i="3"/>
  <c r="E1109" i="3" s="1"/>
  <c r="D866" i="3"/>
  <c r="E866" i="3" s="1"/>
  <c r="D723" i="3"/>
  <c r="E723" i="3" s="1"/>
  <c r="D322" i="3"/>
  <c r="E322" i="3" s="1"/>
  <c r="D1061" i="3"/>
  <c r="E1061" i="3" s="1"/>
  <c r="D813" i="3"/>
  <c r="E813" i="3" s="1"/>
  <c r="D594" i="3"/>
  <c r="E594" i="3" s="1"/>
  <c r="D530" i="3"/>
  <c r="E530" i="3" s="1"/>
  <c r="D1292" i="3"/>
  <c r="E1292" i="3" s="1"/>
  <c r="D1047" i="3"/>
  <c r="E1047" i="3" s="1"/>
  <c r="D790" i="3"/>
  <c r="E790" i="3" s="1"/>
  <c r="D663" i="3"/>
  <c r="E663" i="3" s="1"/>
  <c r="D1200" i="3"/>
  <c r="E1200" i="3" s="1"/>
  <c r="D944" i="3"/>
  <c r="E944" i="3" s="1"/>
  <c r="D801" i="3"/>
  <c r="E801" i="3" s="1"/>
  <c r="D626" i="3"/>
  <c r="E626" i="3" s="1"/>
  <c r="D1112" i="3"/>
  <c r="E1112" i="3" s="1"/>
  <c r="D806" i="3"/>
  <c r="E806" i="3" s="1"/>
  <c r="D617" i="3"/>
  <c r="E617" i="3" s="1"/>
  <c r="D1125" i="3"/>
  <c r="E1125" i="3" s="1"/>
  <c r="D837" i="3"/>
  <c r="E837" i="3" s="1"/>
  <c r="D687" i="3"/>
  <c r="E687" i="3" s="1"/>
  <c r="D568" i="3"/>
  <c r="E568" i="3" s="1"/>
  <c r="D504" i="3"/>
  <c r="E504" i="3" s="1"/>
  <c r="D440" i="3"/>
  <c r="E440" i="3" s="1"/>
  <c r="D888" i="3"/>
  <c r="E888" i="3" s="1"/>
  <c r="D502" i="3"/>
  <c r="E502" i="3" s="1"/>
  <c r="D308" i="3"/>
  <c r="E308" i="3" s="1"/>
  <c r="D238" i="3"/>
  <c r="E238" i="3" s="1"/>
  <c r="D174" i="3"/>
  <c r="E174" i="3" s="1"/>
  <c r="D110" i="3"/>
  <c r="E110" i="3" s="1"/>
  <c r="D46" i="3"/>
  <c r="E46" i="3" s="1"/>
  <c r="D2560" i="2"/>
  <c r="E2560" i="2" s="1"/>
  <c r="D548" i="3"/>
  <c r="E548" i="3" s="1"/>
  <c r="D366" i="3"/>
  <c r="E366" i="3" s="1"/>
  <c r="D2720" i="2"/>
  <c r="E2720" i="2" s="1"/>
  <c r="D2592" i="2"/>
  <c r="E2592" i="2" s="1"/>
  <c r="D396" i="3"/>
  <c r="E396" i="3" s="1"/>
  <c r="D265" i="3"/>
  <c r="E265" i="3" s="1"/>
  <c r="D201" i="3"/>
  <c r="E201" i="3" s="1"/>
  <c r="D137" i="3"/>
  <c r="E137" i="3" s="1"/>
  <c r="D73" i="3"/>
  <c r="E73" i="3" s="1"/>
  <c r="D9" i="3"/>
  <c r="E9" i="3" s="1"/>
  <c r="D590" i="3"/>
  <c r="E590" i="3" s="1"/>
  <c r="D418" i="3"/>
  <c r="E418" i="3" s="1"/>
  <c r="D534" i="3"/>
  <c r="E534" i="3" s="1"/>
  <c r="D359" i="3"/>
  <c r="E359" i="3" s="1"/>
  <c r="D260" i="3"/>
  <c r="E260" i="3" s="1"/>
  <c r="D196" i="3"/>
  <c r="E196" i="3" s="1"/>
  <c r="D84" i="3"/>
  <c r="E84" i="3" s="1"/>
  <c r="D883" i="3"/>
  <c r="E883" i="3" s="1"/>
  <c r="D388" i="3"/>
  <c r="E388" i="3" s="1"/>
  <c r="D706" i="3"/>
  <c r="E706" i="3" s="1"/>
  <c r="D428" i="3"/>
  <c r="E428" i="3" s="1"/>
  <c r="D657" i="3"/>
  <c r="E657" i="3" s="1"/>
  <c r="D386" i="3"/>
  <c r="E386" i="3" s="1"/>
  <c r="D3" i="3"/>
  <c r="E3" i="3" s="1"/>
  <c r="D2709" i="2"/>
  <c r="E2709" i="2" s="1"/>
  <c r="D2645" i="2"/>
  <c r="E2645" i="2" s="1"/>
  <c r="D2582" i="2"/>
  <c r="E2582" i="2" s="1"/>
  <c r="D120" i="3"/>
  <c r="E120" i="3" s="1"/>
  <c r="D56" i="3"/>
  <c r="E56" i="3" s="1"/>
  <c r="D2759" i="2"/>
  <c r="E2759" i="2" s="1"/>
  <c r="D2274" i="2"/>
  <c r="E2274" i="2" s="1"/>
  <c r="D2186" i="2"/>
  <c r="E2186" i="2" s="1"/>
  <c r="D2106" i="2"/>
  <c r="E2106" i="2" s="1"/>
  <c r="D2758" i="2"/>
  <c r="E2758" i="2" s="1"/>
  <c r="D2598" i="2"/>
  <c r="E2598" i="2" s="1"/>
  <c r="D269" i="3"/>
  <c r="E269" i="3" s="1"/>
  <c r="D205" i="3"/>
  <c r="E205" i="3" s="1"/>
  <c r="D141" i="3"/>
  <c r="E141" i="3" s="1"/>
  <c r="D77" i="3"/>
  <c r="E77" i="3" s="1"/>
  <c r="D13" i="3"/>
  <c r="E13" i="3" s="1"/>
  <c r="D2525" i="2"/>
  <c r="E2525" i="2" s="1"/>
  <c r="D2421" i="2"/>
  <c r="E2421" i="2" s="1"/>
  <c r="D2285" i="2"/>
  <c r="E2285" i="2" s="1"/>
  <c r="D2117" i="2"/>
  <c r="E2117" i="2" s="1"/>
  <c r="D340" i="3"/>
  <c r="E340" i="3" s="1"/>
  <c r="D2540" i="2"/>
  <c r="E2540" i="2" s="1"/>
  <c r="D2476" i="2"/>
  <c r="E2476" i="2" s="1"/>
  <c r="D2412" i="2"/>
  <c r="E2412" i="2" s="1"/>
  <c r="D2348" i="2"/>
  <c r="E2348" i="2" s="1"/>
  <c r="D2284" i="2"/>
  <c r="E2284" i="2" s="1"/>
  <c r="D2220" i="2"/>
  <c r="E2220" i="2" s="1"/>
  <c r="D2156" i="2"/>
  <c r="E2156" i="2" s="1"/>
  <c r="D283" i="3"/>
  <c r="E283" i="3" s="1"/>
  <c r="D219" i="3"/>
  <c r="E219" i="3" s="1"/>
  <c r="D155" i="3"/>
  <c r="E155" i="3" s="1"/>
  <c r="D91" i="3"/>
  <c r="E91" i="3" s="1"/>
  <c r="D27" i="3"/>
  <c r="E27" i="3" s="1"/>
  <c r="D2622" i="2"/>
  <c r="E2622" i="2" s="1"/>
  <c r="D2511" i="2"/>
  <c r="E2511" i="2" s="1"/>
  <c r="D2383" i="2"/>
  <c r="E2383" i="2" s="1"/>
  <c r="D2319" i="2"/>
  <c r="E2319" i="2" s="1"/>
  <c r="D2255" i="2"/>
  <c r="E2255" i="2" s="1"/>
  <c r="D2191" i="2"/>
  <c r="E2191" i="2" s="1"/>
  <c r="D2119" i="2"/>
  <c r="E2119" i="2" s="1"/>
  <c r="D449" i="3"/>
  <c r="E449" i="3" s="1"/>
  <c r="D2767" i="2"/>
  <c r="E2767" i="2" s="1"/>
  <c r="D2185" i="2"/>
  <c r="E2185" i="2" s="1"/>
  <c r="D2305" i="2"/>
  <c r="E2305" i="2" s="1"/>
  <c r="D1979" i="2"/>
  <c r="E1979" i="2" s="1"/>
  <c r="D1915" i="2"/>
  <c r="E1915" i="2" s="1"/>
  <c r="D1851" i="2"/>
  <c r="E1851" i="2" s="1"/>
  <c r="D1787" i="2"/>
  <c r="E1787" i="2" s="1"/>
  <c r="D1723" i="2"/>
  <c r="E1723" i="2" s="1"/>
  <c r="D1659" i="2"/>
  <c r="E1659" i="2" s="1"/>
  <c r="D1595" i="2"/>
  <c r="E1595" i="2" s="1"/>
  <c r="D1531" i="2"/>
  <c r="E1531" i="2" s="1"/>
  <c r="D1467" i="2"/>
  <c r="E1467" i="2" s="1"/>
  <c r="D1403" i="2"/>
  <c r="E1403" i="2" s="1"/>
  <c r="D1339" i="2"/>
  <c r="E1339" i="2" s="1"/>
  <c r="D1275" i="2"/>
  <c r="E1275" i="2" s="1"/>
  <c r="D2169" i="2"/>
  <c r="E2169" i="2" s="1"/>
  <c r="D2161" i="2"/>
  <c r="E2161" i="2" s="1"/>
  <c r="D2019" i="2"/>
  <c r="E2019" i="2" s="1"/>
  <c r="D1942" i="2"/>
  <c r="E1942" i="2" s="1"/>
  <c r="D1878" i="2"/>
  <c r="E1878" i="2" s="1"/>
  <c r="D1814" i="2"/>
  <c r="E1814" i="2" s="1"/>
  <c r="D1750" i="2"/>
  <c r="E1750" i="2" s="1"/>
  <c r="D2682" i="2"/>
  <c r="E2682" i="2" s="1"/>
  <c r="D2217" i="2"/>
  <c r="E2217" i="2" s="1"/>
  <c r="D2537" i="2"/>
  <c r="E2537" i="2" s="1"/>
  <c r="D2473" i="2"/>
  <c r="E2473" i="2" s="1"/>
  <c r="D2409" i="2"/>
  <c r="E2409" i="2" s="1"/>
  <c r="D2345" i="2"/>
  <c r="E2345" i="2" s="1"/>
  <c r="D2003" i="2"/>
  <c r="E2003" i="2" s="1"/>
  <c r="D2671" i="2"/>
  <c r="E2671" i="2" s="1"/>
  <c r="D2193" i="2"/>
  <c r="E2193" i="2" s="1"/>
  <c r="D2027" i="2"/>
  <c r="E2027" i="2" s="1"/>
  <c r="D1746" i="2"/>
  <c r="E1746" i="2" s="1"/>
  <c r="D1152" i="2"/>
  <c r="E1152" i="2" s="1"/>
  <c r="D1016" i="2"/>
  <c r="E1016" i="2" s="1"/>
  <c r="D1917" i="2"/>
  <c r="E1917" i="2" s="1"/>
  <c r="D1853" i="2"/>
  <c r="E1853" i="2" s="1"/>
  <c r="D1662" i="2"/>
  <c r="E1662" i="2" s="1"/>
  <c r="D1582" i="2"/>
  <c r="E1582" i="2" s="1"/>
  <c r="D1502" i="2"/>
  <c r="E1502" i="2" s="1"/>
  <c r="D1433" i="2"/>
  <c r="E1433" i="2" s="1"/>
  <c r="D1369" i="2"/>
  <c r="E1369" i="2" s="1"/>
  <c r="D1289" i="2"/>
  <c r="E1289" i="2" s="1"/>
  <c r="D1030" i="2"/>
  <c r="E1030" i="2" s="1"/>
  <c r="D1706" i="2"/>
  <c r="E1706" i="2" s="1"/>
  <c r="D952" i="2"/>
  <c r="E952" i="2" s="1"/>
  <c r="D1725" i="2"/>
  <c r="E1725" i="2" s="1"/>
  <c r="D990" i="2"/>
  <c r="E990" i="2" s="1"/>
  <c r="D1986" i="2"/>
  <c r="E1986" i="2" s="1"/>
  <c r="D1922" i="2"/>
  <c r="E1922" i="2" s="1"/>
  <c r="D1858" i="2"/>
  <c r="E1858" i="2" s="1"/>
  <c r="D1216" i="2"/>
  <c r="E1216" i="2" s="1"/>
  <c r="D1134" i="2"/>
  <c r="E1134" i="2" s="1"/>
  <c r="D1842" i="2"/>
  <c r="E1842" i="2" s="1"/>
  <c r="D1654" i="2"/>
  <c r="E1654" i="2" s="1"/>
  <c r="D1590" i="2"/>
  <c r="E1590" i="2" s="1"/>
  <c r="D1521" i="2"/>
  <c r="E1521" i="2" s="1"/>
  <c r="D1441" i="2"/>
  <c r="E1441" i="2" s="1"/>
  <c r="D1377" i="2"/>
  <c r="E1377" i="2" s="1"/>
  <c r="D1297" i="2"/>
  <c r="E1297" i="2" s="1"/>
  <c r="D1078" i="2"/>
  <c r="E1078" i="2" s="1"/>
  <c r="D1754" i="2"/>
  <c r="E1754" i="2" s="1"/>
  <c r="D1702" i="2"/>
  <c r="E1702" i="2" s="1"/>
  <c r="D1038" i="2"/>
  <c r="E1038" i="2" s="1"/>
  <c r="D862" i="2"/>
  <c r="E862" i="2" s="1"/>
  <c r="D986" i="2"/>
  <c r="E986" i="2" s="1"/>
  <c r="D802" i="2"/>
  <c r="E802" i="2" s="1"/>
  <c r="D1661" i="2"/>
  <c r="E1661" i="2" s="1"/>
  <c r="D1533" i="2"/>
  <c r="E1533" i="2" s="1"/>
  <c r="D1405" i="2"/>
  <c r="E1405" i="2" s="1"/>
  <c r="D1277" i="2"/>
  <c r="E1277" i="2" s="1"/>
  <c r="D1157" i="2"/>
  <c r="E1157" i="2" s="1"/>
  <c r="D972" i="2"/>
  <c r="E972" i="2" s="1"/>
  <c r="D605" i="2"/>
  <c r="E605" i="2" s="1"/>
  <c r="D533" i="2"/>
  <c r="E533" i="2" s="1"/>
  <c r="D461" i="2"/>
  <c r="E461" i="2" s="1"/>
  <c r="D389" i="2"/>
  <c r="E389" i="2" s="1"/>
  <c r="D325" i="2"/>
  <c r="E325" i="2" s="1"/>
  <c r="D245" i="2"/>
  <c r="E245" i="2" s="1"/>
  <c r="D149" i="2"/>
  <c r="E149" i="2" s="1"/>
  <c r="D1141" i="2"/>
  <c r="E1141" i="2" s="1"/>
  <c r="D978" i="2"/>
  <c r="E978" i="2" s="1"/>
  <c r="D852" i="2"/>
  <c r="E852" i="2" s="1"/>
  <c r="D810" i="2"/>
  <c r="E810" i="2" s="1"/>
  <c r="D1119" i="2"/>
  <c r="E1119" i="2" s="1"/>
  <c r="D903" i="2"/>
  <c r="E903" i="2" s="1"/>
  <c r="D1698" i="2"/>
  <c r="E1698" i="2" s="1"/>
  <c r="D1570" i="2"/>
  <c r="E1570" i="2" s="1"/>
  <c r="D1442" i="2"/>
  <c r="E1442" i="2" s="1"/>
  <c r="D1314" i="2"/>
  <c r="E1314" i="2" s="1"/>
  <c r="D1154" i="2"/>
  <c r="E1154" i="2" s="1"/>
  <c r="D989" i="2"/>
  <c r="E989" i="2" s="1"/>
  <c r="D786" i="2"/>
  <c r="E786" i="2" s="1"/>
  <c r="D528" i="2"/>
  <c r="E528" i="2" s="1"/>
  <c r="D416" i="2"/>
  <c r="E416" i="2" s="1"/>
  <c r="D344" i="2"/>
  <c r="E344" i="2" s="1"/>
  <c r="D272" i="2"/>
  <c r="E272" i="2" s="1"/>
  <c r="D1117" i="2"/>
  <c r="E1117" i="2" s="1"/>
  <c r="D941" i="2"/>
  <c r="E941" i="2" s="1"/>
  <c r="D695" i="2"/>
  <c r="E695" i="2" s="1"/>
  <c r="D631" i="2"/>
  <c r="E631" i="2" s="1"/>
  <c r="D567" i="2"/>
  <c r="E567" i="2" s="1"/>
  <c r="D503" i="2"/>
  <c r="E503" i="2" s="1"/>
  <c r="D439" i="2"/>
  <c r="E439" i="2" s="1"/>
  <c r="D375" i="2"/>
  <c r="E375" i="2" s="1"/>
  <c r="D311" i="2"/>
  <c r="E311" i="2" s="1"/>
  <c r="D247" i="2"/>
  <c r="E247" i="2" s="1"/>
  <c r="D1082" i="2"/>
  <c r="E1082" i="2" s="1"/>
  <c r="D866" i="2"/>
  <c r="E866" i="2" s="1"/>
  <c r="D823" i="2"/>
  <c r="E823" i="2" s="1"/>
  <c r="D716" i="2"/>
  <c r="E716" i="2" s="1"/>
  <c r="D1159" i="2"/>
  <c r="E1159" i="2" s="1"/>
  <c r="D960" i="2"/>
  <c r="E960" i="2" s="1"/>
  <c r="D775" i="2"/>
  <c r="E775" i="2" s="1"/>
  <c r="D658" i="2"/>
  <c r="E658" i="2" s="1"/>
  <c r="D594" i="2"/>
  <c r="E594" i="2" s="1"/>
  <c r="D530" i="2"/>
  <c r="E530" i="2" s="1"/>
  <c r="D466" i="2"/>
  <c r="E466" i="2" s="1"/>
  <c r="D402" i="2"/>
  <c r="E402" i="2" s="1"/>
  <c r="D338" i="2"/>
  <c r="E338" i="2" s="1"/>
  <c r="D274" i="2"/>
  <c r="E274" i="2" s="1"/>
  <c r="D210" i="2"/>
  <c r="E210" i="2" s="1"/>
  <c r="D146" i="2"/>
  <c r="E146" i="2" s="1"/>
  <c r="D830" i="2"/>
  <c r="E830" i="2" s="1"/>
  <c r="D726" i="2"/>
  <c r="E726" i="2" s="1"/>
  <c r="D877" i="2"/>
  <c r="E877" i="2" s="1"/>
  <c r="D82" i="2"/>
  <c r="E82" i="2" s="1"/>
  <c r="D652" i="2"/>
  <c r="E652" i="2" s="1"/>
  <c r="D588" i="2"/>
  <c r="E588" i="2" s="1"/>
  <c r="D524" i="2"/>
  <c r="E524" i="2" s="1"/>
  <c r="D460" i="2"/>
  <c r="E460" i="2" s="1"/>
  <c r="D396" i="2"/>
  <c r="E396" i="2" s="1"/>
  <c r="D332" i="2"/>
  <c r="E332" i="2" s="1"/>
  <c r="D268" i="2"/>
  <c r="E268" i="2" s="1"/>
  <c r="D204" i="2"/>
  <c r="E204" i="2" s="1"/>
  <c r="D183" i="2"/>
  <c r="E183" i="2" s="1"/>
  <c r="D68" i="2"/>
  <c r="E68" i="2" s="1"/>
  <c r="D188" i="2"/>
  <c r="E188" i="2" s="1"/>
  <c r="D42" i="2"/>
  <c r="E42" i="2" s="1"/>
  <c r="D721" i="2"/>
  <c r="E721" i="2" s="1"/>
  <c r="D129" i="2"/>
  <c r="E129" i="2" s="1"/>
  <c r="D31" i="2"/>
  <c r="E31" i="2" s="1"/>
  <c r="D175" i="2"/>
  <c r="E175" i="2" s="1"/>
  <c r="D128" i="2"/>
  <c r="E128" i="2" s="1"/>
  <c r="D86" i="2"/>
  <c r="E86" i="2" s="1"/>
  <c r="D33" i="2"/>
  <c r="E33" i="2" s="1"/>
  <c r="D2373" i="1"/>
  <c r="E2373" i="1" s="1"/>
  <c r="D2501" i="1"/>
  <c r="E2501" i="1" s="1"/>
  <c r="D2629" i="1"/>
  <c r="E2629" i="1" s="1"/>
  <c r="D2757" i="1"/>
  <c r="E2757" i="1" s="1"/>
  <c r="D1844" i="1"/>
  <c r="E1844" i="1" s="1"/>
  <c r="D1972" i="1"/>
  <c r="E1972" i="1" s="1"/>
  <c r="D1421" i="1"/>
  <c r="E1421" i="1" s="1"/>
  <c r="D1549" i="1"/>
  <c r="E1549" i="1" s="1"/>
  <c r="D1677" i="1"/>
  <c r="E1677" i="1" s="1"/>
  <c r="D1805" i="1"/>
  <c r="E1805" i="1" s="1"/>
  <c r="D1933" i="1"/>
  <c r="E1933" i="1" s="1"/>
  <c r="D2061" i="1"/>
  <c r="E2061" i="1" s="1"/>
  <c r="D1994" i="1"/>
  <c r="E1994" i="1" s="1"/>
  <c r="D2122" i="1"/>
  <c r="E2122" i="1" s="1"/>
  <c r="D2250" i="1"/>
  <c r="E2250" i="1" s="1"/>
  <c r="D2378" i="1"/>
  <c r="E2378" i="1" s="1"/>
  <c r="D2506" i="1"/>
  <c r="E2506" i="1" s="1"/>
  <c r="D2634" i="1"/>
  <c r="E2634" i="1" s="1"/>
  <c r="D2762" i="1"/>
  <c r="E2762" i="1" s="1"/>
  <c r="D2196" i="1"/>
  <c r="E2196" i="1" s="1"/>
  <c r="D2324" i="1"/>
  <c r="E2324" i="1" s="1"/>
  <c r="D2452" i="1"/>
  <c r="E2452" i="1" s="1"/>
  <c r="D2580" i="1"/>
  <c r="E2580" i="1" s="1"/>
  <c r="D2708" i="1"/>
  <c r="E2708" i="1" s="1"/>
  <c r="D2157" i="1"/>
  <c r="E2157" i="1" s="1"/>
  <c r="D2285" i="1"/>
  <c r="E2285" i="1" s="1"/>
  <c r="D2413" i="1"/>
  <c r="E2413" i="1" s="1"/>
  <c r="D2541" i="1"/>
  <c r="E2541" i="1" s="1"/>
  <c r="D2669" i="1"/>
  <c r="E2669" i="1" s="1"/>
  <c r="D2716" i="1"/>
  <c r="E2716" i="1" s="1"/>
  <c r="D2165" i="1"/>
  <c r="E2165" i="1" s="1"/>
  <c r="D2293" i="1"/>
  <c r="E2293" i="1" s="1"/>
  <c r="D2421" i="1"/>
  <c r="E2421" i="1" s="1"/>
  <c r="D2549" i="1"/>
  <c r="E2549" i="1" s="1"/>
  <c r="D2677" i="1"/>
  <c r="E2677" i="1" s="1"/>
  <c r="D160" i="1"/>
  <c r="E160" i="1" s="1"/>
  <c r="D1988" i="1"/>
  <c r="E1988" i="1" s="1"/>
  <c r="D1437" i="1"/>
  <c r="E1437" i="1" s="1"/>
  <c r="D1565" i="1"/>
  <c r="E1565" i="1" s="1"/>
  <c r="D1693" i="1"/>
  <c r="E1693" i="1" s="1"/>
  <c r="D1821" i="1"/>
  <c r="E1821" i="1" s="1"/>
  <c r="D675" i="1"/>
  <c r="E675" i="1" s="1"/>
  <c r="D739" i="1"/>
  <c r="E739" i="1" s="1"/>
  <c r="D105" i="1"/>
  <c r="E105" i="1" s="1"/>
  <c r="D73" i="1"/>
  <c r="E73" i="1" s="1"/>
  <c r="D48" i="1"/>
  <c r="E48" i="1" s="1"/>
  <c r="D2764" i="1"/>
  <c r="E2764" i="1" s="1"/>
  <c r="D128" i="1"/>
  <c r="E128" i="1" s="1"/>
  <c r="D2725" i="1"/>
  <c r="E2725" i="1" s="1"/>
  <c r="D2661" i="1"/>
  <c r="E2661" i="1" s="1"/>
  <c r="D2597" i="1"/>
  <c r="E2597" i="1" s="1"/>
  <c r="D2533" i="1"/>
  <c r="E2533" i="1" s="1"/>
  <c r="D2469" i="1"/>
  <c r="E2469" i="1" s="1"/>
  <c r="D2405" i="1"/>
  <c r="E2405" i="1" s="1"/>
  <c r="D2341" i="1"/>
  <c r="E2341" i="1" s="1"/>
  <c r="D2277" i="1"/>
  <c r="E2277" i="1" s="1"/>
  <c r="D2213" i="1"/>
  <c r="E2213" i="1" s="1"/>
  <c r="D2149" i="1"/>
  <c r="E2149" i="1" s="1"/>
  <c r="D2085" i="1"/>
  <c r="E2085" i="1" s="1"/>
  <c r="D2700" i="1"/>
  <c r="E2700" i="1" s="1"/>
  <c r="D2636" i="1"/>
  <c r="E2636" i="1" s="1"/>
  <c r="D2572" i="1"/>
  <c r="E2572" i="1" s="1"/>
  <c r="D2508" i="1"/>
  <c r="E2508" i="1" s="1"/>
  <c r="D2444" i="1"/>
  <c r="E2444" i="1" s="1"/>
  <c r="D2380" i="1"/>
  <c r="E2380" i="1" s="1"/>
  <c r="D2316" i="1"/>
  <c r="E2316" i="1" s="1"/>
  <c r="D2252" i="1"/>
  <c r="E2252" i="1" s="1"/>
  <c r="D2188" i="1"/>
  <c r="E2188" i="1" s="1"/>
  <c r="D2124" i="1"/>
  <c r="E2124" i="1" s="1"/>
  <c r="D2754" i="1"/>
  <c r="E2754" i="1" s="1"/>
  <c r="D2690" i="1"/>
  <c r="E2690" i="1" s="1"/>
  <c r="D2626" i="1"/>
  <c r="E2626" i="1" s="1"/>
  <c r="D2562" i="1"/>
  <c r="E2562" i="1" s="1"/>
  <c r="D2498" i="1"/>
  <c r="E2498" i="1" s="1"/>
  <c r="D2434" i="1"/>
  <c r="E2434" i="1" s="1"/>
  <c r="D2370" i="1"/>
  <c r="E2370" i="1" s="1"/>
  <c r="D2306" i="1"/>
  <c r="E2306" i="1" s="1"/>
  <c r="D2242" i="1"/>
  <c r="E2242" i="1" s="1"/>
  <c r="D2178" i="1"/>
  <c r="E2178" i="1" s="1"/>
  <c r="D2114" i="1"/>
  <c r="E2114" i="1" s="1"/>
  <c r="D2050" i="1"/>
  <c r="E2050" i="1" s="1"/>
  <c r="D1986" i="1"/>
  <c r="E1986" i="1" s="1"/>
  <c r="D20" i="1"/>
  <c r="E20" i="1" s="1"/>
  <c r="D2053" i="1"/>
  <c r="E2053" i="1" s="1"/>
  <c r="D1989" i="1"/>
  <c r="E1989" i="1" s="1"/>
  <c r="D1925" i="1"/>
  <c r="E1925" i="1" s="1"/>
  <c r="D1861" i="1"/>
  <c r="E1861" i="1" s="1"/>
  <c r="D1797" i="1"/>
  <c r="E1797" i="1" s="1"/>
  <c r="D1733" i="1"/>
  <c r="E1733" i="1" s="1"/>
  <c r="D1669" i="1"/>
  <c r="E1669" i="1" s="1"/>
  <c r="D1605" i="1"/>
  <c r="E1605" i="1" s="1"/>
  <c r="D1541" i="1"/>
  <c r="E1541" i="1" s="1"/>
  <c r="D1477" i="1"/>
  <c r="E1477" i="1" s="1"/>
  <c r="D1413" i="1"/>
  <c r="E1413" i="1" s="1"/>
  <c r="D2028" i="1"/>
  <c r="E2028" i="1" s="1"/>
  <c r="D1964" i="1"/>
  <c r="E1964" i="1" s="1"/>
  <c r="D1900" i="1"/>
  <c r="E1900" i="1" s="1"/>
  <c r="D1836" i="1"/>
  <c r="E1836" i="1" s="1"/>
  <c r="D1772" i="1"/>
  <c r="E1772" i="1" s="1"/>
  <c r="D1708" i="1"/>
  <c r="E1708" i="1" s="1"/>
  <c r="D1644" i="1"/>
  <c r="E1644" i="1" s="1"/>
  <c r="D1580" i="1"/>
  <c r="E1580" i="1" s="1"/>
  <c r="D1516" i="1"/>
  <c r="E1516" i="1" s="1"/>
  <c r="D2715" i="1"/>
  <c r="E2715" i="1" s="1"/>
  <c r="D2651" i="1"/>
  <c r="E2651" i="1" s="1"/>
  <c r="D2587" i="1"/>
  <c r="E2587" i="1" s="1"/>
  <c r="D2523" i="1"/>
  <c r="E2523" i="1" s="1"/>
  <c r="D2459" i="1"/>
  <c r="E2459" i="1" s="1"/>
  <c r="D2395" i="1"/>
  <c r="E2395" i="1" s="1"/>
  <c r="D2331" i="1"/>
  <c r="E2331" i="1" s="1"/>
  <c r="D2267" i="1"/>
  <c r="E2267" i="1" s="1"/>
  <c r="D2203" i="1"/>
  <c r="E2203" i="1" s="1"/>
  <c r="D2139" i="1"/>
  <c r="E2139" i="1" s="1"/>
  <c r="D2075" i="1"/>
  <c r="E2075" i="1" s="1"/>
  <c r="D2011" i="1"/>
  <c r="E2011" i="1" s="1"/>
  <c r="D1914" i="1"/>
  <c r="E1914" i="1" s="1"/>
  <c r="D1850" i="1"/>
  <c r="E1850" i="1" s="1"/>
  <c r="D1786" i="1"/>
  <c r="E1786" i="1" s="1"/>
  <c r="D1722" i="1"/>
  <c r="E1722" i="1" s="1"/>
  <c r="D1658" i="1"/>
  <c r="E1658" i="1" s="1"/>
  <c r="D1594" i="1"/>
  <c r="E1594" i="1" s="1"/>
  <c r="D1530" i="1"/>
  <c r="E1530" i="1" s="1"/>
  <c r="D1466" i="1"/>
  <c r="E1466" i="1" s="1"/>
  <c r="D1402" i="1"/>
  <c r="E1402" i="1" s="1"/>
  <c r="D1338" i="1"/>
  <c r="E1338" i="1" s="1"/>
  <c r="D1274" i="1"/>
  <c r="E1274" i="1" s="1"/>
  <c r="D2721" i="1"/>
  <c r="E2721" i="1" s="1"/>
  <c r="D2657" i="1"/>
  <c r="E2657" i="1" s="1"/>
  <c r="D2585" i="1"/>
  <c r="E2585" i="1" s="1"/>
  <c r="D2521" i="1"/>
  <c r="E2521" i="1" s="1"/>
  <c r="D2457" i="1"/>
  <c r="E2457" i="1" s="1"/>
  <c r="D2393" i="1"/>
  <c r="E2393" i="1" s="1"/>
  <c r="D2329" i="1"/>
  <c r="E2329" i="1" s="1"/>
  <c r="D2265" i="1"/>
  <c r="E2265" i="1" s="1"/>
  <c r="D2201" i="1"/>
  <c r="E2201" i="1" s="1"/>
  <c r="D2720" i="1"/>
  <c r="E2720" i="1" s="1"/>
  <c r="D2751" i="1"/>
  <c r="E2751" i="1" s="1"/>
  <c r="D2687" i="1"/>
  <c r="E2687" i="1" s="1"/>
  <c r="D2718" i="1"/>
  <c r="E2718" i="1" s="1"/>
  <c r="D1373" i="1"/>
  <c r="E1373" i="1" s="1"/>
  <c r="D1309" i="1"/>
  <c r="E1309" i="1" s="1"/>
  <c r="D1500" i="1"/>
  <c r="E1500" i="1" s="1"/>
  <c r="D1436" i="1"/>
  <c r="E1436" i="1" s="1"/>
  <c r="D1915" i="1"/>
  <c r="E1915" i="1" s="1"/>
  <c r="D1851" i="1"/>
  <c r="E1851" i="1" s="1"/>
  <c r="D1787" i="1"/>
  <c r="E1787" i="1" s="1"/>
  <c r="D1723" i="1"/>
  <c r="E1723" i="1" s="1"/>
  <c r="D1659" i="1"/>
  <c r="E1659" i="1" s="1"/>
  <c r="D1595" i="1"/>
  <c r="E1595" i="1" s="1"/>
  <c r="D1531" i="1"/>
  <c r="E1531" i="1" s="1"/>
  <c r="D1467" i="1"/>
  <c r="E1467" i="1" s="1"/>
  <c r="D1403" i="1"/>
  <c r="E1403" i="1" s="1"/>
  <c r="D1339" i="1"/>
  <c r="E1339" i="1" s="1"/>
  <c r="D1242" i="1"/>
  <c r="E1242" i="1" s="1"/>
  <c r="D1178" i="1"/>
  <c r="E1178" i="1" s="1"/>
  <c r="D1114" i="1"/>
  <c r="E1114" i="1" s="1"/>
  <c r="D2185" i="1"/>
  <c r="E2185" i="1" s="1"/>
  <c r="D2121" i="1"/>
  <c r="E2121" i="1" s="1"/>
  <c r="D2057" i="1"/>
  <c r="E2057" i="1" s="1"/>
  <c r="D1993" i="1"/>
  <c r="E1993" i="1" s="1"/>
  <c r="D2632" i="1"/>
  <c r="E2632" i="1" s="1"/>
  <c r="D2568" i="1"/>
  <c r="E2568" i="1" s="1"/>
  <c r="D2504" i="1"/>
  <c r="E2504" i="1" s="1"/>
  <c r="D2440" i="1"/>
  <c r="E2440" i="1" s="1"/>
  <c r="D2376" i="1"/>
  <c r="E2376" i="1" s="1"/>
  <c r="D2312" i="1"/>
  <c r="E2312" i="1" s="1"/>
  <c r="D2248" i="1"/>
  <c r="E2248" i="1" s="1"/>
  <c r="D2184" i="1"/>
  <c r="E2184" i="1" s="1"/>
  <c r="D2120" i="1"/>
  <c r="E2120" i="1" s="1"/>
  <c r="D2056" i="1"/>
  <c r="E2056" i="1" s="1"/>
  <c r="D1992" i="1"/>
  <c r="E1992" i="1" s="1"/>
  <c r="D2623" i="1"/>
  <c r="E2623" i="1" s="1"/>
  <c r="D2559" i="1"/>
  <c r="E2559" i="1" s="1"/>
  <c r="D2495" i="1"/>
  <c r="E2495" i="1" s="1"/>
  <c r="D2431" i="1"/>
  <c r="E2431" i="1" s="1"/>
  <c r="D2367" i="1"/>
  <c r="E2367" i="1" s="1"/>
  <c r="D2303" i="1"/>
  <c r="E2303" i="1" s="1"/>
  <c r="D2239" i="1"/>
  <c r="E2239" i="1" s="1"/>
  <c r="D2175" i="1"/>
  <c r="E2175" i="1" s="1"/>
  <c r="D2111" i="1"/>
  <c r="E2111" i="1" s="1"/>
  <c r="D2047" i="1"/>
  <c r="E2047" i="1" s="1"/>
  <c r="D1983" i="1"/>
  <c r="E1983" i="1" s="1"/>
  <c r="D1919" i="1"/>
  <c r="E1919" i="1" s="1"/>
  <c r="D2670" i="1"/>
  <c r="E2670" i="1" s="1"/>
  <c r="D2606" i="1"/>
  <c r="E2606" i="1" s="1"/>
  <c r="D2542" i="1"/>
  <c r="E2542" i="1" s="1"/>
  <c r="D2478" i="1"/>
  <c r="E2478" i="1" s="1"/>
  <c r="D2414" i="1"/>
  <c r="E2414" i="1" s="1"/>
  <c r="D2350" i="1"/>
  <c r="E2350" i="1" s="1"/>
  <c r="D2286" i="1"/>
  <c r="E2286" i="1" s="1"/>
  <c r="D2222" i="1"/>
  <c r="E2222" i="1" s="1"/>
  <c r="D2158" i="1"/>
  <c r="E2158" i="1" s="1"/>
  <c r="D2094" i="1"/>
  <c r="E2094" i="1" s="1"/>
  <c r="D2030" i="1"/>
  <c r="E2030" i="1" s="1"/>
  <c r="D1267" i="1"/>
  <c r="E1267" i="1" s="1"/>
  <c r="D994" i="1"/>
  <c r="E994" i="1" s="1"/>
  <c r="D930" i="1"/>
  <c r="E930" i="1" s="1"/>
  <c r="D1953" i="1"/>
  <c r="E1953" i="1" s="1"/>
  <c r="D1889" i="1"/>
  <c r="E1889" i="1" s="1"/>
  <c r="D1825" i="1"/>
  <c r="E1825" i="1" s="1"/>
  <c r="D1761" i="1"/>
  <c r="E1761" i="1" s="1"/>
  <c r="D1697" i="1"/>
  <c r="E1697" i="1" s="1"/>
  <c r="D1633" i="1"/>
  <c r="E1633" i="1" s="1"/>
  <c r="D1569" i="1"/>
  <c r="E1569" i="1" s="1"/>
  <c r="D1505" i="1"/>
  <c r="E1505" i="1" s="1"/>
  <c r="D1441" i="1"/>
  <c r="E1441" i="1" s="1"/>
  <c r="D1377" i="1"/>
  <c r="E1377" i="1" s="1"/>
  <c r="D1313" i="1"/>
  <c r="E1313" i="1" s="1"/>
  <c r="D1936" i="1"/>
  <c r="E1936" i="1" s="1"/>
  <c r="D1872" i="1"/>
  <c r="E1872" i="1" s="1"/>
  <c r="D1808" i="1"/>
  <c r="E1808" i="1" s="1"/>
  <c r="D1744" i="1"/>
  <c r="E1744" i="1" s="1"/>
  <c r="D1680" i="1"/>
  <c r="E1680" i="1" s="1"/>
  <c r="D1616" i="1"/>
  <c r="E1616" i="1" s="1"/>
  <c r="D1552" i="1"/>
  <c r="E1552" i="1" s="1"/>
  <c r="D1488" i="1"/>
  <c r="E1488" i="1" s="1"/>
  <c r="D2756" i="1"/>
  <c r="E2756" i="1" s="1"/>
  <c r="D112" i="1"/>
  <c r="E112" i="1" s="1"/>
  <c r="D2717" i="1"/>
  <c r="E2717" i="1" s="1"/>
  <c r="D2653" i="1"/>
  <c r="E2653" i="1" s="1"/>
  <c r="D2589" i="1"/>
  <c r="E2589" i="1" s="1"/>
  <c r="D2525" i="1"/>
  <c r="E2525" i="1" s="1"/>
  <c r="D2461" i="1"/>
  <c r="E2461" i="1" s="1"/>
  <c r="D2397" i="1"/>
  <c r="E2397" i="1" s="1"/>
  <c r="D2333" i="1"/>
  <c r="E2333" i="1" s="1"/>
  <c r="D2269" i="1"/>
  <c r="E2269" i="1" s="1"/>
  <c r="D2205" i="1"/>
  <c r="E2205" i="1" s="1"/>
  <c r="D2141" i="1"/>
  <c r="E2141" i="1" s="1"/>
  <c r="D2077" i="1"/>
  <c r="E2077" i="1" s="1"/>
  <c r="D2692" i="1"/>
  <c r="E2692" i="1" s="1"/>
  <c r="D2628" i="1"/>
  <c r="E2628" i="1" s="1"/>
  <c r="D2564" i="1"/>
  <c r="E2564" i="1" s="1"/>
  <c r="D2500" i="1"/>
  <c r="E2500" i="1" s="1"/>
  <c r="D2436" i="1"/>
  <c r="E2436" i="1" s="1"/>
  <c r="D2372" i="1"/>
  <c r="E2372" i="1" s="1"/>
  <c r="D2308" i="1"/>
  <c r="E2308" i="1" s="1"/>
  <c r="D2244" i="1"/>
  <c r="E2244" i="1" s="1"/>
  <c r="D2180" i="1"/>
  <c r="E2180" i="1" s="1"/>
  <c r="D2116" i="1"/>
  <c r="E2116" i="1" s="1"/>
  <c r="D2746" i="1"/>
  <c r="E2746" i="1" s="1"/>
  <c r="D2682" i="1"/>
  <c r="E2682" i="1" s="1"/>
  <c r="D2618" i="1"/>
  <c r="E2618" i="1" s="1"/>
  <c r="D2554" i="1"/>
  <c r="E2554" i="1" s="1"/>
  <c r="D2490" i="1"/>
  <c r="E2490" i="1" s="1"/>
  <c r="D2426" i="1"/>
  <c r="E2426" i="1" s="1"/>
  <c r="D2362" i="1"/>
  <c r="E2362" i="1" s="1"/>
  <c r="D2298" i="1"/>
  <c r="E2298" i="1" s="1"/>
  <c r="D2234" i="1"/>
  <c r="E2234" i="1" s="1"/>
  <c r="D2170" i="1"/>
  <c r="E2170" i="1" s="1"/>
  <c r="D2106" i="1"/>
  <c r="E2106" i="1" s="1"/>
  <c r="D2042" i="1"/>
  <c r="E2042" i="1" s="1"/>
  <c r="D1978" i="1"/>
  <c r="E1978" i="1" s="1"/>
  <c r="D12" i="1"/>
  <c r="E12" i="1" s="1"/>
  <c r="D2045" i="1"/>
  <c r="E2045" i="1" s="1"/>
  <c r="D1981" i="1"/>
  <c r="E1981" i="1" s="1"/>
  <c r="D1917" i="1"/>
  <c r="E1917" i="1" s="1"/>
  <c r="D1853" i="1"/>
  <c r="E1853" i="1" s="1"/>
  <c r="D1789" i="1"/>
  <c r="E1789" i="1" s="1"/>
  <c r="D1725" i="1"/>
  <c r="E1725" i="1" s="1"/>
  <c r="D1661" i="1"/>
  <c r="E1661" i="1" s="1"/>
  <c r="D1597" i="1"/>
  <c r="E1597" i="1" s="1"/>
  <c r="D1533" i="1"/>
  <c r="E1533" i="1" s="1"/>
  <c r="D1469" i="1"/>
  <c r="E1469" i="1" s="1"/>
  <c r="D1405" i="1"/>
  <c r="E1405" i="1" s="1"/>
  <c r="D2020" i="1"/>
  <c r="E2020" i="1" s="1"/>
  <c r="D1956" i="1"/>
  <c r="E1956" i="1" s="1"/>
  <c r="D1892" i="1"/>
  <c r="E1892" i="1" s="1"/>
  <c r="D1828" i="1"/>
  <c r="E1828" i="1" s="1"/>
  <c r="D1764" i="1"/>
  <c r="E1764" i="1" s="1"/>
  <c r="D1700" i="1"/>
  <c r="E1700" i="1" s="1"/>
  <c r="D1636" i="1"/>
  <c r="E1636" i="1" s="1"/>
  <c r="D1572" i="1"/>
  <c r="E1572" i="1" s="1"/>
  <c r="D1508" i="1"/>
  <c r="E1508" i="1" s="1"/>
  <c r="D2707" i="1"/>
  <c r="E2707" i="1" s="1"/>
  <c r="D2643" i="1"/>
  <c r="E2643" i="1" s="1"/>
  <c r="D2579" i="1"/>
  <c r="E2579" i="1" s="1"/>
  <c r="D2515" i="1"/>
  <c r="E2515" i="1" s="1"/>
  <c r="D2451" i="1"/>
  <c r="E2451" i="1" s="1"/>
  <c r="D2387" i="1"/>
  <c r="E2387" i="1" s="1"/>
  <c r="D2323" i="1"/>
  <c r="E2323" i="1" s="1"/>
  <c r="D2259" i="1"/>
  <c r="E2259" i="1" s="1"/>
  <c r="D2195" i="1"/>
  <c r="E2195" i="1" s="1"/>
  <c r="D2131" i="1"/>
  <c r="E2131" i="1" s="1"/>
  <c r="D2067" i="1"/>
  <c r="E2067" i="1" s="1"/>
  <c r="D2003" i="1"/>
  <c r="E2003" i="1" s="1"/>
  <c r="D1906" i="1"/>
  <c r="E1906" i="1" s="1"/>
  <c r="D1842" i="1"/>
  <c r="E1842" i="1" s="1"/>
  <c r="D1778" i="1"/>
  <c r="E1778" i="1" s="1"/>
  <c r="D1714" i="1"/>
  <c r="E1714" i="1" s="1"/>
  <c r="D1650" i="1"/>
  <c r="E1650" i="1" s="1"/>
  <c r="D1586" i="1"/>
  <c r="E1586" i="1" s="1"/>
  <c r="D1522" i="1"/>
  <c r="E1522" i="1" s="1"/>
  <c r="D1458" i="1"/>
  <c r="E1458" i="1" s="1"/>
  <c r="D1394" i="1"/>
  <c r="E1394" i="1" s="1"/>
  <c r="D1330" i="1"/>
  <c r="E1330" i="1" s="1"/>
  <c r="D1266" i="1"/>
  <c r="E1266" i="1" s="1"/>
  <c r="D2713" i="1"/>
  <c r="E2713" i="1" s="1"/>
  <c r="D2641" i="1"/>
  <c r="E2641" i="1" s="1"/>
  <c r="D2577" i="1"/>
  <c r="E2577" i="1" s="1"/>
  <c r="D2513" i="1"/>
  <c r="E2513" i="1" s="1"/>
  <c r="D2449" i="1"/>
  <c r="E2449" i="1" s="1"/>
  <c r="D2385" i="1"/>
  <c r="E2385" i="1" s="1"/>
  <c r="D2321" i="1"/>
  <c r="E2321" i="1" s="1"/>
  <c r="D2257" i="1"/>
  <c r="E2257" i="1" s="1"/>
  <c r="D2193" i="1"/>
  <c r="E2193" i="1" s="1"/>
  <c r="D2712" i="1"/>
  <c r="E2712" i="1" s="1"/>
  <c r="D2743" i="1"/>
  <c r="E2743" i="1" s="1"/>
  <c r="D2679" i="1"/>
  <c r="E2679" i="1" s="1"/>
  <c r="D2710" i="1"/>
  <c r="E2710" i="1" s="1"/>
  <c r="D1365" i="1"/>
  <c r="E1365" i="1" s="1"/>
  <c r="D1301" i="1"/>
  <c r="E1301" i="1" s="1"/>
  <c r="D1492" i="1"/>
  <c r="E1492" i="1" s="1"/>
  <c r="D1428" i="1"/>
  <c r="E1428" i="1" s="1"/>
  <c r="D1907" i="1"/>
  <c r="E1907" i="1" s="1"/>
  <c r="D1843" i="1"/>
  <c r="E1843" i="1" s="1"/>
  <c r="D1779" i="1"/>
  <c r="E1779" i="1" s="1"/>
  <c r="D1715" i="1"/>
  <c r="E1715" i="1" s="1"/>
  <c r="D1651" i="1"/>
  <c r="E1651" i="1" s="1"/>
  <c r="D1587" i="1"/>
  <c r="E1587" i="1" s="1"/>
  <c r="D1523" i="1"/>
  <c r="E1523" i="1" s="1"/>
  <c r="D1459" i="1"/>
  <c r="E1459" i="1" s="1"/>
  <c r="D1395" i="1"/>
  <c r="E1395" i="1" s="1"/>
  <c r="D1331" i="1"/>
  <c r="E1331" i="1" s="1"/>
  <c r="D1234" i="1"/>
  <c r="E1234" i="1" s="1"/>
  <c r="D1170" i="1"/>
  <c r="E1170" i="1" s="1"/>
  <c r="D1106" i="1"/>
  <c r="E1106" i="1" s="1"/>
  <c r="D2177" i="1"/>
  <c r="E2177" i="1" s="1"/>
  <c r="D2113" i="1"/>
  <c r="E2113" i="1" s="1"/>
  <c r="D2049" i="1"/>
  <c r="E2049" i="1" s="1"/>
  <c r="D1985" i="1"/>
  <c r="E1985" i="1" s="1"/>
  <c r="D2624" i="1"/>
  <c r="E2624" i="1" s="1"/>
  <c r="D2560" i="1"/>
  <c r="E2560" i="1" s="1"/>
  <c r="D2496" i="1"/>
  <c r="E2496" i="1" s="1"/>
  <c r="D2432" i="1"/>
  <c r="E2432" i="1" s="1"/>
  <c r="D2368" i="1"/>
  <c r="E2368" i="1" s="1"/>
  <c r="D2304" i="1"/>
  <c r="E2304" i="1" s="1"/>
  <c r="D2240" i="1"/>
  <c r="E2240" i="1" s="1"/>
  <c r="D224" i="1"/>
  <c r="E224" i="1" s="1"/>
  <c r="D8" i="1"/>
  <c r="E8" i="1" s="1"/>
  <c r="D2709" i="1"/>
  <c r="E2709" i="1" s="1"/>
  <c r="D2645" i="1"/>
  <c r="E2645" i="1" s="1"/>
  <c r="D2581" i="1"/>
  <c r="E2581" i="1" s="1"/>
  <c r="D2517" i="1"/>
  <c r="E2517" i="1" s="1"/>
  <c r="D2453" i="1"/>
  <c r="E2453" i="1" s="1"/>
  <c r="D2389" i="1"/>
  <c r="E2389" i="1" s="1"/>
  <c r="D2325" i="1"/>
  <c r="E2325" i="1" s="1"/>
  <c r="D2261" i="1"/>
  <c r="E2261" i="1" s="1"/>
  <c r="D2197" i="1"/>
  <c r="E2197" i="1" s="1"/>
  <c r="D2133" i="1"/>
  <c r="E2133" i="1" s="1"/>
  <c r="D2748" i="1"/>
  <c r="E2748" i="1" s="1"/>
  <c r="D2684" i="1"/>
  <c r="E2684" i="1" s="1"/>
  <c r="D2620" i="1"/>
  <c r="E2620" i="1" s="1"/>
  <c r="D2556" i="1"/>
  <c r="E2556" i="1" s="1"/>
  <c r="D2492" i="1"/>
  <c r="E2492" i="1" s="1"/>
  <c r="D2428" i="1"/>
  <c r="E2428" i="1" s="1"/>
  <c r="D2364" i="1"/>
  <c r="E2364" i="1" s="1"/>
  <c r="D2300" i="1"/>
  <c r="E2300" i="1" s="1"/>
  <c r="D2236" i="1"/>
  <c r="E2236" i="1" s="1"/>
  <c r="D2172" i="1"/>
  <c r="E2172" i="1" s="1"/>
  <c r="D2108" i="1"/>
  <c r="E2108" i="1" s="1"/>
  <c r="D2738" i="1"/>
  <c r="E2738" i="1" s="1"/>
  <c r="D2674" i="1"/>
  <c r="E2674" i="1" s="1"/>
  <c r="D2610" i="1"/>
  <c r="E2610" i="1" s="1"/>
  <c r="D2546" i="1"/>
  <c r="E2546" i="1" s="1"/>
  <c r="D2482" i="1"/>
  <c r="E2482" i="1" s="1"/>
  <c r="D2418" i="1"/>
  <c r="E2418" i="1" s="1"/>
  <c r="D2354" i="1"/>
  <c r="E2354" i="1" s="1"/>
  <c r="D2290" i="1"/>
  <c r="E2290" i="1" s="1"/>
  <c r="D2226" i="1"/>
  <c r="E2226" i="1" s="1"/>
  <c r="D2162" i="1"/>
  <c r="E2162" i="1" s="1"/>
  <c r="D2098" i="1"/>
  <c r="E2098" i="1" s="1"/>
  <c r="D2034" i="1"/>
  <c r="E2034" i="1" s="1"/>
  <c r="D1970" i="1"/>
  <c r="E1970" i="1" s="1"/>
  <c r="D2753" i="1"/>
  <c r="E2753" i="1" s="1"/>
  <c r="D2037" i="1"/>
  <c r="E2037" i="1" s="1"/>
  <c r="D1973" i="1"/>
  <c r="E1973" i="1" s="1"/>
  <c r="D1909" i="1"/>
  <c r="E1909" i="1" s="1"/>
  <c r="D1845" i="1"/>
  <c r="E1845" i="1" s="1"/>
  <c r="D1781" i="1"/>
  <c r="E1781" i="1" s="1"/>
  <c r="D1717" i="1"/>
  <c r="E1717" i="1" s="1"/>
  <c r="D1653" i="1"/>
  <c r="E1653" i="1" s="1"/>
  <c r="D1589" i="1"/>
  <c r="E1589" i="1" s="1"/>
  <c r="D1525" i="1"/>
  <c r="E1525" i="1" s="1"/>
  <c r="D1461" i="1"/>
  <c r="E1461" i="1" s="1"/>
  <c r="D1397" i="1"/>
  <c r="E1397" i="1" s="1"/>
  <c r="D2012" i="1"/>
  <c r="E2012" i="1" s="1"/>
  <c r="D1948" i="1"/>
  <c r="E1948" i="1" s="1"/>
  <c r="D1884" i="1"/>
  <c r="E1884" i="1" s="1"/>
  <c r="D1820" i="1"/>
  <c r="E1820" i="1" s="1"/>
  <c r="D1756" i="1"/>
  <c r="E1756" i="1" s="1"/>
  <c r="D1692" i="1"/>
  <c r="E1692" i="1" s="1"/>
  <c r="D1628" i="1"/>
  <c r="E1628" i="1" s="1"/>
  <c r="D1564" i="1"/>
  <c r="E1564" i="1" s="1"/>
  <c r="D2763" i="1"/>
  <c r="E2763" i="1" s="1"/>
  <c r="D2699" i="1"/>
  <c r="E2699" i="1" s="1"/>
  <c r="D2635" i="1"/>
  <c r="E2635" i="1" s="1"/>
  <c r="D2571" i="1"/>
  <c r="E2571" i="1" s="1"/>
  <c r="D2507" i="1"/>
  <c r="E2507" i="1" s="1"/>
  <c r="D2443" i="1"/>
  <c r="E2443" i="1" s="1"/>
  <c r="D2379" i="1"/>
  <c r="E2379" i="1" s="1"/>
  <c r="D2315" i="1"/>
  <c r="E2315" i="1" s="1"/>
  <c r="D2251" i="1"/>
  <c r="E2251" i="1" s="1"/>
  <c r="D2187" i="1"/>
  <c r="E2187" i="1" s="1"/>
  <c r="D2123" i="1"/>
  <c r="E2123" i="1" s="1"/>
  <c r="D2059" i="1"/>
  <c r="E2059" i="1" s="1"/>
  <c r="D1995" i="1"/>
  <c r="E1995" i="1" s="1"/>
  <c r="D1898" i="1"/>
  <c r="E1898" i="1" s="1"/>
  <c r="D1834" i="1"/>
  <c r="E1834" i="1" s="1"/>
  <c r="D1770" i="1"/>
  <c r="E1770" i="1" s="1"/>
  <c r="D1706" i="1"/>
  <c r="E1706" i="1" s="1"/>
  <c r="D1642" i="1"/>
  <c r="E1642" i="1" s="1"/>
  <c r="D1578" i="1"/>
  <c r="E1578" i="1" s="1"/>
  <c r="D1514" i="1"/>
  <c r="E1514" i="1" s="1"/>
  <c r="D1450" i="1"/>
  <c r="E1450" i="1" s="1"/>
  <c r="D1386" i="1"/>
  <c r="E1386" i="1" s="1"/>
  <c r="D1322" i="1"/>
  <c r="E1322" i="1" s="1"/>
  <c r="D1258" i="1"/>
  <c r="E1258" i="1" s="1"/>
  <c r="D2705" i="1"/>
  <c r="E2705" i="1" s="1"/>
  <c r="D2633" i="1"/>
  <c r="E2633" i="1" s="1"/>
  <c r="D2569" i="1"/>
  <c r="E2569" i="1" s="1"/>
  <c r="D2505" i="1"/>
  <c r="E2505" i="1" s="1"/>
  <c r="D2441" i="1"/>
  <c r="E2441" i="1" s="1"/>
  <c r="D2377" i="1"/>
  <c r="E2377" i="1" s="1"/>
  <c r="D2313" i="1"/>
  <c r="E2313" i="1" s="1"/>
  <c r="D2249" i="1"/>
  <c r="E2249" i="1" s="1"/>
  <c r="D2768" i="1"/>
  <c r="E2768" i="1" s="1"/>
  <c r="D2704" i="1"/>
  <c r="E2704" i="1" s="1"/>
  <c r="D2735" i="1"/>
  <c r="E2735" i="1" s="1"/>
  <c r="D2766" i="1"/>
  <c r="E2766" i="1" s="1"/>
  <c r="D216" i="1"/>
  <c r="E216" i="1" s="1"/>
  <c r="D2765" i="1"/>
  <c r="E2765" i="1" s="1"/>
  <c r="D2701" i="1"/>
  <c r="E2701" i="1" s="1"/>
  <c r="D2637" i="1"/>
  <c r="E2637" i="1" s="1"/>
  <c r="D2573" i="1"/>
  <c r="E2573" i="1" s="1"/>
  <c r="D2509" i="1"/>
  <c r="E2509" i="1" s="1"/>
  <c r="D2445" i="1"/>
  <c r="E2445" i="1" s="1"/>
  <c r="D2381" i="1"/>
  <c r="E2381" i="1" s="1"/>
  <c r="D2317" i="1"/>
  <c r="E2317" i="1" s="1"/>
  <c r="D2253" i="1"/>
  <c r="E2253" i="1" s="1"/>
  <c r="D2189" i="1"/>
  <c r="E2189" i="1" s="1"/>
  <c r="D2125" i="1"/>
  <c r="E2125" i="1" s="1"/>
  <c r="D2740" i="1"/>
  <c r="E2740" i="1" s="1"/>
  <c r="D2676" i="1"/>
  <c r="E2676" i="1" s="1"/>
  <c r="D2612" i="1"/>
  <c r="E2612" i="1" s="1"/>
  <c r="D2548" i="1"/>
  <c r="E2548" i="1" s="1"/>
  <c r="D2484" i="1"/>
  <c r="E2484" i="1" s="1"/>
  <c r="D2420" i="1"/>
  <c r="E2420" i="1" s="1"/>
  <c r="D2356" i="1"/>
  <c r="E2356" i="1" s="1"/>
  <c r="D2292" i="1"/>
  <c r="E2292" i="1" s="1"/>
  <c r="D2228" i="1"/>
  <c r="E2228" i="1" s="1"/>
  <c r="D2164" i="1"/>
  <c r="E2164" i="1" s="1"/>
  <c r="D2100" i="1"/>
  <c r="E2100" i="1" s="1"/>
  <c r="D2730" i="1"/>
  <c r="E2730" i="1" s="1"/>
  <c r="D2666" i="1"/>
  <c r="E2666" i="1" s="1"/>
  <c r="D2602" i="1"/>
  <c r="E2602" i="1" s="1"/>
  <c r="D2538" i="1"/>
  <c r="E2538" i="1" s="1"/>
  <c r="D2474" i="1"/>
  <c r="E2474" i="1" s="1"/>
  <c r="D2410" i="1"/>
  <c r="E2410" i="1" s="1"/>
  <c r="D2346" i="1"/>
  <c r="E2346" i="1" s="1"/>
  <c r="D2282" i="1"/>
  <c r="E2282" i="1" s="1"/>
  <c r="D2218" i="1"/>
  <c r="E2218" i="1" s="1"/>
  <c r="D2154" i="1"/>
  <c r="E2154" i="1" s="1"/>
  <c r="D2090" i="1"/>
  <c r="E2090" i="1" s="1"/>
  <c r="D2026" i="1"/>
  <c r="E2026" i="1" s="1"/>
  <c r="D1962" i="1"/>
  <c r="E1962" i="1" s="1"/>
  <c r="D2649" i="1"/>
  <c r="E2649" i="1" s="1"/>
  <c r="D2029" i="1"/>
  <c r="E2029" i="1" s="1"/>
  <c r="D1965" i="1"/>
  <c r="E1965" i="1" s="1"/>
  <c r="D1901" i="1"/>
  <c r="E1901" i="1" s="1"/>
  <c r="D1837" i="1"/>
  <c r="E1837" i="1" s="1"/>
  <c r="D1773" i="1"/>
  <c r="E1773" i="1" s="1"/>
  <c r="D1709" i="1"/>
  <c r="E1709" i="1" s="1"/>
  <c r="D1645" i="1"/>
  <c r="E1645" i="1" s="1"/>
  <c r="D1581" i="1"/>
  <c r="E1581" i="1" s="1"/>
  <c r="D1517" i="1"/>
  <c r="E1517" i="1" s="1"/>
  <c r="D1453" i="1"/>
  <c r="E1453" i="1" s="1"/>
  <c r="D2068" i="1"/>
  <c r="E2068" i="1" s="1"/>
  <c r="D2004" i="1"/>
  <c r="E2004" i="1" s="1"/>
  <c r="D1940" i="1"/>
  <c r="E1940" i="1" s="1"/>
  <c r="D1876" i="1"/>
  <c r="E1876" i="1" s="1"/>
  <c r="D1812" i="1"/>
  <c r="E1812" i="1" s="1"/>
  <c r="D1748" i="1"/>
  <c r="E1748" i="1" s="1"/>
  <c r="D1684" i="1"/>
  <c r="E1684" i="1" s="1"/>
  <c r="D1620" i="1"/>
  <c r="E1620" i="1" s="1"/>
  <c r="D1556" i="1"/>
  <c r="E1556" i="1" s="1"/>
  <c r="D2755" i="1"/>
  <c r="E2755" i="1" s="1"/>
  <c r="D2691" i="1"/>
  <c r="E2691" i="1" s="1"/>
  <c r="D2627" i="1"/>
  <c r="E2627" i="1" s="1"/>
  <c r="D2563" i="1"/>
  <c r="E2563" i="1" s="1"/>
  <c r="D2499" i="1"/>
  <c r="E2499" i="1" s="1"/>
  <c r="D2435" i="1"/>
  <c r="E2435" i="1" s="1"/>
  <c r="D2371" i="1"/>
  <c r="E2371" i="1" s="1"/>
  <c r="D2307" i="1"/>
  <c r="E2307" i="1" s="1"/>
  <c r="D2243" i="1"/>
  <c r="E2243" i="1" s="1"/>
  <c r="D2179" i="1"/>
  <c r="E2179" i="1" s="1"/>
  <c r="D2115" i="1"/>
  <c r="E2115" i="1" s="1"/>
  <c r="D2051" i="1"/>
  <c r="E2051" i="1" s="1"/>
  <c r="D1987" i="1"/>
  <c r="E1987" i="1" s="1"/>
  <c r="D1890" i="1"/>
  <c r="E1890" i="1" s="1"/>
  <c r="D1826" i="1"/>
  <c r="E1826" i="1" s="1"/>
  <c r="D1762" i="1"/>
  <c r="E1762" i="1" s="1"/>
  <c r="D1698" i="1"/>
  <c r="E1698" i="1" s="1"/>
  <c r="D1634" i="1"/>
  <c r="E1634" i="1" s="1"/>
  <c r="D1570" i="1"/>
  <c r="E1570" i="1" s="1"/>
  <c r="D1506" i="1"/>
  <c r="E1506" i="1" s="1"/>
  <c r="D1442" i="1"/>
  <c r="E1442" i="1" s="1"/>
  <c r="D1378" i="1"/>
  <c r="E1378" i="1" s="1"/>
  <c r="D1314" i="1"/>
  <c r="E1314" i="1" s="1"/>
  <c r="D1250" i="1"/>
  <c r="E1250" i="1" s="1"/>
  <c r="D2697" i="1"/>
  <c r="E2697" i="1" s="1"/>
  <c r="D2625" i="1"/>
  <c r="E2625" i="1" s="1"/>
  <c r="D2561" i="1"/>
  <c r="E2561" i="1" s="1"/>
  <c r="D2497" i="1"/>
  <c r="E2497" i="1" s="1"/>
  <c r="D2433" i="1"/>
  <c r="E2433" i="1" s="1"/>
  <c r="D2369" i="1"/>
  <c r="E2369" i="1" s="1"/>
  <c r="D2305" i="1"/>
  <c r="E2305" i="1" s="1"/>
  <c r="D2241" i="1"/>
  <c r="E2241" i="1" s="1"/>
  <c r="D2760" i="1"/>
  <c r="E2760" i="1" s="1"/>
  <c r="D2696" i="1"/>
  <c r="E2696" i="1" s="1"/>
  <c r="D2727" i="1"/>
  <c r="E2727" i="1" s="1"/>
  <c r="D2758" i="1"/>
  <c r="E2758" i="1" s="1"/>
  <c r="D2694" i="1"/>
  <c r="E2694" i="1" s="1"/>
  <c r="D1349" i="1"/>
  <c r="E1349" i="1" s="1"/>
  <c r="D1285" i="1"/>
  <c r="E1285" i="1" s="1"/>
  <c r="D1476" i="1"/>
  <c r="E1476" i="1" s="1"/>
  <c r="D1955" i="1"/>
  <c r="E1955" i="1" s="1"/>
  <c r="D1891" i="1"/>
  <c r="E1891" i="1" s="1"/>
  <c r="D1827" i="1"/>
  <c r="E1827" i="1" s="1"/>
  <c r="D1763" i="1"/>
  <c r="E1763" i="1" s="1"/>
  <c r="D1699" i="1"/>
  <c r="E1699" i="1" s="1"/>
  <c r="D1635" i="1"/>
  <c r="E1635" i="1" s="1"/>
  <c r="D1571" i="1"/>
  <c r="E1571" i="1" s="1"/>
  <c r="D1507" i="1"/>
  <c r="E1507" i="1" s="1"/>
  <c r="D1443" i="1"/>
  <c r="E1443" i="1" s="1"/>
  <c r="D1379" i="1"/>
  <c r="E1379" i="1" s="1"/>
  <c r="D1315" i="1"/>
  <c r="E1315" i="1" s="1"/>
  <c r="D1218" i="1"/>
  <c r="E1218" i="1" s="1"/>
  <c r="D1154" i="1"/>
  <c r="E1154" i="1" s="1"/>
  <c r="D1090" i="1"/>
  <c r="E1090" i="1" s="1"/>
  <c r="D2161" i="1"/>
  <c r="E2161" i="1" s="1"/>
  <c r="D2097" i="1"/>
  <c r="E2097" i="1" s="1"/>
  <c r="D2033" i="1"/>
  <c r="E2033" i="1" s="1"/>
  <c r="D2672" i="1"/>
  <c r="E2672" i="1" s="1"/>
  <c r="D2608" i="1"/>
  <c r="E2608" i="1" s="1"/>
  <c r="D2010" i="1"/>
  <c r="E2010" i="1" s="1"/>
  <c r="D2138" i="1"/>
  <c r="E2138" i="1" s="1"/>
  <c r="D2266" i="1"/>
  <c r="E2266" i="1" s="1"/>
  <c r="D2394" i="1"/>
  <c r="E2394" i="1" s="1"/>
  <c r="D2522" i="1"/>
  <c r="E2522" i="1" s="1"/>
  <c r="D2650" i="1"/>
  <c r="E2650" i="1" s="1"/>
  <c r="D2084" i="1"/>
  <c r="E2084" i="1" s="1"/>
  <c r="D2212" i="1"/>
  <c r="E2212" i="1" s="1"/>
  <c r="D2340" i="1"/>
  <c r="E2340" i="1" s="1"/>
  <c r="D2468" i="1"/>
  <c r="E2468" i="1" s="1"/>
  <c r="D2596" i="1"/>
  <c r="E2596" i="1" s="1"/>
  <c r="D2724" i="1"/>
  <c r="E2724" i="1" s="1"/>
  <c r="D2173" i="1"/>
  <c r="E2173" i="1" s="1"/>
  <c r="D2301" i="1"/>
  <c r="E2301" i="1" s="1"/>
  <c r="D2429" i="1"/>
  <c r="E2429" i="1" s="1"/>
  <c r="D2557" i="1"/>
  <c r="E2557" i="1" s="1"/>
  <c r="D2685" i="1"/>
  <c r="E2685" i="1" s="1"/>
  <c r="D184" i="1"/>
  <c r="E184" i="1" s="1"/>
  <c r="D2018" i="1"/>
  <c r="E2018" i="1" s="1"/>
  <c r="D2146" i="1"/>
  <c r="E2146" i="1" s="1"/>
  <c r="D2274" i="1"/>
  <c r="E2274" i="1" s="1"/>
  <c r="D2402" i="1"/>
  <c r="E2402" i="1" s="1"/>
  <c r="D2530" i="1"/>
  <c r="E2530" i="1" s="1"/>
  <c r="D2658" i="1"/>
  <c r="E2658" i="1" s="1"/>
  <c r="D2092" i="1"/>
  <c r="E2092" i="1" s="1"/>
  <c r="D2220" i="1"/>
  <c r="E2220" i="1" s="1"/>
  <c r="D2348" i="1"/>
  <c r="E2348" i="1" s="1"/>
  <c r="D2476" i="1"/>
  <c r="E2476" i="1" s="1"/>
  <c r="D2604" i="1"/>
  <c r="E2604" i="1" s="1"/>
  <c r="D2732" i="1"/>
  <c r="E2732" i="1" s="1"/>
  <c r="D2181" i="1"/>
  <c r="E2181" i="1" s="1"/>
  <c r="D2309" i="1"/>
  <c r="E2309" i="1" s="1"/>
  <c r="D2437" i="1"/>
  <c r="E2437" i="1" s="1"/>
  <c r="D2565" i="1"/>
  <c r="E2565" i="1" s="1"/>
  <c r="D2693" i="1"/>
  <c r="E2693" i="1" s="1"/>
  <c r="D192" i="1"/>
  <c r="E192" i="1" s="1"/>
  <c r="E3" i="1"/>
  <c r="E2" i="2" l="1"/>
  <c r="E2" i="3"/>
  <c r="E2" i="1"/>
</calcChain>
</file>

<file path=xl/sharedStrings.xml><?xml version="1.0" encoding="utf-8"?>
<sst xmlns="http://schemas.openxmlformats.org/spreadsheetml/2006/main" count="30" uniqueCount="12">
  <si>
    <t>Date</t>
  </si>
  <si>
    <t>JSE ALL SHARE</t>
  </si>
  <si>
    <t>JSE TOP 40</t>
  </si>
  <si>
    <t>JSE INDUSTRIAL 25</t>
  </si>
  <si>
    <t>Log_Likelihood</t>
  </si>
  <si>
    <t>DF</t>
  </si>
  <si>
    <t>Mean</t>
  </si>
  <si>
    <t>Standard Deviation</t>
  </si>
  <si>
    <t>Return</t>
  </si>
  <si>
    <t>Standardised returns</t>
  </si>
  <si>
    <t>MLE</t>
  </si>
  <si>
    <t>Student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</si>
</sst>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00"/>
    <numFmt numFmtId="166" formatCode="0.000%"/>
    <numFmt numFmtId="167" formatCode="0.000000"/>
    <numFmt numFmtId="168" formatCode="0.0%"/>
    <numFmt numFmtId="169" formatCode="&quot;£&quot;#,##0"/>
    <numFmt numFmtId="170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2"/>
      <name val="Garamond"/>
      <family val="1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4" fillId="0" borderId="0"/>
    <xf numFmtId="0" fontId="5" fillId="0" borderId="0"/>
  </cellStyleXfs>
  <cellXfs count="2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2" fontId="3" fillId="0" borderId="0" xfId="0" applyNumberFormat="1" applyFont="1"/>
    <xf numFmtId="10" fontId="7" fillId="0" borderId="0" xfId="1" applyNumberFormat="1" applyFont="1" applyFill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66" fontId="7" fillId="0" borderId="0" xfId="1" applyNumberFormat="1" applyFont="1" applyFill="1" applyBorder="1" applyAlignment="1">
      <alignment horizontal="center"/>
    </xf>
    <xf numFmtId="0" fontId="6" fillId="0" borderId="0" xfId="2" applyFont="1" applyAlignment="1">
      <alignment horizontal="center"/>
    </xf>
    <xf numFmtId="0" fontId="7" fillId="0" borderId="0" xfId="3" applyFont="1" applyAlignment="1">
      <alignment horizontal="center"/>
    </xf>
    <xf numFmtId="0" fontId="7" fillId="0" borderId="0" xfId="2" applyFont="1" applyAlignment="1">
      <alignment horizontal="center"/>
    </xf>
    <xf numFmtId="167" fontId="7" fillId="0" borderId="0" xfId="2" applyNumberFormat="1" applyFont="1" applyAlignment="1">
      <alignment horizontal="center"/>
    </xf>
    <xf numFmtId="0" fontId="7" fillId="0" borderId="0" xfId="0" applyFont="1" applyAlignment="1">
      <alignment horizontal="center"/>
    </xf>
    <xf numFmtId="169" fontId="7" fillId="0" borderId="0" xfId="2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168" fontId="7" fillId="0" borderId="0" xfId="2" applyNumberFormat="1" applyFont="1" applyAlignment="1">
      <alignment horizontal="center"/>
    </xf>
    <xf numFmtId="10" fontId="7" fillId="0" borderId="0" xfId="1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</cellXfs>
  <cellStyles count="4">
    <cellStyle name="Normal" xfId="0" builtinId="0"/>
    <cellStyle name="Normal_Chapter_IV.2" xfId="2" xr:uid="{C8C2521C-9BA9-5342-9584-A35211565828}"/>
    <cellStyle name="Normal_Section4.3.5" xfId="3" xr:uid="{D201AFC5-A6D8-7D48-BCFE-5843BAF50D84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495F-7CA2-405B-B296-705652E55E5A}">
  <dimension ref="A1:M3038"/>
  <sheetViews>
    <sheetView zoomScale="120" zoomScaleNormal="120" workbookViewId="0">
      <selection activeCell="F2" sqref="F2:G2"/>
    </sheetView>
  </sheetViews>
  <sheetFormatPr baseColWidth="10" defaultColWidth="8.83203125" defaultRowHeight="15" x14ac:dyDescent="0.2"/>
  <cols>
    <col min="1" max="1" width="10.6640625" style="3" bestFit="1" customWidth="1"/>
    <col min="2" max="2" width="18.5" style="3" bestFit="1" customWidth="1"/>
    <col min="3" max="4" width="14.6640625" style="9" customWidth="1"/>
    <col min="5" max="5" width="16" style="15" customWidth="1"/>
    <col min="6" max="6" width="22.83203125" style="9" customWidth="1"/>
    <col min="7" max="7" width="14.6640625" style="9" customWidth="1"/>
    <col min="8" max="8" width="17.5" style="3" bestFit="1" customWidth="1"/>
    <col min="9" max="9" width="8.83203125" style="3"/>
    <col min="10" max="10" width="10.6640625" style="3" bestFit="1" customWidth="1"/>
    <col min="11" max="11" width="14.33203125" style="5" bestFit="1" customWidth="1"/>
    <col min="12" max="12" width="8.83203125" style="3"/>
    <col min="13" max="13" width="10.6640625" style="3" bestFit="1" customWidth="1"/>
    <col min="14" max="14" width="14.5" style="3" bestFit="1" customWidth="1"/>
    <col min="15" max="16384" width="8.83203125" style="3"/>
  </cols>
  <sheetData>
    <row r="1" spans="1:13" x14ac:dyDescent="0.2">
      <c r="A1" s="3" t="s">
        <v>0</v>
      </c>
      <c r="B1" s="3" t="s">
        <v>1</v>
      </c>
      <c r="C1" s="9" t="s">
        <v>8</v>
      </c>
      <c r="D1" s="9" t="s">
        <v>9</v>
      </c>
      <c r="E1" s="15" t="s">
        <v>4</v>
      </c>
      <c r="F1" s="22" t="s">
        <v>11</v>
      </c>
      <c r="G1" s="23"/>
      <c r="I1" s="11"/>
      <c r="J1" s="12"/>
    </row>
    <row r="2" spans="1:13" x14ac:dyDescent="0.2">
      <c r="A2" s="4">
        <v>41610</v>
      </c>
      <c r="B2" s="3">
        <v>44659.37</v>
      </c>
      <c r="C2" s="6"/>
      <c r="D2" s="7"/>
      <c r="E2" s="8">
        <f>SUM(E3:E573)</f>
        <v>-746.22242365347768</v>
      </c>
      <c r="F2" s="24" t="s">
        <v>10</v>
      </c>
      <c r="G2" s="24"/>
      <c r="I2" s="13"/>
      <c r="J2" s="14"/>
      <c r="M2" s="4"/>
    </row>
    <row r="3" spans="1:13" x14ac:dyDescent="0.2">
      <c r="A3" s="4">
        <v>41611</v>
      </c>
      <c r="B3" s="3">
        <v>43962.83</v>
      </c>
      <c r="C3" s="6">
        <f t="shared" ref="C3:C66" si="0">LN(B3/B2)</f>
        <v>-1.5719635560015155E-2</v>
      </c>
      <c r="D3" s="7">
        <f t="shared" ref="D3:D66" si="1">(C3-$G$4)/$G$5</f>
        <v>-1.4612585563626437</v>
      </c>
      <c r="E3" s="8">
        <f t="shared" ref="E3:E66" si="2">LN((PI()*(G$3-2))^(-1/2)*EXP(GAMMALN((G$3+1)/2))*((1+D3^2/(G$3-2))^(-(G$3+1)/2))/EXP(GAMMALN(G$3/2)))</f>
        <v>-2.4047182653124919</v>
      </c>
      <c r="F3" s="9" t="s">
        <v>5</v>
      </c>
      <c r="G3" s="9">
        <v>4.2943522067259075</v>
      </c>
      <c r="I3" s="13"/>
      <c r="J3" s="14"/>
      <c r="M3" s="4"/>
    </row>
    <row r="4" spans="1:13" x14ac:dyDescent="0.2">
      <c r="A4" s="4">
        <v>41612</v>
      </c>
      <c r="B4" s="3">
        <v>43986.37</v>
      </c>
      <c r="C4" s="6">
        <f t="shared" si="0"/>
        <v>5.3530903208055716E-4</v>
      </c>
      <c r="D4" s="7">
        <f t="shared" si="1"/>
        <v>2.8082761408480372E-2</v>
      </c>
      <c r="E4" s="8">
        <f t="shared" si="2"/>
        <v>-0.66414287978029229</v>
      </c>
      <c r="F4" s="9" t="s">
        <v>6</v>
      </c>
      <c r="G4" s="10">
        <f>AVERAGE(C3:C2768)</f>
        <v>2.2880861794376039E-4</v>
      </c>
      <c r="I4" s="13"/>
      <c r="J4" s="14"/>
      <c r="M4" s="4"/>
    </row>
    <row r="5" spans="1:13" x14ac:dyDescent="0.2">
      <c r="A5" s="4">
        <v>41613</v>
      </c>
      <c r="B5" s="3">
        <v>44297.66</v>
      </c>
      <c r="C5" s="6">
        <f t="shared" si="0"/>
        <v>7.0520407840412832E-3</v>
      </c>
      <c r="D5" s="7">
        <f t="shared" si="1"/>
        <v>0.62517109966991458</v>
      </c>
      <c r="E5" s="8">
        <f t="shared" si="2"/>
        <v>-1.0796375237518161</v>
      </c>
      <c r="F5" s="9" t="s">
        <v>7</v>
      </c>
      <c r="G5" s="10">
        <f>STDEV(C3:C2768)</f>
        <v>1.0914183604616618E-2</v>
      </c>
      <c r="I5" s="13"/>
      <c r="J5" s="19"/>
      <c r="M5" s="4"/>
    </row>
    <row r="6" spans="1:13" x14ac:dyDescent="0.2">
      <c r="A6" s="4">
        <v>41614</v>
      </c>
      <c r="B6" s="3">
        <v>44616.21</v>
      </c>
      <c r="C6" s="6">
        <f t="shared" si="0"/>
        <v>7.1653919222578561E-3</v>
      </c>
      <c r="D6" s="7">
        <f t="shared" si="1"/>
        <v>0.63555677232513963</v>
      </c>
      <c r="E6" s="8">
        <f t="shared" si="2"/>
        <v>-1.0925142929236999</v>
      </c>
      <c r="I6" s="13"/>
      <c r="J6" s="13"/>
      <c r="M6" s="4"/>
    </row>
    <row r="7" spans="1:13" x14ac:dyDescent="0.2">
      <c r="A7" s="4">
        <v>41617</v>
      </c>
      <c r="B7" s="3">
        <v>44732.42</v>
      </c>
      <c r="C7" s="6">
        <f t="shared" si="0"/>
        <v>2.60127246560033E-3</v>
      </c>
      <c r="D7" s="7">
        <f t="shared" si="1"/>
        <v>0.21737437573003948</v>
      </c>
      <c r="E7" s="8">
        <f t="shared" si="2"/>
        <v>-0.7171972573714771</v>
      </c>
      <c r="J7" s="4"/>
      <c r="M7" s="4"/>
    </row>
    <row r="8" spans="1:13" x14ac:dyDescent="0.2">
      <c r="A8" s="4">
        <v>41618</v>
      </c>
      <c r="B8" s="3">
        <v>44640.98</v>
      </c>
      <c r="C8" s="6">
        <f t="shared" si="0"/>
        <v>-2.0462471363045919E-3</v>
      </c>
      <c r="D8" s="7">
        <f t="shared" si="1"/>
        <v>-0.20844946691990968</v>
      </c>
      <c r="E8" s="8">
        <f t="shared" si="2"/>
        <v>-0.71289738221029908</v>
      </c>
      <c r="J8" s="4"/>
      <c r="M8" s="4"/>
    </row>
    <row r="9" spans="1:13" x14ac:dyDescent="0.2">
      <c r="A9" s="4">
        <v>41619</v>
      </c>
      <c r="B9" s="3">
        <v>44436.86</v>
      </c>
      <c r="C9" s="6">
        <f t="shared" si="0"/>
        <v>-4.5829660277064092E-3</v>
      </c>
      <c r="D9" s="7">
        <f t="shared" si="1"/>
        <v>-0.44087352934165636</v>
      </c>
      <c r="E9" s="8">
        <f t="shared" si="2"/>
        <v>-0.8784979169868572</v>
      </c>
      <c r="J9" s="4"/>
      <c r="M9" s="4"/>
    </row>
    <row r="10" spans="1:13" x14ac:dyDescent="0.2">
      <c r="A10" s="4">
        <v>41620</v>
      </c>
      <c r="B10" s="3">
        <v>43252.17</v>
      </c>
      <c r="C10" s="6">
        <f t="shared" si="0"/>
        <v>-2.7021899679745168E-2</v>
      </c>
      <c r="D10" s="7">
        <f t="shared" si="1"/>
        <v>-2.4968160042829113</v>
      </c>
      <c r="E10" s="8">
        <f t="shared" si="2"/>
        <v>-4.1388593885647431</v>
      </c>
      <c r="J10" s="4"/>
      <c r="M10" s="4"/>
    </row>
    <row r="11" spans="1:13" x14ac:dyDescent="0.2">
      <c r="A11" s="4">
        <v>41621</v>
      </c>
      <c r="B11" s="3">
        <v>43185.73</v>
      </c>
      <c r="C11" s="6">
        <f t="shared" si="0"/>
        <v>-1.537288922673118E-3</v>
      </c>
      <c r="D11" s="7">
        <f t="shared" si="1"/>
        <v>-0.16181673358232973</v>
      </c>
      <c r="E11" s="8">
        <f t="shared" si="2"/>
        <v>-0.69327333620803189</v>
      </c>
      <c r="J11" s="4"/>
      <c r="M11" s="4"/>
    </row>
    <row r="12" spans="1:13" x14ac:dyDescent="0.2">
      <c r="A12" s="4">
        <v>41625</v>
      </c>
      <c r="B12" s="3">
        <v>43848.95</v>
      </c>
      <c r="C12" s="6">
        <f t="shared" si="0"/>
        <v>1.5240656656564112E-2</v>
      </c>
      <c r="D12" s="7">
        <f t="shared" si="1"/>
        <v>1.3754439711157553</v>
      </c>
      <c r="E12" s="8">
        <f t="shared" si="2"/>
        <v>-2.2550925082648141</v>
      </c>
      <c r="F12" s="13"/>
      <c r="G12" s="13"/>
      <c r="J12" s="4"/>
      <c r="M12" s="4"/>
    </row>
    <row r="13" spans="1:13" x14ac:dyDescent="0.2">
      <c r="A13" s="4">
        <v>41626</v>
      </c>
      <c r="B13" s="3">
        <v>43925.38</v>
      </c>
      <c r="C13" s="6">
        <f t="shared" si="0"/>
        <v>1.7415118820459988E-3</v>
      </c>
      <c r="D13" s="7">
        <f t="shared" si="1"/>
        <v>0.13859976328988785</v>
      </c>
      <c r="E13" s="8">
        <f t="shared" si="2"/>
        <v>-0.68530482520918756</v>
      </c>
      <c r="F13" s="13"/>
      <c r="G13" s="20"/>
      <c r="J13" s="4"/>
      <c r="M13" s="4"/>
    </row>
    <row r="14" spans="1:13" x14ac:dyDescent="0.2">
      <c r="A14" s="4">
        <v>41627</v>
      </c>
      <c r="B14" s="3">
        <v>44327.839999999997</v>
      </c>
      <c r="C14" s="6">
        <f t="shared" si="0"/>
        <v>9.1206369561711628E-3</v>
      </c>
      <c r="D14" s="7">
        <f t="shared" si="1"/>
        <v>0.81470393575440903</v>
      </c>
      <c r="E14" s="8">
        <f t="shared" si="2"/>
        <v>-1.3358669092770763</v>
      </c>
      <c r="F14" s="15"/>
      <c r="G14" s="13"/>
      <c r="J14" s="4"/>
      <c r="M14" s="4"/>
    </row>
    <row r="15" spans="1:13" x14ac:dyDescent="0.2">
      <c r="A15" s="4">
        <v>41628</v>
      </c>
      <c r="B15" s="3">
        <v>44574.25</v>
      </c>
      <c r="C15" s="6">
        <f t="shared" si="0"/>
        <v>5.5434159310211225E-3</v>
      </c>
      <c r="D15" s="7">
        <f t="shared" si="1"/>
        <v>0.48694501628406939</v>
      </c>
      <c r="E15" s="8">
        <f t="shared" si="2"/>
        <v>-0.92357943249723673</v>
      </c>
      <c r="F15" s="13"/>
      <c r="G15" s="16"/>
      <c r="J15" s="4"/>
      <c r="M15" s="4"/>
    </row>
    <row r="16" spans="1:13" x14ac:dyDescent="0.2">
      <c r="A16" s="4">
        <v>41631</v>
      </c>
      <c r="B16" s="3">
        <v>44753.19</v>
      </c>
      <c r="C16" s="6">
        <f t="shared" si="0"/>
        <v>4.0063890636378831E-3</v>
      </c>
      <c r="D16" s="7">
        <f t="shared" si="1"/>
        <v>0.3461166297492223</v>
      </c>
      <c r="E16" s="8">
        <f t="shared" si="2"/>
        <v>-0.79796451677826852</v>
      </c>
      <c r="F16" s="13"/>
      <c r="G16" s="21"/>
      <c r="J16" s="4"/>
      <c r="M16" s="4"/>
    </row>
    <row r="17" spans="1:13" x14ac:dyDescent="0.2">
      <c r="A17" s="4">
        <v>41632</v>
      </c>
      <c r="B17" s="3">
        <v>44912.800000000003</v>
      </c>
      <c r="C17" s="6">
        <f t="shared" si="0"/>
        <v>3.5601049757962061E-3</v>
      </c>
      <c r="D17" s="7">
        <f t="shared" si="1"/>
        <v>0.30522634385986802</v>
      </c>
      <c r="E17" s="8">
        <f t="shared" si="2"/>
        <v>-0.76859780147338008</v>
      </c>
      <c r="F17" s="13"/>
      <c r="G17" s="21"/>
      <c r="J17" s="4"/>
      <c r="M17" s="4"/>
    </row>
    <row r="18" spans="1:13" x14ac:dyDescent="0.2">
      <c r="A18" s="4">
        <v>41635</v>
      </c>
      <c r="B18" s="3">
        <v>45735.26</v>
      </c>
      <c r="C18" s="6">
        <f t="shared" si="0"/>
        <v>1.8146721943974577E-2</v>
      </c>
      <c r="D18" s="7">
        <f t="shared" si="1"/>
        <v>1.641708988517627</v>
      </c>
      <c r="E18" s="8">
        <f t="shared" si="2"/>
        <v>-2.7198171141177649</v>
      </c>
      <c r="F18" s="13"/>
      <c r="G18" s="21"/>
      <c r="J18" s="4"/>
      <c r="M18" s="4"/>
    </row>
    <row r="19" spans="1:13" x14ac:dyDescent="0.2">
      <c r="A19" s="4">
        <v>41638</v>
      </c>
      <c r="B19" s="3">
        <v>46131.29</v>
      </c>
      <c r="C19" s="6">
        <f t="shared" si="0"/>
        <v>8.6219076108419446E-3</v>
      </c>
      <c r="D19" s="7">
        <f t="shared" si="1"/>
        <v>0.76900841116031482</v>
      </c>
      <c r="E19" s="8">
        <f t="shared" si="2"/>
        <v>-1.2702994873319429</v>
      </c>
      <c r="J19" s="4"/>
      <c r="M19" s="4"/>
    </row>
    <row r="20" spans="1:13" x14ac:dyDescent="0.2">
      <c r="A20" s="4">
        <v>41639</v>
      </c>
      <c r="B20" s="3">
        <v>46256.23</v>
      </c>
      <c r="C20" s="6">
        <f t="shared" si="0"/>
        <v>2.7046959625128789E-3</v>
      </c>
      <c r="D20" s="7">
        <f t="shared" si="1"/>
        <v>0.2268504392322882</v>
      </c>
      <c r="E20" s="8">
        <f t="shared" si="2"/>
        <v>-0.72195181503142014</v>
      </c>
      <c r="F20" s="17"/>
      <c r="J20" s="4"/>
      <c r="M20" s="4"/>
    </row>
    <row r="21" spans="1:13" x14ac:dyDescent="0.2">
      <c r="A21" s="4">
        <v>41641</v>
      </c>
      <c r="B21" s="3">
        <v>46589.7</v>
      </c>
      <c r="C21" s="6">
        <f t="shared" si="0"/>
        <v>7.1833290683990872E-3</v>
      </c>
      <c r="D21" s="7">
        <f t="shared" si="1"/>
        <v>0.63720024349907556</v>
      </c>
      <c r="E21" s="8">
        <f t="shared" si="2"/>
        <v>-1.0945656175149061</v>
      </c>
      <c r="J21" s="4"/>
      <c r="M21" s="4"/>
    </row>
    <row r="22" spans="1:13" x14ac:dyDescent="0.2">
      <c r="A22" s="4">
        <v>41642</v>
      </c>
      <c r="B22" s="3">
        <v>46206.09</v>
      </c>
      <c r="C22" s="6">
        <f t="shared" si="0"/>
        <v>-8.2678790756835086E-3</v>
      </c>
      <c r="D22" s="7">
        <f t="shared" si="1"/>
        <v>-0.77849961127951284</v>
      </c>
      <c r="E22" s="8">
        <f t="shared" si="2"/>
        <v>-1.2837388559072611</v>
      </c>
      <c r="J22" s="4"/>
      <c r="M22" s="4"/>
    </row>
    <row r="23" spans="1:13" x14ac:dyDescent="0.2">
      <c r="A23" s="4">
        <v>41645</v>
      </c>
      <c r="B23" s="3">
        <v>45897.440000000002</v>
      </c>
      <c r="C23" s="6">
        <f t="shared" si="0"/>
        <v>-6.7022654916329668E-3</v>
      </c>
      <c r="D23" s="7">
        <f t="shared" si="1"/>
        <v>-0.63505199845134863</v>
      </c>
      <c r="E23" s="8">
        <f t="shared" si="2"/>
        <v>-1.0918849962827883</v>
      </c>
      <c r="J23" s="4"/>
      <c r="M23" s="4"/>
    </row>
    <row r="24" spans="1:13" x14ac:dyDescent="0.2">
      <c r="A24" s="4">
        <v>41646</v>
      </c>
      <c r="B24" s="3">
        <v>45867.519999999997</v>
      </c>
      <c r="C24" s="6">
        <f t="shared" si="0"/>
        <v>-6.5210078139317355E-4</v>
      </c>
      <c r="D24" s="7">
        <f t="shared" si="1"/>
        <v>-8.071234929237546E-2</v>
      </c>
      <c r="E24" s="8">
        <f t="shared" si="2"/>
        <v>-0.67073874343196993</v>
      </c>
      <c r="J24" s="4"/>
      <c r="M24" s="4"/>
    </row>
    <row r="25" spans="1:13" x14ac:dyDescent="0.2">
      <c r="A25" s="4">
        <v>41647</v>
      </c>
      <c r="B25" s="3">
        <v>45696.97</v>
      </c>
      <c r="C25" s="6">
        <f t="shared" si="0"/>
        <v>-3.7252475765110456E-3</v>
      </c>
      <c r="D25" s="7">
        <f t="shared" si="1"/>
        <v>-0.36228602501998131</v>
      </c>
      <c r="E25" s="8">
        <f t="shared" si="2"/>
        <v>-0.81049490317090545</v>
      </c>
      <c r="J25" s="4"/>
      <c r="M25" s="4"/>
    </row>
    <row r="26" spans="1:13" x14ac:dyDescent="0.2">
      <c r="A26" s="4">
        <v>41648</v>
      </c>
      <c r="B26" s="3">
        <v>45444.59</v>
      </c>
      <c r="C26" s="6">
        <f t="shared" si="0"/>
        <v>-5.5382120972826705E-3</v>
      </c>
      <c r="D26" s="7">
        <f t="shared" si="1"/>
        <v>-0.52839689381686994</v>
      </c>
      <c r="E26" s="8">
        <f t="shared" si="2"/>
        <v>-0.96722915364468043</v>
      </c>
      <c r="J26" s="4"/>
      <c r="M26" s="4"/>
    </row>
    <row r="27" spans="1:13" x14ac:dyDescent="0.2">
      <c r="A27" s="4">
        <v>41649</v>
      </c>
      <c r="B27" s="3">
        <v>45548.15</v>
      </c>
      <c r="C27" s="6">
        <f t="shared" si="0"/>
        <v>2.2762265366186394E-3</v>
      </c>
      <c r="D27" s="7">
        <f t="shared" si="1"/>
        <v>0.1875924020380999</v>
      </c>
      <c r="E27" s="8">
        <f t="shared" si="2"/>
        <v>-0.70352742662636758</v>
      </c>
      <c r="J27" s="4"/>
      <c r="M27" s="4"/>
    </row>
    <row r="28" spans="1:13" x14ac:dyDescent="0.2">
      <c r="A28" s="4">
        <v>41652</v>
      </c>
      <c r="B28" s="3">
        <v>46030.25</v>
      </c>
      <c r="C28" s="6">
        <f t="shared" si="0"/>
        <v>1.0528780882839477E-2</v>
      </c>
      <c r="D28" s="7">
        <f t="shared" si="1"/>
        <v>0.94372356541069224</v>
      </c>
      <c r="E28" s="8">
        <f t="shared" si="2"/>
        <v>-1.5314835601649428</v>
      </c>
      <c r="J28" s="4"/>
      <c r="M28" s="4"/>
    </row>
    <row r="29" spans="1:13" x14ac:dyDescent="0.2">
      <c r="A29" s="4">
        <v>41653</v>
      </c>
      <c r="B29" s="3">
        <v>45982.07</v>
      </c>
      <c r="C29" s="6">
        <f t="shared" si="0"/>
        <v>-1.0472511594836404E-3</v>
      </c>
      <c r="D29" s="7">
        <f t="shared" si="1"/>
        <v>-0.11691756558755682</v>
      </c>
      <c r="E29" s="8">
        <f t="shared" si="2"/>
        <v>-0.67895815629791001</v>
      </c>
      <c r="J29" s="4"/>
      <c r="M29" s="4"/>
    </row>
    <row r="30" spans="1:13" x14ac:dyDescent="0.2">
      <c r="A30" s="4">
        <v>41654</v>
      </c>
      <c r="B30" s="3">
        <v>46442.45</v>
      </c>
      <c r="C30" s="6">
        <f t="shared" si="0"/>
        <v>9.962373787333112E-3</v>
      </c>
      <c r="D30" s="7">
        <f t="shared" si="1"/>
        <v>0.89182714181866296</v>
      </c>
      <c r="E30" s="8">
        <f t="shared" si="2"/>
        <v>-1.4511015559417633</v>
      </c>
      <c r="J30" s="4"/>
      <c r="M30" s="4"/>
    </row>
    <row r="31" spans="1:13" x14ac:dyDescent="0.2">
      <c r="A31" s="4">
        <v>41655</v>
      </c>
      <c r="B31" s="3">
        <v>46728.46</v>
      </c>
      <c r="C31" s="6">
        <f t="shared" si="0"/>
        <v>6.1394892115680553E-3</v>
      </c>
      <c r="D31" s="7">
        <f t="shared" si="1"/>
        <v>0.54155957126505749</v>
      </c>
      <c r="E31" s="8">
        <f t="shared" si="2"/>
        <v>-0.98167603250357083</v>
      </c>
      <c r="J31" s="4"/>
      <c r="M31" s="4"/>
    </row>
    <row r="32" spans="1:13" x14ac:dyDescent="0.2">
      <c r="A32" s="4">
        <v>41656</v>
      </c>
      <c r="B32" s="3">
        <v>46675.88</v>
      </c>
      <c r="C32" s="6">
        <f t="shared" si="0"/>
        <v>-1.1258578681464008E-3</v>
      </c>
      <c r="D32" s="7">
        <f t="shared" si="1"/>
        <v>-0.12411981831761996</v>
      </c>
      <c r="E32" s="8">
        <f t="shared" si="2"/>
        <v>-0.68094851974145942</v>
      </c>
      <c r="J32" s="4"/>
      <c r="M32" s="4"/>
    </row>
    <row r="33" spans="1:13" x14ac:dyDescent="0.2">
      <c r="A33" s="4">
        <v>41659</v>
      </c>
      <c r="B33" s="3">
        <v>46934.59</v>
      </c>
      <c r="C33" s="6">
        <f t="shared" si="0"/>
        <v>5.5273872393875904E-3</v>
      </c>
      <c r="D33" s="7">
        <f t="shared" si="1"/>
        <v>0.48547640514335594</v>
      </c>
      <c r="E33" s="8">
        <f t="shared" si="2"/>
        <v>-0.9220856260915139</v>
      </c>
      <c r="J33" s="4"/>
      <c r="M33" s="4"/>
    </row>
    <row r="34" spans="1:13" x14ac:dyDescent="0.2">
      <c r="A34" s="4">
        <v>41660</v>
      </c>
      <c r="B34" s="3">
        <v>46889.64</v>
      </c>
      <c r="C34" s="6">
        <f t="shared" si="0"/>
        <v>-9.5817473671868107E-4</v>
      </c>
      <c r="D34" s="7">
        <f t="shared" si="1"/>
        <v>-0.10875603688400078</v>
      </c>
      <c r="E34" s="8">
        <f t="shared" si="2"/>
        <v>-0.6768448204360018</v>
      </c>
      <c r="J34" s="4"/>
      <c r="M34" s="4"/>
    </row>
    <row r="35" spans="1:13" x14ac:dyDescent="0.2">
      <c r="A35" s="4">
        <v>41661</v>
      </c>
      <c r="B35" s="3">
        <v>47000.95</v>
      </c>
      <c r="C35" s="6">
        <f t="shared" si="0"/>
        <v>2.3710587429044672E-3</v>
      </c>
      <c r="D35" s="7">
        <f t="shared" si="1"/>
        <v>0.19628129803996985</v>
      </c>
      <c r="E35" s="8">
        <f t="shared" si="2"/>
        <v>-0.70731494120101668</v>
      </c>
      <c r="J35" s="4"/>
      <c r="M35" s="4"/>
    </row>
    <row r="36" spans="1:13" x14ac:dyDescent="0.2">
      <c r="A36" s="4">
        <v>41662</v>
      </c>
      <c r="B36" s="3">
        <v>47045.440000000002</v>
      </c>
      <c r="C36" s="6">
        <f t="shared" si="0"/>
        <v>9.4612889062101831E-4</v>
      </c>
      <c r="D36" s="7">
        <f t="shared" si="1"/>
        <v>6.5723676517026597E-2</v>
      </c>
      <c r="E36" s="8">
        <f t="shared" si="2"/>
        <v>-0.6682122991991476</v>
      </c>
      <c r="J36" s="4"/>
      <c r="M36" s="4"/>
    </row>
    <row r="37" spans="1:13" x14ac:dyDescent="0.2">
      <c r="A37" s="4">
        <v>41663</v>
      </c>
      <c r="B37" s="3">
        <v>46462.14</v>
      </c>
      <c r="C37" s="6">
        <f t="shared" si="0"/>
        <v>-1.2476155753028052E-2</v>
      </c>
      <c r="D37" s="7">
        <f t="shared" si="1"/>
        <v>-1.1640783068371425</v>
      </c>
      <c r="E37" s="8">
        <f t="shared" si="2"/>
        <v>-1.8918420535684173</v>
      </c>
      <c r="J37" s="4"/>
      <c r="M37" s="4"/>
    </row>
    <row r="38" spans="1:13" x14ac:dyDescent="0.2">
      <c r="A38" s="4">
        <v>41666</v>
      </c>
      <c r="B38" s="3">
        <v>45750.7</v>
      </c>
      <c r="C38" s="6">
        <f t="shared" si="0"/>
        <v>-1.5430695258407637E-2</v>
      </c>
      <c r="D38" s="7">
        <f t="shared" si="1"/>
        <v>-1.4347847208404614</v>
      </c>
      <c r="E38" s="8">
        <f t="shared" si="2"/>
        <v>-2.3584989766779927</v>
      </c>
      <c r="J38" s="4"/>
      <c r="M38" s="4"/>
    </row>
    <row r="39" spans="1:13" x14ac:dyDescent="0.2">
      <c r="A39" s="4">
        <v>41667</v>
      </c>
      <c r="B39" s="3">
        <v>45724.7</v>
      </c>
      <c r="C39" s="6">
        <f t="shared" si="0"/>
        <v>-5.6845885779457667E-4</v>
      </c>
      <c r="D39" s="7">
        <f t="shared" si="1"/>
        <v>-7.304875056354182E-2</v>
      </c>
      <c r="E39" s="8">
        <f t="shared" si="2"/>
        <v>-0.66938267425795994</v>
      </c>
      <c r="J39" s="4"/>
      <c r="M39" s="4"/>
    </row>
    <row r="40" spans="1:13" x14ac:dyDescent="0.2">
      <c r="A40" s="4">
        <v>41668</v>
      </c>
      <c r="B40" s="3">
        <v>45564.62</v>
      </c>
      <c r="C40" s="6">
        <f t="shared" si="0"/>
        <v>-3.5070951142625053E-3</v>
      </c>
      <c r="D40" s="7">
        <f t="shared" si="1"/>
        <v>-0.3422980469767804</v>
      </c>
      <c r="E40" s="8">
        <f t="shared" si="2"/>
        <v>-0.79508043437757403</v>
      </c>
      <c r="J40" s="4"/>
      <c r="M40" s="4"/>
    </row>
    <row r="41" spans="1:13" x14ac:dyDescent="0.2">
      <c r="A41" s="4">
        <v>41669</v>
      </c>
      <c r="B41" s="3">
        <v>45178.25</v>
      </c>
      <c r="C41" s="6">
        <f t="shared" si="0"/>
        <v>-8.5157618422674244E-3</v>
      </c>
      <c r="D41" s="7">
        <f t="shared" si="1"/>
        <v>-0.80121159557113342</v>
      </c>
      <c r="E41" s="8">
        <f t="shared" si="2"/>
        <v>-1.3162837793200013</v>
      </c>
      <c r="J41" s="4"/>
      <c r="M41" s="4"/>
    </row>
    <row r="42" spans="1:13" x14ac:dyDescent="0.2">
      <c r="A42" s="4">
        <v>41670</v>
      </c>
      <c r="B42" s="3">
        <v>45132.1</v>
      </c>
      <c r="C42" s="6">
        <f t="shared" si="0"/>
        <v>-1.0220313400879936E-3</v>
      </c>
      <c r="D42" s="7">
        <f t="shared" si="1"/>
        <v>-0.11460682753244669</v>
      </c>
      <c r="E42" s="8">
        <f t="shared" si="2"/>
        <v>-0.67834447807239651</v>
      </c>
      <c r="J42" s="4"/>
      <c r="M42" s="4"/>
    </row>
    <row r="43" spans="1:13" x14ac:dyDescent="0.2">
      <c r="A43" s="4">
        <v>41673</v>
      </c>
      <c r="B43" s="3">
        <v>44956.91</v>
      </c>
      <c r="C43" s="6">
        <f t="shared" si="0"/>
        <v>-3.8892695309456497E-3</v>
      </c>
      <c r="D43" s="7">
        <f t="shared" si="1"/>
        <v>-0.37731435516143358</v>
      </c>
      <c r="E43" s="8">
        <f t="shared" si="2"/>
        <v>-0.82259747724552146</v>
      </c>
      <c r="J43" s="4"/>
      <c r="M43" s="4"/>
    </row>
    <row r="44" spans="1:13" x14ac:dyDescent="0.2">
      <c r="A44" s="4">
        <v>41674</v>
      </c>
      <c r="B44" s="3">
        <v>44451.57</v>
      </c>
      <c r="C44" s="6">
        <f t="shared" si="0"/>
        <v>-1.1304193544484777E-2</v>
      </c>
      <c r="D44" s="7">
        <f t="shared" si="1"/>
        <v>-1.0566985658506023</v>
      </c>
      <c r="E44" s="8">
        <f t="shared" si="2"/>
        <v>-1.7129560510287412</v>
      </c>
      <c r="J44" s="4"/>
      <c r="M44" s="4"/>
    </row>
    <row r="45" spans="1:13" x14ac:dyDescent="0.2">
      <c r="A45" s="4">
        <v>41675</v>
      </c>
      <c r="B45" s="3">
        <v>44477.18</v>
      </c>
      <c r="C45" s="6">
        <f t="shared" si="0"/>
        <v>5.7596673084880045E-4</v>
      </c>
      <c r="D45" s="7">
        <f t="shared" si="1"/>
        <v>3.180797808442537E-2</v>
      </c>
      <c r="E45" s="8">
        <f t="shared" si="2"/>
        <v>-0.66440019388783089</v>
      </c>
      <c r="J45" s="4"/>
      <c r="M45" s="4"/>
    </row>
    <row r="46" spans="1:13" x14ac:dyDescent="0.2">
      <c r="A46" s="4">
        <v>41676</v>
      </c>
      <c r="B46" s="3">
        <v>44985.34</v>
      </c>
      <c r="C46" s="6">
        <f t="shared" si="0"/>
        <v>1.1360410263501706E-2</v>
      </c>
      <c r="D46" s="7">
        <f t="shared" si="1"/>
        <v>1.0199206875033109</v>
      </c>
      <c r="E46" s="8">
        <f t="shared" si="2"/>
        <v>-1.6530104551479206</v>
      </c>
      <c r="J46" s="4"/>
      <c r="M46" s="4"/>
    </row>
    <row r="47" spans="1:13" x14ac:dyDescent="0.2">
      <c r="A47" s="4">
        <v>41677</v>
      </c>
      <c r="B47" s="3">
        <v>45340.76</v>
      </c>
      <c r="C47" s="6">
        <f t="shared" si="0"/>
        <v>7.8697482643112857E-3</v>
      </c>
      <c r="D47" s="7">
        <f t="shared" si="1"/>
        <v>0.70009264303886787</v>
      </c>
      <c r="E47" s="8">
        <f t="shared" si="2"/>
        <v>-1.1757562942666719</v>
      </c>
      <c r="J47" s="4"/>
      <c r="M47" s="4"/>
    </row>
    <row r="48" spans="1:13" x14ac:dyDescent="0.2">
      <c r="A48" s="4">
        <v>41680</v>
      </c>
      <c r="B48" s="3">
        <v>45920.87</v>
      </c>
      <c r="C48" s="6">
        <f t="shared" si="0"/>
        <v>1.2713290645124182E-2</v>
      </c>
      <c r="D48" s="7">
        <f t="shared" si="1"/>
        <v>1.1438768559747867</v>
      </c>
      <c r="E48" s="8">
        <f t="shared" si="2"/>
        <v>-1.8578046240813468</v>
      </c>
      <c r="J48" s="4"/>
      <c r="M48" s="4"/>
    </row>
    <row r="49" spans="1:13" x14ac:dyDescent="0.2">
      <c r="A49" s="4">
        <v>41681</v>
      </c>
      <c r="B49" s="3">
        <v>45866.02</v>
      </c>
      <c r="C49" s="6">
        <f t="shared" si="0"/>
        <v>-1.19515993033461E-3</v>
      </c>
      <c r="D49" s="7">
        <f t="shared" si="1"/>
        <v>-0.13046954310682865</v>
      </c>
      <c r="E49" s="8">
        <f t="shared" si="2"/>
        <v>-0.68280059907390778</v>
      </c>
      <c r="J49" s="4"/>
      <c r="M49" s="4"/>
    </row>
    <row r="50" spans="1:13" x14ac:dyDescent="0.2">
      <c r="A50" s="4">
        <v>41682</v>
      </c>
      <c r="B50" s="3">
        <v>46425.11</v>
      </c>
      <c r="C50" s="6">
        <f t="shared" si="0"/>
        <v>1.2115938754459639E-2</v>
      </c>
      <c r="D50" s="7">
        <f t="shared" si="1"/>
        <v>1.0891451497561129</v>
      </c>
      <c r="E50" s="8">
        <f t="shared" si="2"/>
        <v>-1.7664466605521856</v>
      </c>
      <c r="J50" s="4"/>
      <c r="M50" s="4"/>
    </row>
    <row r="51" spans="1:13" x14ac:dyDescent="0.2">
      <c r="A51" s="4">
        <v>41683</v>
      </c>
      <c r="B51" s="3">
        <v>46251.77</v>
      </c>
      <c r="C51" s="6">
        <f t="shared" si="0"/>
        <v>-3.7407431525779541E-3</v>
      </c>
      <c r="D51" s="7">
        <f t="shared" si="1"/>
        <v>-0.36370579003661102</v>
      </c>
      <c r="E51" s="8">
        <f t="shared" si="2"/>
        <v>-0.81161955730273549</v>
      </c>
      <c r="J51" s="4"/>
      <c r="M51" s="4"/>
    </row>
    <row r="52" spans="1:13" x14ac:dyDescent="0.2">
      <c r="A52" s="4">
        <v>41684</v>
      </c>
      <c r="B52" s="3">
        <v>46628.74</v>
      </c>
      <c r="C52" s="6">
        <f t="shared" si="0"/>
        <v>8.117355727766E-3</v>
      </c>
      <c r="D52" s="7">
        <f t="shared" si="1"/>
        <v>0.72277940298580301</v>
      </c>
      <c r="E52" s="8">
        <f t="shared" si="2"/>
        <v>-1.2062683489606358</v>
      </c>
      <c r="J52" s="4"/>
      <c r="M52" s="4"/>
    </row>
    <row r="53" spans="1:13" x14ac:dyDescent="0.2">
      <c r="A53" s="4">
        <v>41687</v>
      </c>
      <c r="B53" s="3">
        <v>47027.54</v>
      </c>
      <c r="C53" s="6">
        <f t="shared" si="0"/>
        <v>8.5162983266527589E-3</v>
      </c>
      <c r="D53" s="7">
        <f t="shared" si="1"/>
        <v>0.75933207731666263</v>
      </c>
      <c r="E53" s="8">
        <f t="shared" si="2"/>
        <v>-1.2566983915557441</v>
      </c>
      <c r="J53" s="4"/>
      <c r="M53" s="4"/>
    </row>
    <row r="54" spans="1:13" x14ac:dyDescent="0.2">
      <c r="A54" s="4">
        <v>41688</v>
      </c>
      <c r="B54" s="3">
        <v>47112.43</v>
      </c>
      <c r="C54" s="6">
        <f t="shared" si="0"/>
        <v>1.8034852360616766E-3</v>
      </c>
      <c r="D54" s="7">
        <f t="shared" si="1"/>
        <v>0.14427800329947169</v>
      </c>
      <c r="E54" s="8">
        <f t="shared" si="2"/>
        <v>-0.68714205515662885</v>
      </c>
      <c r="J54" s="4"/>
      <c r="M54" s="4"/>
    </row>
    <row r="55" spans="1:13" x14ac:dyDescent="0.2">
      <c r="A55" s="4">
        <v>41689</v>
      </c>
      <c r="B55" s="3">
        <v>47438.31</v>
      </c>
      <c r="C55" s="6">
        <f t="shared" si="0"/>
        <v>6.8932573219885E-3</v>
      </c>
      <c r="D55" s="7">
        <f t="shared" si="1"/>
        <v>0.61062274059836485</v>
      </c>
      <c r="E55" s="8">
        <f t="shared" si="2"/>
        <v>-1.0618536789970661</v>
      </c>
      <c r="J55" s="4"/>
      <c r="M55" s="4"/>
    </row>
    <row r="56" spans="1:13" x14ac:dyDescent="0.2">
      <c r="A56" s="4">
        <v>41690</v>
      </c>
      <c r="B56" s="3">
        <v>47149.35</v>
      </c>
      <c r="C56" s="6">
        <f t="shared" si="0"/>
        <v>-6.1099069144752421E-3</v>
      </c>
      <c r="D56" s="7">
        <f t="shared" si="1"/>
        <v>-0.580777799059361</v>
      </c>
      <c r="E56" s="8">
        <f t="shared" si="2"/>
        <v>-1.0263261648063651</v>
      </c>
      <c r="J56" s="4"/>
      <c r="M56" s="4"/>
    </row>
    <row r="57" spans="1:13" x14ac:dyDescent="0.2">
      <c r="A57" s="4">
        <v>41691</v>
      </c>
      <c r="B57" s="3">
        <v>47452.24</v>
      </c>
      <c r="C57" s="6">
        <f t="shared" si="0"/>
        <v>6.4035083342175838E-3</v>
      </c>
      <c r="D57" s="7">
        <f t="shared" si="1"/>
        <v>0.56575003133188739</v>
      </c>
      <c r="E57" s="8">
        <f t="shared" si="2"/>
        <v>-1.0089378086613829</v>
      </c>
      <c r="J57" s="4"/>
      <c r="M57" s="4"/>
    </row>
    <row r="58" spans="1:13" x14ac:dyDescent="0.2">
      <c r="A58" s="4">
        <v>41694</v>
      </c>
      <c r="B58" s="3">
        <v>47394</v>
      </c>
      <c r="C58" s="6">
        <f t="shared" si="0"/>
        <v>-1.2280931182903835E-3</v>
      </c>
      <c r="D58" s="7">
        <f t="shared" si="1"/>
        <v>-0.13348701002408328</v>
      </c>
      <c r="E58" s="8">
        <f t="shared" si="2"/>
        <v>-0.68371263650761904</v>
      </c>
      <c r="J58" s="4"/>
      <c r="M58" s="4"/>
    </row>
    <row r="59" spans="1:13" x14ac:dyDescent="0.2">
      <c r="A59" s="4">
        <v>41695</v>
      </c>
      <c r="B59" s="3">
        <v>46956.75</v>
      </c>
      <c r="C59" s="6">
        <f t="shared" si="0"/>
        <v>-9.2686731219253672E-3</v>
      </c>
      <c r="D59" s="7">
        <f t="shared" si="1"/>
        <v>-0.87019625873361373</v>
      </c>
      <c r="E59" s="8">
        <f t="shared" si="2"/>
        <v>-1.4182433459042283</v>
      </c>
      <c r="J59" s="4"/>
      <c r="M59" s="4"/>
    </row>
    <row r="60" spans="1:13" x14ac:dyDescent="0.2">
      <c r="A60" s="4">
        <v>41696</v>
      </c>
      <c r="B60" s="3">
        <v>47017.19</v>
      </c>
      <c r="C60" s="6">
        <f t="shared" si="0"/>
        <v>1.2863142342161896E-3</v>
      </c>
      <c r="D60" s="7">
        <f t="shared" si="1"/>
        <v>9.6892782326395185E-2</v>
      </c>
      <c r="E60" s="8">
        <f t="shared" si="2"/>
        <v>-0.67404294061359493</v>
      </c>
      <c r="J60" s="4"/>
      <c r="M60" s="4"/>
    </row>
    <row r="61" spans="1:13" x14ac:dyDescent="0.2">
      <c r="A61" s="4">
        <v>41697</v>
      </c>
      <c r="B61" s="3">
        <v>47049.79</v>
      </c>
      <c r="C61" s="6">
        <f t="shared" si="0"/>
        <v>6.9312316192444968E-4</v>
      </c>
      <c r="D61" s="7">
        <f t="shared" si="1"/>
        <v>4.2542306488621624E-2</v>
      </c>
      <c r="E61" s="8">
        <f t="shared" si="2"/>
        <v>-0.66532045972054277</v>
      </c>
      <c r="J61" s="4"/>
      <c r="M61" s="4"/>
    </row>
    <row r="62" spans="1:13" x14ac:dyDescent="0.2">
      <c r="A62" s="4">
        <v>41698</v>
      </c>
      <c r="B62" s="3">
        <v>47328.92</v>
      </c>
      <c r="C62" s="6">
        <f t="shared" si="0"/>
        <v>5.9151224649125088E-3</v>
      </c>
      <c r="D62" s="7">
        <f t="shared" si="1"/>
        <v>0.52100221628702315</v>
      </c>
      <c r="E62" s="8">
        <f t="shared" si="2"/>
        <v>-0.95923514136042931</v>
      </c>
      <c r="J62" s="4"/>
      <c r="M62" s="4"/>
    </row>
    <row r="63" spans="1:13" x14ac:dyDescent="0.2">
      <c r="A63" s="4">
        <v>41701</v>
      </c>
      <c r="B63" s="3">
        <v>47138.32</v>
      </c>
      <c r="C63" s="6">
        <f t="shared" si="0"/>
        <v>-4.0352668000939521E-3</v>
      </c>
      <c r="D63" s="7">
        <f t="shared" si="1"/>
        <v>-0.39069119345161463</v>
      </c>
      <c r="E63" s="8">
        <f t="shared" si="2"/>
        <v>-0.83373481587795428</v>
      </c>
      <c r="J63" s="4"/>
      <c r="M63" s="4"/>
    </row>
    <row r="64" spans="1:13" x14ac:dyDescent="0.2">
      <c r="A64" s="4">
        <v>41702</v>
      </c>
      <c r="B64" s="3">
        <v>47602.69</v>
      </c>
      <c r="C64" s="6">
        <f t="shared" si="0"/>
        <v>9.8030138962684719E-3</v>
      </c>
      <c r="D64" s="7">
        <f t="shared" si="1"/>
        <v>0.87722596807652142</v>
      </c>
      <c r="E64" s="8">
        <f t="shared" si="2"/>
        <v>-1.4288778857380051</v>
      </c>
      <c r="J64" s="4"/>
      <c r="M64" s="4"/>
    </row>
    <row r="65" spans="1:13" x14ac:dyDescent="0.2">
      <c r="A65" s="4">
        <v>41703</v>
      </c>
      <c r="B65" s="3">
        <v>47514.8</v>
      </c>
      <c r="C65" s="6">
        <f t="shared" si="0"/>
        <v>-1.8480307883150099E-3</v>
      </c>
      <c r="D65" s="7">
        <f t="shared" si="1"/>
        <v>-0.19028811329326387</v>
      </c>
      <c r="E65" s="8">
        <f t="shared" si="2"/>
        <v>-0.70468472412732519</v>
      </c>
      <c r="J65" s="4"/>
      <c r="M65" s="4"/>
    </row>
    <row r="66" spans="1:13" x14ac:dyDescent="0.2">
      <c r="A66" s="4">
        <v>41704</v>
      </c>
      <c r="B66" s="3">
        <v>47819.53</v>
      </c>
      <c r="C66" s="6">
        <f t="shared" si="0"/>
        <v>6.392892000923734E-3</v>
      </c>
      <c r="D66" s="7">
        <f t="shared" si="1"/>
        <v>0.564777321537143</v>
      </c>
      <c r="E66" s="8">
        <f t="shared" si="2"/>
        <v>-1.0078241238134626</v>
      </c>
      <c r="J66" s="4"/>
      <c r="M66" s="4"/>
    </row>
    <row r="67" spans="1:13" x14ac:dyDescent="0.2">
      <c r="A67" s="4">
        <v>41705</v>
      </c>
      <c r="B67" s="3">
        <v>47786.77</v>
      </c>
      <c r="C67" s="6">
        <f t="shared" ref="C67:C130" si="3">LN(B67/B66)</f>
        <v>-6.8531051368264379E-4</v>
      </c>
      <c r="D67" s="7">
        <f t="shared" ref="D67:D130" si="4">(C67-$G$4)/$G$5</f>
        <v>-8.3755154278304295E-2</v>
      </c>
      <c r="E67" s="8">
        <f t="shared" ref="E67:E130" si="5">LN((PI()*(G$3-2))^(-1/2)*EXP(GAMMALN((G$3+1)/2))*((1+D67^2/(G$3-2))^(-(G$3+1)/2))/EXP(GAMMALN(G$3/2)))</f>
        <v>-0.67131444627062231</v>
      </c>
      <c r="J67" s="4"/>
      <c r="M67" s="4"/>
    </row>
    <row r="68" spans="1:13" x14ac:dyDescent="0.2">
      <c r="A68" s="4">
        <v>41708</v>
      </c>
      <c r="B68" s="3">
        <v>47322.46</v>
      </c>
      <c r="C68" s="6">
        <f t="shared" si="3"/>
        <v>-9.7637987105660927E-3</v>
      </c>
      <c r="D68" s="7">
        <f t="shared" si="4"/>
        <v>-0.91556159310743634</v>
      </c>
      <c r="E68" s="8">
        <f t="shared" si="5"/>
        <v>-1.4876020393900296</v>
      </c>
      <c r="J68" s="4"/>
      <c r="M68" s="4"/>
    </row>
    <row r="69" spans="1:13" x14ac:dyDescent="0.2">
      <c r="A69" s="4">
        <v>41709</v>
      </c>
      <c r="B69" s="3">
        <v>47612.81</v>
      </c>
      <c r="C69" s="6">
        <f t="shared" si="3"/>
        <v>6.1168184447751668E-3</v>
      </c>
      <c r="D69" s="7">
        <f t="shared" si="4"/>
        <v>0.53948238733502918</v>
      </c>
      <c r="E69" s="8">
        <f t="shared" si="5"/>
        <v>-0.97937784657952565</v>
      </c>
      <c r="J69" s="4"/>
      <c r="M69" s="4"/>
    </row>
    <row r="70" spans="1:13" x14ac:dyDescent="0.2">
      <c r="A70" s="4">
        <v>41710</v>
      </c>
      <c r="B70" s="3">
        <v>47188.84</v>
      </c>
      <c r="C70" s="6">
        <f t="shared" si="3"/>
        <v>-8.9444187217350216E-3</v>
      </c>
      <c r="D70" s="7">
        <f t="shared" si="4"/>
        <v>-0.840486807991628</v>
      </c>
      <c r="E70" s="8">
        <f t="shared" si="5"/>
        <v>-1.3737840913710642</v>
      </c>
      <c r="J70" s="4"/>
      <c r="M70" s="4"/>
    </row>
    <row r="71" spans="1:13" x14ac:dyDescent="0.2">
      <c r="A71" s="4">
        <v>41711</v>
      </c>
      <c r="B71" s="3">
        <v>46825.52</v>
      </c>
      <c r="C71" s="6">
        <f t="shared" si="3"/>
        <v>-7.729070509692083E-3</v>
      </c>
      <c r="D71" s="7">
        <f t="shared" si="4"/>
        <v>-0.72913187242605304</v>
      </c>
      <c r="E71" s="8">
        <f t="shared" si="5"/>
        <v>-1.2149221168226707</v>
      </c>
      <c r="J71" s="4"/>
      <c r="M71" s="4"/>
    </row>
    <row r="72" spans="1:13" x14ac:dyDescent="0.2">
      <c r="A72" s="4">
        <v>41712</v>
      </c>
      <c r="B72" s="3">
        <v>46412.4</v>
      </c>
      <c r="C72" s="6">
        <f t="shared" si="3"/>
        <v>-8.8616885384443459E-3</v>
      </c>
      <c r="D72" s="7">
        <f t="shared" si="4"/>
        <v>-0.83290674645998208</v>
      </c>
      <c r="E72" s="8">
        <f t="shared" si="5"/>
        <v>-1.3625706111578282</v>
      </c>
      <c r="J72" s="4"/>
      <c r="M72" s="4"/>
    </row>
    <row r="73" spans="1:13" x14ac:dyDescent="0.2">
      <c r="A73" s="4">
        <v>41715</v>
      </c>
      <c r="B73" s="3">
        <v>46816.65</v>
      </c>
      <c r="C73" s="6">
        <f t="shared" si="3"/>
        <v>8.6722439746004173E-3</v>
      </c>
      <c r="D73" s="7">
        <f t="shared" si="4"/>
        <v>0.77362042480989113</v>
      </c>
      <c r="E73" s="8">
        <f t="shared" si="5"/>
        <v>-1.2768179462318336</v>
      </c>
      <c r="J73" s="4"/>
      <c r="M73" s="4"/>
    </row>
    <row r="74" spans="1:13" x14ac:dyDescent="0.2">
      <c r="A74" s="4">
        <v>41716</v>
      </c>
      <c r="B74" s="3">
        <v>47059.19</v>
      </c>
      <c r="C74" s="6">
        <f t="shared" si="3"/>
        <v>5.1672621978853129E-3</v>
      </c>
      <c r="D74" s="7">
        <f t="shared" si="4"/>
        <v>0.45248034656963476</v>
      </c>
      <c r="E74" s="8">
        <f t="shared" si="5"/>
        <v>-0.88950418339485182</v>
      </c>
      <c r="J74" s="4"/>
      <c r="M74" s="4"/>
    </row>
    <row r="75" spans="1:13" x14ac:dyDescent="0.2">
      <c r="A75" s="4">
        <v>41717</v>
      </c>
      <c r="B75" s="3">
        <v>46666.54</v>
      </c>
      <c r="C75" s="6">
        <f t="shared" si="3"/>
        <v>-8.3787514295922041E-3</v>
      </c>
      <c r="D75" s="7">
        <f t="shared" si="4"/>
        <v>-0.788658168064447</v>
      </c>
      <c r="E75" s="8">
        <f t="shared" si="5"/>
        <v>-1.2982291906285568</v>
      </c>
      <c r="J75" s="4"/>
      <c r="M75" s="4"/>
    </row>
    <row r="76" spans="1:13" x14ac:dyDescent="0.2">
      <c r="A76" s="4">
        <v>41718</v>
      </c>
      <c r="B76" s="3">
        <v>46508.27</v>
      </c>
      <c r="C76" s="6">
        <f t="shared" si="3"/>
        <v>-3.397273409461278E-3</v>
      </c>
      <c r="D76" s="7">
        <f t="shared" si="4"/>
        <v>-0.3322357547541378</v>
      </c>
      <c r="E76" s="8">
        <f t="shared" si="5"/>
        <v>-0.78761930671619795</v>
      </c>
      <c r="J76" s="4"/>
      <c r="M76" s="4"/>
    </row>
    <row r="77" spans="1:13" x14ac:dyDescent="0.2">
      <c r="A77" s="4">
        <v>41722</v>
      </c>
      <c r="B77" s="3">
        <v>46875.37</v>
      </c>
      <c r="C77" s="6">
        <f t="shared" si="3"/>
        <v>7.862231350420721E-3</v>
      </c>
      <c r="D77" s="7">
        <f t="shared" si="4"/>
        <v>0.69940391411851277</v>
      </c>
      <c r="E77" s="8">
        <f t="shared" si="5"/>
        <v>-1.174839791533113</v>
      </c>
      <c r="J77" s="4"/>
      <c r="M77" s="4"/>
    </row>
    <row r="78" spans="1:13" x14ac:dyDescent="0.2">
      <c r="A78" s="4">
        <v>41723</v>
      </c>
      <c r="B78" s="3">
        <v>47387.56</v>
      </c>
      <c r="C78" s="6">
        <f t="shared" si="3"/>
        <v>1.0867369405582342E-2</v>
      </c>
      <c r="D78" s="7">
        <f t="shared" si="4"/>
        <v>0.97474636427579886</v>
      </c>
      <c r="E78" s="8">
        <f t="shared" si="5"/>
        <v>-1.5804938700577671</v>
      </c>
      <c r="J78" s="4"/>
      <c r="M78" s="4"/>
    </row>
    <row r="79" spans="1:13" x14ac:dyDescent="0.2">
      <c r="A79" s="4">
        <v>41724</v>
      </c>
      <c r="B79" s="3">
        <v>47652.89</v>
      </c>
      <c r="C79" s="6">
        <f t="shared" si="3"/>
        <v>5.5835318398256154E-3</v>
      </c>
      <c r="D79" s="7">
        <f t="shared" si="4"/>
        <v>0.49062059205388919</v>
      </c>
      <c r="E79" s="8">
        <f t="shared" si="5"/>
        <v>-0.92733411926902931</v>
      </c>
      <c r="J79" s="4"/>
      <c r="M79" s="4"/>
    </row>
    <row r="80" spans="1:13" x14ac:dyDescent="0.2">
      <c r="A80" s="4">
        <v>41725</v>
      </c>
      <c r="B80" s="3">
        <v>47380.98</v>
      </c>
      <c r="C80" s="6">
        <f t="shared" si="3"/>
        <v>-5.722396488591245E-3</v>
      </c>
      <c r="D80" s="7">
        <f t="shared" si="4"/>
        <v>-0.54527258493413011</v>
      </c>
      <c r="E80" s="8">
        <f t="shared" si="5"/>
        <v>-0.98580108762201135</v>
      </c>
      <c r="J80" s="4"/>
      <c r="M80" s="4"/>
    </row>
    <row r="81" spans="1:13" x14ac:dyDescent="0.2">
      <c r="A81" s="4">
        <v>41726</v>
      </c>
      <c r="B81" s="3">
        <v>47930.03</v>
      </c>
      <c r="C81" s="6">
        <f t="shared" si="3"/>
        <v>1.1521356734560666E-2</v>
      </c>
      <c r="D81" s="7">
        <f t="shared" si="4"/>
        <v>1.0346672298824295</v>
      </c>
      <c r="E81" s="8">
        <f t="shared" si="5"/>
        <v>-1.6769540689896638</v>
      </c>
      <c r="J81" s="4"/>
      <c r="M81" s="4"/>
    </row>
    <row r="82" spans="1:13" x14ac:dyDescent="0.2">
      <c r="A82" s="4">
        <v>41729</v>
      </c>
      <c r="B82" s="3">
        <v>47770.92</v>
      </c>
      <c r="C82" s="6">
        <f t="shared" si="3"/>
        <v>-3.3251529185829493E-3</v>
      </c>
      <c r="D82" s="7">
        <f t="shared" si="4"/>
        <v>-0.32562779455381441</v>
      </c>
      <c r="E82" s="8">
        <f t="shared" si="5"/>
        <v>-0.78282956504939449</v>
      </c>
      <c r="J82" s="4"/>
      <c r="M82" s="4"/>
    </row>
    <row r="83" spans="1:13" x14ac:dyDescent="0.2">
      <c r="A83" s="4">
        <v>41730</v>
      </c>
      <c r="B83" s="3">
        <v>48104.98</v>
      </c>
      <c r="C83" s="6">
        <f t="shared" si="3"/>
        <v>6.9686198903931964E-3</v>
      </c>
      <c r="D83" s="7">
        <f t="shared" si="4"/>
        <v>0.61752775256580317</v>
      </c>
      <c r="E83" s="8">
        <f t="shared" si="5"/>
        <v>-1.0702570155763094</v>
      </c>
      <c r="J83" s="4"/>
      <c r="M83" s="4"/>
    </row>
    <row r="84" spans="1:13" x14ac:dyDescent="0.2">
      <c r="A84" s="4">
        <v>41731</v>
      </c>
      <c r="B84" s="3">
        <v>48405.9</v>
      </c>
      <c r="C84" s="6">
        <f t="shared" si="3"/>
        <v>6.2360010637866302E-3</v>
      </c>
      <c r="D84" s="7">
        <f t="shared" si="4"/>
        <v>0.5504023629675675</v>
      </c>
      <c r="E84" s="8">
        <f t="shared" si="5"/>
        <v>-0.99153580735231106</v>
      </c>
      <c r="J84" s="4"/>
      <c r="M84" s="4"/>
    </row>
    <row r="85" spans="1:13" x14ac:dyDescent="0.2">
      <c r="A85" s="4">
        <v>41732</v>
      </c>
      <c r="B85" s="3">
        <v>48231.39</v>
      </c>
      <c r="C85" s="6">
        <f t="shared" si="3"/>
        <v>-3.6116532177775267E-3</v>
      </c>
      <c r="D85" s="7">
        <f t="shared" si="4"/>
        <v>-0.35187806755393053</v>
      </c>
      <c r="E85" s="8">
        <f t="shared" si="5"/>
        <v>-0.80237047431348962</v>
      </c>
      <c r="J85" s="4"/>
      <c r="M85" s="4"/>
    </row>
    <row r="86" spans="1:13" x14ac:dyDescent="0.2">
      <c r="A86" s="4">
        <v>41733</v>
      </c>
      <c r="B86" s="3">
        <v>48347.75</v>
      </c>
      <c r="C86" s="6">
        <f t="shared" si="3"/>
        <v>2.4096312371795652E-3</v>
      </c>
      <c r="D86" s="7">
        <f t="shared" si="4"/>
        <v>0.19981546016078869</v>
      </c>
      <c r="E86" s="8">
        <f t="shared" si="5"/>
        <v>-0.7089029327599583</v>
      </c>
      <c r="J86" s="4"/>
      <c r="M86" s="4"/>
    </row>
    <row r="87" spans="1:13" x14ac:dyDescent="0.2">
      <c r="A87" s="4">
        <v>41736</v>
      </c>
      <c r="B87" s="3">
        <v>47857.95</v>
      </c>
      <c r="C87" s="6">
        <f t="shared" si="3"/>
        <v>-1.0182436839961487E-2</v>
      </c>
      <c r="D87" s="7">
        <f t="shared" si="4"/>
        <v>-0.95391884863485066</v>
      </c>
      <c r="E87" s="8">
        <f t="shared" si="5"/>
        <v>-1.5475151253949484</v>
      </c>
      <c r="J87" s="4"/>
      <c r="M87" s="4"/>
    </row>
    <row r="88" spans="1:13" x14ac:dyDescent="0.2">
      <c r="A88" s="4">
        <v>41737</v>
      </c>
      <c r="B88" s="3">
        <v>48069.53</v>
      </c>
      <c r="C88" s="6">
        <f t="shared" si="3"/>
        <v>4.4112561509524325E-3</v>
      </c>
      <c r="D88" s="7">
        <f t="shared" si="4"/>
        <v>0.38321212877887895</v>
      </c>
      <c r="E88" s="8">
        <f t="shared" si="5"/>
        <v>-0.82746581313321144</v>
      </c>
      <c r="J88" s="4"/>
      <c r="M88" s="4"/>
    </row>
    <row r="89" spans="1:13" x14ac:dyDescent="0.2">
      <c r="A89" s="4">
        <v>41738</v>
      </c>
      <c r="B89" s="3">
        <v>48291.88</v>
      </c>
      <c r="C89" s="6">
        <f t="shared" si="3"/>
        <v>4.614926133305549E-3</v>
      </c>
      <c r="D89" s="7">
        <f t="shared" si="4"/>
        <v>0.40187316562152153</v>
      </c>
      <c r="E89" s="8">
        <f t="shared" si="5"/>
        <v>-0.8433049492499668</v>
      </c>
      <c r="J89" s="4"/>
      <c r="M89" s="4"/>
    </row>
    <row r="90" spans="1:13" x14ac:dyDescent="0.2">
      <c r="A90" s="4">
        <v>41739</v>
      </c>
      <c r="B90" s="3">
        <v>48529.88</v>
      </c>
      <c r="C90" s="6">
        <f t="shared" si="3"/>
        <v>4.9162601333380901E-3</v>
      </c>
      <c r="D90" s="7">
        <f t="shared" si="4"/>
        <v>0.42948256005255153</v>
      </c>
      <c r="E90" s="8">
        <f t="shared" si="5"/>
        <v>-0.86793142970316739</v>
      </c>
      <c r="J90" s="4"/>
      <c r="M90" s="4"/>
    </row>
    <row r="91" spans="1:13" x14ac:dyDescent="0.2">
      <c r="A91" s="4">
        <v>41740</v>
      </c>
      <c r="B91" s="3">
        <v>48032.41</v>
      </c>
      <c r="C91" s="6">
        <f t="shared" si="3"/>
        <v>-1.0303699326130745E-2</v>
      </c>
      <c r="D91" s="7">
        <f t="shared" si="4"/>
        <v>-0.96502938979506758</v>
      </c>
      <c r="E91" s="8">
        <f t="shared" si="5"/>
        <v>-1.5650703132038508</v>
      </c>
      <c r="J91" s="4"/>
      <c r="M91" s="4"/>
    </row>
    <row r="92" spans="1:13" x14ac:dyDescent="0.2">
      <c r="A92" s="4">
        <v>41743</v>
      </c>
      <c r="B92" s="3">
        <v>48213.26</v>
      </c>
      <c r="C92" s="6">
        <f t="shared" si="3"/>
        <v>3.7580955662644684E-3</v>
      </c>
      <c r="D92" s="7">
        <f t="shared" si="4"/>
        <v>0.32336701270334556</v>
      </c>
      <c r="E92" s="8">
        <f t="shared" si="5"/>
        <v>-0.78121098399078248</v>
      </c>
      <c r="J92" s="4"/>
      <c r="M92" s="4"/>
    </row>
    <row r="93" spans="1:13" x14ac:dyDescent="0.2">
      <c r="A93" s="4">
        <v>41744</v>
      </c>
      <c r="B93" s="3">
        <v>47789.760000000002</v>
      </c>
      <c r="C93" s="6">
        <f t="shared" si="3"/>
        <v>-8.8226963505678158E-3</v>
      </c>
      <c r="D93" s="7">
        <f t="shared" si="4"/>
        <v>-0.82933413037717796</v>
      </c>
      <c r="E93" s="8">
        <f t="shared" si="5"/>
        <v>-1.3573043549125983</v>
      </c>
      <c r="J93" s="4"/>
      <c r="M93" s="4"/>
    </row>
    <row r="94" spans="1:13" x14ac:dyDescent="0.2">
      <c r="A94" s="4">
        <v>41745</v>
      </c>
      <c r="B94" s="3">
        <v>48139.69</v>
      </c>
      <c r="C94" s="6">
        <f t="shared" si="3"/>
        <v>7.2956021765501183E-3</v>
      </c>
      <c r="D94" s="7">
        <f t="shared" si="4"/>
        <v>0.64748714284201314</v>
      </c>
      <c r="E94" s="8">
        <f t="shared" si="5"/>
        <v>-1.1074891114882706</v>
      </c>
      <c r="J94" s="4"/>
      <c r="M94" s="4"/>
    </row>
    <row r="95" spans="1:13" x14ac:dyDescent="0.2">
      <c r="A95" s="4">
        <v>41746</v>
      </c>
      <c r="B95" s="3">
        <v>48362.22</v>
      </c>
      <c r="C95" s="6">
        <f t="shared" si="3"/>
        <v>4.6119376172699547E-3</v>
      </c>
      <c r="D95" s="7">
        <f t="shared" si="4"/>
        <v>0.40159934614552056</v>
      </c>
      <c r="E95" s="8">
        <f t="shared" si="5"/>
        <v>-0.84306779273623689</v>
      </c>
      <c r="J95" s="4"/>
      <c r="M95" s="4"/>
    </row>
    <row r="96" spans="1:13" x14ac:dyDescent="0.2">
      <c r="A96" s="4">
        <v>41751</v>
      </c>
      <c r="B96" s="3">
        <v>48643.31</v>
      </c>
      <c r="C96" s="6">
        <f t="shared" si="3"/>
        <v>5.7953559292370019E-3</v>
      </c>
      <c r="D96" s="7">
        <f t="shared" si="4"/>
        <v>0.51002873993604381</v>
      </c>
      <c r="E96" s="8">
        <f t="shared" si="5"/>
        <v>-0.94753648420533965</v>
      </c>
      <c r="J96" s="4"/>
      <c r="M96" s="4"/>
    </row>
    <row r="97" spans="1:13" x14ac:dyDescent="0.2">
      <c r="A97" s="4">
        <v>41752</v>
      </c>
      <c r="B97" s="3">
        <v>48647.62</v>
      </c>
      <c r="C97" s="6">
        <f t="shared" si="3"/>
        <v>8.8600242650038638E-5</v>
      </c>
      <c r="D97" s="7">
        <f t="shared" si="4"/>
        <v>-1.2846437294165975E-2</v>
      </c>
      <c r="E97" s="8">
        <f t="shared" si="5"/>
        <v>-0.66342352034607099</v>
      </c>
      <c r="J97" s="4"/>
      <c r="M97" s="4"/>
    </row>
    <row r="98" spans="1:13" x14ac:dyDescent="0.2">
      <c r="A98" s="4">
        <v>41753</v>
      </c>
      <c r="B98" s="3">
        <v>48934.51</v>
      </c>
      <c r="C98" s="6">
        <f t="shared" si="3"/>
        <v>5.8799869726829804E-3</v>
      </c>
      <c r="D98" s="7">
        <f t="shared" si="4"/>
        <v>0.5177829656767744</v>
      </c>
      <c r="E98" s="8">
        <f t="shared" si="5"/>
        <v>-0.95578271443157903</v>
      </c>
      <c r="J98" s="4"/>
      <c r="M98" s="4"/>
    </row>
    <row r="99" spans="1:13" x14ac:dyDescent="0.2">
      <c r="A99" s="4">
        <v>41754</v>
      </c>
      <c r="B99" s="3">
        <v>48910.9</v>
      </c>
      <c r="C99" s="6">
        <f t="shared" si="3"/>
        <v>-4.8259801779626949E-4</v>
      </c>
      <c r="D99" s="7">
        <f t="shared" si="4"/>
        <v>-6.5181846074049019E-2</v>
      </c>
      <c r="E99" s="8">
        <f t="shared" si="5"/>
        <v>-0.66813061577484312</v>
      </c>
      <c r="J99" s="4"/>
      <c r="M99" s="4"/>
    </row>
    <row r="100" spans="1:13" x14ac:dyDescent="0.2">
      <c r="A100" s="4">
        <v>41758</v>
      </c>
      <c r="B100" s="3">
        <v>48935.360000000001</v>
      </c>
      <c r="C100" s="6">
        <f t="shared" si="3"/>
        <v>4.9996802145565208E-4</v>
      </c>
      <c r="D100" s="7">
        <f t="shared" si="4"/>
        <v>2.4844680402590375E-2</v>
      </c>
      <c r="E100" s="8">
        <f t="shared" si="5"/>
        <v>-0.66394520178910388</v>
      </c>
      <c r="J100" s="4"/>
      <c r="M100" s="4"/>
    </row>
    <row r="101" spans="1:13" x14ac:dyDescent="0.2">
      <c r="A101" s="4">
        <v>41759</v>
      </c>
      <c r="B101" s="3">
        <v>48870.1</v>
      </c>
      <c r="C101" s="6">
        <f t="shared" si="3"/>
        <v>-1.3344860232725455E-3</v>
      </c>
      <c r="D101" s="7">
        <f t="shared" si="4"/>
        <v>-0.1432351422560863</v>
      </c>
      <c r="E101" s="8">
        <f t="shared" si="5"/>
        <v>-0.68679919854253824</v>
      </c>
      <c r="J101" s="4"/>
      <c r="M101" s="4"/>
    </row>
    <row r="102" spans="1:13" x14ac:dyDescent="0.2">
      <c r="A102" s="4">
        <v>41761</v>
      </c>
      <c r="B102" s="3">
        <v>49091.16</v>
      </c>
      <c r="C102" s="6">
        <f t="shared" si="3"/>
        <v>4.5132203328890836E-3</v>
      </c>
      <c r="D102" s="7">
        <f t="shared" si="4"/>
        <v>0.39255448416068878</v>
      </c>
      <c r="E102" s="8">
        <f t="shared" si="5"/>
        <v>-0.83531315188864186</v>
      </c>
      <c r="J102" s="4"/>
      <c r="M102" s="4"/>
    </row>
    <row r="103" spans="1:13" x14ac:dyDescent="0.2">
      <c r="A103" s="4">
        <v>41764</v>
      </c>
      <c r="B103" s="3">
        <v>48880.81</v>
      </c>
      <c r="C103" s="6">
        <f t="shared" si="3"/>
        <v>-4.2940919371971843E-3</v>
      </c>
      <c r="D103" s="7">
        <f t="shared" si="4"/>
        <v>-0.41440576033811555</v>
      </c>
      <c r="E103" s="8">
        <f t="shared" si="5"/>
        <v>-0.85430910792146064</v>
      </c>
      <c r="J103" s="4"/>
      <c r="M103" s="4"/>
    </row>
    <row r="104" spans="1:13" x14ac:dyDescent="0.2">
      <c r="A104" s="4">
        <v>41765</v>
      </c>
      <c r="B104" s="3">
        <v>48942.02</v>
      </c>
      <c r="C104" s="6">
        <f t="shared" si="3"/>
        <v>1.2514462725829575E-3</v>
      </c>
      <c r="D104" s="7">
        <f t="shared" si="4"/>
        <v>9.3698043911101966E-2</v>
      </c>
      <c r="E104" s="8">
        <f t="shared" si="5"/>
        <v>-0.67334318887236866</v>
      </c>
      <c r="J104" s="4"/>
      <c r="M104" s="4"/>
    </row>
    <row r="105" spans="1:13" x14ac:dyDescent="0.2">
      <c r="A105" s="4">
        <v>41767</v>
      </c>
      <c r="B105" s="3">
        <v>49026.95</v>
      </c>
      <c r="C105" s="6">
        <f t="shared" si="3"/>
        <v>1.7338147226773966E-3</v>
      </c>
      <c r="D105" s="7">
        <f t="shared" si="4"/>
        <v>0.13789451957698695</v>
      </c>
      <c r="E105" s="8">
        <f t="shared" si="5"/>
        <v>-0.68508170168861748</v>
      </c>
      <c r="J105" s="4"/>
      <c r="M105" s="4"/>
    </row>
    <row r="106" spans="1:13" x14ac:dyDescent="0.2">
      <c r="A106" s="4">
        <v>41768</v>
      </c>
      <c r="B106" s="3">
        <v>48852.45</v>
      </c>
      <c r="C106" s="6">
        <f t="shared" si="3"/>
        <v>-3.5656161536986334E-3</v>
      </c>
      <c r="D106" s="7">
        <f t="shared" si="4"/>
        <v>-0.34765997248180619</v>
      </c>
      <c r="E106" s="8">
        <f t="shared" si="5"/>
        <v>-0.79913834491002511</v>
      </c>
      <c r="J106" s="4"/>
      <c r="M106" s="4"/>
    </row>
    <row r="107" spans="1:13" x14ac:dyDescent="0.2">
      <c r="A107" s="4">
        <v>41771</v>
      </c>
      <c r="B107" s="3">
        <v>49239.29</v>
      </c>
      <c r="C107" s="6">
        <f t="shared" si="3"/>
        <v>7.8873512785268707E-3</v>
      </c>
      <c r="D107" s="7">
        <f t="shared" si="4"/>
        <v>0.70170549974471796</v>
      </c>
      <c r="E107" s="8">
        <f t="shared" si="5"/>
        <v>-1.1779048342515477</v>
      </c>
      <c r="J107" s="4"/>
      <c r="M107" s="4"/>
    </row>
    <row r="108" spans="1:13" x14ac:dyDescent="0.2">
      <c r="A108" s="4">
        <v>41772</v>
      </c>
      <c r="B108" s="3">
        <v>49199.7</v>
      </c>
      <c r="C108" s="6">
        <f t="shared" si="3"/>
        <v>-8.0435612219364615E-4</v>
      </c>
      <c r="D108" s="7">
        <f t="shared" si="4"/>
        <v>-9.4662576475292706E-2</v>
      </c>
      <c r="E108" s="8">
        <f t="shared" si="5"/>
        <v>-0.67355200015969341</v>
      </c>
      <c r="J108" s="4"/>
      <c r="M108" s="4"/>
    </row>
    <row r="109" spans="1:13" x14ac:dyDescent="0.2">
      <c r="A109" s="4">
        <v>41773</v>
      </c>
      <c r="B109" s="3">
        <v>49632.23</v>
      </c>
      <c r="C109" s="6">
        <f t="shared" si="3"/>
        <v>8.7528951717220343E-3</v>
      </c>
      <c r="D109" s="7">
        <f t="shared" si="4"/>
        <v>0.78101000153347688</v>
      </c>
      <c r="E109" s="8">
        <f t="shared" si="5"/>
        <v>-1.2873096040493763</v>
      </c>
      <c r="J109" s="4"/>
      <c r="M109" s="4"/>
    </row>
    <row r="110" spans="1:13" x14ac:dyDescent="0.2">
      <c r="A110" s="4">
        <v>41774</v>
      </c>
      <c r="B110" s="3">
        <v>49454.59</v>
      </c>
      <c r="C110" s="6">
        <f t="shared" si="3"/>
        <v>-3.5855462979582299E-3</v>
      </c>
      <c r="D110" s="7">
        <f t="shared" si="4"/>
        <v>-0.34948604990377352</v>
      </c>
      <c r="E110" s="8">
        <f t="shared" si="5"/>
        <v>-0.80053328227375664</v>
      </c>
      <c r="J110" s="4"/>
      <c r="M110" s="4"/>
    </row>
    <row r="111" spans="1:13" x14ac:dyDescent="0.2">
      <c r="A111" s="4">
        <v>41775</v>
      </c>
      <c r="B111" s="3">
        <v>49159.77</v>
      </c>
      <c r="C111" s="6">
        <f t="shared" si="3"/>
        <v>-5.9792687060593389E-3</v>
      </c>
      <c r="D111" s="7">
        <f t="shared" si="4"/>
        <v>-0.56880821771929224</v>
      </c>
      <c r="E111" s="8">
        <f t="shared" si="5"/>
        <v>-1.0124486347742883</v>
      </c>
      <c r="J111" s="4"/>
      <c r="M111" s="4"/>
    </row>
    <row r="112" spans="1:13" x14ac:dyDescent="0.2">
      <c r="A112" s="4">
        <v>41778</v>
      </c>
      <c r="B112" s="3">
        <v>49507.48</v>
      </c>
      <c r="C112" s="6">
        <f t="shared" si="3"/>
        <v>7.0481631832208427E-3</v>
      </c>
      <c r="D112" s="7">
        <f t="shared" si="4"/>
        <v>0.62481581878396719</v>
      </c>
      <c r="E112" s="8">
        <f t="shared" si="5"/>
        <v>-1.0791996782826969</v>
      </c>
      <c r="J112" s="4"/>
      <c r="M112" s="4"/>
    </row>
    <row r="113" spans="1:13" x14ac:dyDescent="0.2">
      <c r="A113" s="4">
        <v>41779</v>
      </c>
      <c r="B113" s="3">
        <v>49617</v>
      </c>
      <c r="C113" s="6">
        <f t="shared" si="3"/>
        <v>2.2097476741439913E-3</v>
      </c>
      <c r="D113" s="7">
        <f t="shared" si="4"/>
        <v>0.18150134979975124</v>
      </c>
      <c r="E113" s="8">
        <f t="shared" si="5"/>
        <v>-0.70097148609714632</v>
      </c>
      <c r="J113" s="4"/>
      <c r="M113" s="4"/>
    </row>
    <row r="114" spans="1:13" x14ac:dyDescent="0.2">
      <c r="A114" s="4">
        <v>41780</v>
      </c>
      <c r="B114" s="3">
        <v>49648.12</v>
      </c>
      <c r="C114" s="6">
        <f t="shared" si="3"/>
        <v>6.2700777512873047E-4</v>
      </c>
      <c r="D114" s="7">
        <f t="shared" si="4"/>
        <v>3.6484557307294593E-2</v>
      </c>
      <c r="E114" s="8">
        <f t="shared" si="5"/>
        <v>-0.66476849463224341</v>
      </c>
      <c r="J114" s="4"/>
      <c r="M114" s="4"/>
    </row>
    <row r="115" spans="1:13" x14ac:dyDescent="0.2">
      <c r="A115" s="4">
        <v>41781</v>
      </c>
      <c r="B115" s="3">
        <v>49891.360000000001</v>
      </c>
      <c r="C115" s="6">
        <f t="shared" si="3"/>
        <v>4.887316754443375E-3</v>
      </c>
      <c r="D115" s="7">
        <f t="shared" si="4"/>
        <v>0.42683065497717126</v>
      </c>
      <c r="E115" s="8">
        <f t="shared" si="5"/>
        <v>-0.86550521257692825</v>
      </c>
      <c r="J115" s="4"/>
      <c r="M115" s="4"/>
    </row>
    <row r="116" spans="1:13" x14ac:dyDescent="0.2">
      <c r="A116" s="4">
        <v>41782</v>
      </c>
      <c r="B116" s="3">
        <v>49952.69</v>
      </c>
      <c r="C116" s="6">
        <f t="shared" si="3"/>
        <v>1.2285160250116523E-3</v>
      </c>
      <c r="D116" s="7">
        <f t="shared" si="4"/>
        <v>9.1597085341777018E-2</v>
      </c>
      <c r="E116" s="8">
        <f t="shared" si="5"/>
        <v>-0.67289569994735532</v>
      </c>
      <c r="J116" s="4"/>
      <c r="M116" s="4"/>
    </row>
    <row r="117" spans="1:13" x14ac:dyDescent="0.2">
      <c r="A117" s="4">
        <v>41785</v>
      </c>
      <c r="B117" s="3">
        <v>50021.72</v>
      </c>
      <c r="C117" s="6">
        <f t="shared" si="3"/>
        <v>1.3809536054316348E-3</v>
      </c>
      <c r="D117" s="7">
        <f t="shared" si="4"/>
        <v>0.1055640100282467</v>
      </c>
      <c r="E117" s="8">
        <f t="shared" si="5"/>
        <v>-0.67605943404353708</v>
      </c>
      <c r="J117" s="4"/>
      <c r="M117" s="4"/>
    </row>
    <row r="118" spans="1:13" x14ac:dyDescent="0.2">
      <c r="A118" s="4">
        <v>41786</v>
      </c>
      <c r="B118" s="3">
        <v>49824.45</v>
      </c>
      <c r="C118" s="6">
        <f t="shared" si="3"/>
        <v>-3.9514837010725685E-3</v>
      </c>
      <c r="D118" s="7">
        <f t="shared" si="4"/>
        <v>-0.38301465968082998</v>
      </c>
      <c r="E118" s="8">
        <f t="shared" si="5"/>
        <v>-0.82730173574291499</v>
      </c>
      <c r="J118" s="4"/>
      <c r="M118" s="4"/>
    </row>
    <row r="119" spans="1:13" x14ac:dyDescent="0.2">
      <c r="A119" s="4">
        <v>41787</v>
      </c>
      <c r="B119" s="3">
        <v>49690.58</v>
      </c>
      <c r="C119" s="6">
        <f t="shared" si="3"/>
        <v>-2.6904494879153732E-3</v>
      </c>
      <c r="D119" s="7">
        <f t="shared" si="4"/>
        <v>-0.26747379479893568</v>
      </c>
      <c r="E119" s="8">
        <f t="shared" si="5"/>
        <v>-0.74451626796674653</v>
      </c>
      <c r="J119" s="4"/>
      <c r="M119" s="4"/>
    </row>
    <row r="120" spans="1:13" x14ac:dyDescent="0.2">
      <c r="A120" s="4">
        <v>41788</v>
      </c>
      <c r="B120" s="3">
        <v>49726.64</v>
      </c>
      <c r="C120" s="6">
        <f t="shared" si="3"/>
        <v>7.2542767905521728E-4</v>
      </c>
      <c r="D120" s="7">
        <f t="shared" si="4"/>
        <v>4.5502172136942125E-2</v>
      </c>
      <c r="E120" s="8">
        <f t="shared" si="5"/>
        <v>-0.66562088036868372</v>
      </c>
      <c r="J120" s="4"/>
      <c r="M120" s="4"/>
    </row>
    <row r="121" spans="1:13" x14ac:dyDescent="0.2">
      <c r="A121" s="4">
        <v>41789</v>
      </c>
      <c r="B121" s="3">
        <v>49632.7</v>
      </c>
      <c r="C121" s="6">
        <f t="shared" si="3"/>
        <v>-1.8909148951808917E-3</v>
      </c>
      <c r="D121" s="7">
        <f t="shared" si="4"/>
        <v>-0.19421732214840376</v>
      </c>
      <c r="E121" s="8">
        <f t="shared" si="5"/>
        <v>-0.70640021765363969</v>
      </c>
      <c r="J121" s="4"/>
      <c r="M121" s="4"/>
    </row>
    <row r="122" spans="1:13" x14ac:dyDescent="0.2">
      <c r="A122" s="4">
        <v>41792</v>
      </c>
      <c r="B122" s="3">
        <v>49817.89</v>
      </c>
      <c r="C122" s="6">
        <f t="shared" si="3"/>
        <v>3.724265769587246E-3</v>
      </c>
      <c r="D122" s="7">
        <f t="shared" si="4"/>
        <v>0.32026739500377593</v>
      </c>
      <c r="E122" s="8">
        <f t="shared" si="5"/>
        <v>-0.77900858810630369</v>
      </c>
      <c r="J122" s="4"/>
      <c r="M122" s="4"/>
    </row>
    <row r="123" spans="1:13" x14ac:dyDescent="0.2">
      <c r="A123" s="4">
        <v>41793</v>
      </c>
      <c r="B123" s="3">
        <v>49936.54</v>
      </c>
      <c r="C123" s="6">
        <f t="shared" si="3"/>
        <v>2.3788428434166568E-3</v>
      </c>
      <c r="D123" s="7">
        <f t="shared" si="4"/>
        <v>0.19699450763898163</v>
      </c>
      <c r="E123" s="8">
        <f t="shared" si="5"/>
        <v>-0.7076331989634822</v>
      </c>
      <c r="J123" s="4"/>
      <c r="M123" s="4"/>
    </row>
    <row r="124" spans="1:13" x14ac:dyDescent="0.2">
      <c r="A124" s="4">
        <v>41794</v>
      </c>
      <c r="B124" s="3">
        <v>49960.21</v>
      </c>
      <c r="C124" s="6">
        <f t="shared" si="3"/>
        <v>4.7388929956098134E-4</v>
      </c>
      <c r="D124" s="7">
        <f t="shared" si="4"/>
        <v>2.2455246356086006E-2</v>
      </c>
      <c r="E124" s="8">
        <f t="shared" si="5"/>
        <v>-0.66381483345017844</v>
      </c>
      <c r="J124" s="4"/>
      <c r="M124" s="4"/>
    </row>
    <row r="125" spans="1:13" x14ac:dyDescent="0.2">
      <c r="A125" s="4">
        <v>41795</v>
      </c>
      <c r="B125" s="3">
        <v>50000.43</v>
      </c>
      <c r="C125" s="6">
        <f t="shared" si="3"/>
        <v>8.0471677993340434E-4</v>
      </c>
      <c r="D125" s="7">
        <f t="shared" si="4"/>
        <v>5.2766948298912535E-2</v>
      </c>
      <c r="E125" s="8">
        <f t="shared" si="5"/>
        <v>-0.66644369654359903</v>
      </c>
      <c r="J125" s="4"/>
      <c r="M125" s="4"/>
    </row>
    <row r="126" spans="1:13" x14ac:dyDescent="0.2">
      <c r="A126" s="4">
        <v>41796</v>
      </c>
      <c r="B126" s="3">
        <v>49933.99</v>
      </c>
      <c r="C126" s="6">
        <f t="shared" si="3"/>
        <v>-1.3296721948050803E-3</v>
      </c>
      <c r="D126" s="7">
        <f t="shared" si="4"/>
        <v>-0.14279408054759268</v>
      </c>
      <c r="E126" s="8">
        <f t="shared" si="5"/>
        <v>-0.68665492785483007</v>
      </c>
      <c r="J126" s="4"/>
      <c r="M126" s="4"/>
    </row>
    <row r="127" spans="1:13" x14ac:dyDescent="0.2">
      <c r="A127" s="4">
        <v>41799</v>
      </c>
      <c r="B127" s="3">
        <v>50134.53</v>
      </c>
      <c r="C127" s="6">
        <f t="shared" si="3"/>
        <v>4.0080590472433711E-3</v>
      </c>
      <c r="D127" s="7">
        <f t="shared" si="4"/>
        <v>0.34626964014981532</v>
      </c>
      <c r="E127" s="8">
        <f t="shared" si="5"/>
        <v>-0.7980806826740906</v>
      </c>
      <c r="J127" s="4"/>
      <c r="M127" s="4"/>
    </row>
    <row r="128" spans="1:13" x14ac:dyDescent="0.2">
      <c r="A128" s="4">
        <v>41800</v>
      </c>
      <c r="B128" s="3">
        <v>50736.42</v>
      </c>
      <c r="C128" s="6">
        <f t="shared" si="3"/>
        <v>1.1934003663818572E-2</v>
      </c>
      <c r="D128" s="7">
        <f t="shared" si="4"/>
        <v>1.072475548324439</v>
      </c>
      <c r="E128" s="8">
        <f t="shared" si="5"/>
        <v>-1.7388985028530344</v>
      </c>
      <c r="J128" s="4"/>
      <c r="M128" s="4"/>
    </row>
    <row r="129" spans="1:13" x14ac:dyDescent="0.2">
      <c r="A129" s="4">
        <v>41801</v>
      </c>
      <c r="B129" s="3">
        <v>50659.44</v>
      </c>
      <c r="C129" s="6">
        <f t="shared" si="3"/>
        <v>-1.5184054810547536E-3</v>
      </c>
      <c r="D129" s="7">
        <f t="shared" si="4"/>
        <v>-0.16008655913205047</v>
      </c>
      <c r="E129" s="8">
        <f t="shared" si="5"/>
        <v>-0.69263791486523985</v>
      </c>
      <c r="J129" s="4"/>
      <c r="M129" s="4"/>
    </row>
    <row r="130" spans="1:13" x14ac:dyDescent="0.2">
      <c r="A130" s="4">
        <v>41802</v>
      </c>
      <c r="B130" s="3">
        <v>50596.17</v>
      </c>
      <c r="C130" s="6">
        <f t="shared" si="3"/>
        <v>-1.2497086973145353E-3</v>
      </c>
      <c r="D130" s="7">
        <f t="shared" si="4"/>
        <v>-0.13546751354200179</v>
      </c>
      <c r="E130" s="8">
        <f t="shared" si="5"/>
        <v>-0.68432240830922142</v>
      </c>
      <c r="J130" s="4"/>
      <c r="M130" s="4"/>
    </row>
    <row r="131" spans="1:13" x14ac:dyDescent="0.2">
      <c r="A131" s="4">
        <v>41803</v>
      </c>
      <c r="B131" s="3">
        <v>50763.71</v>
      </c>
      <c r="C131" s="6">
        <f t="shared" ref="C131:C194" si="6">LN(B131/B130)</f>
        <v>3.3058474927522242E-3</v>
      </c>
      <c r="D131" s="7">
        <f t="shared" ref="D131:D194" si="7">(C131-$G$4)/$G$5</f>
        <v>0.28193028322401498</v>
      </c>
      <c r="E131" s="8">
        <f t="shared" ref="E131:E194" si="8">LN((PI()*(G$3-2))^(-1/2)*EXP(GAMMALN((G$3+1)/2))*((1+D131^2/(G$3-2))^(-(G$3+1)/2))/EXP(GAMMALN(G$3/2)))</f>
        <v>-0.75338811822280294</v>
      </c>
      <c r="J131" s="4"/>
      <c r="M131" s="4"/>
    </row>
    <row r="132" spans="1:13" x14ac:dyDescent="0.2">
      <c r="A132" s="4">
        <v>41807</v>
      </c>
      <c r="B132" s="3">
        <v>50911.05</v>
      </c>
      <c r="C132" s="6">
        <f t="shared" si="6"/>
        <v>2.8982631114569976E-3</v>
      </c>
      <c r="D132" s="7">
        <f t="shared" si="7"/>
        <v>0.24458581513912575</v>
      </c>
      <c r="E132" s="8">
        <f t="shared" si="8"/>
        <v>-0.73137027587145742</v>
      </c>
      <c r="J132" s="4"/>
      <c r="M132" s="4"/>
    </row>
    <row r="133" spans="1:13" x14ac:dyDescent="0.2">
      <c r="A133" s="4">
        <v>41808</v>
      </c>
      <c r="B133" s="3">
        <v>50693.95</v>
      </c>
      <c r="C133" s="6">
        <f t="shared" si="6"/>
        <v>-4.2734182450035489E-3</v>
      </c>
      <c r="D133" s="7">
        <f t="shared" si="7"/>
        <v>-0.41251155615917079</v>
      </c>
      <c r="E133" s="8">
        <f t="shared" si="8"/>
        <v>-0.8526272018271116</v>
      </c>
      <c r="J133" s="4"/>
      <c r="M133" s="4"/>
    </row>
    <row r="134" spans="1:13" x14ac:dyDescent="0.2">
      <c r="A134" s="4">
        <v>41809</v>
      </c>
      <c r="B134" s="3">
        <v>51263.5</v>
      </c>
      <c r="C134" s="6">
        <f t="shared" si="6"/>
        <v>1.1172423876861263E-2</v>
      </c>
      <c r="D134" s="7">
        <f t="shared" si="7"/>
        <v>1.0026966427693624</v>
      </c>
      <c r="E134" s="8">
        <f t="shared" si="8"/>
        <v>-1.625208985317748</v>
      </c>
      <c r="J134" s="4"/>
      <c r="M134" s="4"/>
    </row>
    <row r="135" spans="1:13" x14ac:dyDescent="0.2">
      <c r="A135" s="4">
        <v>41810</v>
      </c>
      <c r="B135" s="3">
        <v>51322.67</v>
      </c>
      <c r="C135" s="6">
        <f t="shared" si="6"/>
        <v>1.153566929373485E-3</v>
      </c>
      <c r="D135" s="7">
        <f t="shared" si="7"/>
        <v>8.4729957359207214E-2</v>
      </c>
      <c r="E135" s="8">
        <f t="shared" si="8"/>
        <v>-0.67150335840463504</v>
      </c>
      <c r="J135" s="4"/>
      <c r="M135" s="4"/>
    </row>
    <row r="136" spans="1:13" x14ac:dyDescent="0.2">
      <c r="A136" s="4">
        <v>41813</v>
      </c>
      <c r="B136" s="3">
        <v>51058.27</v>
      </c>
      <c r="C136" s="6">
        <f t="shared" si="6"/>
        <v>-5.1650353629489722E-3</v>
      </c>
      <c r="D136" s="7">
        <f t="shared" si="7"/>
        <v>-0.49420498832465826</v>
      </c>
      <c r="E136" s="8">
        <f t="shared" si="8"/>
        <v>-0.93101767800861557</v>
      </c>
      <c r="J136" s="4"/>
      <c r="M136" s="4"/>
    </row>
    <row r="137" spans="1:13" x14ac:dyDescent="0.2">
      <c r="A137" s="4">
        <v>41814</v>
      </c>
      <c r="B137" s="3">
        <v>50890.92</v>
      </c>
      <c r="C137" s="6">
        <f t="shared" si="6"/>
        <v>-3.2830108863130801E-3</v>
      </c>
      <c r="D137" s="7">
        <f t="shared" si="7"/>
        <v>-0.32176657746268505</v>
      </c>
      <c r="E137" s="8">
        <f t="shared" si="8"/>
        <v>-0.78007139409477866</v>
      </c>
      <c r="J137" s="4"/>
      <c r="M137" s="4"/>
    </row>
    <row r="138" spans="1:13" x14ac:dyDescent="0.2">
      <c r="A138" s="4">
        <v>41815</v>
      </c>
      <c r="B138" s="3">
        <v>50350.61</v>
      </c>
      <c r="C138" s="6">
        <f t="shared" si="6"/>
        <v>-1.0673784360404389E-2</v>
      </c>
      <c r="D138" s="7">
        <f t="shared" si="7"/>
        <v>-0.99893802168917467</v>
      </c>
      <c r="E138" s="8">
        <f t="shared" si="8"/>
        <v>-1.6191665730353162</v>
      </c>
      <c r="J138" s="4"/>
      <c r="M138" s="4"/>
    </row>
    <row r="139" spans="1:13" x14ac:dyDescent="0.2">
      <c r="A139" s="4">
        <v>41816</v>
      </c>
      <c r="B139" s="3">
        <v>50761.82</v>
      </c>
      <c r="C139" s="6">
        <f t="shared" si="6"/>
        <v>8.1337629225243287E-3</v>
      </c>
      <c r="D139" s="7">
        <f t="shared" si="7"/>
        <v>0.72428269405664303</v>
      </c>
      <c r="E139" s="8">
        <f t="shared" si="8"/>
        <v>-1.2083119458739835</v>
      </c>
      <c r="J139" s="4"/>
      <c r="M139" s="4"/>
    </row>
    <row r="140" spans="1:13" x14ac:dyDescent="0.2">
      <c r="A140" s="4">
        <v>41817</v>
      </c>
      <c r="B140" s="3">
        <v>50625.37</v>
      </c>
      <c r="C140" s="6">
        <f t="shared" si="6"/>
        <v>-2.6916631653811896E-3</v>
      </c>
      <c r="D140" s="7">
        <f t="shared" si="7"/>
        <v>-0.26758499665422636</v>
      </c>
      <c r="E140" s="8">
        <f t="shared" si="8"/>
        <v>-0.74458284057106638</v>
      </c>
      <c r="J140" s="4"/>
      <c r="M140" s="4"/>
    </row>
    <row r="141" spans="1:13" x14ac:dyDescent="0.2">
      <c r="A141" s="4">
        <v>41820</v>
      </c>
      <c r="B141" s="3">
        <v>50945.26</v>
      </c>
      <c r="C141" s="6">
        <f t="shared" si="6"/>
        <v>6.2988889142916874E-3</v>
      </c>
      <c r="D141" s="7">
        <f t="shared" si="7"/>
        <v>0.55616439270641638</v>
      </c>
      <c r="E141" s="8">
        <f t="shared" si="8"/>
        <v>-0.99802636700592773</v>
      </c>
      <c r="J141" s="4"/>
      <c r="M141" s="4"/>
    </row>
    <row r="142" spans="1:13" x14ac:dyDescent="0.2">
      <c r="A142" s="4">
        <v>41821</v>
      </c>
      <c r="B142" s="3">
        <v>51480.19</v>
      </c>
      <c r="C142" s="6">
        <f t="shared" si="6"/>
        <v>1.0445350518543541E-2</v>
      </c>
      <c r="D142" s="7">
        <f t="shared" si="7"/>
        <v>0.93607935056894764</v>
      </c>
      <c r="E142" s="8">
        <f t="shared" si="8"/>
        <v>-1.5195132684092871</v>
      </c>
      <c r="J142" s="4"/>
      <c r="M142" s="4"/>
    </row>
    <row r="143" spans="1:13" x14ac:dyDescent="0.2">
      <c r="A143" s="4">
        <v>41822</v>
      </c>
      <c r="B143" s="3">
        <v>51883.71</v>
      </c>
      <c r="C143" s="6">
        <f t="shared" si="6"/>
        <v>7.8077945962800382E-3</v>
      </c>
      <c r="D143" s="7">
        <f t="shared" si="7"/>
        <v>0.69441620673583171</v>
      </c>
      <c r="E143" s="8">
        <f t="shared" si="8"/>
        <v>-1.1682200750428109</v>
      </c>
      <c r="J143" s="4"/>
      <c r="M143" s="4"/>
    </row>
    <row r="144" spans="1:13" x14ac:dyDescent="0.2">
      <c r="A144" s="4">
        <v>41823</v>
      </c>
      <c r="B144" s="3">
        <v>51918.44</v>
      </c>
      <c r="C144" s="6">
        <f t="shared" si="6"/>
        <v>6.6915764839028209E-4</v>
      </c>
      <c r="D144" s="7">
        <f t="shared" si="7"/>
        <v>4.0346492820613478E-2</v>
      </c>
      <c r="E144" s="8">
        <f t="shared" si="8"/>
        <v>-0.66511061944697336</v>
      </c>
      <c r="J144" s="4"/>
      <c r="M144" s="4"/>
    </row>
    <row r="145" spans="1:13" x14ac:dyDescent="0.2">
      <c r="A145" s="4">
        <v>41824</v>
      </c>
      <c r="B145" s="3">
        <v>52060.03</v>
      </c>
      <c r="C145" s="6">
        <f t="shared" si="6"/>
        <v>2.7234501049405941E-3</v>
      </c>
      <c r="D145" s="7">
        <f t="shared" si="7"/>
        <v>0.22856876678724911</v>
      </c>
      <c r="E145" s="8">
        <f t="shared" si="8"/>
        <v>-0.72283476124920332</v>
      </c>
      <c r="J145" s="4"/>
      <c r="M145" s="4"/>
    </row>
    <row r="146" spans="1:13" x14ac:dyDescent="0.2">
      <c r="A146" s="4">
        <v>41827</v>
      </c>
      <c r="B146" s="3">
        <v>51877.11</v>
      </c>
      <c r="C146" s="6">
        <f t="shared" si="6"/>
        <v>-3.5198234019524544E-3</v>
      </c>
      <c r="D146" s="7">
        <f t="shared" si="7"/>
        <v>-0.34346426225691967</v>
      </c>
      <c r="E146" s="8">
        <f t="shared" si="8"/>
        <v>-0.79595818727590795</v>
      </c>
      <c r="J146" s="4"/>
      <c r="M146" s="4"/>
    </row>
    <row r="147" spans="1:13" x14ac:dyDescent="0.2">
      <c r="A147" s="4">
        <v>41828</v>
      </c>
      <c r="B147" s="3">
        <v>51608.33</v>
      </c>
      <c r="C147" s="6">
        <f t="shared" si="6"/>
        <v>-5.1945588555037418E-3</v>
      </c>
      <c r="D147" s="7">
        <f t="shared" si="7"/>
        <v>-0.49691004567244573</v>
      </c>
      <c r="E147" s="8">
        <f t="shared" si="8"/>
        <v>-0.93381190347545062</v>
      </c>
      <c r="J147" s="4"/>
      <c r="M147" s="4"/>
    </row>
    <row r="148" spans="1:13" x14ac:dyDescent="0.2">
      <c r="A148" s="4">
        <v>41829</v>
      </c>
      <c r="B148" s="3">
        <v>51401.46</v>
      </c>
      <c r="C148" s="6">
        <f t="shared" si="6"/>
        <v>-4.0165168399856404E-3</v>
      </c>
      <c r="D148" s="7">
        <f t="shared" si="7"/>
        <v>-0.38897324909704284</v>
      </c>
      <c r="E148" s="8">
        <f t="shared" si="8"/>
        <v>-0.83228542332458977</v>
      </c>
      <c r="J148" s="4"/>
      <c r="M148" s="4"/>
    </row>
    <row r="149" spans="1:13" x14ac:dyDescent="0.2">
      <c r="A149" s="4">
        <v>41830</v>
      </c>
      <c r="B149" s="3">
        <v>50994.46</v>
      </c>
      <c r="C149" s="6">
        <f t="shared" si="6"/>
        <v>-7.9495773540186696E-3</v>
      </c>
      <c r="D149" s="7">
        <f t="shared" si="7"/>
        <v>-0.74933556812284474</v>
      </c>
      <c r="E149" s="8">
        <f t="shared" si="8"/>
        <v>-1.2427557756608119</v>
      </c>
      <c r="J149" s="4"/>
      <c r="M149" s="4"/>
    </row>
    <row r="150" spans="1:13" x14ac:dyDescent="0.2">
      <c r="A150" s="4">
        <v>41831</v>
      </c>
      <c r="B150" s="3">
        <v>51161.33</v>
      </c>
      <c r="C150" s="6">
        <f t="shared" si="6"/>
        <v>3.2669738723293969E-3</v>
      </c>
      <c r="D150" s="7">
        <f t="shared" si="7"/>
        <v>0.2783685307530025</v>
      </c>
      <c r="E150" s="8">
        <f t="shared" si="8"/>
        <v>-0.75116174478257369</v>
      </c>
      <c r="J150" s="4"/>
      <c r="M150" s="4"/>
    </row>
    <row r="151" spans="1:13" x14ac:dyDescent="0.2">
      <c r="A151" s="4">
        <v>41834</v>
      </c>
      <c r="B151" s="3">
        <v>51540.88</v>
      </c>
      <c r="C151" s="6">
        <f t="shared" si="6"/>
        <v>7.3913059503626531E-3</v>
      </c>
      <c r="D151" s="7">
        <f t="shared" si="7"/>
        <v>0.65625589525442929</v>
      </c>
      <c r="E151" s="8">
        <f t="shared" si="8"/>
        <v>-1.1186180796015446</v>
      </c>
      <c r="J151" s="4"/>
      <c r="M151" s="4"/>
    </row>
    <row r="152" spans="1:13" x14ac:dyDescent="0.2">
      <c r="A152" s="4">
        <v>41835</v>
      </c>
      <c r="B152" s="3">
        <v>51735.29</v>
      </c>
      <c r="C152" s="6">
        <f t="shared" si="6"/>
        <v>3.7648613350686646E-3</v>
      </c>
      <c r="D152" s="7">
        <f t="shared" si="7"/>
        <v>0.32398691878604463</v>
      </c>
      <c r="E152" s="8">
        <f t="shared" si="8"/>
        <v>-0.78165377492203503</v>
      </c>
      <c r="J152" s="4"/>
      <c r="M152" s="4"/>
    </row>
    <row r="153" spans="1:13" x14ac:dyDescent="0.2">
      <c r="A153" s="4">
        <v>41836</v>
      </c>
      <c r="B153" s="3">
        <v>52076.9</v>
      </c>
      <c r="C153" s="6">
        <f t="shared" si="6"/>
        <v>6.5813317884605999E-3</v>
      </c>
      <c r="D153" s="7">
        <f t="shared" si="7"/>
        <v>0.58204290862669472</v>
      </c>
      <c r="E153" s="8">
        <f t="shared" si="8"/>
        <v>-1.0278055232329883</v>
      </c>
      <c r="J153" s="4"/>
      <c r="M153" s="4"/>
    </row>
    <row r="154" spans="1:13" x14ac:dyDescent="0.2">
      <c r="A154" s="4">
        <v>41837</v>
      </c>
      <c r="B154" s="3">
        <v>51789.74</v>
      </c>
      <c r="C154" s="6">
        <f t="shared" si="6"/>
        <v>-5.5294121701635803E-3</v>
      </c>
      <c r="D154" s="7">
        <f t="shared" si="7"/>
        <v>-0.52759061022866205</v>
      </c>
      <c r="E154" s="8">
        <f t="shared" si="8"/>
        <v>-0.96635322698057335</v>
      </c>
      <c r="J154" s="4"/>
      <c r="M154" s="4"/>
    </row>
    <row r="155" spans="1:13" x14ac:dyDescent="0.2">
      <c r="A155" s="4">
        <v>41838</v>
      </c>
      <c r="B155" s="3">
        <v>51695.05</v>
      </c>
      <c r="C155" s="6">
        <f t="shared" si="6"/>
        <v>-1.8300278992963855E-3</v>
      </c>
      <c r="D155" s="7">
        <f t="shared" si="7"/>
        <v>-0.1886386185009086</v>
      </c>
      <c r="E155" s="8">
        <f t="shared" si="8"/>
        <v>-0.70397467785527856</v>
      </c>
      <c r="J155" s="4"/>
      <c r="M155" s="4"/>
    </row>
    <row r="156" spans="1:13" x14ac:dyDescent="0.2">
      <c r="A156" s="4">
        <v>41841</v>
      </c>
      <c r="B156" s="3">
        <v>51420.81</v>
      </c>
      <c r="C156" s="6">
        <f t="shared" si="6"/>
        <v>-5.3190779106082426E-3</v>
      </c>
      <c r="D156" s="7">
        <f t="shared" si="7"/>
        <v>-0.50831896635908602</v>
      </c>
      <c r="E156" s="8">
        <f t="shared" si="8"/>
        <v>-0.94573154404076043</v>
      </c>
      <c r="J156" s="4"/>
      <c r="M156" s="4"/>
    </row>
    <row r="157" spans="1:13" x14ac:dyDescent="0.2">
      <c r="A157" s="4">
        <v>41842</v>
      </c>
      <c r="B157" s="3">
        <v>51931.33</v>
      </c>
      <c r="C157" s="6">
        <f t="shared" si="6"/>
        <v>9.8793145891130901E-3</v>
      </c>
      <c r="D157" s="7">
        <f t="shared" si="7"/>
        <v>0.88421693465805695</v>
      </c>
      <c r="E157" s="8">
        <f t="shared" si="8"/>
        <v>-1.4394959641429597</v>
      </c>
      <c r="J157" s="4"/>
      <c r="M157" s="4"/>
    </row>
    <row r="158" spans="1:13" x14ac:dyDescent="0.2">
      <c r="A158" s="4">
        <v>41843</v>
      </c>
      <c r="B158" s="3">
        <v>51910.92</v>
      </c>
      <c r="C158" s="6">
        <f t="shared" si="6"/>
        <v>-3.9309626405096935E-4</v>
      </c>
      <c r="D158" s="7">
        <f t="shared" si="7"/>
        <v>-5.6981346889901016E-2</v>
      </c>
      <c r="E158" s="8">
        <f t="shared" si="8"/>
        <v>-0.66697664559392333</v>
      </c>
      <c r="J158" s="4"/>
      <c r="M158" s="4"/>
    </row>
    <row r="159" spans="1:13" x14ac:dyDescent="0.2">
      <c r="A159" s="4">
        <v>41844</v>
      </c>
      <c r="B159" s="3">
        <v>51621.52</v>
      </c>
      <c r="C159" s="6">
        <f t="shared" si="6"/>
        <v>-5.5905328560459022E-3</v>
      </c>
      <c r="D159" s="7">
        <f t="shared" si="7"/>
        <v>-0.53319072546370982</v>
      </c>
      <c r="E159" s="8">
        <f t="shared" si="8"/>
        <v>-0.97245863810672584</v>
      </c>
      <c r="J159" s="4"/>
      <c r="M159" s="4"/>
    </row>
    <row r="160" spans="1:13" x14ac:dyDescent="0.2">
      <c r="A160" s="4">
        <v>41845</v>
      </c>
      <c r="B160" s="3">
        <v>51550.17</v>
      </c>
      <c r="C160" s="6">
        <f t="shared" si="6"/>
        <v>-1.383131581438568E-3</v>
      </c>
      <c r="D160" s="7">
        <f t="shared" si="7"/>
        <v>-0.14769223771354642</v>
      </c>
      <c r="E160" s="8">
        <f t="shared" si="8"/>
        <v>-0.68828161910046304</v>
      </c>
      <c r="J160" s="4"/>
      <c r="M160" s="4"/>
    </row>
    <row r="161" spans="1:13" x14ac:dyDescent="0.2">
      <c r="A161" s="4">
        <v>41848</v>
      </c>
      <c r="B161" s="3">
        <v>51927.57</v>
      </c>
      <c r="C161" s="6">
        <f t="shared" si="6"/>
        <v>7.2943547738460717E-3</v>
      </c>
      <c r="D161" s="7">
        <f t="shared" si="7"/>
        <v>0.64737285094907493</v>
      </c>
      <c r="E161" s="8">
        <f t="shared" si="8"/>
        <v>-1.1073447376854395</v>
      </c>
      <c r="J161" s="4"/>
      <c r="M161" s="4"/>
    </row>
    <row r="162" spans="1:13" x14ac:dyDescent="0.2">
      <c r="A162" s="4">
        <v>41849</v>
      </c>
      <c r="B162" s="3">
        <v>52242.12</v>
      </c>
      <c r="C162" s="6">
        <f t="shared" si="6"/>
        <v>6.0392030737737622E-3</v>
      </c>
      <c r="D162" s="7">
        <f t="shared" si="7"/>
        <v>0.53237096482161517</v>
      </c>
      <c r="E162" s="8">
        <f t="shared" si="8"/>
        <v>-0.97156176586922094</v>
      </c>
      <c r="J162" s="4"/>
      <c r="M162" s="4"/>
    </row>
    <row r="163" spans="1:13" x14ac:dyDescent="0.2">
      <c r="A163" s="4">
        <v>41850</v>
      </c>
      <c r="B163" s="3">
        <v>51770.59</v>
      </c>
      <c r="C163" s="6">
        <f t="shared" si="6"/>
        <v>-9.0668386637224544E-3</v>
      </c>
      <c r="D163" s="7">
        <f t="shared" si="7"/>
        <v>-0.8517033997608604</v>
      </c>
      <c r="E163" s="8">
        <f t="shared" si="8"/>
        <v>-1.3904753955582403</v>
      </c>
      <c r="J163" s="4"/>
      <c r="M163" s="4"/>
    </row>
    <row r="164" spans="1:13" x14ac:dyDescent="0.2">
      <c r="A164" s="4">
        <v>41851</v>
      </c>
      <c r="B164" s="3">
        <v>51396.07</v>
      </c>
      <c r="C164" s="6">
        <f t="shared" si="6"/>
        <v>-7.260517016583653E-3</v>
      </c>
      <c r="D164" s="7">
        <f t="shared" si="7"/>
        <v>-0.68620117691253468</v>
      </c>
      <c r="E164" s="8">
        <f t="shared" si="8"/>
        <v>-1.1573846531351544</v>
      </c>
      <c r="J164" s="4"/>
      <c r="M164" s="4"/>
    </row>
    <row r="165" spans="1:13" x14ac:dyDescent="0.2">
      <c r="A165" s="4">
        <v>41852</v>
      </c>
      <c r="B165" s="3">
        <v>50917.78</v>
      </c>
      <c r="C165" s="6">
        <f t="shared" si="6"/>
        <v>-9.3495354556784854E-3</v>
      </c>
      <c r="D165" s="7">
        <f t="shared" si="7"/>
        <v>-0.87760518061751114</v>
      </c>
      <c r="E165" s="8">
        <f t="shared" si="8"/>
        <v>-1.4294527724743755</v>
      </c>
      <c r="J165" s="4"/>
      <c r="M165" s="4"/>
    </row>
    <row r="166" spans="1:13" x14ac:dyDescent="0.2">
      <c r="A166" s="4">
        <v>41855</v>
      </c>
      <c r="B166" s="3">
        <v>51239.56</v>
      </c>
      <c r="C166" s="6">
        <f t="shared" si="6"/>
        <v>6.2997150119680472E-3</v>
      </c>
      <c r="D166" s="7">
        <f t="shared" si="7"/>
        <v>0.55624008299222116</v>
      </c>
      <c r="E166" s="8">
        <f t="shared" si="8"/>
        <v>-0.99811197071295654</v>
      </c>
      <c r="J166" s="4"/>
      <c r="M166" s="4"/>
    </row>
    <row r="167" spans="1:13" x14ac:dyDescent="0.2">
      <c r="A167" s="4">
        <v>41856</v>
      </c>
      <c r="B167" s="3">
        <v>51349.11</v>
      </c>
      <c r="C167" s="6">
        <f t="shared" si="6"/>
        <v>2.1357142390215863E-3</v>
      </c>
      <c r="D167" s="7">
        <f t="shared" si="7"/>
        <v>0.17471811819907621</v>
      </c>
      <c r="E167" s="8">
        <f t="shared" si="8"/>
        <v>-0.69822162184954606</v>
      </c>
      <c r="J167" s="4"/>
      <c r="M167" s="4"/>
    </row>
    <row r="168" spans="1:13" x14ac:dyDescent="0.2">
      <c r="A168" s="4">
        <v>41857</v>
      </c>
      <c r="B168" s="3">
        <v>51091.8</v>
      </c>
      <c r="C168" s="6">
        <f t="shared" si="6"/>
        <v>-5.0235895236069878E-3</v>
      </c>
      <c r="D168" s="7">
        <f t="shared" si="7"/>
        <v>-0.4812451697558966</v>
      </c>
      <c r="E168" s="8">
        <f t="shared" si="8"/>
        <v>-0.9178023563064367</v>
      </c>
      <c r="J168" s="4"/>
      <c r="M168" s="4"/>
    </row>
    <row r="169" spans="1:13" x14ac:dyDescent="0.2">
      <c r="A169" s="4">
        <v>41858</v>
      </c>
      <c r="B169" s="3">
        <v>50674.61</v>
      </c>
      <c r="C169" s="6">
        <f t="shared" si="6"/>
        <v>-8.1990184598712702E-3</v>
      </c>
      <c r="D169" s="7">
        <f t="shared" si="7"/>
        <v>-0.77219033352619459</v>
      </c>
      <c r="E169" s="8">
        <f t="shared" si="8"/>
        <v>-1.2747942543849675</v>
      </c>
      <c r="J169" s="4"/>
      <c r="M169" s="4"/>
    </row>
    <row r="170" spans="1:13" x14ac:dyDescent="0.2">
      <c r="A170" s="4">
        <v>41859</v>
      </c>
      <c r="B170" s="3">
        <v>50669.95</v>
      </c>
      <c r="C170" s="6">
        <f t="shared" si="6"/>
        <v>-9.1963495688179929E-5</v>
      </c>
      <c r="D170" s="7">
        <f t="shared" si="7"/>
        <v>-2.9390390088018688E-2</v>
      </c>
      <c r="E170" s="8">
        <f t="shared" si="8"/>
        <v>-0.66422955916704507</v>
      </c>
      <c r="J170" s="4"/>
      <c r="M170" s="4"/>
    </row>
    <row r="171" spans="1:13" x14ac:dyDescent="0.2">
      <c r="A171" s="4">
        <v>41862</v>
      </c>
      <c r="B171" s="3">
        <v>51523.27</v>
      </c>
      <c r="C171" s="6">
        <f t="shared" si="6"/>
        <v>1.6700517568679962E-2</v>
      </c>
      <c r="D171" s="7">
        <f t="shared" si="7"/>
        <v>1.5092021123566945</v>
      </c>
      <c r="E171" s="8">
        <f t="shared" si="8"/>
        <v>-2.4884866098702227</v>
      </c>
      <c r="J171" s="4"/>
      <c r="M171" s="4"/>
    </row>
    <row r="172" spans="1:13" x14ac:dyDescent="0.2">
      <c r="A172" s="4">
        <v>41863</v>
      </c>
      <c r="B172" s="3">
        <v>51449.01</v>
      </c>
      <c r="C172" s="6">
        <f t="shared" si="6"/>
        <v>-1.4423301664036822E-3</v>
      </c>
      <c r="D172" s="7">
        <f t="shared" si="7"/>
        <v>-0.15311624257819553</v>
      </c>
      <c r="E172" s="8">
        <f t="shared" si="8"/>
        <v>-0.69014572476290559</v>
      </c>
      <c r="J172" s="4"/>
      <c r="M172" s="4"/>
    </row>
    <row r="173" spans="1:13" x14ac:dyDescent="0.2">
      <c r="A173" s="4">
        <v>41864</v>
      </c>
      <c r="B173" s="3">
        <v>51266.51</v>
      </c>
      <c r="C173" s="6">
        <f t="shared" si="6"/>
        <v>-3.5535076304324975E-3</v>
      </c>
      <c r="D173" s="7">
        <f t="shared" si="7"/>
        <v>-0.34655054243144368</v>
      </c>
      <c r="E173" s="8">
        <f t="shared" si="8"/>
        <v>-0.79829406478695775</v>
      </c>
      <c r="J173" s="4"/>
      <c r="M173" s="4"/>
    </row>
    <row r="174" spans="1:13" x14ac:dyDescent="0.2">
      <c r="A174" s="4">
        <v>41865</v>
      </c>
      <c r="B174" s="3">
        <v>51073.9</v>
      </c>
      <c r="C174" s="6">
        <f t="shared" si="6"/>
        <v>-3.7641089656850436E-3</v>
      </c>
      <c r="D174" s="7">
        <f t="shared" si="7"/>
        <v>-0.36584665681634942</v>
      </c>
      <c r="E174" s="8">
        <f t="shared" si="8"/>
        <v>-0.81332283308203956</v>
      </c>
      <c r="J174" s="4"/>
      <c r="M174" s="4"/>
    </row>
    <row r="175" spans="1:13" x14ac:dyDescent="0.2">
      <c r="A175" s="4">
        <v>41866</v>
      </c>
      <c r="B175" s="3">
        <v>51257.72</v>
      </c>
      <c r="C175" s="6">
        <f t="shared" si="6"/>
        <v>3.5926373043705852E-3</v>
      </c>
      <c r="D175" s="7">
        <f t="shared" si="7"/>
        <v>0.30820708247971479</v>
      </c>
      <c r="E175" s="8">
        <f t="shared" si="8"/>
        <v>-0.7706243721173035</v>
      </c>
      <c r="J175" s="4"/>
      <c r="M175" s="4"/>
    </row>
    <row r="176" spans="1:13" x14ac:dyDescent="0.2">
      <c r="A176" s="4">
        <v>41869</v>
      </c>
      <c r="B176" s="3">
        <v>51572.19</v>
      </c>
      <c r="C176" s="6">
        <f t="shared" si="6"/>
        <v>6.1163328908339512E-3</v>
      </c>
      <c r="D176" s="7">
        <f t="shared" si="7"/>
        <v>0.53943789899226291</v>
      </c>
      <c r="E176" s="8">
        <f t="shared" si="8"/>
        <v>-0.9793286997159375</v>
      </c>
      <c r="J176" s="4"/>
      <c r="M176" s="4"/>
    </row>
    <row r="177" spans="1:13" x14ac:dyDescent="0.2">
      <c r="A177" s="4">
        <v>41870</v>
      </c>
      <c r="B177" s="3">
        <v>51363.37</v>
      </c>
      <c r="C177" s="6">
        <f t="shared" si="6"/>
        <v>-4.0573012175932083E-3</v>
      </c>
      <c r="D177" s="7">
        <f t="shared" si="7"/>
        <v>-0.39271007258151458</v>
      </c>
      <c r="E177" s="8">
        <f t="shared" si="8"/>
        <v>-0.83544524306538126</v>
      </c>
      <c r="J177" s="4"/>
      <c r="M177" s="4"/>
    </row>
    <row r="178" spans="1:13" x14ac:dyDescent="0.2">
      <c r="A178" s="4">
        <v>41871</v>
      </c>
      <c r="B178" s="3">
        <v>51436.59</v>
      </c>
      <c r="C178" s="6">
        <f t="shared" si="6"/>
        <v>1.4245144138528411E-3</v>
      </c>
      <c r="D178" s="7">
        <f t="shared" si="7"/>
        <v>0.1095552209148567</v>
      </c>
      <c r="E178" s="8">
        <f t="shared" si="8"/>
        <v>-0.67704508131516628</v>
      </c>
      <c r="J178" s="4"/>
      <c r="M178" s="4"/>
    </row>
    <row r="179" spans="1:13" x14ac:dyDescent="0.2">
      <c r="A179" s="4">
        <v>41872</v>
      </c>
      <c r="B179" s="3">
        <v>51443.43</v>
      </c>
      <c r="C179" s="6">
        <f t="shared" si="6"/>
        <v>1.3297042535719033E-4</v>
      </c>
      <c r="D179" s="7">
        <f t="shared" si="7"/>
        <v>-8.7810683838992071E-3</v>
      </c>
      <c r="E179" s="8">
        <f t="shared" si="8"/>
        <v>-0.66332208105011281</v>
      </c>
      <c r="J179" s="4"/>
      <c r="M179" s="4"/>
    </row>
    <row r="180" spans="1:13" x14ac:dyDescent="0.2">
      <c r="A180" s="4">
        <v>41873</v>
      </c>
      <c r="B180" s="3">
        <v>51197.16</v>
      </c>
      <c r="C180" s="6">
        <f t="shared" si="6"/>
        <v>-4.7986955761119363E-3</v>
      </c>
      <c r="D180" s="7">
        <f t="shared" si="7"/>
        <v>-0.46063951058410818</v>
      </c>
      <c r="E180" s="8">
        <f t="shared" si="8"/>
        <v>-0.89738421054633088</v>
      </c>
      <c r="J180" s="4"/>
      <c r="M180" s="4"/>
    </row>
    <row r="181" spans="1:13" x14ac:dyDescent="0.2">
      <c r="A181" s="4">
        <v>41876</v>
      </c>
      <c r="B181" s="3">
        <v>51437.58</v>
      </c>
      <c r="C181" s="6">
        <f t="shared" si="6"/>
        <v>4.6849719646057447E-3</v>
      </c>
      <c r="D181" s="7">
        <f t="shared" si="7"/>
        <v>0.40829103743289247</v>
      </c>
      <c r="E181" s="8">
        <f t="shared" si="8"/>
        <v>-0.84890362086485982</v>
      </c>
      <c r="J181" s="4"/>
      <c r="M181" s="4"/>
    </row>
    <row r="182" spans="1:13" x14ac:dyDescent="0.2">
      <c r="A182" s="4">
        <v>41877</v>
      </c>
      <c r="B182" s="3">
        <v>51729.68</v>
      </c>
      <c r="C182" s="6">
        <f t="shared" si="6"/>
        <v>5.6626643090800753E-3</v>
      </c>
      <c r="D182" s="7">
        <f t="shared" si="7"/>
        <v>0.49787101701659436</v>
      </c>
      <c r="E182" s="8">
        <f t="shared" si="8"/>
        <v>-0.9348075105890522</v>
      </c>
      <c r="J182" s="4"/>
      <c r="M182" s="4"/>
    </row>
    <row r="183" spans="1:13" x14ac:dyDescent="0.2">
      <c r="A183" s="4">
        <v>41878</v>
      </c>
      <c r="B183" s="3">
        <v>51610.42</v>
      </c>
      <c r="C183" s="6">
        <f t="shared" si="6"/>
        <v>-2.3081079454170786E-3</v>
      </c>
      <c r="D183" s="7">
        <f t="shared" si="7"/>
        <v>-0.23244217389633634</v>
      </c>
      <c r="E183" s="8">
        <f t="shared" si="8"/>
        <v>-0.72484840999653433</v>
      </c>
      <c r="J183" s="4"/>
      <c r="M183" s="4"/>
    </row>
    <row r="184" spans="1:13" x14ac:dyDescent="0.2">
      <c r="A184" s="4">
        <v>41879</v>
      </c>
      <c r="B184" s="3">
        <v>51133.13</v>
      </c>
      <c r="C184" s="6">
        <f t="shared" si="6"/>
        <v>-9.290966360085905E-3</v>
      </c>
      <c r="D184" s="7">
        <f t="shared" si="7"/>
        <v>-0.87223885202030793</v>
      </c>
      <c r="E184" s="8">
        <f t="shared" si="8"/>
        <v>-1.4213289591927893</v>
      </c>
      <c r="J184" s="4"/>
      <c r="M184" s="4"/>
    </row>
    <row r="185" spans="1:13" x14ac:dyDescent="0.2">
      <c r="A185" s="4">
        <v>41880</v>
      </c>
      <c r="B185" s="3">
        <v>50959.02</v>
      </c>
      <c r="C185" s="6">
        <f t="shared" si="6"/>
        <v>-3.4108434154335957E-3</v>
      </c>
      <c r="D185" s="7">
        <f t="shared" si="7"/>
        <v>-0.33347909154082861</v>
      </c>
      <c r="E185" s="8">
        <f t="shared" si="8"/>
        <v>-0.78853030655567602</v>
      </c>
      <c r="J185" s="4"/>
      <c r="M185" s="4"/>
    </row>
    <row r="186" spans="1:13" x14ac:dyDescent="0.2">
      <c r="A186" s="4">
        <v>41883</v>
      </c>
      <c r="B186" s="3">
        <v>51113.87</v>
      </c>
      <c r="C186" s="6">
        <f t="shared" si="6"/>
        <v>3.0341086412535045E-3</v>
      </c>
      <c r="D186" s="7">
        <f t="shared" si="7"/>
        <v>0.25703251154059048</v>
      </c>
      <c r="E186" s="8">
        <f t="shared" si="8"/>
        <v>-0.73838154161038128</v>
      </c>
      <c r="J186" s="4"/>
      <c r="M186" s="4"/>
    </row>
    <row r="187" spans="1:13" x14ac:dyDescent="0.2">
      <c r="A187" s="4">
        <v>41884</v>
      </c>
      <c r="B187" s="3">
        <v>51462.57</v>
      </c>
      <c r="C187" s="6">
        <f t="shared" si="6"/>
        <v>6.7988583578289319E-3</v>
      </c>
      <c r="D187" s="7">
        <f t="shared" si="7"/>
        <v>0.6019735399270808</v>
      </c>
      <c r="E187" s="8">
        <f t="shared" si="8"/>
        <v>-1.0514239574425785</v>
      </c>
      <c r="J187" s="4"/>
      <c r="M187" s="4"/>
    </row>
    <row r="188" spans="1:13" x14ac:dyDescent="0.2">
      <c r="A188" s="4">
        <v>41885</v>
      </c>
      <c r="B188" s="3">
        <v>51793.65</v>
      </c>
      <c r="C188" s="6">
        <f t="shared" si="6"/>
        <v>6.4128075696199601E-3</v>
      </c>
      <c r="D188" s="7">
        <f t="shared" si="7"/>
        <v>0.56660206348923936</v>
      </c>
      <c r="E188" s="8">
        <f t="shared" si="8"/>
        <v>-1.0099145148689956</v>
      </c>
      <c r="J188" s="4"/>
      <c r="M188" s="4"/>
    </row>
    <row r="189" spans="1:13" x14ac:dyDescent="0.2">
      <c r="A189" s="4">
        <v>41886</v>
      </c>
      <c r="B189" s="3">
        <v>52081.22</v>
      </c>
      <c r="C189" s="6">
        <f t="shared" si="6"/>
        <v>5.5368682467072175E-3</v>
      </c>
      <c r="D189" s="7">
        <f t="shared" si="7"/>
        <v>0.48634509195155817</v>
      </c>
      <c r="E189" s="8">
        <f t="shared" si="8"/>
        <v>-0.92296877270059996</v>
      </c>
      <c r="J189" s="4"/>
      <c r="M189" s="4"/>
    </row>
    <row r="190" spans="1:13" x14ac:dyDescent="0.2">
      <c r="A190" s="4">
        <v>41887</v>
      </c>
      <c r="B190" s="3">
        <v>51789.4</v>
      </c>
      <c r="C190" s="6">
        <f t="shared" si="6"/>
        <v>-5.6189280045998696E-3</v>
      </c>
      <c r="D190" s="7">
        <f t="shared" si="7"/>
        <v>-0.53579239954054658</v>
      </c>
      <c r="E190" s="8">
        <f t="shared" si="8"/>
        <v>-0.97531215859811293</v>
      </c>
      <c r="J190" s="4"/>
      <c r="M190" s="4"/>
    </row>
    <row r="191" spans="1:13" x14ac:dyDescent="0.2">
      <c r="A191" s="4">
        <v>41890</v>
      </c>
      <c r="B191" s="3">
        <v>51610.13</v>
      </c>
      <c r="C191" s="6">
        <f t="shared" si="6"/>
        <v>-3.4675240714222375E-3</v>
      </c>
      <c r="D191" s="7">
        <f t="shared" si="7"/>
        <v>-0.33867239394822685</v>
      </c>
      <c r="E191" s="8">
        <f t="shared" si="8"/>
        <v>-0.79236881422816463</v>
      </c>
      <c r="J191" s="4"/>
      <c r="M191" s="4"/>
    </row>
    <row r="192" spans="1:13" x14ac:dyDescent="0.2">
      <c r="A192" s="4">
        <v>41891</v>
      </c>
      <c r="B192" s="3">
        <v>51707.25</v>
      </c>
      <c r="C192" s="6">
        <f t="shared" si="6"/>
        <v>1.8800327419467037E-3</v>
      </c>
      <c r="D192" s="7">
        <f t="shared" si="7"/>
        <v>0.15129158385282138</v>
      </c>
      <c r="E192" s="8">
        <f t="shared" si="8"/>
        <v>-0.6895112753766881</v>
      </c>
      <c r="J192" s="4"/>
      <c r="M192" s="4"/>
    </row>
    <row r="193" spans="1:13" x14ac:dyDescent="0.2">
      <c r="A193" s="4">
        <v>41892</v>
      </c>
      <c r="B193" s="3">
        <v>51263.48</v>
      </c>
      <c r="C193" s="6">
        <f t="shared" si="6"/>
        <v>-8.6193959671868325E-3</v>
      </c>
      <c r="D193" s="7">
        <f t="shared" si="7"/>
        <v>-0.81070695763152356</v>
      </c>
      <c r="E193" s="8">
        <f t="shared" si="8"/>
        <v>-1.3300466404544606</v>
      </c>
      <c r="J193" s="4"/>
      <c r="M193" s="4"/>
    </row>
    <row r="194" spans="1:13" x14ac:dyDescent="0.2">
      <c r="A194" s="4">
        <v>41893</v>
      </c>
      <c r="B194" s="3">
        <v>51230.89</v>
      </c>
      <c r="C194" s="6">
        <f t="shared" si="6"/>
        <v>-6.3593739047968108E-4</v>
      </c>
      <c r="D194" s="7">
        <f t="shared" si="7"/>
        <v>-7.9231396479133839E-2</v>
      </c>
      <c r="E194" s="8">
        <f t="shared" si="8"/>
        <v>-0.670466208474362</v>
      </c>
      <c r="J194" s="4"/>
      <c r="M194" s="4"/>
    </row>
    <row r="195" spans="1:13" x14ac:dyDescent="0.2">
      <c r="A195" s="4">
        <v>41894</v>
      </c>
      <c r="B195" s="3">
        <v>51247.71</v>
      </c>
      <c r="C195" s="6">
        <f t="shared" ref="C195:C258" si="9">LN(B195/B194)</f>
        <v>3.2826365994531413E-4</v>
      </c>
      <c r="D195" s="7">
        <f t="shared" ref="D195:D258" si="10">(C195-$G$4)/$G$5</f>
        <v>9.1124582107529328E-3</v>
      </c>
      <c r="E195" s="8">
        <f t="shared" ref="E195:E258" si="11">LN((PI()*(G$3-2))^(-1/2)*EXP(GAMMALN((G$3+1)/2))*((1+D195^2/(G$3-2))^(-(G$3+1)/2))/EXP(GAMMALN(G$3/2)))</f>
        <v>-0.66332892241422481</v>
      </c>
      <c r="J195" s="4"/>
      <c r="M195" s="4"/>
    </row>
    <row r="196" spans="1:13" x14ac:dyDescent="0.2">
      <c r="A196" s="4">
        <v>41897</v>
      </c>
      <c r="B196" s="3">
        <v>51376.57</v>
      </c>
      <c r="C196" s="6">
        <f t="shared" si="9"/>
        <v>2.5112978667922209E-3</v>
      </c>
      <c r="D196" s="7">
        <f t="shared" si="10"/>
        <v>0.20913055264005129</v>
      </c>
      <c r="E196" s="8">
        <f t="shared" si="11"/>
        <v>-0.7132194074553545</v>
      </c>
      <c r="J196" s="4"/>
      <c r="M196" s="4"/>
    </row>
    <row r="197" spans="1:13" x14ac:dyDescent="0.2">
      <c r="A197" s="4">
        <v>41898</v>
      </c>
      <c r="B197" s="3">
        <v>51178.07</v>
      </c>
      <c r="C197" s="6">
        <f t="shared" si="9"/>
        <v>-3.8711119825532696E-3</v>
      </c>
      <c r="D197" s="7">
        <f t="shared" si="10"/>
        <v>-0.37565068987503508</v>
      </c>
      <c r="E197" s="8">
        <f t="shared" si="11"/>
        <v>-0.82123625220385088</v>
      </c>
      <c r="J197" s="4"/>
      <c r="M197" s="4"/>
    </row>
    <row r="198" spans="1:13" x14ac:dyDescent="0.2">
      <c r="A198" s="4">
        <v>41899</v>
      </c>
      <c r="B198" s="3">
        <v>51173.03</v>
      </c>
      <c r="C198" s="6">
        <f t="shared" si="9"/>
        <v>-9.8484530289794241E-5</v>
      </c>
      <c r="D198" s="7">
        <f t="shared" si="10"/>
        <v>-2.9987872670120017E-2</v>
      </c>
      <c r="E198" s="8">
        <f t="shared" si="11"/>
        <v>-0.66427047662554217</v>
      </c>
      <c r="J198" s="4"/>
      <c r="M198" s="4"/>
    </row>
    <row r="199" spans="1:13" x14ac:dyDescent="0.2">
      <c r="A199" s="4">
        <v>41900</v>
      </c>
      <c r="B199" s="3">
        <v>51547.02</v>
      </c>
      <c r="C199" s="6">
        <f t="shared" si="9"/>
        <v>7.2817653912556858E-3</v>
      </c>
      <c r="D199" s="7">
        <f t="shared" si="10"/>
        <v>0.64621936269503266</v>
      </c>
      <c r="E199" s="8">
        <f t="shared" si="11"/>
        <v>-1.1058886349831583</v>
      </c>
      <c r="J199" s="4"/>
      <c r="M199" s="4"/>
    </row>
    <row r="200" spans="1:13" x14ac:dyDescent="0.2">
      <c r="A200" s="4">
        <v>41901</v>
      </c>
      <c r="B200" s="3">
        <v>51462.42</v>
      </c>
      <c r="C200" s="6">
        <f t="shared" si="9"/>
        <v>-1.6425682737642975E-3</v>
      </c>
      <c r="D200" s="7">
        <f t="shared" si="10"/>
        <v>-0.17146283767083409</v>
      </c>
      <c r="E200" s="8">
        <f t="shared" si="11"/>
        <v>-0.69693817047689977</v>
      </c>
      <c r="J200" s="4"/>
      <c r="M200" s="4"/>
    </row>
    <row r="201" spans="1:13" x14ac:dyDescent="0.2">
      <c r="A201" s="4">
        <v>41904</v>
      </c>
      <c r="B201" s="3">
        <v>50485.53</v>
      </c>
      <c r="C201" s="6">
        <f t="shared" si="9"/>
        <v>-1.9165071995865611E-2</v>
      </c>
      <c r="D201" s="7">
        <f t="shared" si="10"/>
        <v>-1.7769428586125218</v>
      </c>
      <c r="E201" s="8">
        <f t="shared" si="11"/>
        <v>-2.9543894996657629</v>
      </c>
      <c r="J201" s="4"/>
      <c r="M201" s="4"/>
    </row>
    <row r="202" spans="1:13" x14ac:dyDescent="0.2">
      <c r="A202" s="4">
        <v>41905</v>
      </c>
      <c r="B202" s="3">
        <v>50053.91</v>
      </c>
      <c r="C202" s="6">
        <f t="shared" si="9"/>
        <v>-8.5861359809550793E-3</v>
      </c>
      <c r="D202" s="7">
        <f t="shared" si="10"/>
        <v>-0.80765954818372165</v>
      </c>
      <c r="E202" s="8">
        <f t="shared" si="11"/>
        <v>-1.3256197741611242</v>
      </c>
      <c r="J202" s="4"/>
      <c r="M202" s="4"/>
    </row>
    <row r="203" spans="1:13" x14ac:dyDescent="0.2">
      <c r="A203" s="4">
        <v>41907</v>
      </c>
      <c r="B203" s="3">
        <v>49503.55</v>
      </c>
      <c r="C203" s="6">
        <f t="shared" si="9"/>
        <v>-1.1056240413188102E-2</v>
      </c>
      <c r="D203" s="7">
        <f t="shared" si="10"/>
        <v>-1.0339801344700095</v>
      </c>
      <c r="E203" s="8">
        <f t="shared" si="11"/>
        <v>-1.6758356425840191</v>
      </c>
      <c r="J203" s="4"/>
      <c r="M203" s="4"/>
    </row>
    <row r="204" spans="1:13" x14ac:dyDescent="0.2">
      <c r="A204" s="4">
        <v>41908</v>
      </c>
      <c r="B204" s="3">
        <v>49663.64</v>
      </c>
      <c r="C204" s="6">
        <f t="shared" si="9"/>
        <v>3.2286916483328311E-3</v>
      </c>
      <c r="D204" s="7">
        <f t="shared" si="10"/>
        <v>0.27486096432537038</v>
      </c>
      <c r="E204" s="8">
        <f t="shared" si="11"/>
        <v>-0.748995107739304</v>
      </c>
      <c r="J204" s="4"/>
      <c r="M204" s="4"/>
    </row>
    <row r="205" spans="1:13" x14ac:dyDescent="0.2">
      <c r="A205" s="4">
        <v>41911</v>
      </c>
      <c r="B205" s="3">
        <v>49371.12</v>
      </c>
      <c r="C205" s="6">
        <f t="shared" si="9"/>
        <v>-5.9074379680853235E-3</v>
      </c>
      <c r="D205" s="7">
        <f t="shared" si="10"/>
        <v>-0.56222680580831508</v>
      </c>
      <c r="E205" s="8">
        <f t="shared" si="11"/>
        <v>-1.0049108468671206</v>
      </c>
      <c r="J205" s="4"/>
      <c r="M205" s="4"/>
    </row>
    <row r="206" spans="1:13" x14ac:dyDescent="0.2">
      <c r="A206" s="4">
        <v>41912</v>
      </c>
      <c r="B206" s="3">
        <v>49336.31</v>
      </c>
      <c r="C206" s="6">
        <f t="shared" si="9"/>
        <v>-7.0531674146690078E-4</v>
      </c>
      <c r="D206" s="7">
        <f t="shared" si="10"/>
        <v>-8.5588202769058527E-2</v>
      </c>
      <c r="E206" s="8">
        <f t="shared" si="11"/>
        <v>-0.67167148042088787</v>
      </c>
      <c r="J206" s="4"/>
      <c r="M206" s="4"/>
    </row>
    <row r="207" spans="1:13" x14ac:dyDescent="0.2">
      <c r="A207" s="4">
        <v>41913</v>
      </c>
      <c r="B207" s="3">
        <v>48875.03</v>
      </c>
      <c r="C207" s="6">
        <f t="shared" si="9"/>
        <v>-9.3936889975059674E-3</v>
      </c>
      <c r="D207" s="7">
        <f t="shared" si="10"/>
        <v>-0.88165070004681645</v>
      </c>
      <c r="E207" s="8">
        <f t="shared" si="11"/>
        <v>-1.4355934542574502</v>
      </c>
      <c r="J207" s="4"/>
      <c r="M207" s="4"/>
    </row>
    <row r="208" spans="1:13" x14ac:dyDescent="0.2">
      <c r="A208" s="4">
        <v>41914</v>
      </c>
      <c r="B208" s="3">
        <v>48189.06</v>
      </c>
      <c r="C208" s="6">
        <f t="shared" si="9"/>
        <v>-1.4134607775690635E-2</v>
      </c>
      <c r="D208" s="7">
        <f t="shared" si="10"/>
        <v>-1.3160321389094809</v>
      </c>
      <c r="E208" s="8">
        <f t="shared" si="11"/>
        <v>-2.1519930736345581</v>
      </c>
      <c r="J208" s="4"/>
      <c r="M208" s="4"/>
    </row>
    <row r="209" spans="1:13" x14ac:dyDescent="0.2">
      <c r="A209" s="4">
        <v>41915</v>
      </c>
      <c r="B209" s="3">
        <v>48613.19</v>
      </c>
      <c r="C209" s="6">
        <f t="shared" si="9"/>
        <v>8.7628689209159356E-3</v>
      </c>
      <c r="D209" s="7">
        <f t="shared" si="10"/>
        <v>0.78192383527086085</v>
      </c>
      <c r="E209" s="8">
        <f t="shared" si="11"/>
        <v>-1.2886110857447088</v>
      </c>
      <c r="J209" s="4"/>
      <c r="M209" s="4"/>
    </row>
    <row r="210" spans="1:13" x14ac:dyDescent="0.2">
      <c r="A210" s="4">
        <v>41918</v>
      </c>
      <c r="B210" s="3">
        <v>49166.2</v>
      </c>
      <c r="C210" s="6">
        <f t="shared" si="9"/>
        <v>1.1311502279987852E-2</v>
      </c>
      <c r="D210" s="7">
        <f t="shared" si="10"/>
        <v>1.0154395476136386</v>
      </c>
      <c r="E210" s="8">
        <f t="shared" si="11"/>
        <v>-1.6457600088542683</v>
      </c>
      <c r="J210" s="4"/>
      <c r="M210" s="4"/>
    </row>
    <row r="211" spans="1:13" x14ac:dyDescent="0.2">
      <c r="A211" s="4">
        <v>41919</v>
      </c>
      <c r="B211" s="3">
        <v>48712.45</v>
      </c>
      <c r="C211" s="6">
        <f t="shared" si="9"/>
        <v>-9.2717513075830787E-3</v>
      </c>
      <c r="D211" s="7">
        <f t="shared" si="10"/>
        <v>-0.8704782940895528</v>
      </c>
      <c r="E211" s="8">
        <f t="shared" si="11"/>
        <v>-1.4186691818540493</v>
      </c>
      <c r="J211" s="4"/>
      <c r="M211" s="4"/>
    </row>
    <row r="212" spans="1:13" x14ac:dyDescent="0.2">
      <c r="A212" s="4">
        <v>41920</v>
      </c>
      <c r="B212" s="3">
        <v>48033.62</v>
      </c>
      <c r="C212" s="6">
        <f t="shared" si="9"/>
        <v>-1.4033461836431432E-2</v>
      </c>
      <c r="D212" s="7">
        <f t="shared" si="10"/>
        <v>-1.3067647541078893</v>
      </c>
      <c r="E212" s="8">
        <f t="shared" si="11"/>
        <v>-2.1359638108245682</v>
      </c>
      <c r="J212" s="4"/>
      <c r="M212" s="4"/>
    </row>
    <row r="213" spans="1:13" x14ac:dyDescent="0.2">
      <c r="A213" s="4">
        <v>41921</v>
      </c>
      <c r="B213" s="3">
        <v>48133.52</v>
      </c>
      <c r="C213" s="6">
        <f t="shared" si="9"/>
        <v>2.0776335021580757E-3</v>
      </c>
      <c r="D213" s="7">
        <f t="shared" si="10"/>
        <v>0.16939653493022383</v>
      </c>
      <c r="E213" s="8">
        <f t="shared" si="11"/>
        <v>-0.69613570172920003</v>
      </c>
      <c r="J213" s="4"/>
      <c r="M213" s="4"/>
    </row>
    <row r="214" spans="1:13" x14ac:dyDescent="0.2">
      <c r="A214" s="4">
        <v>41922</v>
      </c>
      <c r="B214" s="3">
        <v>47092.24</v>
      </c>
      <c r="C214" s="6">
        <f t="shared" si="9"/>
        <v>-2.1870584289442944E-2</v>
      </c>
      <c r="D214" s="7">
        <f t="shared" si="10"/>
        <v>-2.0248324297970233</v>
      </c>
      <c r="E214" s="8">
        <f t="shared" si="11"/>
        <v>-3.3764726906079838</v>
      </c>
      <c r="J214" s="4"/>
      <c r="M214" s="4"/>
    </row>
    <row r="215" spans="1:13" x14ac:dyDescent="0.2">
      <c r="A215" s="4">
        <v>41925</v>
      </c>
      <c r="B215" s="3">
        <v>47368.34</v>
      </c>
      <c r="C215" s="6">
        <f t="shared" si="9"/>
        <v>5.8458414352983183E-3</v>
      </c>
      <c r="D215" s="7">
        <f t="shared" si="10"/>
        <v>0.51465441858414362</v>
      </c>
      <c r="E215" s="8">
        <f t="shared" si="11"/>
        <v>-0.95244378318172418</v>
      </c>
      <c r="J215" s="4"/>
      <c r="M215" s="4"/>
    </row>
    <row r="216" spans="1:13" x14ac:dyDescent="0.2">
      <c r="A216" s="4">
        <v>41926</v>
      </c>
      <c r="B216" s="3">
        <v>47686.85</v>
      </c>
      <c r="C216" s="6">
        <f t="shared" si="9"/>
        <v>6.701605500194799E-3</v>
      </c>
      <c r="D216" s="7">
        <f t="shared" si="10"/>
        <v>0.59306285442303663</v>
      </c>
      <c r="E216" s="8">
        <f t="shared" si="11"/>
        <v>-1.0407923139661586</v>
      </c>
      <c r="J216" s="4"/>
      <c r="M216" s="4"/>
    </row>
    <row r="217" spans="1:13" x14ac:dyDescent="0.2">
      <c r="A217" s="4">
        <v>41927</v>
      </c>
      <c r="B217" s="3">
        <v>46673.38</v>
      </c>
      <c r="C217" s="6">
        <f t="shared" si="9"/>
        <v>-2.1481697807884816E-2</v>
      </c>
      <c r="D217" s="7">
        <f t="shared" si="10"/>
        <v>-1.9892011360927804</v>
      </c>
      <c r="E217" s="8">
        <f t="shared" si="11"/>
        <v>-3.316589426705443</v>
      </c>
      <c r="J217" s="4"/>
      <c r="M217" s="4"/>
    </row>
    <row r="218" spans="1:13" x14ac:dyDescent="0.2">
      <c r="A218" s="4">
        <v>41928</v>
      </c>
      <c r="B218" s="3">
        <v>46881.120000000003</v>
      </c>
      <c r="C218" s="6">
        <f t="shared" si="9"/>
        <v>4.4410550307546629E-3</v>
      </c>
      <c r="D218" s="7">
        <f t="shared" si="10"/>
        <v>0.38594241817859415</v>
      </c>
      <c r="E218" s="8">
        <f t="shared" si="11"/>
        <v>-0.82974203384171707</v>
      </c>
      <c r="J218" s="4"/>
      <c r="M218" s="4"/>
    </row>
    <row r="219" spans="1:13" x14ac:dyDescent="0.2">
      <c r="A219" s="4">
        <v>41929</v>
      </c>
      <c r="B219" s="3">
        <v>47836.69</v>
      </c>
      <c r="C219" s="6">
        <f t="shared" si="9"/>
        <v>2.0177882517139034E-2</v>
      </c>
      <c r="D219" s="7">
        <f t="shared" si="10"/>
        <v>1.82781182925647</v>
      </c>
      <c r="E219" s="8">
        <f t="shared" si="11"/>
        <v>-3.0419608604286248</v>
      </c>
      <c r="J219" s="4"/>
      <c r="M219" s="4"/>
    </row>
    <row r="220" spans="1:13" x14ac:dyDescent="0.2">
      <c r="A220" s="4">
        <v>41932</v>
      </c>
      <c r="B220" s="3">
        <v>47599.25</v>
      </c>
      <c r="C220" s="6">
        <f t="shared" si="9"/>
        <v>-4.9759134747774502E-3</v>
      </c>
      <c r="D220" s="7">
        <f t="shared" si="10"/>
        <v>-0.47687690451896481</v>
      </c>
      <c r="E220" s="8">
        <f t="shared" si="11"/>
        <v>-0.91341252199029621</v>
      </c>
      <c r="J220" s="4"/>
      <c r="M220" s="4"/>
    </row>
    <row r="221" spans="1:13" x14ac:dyDescent="0.2">
      <c r="A221" s="4">
        <v>41933</v>
      </c>
      <c r="B221" s="3">
        <v>48530.47</v>
      </c>
      <c r="C221" s="6">
        <f t="shared" si="9"/>
        <v>1.9374843290600841E-2</v>
      </c>
      <c r="D221" s="7">
        <f t="shared" si="10"/>
        <v>1.7542342484103395</v>
      </c>
      <c r="E221" s="8">
        <f t="shared" si="11"/>
        <v>-2.9151647323564811</v>
      </c>
      <c r="J221" s="4"/>
      <c r="M221" s="4"/>
    </row>
    <row r="222" spans="1:13" x14ac:dyDescent="0.2">
      <c r="A222" s="4">
        <v>41934</v>
      </c>
      <c r="B222" s="3">
        <v>48202.91</v>
      </c>
      <c r="C222" s="6">
        <f t="shared" si="9"/>
        <v>-6.7724554231872441E-3</v>
      </c>
      <c r="D222" s="7">
        <f t="shared" si="10"/>
        <v>-0.64148307328910259</v>
      </c>
      <c r="E222" s="8">
        <f t="shared" si="11"/>
        <v>-1.0999286736901901</v>
      </c>
      <c r="J222" s="4"/>
      <c r="M222" s="4"/>
    </row>
    <row r="223" spans="1:13" x14ac:dyDescent="0.2">
      <c r="A223" s="4">
        <v>41935</v>
      </c>
      <c r="B223" s="3">
        <v>48104.66</v>
      </c>
      <c r="C223" s="6">
        <f t="shared" si="9"/>
        <v>-2.040338762247173E-3</v>
      </c>
      <c r="D223" s="7">
        <f t="shared" si="10"/>
        <v>-0.20790811868247305</v>
      </c>
      <c r="E223" s="8">
        <f t="shared" si="11"/>
        <v>-0.71264214793486691</v>
      </c>
      <c r="J223" s="4"/>
      <c r="M223" s="4"/>
    </row>
    <row r="224" spans="1:13" x14ac:dyDescent="0.2">
      <c r="A224" s="4">
        <v>41936</v>
      </c>
      <c r="B224" s="3">
        <v>47879.45</v>
      </c>
      <c r="C224" s="6">
        <f t="shared" si="9"/>
        <v>-4.6926603430529588E-3</v>
      </c>
      <c r="D224" s="7">
        <f t="shared" si="10"/>
        <v>-0.45092414964642652</v>
      </c>
      <c r="E224" s="8">
        <f t="shared" si="11"/>
        <v>-0.88801458290549173</v>
      </c>
      <c r="J224" s="4"/>
      <c r="M224" s="4"/>
    </row>
    <row r="225" spans="1:13" x14ac:dyDescent="0.2">
      <c r="A225" s="4">
        <v>41939</v>
      </c>
      <c r="B225" s="3">
        <v>48051.05</v>
      </c>
      <c r="C225" s="6">
        <f t="shared" si="9"/>
        <v>3.5775938419628285E-3</v>
      </c>
      <c r="D225" s="7">
        <f t="shared" si="10"/>
        <v>0.30682874187699727</v>
      </c>
      <c r="E225" s="8">
        <f t="shared" si="11"/>
        <v>-0.76968499883432373</v>
      </c>
      <c r="J225" s="4"/>
      <c r="M225" s="4"/>
    </row>
    <row r="226" spans="1:13" x14ac:dyDescent="0.2">
      <c r="A226" s="4">
        <v>41940</v>
      </c>
      <c r="B226" s="3">
        <v>48460.93</v>
      </c>
      <c r="C226" s="6">
        <f t="shared" si="9"/>
        <v>8.4939188748667394E-3</v>
      </c>
      <c r="D226" s="7">
        <f t="shared" si="10"/>
        <v>0.75728158480189933</v>
      </c>
      <c r="E226" s="8">
        <f t="shared" si="11"/>
        <v>-1.2538294111515664</v>
      </c>
      <c r="J226" s="4"/>
      <c r="M226" s="4"/>
    </row>
    <row r="227" spans="1:13" x14ac:dyDescent="0.2">
      <c r="A227" s="4">
        <v>41941</v>
      </c>
      <c r="B227" s="3">
        <v>49116.76</v>
      </c>
      <c r="C227" s="6">
        <f t="shared" si="9"/>
        <v>1.344241446165381E-2</v>
      </c>
      <c r="D227" s="7">
        <f t="shared" si="10"/>
        <v>1.2106820191407439</v>
      </c>
      <c r="E227" s="8">
        <f t="shared" si="11"/>
        <v>-1.9709271322381083</v>
      </c>
      <c r="J227" s="4"/>
      <c r="M227" s="4"/>
    </row>
    <row r="228" spans="1:13" x14ac:dyDescent="0.2">
      <c r="A228" s="4">
        <v>41942</v>
      </c>
      <c r="B228" s="3">
        <v>48660.44</v>
      </c>
      <c r="C228" s="6">
        <f t="shared" si="9"/>
        <v>-9.3339411022569912E-3</v>
      </c>
      <c r="D228" s="7">
        <f t="shared" si="10"/>
        <v>-0.87617636523503051</v>
      </c>
      <c r="E228" s="8">
        <f t="shared" si="11"/>
        <v>-1.4272873315646026</v>
      </c>
      <c r="J228" s="4"/>
      <c r="M228" s="4"/>
    </row>
    <row r="229" spans="1:13" x14ac:dyDescent="0.2">
      <c r="A229" s="4">
        <v>41943</v>
      </c>
      <c r="B229" s="3">
        <v>49722.879999999997</v>
      </c>
      <c r="C229" s="6">
        <f t="shared" si="9"/>
        <v>2.1598809692405543E-2</v>
      </c>
      <c r="D229" s="7">
        <f t="shared" si="10"/>
        <v>1.9580027099253152</v>
      </c>
      <c r="E229" s="8">
        <f t="shared" si="11"/>
        <v>-3.2639210668204579</v>
      </c>
      <c r="J229" s="4"/>
      <c r="M229" s="4"/>
    </row>
    <row r="230" spans="1:13" x14ac:dyDescent="0.2">
      <c r="A230" s="4">
        <v>41946</v>
      </c>
      <c r="B230" s="3">
        <v>50022.64</v>
      </c>
      <c r="C230" s="6">
        <f t="shared" si="9"/>
        <v>6.0105136036942E-3</v>
      </c>
      <c r="D230" s="7">
        <f t="shared" si="10"/>
        <v>0.52974232386056086</v>
      </c>
      <c r="E230" s="8">
        <f t="shared" si="11"/>
        <v>-0.96869312687420939</v>
      </c>
      <c r="J230" s="4"/>
      <c r="M230" s="4"/>
    </row>
    <row r="231" spans="1:13" x14ac:dyDescent="0.2">
      <c r="A231" s="4">
        <v>41947</v>
      </c>
      <c r="B231" s="3">
        <v>49788.32</v>
      </c>
      <c r="C231" s="6">
        <f t="shared" si="9"/>
        <v>-4.695284575538021E-3</v>
      </c>
      <c r="D231" s="7">
        <f t="shared" si="10"/>
        <v>-0.45116459204506387</v>
      </c>
      <c r="E231" s="8">
        <f t="shared" si="11"/>
        <v>-0.88824445521630835</v>
      </c>
      <c r="J231" s="4"/>
      <c r="M231" s="4"/>
    </row>
    <row r="232" spans="1:13" x14ac:dyDescent="0.2">
      <c r="A232" s="4">
        <v>41948</v>
      </c>
      <c r="B232" s="3">
        <v>49717.07</v>
      </c>
      <c r="C232" s="6">
        <f t="shared" si="9"/>
        <v>-1.4320834715989032E-3</v>
      </c>
      <c r="D232" s="7">
        <f t="shared" si="10"/>
        <v>-0.15217740050113493</v>
      </c>
      <c r="E232" s="8">
        <f t="shared" si="11"/>
        <v>-0.6898183504215466</v>
      </c>
      <c r="J232" s="4"/>
      <c r="M232" s="4"/>
    </row>
    <row r="233" spans="1:13" x14ac:dyDescent="0.2">
      <c r="A233" s="4">
        <v>41949</v>
      </c>
      <c r="B233" s="3">
        <v>49587.24</v>
      </c>
      <c r="C233" s="6">
        <f t="shared" si="9"/>
        <v>-2.6147923281907965E-3</v>
      </c>
      <c r="D233" s="7">
        <f t="shared" si="10"/>
        <v>-0.2605417912276769</v>
      </c>
      <c r="E233" s="8">
        <f t="shared" si="11"/>
        <v>-0.74041772823604546</v>
      </c>
      <c r="J233" s="4"/>
      <c r="M233" s="4"/>
    </row>
    <row r="234" spans="1:13" x14ac:dyDescent="0.2">
      <c r="A234" s="4">
        <v>41950</v>
      </c>
      <c r="B234" s="3">
        <v>50079.44</v>
      </c>
      <c r="C234" s="6">
        <f t="shared" si="9"/>
        <v>9.8770020508633476E-3</v>
      </c>
      <c r="D234" s="7">
        <f t="shared" si="10"/>
        <v>0.88400505089894887</v>
      </c>
      <c r="E234" s="8">
        <f t="shared" si="11"/>
        <v>-1.439173537940555</v>
      </c>
      <c r="J234" s="4"/>
      <c r="M234" s="4"/>
    </row>
    <row r="235" spans="1:13" x14ac:dyDescent="0.2">
      <c r="A235" s="4">
        <v>41953</v>
      </c>
      <c r="B235" s="3">
        <v>50484.09</v>
      </c>
      <c r="C235" s="6">
        <f t="shared" si="9"/>
        <v>8.0476925171456461E-3</v>
      </c>
      <c r="D235" s="7">
        <f t="shared" si="10"/>
        <v>0.71639658837098508</v>
      </c>
      <c r="E235" s="8">
        <f t="shared" si="11"/>
        <v>-1.1976213004173388</v>
      </c>
      <c r="J235" s="4"/>
      <c r="M235" s="4"/>
    </row>
    <row r="236" spans="1:13" x14ac:dyDescent="0.2">
      <c r="A236" s="4">
        <v>41954</v>
      </c>
      <c r="B236" s="3">
        <v>50355.38</v>
      </c>
      <c r="C236" s="6">
        <f t="shared" si="9"/>
        <v>-2.552771645793415E-3</v>
      </c>
      <c r="D236" s="7">
        <f t="shared" si="10"/>
        <v>-0.25485921480747198</v>
      </c>
      <c r="E236" s="8">
        <f t="shared" si="11"/>
        <v>-0.73713360239480741</v>
      </c>
      <c r="J236" s="4"/>
      <c r="M236" s="4"/>
    </row>
    <row r="237" spans="1:13" x14ac:dyDescent="0.2">
      <c r="A237" s="4">
        <v>41955</v>
      </c>
      <c r="B237" s="3">
        <v>50374.85</v>
      </c>
      <c r="C237" s="6">
        <f t="shared" si="9"/>
        <v>3.8657710287115667E-4</v>
      </c>
      <c r="D237" s="7">
        <f t="shared" si="10"/>
        <v>1.4455362915157611E-2</v>
      </c>
      <c r="E237" s="8">
        <f t="shared" si="11"/>
        <v>-0.66347419777855576</v>
      </c>
      <c r="J237" s="4"/>
      <c r="M237" s="4"/>
    </row>
    <row r="238" spans="1:13" x14ac:dyDescent="0.2">
      <c r="A238" s="4">
        <v>41956</v>
      </c>
      <c r="B238" s="3">
        <v>50588.4</v>
      </c>
      <c r="C238" s="6">
        <f t="shared" si="9"/>
        <v>4.2302584050707675E-3</v>
      </c>
      <c r="D238" s="7">
        <f t="shared" si="10"/>
        <v>0.3666284105239373</v>
      </c>
      <c r="E238" s="8">
        <f t="shared" si="11"/>
        <v>-0.81394701429226013</v>
      </c>
      <c r="J238" s="4"/>
      <c r="M238" s="4"/>
    </row>
    <row r="239" spans="1:13" x14ac:dyDescent="0.2">
      <c r="A239" s="4">
        <v>41957</v>
      </c>
      <c r="B239" s="3">
        <v>50598.02</v>
      </c>
      <c r="C239" s="6">
        <f t="shared" si="9"/>
        <v>1.9014409303109688E-4</v>
      </c>
      <c r="D239" s="7">
        <f t="shared" si="10"/>
        <v>-3.5425943261856718E-3</v>
      </c>
      <c r="E239" s="8">
        <f t="shared" si="11"/>
        <v>-0.66324759775834807</v>
      </c>
      <c r="J239" s="4"/>
      <c r="M239" s="4"/>
    </row>
    <row r="240" spans="1:13" x14ac:dyDescent="0.2">
      <c r="A240" s="4">
        <v>41960</v>
      </c>
      <c r="B240" s="3">
        <v>50511.519999999997</v>
      </c>
      <c r="C240" s="6">
        <f t="shared" si="9"/>
        <v>-1.7110160149663863E-3</v>
      </c>
      <c r="D240" s="7">
        <f t="shared" si="10"/>
        <v>-0.17773428624470047</v>
      </c>
      <c r="E240" s="8">
        <f t="shared" si="11"/>
        <v>-0.69943177208253693</v>
      </c>
      <c r="J240" s="4"/>
      <c r="M240" s="4"/>
    </row>
    <row r="241" spans="1:13" x14ac:dyDescent="0.2">
      <c r="A241" s="4">
        <v>41961</v>
      </c>
      <c r="B241" s="3">
        <v>50372.05</v>
      </c>
      <c r="C241" s="6">
        <f t="shared" si="9"/>
        <v>-2.7649713200031787E-3</v>
      </c>
      <c r="D241" s="7">
        <f t="shared" si="10"/>
        <v>-0.2743017752313231</v>
      </c>
      <c r="E241" s="8">
        <f t="shared" si="11"/>
        <v>-0.74865207105287457</v>
      </c>
      <c r="J241" s="4"/>
      <c r="M241" s="4"/>
    </row>
    <row r="242" spans="1:13" x14ac:dyDescent="0.2">
      <c r="A242" s="4">
        <v>41962</v>
      </c>
      <c r="B242" s="3">
        <v>50150.48</v>
      </c>
      <c r="C242" s="6">
        <f t="shared" si="9"/>
        <v>-4.4083721097705466E-3</v>
      </c>
      <c r="D242" s="7">
        <f t="shared" si="10"/>
        <v>-0.42487655473862596</v>
      </c>
      <c r="E242" s="8">
        <f t="shared" si="11"/>
        <v>-0.86372561742742759</v>
      </c>
      <c r="J242" s="4"/>
      <c r="M242" s="4"/>
    </row>
    <row r="243" spans="1:13" x14ac:dyDescent="0.2">
      <c r="A243" s="4">
        <v>41963</v>
      </c>
      <c r="B243" s="3">
        <v>49272.05</v>
      </c>
      <c r="C243" s="6">
        <f t="shared" si="9"/>
        <v>-1.7671102488928614E-2</v>
      </c>
      <c r="D243" s="7">
        <f t="shared" si="10"/>
        <v>-1.6400595551004697</v>
      </c>
      <c r="E243" s="8">
        <f t="shared" si="11"/>
        <v>-2.7169436951603796</v>
      </c>
      <c r="J243" s="4"/>
      <c r="M243" s="4"/>
    </row>
    <row r="244" spans="1:13" x14ac:dyDescent="0.2">
      <c r="A244" s="4">
        <v>41964</v>
      </c>
      <c r="B244" s="3">
        <v>50855.09</v>
      </c>
      <c r="C244" s="6">
        <f t="shared" si="9"/>
        <v>3.1623232654129349E-2</v>
      </c>
      <c r="D244" s="7">
        <f t="shared" si="10"/>
        <v>2.8764793752329747</v>
      </c>
      <c r="E244" s="8">
        <f t="shared" si="11"/>
        <v>-4.7065987104397786</v>
      </c>
      <c r="J244" s="4"/>
      <c r="M244" s="4"/>
    </row>
    <row r="245" spans="1:13" x14ac:dyDescent="0.2">
      <c r="A245" s="4">
        <v>41967</v>
      </c>
      <c r="B245" s="3">
        <v>50727.22</v>
      </c>
      <c r="C245" s="6">
        <f t="shared" si="9"/>
        <v>-2.5175656576055146E-3</v>
      </c>
      <c r="D245" s="7">
        <f t="shared" si="10"/>
        <v>-0.25163350508301685</v>
      </c>
      <c r="E245" s="8">
        <f t="shared" si="11"/>
        <v>-0.73529982094994395</v>
      </c>
      <c r="J245" s="4"/>
      <c r="M245" s="4"/>
    </row>
    <row r="246" spans="1:13" x14ac:dyDescent="0.2">
      <c r="A246" s="4">
        <v>41968</v>
      </c>
      <c r="B246" s="3">
        <v>50507.59</v>
      </c>
      <c r="C246" s="6">
        <f t="shared" si="9"/>
        <v>-4.3390281383268413E-3</v>
      </c>
      <c r="D246" s="7">
        <f t="shared" si="10"/>
        <v>-0.41852299006024057</v>
      </c>
      <c r="E246" s="8">
        <f t="shared" si="11"/>
        <v>-0.85798773758311031</v>
      </c>
      <c r="J246" s="4"/>
      <c r="M246" s="4"/>
    </row>
    <row r="247" spans="1:13" x14ac:dyDescent="0.2">
      <c r="A247" s="4">
        <v>41969</v>
      </c>
      <c r="B247" s="3">
        <v>50355.78</v>
      </c>
      <c r="C247" s="6">
        <f t="shared" si="9"/>
        <v>-3.0102130165592595E-3</v>
      </c>
      <c r="D247" s="7">
        <f t="shared" si="10"/>
        <v>-0.29677177440307473</v>
      </c>
      <c r="E247" s="8">
        <f t="shared" si="11"/>
        <v>-0.76294860583459767</v>
      </c>
      <c r="J247" s="4"/>
      <c r="M247" s="4"/>
    </row>
    <row r="248" spans="1:13" x14ac:dyDescent="0.2">
      <c r="A248" s="4">
        <v>41970</v>
      </c>
      <c r="B248" s="3">
        <v>50557.83</v>
      </c>
      <c r="C248" s="6">
        <f t="shared" si="9"/>
        <v>4.0044206127542387E-3</v>
      </c>
      <c r="D248" s="7">
        <f t="shared" si="10"/>
        <v>0.34593627261441917</v>
      </c>
      <c r="E248" s="8">
        <f t="shared" si="11"/>
        <v>-0.79782764855657717</v>
      </c>
      <c r="J248" s="4"/>
      <c r="M248" s="4"/>
    </row>
    <row r="249" spans="1:13" x14ac:dyDescent="0.2">
      <c r="A249" s="4">
        <v>41971</v>
      </c>
      <c r="B249" s="3">
        <v>49911.37</v>
      </c>
      <c r="C249" s="6">
        <f t="shared" si="9"/>
        <v>-1.2868997100018965E-2</v>
      </c>
      <c r="D249" s="7">
        <f t="shared" si="10"/>
        <v>-1.2000719607119723</v>
      </c>
      <c r="E249" s="8">
        <f t="shared" si="11"/>
        <v>-1.9528580914676807</v>
      </c>
      <c r="J249" s="4"/>
      <c r="M249" s="4"/>
    </row>
    <row r="250" spans="1:13" x14ac:dyDescent="0.2">
      <c r="A250" s="4">
        <v>41974</v>
      </c>
      <c r="B250" s="3">
        <v>48858.76</v>
      </c>
      <c r="C250" s="6">
        <f t="shared" si="9"/>
        <v>-2.1315145639002858E-2</v>
      </c>
      <c r="D250" s="7">
        <f t="shared" si="10"/>
        <v>-1.9739409778513974</v>
      </c>
      <c r="E250" s="8">
        <f t="shared" si="11"/>
        <v>-3.2908545351337266</v>
      </c>
      <c r="J250" s="4"/>
      <c r="M250" s="4"/>
    </row>
    <row r="251" spans="1:13" x14ac:dyDescent="0.2">
      <c r="A251" s="4">
        <v>41975</v>
      </c>
      <c r="B251" s="3">
        <v>49591.43</v>
      </c>
      <c r="C251" s="6">
        <f t="shared" si="9"/>
        <v>1.4884349669520404E-2</v>
      </c>
      <c r="D251" s="7">
        <f t="shared" si="10"/>
        <v>1.3427977375584426</v>
      </c>
      <c r="E251" s="8">
        <f t="shared" si="11"/>
        <v>-2.1983735131176831</v>
      </c>
      <c r="J251" s="4"/>
      <c r="M251" s="4"/>
    </row>
    <row r="252" spans="1:13" x14ac:dyDescent="0.2">
      <c r="A252" s="4">
        <v>41976</v>
      </c>
      <c r="B252" s="3">
        <v>49857.18</v>
      </c>
      <c r="C252" s="6">
        <f t="shared" si="9"/>
        <v>5.3444815882663027E-3</v>
      </c>
      <c r="D252" s="7">
        <f t="shared" si="10"/>
        <v>0.46871787718127184</v>
      </c>
      <c r="E252" s="8">
        <f t="shared" si="11"/>
        <v>-0.90530128524213382</v>
      </c>
      <c r="J252" s="4"/>
      <c r="M252" s="4"/>
    </row>
    <row r="253" spans="1:13" x14ac:dyDescent="0.2">
      <c r="A253" s="4">
        <v>41977</v>
      </c>
      <c r="B253" s="3">
        <v>49392.59</v>
      </c>
      <c r="C253" s="6">
        <f t="shared" si="9"/>
        <v>-9.3621051897580538E-3</v>
      </c>
      <c r="D253" s="7">
        <f t="shared" si="10"/>
        <v>-0.87875686859848412</v>
      </c>
      <c r="E253" s="8">
        <f t="shared" si="11"/>
        <v>-1.4311994900654645</v>
      </c>
      <c r="J253" s="4"/>
      <c r="M253" s="4"/>
    </row>
    <row r="254" spans="1:13" x14ac:dyDescent="0.2">
      <c r="A254" s="4">
        <v>41978</v>
      </c>
      <c r="B254" s="3">
        <v>49506.59</v>
      </c>
      <c r="C254" s="6">
        <f t="shared" si="9"/>
        <v>2.3053790838373778E-3</v>
      </c>
      <c r="D254" s="7">
        <f t="shared" si="10"/>
        <v>0.19026347192979634</v>
      </c>
      <c r="E254" s="8">
        <f t="shared" si="11"/>
        <v>-0.70467407285818018</v>
      </c>
      <c r="J254" s="4"/>
      <c r="M254" s="4"/>
    </row>
    <row r="255" spans="1:13" x14ac:dyDescent="0.2">
      <c r="A255" s="4">
        <v>41981</v>
      </c>
      <c r="B255" s="3">
        <v>49590.2</v>
      </c>
      <c r="C255" s="6">
        <f t="shared" si="9"/>
        <v>1.687441537504287E-3</v>
      </c>
      <c r="D255" s="7">
        <f t="shared" si="10"/>
        <v>0.1336456277814069</v>
      </c>
      <c r="E255" s="8">
        <f t="shared" si="11"/>
        <v>-0.68376114722135817</v>
      </c>
      <c r="J255" s="4"/>
      <c r="M255" s="4"/>
    </row>
    <row r="256" spans="1:13" x14ac:dyDescent="0.2">
      <c r="A256" s="4">
        <v>41982</v>
      </c>
      <c r="B256" s="3">
        <v>48556.55</v>
      </c>
      <c r="C256" s="6">
        <f t="shared" si="9"/>
        <v>-2.1064135465246984E-2</v>
      </c>
      <c r="D256" s="7">
        <f t="shared" si="10"/>
        <v>-1.9509424483370417</v>
      </c>
      <c r="E256" s="8">
        <f t="shared" si="11"/>
        <v>-3.2519725162135273</v>
      </c>
      <c r="J256" s="4"/>
      <c r="M256" s="4"/>
    </row>
    <row r="257" spans="1:13" x14ac:dyDescent="0.2">
      <c r="A257" s="4">
        <v>41983</v>
      </c>
      <c r="B257" s="3">
        <v>48745.43</v>
      </c>
      <c r="C257" s="6">
        <f t="shared" si="9"/>
        <v>3.8823513610612322E-3</v>
      </c>
      <c r="D257" s="7">
        <f t="shared" si="10"/>
        <v>0.33475181245549601</v>
      </c>
      <c r="E257" s="8">
        <f t="shared" si="11"/>
        <v>-0.78946603434138729</v>
      </c>
      <c r="J257" s="4"/>
      <c r="M257" s="4"/>
    </row>
    <row r="258" spans="1:13" x14ac:dyDescent="0.2">
      <c r="A258" s="4">
        <v>41984</v>
      </c>
      <c r="B258" s="3">
        <v>48110.52</v>
      </c>
      <c r="C258" s="6">
        <f t="shared" si="9"/>
        <v>-1.3110585243249324E-2</v>
      </c>
      <c r="D258" s="7">
        <f t="shared" si="10"/>
        <v>-1.222207207101649</v>
      </c>
      <c r="E258" s="8">
        <f t="shared" si="11"/>
        <v>-1.9905941787003378</v>
      </c>
      <c r="J258" s="4"/>
      <c r="M258" s="4"/>
    </row>
    <row r="259" spans="1:13" x14ac:dyDescent="0.2">
      <c r="A259" s="4">
        <v>41985</v>
      </c>
      <c r="B259" s="3">
        <v>48043.19</v>
      </c>
      <c r="C259" s="6">
        <f t="shared" ref="C259:C322" si="12">LN(B259/B258)</f>
        <v>-1.4004662119549141E-3</v>
      </c>
      <c r="D259" s="7">
        <f t="shared" ref="D259:D322" si="13">(C259-$G$4)/$G$5</f>
        <v>-0.14928050405982757</v>
      </c>
      <c r="E259" s="8">
        <f t="shared" ref="E259:E322" si="14">LN((PI()*(G$3-2))^(-1/2)*EXP(GAMMALN((G$3+1)/2))*((1+D259^2/(G$3-2))^(-(G$3+1)/2))/EXP(GAMMALN(G$3/2)))</f>
        <v>-0.68882064422219136</v>
      </c>
      <c r="J259" s="4"/>
      <c r="M259" s="4"/>
    </row>
    <row r="260" spans="1:13" x14ac:dyDescent="0.2">
      <c r="A260" s="4">
        <v>41988</v>
      </c>
      <c r="B260" s="3">
        <v>47397.440000000002</v>
      </c>
      <c r="C260" s="6">
        <f t="shared" si="12"/>
        <v>-1.3532179200999387E-2</v>
      </c>
      <c r="D260" s="7">
        <f t="shared" si="13"/>
        <v>-1.2608352871324571</v>
      </c>
      <c r="E260" s="8">
        <f t="shared" si="14"/>
        <v>-2.0567857647446952</v>
      </c>
      <c r="J260" s="4"/>
      <c r="M260" s="4"/>
    </row>
    <row r="261" spans="1:13" x14ac:dyDescent="0.2">
      <c r="A261" s="4">
        <v>41990</v>
      </c>
      <c r="B261" s="3">
        <v>47282.48</v>
      </c>
      <c r="C261" s="6">
        <f t="shared" si="12"/>
        <v>-2.4283936127992389E-3</v>
      </c>
      <c r="D261" s="7">
        <f t="shared" si="13"/>
        <v>-0.24346321511569796</v>
      </c>
      <c r="E261" s="8">
        <f t="shared" si="14"/>
        <v>-0.73075413043206294</v>
      </c>
      <c r="J261" s="4"/>
      <c r="M261" s="4"/>
    </row>
    <row r="262" spans="1:13" x14ac:dyDescent="0.2">
      <c r="A262" s="4">
        <v>41991</v>
      </c>
      <c r="B262" s="3">
        <v>49290.559999999998</v>
      </c>
      <c r="C262" s="6">
        <f t="shared" si="12"/>
        <v>4.1592756792740881E-2</v>
      </c>
      <c r="D262" s="7">
        <f t="shared" si="13"/>
        <v>3.7899259965995511</v>
      </c>
      <c r="E262" s="8">
        <f t="shared" si="14"/>
        <v>-5.9110837407547265</v>
      </c>
      <c r="J262" s="4"/>
      <c r="M262" s="4"/>
    </row>
    <row r="263" spans="1:13" x14ac:dyDescent="0.2">
      <c r="A263" s="4">
        <v>41992</v>
      </c>
      <c r="B263" s="3">
        <v>49386.71</v>
      </c>
      <c r="C263" s="6">
        <f t="shared" si="12"/>
        <v>1.9487776755345773E-3</v>
      </c>
      <c r="D263" s="7">
        <f t="shared" si="13"/>
        <v>0.15759026235029461</v>
      </c>
      <c r="E263" s="8">
        <f t="shared" si="14"/>
        <v>-0.69173290233872675</v>
      </c>
      <c r="J263" s="4"/>
      <c r="M263" s="4"/>
    </row>
    <row r="264" spans="1:13" x14ac:dyDescent="0.2">
      <c r="A264" s="4">
        <v>41995</v>
      </c>
      <c r="B264" s="3">
        <v>49339.32</v>
      </c>
      <c r="C264" s="6">
        <f t="shared" si="12"/>
        <v>-9.6003057430308833E-4</v>
      </c>
      <c r="D264" s="7">
        <f t="shared" si="13"/>
        <v>-0.10892607594982906</v>
      </c>
      <c r="E264" s="8">
        <f t="shared" si="14"/>
        <v>-0.67688730758462867</v>
      </c>
      <c r="J264" s="4"/>
      <c r="M264" s="4"/>
    </row>
    <row r="265" spans="1:13" x14ac:dyDescent="0.2">
      <c r="A265" s="4">
        <v>41996</v>
      </c>
      <c r="B265" s="3">
        <v>49568</v>
      </c>
      <c r="C265" s="6">
        <f t="shared" si="12"/>
        <v>4.6241351495810703E-3</v>
      </c>
      <c r="D265" s="7">
        <f t="shared" si="13"/>
        <v>0.40271693155117166</v>
      </c>
      <c r="E265" s="8">
        <f t="shared" si="14"/>
        <v>-0.84403662202076424</v>
      </c>
      <c r="J265" s="4"/>
      <c r="M265" s="4"/>
    </row>
    <row r="266" spans="1:13" x14ac:dyDescent="0.2">
      <c r="A266" s="4">
        <v>41997</v>
      </c>
      <c r="B266" s="3">
        <v>49478.57</v>
      </c>
      <c r="C266" s="6">
        <f t="shared" si="12"/>
        <v>-1.8058176936856039E-3</v>
      </c>
      <c r="D266" s="7">
        <f t="shared" si="13"/>
        <v>-0.18642038519204793</v>
      </c>
      <c r="E266" s="8">
        <f t="shared" si="14"/>
        <v>-0.70302926158328261</v>
      </c>
      <c r="J266" s="4"/>
      <c r="M266" s="4"/>
    </row>
    <row r="267" spans="1:13" x14ac:dyDescent="0.2">
      <c r="A267" s="4">
        <v>42002</v>
      </c>
      <c r="B267" s="3">
        <v>50254.080000000002</v>
      </c>
      <c r="C267" s="6">
        <f t="shared" si="12"/>
        <v>1.5552091132206613E-2</v>
      </c>
      <c r="D267" s="7">
        <f t="shared" si="13"/>
        <v>1.4039788104518618</v>
      </c>
      <c r="E267" s="8">
        <f t="shared" si="14"/>
        <v>-2.3047758944694037</v>
      </c>
      <c r="J267" s="4"/>
      <c r="M267" s="4"/>
    </row>
    <row r="268" spans="1:13" x14ac:dyDescent="0.2">
      <c r="A268" s="4">
        <v>42003</v>
      </c>
      <c r="B268" s="3">
        <v>49755.61</v>
      </c>
      <c r="C268" s="6">
        <f t="shared" si="12"/>
        <v>-9.9685166066433035E-3</v>
      </c>
      <c r="D268" s="7">
        <f t="shared" si="13"/>
        <v>-0.9343186438858947</v>
      </c>
      <c r="E268" s="8">
        <f t="shared" si="14"/>
        <v>-1.5167622816084276</v>
      </c>
      <c r="J268" s="4"/>
      <c r="M268" s="4"/>
    </row>
    <row r="269" spans="1:13" x14ac:dyDescent="0.2">
      <c r="A269" s="4">
        <v>42004</v>
      </c>
      <c r="B269" s="3">
        <v>49770.6</v>
      </c>
      <c r="C269" s="6">
        <f t="shared" si="12"/>
        <v>3.0122718655413135E-4</v>
      </c>
      <c r="D269" s="7">
        <f t="shared" si="13"/>
        <v>6.6352712428017465E-3</v>
      </c>
      <c r="E269" s="8">
        <f t="shared" si="14"/>
        <v>-0.66328391464870573</v>
      </c>
      <c r="J269" s="4"/>
    </row>
    <row r="270" spans="1:13" x14ac:dyDescent="0.2">
      <c r="A270" s="4">
        <v>42006</v>
      </c>
      <c r="B270" s="3">
        <v>49518.48</v>
      </c>
      <c r="C270" s="6">
        <f t="shared" si="12"/>
        <v>-5.0785150164607195E-3</v>
      </c>
      <c r="D270" s="7">
        <f t="shared" si="13"/>
        <v>-0.48627765728254024</v>
      </c>
      <c r="E270" s="8">
        <f t="shared" si="14"/>
        <v>-0.92290016957284748</v>
      </c>
    </row>
    <row r="271" spans="1:13" x14ac:dyDescent="0.2">
      <c r="A271" s="4">
        <v>42009</v>
      </c>
      <c r="B271" s="3">
        <v>47831.040000000001</v>
      </c>
      <c r="C271" s="6">
        <f t="shared" si="12"/>
        <v>-3.4671132105096342E-2</v>
      </c>
      <c r="D271" s="7">
        <f t="shared" si="13"/>
        <v>-3.1976684640230619</v>
      </c>
      <c r="E271" s="8">
        <f t="shared" si="14"/>
        <v>-5.1550456069258814</v>
      </c>
    </row>
    <row r="272" spans="1:13" x14ac:dyDescent="0.2">
      <c r="A272" s="4">
        <v>42010</v>
      </c>
      <c r="B272" s="3">
        <v>48598.19</v>
      </c>
      <c r="C272" s="6">
        <f t="shared" si="12"/>
        <v>1.5911486283231354E-2</v>
      </c>
      <c r="D272" s="7">
        <f t="shared" si="13"/>
        <v>1.4369079936179505</v>
      </c>
      <c r="E272" s="8">
        <f t="shared" si="14"/>
        <v>-2.3622044013124821</v>
      </c>
    </row>
    <row r="273" spans="1:5" x14ac:dyDescent="0.2">
      <c r="A273" s="4">
        <v>42011</v>
      </c>
      <c r="B273" s="3">
        <v>48961.06</v>
      </c>
      <c r="C273" s="6">
        <f t="shared" si="12"/>
        <v>7.4390008819390698E-3</v>
      </c>
      <c r="D273" s="7">
        <f t="shared" si="13"/>
        <v>0.66062589060215671</v>
      </c>
      <c r="E273" s="8">
        <f t="shared" si="14"/>
        <v>-1.1242025512841241</v>
      </c>
    </row>
    <row r="274" spans="1:5" x14ac:dyDescent="0.2">
      <c r="A274" s="4">
        <v>42012</v>
      </c>
      <c r="B274" s="3">
        <v>49595.44</v>
      </c>
      <c r="C274" s="6">
        <f t="shared" si="12"/>
        <v>1.2873605724182273E-2</v>
      </c>
      <c r="D274" s="7">
        <f t="shared" si="13"/>
        <v>1.1585655477602428</v>
      </c>
      <c r="E274" s="8">
        <f t="shared" si="14"/>
        <v>-1.8825379967058091</v>
      </c>
    </row>
    <row r="275" spans="1:5" x14ac:dyDescent="0.2">
      <c r="A275" s="4">
        <v>42013</v>
      </c>
      <c r="B275" s="3">
        <v>48950.5</v>
      </c>
      <c r="C275" s="6">
        <f t="shared" si="12"/>
        <v>-1.3089310591737039E-2</v>
      </c>
      <c r="D275" s="7">
        <f t="shared" si="13"/>
        <v>-1.2202579406898868</v>
      </c>
      <c r="E275" s="8">
        <f t="shared" si="14"/>
        <v>-1.9872650610739455</v>
      </c>
    </row>
    <row r="276" spans="1:5" x14ac:dyDescent="0.2">
      <c r="A276" s="4">
        <v>42016</v>
      </c>
      <c r="B276" s="3">
        <v>48468.39</v>
      </c>
      <c r="C276" s="6">
        <f t="shared" si="12"/>
        <v>-9.8977505458705626E-3</v>
      </c>
      <c r="D276" s="7">
        <f t="shared" si="13"/>
        <v>-0.92783478184578683</v>
      </c>
      <c r="E276" s="8">
        <f t="shared" si="14"/>
        <v>-1.506651808697729</v>
      </c>
    </row>
    <row r="277" spans="1:5" x14ac:dyDescent="0.2">
      <c r="A277" s="4">
        <v>42017</v>
      </c>
      <c r="B277" s="3">
        <v>49433</v>
      </c>
      <c r="C277" s="6">
        <f t="shared" si="12"/>
        <v>1.9706384481629997E-2</v>
      </c>
      <c r="D277" s="7">
        <f t="shared" si="13"/>
        <v>1.7846113433026147</v>
      </c>
      <c r="E277" s="8">
        <f t="shared" si="14"/>
        <v>-2.9676176843833204</v>
      </c>
    </row>
    <row r="278" spans="1:5" x14ac:dyDescent="0.2">
      <c r="A278" s="4">
        <v>42018</v>
      </c>
      <c r="B278" s="3">
        <v>48057.46</v>
      </c>
      <c r="C278" s="6">
        <f t="shared" si="12"/>
        <v>-2.8220839056439486E-2</v>
      </c>
      <c r="D278" s="7">
        <f t="shared" si="13"/>
        <v>-2.6066674984603755</v>
      </c>
      <c r="E278" s="8">
        <f t="shared" si="14"/>
        <v>-4.3073934339079223</v>
      </c>
    </row>
    <row r="279" spans="1:5" x14ac:dyDescent="0.2">
      <c r="A279" s="4">
        <v>42019</v>
      </c>
      <c r="B279" s="3">
        <v>48524.25</v>
      </c>
      <c r="C279" s="6">
        <f t="shared" si="12"/>
        <v>9.6662946768204302E-3</v>
      </c>
      <c r="D279" s="7">
        <f t="shared" si="13"/>
        <v>0.86469922082717054</v>
      </c>
      <c r="E279" s="8">
        <f t="shared" si="14"/>
        <v>-1.4099574842790876</v>
      </c>
    </row>
    <row r="280" spans="1:5" x14ac:dyDescent="0.2">
      <c r="A280" s="4">
        <v>42020</v>
      </c>
      <c r="B280" s="3">
        <v>48458.25</v>
      </c>
      <c r="C280" s="6">
        <f t="shared" si="12"/>
        <v>-1.3610705063041291E-3</v>
      </c>
      <c r="D280" s="7">
        <f t="shared" si="13"/>
        <v>-0.14567091610731037</v>
      </c>
      <c r="E280" s="8">
        <f t="shared" si="14"/>
        <v>-0.68760380611511152</v>
      </c>
    </row>
    <row r="281" spans="1:5" x14ac:dyDescent="0.2">
      <c r="A281" s="4">
        <v>42023</v>
      </c>
      <c r="B281" s="3">
        <v>48996.94</v>
      </c>
      <c r="C281" s="6">
        <f t="shared" si="12"/>
        <v>1.1055244702231763E-2</v>
      </c>
      <c r="D281" s="7">
        <f t="shared" si="13"/>
        <v>0.9919602305122025</v>
      </c>
      <c r="E281" s="8">
        <f t="shared" si="14"/>
        <v>-1.6079727694329395</v>
      </c>
    </row>
    <row r="282" spans="1:5" x14ac:dyDescent="0.2">
      <c r="A282" s="4">
        <v>42024</v>
      </c>
      <c r="B282" s="3">
        <v>49124.77</v>
      </c>
      <c r="C282" s="6">
        <f t="shared" si="12"/>
        <v>2.6055410636065621E-3</v>
      </c>
      <c r="D282" s="7">
        <f t="shared" si="13"/>
        <v>0.21776548130063175</v>
      </c>
      <c r="E282" s="8">
        <f t="shared" si="14"/>
        <v>-0.71738964471570188</v>
      </c>
    </row>
    <row r="283" spans="1:5" x14ac:dyDescent="0.2">
      <c r="A283" s="4">
        <v>42025</v>
      </c>
      <c r="B283" s="3">
        <v>49588.79</v>
      </c>
      <c r="C283" s="6">
        <f t="shared" si="12"/>
        <v>9.4014118780716676E-3</v>
      </c>
      <c r="D283" s="7">
        <f t="shared" si="13"/>
        <v>0.84042962739310745</v>
      </c>
      <c r="E283" s="8">
        <f t="shared" si="14"/>
        <v>-1.3736992999606101</v>
      </c>
    </row>
    <row r="284" spans="1:5" x14ac:dyDescent="0.2">
      <c r="A284" s="4">
        <v>42026</v>
      </c>
      <c r="B284" s="3">
        <v>49872.69</v>
      </c>
      <c r="C284" s="6">
        <f t="shared" si="12"/>
        <v>5.7087582252503622E-3</v>
      </c>
      <c r="D284" s="7">
        <f t="shared" si="13"/>
        <v>0.50209432109870544</v>
      </c>
      <c r="E284" s="8">
        <f t="shared" si="14"/>
        <v>-0.93920136031718626</v>
      </c>
    </row>
    <row r="285" spans="1:5" x14ac:dyDescent="0.2">
      <c r="A285" s="4">
        <v>42027</v>
      </c>
      <c r="B285" s="3">
        <v>49816.57</v>
      </c>
      <c r="C285" s="6">
        <f t="shared" si="12"/>
        <v>-1.1258987363006116E-3</v>
      </c>
      <c r="D285" s="7">
        <f t="shared" si="13"/>
        <v>-0.12412356281704304</v>
      </c>
      <c r="E285" s="8">
        <f t="shared" si="14"/>
        <v>-0.68094958508020964</v>
      </c>
    </row>
    <row r="286" spans="1:5" x14ac:dyDescent="0.2">
      <c r="A286" s="4">
        <v>42030</v>
      </c>
      <c r="B286" s="3">
        <v>50337.98</v>
      </c>
      <c r="C286" s="6">
        <f t="shared" si="12"/>
        <v>1.0412202154932144E-2</v>
      </c>
      <c r="D286" s="7">
        <f t="shared" si="13"/>
        <v>0.93304216842026411</v>
      </c>
      <c r="E286" s="8">
        <f t="shared" si="14"/>
        <v>-1.5147693273453364</v>
      </c>
    </row>
    <row r="287" spans="1:5" x14ac:dyDescent="0.2">
      <c r="A287" s="4">
        <v>42031</v>
      </c>
      <c r="B287" s="3">
        <v>50711.09</v>
      </c>
      <c r="C287" s="6">
        <f t="shared" si="12"/>
        <v>7.3847625835484296E-3</v>
      </c>
      <c r="D287" s="7">
        <f t="shared" si="13"/>
        <v>0.65565636650805059</v>
      </c>
      <c r="E287" s="8">
        <f t="shared" si="14"/>
        <v>-1.1178539095962472</v>
      </c>
    </row>
    <row r="288" spans="1:5" x14ac:dyDescent="0.2">
      <c r="A288" s="4">
        <v>42032</v>
      </c>
      <c r="B288" s="3">
        <v>51200.57</v>
      </c>
      <c r="C288" s="6">
        <f t="shared" si="12"/>
        <v>9.6060404458681754E-3</v>
      </c>
      <c r="D288" s="7">
        <f t="shared" si="13"/>
        <v>0.85917849356665721</v>
      </c>
      <c r="E288" s="8">
        <f t="shared" si="14"/>
        <v>-1.4016628265033926</v>
      </c>
    </row>
    <row r="289" spans="1:5" x14ac:dyDescent="0.2">
      <c r="A289" s="4">
        <v>42033</v>
      </c>
      <c r="B289" s="3">
        <v>50945.56</v>
      </c>
      <c r="C289" s="6">
        <f t="shared" si="12"/>
        <v>-4.993053183618053E-3</v>
      </c>
      <c r="D289" s="7">
        <f t="shared" si="13"/>
        <v>-0.47844731138231944</v>
      </c>
      <c r="E289" s="8">
        <f t="shared" si="14"/>
        <v>-0.91498691171792779</v>
      </c>
    </row>
    <row r="290" spans="1:5" x14ac:dyDescent="0.2">
      <c r="A290" s="4">
        <v>42034</v>
      </c>
      <c r="B290" s="3">
        <v>51266.81</v>
      </c>
      <c r="C290" s="6">
        <f t="shared" si="12"/>
        <v>6.2859526259024801E-3</v>
      </c>
      <c r="D290" s="7">
        <f t="shared" si="13"/>
        <v>0.55497911959228841</v>
      </c>
      <c r="E290" s="8">
        <f t="shared" si="14"/>
        <v>-0.99668701364517265</v>
      </c>
    </row>
    <row r="291" spans="1:5" x14ac:dyDescent="0.2">
      <c r="A291" s="4">
        <v>42037</v>
      </c>
      <c r="B291" s="3">
        <v>51394.55</v>
      </c>
      <c r="C291" s="6">
        <f t="shared" si="12"/>
        <v>2.4885714727401484E-3</v>
      </c>
      <c r="D291" s="7">
        <f t="shared" si="13"/>
        <v>0.20704827192393255</v>
      </c>
      <c r="E291" s="8">
        <f t="shared" si="14"/>
        <v>-0.71223806232366049</v>
      </c>
    </row>
    <row r="292" spans="1:5" x14ac:dyDescent="0.2">
      <c r="A292" s="4">
        <v>42038</v>
      </c>
      <c r="B292" s="3">
        <v>51949.33</v>
      </c>
      <c r="C292" s="6">
        <f t="shared" si="12"/>
        <v>1.0736684734690015E-2</v>
      </c>
      <c r="D292" s="7">
        <f t="shared" si="13"/>
        <v>0.96277252586272244</v>
      </c>
      <c r="E292" s="8">
        <f t="shared" si="14"/>
        <v>-1.5614973495785156</v>
      </c>
    </row>
    <row r="293" spans="1:5" x14ac:dyDescent="0.2">
      <c r="A293" s="4">
        <v>42039</v>
      </c>
      <c r="B293" s="3">
        <v>51630.82</v>
      </c>
      <c r="C293" s="6">
        <f t="shared" si="12"/>
        <v>-6.1500394412626466E-3</v>
      </c>
      <c r="D293" s="7">
        <f t="shared" si="13"/>
        <v>-0.58445489743348289</v>
      </c>
      <c r="E293" s="8">
        <f t="shared" si="14"/>
        <v>-1.0306326055599544</v>
      </c>
    </row>
    <row r="294" spans="1:5" x14ac:dyDescent="0.2">
      <c r="A294" s="4">
        <v>42040</v>
      </c>
      <c r="B294" s="3">
        <v>51688.7</v>
      </c>
      <c r="C294" s="6">
        <f t="shared" si="12"/>
        <v>1.1204079549498116E-3</v>
      </c>
      <c r="D294" s="7">
        <f t="shared" si="13"/>
        <v>8.1691803006585975E-2</v>
      </c>
      <c r="E294" s="8">
        <f t="shared" si="14"/>
        <v>-0.67092174609584232</v>
      </c>
    </row>
    <row r="295" spans="1:5" x14ac:dyDescent="0.2">
      <c r="A295" s="4">
        <v>42041</v>
      </c>
      <c r="B295" s="3">
        <v>51998.32</v>
      </c>
      <c r="C295" s="6">
        <f t="shared" si="12"/>
        <v>5.9722214078204768E-3</v>
      </c>
      <c r="D295" s="7">
        <f t="shared" si="13"/>
        <v>0.52623384377071469</v>
      </c>
      <c r="E295" s="8">
        <f t="shared" si="14"/>
        <v>-0.96488163612235645</v>
      </c>
    </row>
    <row r="296" spans="1:5" x14ac:dyDescent="0.2">
      <c r="A296" s="4">
        <v>42044</v>
      </c>
      <c r="B296" s="3">
        <v>52105.38</v>
      </c>
      <c r="C296" s="6">
        <f t="shared" si="12"/>
        <v>2.0567960167083435E-3</v>
      </c>
      <c r="D296" s="7">
        <f t="shared" si="13"/>
        <v>0.16748732337536984</v>
      </c>
      <c r="E296" s="8">
        <f t="shared" si="14"/>
        <v>-0.69540267611796758</v>
      </c>
    </row>
    <row r="297" spans="1:5" x14ac:dyDescent="0.2">
      <c r="A297" s="4">
        <v>42045</v>
      </c>
      <c r="B297" s="3">
        <v>52109.54</v>
      </c>
      <c r="C297" s="6">
        <f t="shared" si="12"/>
        <v>7.9835017907430676E-5</v>
      </c>
      <c r="D297" s="7">
        <f t="shared" si="13"/>
        <v>-1.3649541315514884E-2</v>
      </c>
      <c r="E297" s="8">
        <f t="shared" si="14"/>
        <v>-0.6634480697674402</v>
      </c>
    </row>
    <row r="298" spans="1:5" x14ac:dyDescent="0.2">
      <c r="A298" s="4">
        <v>42046</v>
      </c>
      <c r="B298" s="3">
        <v>52069.3</v>
      </c>
      <c r="C298" s="6">
        <f t="shared" si="12"/>
        <v>-7.7251775890791981E-4</v>
      </c>
      <c r="D298" s="7">
        <f t="shared" si="13"/>
        <v>-9.1745421657385959E-2</v>
      </c>
      <c r="E298" s="8">
        <f t="shared" si="14"/>
        <v>-0.67292696402325125</v>
      </c>
    </row>
    <row r="299" spans="1:5" x14ac:dyDescent="0.2">
      <c r="A299" s="4">
        <v>42047</v>
      </c>
      <c r="B299" s="3">
        <v>52507.93</v>
      </c>
      <c r="C299" s="6">
        <f t="shared" si="12"/>
        <v>8.3886821671597753E-3</v>
      </c>
      <c r="D299" s="7">
        <f t="shared" si="13"/>
        <v>0.74763938786630357</v>
      </c>
      <c r="E299" s="8">
        <f t="shared" si="14"/>
        <v>-1.2404011265176911</v>
      </c>
    </row>
    <row r="300" spans="1:5" x14ac:dyDescent="0.2">
      <c r="A300" s="4">
        <v>42048</v>
      </c>
      <c r="B300" s="3">
        <v>52967.63</v>
      </c>
      <c r="C300" s="6">
        <f t="shared" si="12"/>
        <v>8.7167664384194266E-3</v>
      </c>
      <c r="D300" s="7">
        <f t="shared" si="13"/>
        <v>0.7776997463085854</v>
      </c>
      <c r="E300" s="8">
        <f t="shared" si="14"/>
        <v>-1.2826025428925818</v>
      </c>
    </row>
    <row r="301" spans="1:5" x14ac:dyDescent="0.2">
      <c r="A301" s="4">
        <v>42051</v>
      </c>
      <c r="B301" s="3">
        <v>52995.89</v>
      </c>
      <c r="C301" s="6">
        <f t="shared" si="12"/>
        <v>5.3339112687101448E-4</v>
      </c>
      <c r="D301" s="7">
        <f t="shared" si="13"/>
        <v>2.7907035465155449E-2</v>
      </c>
      <c r="E301" s="8">
        <f t="shared" si="14"/>
        <v>-0.664131531783683</v>
      </c>
    </row>
    <row r="302" spans="1:5" x14ac:dyDescent="0.2">
      <c r="A302" s="4">
        <v>42052</v>
      </c>
      <c r="B302" s="3">
        <v>52833.48</v>
      </c>
      <c r="C302" s="6">
        <f t="shared" si="12"/>
        <v>-3.0692827047641572E-3</v>
      </c>
      <c r="D302" s="7">
        <f t="shared" si="13"/>
        <v>-0.30218396924464874</v>
      </c>
      <c r="E302" s="8">
        <f t="shared" si="14"/>
        <v>-0.76654805737484988</v>
      </c>
    </row>
    <row r="303" spans="1:5" x14ac:dyDescent="0.2">
      <c r="A303" s="4">
        <v>42053</v>
      </c>
      <c r="B303" s="3">
        <v>52536.24</v>
      </c>
      <c r="C303" s="6">
        <f t="shared" si="12"/>
        <v>-5.6418634963466725E-3</v>
      </c>
      <c r="D303" s="7">
        <f t="shared" si="13"/>
        <v>-0.53789383860165063</v>
      </c>
      <c r="E303" s="8">
        <f t="shared" si="14"/>
        <v>-0.97762490313293282</v>
      </c>
    </row>
    <row r="304" spans="1:5" x14ac:dyDescent="0.2">
      <c r="A304" s="4">
        <v>42054</v>
      </c>
      <c r="B304" s="3">
        <v>52835.55</v>
      </c>
      <c r="C304" s="6">
        <f t="shared" si="12"/>
        <v>5.6810424308040121E-3</v>
      </c>
      <c r="D304" s="7">
        <f t="shared" si="13"/>
        <v>0.49955489209050852</v>
      </c>
      <c r="E304" s="8">
        <f t="shared" si="14"/>
        <v>-0.9365558086290966</v>
      </c>
    </row>
    <row r="305" spans="1:5" x14ac:dyDescent="0.2">
      <c r="A305" s="4">
        <v>42055</v>
      </c>
      <c r="B305" s="3">
        <v>53035.26</v>
      </c>
      <c r="C305" s="6">
        <f t="shared" si="12"/>
        <v>3.7727157632786537E-3</v>
      </c>
      <c r="D305" s="7">
        <f t="shared" si="13"/>
        <v>0.32470657208257397</v>
      </c>
      <c r="E305" s="8">
        <f t="shared" si="14"/>
        <v>-0.78216878451759386</v>
      </c>
    </row>
    <row r="306" spans="1:5" x14ac:dyDescent="0.2">
      <c r="A306" s="4">
        <v>42058</v>
      </c>
      <c r="B306" s="3">
        <v>53336.46</v>
      </c>
      <c r="C306" s="6">
        <f t="shared" si="12"/>
        <v>5.6631744789940371E-3</v>
      </c>
      <c r="D306" s="7">
        <f t="shared" si="13"/>
        <v>0.49791776077063438</v>
      </c>
      <c r="E306" s="8">
        <f t="shared" si="14"/>
        <v>-0.93485597860225345</v>
      </c>
    </row>
    <row r="307" spans="1:5" x14ac:dyDescent="0.2">
      <c r="A307" s="4">
        <v>42059</v>
      </c>
      <c r="B307" s="3">
        <v>53374.879999999997</v>
      </c>
      <c r="C307" s="6">
        <f t="shared" si="12"/>
        <v>7.200734553624126E-4</v>
      </c>
      <c r="D307" s="7">
        <f t="shared" si="13"/>
        <v>4.5011597313687375E-2</v>
      </c>
      <c r="E307" s="8">
        <f t="shared" si="14"/>
        <v>-0.66556969390606391</v>
      </c>
    </row>
    <row r="308" spans="1:5" x14ac:dyDescent="0.2">
      <c r="A308" s="4">
        <v>42060</v>
      </c>
      <c r="B308" s="3">
        <v>53217.75</v>
      </c>
      <c r="C308" s="6">
        <f t="shared" si="12"/>
        <v>-2.9482359862164536E-3</v>
      </c>
      <c r="D308" s="7">
        <f t="shared" si="13"/>
        <v>-0.29109319755408436</v>
      </c>
      <c r="E308" s="8">
        <f t="shared" si="14"/>
        <v>-0.75923680210767808</v>
      </c>
    </row>
    <row r="309" spans="1:5" x14ac:dyDescent="0.2">
      <c r="A309" s="4">
        <v>42061</v>
      </c>
      <c r="B309" s="3">
        <v>53331.16</v>
      </c>
      <c r="C309" s="6">
        <f t="shared" si="12"/>
        <v>2.128788418928467E-3</v>
      </c>
      <c r="D309" s="7">
        <f t="shared" si="13"/>
        <v>0.17408354759407102</v>
      </c>
      <c r="E309" s="8">
        <f t="shared" si="14"/>
        <v>-0.69796958634551831</v>
      </c>
    </row>
    <row r="310" spans="1:5" x14ac:dyDescent="0.2">
      <c r="A310" s="4">
        <v>42062</v>
      </c>
      <c r="B310" s="3">
        <v>53344.2</v>
      </c>
      <c r="C310" s="6">
        <f t="shared" si="12"/>
        <v>2.4448007609149085E-4</v>
      </c>
      <c r="D310" s="7">
        <f t="shared" si="13"/>
        <v>1.4358800177322968E-3</v>
      </c>
      <c r="E310" s="8">
        <f t="shared" si="14"/>
        <v>-0.66323549670204185</v>
      </c>
    </row>
    <row r="311" spans="1:5" x14ac:dyDescent="0.2">
      <c r="A311" s="4">
        <v>42065</v>
      </c>
      <c r="B311" s="3">
        <v>52952.91</v>
      </c>
      <c r="C311" s="6">
        <f t="shared" si="12"/>
        <v>-7.3622277671157683E-3</v>
      </c>
      <c r="D311" s="7">
        <f t="shared" si="13"/>
        <v>-0.69552031192223818</v>
      </c>
      <c r="E311" s="8">
        <f t="shared" si="14"/>
        <v>-1.1696827918254991</v>
      </c>
    </row>
    <row r="312" spans="1:5" x14ac:dyDescent="0.2">
      <c r="A312" s="4">
        <v>42066</v>
      </c>
      <c r="B312" s="3">
        <v>53130.34</v>
      </c>
      <c r="C312" s="6">
        <f t="shared" si="12"/>
        <v>3.3451117956901652E-3</v>
      </c>
      <c r="D312" s="7">
        <f t="shared" si="13"/>
        <v>0.28552783154831957</v>
      </c>
      <c r="E312" s="8">
        <f t="shared" si="14"/>
        <v>-0.75566366480439606</v>
      </c>
    </row>
    <row r="313" spans="1:5" x14ac:dyDescent="0.2">
      <c r="A313" s="4">
        <v>42067</v>
      </c>
      <c r="B313" s="3">
        <v>52891.3</v>
      </c>
      <c r="C313" s="6">
        <f t="shared" si="12"/>
        <v>-4.509275748696669E-3</v>
      </c>
      <c r="D313" s="7">
        <f t="shared" si="13"/>
        <v>-0.43412173904022056</v>
      </c>
      <c r="E313" s="8">
        <f t="shared" si="14"/>
        <v>-0.87220651937703908</v>
      </c>
    </row>
    <row r="314" spans="1:5" x14ac:dyDescent="0.2">
      <c r="A314" s="4">
        <v>42068</v>
      </c>
      <c r="B314" s="3">
        <v>53285.599999999999</v>
      </c>
      <c r="C314" s="6">
        <f t="shared" si="12"/>
        <v>7.4272617227013329E-3</v>
      </c>
      <c r="D314" s="7">
        <f t="shared" si="13"/>
        <v>0.65955030312232255</v>
      </c>
      <c r="E314" s="8">
        <f t="shared" si="14"/>
        <v>-1.1228257004616695</v>
      </c>
    </row>
    <row r="315" spans="1:5" x14ac:dyDescent="0.2">
      <c r="A315" s="4">
        <v>42069</v>
      </c>
      <c r="B315" s="3">
        <v>53346.99</v>
      </c>
      <c r="C315" s="6">
        <f t="shared" si="12"/>
        <v>1.1514304732263678E-3</v>
      </c>
      <c r="D315" s="7">
        <f t="shared" si="13"/>
        <v>8.4534206927978112E-2</v>
      </c>
      <c r="E315" s="8">
        <f t="shared" si="14"/>
        <v>-0.67146524859236589</v>
      </c>
    </row>
    <row r="316" spans="1:5" x14ac:dyDescent="0.2">
      <c r="A316" s="4">
        <v>42072</v>
      </c>
      <c r="B316" s="3">
        <v>52614.080000000002</v>
      </c>
      <c r="C316" s="6">
        <f t="shared" si="12"/>
        <v>-1.3833791755343414E-2</v>
      </c>
      <c r="D316" s="7">
        <f t="shared" si="13"/>
        <v>-1.2884702037941529</v>
      </c>
      <c r="E316" s="8">
        <f t="shared" si="14"/>
        <v>-2.1043705345020935</v>
      </c>
    </row>
    <row r="317" spans="1:5" x14ac:dyDescent="0.2">
      <c r="A317" s="4">
        <v>42073</v>
      </c>
      <c r="B317" s="3">
        <v>52088.54</v>
      </c>
      <c r="C317" s="6">
        <f t="shared" si="12"/>
        <v>-1.0038801580033596E-2</v>
      </c>
      <c r="D317" s="7">
        <f t="shared" si="13"/>
        <v>-0.9407584268267426</v>
      </c>
      <c r="E317" s="8">
        <f t="shared" si="14"/>
        <v>-1.5268352380584009</v>
      </c>
    </row>
    <row r="318" spans="1:5" x14ac:dyDescent="0.2">
      <c r="A318" s="4">
        <v>42074</v>
      </c>
      <c r="B318" s="3">
        <v>51753.07</v>
      </c>
      <c r="C318" s="6">
        <f t="shared" si="12"/>
        <v>-6.4612088945370325E-3</v>
      </c>
      <c r="D318" s="7">
        <f t="shared" si="13"/>
        <v>-0.61296545438826644</v>
      </c>
      <c r="E318" s="8">
        <f t="shared" si="14"/>
        <v>-1.0646971348221657</v>
      </c>
    </row>
    <row r="319" spans="1:5" x14ac:dyDescent="0.2">
      <c r="A319" s="4">
        <v>42075</v>
      </c>
      <c r="B319" s="3">
        <v>52240.06</v>
      </c>
      <c r="C319" s="6">
        <f t="shared" si="12"/>
        <v>9.3658794552953818E-3</v>
      </c>
      <c r="D319" s="7">
        <f t="shared" si="13"/>
        <v>0.83717400846057866</v>
      </c>
      <c r="E319" s="8">
        <f t="shared" si="14"/>
        <v>-1.3688766864731499</v>
      </c>
    </row>
    <row r="320" spans="1:5" x14ac:dyDescent="0.2">
      <c r="A320" s="4">
        <v>42076</v>
      </c>
      <c r="B320" s="3">
        <v>51798.74</v>
      </c>
      <c r="C320" s="6">
        <f t="shared" si="12"/>
        <v>-8.4838088674203289E-3</v>
      </c>
      <c r="D320" s="7">
        <f t="shared" si="13"/>
        <v>-0.79828393959569433</v>
      </c>
      <c r="E320" s="8">
        <f t="shared" si="14"/>
        <v>-1.3120587165331978</v>
      </c>
    </row>
    <row r="321" spans="1:5" x14ac:dyDescent="0.2">
      <c r="A321" s="4">
        <v>42079</v>
      </c>
      <c r="B321" s="3">
        <v>52139.15</v>
      </c>
      <c r="C321" s="6">
        <f t="shared" si="12"/>
        <v>6.5502814640628843E-3</v>
      </c>
      <c r="D321" s="7">
        <f t="shared" si="13"/>
        <v>0.57919795700020915</v>
      </c>
      <c r="E321" s="8">
        <f t="shared" si="14"/>
        <v>-1.0244821359612966</v>
      </c>
    </row>
    <row r="322" spans="1:5" x14ac:dyDescent="0.2">
      <c r="A322" s="4">
        <v>42080</v>
      </c>
      <c r="B322" s="3">
        <v>52300.24</v>
      </c>
      <c r="C322" s="6">
        <f t="shared" si="12"/>
        <v>3.0848538611472666E-3</v>
      </c>
      <c r="D322" s="7">
        <f t="shared" si="13"/>
        <v>0.2616819861813045</v>
      </c>
      <c r="E322" s="8">
        <f t="shared" si="14"/>
        <v>-0.74108490498362256</v>
      </c>
    </row>
    <row r="323" spans="1:5" x14ac:dyDescent="0.2">
      <c r="A323" s="4">
        <v>42081</v>
      </c>
      <c r="B323" s="3">
        <v>52187.48</v>
      </c>
      <c r="C323" s="6">
        <f t="shared" ref="C323:C386" si="15">LN(B323/B322)</f>
        <v>-2.1583405930141234E-3</v>
      </c>
      <c r="D323" s="7">
        <f t="shared" ref="D323:D386" si="16">(C323-$G$4)/$G$5</f>
        <v>-0.21871990589824214</v>
      </c>
      <c r="E323" s="8">
        <f t="shared" ref="E323:E386" si="17">LN((PI()*(G$3-2))^(-1/2)*EXP(GAMMALN((G$3+1)/2))*((1+D323^2/(G$3-2))^(-(G$3+1)/2))/EXP(GAMMALN(G$3/2)))</f>
        <v>-0.71786052505455344</v>
      </c>
    </row>
    <row r="324" spans="1:5" x14ac:dyDescent="0.2">
      <c r="A324" s="4">
        <v>42082</v>
      </c>
      <c r="B324" s="3">
        <v>52741.02</v>
      </c>
      <c r="C324" s="6">
        <f t="shared" si="15"/>
        <v>1.0550901519926001E-2</v>
      </c>
      <c r="D324" s="7">
        <f t="shared" si="16"/>
        <v>0.94575034431490346</v>
      </c>
      <c r="E324" s="8">
        <f t="shared" si="17"/>
        <v>-1.5346645647391777</v>
      </c>
    </row>
    <row r="325" spans="1:5" x14ac:dyDescent="0.2">
      <c r="A325" s="4">
        <v>42083</v>
      </c>
      <c r="B325" s="3">
        <v>52631.78</v>
      </c>
      <c r="C325" s="6">
        <f t="shared" si="15"/>
        <v>-2.0734010889936292E-3</v>
      </c>
      <c r="D325" s="7">
        <f t="shared" si="16"/>
        <v>-0.21093741779857653</v>
      </c>
      <c r="E325" s="8">
        <f t="shared" si="17"/>
        <v>-0.71407861256011262</v>
      </c>
    </row>
    <row r="326" spans="1:5" x14ac:dyDescent="0.2">
      <c r="A326" s="4">
        <v>42086</v>
      </c>
      <c r="B326" s="3">
        <v>52559.35</v>
      </c>
      <c r="C326" s="6">
        <f t="shared" si="15"/>
        <v>-1.3771125273887499E-3</v>
      </c>
      <c r="D326" s="7">
        <f t="shared" si="16"/>
        <v>-0.14714074854423537</v>
      </c>
      <c r="E326" s="8">
        <f t="shared" si="17"/>
        <v>-0.6880957780702569</v>
      </c>
    </row>
    <row r="327" spans="1:5" x14ac:dyDescent="0.2">
      <c r="A327" s="4">
        <v>42087</v>
      </c>
      <c r="B327" s="3">
        <v>52858.12</v>
      </c>
      <c r="C327" s="6">
        <f t="shared" si="15"/>
        <v>5.66833561755869E-3</v>
      </c>
      <c r="D327" s="7">
        <f t="shared" si="16"/>
        <v>0.49839064438260416</v>
      </c>
      <c r="E327" s="8">
        <f t="shared" si="17"/>
        <v>-0.93534651161972149</v>
      </c>
    </row>
    <row r="328" spans="1:5" x14ac:dyDescent="0.2">
      <c r="A328" s="4">
        <v>42088</v>
      </c>
      <c r="B328" s="3">
        <v>52313.02</v>
      </c>
      <c r="C328" s="6">
        <f t="shared" si="15"/>
        <v>-1.0366054435436907E-2</v>
      </c>
      <c r="D328" s="7">
        <f t="shared" si="16"/>
        <v>-0.97074260771086163</v>
      </c>
      <c r="E328" s="8">
        <f t="shared" si="17"/>
        <v>-1.5741309619119255</v>
      </c>
    </row>
    <row r="329" spans="1:5" x14ac:dyDescent="0.2">
      <c r="A329" s="4">
        <v>42089</v>
      </c>
      <c r="B329" s="3">
        <v>51603.93</v>
      </c>
      <c r="C329" s="6">
        <f t="shared" si="15"/>
        <v>-1.3647456085156759E-2</v>
      </c>
      <c r="D329" s="7">
        <f t="shared" si="16"/>
        <v>-1.2713974041293352</v>
      </c>
      <c r="E329" s="8">
        <f t="shared" si="17"/>
        <v>-2.0749518238024076</v>
      </c>
    </row>
    <row r="330" spans="1:5" x14ac:dyDescent="0.2">
      <c r="A330" s="4">
        <v>42090</v>
      </c>
      <c r="B330" s="3">
        <v>51810.16</v>
      </c>
      <c r="C330" s="6">
        <f t="shared" si="15"/>
        <v>3.9884366508615996E-3</v>
      </c>
      <c r="D330" s="7">
        <f t="shared" si="16"/>
        <v>0.344471759786737</v>
      </c>
      <c r="E330" s="8">
        <f t="shared" si="17"/>
        <v>-0.79671864940631498</v>
      </c>
    </row>
    <row r="331" spans="1:5" x14ac:dyDescent="0.2">
      <c r="A331" s="4">
        <v>42093</v>
      </c>
      <c r="B331" s="3">
        <v>52455.360000000001</v>
      </c>
      <c r="C331" s="6">
        <f t="shared" si="15"/>
        <v>1.2376253156510532E-2</v>
      </c>
      <c r="D331" s="7">
        <f t="shared" si="16"/>
        <v>1.1129961688960861</v>
      </c>
      <c r="E331" s="8">
        <f t="shared" si="17"/>
        <v>-1.8060950693363331</v>
      </c>
    </row>
    <row r="332" spans="1:5" x14ac:dyDescent="0.2">
      <c r="A332" s="4">
        <v>42094</v>
      </c>
      <c r="B332" s="3">
        <v>52181.95</v>
      </c>
      <c r="C332" s="6">
        <f t="shared" si="15"/>
        <v>-5.2258725349395123E-3</v>
      </c>
      <c r="D332" s="7">
        <f t="shared" si="16"/>
        <v>-0.49977912691298165</v>
      </c>
      <c r="E332" s="8">
        <f t="shared" si="17"/>
        <v>-0.93678898049838533</v>
      </c>
    </row>
    <row r="333" spans="1:5" x14ac:dyDescent="0.2">
      <c r="A333" s="4">
        <v>42095</v>
      </c>
      <c r="B333" s="3">
        <v>52281.14</v>
      </c>
      <c r="C333" s="6">
        <f t="shared" si="15"/>
        <v>1.8990445296927824E-3</v>
      </c>
      <c r="D333" s="7">
        <f t="shared" si="16"/>
        <v>0.15303351787508179</v>
      </c>
      <c r="E333" s="8">
        <f t="shared" si="17"/>
        <v>-0.69011679938840909</v>
      </c>
    </row>
    <row r="334" spans="1:5" x14ac:dyDescent="0.2">
      <c r="A334" s="4">
        <v>42096</v>
      </c>
      <c r="B334" s="3">
        <v>52229.32</v>
      </c>
      <c r="C334" s="6">
        <f t="shared" si="15"/>
        <v>-9.9167115419264125E-4</v>
      </c>
      <c r="D334" s="7">
        <f t="shared" si="16"/>
        <v>-0.11182510908284041</v>
      </c>
      <c r="E334" s="8">
        <f t="shared" si="17"/>
        <v>-0.67762178529146344</v>
      </c>
    </row>
    <row r="335" spans="1:5" x14ac:dyDescent="0.2">
      <c r="A335" s="4">
        <v>42101</v>
      </c>
      <c r="B335" s="3">
        <v>52595.69</v>
      </c>
      <c r="C335" s="6">
        <f t="shared" si="15"/>
        <v>6.9901541970599258E-3</v>
      </c>
      <c r="D335" s="7">
        <f t="shared" si="16"/>
        <v>0.61950080959387266</v>
      </c>
      <c r="E335" s="8">
        <f t="shared" si="17"/>
        <v>-1.0726706303571862</v>
      </c>
    </row>
    <row r="336" spans="1:5" x14ac:dyDescent="0.2">
      <c r="A336" s="4">
        <v>42102</v>
      </c>
      <c r="B336" s="3">
        <v>52806</v>
      </c>
      <c r="C336" s="6">
        <f t="shared" si="15"/>
        <v>3.9906433967602673E-3</v>
      </c>
      <c r="D336" s="7">
        <f t="shared" si="16"/>
        <v>0.34467395043870058</v>
      </c>
      <c r="E336" s="8">
        <f t="shared" si="17"/>
        <v>-0.79687150550218655</v>
      </c>
    </row>
    <row r="337" spans="1:5" x14ac:dyDescent="0.2">
      <c r="A337" s="4">
        <v>42103</v>
      </c>
      <c r="B337" s="3">
        <v>52984.55</v>
      </c>
      <c r="C337" s="6">
        <f t="shared" si="15"/>
        <v>3.3755410012958446E-3</v>
      </c>
      <c r="D337" s="7">
        <f t="shared" si="16"/>
        <v>0.2883158738525381</v>
      </c>
      <c r="E337" s="8">
        <f t="shared" si="17"/>
        <v>-0.75744565549393783</v>
      </c>
    </row>
    <row r="338" spans="1:5" x14ac:dyDescent="0.2">
      <c r="A338" s="4">
        <v>42104</v>
      </c>
      <c r="B338" s="3">
        <v>53420.78</v>
      </c>
      <c r="C338" s="6">
        <f t="shared" si="15"/>
        <v>8.1994472271232442E-3</v>
      </c>
      <c r="D338" s="7">
        <f t="shared" si="16"/>
        <v>0.73030094580853144</v>
      </c>
      <c r="E338" s="8">
        <f t="shared" si="17"/>
        <v>-1.2165198627407778</v>
      </c>
    </row>
    <row r="339" spans="1:5" x14ac:dyDescent="0.2">
      <c r="A339" s="4">
        <v>42107</v>
      </c>
      <c r="B339" s="3">
        <v>53589.31</v>
      </c>
      <c r="C339" s="6">
        <f t="shared" si="15"/>
        <v>3.1497990392390786E-3</v>
      </c>
      <c r="D339" s="7">
        <f t="shared" si="16"/>
        <v>0.26763251628456763</v>
      </c>
      <c r="E339" s="8">
        <f t="shared" si="17"/>
        <v>-0.74461129681555516</v>
      </c>
    </row>
    <row r="340" spans="1:5" x14ac:dyDescent="0.2">
      <c r="A340" s="4">
        <v>42108</v>
      </c>
      <c r="B340" s="3">
        <v>53311.46</v>
      </c>
      <c r="C340" s="6">
        <f t="shared" si="15"/>
        <v>-5.1982904459300762E-3</v>
      </c>
      <c r="D340" s="7">
        <f t="shared" si="16"/>
        <v>-0.49725194851754317</v>
      </c>
      <c r="E340" s="8">
        <f t="shared" si="17"/>
        <v>-0.9341659518010702</v>
      </c>
    </row>
    <row r="341" spans="1:5" x14ac:dyDescent="0.2">
      <c r="A341" s="4">
        <v>42109</v>
      </c>
      <c r="B341" s="3">
        <v>53720.57</v>
      </c>
      <c r="C341" s="6">
        <f t="shared" si="15"/>
        <v>7.6446647306307701E-3</v>
      </c>
      <c r="D341" s="7">
        <f t="shared" si="16"/>
        <v>0.67946961324254784</v>
      </c>
      <c r="E341" s="8">
        <f t="shared" si="17"/>
        <v>-1.1485693475829029</v>
      </c>
    </row>
    <row r="342" spans="1:5" x14ac:dyDescent="0.2">
      <c r="A342" s="4">
        <v>42110</v>
      </c>
      <c r="B342" s="3">
        <v>54262.27</v>
      </c>
      <c r="C342" s="6">
        <f t="shared" si="15"/>
        <v>1.0033159789952445E-2</v>
      </c>
      <c r="D342" s="7">
        <f t="shared" si="16"/>
        <v>0.89831283100840609</v>
      </c>
      <c r="E342" s="8">
        <f t="shared" si="17"/>
        <v>-1.461030288959249</v>
      </c>
    </row>
    <row r="343" spans="1:5" x14ac:dyDescent="0.2">
      <c r="A343" s="4">
        <v>42111</v>
      </c>
      <c r="B343" s="3">
        <v>53734.04</v>
      </c>
      <c r="C343" s="6">
        <f t="shared" si="15"/>
        <v>-9.7824492793367884E-3</v>
      </c>
      <c r="D343" s="7">
        <f t="shared" si="16"/>
        <v>-0.9172704308406413</v>
      </c>
      <c r="E343" s="8">
        <f t="shared" si="17"/>
        <v>-1.4902473924184867</v>
      </c>
    </row>
    <row r="344" spans="1:5" x14ac:dyDescent="0.2">
      <c r="A344" s="4">
        <v>42114</v>
      </c>
      <c r="B344" s="3">
        <v>53839.71</v>
      </c>
      <c r="C344" s="6">
        <f t="shared" si="15"/>
        <v>1.9646063093956066E-3</v>
      </c>
      <c r="D344" s="7">
        <f t="shared" si="16"/>
        <v>0.15904054341889728</v>
      </c>
      <c r="E344" s="8">
        <f t="shared" si="17"/>
        <v>-0.69225699663938078</v>
      </c>
    </row>
    <row r="345" spans="1:5" x14ac:dyDescent="0.2">
      <c r="A345" s="4">
        <v>42115</v>
      </c>
      <c r="B345" s="3">
        <v>54140.93</v>
      </c>
      <c r="C345" s="6">
        <f t="shared" si="15"/>
        <v>5.5791627339975575E-3</v>
      </c>
      <c r="D345" s="7">
        <f t="shared" si="16"/>
        <v>0.49022027756529929</v>
      </c>
      <c r="E345" s="8">
        <f t="shared" si="17"/>
        <v>-0.92692407763414275</v>
      </c>
    </row>
    <row r="346" spans="1:5" x14ac:dyDescent="0.2">
      <c r="A346" s="4">
        <v>42116</v>
      </c>
      <c r="B346" s="3">
        <v>54281.56</v>
      </c>
      <c r="C346" s="6">
        <f t="shared" si="15"/>
        <v>2.5941126949433685E-3</v>
      </c>
      <c r="D346" s="7">
        <f t="shared" si="16"/>
        <v>0.21671836966340771</v>
      </c>
      <c r="E346" s="8">
        <f t="shared" si="17"/>
        <v>-0.71687530901873364</v>
      </c>
    </row>
    <row r="347" spans="1:5" x14ac:dyDescent="0.2">
      <c r="A347" s="4">
        <v>42117</v>
      </c>
      <c r="B347" s="3">
        <v>54686.54</v>
      </c>
      <c r="C347" s="6">
        <f t="shared" si="15"/>
        <v>7.4330352569998261E-3</v>
      </c>
      <c r="D347" s="7">
        <f t="shared" si="16"/>
        <v>0.66007929681600119</v>
      </c>
      <c r="E347" s="8">
        <f t="shared" si="17"/>
        <v>-1.1235026701307009</v>
      </c>
    </row>
    <row r="348" spans="1:5" x14ac:dyDescent="0.2">
      <c r="A348" s="4">
        <v>42118</v>
      </c>
      <c r="B348" s="3">
        <v>55188.34</v>
      </c>
      <c r="C348" s="6">
        <f t="shared" si="15"/>
        <v>9.1340894083544334E-3</v>
      </c>
      <c r="D348" s="7">
        <f t="shared" si="16"/>
        <v>0.81593650180521105</v>
      </c>
      <c r="E348" s="8">
        <f t="shared" si="17"/>
        <v>-1.3376649174851012</v>
      </c>
    </row>
    <row r="349" spans="1:5" x14ac:dyDescent="0.2">
      <c r="A349" s="4">
        <v>42122</v>
      </c>
      <c r="B349" s="3">
        <v>55039.29</v>
      </c>
      <c r="C349" s="6">
        <f t="shared" si="15"/>
        <v>-2.7044052538110867E-3</v>
      </c>
      <c r="D349" s="7">
        <f t="shared" si="16"/>
        <v>-0.26875247641189759</v>
      </c>
      <c r="E349" s="8">
        <f t="shared" si="17"/>
        <v>-0.74528333806595304</v>
      </c>
    </row>
    <row r="350" spans="1:5" x14ac:dyDescent="0.2">
      <c r="A350" s="4">
        <v>42123</v>
      </c>
      <c r="B350" s="3">
        <v>54541.74</v>
      </c>
      <c r="C350" s="6">
        <f t="shared" si="15"/>
        <v>-9.0810137337184044E-3</v>
      </c>
      <c r="D350" s="7">
        <f t="shared" si="16"/>
        <v>-0.8530021748694222</v>
      </c>
      <c r="E350" s="8">
        <f t="shared" si="17"/>
        <v>-1.3924155481760081</v>
      </c>
    </row>
    <row r="351" spans="1:5" x14ac:dyDescent="0.2">
      <c r="A351" s="4">
        <v>42124</v>
      </c>
      <c r="B351" s="3">
        <v>54440.43</v>
      </c>
      <c r="C351" s="6">
        <f t="shared" si="15"/>
        <v>-1.8592037428263547E-3</v>
      </c>
      <c r="D351" s="7">
        <f t="shared" si="16"/>
        <v>-0.19131182289135226</v>
      </c>
      <c r="E351" s="8">
        <f t="shared" si="17"/>
        <v>-0.70512840518554998</v>
      </c>
    </row>
    <row r="352" spans="1:5" x14ac:dyDescent="0.2">
      <c r="A352" s="4">
        <v>42128</v>
      </c>
      <c r="B352" s="3">
        <v>54639.86</v>
      </c>
      <c r="C352" s="6">
        <f t="shared" si="15"/>
        <v>3.6565766777371901E-3</v>
      </c>
      <c r="D352" s="7">
        <f t="shared" si="16"/>
        <v>0.31406545683760617</v>
      </c>
      <c r="E352" s="8">
        <f t="shared" si="17"/>
        <v>-0.77466018334944431</v>
      </c>
    </row>
    <row r="353" spans="1:5" x14ac:dyDescent="0.2">
      <c r="A353" s="4">
        <v>42129</v>
      </c>
      <c r="B353" s="3">
        <v>54574.99</v>
      </c>
      <c r="C353" s="6">
        <f t="shared" si="15"/>
        <v>-1.187933831867057E-3</v>
      </c>
      <c r="D353" s="7">
        <f t="shared" si="16"/>
        <v>-0.12980745982792025</v>
      </c>
      <c r="E353" s="8">
        <f t="shared" si="17"/>
        <v>-0.68260323090068087</v>
      </c>
    </row>
    <row r="354" spans="1:5" x14ac:dyDescent="0.2">
      <c r="A354" s="4">
        <v>42130</v>
      </c>
      <c r="B354" s="3">
        <v>53848.74</v>
      </c>
      <c r="C354" s="6">
        <f t="shared" si="15"/>
        <v>-1.3396714201947709E-2</v>
      </c>
      <c r="D354" s="7">
        <f t="shared" si="16"/>
        <v>-1.2484234564395613</v>
      </c>
      <c r="E354" s="8">
        <f t="shared" si="17"/>
        <v>-2.0354737020031499</v>
      </c>
    </row>
    <row r="355" spans="1:5" x14ac:dyDescent="0.2">
      <c r="A355" s="4">
        <v>42131</v>
      </c>
      <c r="B355" s="3">
        <v>53238.17</v>
      </c>
      <c r="C355" s="6">
        <f t="shared" si="15"/>
        <v>-1.140338471594509E-2</v>
      </c>
      <c r="D355" s="7">
        <f t="shared" si="16"/>
        <v>-1.0657868472148957</v>
      </c>
      <c r="E355" s="8">
        <f t="shared" si="17"/>
        <v>-1.7278842369924332</v>
      </c>
    </row>
    <row r="356" spans="1:5" x14ac:dyDescent="0.2">
      <c r="A356" s="4">
        <v>42132</v>
      </c>
      <c r="B356" s="3">
        <v>53790.57</v>
      </c>
      <c r="C356" s="6">
        <f t="shared" si="15"/>
        <v>1.0322552710187498E-2</v>
      </c>
      <c r="D356" s="7">
        <f t="shared" si="16"/>
        <v>0.92482813721167001</v>
      </c>
      <c r="E356" s="8">
        <f t="shared" si="17"/>
        <v>-1.5019743063388404</v>
      </c>
    </row>
    <row r="357" spans="1:5" x14ac:dyDescent="0.2">
      <c r="A357" s="4">
        <v>42135</v>
      </c>
      <c r="B357" s="3">
        <v>54161.05</v>
      </c>
      <c r="C357" s="6">
        <f t="shared" si="15"/>
        <v>6.8638424233674403E-3</v>
      </c>
      <c r="D357" s="7">
        <f t="shared" si="16"/>
        <v>0.60792763304963193</v>
      </c>
      <c r="E357" s="8">
        <f t="shared" si="17"/>
        <v>-1.0585922168725803</v>
      </c>
    </row>
    <row r="358" spans="1:5" x14ac:dyDescent="0.2">
      <c r="A358" s="4">
        <v>42136</v>
      </c>
      <c r="B358" s="3">
        <v>53934.41</v>
      </c>
      <c r="C358" s="6">
        <f t="shared" si="15"/>
        <v>-4.1933367433642215E-3</v>
      </c>
      <c r="D358" s="7">
        <f t="shared" si="16"/>
        <v>-0.40517417715397852</v>
      </c>
      <c r="E358" s="8">
        <f t="shared" si="17"/>
        <v>-0.84617500839956195</v>
      </c>
    </row>
    <row r="359" spans="1:5" x14ac:dyDescent="0.2">
      <c r="A359" s="4">
        <v>42137</v>
      </c>
      <c r="B359" s="3">
        <v>54053.919999999998</v>
      </c>
      <c r="C359" s="6">
        <f t="shared" si="15"/>
        <v>2.2133882205756326E-3</v>
      </c>
      <c r="D359" s="7">
        <f t="shared" si="16"/>
        <v>0.18183491083954367</v>
      </c>
      <c r="E359" s="8">
        <f t="shared" si="17"/>
        <v>-0.70110933526875396</v>
      </c>
    </row>
    <row r="360" spans="1:5" x14ac:dyDescent="0.2">
      <c r="A360" s="4">
        <v>42138</v>
      </c>
      <c r="B360" s="3">
        <v>53874.59</v>
      </c>
      <c r="C360" s="6">
        <f t="shared" si="15"/>
        <v>-3.3231287086454109E-3</v>
      </c>
      <c r="D360" s="7">
        <f t="shared" si="16"/>
        <v>-0.32544232855737631</v>
      </c>
      <c r="E360" s="8">
        <f t="shared" si="17"/>
        <v>-0.78269639554107684</v>
      </c>
    </row>
    <row r="361" spans="1:5" x14ac:dyDescent="0.2">
      <c r="A361" s="4">
        <v>42139</v>
      </c>
      <c r="B361" s="3">
        <v>54028.17</v>
      </c>
      <c r="C361" s="6">
        <f t="shared" si="15"/>
        <v>2.8466390240511619E-3</v>
      </c>
      <c r="D361" s="7">
        <f t="shared" si="16"/>
        <v>0.23985581523478117</v>
      </c>
      <c r="E361" s="8">
        <f t="shared" si="17"/>
        <v>-0.72879242239660402</v>
      </c>
    </row>
    <row r="362" spans="1:5" x14ac:dyDescent="0.2">
      <c r="A362" s="4">
        <v>42142</v>
      </c>
      <c r="B362" s="3">
        <v>54409.43</v>
      </c>
      <c r="C362" s="6">
        <f t="shared" si="15"/>
        <v>7.0319072173334737E-3</v>
      </c>
      <c r="D362" s="7">
        <f t="shared" si="16"/>
        <v>0.62332638389114636</v>
      </c>
      <c r="E362" s="8">
        <f t="shared" si="17"/>
        <v>-1.0773660324225631</v>
      </c>
    </row>
    <row r="363" spans="1:5" x14ac:dyDescent="0.2">
      <c r="A363" s="4">
        <v>42143</v>
      </c>
      <c r="B363" s="3">
        <v>54327.13</v>
      </c>
      <c r="C363" s="6">
        <f t="shared" si="15"/>
        <v>-1.5137505861039784E-3</v>
      </c>
      <c r="D363" s="7">
        <f t="shared" si="16"/>
        <v>-0.15966005953121856</v>
      </c>
      <c r="E363" s="8">
        <f t="shared" si="17"/>
        <v>-0.69248230541689926</v>
      </c>
    </row>
    <row r="364" spans="1:5" x14ac:dyDescent="0.2">
      <c r="A364" s="4">
        <v>42144</v>
      </c>
      <c r="B364" s="3">
        <v>54192.07</v>
      </c>
      <c r="C364" s="6">
        <f t="shared" si="15"/>
        <v>-2.4891460632637066E-3</v>
      </c>
      <c r="D364" s="7">
        <f t="shared" si="16"/>
        <v>-0.24902959118791007</v>
      </c>
      <c r="E364" s="8">
        <f t="shared" si="17"/>
        <v>-0.73383564989678451</v>
      </c>
    </row>
    <row r="365" spans="1:5" x14ac:dyDescent="0.2">
      <c r="A365" s="4">
        <v>42145</v>
      </c>
      <c r="B365" s="3">
        <v>54123.89</v>
      </c>
      <c r="C365" s="6">
        <f t="shared" si="15"/>
        <v>-1.2589097489346637E-3</v>
      </c>
      <c r="D365" s="7">
        <f t="shared" si="16"/>
        <v>-0.13631054971891168</v>
      </c>
      <c r="E365" s="8">
        <f t="shared" si="17"/>
        <v>-0.68458465012694281</v>
      </c>
    </row>
    <row r="366" spans="1:5" x14ac:dyDescent="0.2">
      <c r="A366" s="4">
        <v>42146</v>
      </c>
      <c r="B366" s="3">
        <v>54055.38</v>
      </c>
      <c r="C366" s="6">
        <f t="shared" si="15"/>
        <v>-1.2666014322171035E-3</v>
      </c>
      <c r="D366" s="7">
        <f t="shared" si="16"/>
        <v>-0.13701529169147536</v>
      </c>
      <c r="E366" s="8">
        <f t="shared" si="17"/>
        <v>-0.68480510137993544</v>
      </c>
    </row>
    <row r="367" spans="1:5" x14ac:dyDescent="0.2">
      <c r="A367" s="4">
        <v>42149</v>
      </c>
      <c r="B367" s="3">
        <v>53985.66</v>
      </c>
      <c r="C367" s="6">
        <f t="shared" si="15"/>
        <v>-1.2906208544035634E-3</v>
      </c>
      <c r="D367" s="7">
        <f t="shared" si="16"/>
        <v>-0.1392160446801185</v>
      </c>
      <c r="E367" s="8">
        <f t="shared" si="17"/>
        <v>-0.68550071942398327</v>
      </c>
    </row>
    <row r="368" spans="1:5" x14ac:dyDescent="0.2">
      <c r="A368" s="4">
        <v>42150</v>
      </c>
      <c r="B368" s="3">
        <v>52963.39</v>
      </c>
      <c r="C368" s="6">
        <f t="shared" si="15"/>
        <v>-1.9117535588417237E-2</v>
      </c>
      <c r="D368" s="7">
        <f t="shared" si="16"/>
        <v>-1.7725873878626741</v>
      </c>
      <c r="E368" s="8">
        <f t="shared" si="17"/>
        <v>-2.9468722466162958</v>
      </c>
    </row>
    <row r="369" spans="1:5" x14ac:dyDescent="0.2">
      <c r="A369" s="4">
        <v>42151</v>
      </c>
      <c r="B369" s="3">
        <v>52933.34</v>
      </c>
      <c r="C369" s="6">
        <f t="shared" si="15"/>
        <v>-5.6753406467947387E-4</v>
      </c>
      <c r="D369" s="7">
        <f t="shared" si="16"/>
        <v>-7.2964017417334562E-2</v>
      </c>
      <c r="E369" s="8">
        <f t="shared" si="17"/>
        <v>-0.66936843264471446</v>
      </c>
    </row>
    <row r="370" spans="1:5" x14ac:dyDescent="0.2">
      <c r="A370" s="4">
        <v>42152</v>
      </c>
      <c r="B370" s="3">
        <v>52810.36</v>
      </c>
      <c r="C370" s="6">
        <f t="shared" si="15"/>
        <v>-2.3260025031547758E-3</v>
      </c>
      <c r="D370" s="7">
        <f t="shared" si="16"/>
        <v>-0.2340817429549078</v>
      </c>
      <c r="E370" s="8">
        <f t="shared" si="17"/>
        <v>-0.72571048902277768</v>
      </c>
    </row>
    <row r="371" spans="1:5" x14ac:dyDescent="0.2">
      <c r="A371" s="4">
        <v>42153</v>
      </c>
      <c r="B371" s="3">
        <v>52270.86</v>
      </c>
      <c r="C371" s="6">
        <f t="shared" si="15"/>
        <v>-1.0268337964534311E-2</v>
      </c>
      <c r="D371" s="7">
        <f t="shared" si="16"/>
        <v>-0.96178944415392253</v>
      </c>
      <c r="E371" s="8">
        <f t="shared" si="17"/>
        <v>-1.5599420895137037</v>
      </c>
    </row>
    <row r="372" spans="1:5" x14ac:dyDescent="0.2">
      <c r="A372" s="4">
        <v>42156</v>
      </c>
      <c r="B372" s="3">
        <v>52073.88</v>
      </c>
      <c r="C372" s="6">
        <f t="shared" si="15"/>
        <v>-3.7755661472562542E-3</v>
      </c>
      <c r="D372" s="7">
        <f t="shared" si="16"/>
        <v>-0.36689640840439897</v>
      </c>
      <c r="E372" s="8">
        <f t="shared" si="17"/>
        <v>-0.81416126649294995</v>
      </c>
    </row>
    <row r="373" spans="1:5" x14ac:dyDescent="0.2">
      <c r="A373" s="4">
        <v>42157</v>
      </c>
      <c r="B373" s="3">
        <v>52185.61</v>
      </c>
      <c r="C373" s="6">
        <f t="shared" si="15"/>
        <v>2.1433069118557998E-3</v>
      </c>
      <c r="D373" s="7">
        <f t="shared" si="16"/>
        <v>0.17541378844884201</v>
      </c>
      <c r="E373" s="8">
        <f t="shared" si="17"/>
        <v>-0.69849895061551182</v>
      </c>
    </row>
    <row r="374" spans="1:5" x14ac:dyDescent="0.2">
      <c r="A374" s="4">
        <v>42158</v>
      </c>
      <c r="B374" s="3">
        <v>51850.67</v>
      </c>
      <c r="C374" s="6">
        <f t="shared" si="15"/>
        <v>-6.438929904295526E-3</v>
      </c>
      <c r="D374" s="7">
        <f t="shared" si="16"/>
        <v>-0.61092416655139303</v>
      </c>
      <c r="E374" s="8">
        <f t="shared" si="17"/>
        <v>-1.0622190937339893</v>
      </c>
    </row>
    <row r="375" spans="1:5" x14ac:dyDescent="0.2">
      <c r="A375" s="4">
        <v>42159</v>
      </c>
      <c r="B375" s="3">
        <v>51323.68</v>
      </c>
      <c r="C375" s="6">
        <f t="shared" si="15"/>
        <v>-1.0215612368634041E-2</v>
      </c>
      <c r="D375" s="7">
        <f t="shared" si="16"/>
        <v>-0.95695851975221391</v>
      </c>
      <c r="E375" s="8">
        <f t="shared" si="17"/>
        <v>-1.5523093010278595</v>
      </c>
    </row>
    <row r="376" spans="1:5" x14ac:dyDescent="0.2">
      <c r="A376" s="4">
        <v>42160</v>
      </c>
      <c r="B376" s="3">
        <v>51694.25</v>
      </c>
      <c r="C376" s="6">
        <f t="shared" si="15"/>
        <v>7.1943126469916205E-3</v>
      </c>
      <c r="D376" s="7">
        <f t="shared" si="16"/>
        <v>0.63820660173808186</v>
      </c>
      <c r="E376" s="8">
        <f t="shared" si="17"/>
        <v>-1.0958235481533005</v>
      </c>
    </row>
    <row r="377" spans="1:5" x14ac:dyDescent="0.2">
      <c r="A377" s="4">
        <v>42163</v>
      </c>
      <c r="B377" s="3">
        <v>51623.3</v>
      </c>
      <c r="C377" s="6">
        <f t="shared" si="15"/>
        <v>-1.3734358035570585E-3</v>
      </c>
      <c r="D377" s="7">
        <f t="shared" si="16"/>
        <v>-0.14680387279018117</v>
      </c>
      <c r="E377" s="8">
        <f t="shared" si="17"/>
        <v>-0.68798259320797039</v>
      </c>
    </row>
    <row r="378" spans="1:5" x14ac:dyDescent="0.2">
      <c r="A378" s="4">
        <v>42164</v>
      </c>
      <c r="B378" s="3">
        <v>51080.26</v>
      </c>
      <c r="C378" s="6">
        <f t="shared" si="15"/>
        <v>-1.057499975071716E-2</v>
      </c>
      <c r="D378" s="7">
        <f t="shared" si="16"/>
        <v>-0.98988699109762002</v>
      </c>
      <c r="E378" s="8">
        <f t="shared" si="17"/>
        <v>-1.6046528990611701</v>
      </c>
    </row>
    <row r="379" spans="1:5" x14ac:dyDescent="0.2">
      <c r="A379" s="4">
        <v>42165</v>
      </c>
      <c r="B379" s="3">
        <v>51958.27</v>
      </c>
      <c r="C379" s="6">
        <f t="shared" si="15"/>
        <v>1.7042775199726624E-2</v>
      </c>
      <c r="D379" s="7">
        <f t="shared" si="16"/>
        <v>1.540561089211536</v>
      </c>
      <c r="E379" s="8">
        <f t="shared" si="17"/>
        <v>-2.5432887287368935</v>
      </c>
    </row>
    <row r="380" spans="1:5" x14ac:dyDescent="0.2">
      <c r="A380" s="4">
        <v>42166</v>
      </c>
      <c r="B380" s="3">
        <v>51881.45</v>
      </c>
      <c r="C380" s="6">
        <f t="shared" si="15"/>
        <v>-1.4795882349144839E-3</v>
      </c>
      <c r="D380" s="7">
        <f t="shared" si="16"/>
        <v>-0.15652997189231865</v>
      </c>
      <c r="E380" s="8">
        <f t="shared" si="17"/>
        <v>-0.69135271378543672</v>
      </c>
    </row>
    <row r="381" spans="1:5" x14ac:dyDescent="0.2">
      <c r="A381" s="4">
        <v>42167</v>
      </c>
      <c r="B381" s="3">
        <v>51828.76</v>
      </c>
      <c r="C381" s="6">
        <f t="shared" si="15"/>
        <v>-1.0161006237159789E-3</v>
      </c>
      <c r="D381" s="7">
        <f t="shared" si="16"/>
        <v>-0.11406343220514926</v>
      </c>
      <c r="E381" s="8">
        <f t="shared" si="17"/>
        <v>-0.6782019235951422</v>
      </c>
    </row>
    <row r="382" spans="1:5" x14ac:dyDescent="0.2">
      <c r="A382" s="4">
        <v>42170</v>
      </c>
      <c r="B382" s="3">
        <v>51297.88</v>
      </c>
      <c r="C382" s="6">
        <f t="shared" si="15"/>
        <v>-1.0295781760558431E-2</v>
      </c>
      <c r="D382" s="7">
        <f t="shared" si="16"/>
        <v>-0.96430395160755489</v>
      </c>
      <c r="E382" s="8">
        <f t="shared" si="17"/>
        <v>-1.5639214464133697</v>
      </c>
    </row>
    <row r="383" spans="1:5" x14ac:dyDescent="0.2">
      <c r="A383" s="4">
        <v>42172</v>
      </c>
      <c r="B383" s="3">
        <v>51595.66</v>
      </c>
      <c r="C383" s="6">
        <f t="shared" si="15"/>
        <v>5.7881346363269515E-3</v>
      </c>
      <c r="D383" s="7">
        <f t="shared" si="16"/>
        <v>0.50936709696102589</v>
      </c>
      <c r="E383" s="8">
        <f t="shared" si="17"/>
        <v>-0.94683744107752255</v>
      </c>
    </row>
    <row r="384" spans="1:5" x14ac:dyDescent="0.2">
      <c r="A384" s="4">
        <v>42173</v>
      </c>
      <c r="B384" s="3">
        <v>51900.53</v>
      </c>
      <c r="C384" s="6">
        <f t="shared" si="15"/>
        <v>5.891441642686567E-3</v>
      </c>
      <c r="D384" s="7">
        <f t="shared" si="16"/>
        <v>0.51883248714521857</v>
      </c>
      <c r="E384" s="8">
        <f t="shared" si="17"/>
        <v>-0.95690639797851151</v>
      </c>
    </row>
    <row r="385" spans="1:5" x14ac:dyDescent="0.2">
      <c r="A385" s="4">
        <v>42174</v>
      </c>
      <c r="B385" s="3">
        <v>51806.71</v>
      </c>
      <c r="C385" s="6">
        <f t="shared" si="15"/>
        <v>-1.8093245099286073E-3</v>
      </c>
      <c r="D385" s="7">
        <f t="shared" si="16"/>
        <v>-0.18674169335123267</v>
      </c>
      <c r="E385" s="8">
        <f t="shared" si="17"/>
        <v>-0.70316553209559862</v>
      </c>
    </row>
    <row r="386" spans="1:5" x14ac:dyDescent="0.2">
      <c r="A386" s="4">
        <v>42177</v>
      </c>
      <c r="B386" s="3">
        <v>52189.32</v>
      </c>
      <c r="C386" s="6">
        <f t="shared" si="15"/>
        <v>7.3581986986558682E-3</v>
      </c>
      <c r="D386" s="7">
        <f t="shared" si="16"/>
        <v>0.65322247993852967</v>
      </c>
      <c r="E386" s="8">
        <f t="shared" si="17"/>
        <v>-1.114756549460781</v>
      </c>
    </row>
    <row r="387" spans="1:5" x14ac:dyDescent="0.2">
      <c r="A387" s="4">
        <v>42178</v>
      </c>
      <c r="B387" s="3">
        <v>52592</v>
      </c>
      <c r="C387" s="6">
        <f t="shared" ref="C387:C450" si="18">LN(B387/B386)</f>
        <v>7.6861406673848741E-3</v>
      </c>
      <c r="D387" s="7">
        <f t="shared" ref="D387:D450" si="19">(C387-$G$4)/$G$5</f>
        <v>0.68326980006884974</v>
      </c>
      <c r="E387" s="8">
        <f t="shared" ref="E387:E450" si="20">LN((PI()*(G$3-2))^(-1/2)*EXP(GAMMALN((G$3+1)/2))*((1+D387^2/(G$3-2))^(-(G$3+1)/2))/EXP(GAMMALN(G$3/2)))</f>
        <v>-1.1535388026464248</v>
      </c>
    </row>
    <row r="388" spans="1:5" x14ac:dyDescent="0.2">
      <c r="A388" s="4">
        <v>42179</v>
      </c>
      <c r="B388" s="3">
        <v>52783.85</v>
      </c>
      <c r="C388" s="6">
        <f t="shared" si="18"/>
        <v>3.6412557900908204E-3</v>
      </c>
      <c r="D388" s="7">
        <f t="shared" si="19"/>
        <v>0.31266169745427597</v>
      </c>
      <c r="E388" s="8">
        <f t="shared" si="20"/>
        <v>-0.77368677940107189</v>
      </c>
    </row>
    <row r="389" spans="1:5" x14ac:dyDescent="0.2">
      <c r="A389" s="4">
        <v>42180</v>
      </c>
      <c r="B389" s="3">
        <v>52856.39</v>
      </c>
      <c r="C389" s="6">
        <f t="shared" si="18"/>
        <v>1.3733405263232257E-3</v>
      </c>
      <c r="D389" s="7">
        <f t="shared" si="19"/>
        <v>0.1048664700761802</v>
      </c>
      <c r="E389" s="8">
        <f t="shared" si="20"/>
        <v>-0.6758908913130256</v>
      </c>
    </row>
    <row r="390" spans="1:5" x14ac:dyDescent="0.2">
      <c r="A390" s="4">
        <v>42181</v>
      </c>
      <c r="B390" s="3">
        <v>52669.75</v>
      </c>
      <c r="C390" s="6">
        <f t="shared" si="18"/>
        <v>-3.5373262892739012E-3</v>
      </c>
      <c r="D390" s="7">
        <f t="shared" si="19"/>
        <v>-0.34506794494685017</v>
      </c>
      <c r="E390" s="8">
        <f t="shared" si="20"/>
        <v>-0.79716959756768058</v>
      </c>
    </row>
    <row r="391" spans="1:5" x14ac:dyDescent="0.2">
      <c r="A391" s="4">
        <v>42184</v>
      </c>
      <c r="B391" s="3">
        <v>51999.92</v>
      </c>
      <c r="C391" s="6">
        <f t="shared" si="18"/>
        <v>-1.2799106830298302E-2</v>
      </c>
      <c r="D391" s="7">
        <f t="shared" si="19"/>
        <v>-1.1936683420582508</v>
      </c>
      <c r="E391" s="8">
        <f t="shared" si="20"/>
        <v>-1.9419702249411561</v>
      </c>
    </row>
    <row r="392" spans="1:5" x14ac:dyDescent="0.2">
      <c r="A392" s="4">
        <v>42185</v>
      </c>
      <c r="B392" s="3">
        <v>51806.95</v>
      </c>
      <c r="C392" s="6">
        <f t="shared" si="18"/>
        <v>-3.7178699690721549E-3</v>
      </c>
      <c r="D392" s="7">
        <f t="shared" si="19"/>
        <v>-0.36161005989916645</v>
      </c>
      <c r="E392" s="8">
        <f t="shared" si="20"/>
        <v>-0.80996082187201002</v>
      </c>
    </row>
    <row r="393" spans="1:5" x14ac:dyDescent="0.2">
      <c r="A393" s="4">
        <v>42186</v>
      </c>
      <c r="B393" s="3">
        <v>51888.04</v>
      </c>
      <c r="C393" s="6">
        <f t="shared" si="18"/>
        <v>1.5640103061818193E-3</v>
      </c>
      <c r="D393" s="7">
        <f t="shared" si="19"/>
        <v>0.12233637774549426</v>
      </c>
      <c r="E393" s="8">
        <f t="shared" si="20"/>
        <v>-0.68044472216394936</v>
      </c>
    </row>
    <row r="394" spans="1:5" x14ac:dyDescent="0.2">
      <c r="A394" s="4">
        <v>42187</v>
      </c>
      <c r="B394" s="3">
        <v>52215.47</v>
      </c>
      <c r="C394" s="6">
        <f t="shared" si="18"/>
        <v>6.2904906800386818E-3</v>
      </c>
      <c r="D394" s="7">
        <f t="shared" si="19"/>
        <v>0.55539491378272909</v>
      </c>
      <c r="E394" s="8">
        <f t="shared" si="20"/>
        <v>-0.99715661100612019</v>
      </c>
    </row>
    <row r="395" spans="1:5" x14ac:dyDescent="0.2">
      <c r="A395" s="4">
        <v>42188</v>
      </c>
      <c r="B395" s="3">
        <v>51967.08</v>
      </c>
      <c r="C395" s="6">
        <f t="shared" si="18"/>
        <v>-4.7683699553151973E-3</v>
      </c>
      <c r="D395" s="7">
        <f t="shared" si="19"/>
        <v>-0.457860959123428</v>
      </c>
      <c r="E395" s="8">
        <f t="shared" si="20"/>
        <v>-0.89468754527456651</v>
      </c>
    </row>
    <row r="396" spans="1:5" x14ac:dyDescent="0.2">
      <c r="A396" s="4">
        <v>42191</v>
      </c>
      <c r="B396" s="3">
        <v>51381.22</v>
      </c>
      <c r="C396" s="6">
        <f t="shared" si="18"/>
        <v>-1.1337705132978115E-2</v>
      </c>
      <c r="D396" s="7">
        <f t="shared" si="19"/>
        <v>-1.0597690280773109</v>
      </c>
      <c r="E396" s="8">
        <f t="shared" si="20"/>
        <v>-1.7179946256293044</v>
      </c>
    </row>
    <row r="397" spans="1:5" x14ac:dyDescent="0.2">
      <c r="A397" s="4">
        <v>42192</v>
      </c>
      <c r="B397" s="3">
        <v>49997.79</v>
      </c>
      <c r="C397" s="6">
        <f t="shared" si="18"/>
        <v>-2.729393159626347E-2</v>
      </c>
      <c r="D397" s="7">
        <f t="shared" si="19"/>
        <v>-2.5217406277245797</v>
      </c>
      <c r="E397" s="8">
        <f t="shared" si="20"/>
        <v>-4.1774032278113342</v>
      </c>
    </row>
    <row r="398" spans="1:5" x14ac:dyDescent="0.2">
      <c r="A398" s="4">
        <v>42193</v>
      </c>
      <c r="B398" s="3">
        <v>50235.76</v>
      </c>
      <c r="C398" s="6">
        <f t="shared" si="18"/>
        <v>4.7483192427371463E-3</v>
      </c>
      <c r="D398" s="7">
        <f t="shared" si="19"/>
        <v>0.41409516171980715</v>
      </c>
      <c r="E398" s="8">
        <f t="shared" si="20"/>
        <v>-0.85403286568361114</v>
      </c>
    </row>
    <row r="399" spans="1:5" x14ac:dyDescent="0.2">
      <c r="A399" s="4">
        <v>42194</v>
      </c>
      <c r="B399" s="3">
        <v>51452.36</v>
      </c>
      <c r="C399" s="6">
        <f t="shared" si="18"/>
        <v>2.3929207310520294E-2</v>
      </c>
      <c r="D399" s="7">
        <f t="shared" si="19"/>
        <v>2.1715228139053337</v>
      </c>
      <c r="E399" s="8">
        <f t="shared" si="20"/>
        <v>-3.6197785862088958</v>
      </c>
    </row>
    <row r="400" spans="1:5" x14ac:dyDescent="0.2">
      <c r="A400" s="4">
        <v>42195</v>
      </c>
      <c r="B400" s="3">
        <v>51800.7</v>
      </c>
      <c r="C400" s="6">
        <f t="shared" si="18"/>
        <v>6.7473316830895368E-3</v>
      </c>
      <c r="D400" s="7">
        <f t="shared" si="19"/>
        <v>0.59725246535054533</v>
      </c>
      <c r="E400" s="8">
        <f t="shared" si="20"/>
        <v>-1.0457766503992885</v>
      </c>
    </row>
    <row r="401" spans="1:5" x14ac:dyDescent="0.2">
      <c r="A401" s="4">
        <v>42198</v>
      </c>
      <c r="B401" s="3">
        <v>52474.82</v>
      </c>
      <c r="C401" s="6">
        <f t="shared" si="18"/>
        <v>1.2929772808309935E-2</v>
      </c>
      <c r="D401" s="7">
        <f t="shared" si="19"/>
        <v>1.1637117947139686</v>
      </c>
      <c r="E401" s="8">
        <f t="shared" si="20"/>
        <v>-1.891223124804877</v>
      </c>
    </row>
    <row r="402" spans="1:5" x14ac:dyDescent="0.2">
      <c r="A402" s="4">
        <v>42199</v>
      </c>
      <c r="B402" s="3">
        <v>52109.52</v>
      </c>
      <c r="C402" s="6">
        <f t="shared" si="18"/>
        <v>-6.9857779010776572E-3</v>
      </c>
      <c r="D402" s="7">
        <f t="shared" si="19"/>
        <v>-0.6610285093581989</v>
      </c>
      <c r="E402" s="8">
        <f t="shared" si="20"/>
        <v>-1.1247183329658692</v>
      </c>
    </row>
    <row r="403" spans="1:5" x14ac:dyDescent="0.2">
      <c r="A403" s="4">
        <v>42200</v>
      </c>
      <c r="B403" s="3">
        <v>52531.13</v>
      </c>
      <c r="C403" s="6">
        <f t="shared" si="18"/>
        <v>8.0582886568525865E-3</v>
      </c>
      <c r="D403" s="7">
        <f t="shared" si="19"/>
        <v>0.71736744795066609</v>
      </c>
      <c r="E403" s="8">
        <f t="shared" si="20"/>
        <v>-1.1989334330418433</v>
      </c>
    </row>
    <row r="404" spans="1:5" x14ac:dyDescent="0.2">
      <c r="A404" s="4">
        <v>42201</v>
      </c>
      <c r="B404" s="3">
        <v>52849.120000000003</v>
      </c>
      <c r="C404" s="6">
        <f t="shared" si="18"/>
        <v>6.0351150271197264E-3</v>
      </c>
      <c r="D404" s="7">
        <f t="shared" si="19"/>
        <v>0.53199640206895016</v>
      </c>
      <c r="E404" s="8">
        <f t="shared" si="20"/>
        <v>-0.9711523278042784</v>
      </c>
    </row>
    <row r="405" spans="1:5" x14ac:dyDescent="0.2">
      <c r="A405" s="4">
        <v>42202</v>
      </c>
      <c r="B405" s="3">
        <v>52723.72</v>
      </c>
      <c r="C405" s="6">
        <f t="shared" si="18"/>
        <v>-2.3756121171869121E-3</v>
      </c>
      <c r="D405" s="7">
        <f t="shared" si="19"/>
        <v>-0.2386271689647059</v>
      </c>
      <c r="E405" s="8">
        <f t="shared" si="20"/>
        <v>-0.72813064067690503</v>
      </c>
    </row>
    <row r="406" spans="1:5" x14ac:dyDescent="0.2">
      <c r="A406" s="4">
        <v>42205</v>
      </c>
      <c r="B406" s="3">
        <v>52988.32</v>
      </c>
      <c r="C406" s="6">
        <f t="shared" si="18"/>
        <v>5.0060627453111101E-3</v>
      </c>
      <c r="D406" s="7">
        <f t="shared" si="19"/>
        <v>0.4377106250390187</v>
      </c>
      <c r="E406" s="8">
        <f t="shared" si="20"/>
        <v>-0.87554045957975513</v>
      </c>
    </row>
    <row r="407" spans="1:5" x14ac:dyDescent="0.2">
      <c r="A407" s="4">
        <v>42206</v>
      </c>
      <c r="B407" s="3">
        <v>52901.42</v>
      </c>
      <c r="C407" s="6">
        <f t="shared" si="18"/>
        <v>-1.6413303027997929E-3</v>
      </c>
      <c r="D407" s="7">
        <f t="shared" si="19"/>
        <v>-0.17134940995059847</v>
      </c>
      <c r="E407" s="8">
        <f t="shared" si="20"/>
        <v>-0.69689387368468503</v>
      </c>
    </row>
    <row r="408" spans="1:5" x14ac:dyDescent="0.2">
      <c r="A408" s="4">
        <v>42207</v>
      </c>
      <c r="B408" s="3">
        <v>51977.56</v>
      </c>
      <c r="C408" s="6">
        <f t="shared" si="18"/>
        <v>-1.7618094623802705E-2</v>
      </c>
      <c r="D408" s="7">
        <f t="shared" si="19"/>
        <v>-1.6352027680931955</v>
      </c>
      <c r="E408" s="8">
        <f t="shared" si="20"/>
        <v>-2.7084815386360668</v>
      </c>
    </row>
    <row r="409" spans="1:5" x14ac:dyDescent="0.2">
      <c r="A409" s="4">
        <v>42208</v>
      </c>
      <c r="B409" s="3">
        <v>52237.02</v>
      </c>
      <c r="C409" s="6">
        <f t="shared" si="18"/>
        <v>4.979351950297424E-3</v>
      </c>
      <c r="D409" s="7">
        <f t="shared" si="19"/>
        <v>0.43526327799215508</v>
      </c>
      <c r="E409" s="8">
        <f t="shared" si="20"/>
        <v>-0.87326444410739856</v>
      </c>
    </row>
    <row r="410" spans="1:5" x14ac:dyDescent="0.2">
      <c r="A410" s="4">
        <v>42209</v>
      </c>
      <c r="B410" s="3">
        <v>51356.08</v>
      </c>
      <c r="C410" s="6">
        <f t="shared" si="18"/>
        <v>-1.7008106449324736E-2</v>
      </c>
      <c r="D410" s="7">
        <f t="shared" si="19"/>
        <v>-1.5793132763477984</v>
      </c>
      <c r="E410" s="8">
        <f t="shared" si="20"/>
        <v>-2.6109827421387881</v>
      </c>
    </row>
    <row r="411" spans="1:5" x14ac:dyDescent="0.2">
      <c r="A411" s="4">
        <v>42212</v>
      </c>
      <c r="B411" s="3">
        <v>51301.55</v>
      </c>
      <c r="C411" s="6">
        <f t="shared" si="18"/>
        <v>-1.0623663361144352E-3</v>
      </c>
      <c r="D411" s="7">
        <f t="shared" si="19"/>
        <v>-0.11830247692663319</v>
      </c>
      <c r="E411" s="8">
        <f t="shared" si="20"/>
        <v>-0.67933175774718135</v>
      </c>
    </row>
    <row r="412" spans="1:5" x14ac:dyDescent="0.2">
      <c r="A412" s="4">
        <v>42213</v>
      </c>
      <c r="B412" s="3">
        <v>50758.42</v>
      </c>
      <c r="C412" s="6">
        <f t="shared" si="18"/>
        <v>-1.0643450655045225E-2</v>
      </c>
      <c r="D412" s="7">
        <f t="shared" si="19"/>
        <v>-0.99615872948940509</v>
      </c>
      <c r="E412" s="8">
        <f t="shared" si="20"/>
        <v>-1.6147042921297128</v>
      </c>
    </row>
    <row r="413" spans="1:5" x14ac:dyDescent="0.2">
      <c r="A413" s="4">
        <v>42214</v>
      </c>
      <c r="B413" s="3">
        <v>51598.54</v>
      </c>
      <c r="C413" s="6">
        <f t="shared" si="18"/>
        <v>1.641586202339131E-2</v>
      </c>
      <c r="D413" s="7">
        <f t="shared" si="19"/>
        <v>1.483120862892626</v>
      </c>
      <c r="E413" s="8">
        <f t="shared" si="20"/>
        <v>-2.4429099340150779</v>
      </c>
    </row>
    <row r="414" spans="1:5" x14ac:dyDescent="0.2">
      <c r="A414" s="4">
        <v>42215</v>
      </c>
      <c r="B414" s="3">
        <v>51774.41</v>
      </c>
      <c r="C414" s="6">
        <f t="shared" si="18"/>
        <v>3.4026342420147263E-3</v>
      </c>
      <c r="D414" s="7">
        <f t="shared" si="19"/>
        <v>0.29079826206409626</v>
      </c>
      <c r="E414" s="8">
        <f t="shared" si="20"/>
        <v>-0.7590458356424562</v>
      </c>
    </row>
    <row r="415" spans="1:5" x14ac:dyDescent="0.2">
      <c r="A415" s="4">
        <v>42216</v>
      </c>
      <c r="B415" s="3">
        <v>52053.27</v>
      </c>
      <c r="C415" s="6">
        <f t="shared" si="18"/>
        <v>5.3716055395234066E-3</v>
      </c>
      <c r="D415" s="7">
        <f t="shared" si="19"/>
        <v>0.471203079211924</v>
      </c>
      <c r="E415" s="8">
        <f t="shared" si="20"/>
        <v>-0.90775973029704493</v>
      </c>
    </row>
    <row r="416" spans="1:5" x14ac:dyDescent="0.2">
      <c r="A416" s="4">
        <v>42219</v>
      </c>
      <c r="B416" s="3">
        <v>51629.67</v>
      </c>
      <c r="C416" s="6">
        <f t="shared" si="18"/>
        <v>-8.171110056753219E-3</v>
      </c>
      <c r="D416" s="7">
        <f t="shared" si="19"/>
        <v>-0.76963325696150808</v>
      </c>
      <c r="E416" s="8">
        <f t="shared" si="20"/>
        <v>-1.2711812784699812</v>
      </c>
    </row>
    <row r="417" spans="1:5" x14ac:dyDescent="0.2">
      <c r="A417" s="4">
        <v>42220</v>
      </c>
      <c r="B417" s="3">
        <v>52437.84</v>
      </c>
      <c r="C417" s="6">
        <f t="shared" si="18"/>
        <v>1.5531960877460962E-2</v>
      </c>
      <c r="D417" s="7">
        <f t="shared" si="19"/>
        <v>1.4021343981279628</v>
      </c>
      <c r="E417" s="8">
        <f t="shared" si="20"/>
        <v>-2.3015619466823209</v>
      </c>
    </row>
    <row r="418" spans="1:5" x14ac:dyDescent="0.2">
      <c r="A418" s="4">
        <v>42221</v>
      </c>
      <c r="B418" s="3">
        <v>52774.21</v>
      </c>
      <c r="C418" s="6">
        <f t="shared" si="18"/>
        <v>6.3941562976184557E-3</v>
      </c>
      <c r="D418" s="7">
        <f t="shared" si="19"/>
        <v>0.56489316132328937</v>
      </c>
      <c r="E418" s="8">
        <f t="shared" si="20"/>
        <v>-1.0079566763250178</v>
      </c>
    </row>
    <row r="419" spans="1:5" x14ac:dyDescent="0.2">
      <c r="A419" s="4">
        <v>42222</v>
      </c>
      <c r="B419" s="3">
        <v>52464.59</v>
      </c>
      <c r="C419" s="6">
        <f t="shared" si="18"/>
        <v>-5.8841585677316633E-3</v>
      </c>
      <c r="D419" s="7">
        <f t="shared" si="19"/>
        <v>-0.56009385650152377</v>
      </c>
      <c r="E419" s="8">
        <f t="shared" si="20"/>
        <v>-1.002482202329422</v>
      </c>
    </row>
    <row r="420" spans="1:5" x14ac:dyDescent="0.2">
      <c r="A420" s="4">
        <v>42223</v>
      </c>
      <c r="B420" s="3">
        <v>52014.96</v>
      </c>
      <c r="C420" s="6">
        <f t="shared" si="18"/>
        <v>-8.6070963320840702E-3</v>
      </c>
      <c r="D420" s="7">
        <f t="shared" si="19"/>
        <v>-0.8095800171705293</v>
      </c>
      <c r="E420" s="8">
        <f t="shared" si="20"/>
        <v>-1.3284084932988489</v>
      </c>
    </row>
    <row r="421" spans="1:5" x14ac:dyDescent="0.2">
      <c r="A421" s="4">
        <v>42227</v>
      </c>
      <c r="B421" s="3">
        <v>52221.17</v>
      </c>
      <c r="C421" s="6">
        <f t="shared" si="18"/>
        <v>3.9565987150989275E-3</v>
      </c>
      <c r="D421" s="7">
        <f t="shared" si="19"/>
        <v>0.34155464414015718</v>
      </c>
      <c r="E421" s="8">
        <f t="shared" si="20"/>
        <v>-0.79452231835266196</v>
      </c>
    </row>
    <row r="422" spans="1:5" x14ac:dyDescent="0.2">
      <c r="A422" s="4">
        <v>42228</v>
      </c>
      <c r="B422" s="3">
        <v>50570.6</v>
      </c>
      <c r="C422" s="6">
        <f t="shared" si="18"/>
        <v>-3.2117588465274086E-2</v>
      </c>
      <c r="D422" s="7">
        <f t="shared" si="19"/>
        <v>-2.9637028526380629</v>
      </c>
      <c r="E422" s="8">
        <f t="shared" si="20"/>
        <v>-4.8312129536204775</v>
      </c>
    </row>
    <row r="423" spans="1:5" x14ac:dyDescent="0.2">
      <c r="A423" s="4">
        <v>42229</v>
      </c>
      <c r="B423" s="3">
        <v>51375.44</v>
      </c>
      <c r="C423" s="6">
        <f t="shared" si="18"/>
        <v>1.5789857493161492E-2</v>
      </c>
      <c r="D423" s="7">
        <f t="shared" si="19"/>
        <v>1.4257638902680292</v>
      </c>
      <c r="E423" s="8">
        <f t="shared" si="20"/>
        <v>-2.3427597089005037</v>
      </c>
    </row>
    <row r="424" spans="1:5" x14ac:dyDescent="0.2">
      <c r="A424" s="4">
        <v>42230</v>
      </c>
      <c r="B424" s="3">
        <v>50821.18</v>
      </c>
      <c r="C424" s="6">
        <f t="shared" si="18"/>
        <v>-1.0847040429115613E-2</v>
      </c>
      <c r="D424" s="7">
        <f t="shared" si="19"/>
        <v>-1.0148124173368656</v>
      </c>
      <c r="E424" s="8">
        <f t="shared" si="20"/>
        <v>-1.6447462825825157</v>
      </c>
    </row>
    <row r="425" spans="1:5" x14ac:dyDescent="0.2">
      <c r="A425" s="4">
        <v>42233</v>
      </c>
      <c r="B425" s="3">
        <v>50751.1</v>
      </c>
      <c r="C425" s="6">
        <f t="shared" si="18"/>
        <v>-1.3799042636466518E-3</v>
      </c>
      <c r="D425" s="7">
        <f t="shared" si="19"/>
        <v>-0.14739653829077409</v>
      </c>
      <c r="E425" s="8">
        <f t="shared" si="20"/>
        <v>-0.68818188936905844</v>
      </c>
    </row>
    <row r="426" spans="1:5" x14ac:dyDescent="0.2">
      <c r="A426" s="4">
        <v>42234</v>
      </c>
      <c r="B426" s="3">
        <v>50977.03</v>
      </c>
      <c r="C426" s="6">
        <f t="shared" si="18"/>
        <v>4.4418465466035612E-3</v>
      </c>
      <c r="D426" s="7">
        <f t="shared" si="19"/>
        <v>0.38601493994271063</v>
      </c>
      <c r="E426" s="8">
        <f t="shared" si="20"/>
        <v>-0.82980268820757386</v>
      </c>
    </row>
    <row r="427" spans="1:5" x14ac:dyDescent="0.2">
      <c r="A427" s="4">
        <v>42235</v>
      </c>
      <c r="B427" s="3">
        <v>50140.9</v>
      </c>
      <c r="C427" s="6">
        <f t="shared" si="18"/>
        <v>-1.6538096800672097E-2</v>
      </c>
      <c r="D427" s="7">
        <f t="shared" si="19"/>
        <v>-1.5362491621932748</v>
      </c>
      <c r="E427" s="8">
        <f t="shared" si="20"/>
        <v>-2.535753928498043</v>
      </c>
    </row>
    <row r="428" spans="1:5" x14ac:dyDescent="0.2">
      <c r="A428" s="4">
        <v>42236</v>
      </c>
      <c r="B428" s="3">
        <v>49761.67</v>
      </c>
      <c r="C428" s="6">
        <f t="shared" si="18"/>
        <v>-7.5920333487680064E-3</v>
      </c>
      <c r="D428" s="7">
        <f t="shared" si="19"/>
        <v>-0.71657599414065276</v>
      </c>
      <c r="E428" s="8">
        <f t="shared" si="20"/>
        <v>-1.1978636853800442</v>
      </c>
    </row>
    <row r="429" spans="1:5" x14ac:dyDescent="0.2">
      <c r="A429" s="4">
        <v>42237</v>
      </c>
      <c r="B429" s="3">
        <v>49028.36</v>
      </c>
      <c r="C429" s="6">
        <f t="shared" si="18"/>
        <v>-1.4846102766127281E-2</v>
      </c>
      <c r="D429" s="7">
        <f t="shared" si="19"/>
        <v>-1.3812220803848734</v>
      </c>
      <c r="E429" s="8">
        <f t="shared" si="20"/>
        <v>-2.2651457936904054</v>
      </c>
    </row>
    <row r="430" spans="1:5" x14ac:dyDescent="0.2">
      <c r="A430" s="4">
        <v>42240</v>
      </c>
      <c r="B430" s="3">
        <v>47631.19</v>
      </c>
      <c r="C430" s="6">
        <f t="shared" si="18"/>
        <v>-2.8911107440593817E-2</v>
      </c>
      <c r="D430" s="7">
        <f t="shared" si="19"/>
        <v>-2.6699125756150566</v>
      </c>
      <c r="E430" s="8">
        <f t="shared" si="20"/>
        <v>-4.4028463604592334</v>
      </c>
    </row>
    <row r="431" spans="1:5" x14ac:dyDescent="0.2">
      <c r="A431" s="4">
        <v>42241</v>
      </c>
      <c r="B431" s="3">
        <v>48980.84</v>
      </c>
      <c r="C431" s="6">
        <f t="shared" si="18"/>
        <v>2.7941402479759594E-2</v>
      </c>
      <c r="D431" s="7">
        <f t="shared" si="19"/>
        <v>2.5391357581792571</v>
      </c>
      <c r="E431" s="8">
        <f t="shared" si="20"/>
        <v>-4.2041975800128499</v>
      </c>
    </row>
    <row r="432" spans="1:5" x14ac:dyDescent="0.2">
      <c r="A432" s="4">
        <v>42242</v>
      </c>
      <c r="B432" s="3">
        <v>48359.24</v>
      </c>
      <c r="C432" s="6">
        <f t="shared" si="18"/>
        <v>-1.2771891078274722E-2</v>
      </c>
      <c r="D432" s="7">
        <f t="shared" si="19"/>
        <v>-1.1911747288839163</v>
      </c>
      <c r="E432" s="8">
        <f t="shared" si="20"/>
        <v>-1.9377340872894218</v>
      </c>
    </row>
    <row r="433" spans="1:5" x14ac:dyDescent="0.2">
      <c r="A433" s="4">
        <v>42243</v>
      </c>
      <c r="B433" s="3">
        <v>49125.08</v>
      </c>
      <c r="C433" s="6">
        <f t="shared" si="18"/>
        <v>1.5712388531052918E-2</v>
      </c>
      <c r="D433" s="7">
        <f t="shared" si="19"/>
        <v>1.4186658823074698</v>
      </c>
      <c r="E433" s="8">
        <f t="shared" si="20"/>
        <v>-2.3303795208947684</v>
      </c>
    </row>
    <row r="434" spans="1:5" x14ac:dyDescent="0.2">
      <c r="A434" s="4">
        <v>42244</v>
      </c>
      <c r="B434" s="3">
        <v>49966.8</v>
      </c>
      <c r="C434" s="6">
        <f t="shared" si="18"/>
        <v>1.6989086195685475E-2</v>
      </c>
      <c r="D434" s="7">
        <f t="shared" si="19"/>
        <v>1.5356418936045977</v>
      </c>
      <c r="E434" s="8">
        <f t="shared" si="20"/>
        <v>-2.5346927424660834</v>
      </c>
    </row>
    <row r="435" spans="1:5" x14ac:dyDescent="0.2">
      <c r="A435" s="4">
        <v>42247</v>
      </c>
      <c r="B435" s="3">
        <v>49972.33</v>
      </c>
      <c r="C435" s="6">
        <f t="shared" si="18"/>
        <v>1.1066736333684507E-4</v>
      </c>
      <c r="D435" s="7">
        <f t="shared" si="19"/>
        <v>-1.0824561770881558E-2</v>
      </c>
      <c r="E435" s="8">
        <f t="shared" si="20"/>
        <v>-0.66336830407914826</v>
      </c>
    </row>
    <row r="436" spans="1:5" x14ac:dyDescent="0.2">
      <c r="A436" s="4">
        <v>42248</v>
      </c>
      <c r="B436" s="3">
        <v>48515.13</v>
      </c>
      <c r="C436" s="6">
        <f t="shared" si="18"/>
        <v>-2.959374418854285E-2</v>
      </c>
      <c r="D436" s="7">
        <f t="shared" si="19"/>
        <v>-2.7324584125441955</v>
      </c>
      <c r="E436" s="8">
        <f t="shared" si="20"/>
        <v>-4.4961102389511991</v>
      </c>
    </row>
    <row r="437" spans="1:5" x14ac:dyDescent="0.2">
      <c r="A437" s="4">
        <v>42249</v>
      </c>
      <c r="B437" s="3">
        <v>49228.77</v>
      </c>
      <c r="C437" s="6">
        <f t="shared" si="18"/>
        <v>1.4602500635291144E-2</v>
      </c>
      <c r="D437" s="7">
        <f t="shared" si="19"/>
        <v>1.3169736315657561</v>
      </c>
      <c r="E437" s="8">
        <f t="shared" si="20"/>
        <v>-2.1536224168095006</v>
      </c>
    </row>
    <row r="438" spans="1:5" x14ac:dyDescent="0.2">
      <c r="A438" s="4">
        <v>42250</v>
      </c>
      <c r="B438" s="3">
        <v>50411.09</v>
      </c>
      <c r="C438" s="6">
        <f t="shared" si="18"/>
        <v>2.3732981862084574E-2</v>
      </c>
      <c r="D438" s="7">
        <f t="shared" si="19"/>
        <v>2.1535438742480681</v>
      </c>
      <c r="E438" s="8">
        <f t="shared" si="20"/>
        <v>-3.5902494892092833</v>
      </c>
    </row>
    <row r="439" spans="1:5" x14ac:dyDescent="0.2">
      <c r="A439" s="4">
        <v>42251</v>
      </c>
      <c r="B439" s="3">
        <v>49102.5</v>
      </c>
      <c r="C439" s="6">
        <f t="shared" si="18"/>
        <v>-2.630124055346314E-2</v>
      </c>
      <c r="D439" s="7">
        <f t="shared" si="19"/>
        <v>-2.4307864089976357</v>
      </c>
      <c r="E439" s="8">
        <f t="shared" si="20"/>
        <v>-4.0358903743760886</v>
      </c>
    </row>
    <row r="440" spans="1:5" x14ac:dyDescent="0.2">
      <c r="A440" s="4">
        <v>42254</v>
      </c>
      <c r="B440" s="3">
        <v>48847.05</v>
      </c>
      <c r="C440" s="6">
        <f t="shared" si="18"/>
        <v>-5.2159622816653302E-3</v>
      </c>
      <c r="D440" s="7">
        <f t="shared" si="19"/>
        <v>-0.49887111091900571</v>
      </c>
      <c r="E440" s="8">
        <f t="shared" si="20"/>
        <v>-0.93584529427542607</v>
      </c>
    </row>
    <row r="441" spans="1:5" x14ac:dyDescent="0.2">
      <c r="A441" s="4">
        <v>42255</v>
      </c>
      <c r="B441" s="3">
        <v>49573.49</v>
      </c>
      <c r="C441" s="6">
        <f t="shared" si="18"/>
        <v>1.4762227321768705E-2</v>
      </c>
      <c r="D441" s="7">
        <f t="shared" si="19"/>
        <v>1.3316084125318743</v>
      </c>
      <c r="E441" s="8">
        <f t="shared" si="20"/>
        <v>-2.1789695559331257</v>
      </c>
    </row>
    <row r="442" spans="1:5" x14ac:dyDescent="0.2">
      <c r="A442" s="4">
        <v>42256</v>
      </c>
      <c r="B442" s="3">
        <v>49723.55</v>
      </c>
      <c r="C442" s="6">
        <f t="shared" si="18"/>
        <v>3.0224488914398105E-3</v>
      </c>
      <c r="D442" s="7">
        <f t="shared" si="19"/>
        <v>0.25596419986139513</v>
      </c>
      <c r="E442" s="8">
        <f t="shared" si="20"/>
        <v>-0.73776685053149405</v>
      </c>
    </row>
    <row r="443" spans="1:5" x14ac:dyDescent="0.2">
      <c r="A443" s="4">
        <v>42257</v>
      </c>
      <c r="B443" s="3">
        <v>49528.13</v>
      </c>
      <c r="C443" s="6">
        <f t="shared" si="18"/>
        <v>-3.9378729413725574E-3</v>
      </c>
      <c r="D443" s="7">
        <f t="shared" si="19"/>
        <v>-0.38176758887891921</v>
      </c>
      <c r="E443" s="8">
        <f t="shared" si="20"/>
        <v>-0.82626726195682876</v>
      </c>
    </row>
    <row r="444" spans="1:5" x14ac:dyDescent="0.2">
      <c r="A444" s="4">
        <v>42258</v>
      </c>
      <c r="B444" s="3">
        <v>48930.64</v>
      </c>
      <c r="C444" s="6">
        <f t="shared" si="18"/>
        <v>-1.2137005865823088E-2</v>
      </c>
      <c r="D444" s="7">
        <f t="shared" si="19"/>
        <v>-1.1330040735741518</v>
      </c>
      <c r="E444" s="8">
        <f t="shared" si="20"/>
        <v>-1.8395522528393107</v>
      </c>
    </row>
    <row r="445" spans="1:5" x14ac:dyDescent="0.2">
      <c r="A445" s="4">
        <v>42261</v>
      </c>
      <c r="B445" s="3">
        <v>49366.6</v>
      </c>
      <c r="C445" s="6">
        <f t="shared" si="18"/>
        <v>8.870297040272309E-3</v>
      </c>
      <c r="D445" s="7">
        <f t="shared" si="19"/>
        <v>0.79176681787479397</v>
      </c>
      <c r="E445" s="8">
        <f t="shared" si="20"/>
        <v>-1.3026849908901816</v>
      </c>
    </row>
    <row r="446" spans="1:5" x14ac:dyDescent="0.2">
      <c r="A446" s="4">
        <v>42262</v>
      </c>
      <c r="B446" s="3">
        <v>49491.68</v>
      </c>
      <c r="C446" s="6">
        <f t="shared" si="18"/>
        <v>2.5304924735629138E-3</v>
      </c>
      <c r="D446" s="7">
        <f t="shared" si="19"/>
        <v>0.21088923725321593</v>
      </c>
      <c r="E446" s="8">
        <f t="shared" si="20"/>
        <v>-0.71405560933784962</v>
      </c>
    </row>
    <row r="447" spans="1:5" x14ac:dyDescent="0.2">
      <c r="A447" s="4">
        <v>42263</v>
      </c>
      <c r="B447" s="3">
        <v>51029.24</v>
      </c>
      <c r="C447" s="6">
        <f t="shared" si="18"/>
        <v>3.0594227125495015E-2</v>
      </c>
      <c r="D447" s="7">
        <f t="shared" si="19"/>
        <v>2.7821978819109212</v>
      </c>
      <c r="E447" s="8">
        <f t="shared" si="20"/>
        <v>-4.5694754670607454</v>
      </c>
    </row>
    <row r="448" spans="1:5" x14ac:dyDescent="0.2">
      <c r="A448" s="4">
        <v>42264</v>
      </c>
      <c r="B448" s="3">
        <v>51573.57</v>
      </c>
      <c r="C448" s="6">
        <f t="shared" si="18"/>
        <v>1.0610530196298592E-2</v>
      </c>
      <c r="D448" s="7">
        <f t="shared" si="19"/>
        <v>0.95121375582901502</v>
      </c>
      <c r="E448" s="8">
        <f t="shared" si="20"/>
        <v>-1.5432541923841381</v>
      </c>
    </row>
    <row r="449" spans="1:5" x14ac:dyDescent="0.2">
      <c r="A449" s="4">
        <v>42265</v>
      </c>
      <c r="B449" s="3">
        <v>51044.58</v>
      </c>
      <c r="C449" s="6">
        <f t="shared" si="18"/>
        <v>-1.0309963408154618E-2</v>
      </c>
      <c r="D449" s="7">
        <f t="shared" si="19"/>
        <v>-0.96560332938146254</v>
      </c>
      <c r="E449" s="8">
        <f t="shared" si="20"/>
        <v>-1.5659795123389901</v>
      </c>
    </row>
    <row r="450" spans="1:5" x14ac:dyDescent="0.2">
      <c r="A450" s="4">
        <v>42268</v>
      </c>
      <c r="B450" s="3">
        <v>50737.14</v>
      </c>
      <c r="C450" s="6">
        <f t="shared" si="18"/>
        <v>-6.0411817568774076E-3</v>
      </c>
      <c r="D450" s="7">
        <f t="shared" si="19"/>
        <v>-0.5744809325150998</v>
      </c>
      <c r="E450" s="8">
        <f t="shared" si="20"/>
        <v>-1.0189986187541045</v>
      </c>
    </row>
    <row r="451" spans="1:5" x14ac:dyDescent="0.2">
      <c r="A451" s="4">
        <v>42269</v>
      </c>
      <c r="B451" s="3">
        <v>49853.09</v>
      </c>
      <c r="C451" s="6">
        <f t="shared" ref="C451:C514" si="21">LN(B451/B450)</f>
        <v>-1.7577706351492528E-2</v>
      </c>
      <c r="D451" s="7">
        <f t="shared" ref="D451:D514" si="22">(C451-$G$4)/$G$5</f>
        <v>-1.6315022373184436</v>
      </c>
      <c r="E451" s="8">
        <f t="shared" ref="E451:E514" si="23">LN((PI()*(G$3-2))^(-1/2)*EXP(GAMMALN((G$3+1)/2))*((1+D451^2/(G$3-2))^(-(G$3+1)/2))/EXP(GAMMALN(G$3/2)))</f>
        <v>-2.7020326768374803</v>
      </c>
    </row>
    <row r="452" spans="1:5" x14ac:dyDescent="0.2">
      <c r="A452" s="4">
        <v>42270</v>
      </c>
      <c r="B452" s="3">
        <v>50381.63</v>
      </c>
      <c r="C452" s="6">
        <f t="shared" si="21"/>
        <v>1.0546144065183659E-2</v>
      </c>
      <c r="D452" s="7">
        <f t="shared" si="22"/>
        <v>0.94531444778661622</v>
      </c>
      <c r="E452" s="8">
        <f t="shared" si="23"/>
        <v>-1.5339801772436024</v>
      </c>
    </row>
    <row r="453" spans="1:5" x14ac:dyDescent="0.2">
      <c r="A453" s="4">
        <v>42272</v>
      </c>
      <c r="B453" s="3">
        <v>50331.12</v>
      </c>
      <c r="C453" s="6">
        <f t="shared" si="21"/>
        <v>-1.0030508398367291E-3</v>
      </c>
      <c r="D453" s="7">
        <f t="shared" si="22"/>
        <v>-0.11286776019228981</v>
      </c>
      <c r="E453" s="8">
        <f t="shared" si="23"/>
        <v>-0.67789060951264357</v>
      </c>
    </row>
    <row r="454" spans="1:5" x14ac:dyDescent="0.2">
      <c r="A454" s="4">
        <v>42275</v>
      </c>
      <c r="B454" s="3">
        <v>49490.81</v>
      </c>
      <c r="C454" s="6">
        <f t="shared" si="21"/>
        <v>-1.683657789734334E-2</v>
      </c>
      <c r="D454" s="7">
        <f t="shared" si="22"/>
        <v>-1.5635971625095777</v>
      </c>
      <c r="E454" s="8">
        <f t="shared" si="23"/>
        <v>-2.5835352553561886</v>
      </c>
    </row>
    <row r="455" spans="1:5" x14ac:dyDescent="0.2">
      <c r="A455" s="4">
        <v>42276</v>
      </c>
      <c r="B455" s="3">
        <v>49383.93</v>
      </c>
      <c r="C455" s="6">
        <f t="shared" si="21"/>
        <v>-2.161928145230215E-3</v>
      </c>
      <c r="D455" s="7">
        <f t="shared" si="22"/>
        <v>-0.2190486114016546</v>
      </c>
      <c r="E455" s="8">
        <f t="shared" si="23"/>
        <v>-0.71802315434219066</v>
      </c>
    </row>
    <row r="456" spans="1:5" x14ac:dyDescent="0.2">
      <c r="A456" s="4">
        <v>42277</v>
      </c>
      <c r="B456" s="3">
        <v>50088.86</v>
      </c>
      <c r="C456" s="6">
        <f t="shared" si="21"/>
        <v>1.417356044935127E-2</v>
      </c>
      <c r="D456" s="7">
        <f t="shared" si="22"/>
        <v>1.2776724615031199</v>
      </c>
      <c r="E456" s="8">
        <f t="shared" si="23"/>
        <v>-2.0857569446379709</v>
      </c>
    </row>
    <row r="457" spans="1:5" x14ac:dyDescent="0.2">
      <c r="A457" s="4">
        <v>42278</v>
      </c>
      <c r="B457" s="3">
        <v>50516.58</v>
      </c>
      <c r="C457" s="6">
        <f t="shared" si="21"/>
        <v>8.5029711520247138E-3</v>
      </c>
      <c r="D457" s="7">
        <f t="shared" si="22"/>
        <v>0.75811098968328183</v>
      </c>
      <c r="E457" s="8">
        <f t="shared" si="23"/>
        <v>-1.2549893267360424</v>
      </c>
    </row>
    <row r="458" spans="1:5" x14ac:dyDescent="0.2">
      <c r="A458" s="4">
        <v>42279</v>
      </c>
      <c r="B458" s="3">
        <v>50955.89</v>
      </c>
      <c r="C458" s="6">
        <f t="shared" si="21"/>
        <v>8.6587572912155616E-3</v>
      </c>
      <c r="D458" s="7">
        <f t="shared" si="22"/>
        <v>0.77238472236310884</v>
      </c>
      <c r="E458" s="8">
        <f t="shared" si="23"/>
        <v>-1.2750692008209958</v>
      </c>
    </row>
    <row r="459" spans="1:5" x14ac:dyDescent="0.2">
      <c r="A459" s="4">
        <v>42282</v>
      </c>
      <c r="B459" s="3">
        <v>52071.31</v>
      </c>
      <c r="C459" s="6">
        <f t="shared" si="21"/>
        <v>2.1653768778864387E-2</v>
      </c>
      <c r="D459" s="7">
        <f t="shared" si="22"/>
        <v>1.9630382754288676</v>
      </c>
      <c r="E459" s="8">
        <f t="shared" si="23"/>
        <v>-3.2724364856975603</v>
      </c>
    </row>
    <row r="460" spans="1:5" x14ac:dyDescent="0.2">
      <c r="A460" s="4">
        <v>42283</v>
      </c>
      <c r="B460" s="3">
        <v>52070.15</v>
      </c>
      <c r="C460" s="6">
        <f t="shared" si="21"/>
        <v>-2.2277390772924812E-5</v>
      </c>
      <c r="D460" s="7">
        <f t="shared" si="22"/>
        <v>-2.3005477808754997E-2</v>
      </c>
      <c r="E460" s="8">
        <f t="shared" si="23"/>
        <v>-0.66384368749520306</v>
      </c>
    </row>
    <row r="461" spans="1:5" x14ac:dyDescent="0.2">
      <c r="A461" s="4">
        <v>42284</v>
      </c>
      <c r="B461" s="3">
        <v>52565.42</v>
      </c>
      <c r="C461" s="6">
        <f t="shared" si="21"/>
        <v>9.4666411952321634E-3</v>
      </c>
      <c r="D461" s="7">
        <f t="shared" si="22"/>
        <v>0.84640619142423701</v>
      </c>
      <c r="E461" s="8">
        <f t="shared" si="23"/>
        <v>-1.3825782139066185</v>
      </c>
    </row>
    <row r="462" spans="1:5" x14ac:dyDescent="0.2">
      <c r="A462" s="4">
        <v>42285</v>
      </c>
      <c r="B462" s="3">
        <v>52726.6</v>
      </c>
      <c r="C462" s="6">
        <f t="shared" si="21"/>
        <v>3.0615829366535422E-3</v>
      </c>
      <c r="D462" s="7">
        <f t="shared" si="22"/>
        <v>0.25954981346580419</v>
      </c>
      <c r="E462" s="8">
        <f t="shared" si="23"/>
        <v>-0.73983951359448497</v>
      </c>
    </row>
    <row r="463" spans="1:5" x14ac:dyDescent="0.2">
      <c r="A463" s="4">
        <v>42286</v>
      </c>
      <c r="B463" s="3">
        <v>53295.64</v>
      </c>
      <c r="C463" s="6">
        <f t="shared" si="21"/>
        <v>1.0734454660187846E-2</v>
      </c>
      <c r="D463" s="7">
        <f t="shared" si="22"/>
        <v>0.96256819775326807</v>
      </c>
      <c r="E463" s="8">
        <f t="shared" si="23"/>
        <v>-1.5611740417892908</v>
      </c>
    </row>
    <row r="464" spans="1:5" x14ac:dyDescent="0.2">
      <c r="A464" s="4">
        <v>42289</v>
      </c>
      <c r="B464" s="3">
        <v>52757.599999999999</v>
      </c>
      <c r="C464" s="6">
        <f t="shared" si="21"/>
        <v>-1.0146688892566456E-2</v>
      </c>
      <c r="D464" s="7">
        <f t="shared" si="22"/>
        <v>-0.95064348249753272</v>
      </c>
      <c r="E464" s="8">
        <f t="shared" si="23"/>
        <v>-1.5423565951585374</v>
      </c>
    </row>
    <row r="465" spans="1:5" x14ac:dyDescent="0.2">
      <c r="A465" s="4">
        <v>42290</v>
      </c>
      <c r="B465" s="3">
        <v>53063.06</v>
      </c>
      <c r="C465" s="6">
        <f t="shared" si="21"/>
        <v>5.7731798007047141E-3</v>
      </c>
      <c r="D465" s="7">
        <f t="shared" si="22"/>
        <v>0.50799687668949667</v>
      </c>
      <c r="E465" s="8">
        <f t="shared" si="23"/>
        <v>-0.94539206769062878</v>
      </c>
    </row>
    <row r="466" spans="1:5" x14ac:dyDescent="0.2">
      <c r="A466" s="4">
        <v>42291</v>
      </c>
      <c r="B466" s="3">
        <v>53059.06</v>
      </c>
      <c r="C466" s="6">
        <f t="shared" si="21"/>
        <v>-7.5384849113376774E-5</v>
      </c>
      <c r="D466" s="7">
        <f t="shared" si="22"/>
        <v>-2.7871389934146392E-2</v>
      </c>
      <c r="E466" s="8">
        <f t="shared" si="23"/>
        <v>-0.6641292385575619</v>
      </c>
    </row>
    <row r="467" spans="1:5" x14ac:dyDescent="0.2">
      <c r="A467" s="4">
        <v>42292</v>
      </c>
      <c r="B467" s="3">
        <v>52966.42</v>
      </c>
      <c r="C467" s="6">
        <f t="shared" si="21"/>
        <v>-1.7475049125007859E-3</v>
      </c>
      <c r="D467" s="7">
        <f t="shared" si="22"/>
        <v>-0.18107754111893265</v>
      </c>
      <c r="E467" s="8">
        <f t="shared" si="23"/>
        <v>-0.70079669548257062</v>
      </c>
    </row>
    <row r="468" spans="1:5" x14ac:dyDescent="0.2">
      <c r="A468" s="4">
        <v>42293</v>
      </c>
      <c r="B468" s="3">
        <v>52945.11</v>
      </c>
      <c r="C468" s="6">
        <f t="shared" si="21"/>
        <v>-4.0241133873843984E-4</v>
      </c>
      <c r="D468" s="7">
        <f t="shared" si="22"/>
        <v>-5.7834830304228972E-2</v>
      </c>
      <c r="E468" s="8">
        <f t="shared" si="23"/>
        <v>-0.66708954651694308</v>
      </c>
    </row>
    <row r="469" spans="1:5" x14ac:dyDescent="0.2">
      <c r="A469" s="4">
        <v>42296</v>
      </c>
      <c r="B469" s="3">
        <v>53184.07</v>
      </c>
      <c r="C469" s="6">
        <f t="shared" si="21"/>
        <v>4.5031989094492962E-3</v>
      </c>
      <c r="D469" s="7">
        <f t="shared" si="22"/>
        <v>0.39163628232326064</v>
      </c>
      <c r="E469" s="8">
        <f t="shared" si="23"/>
        <v>-0.83453455058834847</v>
      </c>
    </row>
    <row r="470" spans="1:5" x14ac:dyDescent="0.2">
      <c r="A470" s="4">
        <v>42297</v>
      </c>
      <c r="B470" s="3">
        <v>52880.160000000003</v>
      </c>
      <c r="C470" s="6">
        <f t="shared" si="21"/>
        <v>-5.7306941599740762E-3</v>
      </c>
      <c r="D470" s="7">
        <f t="shared" si="22"/>
        <v>-0.5460328498960757</v>
      </c>
      <c r="E470" s="8">
        <f t="shared" si="23"/>
        <v>-0.98664840123152897</v>
      </c>
    </row>
    <row r="471" spans="1:5" x14ac:dyDescent="0.2">
      <c r="A471" s="4">
        <v>42298</v>
      </c>
      <c r="B471" s="3">
        <v>52997.97</v>
      </c>
      <c r="C471" s="6">
        <f t="shared" si="21"/>
        <v>2.2253896743318915E-3</v>
      </c>
      <c r="D471" s="7">
        <f t="shared" si="22"/>
        <v>0.18293453076449914</v>
      </c>
      <c r="E471" s="8">
        <f t="shared" si="23"/>
        <v>-0.70156551125546995</v>
      </c>
    </row>
    <row r="472" spans="1:5" x14ac:dyDescent="0.2">
      <c r="A472" s="4">
        <v>42299</v>
      </c>
      <c r="B472" s="3">
        <v>53293.97</v>
      </c>
      <c r="C472" s="6">
        <f t="shared" si="21"/>
        <v>5.569580631706204E-3</v>
      </c>
      <c r="D472" s="7">
        <f t="shared" si="22"/>
        <v>0.48934232804213934</v>
      </c>
      <c r="E472" s="8">
        <f t="shared" si="23"/>
        <v>-0.92602574502862278</v>
      </c>
    </row>
    <row r="473" spans="1:5" x14ac:dyDescent="0.2">
      <c r="A473" s="4">
        <v>42300</v>
      </c>
      <c r="B473" s="3">
        <v>54298.41</v>
      </c>
      <c r="C473" s="6">
        <f t="shared" si="21"/>
        <v>1.8671753179715079E-2</v>
      </c>
      <c r="D473" s="7">
        <f t="shared" si="22"/>
        <v>1.6898143947267015</v>
      </c>
      <c r="E473" s="8">
        <f t="shared" si="23"/>
        <v>-2.8035072199275861</v>
      </c>
    </row>
    <row r="474" spans="1:5" x14ac:dyDescent="0.2">
      <c r="A474" s="4">
        <v>42303</v>
      </c>
      <c r="B474" s="3">
        <v>54150.7</v>
      </c>
      <c r="C474" s="6">
        <f t="shared" si="21"/>
        <v>-2.7240443252904223E-3</v>
      </c>
      <c r="D474" s="7">
        <f t="shared" si="22"/>
        <v>-0.27055188461234497</v>
      </c>
      <c r="E474" s="8">
        <f t="shared" si="23"/>
        <v>-0.7463686041368317</v>
      </c>
    </row>
    <row r="475" spans="1:5" x14ac:dyDescent="0.2">
      <c r="A475" s="4">
        <v>42304</v>
      </c>
      <c r="B475" s="3">
        <v>53770.29</v>
      </c>
      <c r="C475" s="6">
        <f t="shared" si="21"/>
        <v>-7.0498162688692398E-3</v>
      </c>
      <c r="D475" s="7">
        <f t="shared" si="22"/>
        <v>-0.66689595397077572</v>
      </c>
      <c r="E475" s="8">
        <f t="shared" si="23"/>
        <v>-1.1322590970277306</v>
      </c>
    </row>
    <row r="476" spans="1:5" x14ac:dyDescent="0.2">
      <c r="A476" s="4">
        <v>42305</v>
      </c>
      <c r="B476" s="3">
        <v>53755.73</v>
      </c>
      <c r="C476" s="6">
        <f t="shared" si="21"/>
        <v>-2.7081817199196471E-4</v>
      </c>
      <c r="D476" s="7">
        <f t="shared" si="22"/>
        <v>-4.5777751963453017E-2</v>
      </c>
      <c r="E476" s="8">
        <f t="shared" si="23"/>
        <v>-0.66564987725228386</v>
      </c>
    </row>
    <row r="477" spans="1:5" x14ac:dyDescent="0.2">
      <c r="A477" s="4">
        <v>42306</v>
      </c>
      <c r="B477" s="3">
        <v>53406.32</v>
      </c>
      <c r="C477" s="6">
        <f t="shared" si="21"/>
        <v>-6.5211749540412612E-3</v>
      </c>
      <c r="D477" s="7">
        <f t="shared" si="22"/>
        <v>-0.61845977825861653</v>
      </c>
      <c r="E477" s="8">
        <f t="shared" si="23"/>
        <v>-1.0713964651141599</v>
      </c>
    </row>
    <row r="478" spans="1:5" x14ac:dyDescent="0.2">
      <c r="A478" s="4">
        <v>42307</v>
      </c>
      <c r="B478" s="3">
        <v>53793.74</v>
      </c>
      <c r="C478" s="6">
        <f t="shared" si="21"/>
        <v>7.2280124974068187E-3</v>
      </c>
      <c r="D478" s="7">
        <f t="shared" si="22"/>
        <v>0.6412943132551342</v>
      </c>
      <c r="E478" s="8">
        <f t="shared" si="23"/>
        <v>-1.0996917767502108</v>
      </c>
    </row>
    <row r="479" spans="1:5" x14ac:dyDescent="0.2">
      <c r="A479" s="4">
        <v>42310</v>
      </c>
      <c r="B479" s="3">
        <v>53860.26</v>
      </c>
      <c r="C479" s="6">
        <f t="shared" si="21"/>
        <v>1.2358111814878205E-3</v>
      </c>
      <c r="D479" s="7">
        <f t="shared" si="22"/>
        <v>9.2265495984335963E-2</v>
      </c>
      <c r="E479" s="8">
        <f t="shared" si="23"/>
        <v>-0.67303697407301322</v>
      </c>
    </row>
    <row r="480" spans="1:5" x14ac:dyDescent="0.2">
      <c r="A480" s="4">
        <v>42311</v>
      </c>
      <c r="B480" s="3">
        <v>54076.07</v>
      </c>
      <c r="C480" s="6">
        <f t="shared" si="21"/>
        <v>3.9988442738480758E-3</v>
      </c>
      <c r="D480" s="7">
        <f t="shared" si="22"/>
        <v>0.34542534673043418</v>
      </c>
      <c r="E480" s="8">
        <f t="shared" si="23"/>
        <v>-0.79744026946392421</v>
      </c>
    </row>
    <row r="481" spans="1:5" x14ac:dyDescent="0.2">
      <c r="A481" s="4">
        <v>42312</v>
      </c>
      <c r="B481" s="3">
        <v>54609.01</v>
      </c>
      <c r="C481" s="6">
        <f t="shared" si="21"/>
        <v>9.8071284760888784E-3</v>
      </c>
      <c r="D481" s="7">
        <f t="shared" si="22"/>
        <v>0.87760296190120535</v>
      </c>
      <c r="E481" s="8">
        <f t="shared" si="23"/>
        <v>-1.4294494085379335</v>
      </c>
    </row>
    <row r="482" spans="1:5" x14ac:dyDescent="0.2">
      <c r="A482" s="4">
        <v>42313</v>
      </c>
      <c r="B482" s="3">
        <v>54073.01</v>
      </c>
      <c r="C482" s="6">
        <f t="shared" si="21"/>
        <v>-9.863717029607956E-3</v>
      </c>
      <c r="D482" s="7">
        <f t="shared" si="22"/>
        <v>-0.92471649856455174</v>
      </c>
      <c r="E482" s="8">
        <f t="shared" si="23"/>
        <v>-1.5018007610318322</v>
      </c>
    </row>
    <row r="483" spans="1:5" x14ac:dyDescent="0.2">
      <c r="A483" s="4">
        <v>42314</v>
      </c>
      <c r="B483" s="3">
        <v>52964.07</v>
      </c>
      <c r="C483" s="6">
        <f t="shared" si="21"/>
        <v>-2.0721411293165105E-2</v>
      </c>
      <c r="D483" s="7">
        <f t="shared" si="22"/>
        <v>-1.9195407251759149</v>
      </c>
      <c r="E483" s="8">
        <f t="shared" si="23"/>
        <v>-3.1987008152002354</v>
      </c>
    </row>
    <row r="484" spans="1:5" x14ac:dyDescent="0.2">
      <c r="A484" s="4">
        <v>42317</v>
      </c>
      <c r="B484" s="3">
        <v>53371.23</v>
      </c>
      <c r="C484" s="6">
        <f t="shared" si="21"/>
        <v>7.6580776066275877E-3</v>
      </c>
      <c r="D484" s="7">
        <f t="shared" si="22"/>
        <v>0.68069855316904349</v>
      </c>
      <c r="E484" s="8">
        <f t="shared" si="23"/>
        <v>-1.1501744039962176</v>
      </c>
    </row>
    <row r="485" spans="1:5" x14ac:dyDescent="0.2">
      <c r="A485" s="4">
        <v>42318</v>
      </c>
      <c r="B485" s="3">
        <v>52565.5</v>
      </c>
      <c r="C485" s="6">
        <f t="shared" si="21"/>
        <v>-1.5211825720431267E-2</v>
      </c>
      <c r="D485" s="7">
        <f t="shared" si="22"/>
        <v>-1.4147310415268948</v>
      </c>
      <c r="E485" s="8">
        <f t="shared" si="23"/>
        <v>-2.3235181834928014</v>
      </c>
    </row>
    <row r="486" spans="1:5" x14ac:dyDescent="0.2">
      <c r="A486" s="4">
        <v>42319</v>
      </c>
      <c r="B486" s="3">
        <v>52594.1</v>
      </c>
      <c r="C486" s="6">
        <f t="shared" si="21"/>
        <v>5.4393513678537779E-4</v>
      </c>
      <c r="D486" s="7">
        <f t="shared" si="22"/>
        <v>2.8873118710255271E-2</v>
      </c>
      <c r="E486" s="8">
        <f t="shared" si="23"/>
        <v>-0.66419479937210424</v>
      </c>
    </row>
    <row r="487" spans="1:5" x14ac:dyDescent="0.2">
      <c r="A487" s="4">
        <v>42320</v>
      </c>
      <c r="B487" s="3">
        <v>52056.67</v>
      </c>
      <c r="C487" s="6">
        <f t="shared" si="21"/>
        <v>-1.0271013287634391E-2</v>
      </c>
      <c r="D487" s="7">
        <f t="shared" si="22"/>
        <v>-0.96203456767364681</v>
      </c>
      <c r="E487" s="8">
        <f t="shared" si="23"/>
        <v>-1.5603298179095302</v>
      </c>
    </row>
    <row r="488" spans="1:5" x14ac:dyDescent="0.2">
      <c r="A488" s="4">
        <v>42321</v>
      </c>
      <c r="B488" s="3">
        <v>51199.34</v>
      </c>
      <c r="C488" s="6">
        <f t="shared" si="21"/>
        <v>-1.660629152705026E-2</v>
      </c>
      <c r="D488" s="7">
        <f t="shared" si="22"/>
        <v>-1.5424974285637725</v>
      </c>
      <c r="E488" s="8">
        <f t="shared" si="23"/>
        <v>-2.5466722379056561</v>
      </c>
    </row>
    <row r="489" spans="1:5" x14ac:dyDescent="0.2">
      <c r="A489" s="4">
        <v>42324</v>
      </c>
      <c r="B489" s="3">
        <v>51547.38</v>
      </c>
      <c r="C489" s="6">
        <f t="shared" si="21"/>
        <v>6.7747433916968544E-3</v>
      </c>
      <c r="D489" s="7">
        <f t="shared" si="22"/>
        <v>0.59976403283010682</v>
      </c>
      <c r="E489" s="8">
        <f t="shared" si="23"/>
        <v>-1.0487769296872282</v>
      </c>
    </row>
    <row r="490" spans="1:5" x14ac:dyDescent="0.2">
      <c r="A490" s="4">
        <v>42325</v>
      </c>
      <c r="B490" s="3">
        <v>51981.65</v>
      </c>
      <c r="C490" s="6">
        <f t="shared" si="21"/>
        <v>8.3893869585409189E-3</v>
      </c>
      <c r="D490" s="7">
        <f t="shared" si="22"/>
        <v>0.74770396359699265</v>
      </c>
      <c r="E490" s="8">
        <f t="shared" si="23"/>
        <v>-1.2404907116079107</v>
      </c>
    </row>
    <row r="491" spans="1:5" x14ac:dyDescent="0.2">
      <c r="A491" s="4">
        <v>42326</v>
      </c>
      <c r="B491" s="3">
        <v>51654.54</v>
      </c>
      <c r="C491" s="6">
        <f t="shared" si="21"/>
        <v>-6.3126806625244565E-3</v>
      </c>
      <c r="D491" s="7">
        <f t="shared" si="22"/>
        <v>-0.59935671942528213</v>
      </c>
      <c r="E491" s="8">
        <f t="shared" si="23"/>
        <v>-1.0482897353927692</v>
      </c>
    </row>
    <row r="492" spans="1:5" x14ac:dyDescent="0.2">
      <c r="A492" s="4">
        <v>42327</v>
      </c>
      <c r="B492" s="3">
        <v>52116.26</v>
      </c>
      <c r="C492" s="6">
        <f t="shared" si="21"/>
        <v>8.8989011741302908E-3</v>
      </c>
      <c r="D492" s="7">
        <f t="shared" si="22"/>
        <v>0.79438763999894102</v>
      </c>
      <c r="E492" s="8">
        <f t="shared" si="23"/>
        <v>-1.3064493302352989</v>
      </c>
    </row>
    <row r="493" spans="1:5" x14ac:dyDescent="0.2">
      <c r="A493" s="4">
        <v>42328</v>
      </c>
      <c r="B493" s="3">
        <v>52240.58</v>
      </c>
      <c r="C493" s="6">
        <f t="shared" si="21"/>
        <v>2.3825953106903497E-3</v>
      </c>
      <c r="D493" s="7">
        <f t="shared" si="22"/>
        <v>0.19733832330212528</v>
      </c>
      <c r="E493" s="8">
        <f t="shared" si="23"/>
        <v>-0.70778701955114021</v>
      </c>
    </row>
    <row r="494" spans="1:5" x14ac:dyDescent="0.2">
      <c r="A494" s="4">
        <v>42331</v>
      </c>
      <c r="B494" s="3">
        <v>52195.98</v>
      </c>
      <c r="C494" s="6">
        <f t="shared" si="21"/>
        <v>-8.5410708110845025E-4</v>
      </c>
      <c r="D494" s="7">
        <f t="shared" si="22"/>
        <v>-9.9220953053615973E-2</v>
      </c>
      <c r="E494" s="8">
        <f t="shared" si="23"/>
        <v>-0.67456754158981713</v>
      </c>
    </row>
    <row r="495" spans="1:5" x14ac:dyDescent="0.2">
      <c r="A495" s="4">
        <v>42332</v>
      </c>
      <c r="B495" s="3">
        <v>51817.84</v>
      </c>
      <c r="C495" s="6">
        <f t="shared" si="21"/>
        <v>-7.2709889115626274E-3</v>
      </c>
      <c r="D495" s="7">
        <f t="shared" si="22"/>
        <v>-0.68716065270644977</v>
      </c>
      <c r="E495" s="8">
        <f t="shared" si="23"/>
        <v>-1.1586458068227259</v>
      </c>
    </row>
    <row r="496" spans="1:5" x14ac:dyDescent="0.2">
      <c r="A496" s="4">
        <v>42333</v>
      </c>
      <c r="B496" s="3">
        <v>51914.55</v>
      </c>
      <c r="C496" s="6">
        <f t="shared" si="21"/>
        <v>1.8646061855851087E-3</v>
      </c>
      <c r="D496" s="7">
        <f t="shared" si="22"/>
        <v>0.14987814269034452</v>
      </c>
      <c r="E496" s="8">
        <f t="shared" si="23"/>
        <v>-0.68902493479801152</v>
      </c>
    </row>
    <row r="497" spans="1:5" x14ac:dyDescent="0.2">
      <c r="A497" s="4">
        <v>42334</v>
      </c>
      <c r="B497" s="3">
        <v>52229.919999999998</v>
      </c>
      <c r="C497" s="6">
        <f t="shared" si="21"/>
        <v>6.0564130574388688E-3</v>
      </c>
      <c r="D497" s="7">
        <f t="shared" si="22"/>
        <v>0.53394781053803009</v>
      </c>
      <c r="E497" s="8">
        <f t="shared" si="23"/>
        <v>-0.97328789447078967</v>
      </c>
    </row>
    <row r="498" spans="1:5" x14ac:dyDescent="0.2">
      <c r="A498" s="4">
        <v>42335</v>
      </c>
      <c r="B498" s="3">
        <v>51637.279999999999</v>
      </c>
      <c r="C498" s="6">
        <f t="shared" si="21"/>
        <v>-1.1411618516077141E-2</v>
      </c>
      <c r="D498" s="7">
        <f t="shared" si="22"/>
        <v>-1.06654126004414</v>
      </c>
      <c r="E498" s="8">
        <f t="shared" si="23"/>
        <v>-1.7291253686730306</v>
      </c>
    </row>
    <row r="499" spans="1:5" x14ac:dyDescent="0.2">
      <c r="A499" s="4">
        <v>42338</v>
      </c>
      <c r="B499" s="3">
        <v>51607.83</v>
      </c>
      <c r="C499" s="6">
        <f t="shared" si="21"/>
        <v>-5.7048708260794994E-4</v>
      </c>
      <c r="D499" s="7">
        <f t="shared" si="22"/>
        <v>-7.323458441853721E-2</v>
      </c>
      <c r="E499" s="8">
        <f t="shared" si="23"/>
        <v>-0.6694139660888917</v>
      </c>
    </row>
    <row r="500" spans="1:5" x14ac:dyDescent="0.2">
      <c r="A500" s="4">
        <v>42339</v>
      </c>
      <c r="B500" s="3">
        <v>51535.82</v>
      </c>
      <c r="C500" s="6">
        <f t="shared" si="21"/>
        <v>-1.396305282964823E-3</v>
      </c>
      <c r="D500" s="7">
        <f t="shared" si="22"/>
        <v>-0.1488992635437407</v>
      </c>
      <c r="E500" s="8">
        <f t="shared" si="23"/>
        <v>-0.68869074314720213</v>
      </c>
    </row>
    <row r="501" spans="1:5" x14ac:dyDescent="0.2">
      <c r="A501" s="4">
        <v>42340</v>
      </c>
      <c r="B501" s="3">
        <v>51159.11</v>
      </c>
      <c r="C501" s="6">
        <f t="shared" si="21"/>
        <v>-7.3365197227317838E-3</v>
      </c>
      <c r="D501" s="7">
        <f t="shared" si="22"/>
        <v>-0.69316484079262386</v>
      </c>
      <c r="E501" s="8">
        <f t="shared" si="23"/>
        <v>-1.166564101692964</v>
      </c>
    </row>
    <row r="502" spans="1:5" x14ac:dyDescent="0.2">
      <c r="A502" s="4">
        <v>42341</v>
      </c>
      <c r="B502" s="3">
        <v>50424.89</v>
      </c>
      <c r="C502" s="6">
        <f t="shared" si="21"/>
        <v>-1.4455677775596839E-2</v>
      </c>
      <c r="D502" s="7">
        <f t="shared" si="22"/>
        <v>-1.3454498224978706</v>
      </c>
      <c r="E502" s="8">
        <f t="shared" si="23"/>
        <v>-2.2029755220717346</v>
      </c>
    </row>
    <row r="503" spans="1:5" x14ac:dyDescent="0.2">
      <c r="A503" s="4">
        <v>42342</v>
      </c>
      <c r="B503" s="3">
        <v>49284.49</v>
      </c>
      <c r="C503" s="6">
        <f t="shared" si="21"/>
        <v>-2.2875475292481774E-2</v>
      </c>
      <c r="D503" s="7">
        <f t="shared" si="22"/>
        <v>-2.1169044563857797</v>
      </c>
      <c r="E503" s="8">
        <f t="shared" si="23"/>
        <v>-3.5298145810501289</v>
      </c>
    </row>
    <row r="504" spans="1:5" x14ac:dyDescent="0.2">
      <c r="A504" s="4">
        <v>42345</v>
      </c>
      <c r="B504" s="3">
        <v>49860.74</v>
      </c>
      <c r="C504" s="6">
        <f t="shared" si="21"/>
        <v>1.1624492453830787E-2</v>
      </c>
      <c r="D504" s="7">
        <f t="shared" si="22"/>
        <v>1.0441169260765173</v>
      </c>
      <c r="E504" s="8">
        <f t="shared" si="23"/>
        <v>-1.6923630809223362</v>
      </c>
    </row>
    <row r="505" spans="1:5" x14ac:dyDescent="0.2">
      <c r="A505" s="4">
        <v>42346</v>
      </c>
      <c r="B505" s="3">
        <v>49083.8</v>
      </c>
      <c r="C505" s="6">
        <f t="shared" si="21"/>
        <v>-1.5704878083177772E-2</v>
      </c>
      <c r="D505" s="7">
        <f t="shared" si="22"/>
        <v>-1.4599064188714674</v>
      </c>
      <c r="E505" s="8">
        <f t="shared" si="23"/>
        <v>-2.4023567751558401</v>
      </c>
    </row>
    <row r="506" spans="1:5" x14ac:dyDescent="0.2">
      <c r="A506" s="4">
        <v>42347</v>
      </c>
      <c r="B506" s="3">
        <v>49523.56</v>
      </c>
      <c r="C506" s="6">
        <f t="shared" si="21"/>
        <v>8.9194744793067732E-3</v>
      </c>
      <c r="D506" s="7">
        <f t="shared" si="22"/>
        <v>0.79627264632848271</v>
      </c>
      <c r="E506" s="8">
        <f t="shared" si="23"/>
        <v>-1.3091611746756542</v>
      </c>
    </row>
    <row r="507" spans="1:5" x14ac:dyDescent="0.2">
      <c r="A507" s="4">
        <v>42348</v>
      </c>
      <c r="B507" s="3">
        <v>48984.53</v>
      </c>
      <c r="C507" s="6">
        <f t="shared" si="21"/>
        <v>-1.0943981961098704E-2</v>
      </c>
      <c r="D507" s="7">
        <f t="shared" si="22"/>
        <v>-1.0236945779725071</v>
      </c>
      <c r="E507" s="8">
        <f t="shared" si="23"/>
        <v>-1.659125885462059</v>
      </c>
    </row>
    <row r="508" spans="1:5" x14ac:dyDescent="0.2">
      <c r="A508" s="4">
        <v>42349</v>
      </c>
      <c r="B508" s="3">
        <v>48067.53</v>
      </c>
      <c r="C508" s="6">
        <f t="shared" si="21"/>
        <v>-1.889763679017737E-2</v>
      </c>
      <c r="D508" s="7">
        <f t="shared" si="22"/>
        <v>-1.7524394037159854</v>
      </c>
      <c r="E508" s="8">
        <f t="shared" si="23"/>
        <v>-2.9120612543627695</v>
      </c>
    </row>
    <row r="509" spans="1:5" x14ac:dyDescent="0.2">
      <c r="A509" s="4">
        <v>42352</v>
      </c>
      <c r="B509" s="3">
        <v>48081.71</v>
      </c>
      <c r="C509" s="6">
        <f t="shared" si="21"/>
        <v>2.9495813181276026E-4</v>
      </c>
      <c r="D509" s="7">
        <f t="shared" si="22"/>
        <v>6.060876036666555E-3</v>
      </c>
      <c r="E509" s="8">
        <f t="shared" si="23"/>
        <v>-0.66327550073872554</v>
      </c>
    </row>
    <row r="510" spans="1:5" x14ac:dyDescent="0.2">
      <c r="A510" s="4">
        <v>42353</v>
      </c>
      <c r="B510" s="3">
        <v>48428.77</v>
      </c>
      <c r="C510" s="6">
        <f t="shared" si="21"/>
        <v>7.1922032934155335E-3</v>
      </c>
      <c r="D510" s="7">
        <f t="shared" si="22"/>
        <v>0.6380133345499438</v>
      </c>
      <c r="E510" s="8">
        <f t="shared" si="23"/>
        <v>-1.0955818598463265</v>
      </c>
    </row>
    <row r="511" spans="1:5" x14ac:dyDescent="0.2">
      <c r="A511" s="4">
        <v>42355</v>
      </c>
      <c r="B511" s="3">
        <v>49706.29</v>
      </c>
      <c r="C511" s="6">
        <f t="shared" si="21"/>
        <v>2.6037425839044333E-2</v>
      </c>
      <c r="D511" s="7">
        <f t="shared" si="22"/>
        <v>2.3646860045659963</v>
      </c>
      <c r="E511" s="8">
        <f t="shared" si="23"/>
        <v>-3.9315695555408103</v>
      </c>
    </row>
    <row r="512" spans="1:5" x14ac:dyDescent="0.2">
      <c r="A512" s="4">
        <v>42356</v>
      </c>
      <c r="B512" s="3">
        <v>48717.279999999999</v>
      </c>
      <c r="C512" s="6">
        <f t="shared" si="21"/>
        <v>-2.0097691835871075E-2</v>
      </c>
      <c r="D512" s="7">
        <f t="shared" si="22"/>
        <v>-1.8623931198314161</v>
      </c>
      <c r="E512" s="8">
        <f t="shared" si="23"/>
        <v>-3.1012383590023709</v>
      </c>
    </row>
    <row r="513" spans="1:5" x14ac:dyDescent="0.2">
      <c r="A513" s="4">
        <v>42359</v>
      </c>
      <c r="B513" s="3">
        <v>49189.99</v>
      </c>
      <c r="C513" s="6">
        <f t="shared" si="21"/>
        <v>9.6563548989862611E-3</v>
      </c>
      <c r="D513" s="7">
        <f t="shared" si="22"/>
        <v>0.8637884996780445</v>
      </c>
      <c r="E513" s="8">
        <f t="shared" si="23"/>
        <v>-1.4085872980275729</v>
      </c>
    </row>
    <row r="514" spans="1:5" x14ac:dyDescent="0.2">
      <c r="A514" s="4">
        <v>42360</v>
      </c>
      <c r="B514" s="3">
        <v>49780.33</v>
      </c>
      <c r="C514" s="6">
        <f t="shared" si="21"/>
        <v>1.1929778571938441E-2</v>
      </c>
      <c r="D514" s="7">
        <f t="shared" si="22"/>
        <v>1.0720884289545265</v>
      </c>
      <c r="E514" s="8">
        <f t="shared" si="23"/>
        <v>-1.7382604071299506</v>
      </c>
    </row>
    <row r="515" spans="1:5" x14ac:dyDescent="0.2">
      <c r="A515" s="4">
        <v>42361</v>
      </c>
      <c r="B515" s="3">
        <v>50839.81</v>
      </c>
      <c r="C515" s="6">
        <f t="shared" ref="C515:C578" si="24">LN(B515/B514)</f>
        <v>2.1059783013664405E-2</v>
      </c>
      <c r="D515" s="7">
        <f t="shared" ref="D515:D578" si="25">(C515-$G$4)/$G$5</f>
        <v>1.9086149867324296</v>
      </c>
      <c r="E515" s="8">
        <f t="shared" ref="E515:E578" si="26">LN((PI()*(G$3-2))^(-1/2)*EXP(GAMMALN((G$3+1)/2))*((1+D515^2/(G$3-2))^(-(G$3+1)/2))/EXP(GAMMALN(G$3/2)))</f>
        <v>-3.1801176808731322</v>
      </c>
    </row>
    <row r="516" spans="1:5" x14ac:dyDescent="0.2">
      <c r="A516" s="4">
        <v>42362</v>
      </c>
      <c r="B516" s="3">
        <v>51324.01</v>
      </c>
      <c r="C516" s="6">
        <f t="shared" si="24"/>
        <v>9.4789647738948799E-3</v>
      </c>
      <c r="D516" s="7">
        <f t="shared" si="25"/>
        <v>0.84753532568742673</v>
      </c>
      <c r="E516" s="8">
        <f t="shared" si="26"/>
        <v>-1.3842593907858487</v>
      </c>
    </row>
    <row r="517" spans="1:5" x14ac:dyDescent="0.2">
      <c r="A517" s="4">
        <v>42366</v>
      </c>
      <c r="B517" s="3">
        <v>51188.72</v>
      </c>
      <c r="C517" s="6">
        <f t="shared" si="24"/>
        <v>-2.6394786002750881E-3</v>
      </c>
      <c r="D517" s="7">
        <f t="shared" si="25"/>
        <v>-0.26280364360056985</v>
      </c>
      <c r="E517" s="8">
        <f t="shared" si="26"/>
        <v>-0.74174391222369218</v>
      </c>
    </row>
    <row r="518" spans="1:5" x14ac:dyDescent="0.2">
      <c r="A518" s="4">
        <v>42367</v>
      </c>
      <c r="B518" s="3">
        <v>50964.44</v>
      </c>
      <c r="C518" s="6">
        <f t="shared" si="24"/>
        <v>-4.3910606459849448E-3</v>
      </c>
      <c r="D518" s="7">
        <f t="shared" si="25"/>
        <v>-0.4232904110184233</v>
      </c>
      <c r="E518" s="8">
        <f t="shared" si="26"/>
        <v>-0.86228624892293915</v>
      </c>
    </row>
    <row r="519" spans="1:5" x14ac:dyDescent="0.2">
      <c r="A519" s="4">
        <v>42368</v>
      </c>
      <c r="B519" s="3">
        <v>50805.13</v>
      </c>
      <c r="C519" s="6">
        <f t="shared" si="24"/>
        <v>-3.1308008892748755E-3</v>
      </c>
      <c r="D519" s="7">
        <f t="shared" si="25"/>
        <v>-0.30782050485182844</v>
      </c>
      <c r="E519" s="8">
        <f t="shared" si="26"/>
        <v>-0.77036051870871836</v>
      </c>
    </row>
    <row r="520" spans="1:5" x14ac:dyDescent="0.2">
      <c r="A520" s="4">
        <v>42369</v>
      </c>
      <c r="B520" s="3">
        <v>50693.760000000002</v>
      </c>
      <c r="C520" s="6">
        <f t="shared" si="24"/>
        <v>-2.1945076383637716E-3</v>
      </c>
      <c r="D520" s="7">
        <f t="shared" si="25"/>
        <v>-0.2220336714220647</v>
      </c>
      <c r="E520" s="8">
        <f t="shared" si="26"/>
        <v>-0.71951074885296751</v>
      </c>
    </row>
    <row r="521" spans="1:5" x14ac:dyDescent="0.2">
      <c r="A521" s="4">
        <v>42373</v>
      </c>
      <c r="B521" s="3">
        <v>49316.61</v>
      </c>
      <c r="C521" s="6">
        <f t="shared" si="24"/>
        <v>-2.7541884958862527E-2</v>
      </c>
      <c r="D521" s="7">
        <f t="shared" si="25"/>
        <v>-2.5444590802979978</v>
      </c>
      <c r="E521" s="8">
        <f t="shared" si="26"/>
        <v>-4.2123798926978759</v>
      </c>
    </row>
    <row r="522" spans="1:5" x14ac:dyDescent="0.2">
      <c r="A522" s="4">
        <v>42374</v>
      </c>
      <c r="B522" s="3">
        <v>49599.72</v>
      </c>
      <c r="C522" s="6">
        <f t="shared" si="24"/>
        <v>5.7242474130453965E-3</v>
      </c>
      <c r="D522" s="7">
        <f t="shared" si="25"/>
        <v>0.50351350079699109</v>
      </c>
      <c r="E522" s="8">
        <f t="shared" si="26"/>
        <v>-0.94068453357791393</v>
      </c>
    </row>
    <row r="523" spans="1:5" x14ac:dyDescent="0.2">
      <c r="A523" s="4">
        <v>42375</v>
      </c>
      <c r="B523" s="3">
        <v>49082.29</v>
      </c>
      <c r="C523" s="6">
        <f t="shared" si="24"/>
        <v>-1.04869112827141E-2</v>
      </c>
      <c r="D523" s="7">
        <f t="shared" si="25"/>
        <v>-0.98181598265629244</v>
      </c>
      <c r="E523" s="8">
        <f t="shared" si="26"/>
        <v>-1.5917555431434203</v>
      </c>
    </row>
    <row r="524" spans="1:5" x14ac:dyDescent="0.2">
      <c r="A524" s="4">
        <v>42376</v>
      </c>
      <c r="B524" s="3">
        <v>48052.78</v>
      </c>
      <c r="C524" s="6">
        <f t="shared" si="24"/>
        <v>-2.1198287128675056E-2</v>
      </c>
      <c r="D524" s="7">
        <f t="shared" si="25"/>
        <v>-1.9632339461061763</v>
      </c>
      <c r="E524" s="8">
        <f t="shared" si="26"/>
        <v>-3.2727672640468213</v>
      </c>
    </row>
    <row r="525" spans="1:5" x14ac:dyDescent="0.2">
      <c r="A525" s="4">
        <v>42377</v>
      </c>
      <c r="B525" s="3">
        <v>48104.68</v>
      </c>
      <c r="C525" s="6">
        <f t="shared" si="24"/>
        <v>1.0794795336694489E-3</v>
      </c>
      <c r="D525" s="7">
        <f t="shared" si="25"/>
        <v>7.7941781679928948E-2</v>
      </c>
      <c r="E525" s="8">
        <f t="shared" si="26"/>
        <v>-0.67023297350570554</v>
      </c>
    </row>
    <row r="526" spans="1:5" x14ac:dyDescent="0.2">
      <c r="A526" s="4">
        <v>42380</v>
      </c>
      <c r="B526" s="3">
        <v>48322.68</v>
      </c>
      <c r="C526" s="6">
        <f t="shared" si="24"/>
        <v>4.5215459887333539E-3</v>
      </c>
      <c r="D526" s="7">
        <f t="shared" si="25"/>
        <v>0.39331731316795865</v>
      </c>
      <c r="E526" s="8">
        <f t="shared" si="26"/>
        <v>-0.83596121472461082</v>
      </c>
    </row>
    <row r="527" spans="1:5" x14ac:dyDescent="0.2">
      <c r="A527" s="4">
        <v>42381</v>
      </c>
      <c r="B527" s="3">
        <v>48396.18</v>
      </c>
      <c r="C527" s="6">
        <f t="shared" si="24"/>
        <v>1.5198693232894025E-3</v>
      </c>
      <c r="D527" s="7">
        <f t="shared" si="25"/>
        <v>0.11829200901472219</v>
      </c>
      <c r="E527" s="8">
        <f t="shared" si="26"/>
        <v>-0.67932891756288372</v>
      </c>
    </row>
    <row r="528" spans="1:5" x14ac:dyDescent="0.2">
      <c r="A528" s="4">
        <v>42382</v>
      </c>
      <c r="B528" s="3">
        <v>48412.800000000003</v>
      </c>
      <c r="C528" s="6">
        <f t="shared" si="24"/>
        <v>3.4335658041821513E-4</v>
      </c>
      <c r="D528" s="7">
        <f t="shared" si="25"/>
        <v>1.0495330353981017E-2</v>
      </c>
      <c r="E528" s="8">
        <f t="shared" si="26"/>
        <v>-0.66336020589765077</v>
      </c>
    </row>
    <row r="529" spans="1:5" x14ac:dyDescent="0.2">
      <c r="A529" s="4">
        <v>42383</v>
      </c>
      <c r="B529" s="3">
        <v>47697.53</v>
      </c>
      <c r="C529" s="6">
        <f t="shared" si="24"/>
        <v>-1.4884626985465738E-2</v>
      </c>
      <c r="D529" s="7">
        <f t="shared" si="25"/>
        <v>-1.3847518193680222</v>
      </c>
      <c r="E529" s="8">
        <f t="shared" si="26"/>
        <v>-2.2712890740648057</v>
      </c>
    </row>
    <row r="530" spans="1:5" x14ac:dyDescent="0.2">
      <c r="A530" s="4">
        <v>42384</v>
      </c>
      <c r="B530" s="3">
        <v>46960.37</v>
      </c>
      <c r="C530" s="6">
        <f t="shared" si="24"/>
        <v>-1.5575560048114914E-2</v>
      </c>
      <c r="D530" s="7">
        <f t="shared" si="25"/>
        <v>-1.4480577969545558</v>
      </c>
      <c r="E530" s="8">
        <f t="shared" si="26"/>
        <v>-2.3816669939004256</v>
      </c>
    </row>
    <row r="531" spans="1:5" x14ac:dyDescent="0.2">
      <c r="A531" s="4">
        <v>42387</v>
      </c>
      <c r="B531" s="3">
        <v>46876.62</v>
      </c>
      <c r="C531" s="6">
        <f t="shared" si="24"/>
        <v>-1.7850108414061818E-3</v>
      </c>
      <c r="D531" s="7">
        <f t="shared" si="25"/>
        <v>-0.18451398036753858</v>
      </c>
      <c r="E531" s="8">
        <f t="shared" si="26"/>
        <v>-0.70222541726545695</v>
      </c>
    </row>
    <row r="532" spans="1:5" x14ac:dyDescent="0.2">
      <c r="A532" s="4">
        <v>42388</v>
      </c>
      <c r="B532" s="3">
        <v>47627.76</v>
      </c>
      <c r="C532" s="6">
        <f t="shared" si="24"/>
        <v>1.5896740830182679E-2</v>
      </c>
      <c r="D532" s="7">
        <f t="shared" si="25"/>
        <v>1.4355569577931144</v>
      </c>
      <c r="E532" s="8">
        <f t="shared" si="26"/>
        <v>-2.3598466103161369</v>
      </c>
    </row>
    <row r="533" spans="1:5" x14ac:dyDescent="0.2">
      <c r="A533" s="4">
        <v>42389</v>
      </c>
      <c r="B533" s="3">
        <v>46329.78</v>
      </c>
      <c r="C533" s="6">
        <f t="shared" si="24"/>
        <v>-2.7630833649352544E-2</v>
      </c>
      <c r="D533" s="7">
        <f t="shared" si="25"/>
        <v>-2.552608905673154</v>
      </c>
      <c r="E533" s="8">
        <f t="shared" si="26"/>
        <v>-4.2248909329902204</v>
      </c>
    </row>
    <row r="534" spans="1:5" x14ac:dyDescent="0.2">
      <c r="A534" s="4">
        <v>42390</v>
      </c>
      <c r="B534" s="3">
        <v>46282.02</v>
      </c>
      <c r="C534" s="6">
        <f t="shared" si="24"/>
        <v>-1.0314021373926277E-3</v>
      </c>
      <c r="D534" s="7">
        <f t="shared" si="25"/>
        <v>-0.11546541646993444</v>
      </c>
      <c r="E534" s="8">
        <f t="shared" si="26"/>
        <v>-0.67857108569357105</v>
      </c>
    </row>
    <row r="535" spans="1:5" x14ac:dyDescent="0.2">
      <c r="A535" s="4">
        <v>42391</v>
      </c>
      <c r="B535" s="3">
        <v>47661.87</v>
      </c>
      <c r="C535" s="6">
        <f t="shared" si="24"/>
        <v>2.9378158420864088E-2</v>
      </c>
      <c r="D535" s="7">
        <f t="shared" si="25"/>
        <v>2.6707769320089478</v>
      </c>
      <c r="E535" s="8">
        <f t="shared" si="26"/>
        <v>-4.4041429047414145</v>
      </c>
    </row>
    <row r="536" spans="1:5" x14ac:dyDescent="0.2">
      <c r="A536" s="4">
        <v>42394</v>
      </c>
      <c r="B536" s="3">
        <v>47210.42</v>
      </c>
      <c r="C536" s="6">
        <f t="shared" si="24"/>
        <v>-9.5170762188210422E-3</v>
      </c>
      <c r="D536" s="7">
        <f t="shared" si="25"/>
        <v>-0.89295591771448357</v>
      </c>
      <c r="E536" s="8">
        <f t="shared" si="26"/>
        <v>-1.4528270641420726</v>
      </c>
    </row>
    <row r="537" spans="1:5" x14ac:dyDescent="0.2">
      <c r="A537" s="4">
        <v>42395</v>
      </c>
      <c r="B537" s="3">
        <v>47532.4</v>
      </c>
      <c r="C537" s="6">
        <f t="shared" si="24"/>
        <v>6.7969528368191827E-3</v>
      </c>
      <c r="D537" s="7">
        <f t="shared" si="25"/>
        <v>0.60179894867236305</v>
      </c>
      <c r="E537" s="8">
        <f t="shared" si="26"/>
        <v>-1.051214536352501</v>
      </c>
    </row>
    <row r="538" spans="1:5" x14ac:dyDescent="0.2">
      <c r="A538" s="4">
        <v>42396</v>
      </c>
      <c r="B538" s="3">
        <v>47923.92</v>
      </c>
      <c r="C538" s="6">
        <f t="shared" si="24"/>
        <v>8.20316969082731E-3</v>
      </c>
      <c r="D538" s="7">
        <f t="shared" si="25"/>
        <v>0.73064201242779658</v>
      </c>
      <c r="E538" s="8">
        <f t="shared" si="26"/>
        <v>-1.2169862911496663</v>
      </c>
    </row>
    <row r="539" spans="1:5" x14ac:dyDescent="0.2">
      <c r="A539" s="4">
        <v>42397</v>
      </c>
      <c r="B539" s="3">
        <v>48702.61</v>
      </c>
      <c r="C539" s="6">
        <f t="shared" si="24"/>
        <v>1.6117868615106851E-2</v>
      </c>
      <c r="D539" s="7">
        <f t="shared" si="25"/>
        <v>1.4558175464853036</v>
      </c>
      <c r="E539" s="8">
        <f t="shared" si="26"/>
        <v>-2.3952161126850573</v>
      </c>
    </row>
    <row r="540" spans="1:5" x14ac:dyDescent="0.2">
      <c r="A540" s="4">
        <v>42398</v>
      </c>
      <c r="B540" s="3">
        <v>49141.94</v>
      </c>
      <c r="C540" s="6">
        <f t="shared" si="24"/>
        <v>8.980223271609647E-3</v>
      </c>
      <c r="D540" s="7">
        <f t="shared" si="25"/>
        <v>0.80183868722568519</v>
      </c>
      <c r="E540" s="8">
        <f t="shared" si="26"/>
        <v>-1.3171899028185818</v>
      </c>
    </row>
    <row r="541" spans="1:5" x14ac:dyDescent="0.2">
      <c r="A541" s="4">
        <v>42401</v>
      </c>
      <c r="B541" s="3">
        <v>49055.54</v>
      </c>
      <c r="C541" s="6">
        <f t="shared" si="24"/>
        <v>-1.759719746283043E-3</v>
      </c>
      <c r="D541" s="7">
        <f t="shared" si="25"/>
        <v>-0.18219671175273897</v>
      </c>
      <c r="E541" s="8">
        <f t="shared" si="26"/>
        <v>-0.70125913301313958</v>
      </c>
    </row>
    <row r="542" spans="1:5" x14ac:dyDescent="0.2">
      <c r="A542" s="4">
        <v>42402</v>
      </c>
      <c r="B542" s="3">
        <v>48029.24</v>
      </c>
      <c r="C542" s="6">
        <f t="shared" si="24"/>
        <v>-2.1143133499092342E-2</v>
      </c>
      <c r="D542" s="7">
        <f t="shared" si="25"/>
        <v>-1.9581805558040941</v>
      </c>
      <c r="E542" s="8">
        <f t="shared" si="26"/>
        <v>-3.2642219079594952</v>
      </c>
    </row>
    <row r="543" spans="1:5" x14ac:dyDescent="0.2">
      <c r="A543" s="4">
        <v>42403</v>
      </c>
      <c r="B543" s="3">
        <v>48535.48</v>
      </c>
      <c r="C543" s="6">
        <f t="shared" si="24"/>
        <v>1.0485084777695247E-2</v>
      </c>
      <c r="D543" s="7">
        <f t="shared" si="25"/>
        <v>0.93971995811149434</v>
      </c>
      <c r="E543" s="8">
        <f t="shared" si="26"/>
        <v>-1.5252088066368186</v>
      </c>
    </row>
    <row r="544" spans="1:5" x14ac:dyDescent="0.2">
      <c r="A544" s="4">
        <v>42404</v>
      </c>
      <c r="B544" s="3">
        <v>49627.53</v>
      </c>
      <c r="C544" s="6">
        <f t="shared" si="24"/>
        <v>2.2250643190000821E-2</v>
      </c>
      <c r="D544" s="7">
        <f t="shared" si="25"/>
        <v>2.0177262331139447</v>
      </c>
      <c r="E544" s="8">
        <f t="shared" si="26"/>
        <v>-3.3645531128795914</v>
      </c>
    </row>
    <row r="545" spans="1:5" x14ac:dyDescent="0.2">
      <c r="A545" s="4">
        <v>42405</v>
      </c>
      <c r="B545" s="3">
        <v>49753.29</v>
      </c>
      <c r="C545" s="6">
        <f t="shared" si="24"/>
        <v>2.5308719957768686E-3</v>
      </c>
      <c r="D545" s="7">
        <f t="shared" si="25"/>
        <v>0.21092401055625934</v>
      </c>
      <c r="E545" s="8">
        <f t="shared" si="26"/>
        <v>-0.71407221092581674</v>
      </c>
    </row>
    <row r="546" spans="1:5" x14ac:dyDescent="0.2">
      <c r="A546" s="4">
        <v>42408</v>
      </c>
      <c r="B546" s="3">
        <v>49429.59</v>
      </c>
      <c r="C546" s="6">
        <f t="shared" si="24"/>
        <v>-6.5273593448258397E-3</v>
      </c>
      <c r="D546" s="7">
        <f t="shared" si="25"/>
        <v>-0.61902641622336196</v>
      </c>
      <c r="E546" s="8">
        <f t="shared" si="26"/>
        <v>-1.0720898091954718</v>
      </c>
    </row>
    <row r="547" spans="1:5" x14ac:dyDescent="0.2">
      <c r="A547" s="4">
        <v>42409</v>
      </c>
      <c r="B547" s="3">
        <v>48344.75</v>
      </c>
      <c r="C547" s="6">
        <f t="shared" si="24"/>
        <v>-2.21915999699475E-2</v>
      </c>
      <c r="D547" s="7">
        <f t="shared" si="25"/>
        <v>-2.0542451364303229</v>
      </c>
      <c r="E547" s="8">
        <f t="shared" si="26"/>
        <v>-3.4256816324350496</v>
      </c>
    </row>
    <row r="548" spans="1:5" x14ac:dyDescent="0.2">
      <c r="A548" s="4">
        <v>42410</v>
      </c>
      <c r="B548" s="3">
        <v>48273.24</v>
      </c>
      <c r="C548" s="6">
        <f t="shared" si="24"/>
        <v>-1.4802629004722373E-3</v>
      </c>
      <c r="D548" s="7">
        <f t="shared" si="25"/>
        <v>-0.1565917873777635</v>
      </c>
      <c r="E548" s="8">
        <f t="shared" si="26"/>
        <v>-0.69137481001526713</v>
      </c>
    </row>
    <row r="549" spans="1:5" x14ac:dyDescent="0.2">
      <c r="A549" s="4">
        <v>42411</v>
      </c>
      <c r="B549" s="3">
        <v>47411.57</v>
      </c>
      <c r="C549" s="6">
        <f t="shared" si="24"/>
        <v>-1.8011078113859519E-2</v>
      </c>
      <c r="D549" s="7">
        <f t="shared" si="25"/>
        <v>-1.6712094456692064</v>
      </c>
      <c r="E549" s="8">
        <f t="shared" si="26"/>
        <v>-2.7711671767804011</v>
      </c>
    </row>
    <row r="550" spans="1:5" x14ac:dyDescent="0.2">
      <c r="A550" s="4">
        <v>42412</v>
      </c>
      <c r="B550" s="3">
        <v>48589.69</v>
      </c>
      <c r="C550" s="6">
        <f t="shared" si="24"/>
        <v>2.4545076741669652E-2</v>
      </c>
      <c r="D550" s="7">
        <f t="shared" si="25"/>
        <v>2.2279511692876683</v>
      </c>
      <c r="E550" s="8">
        <f t="shared" si="26"/>
        <v>-3.7119067150200875</v>
      </c>
    </row>
    <row r="551" spans="1:5" x14ac:dyDescent="0.2">
      <c r="A551" s="4">
        <v>42415</v>
      </c>
      <c r="B551" s="3">
        <v>49851.95</v>
      </c>
      <c r="C551" s="6">
        <f t="shared" si="24"/>
        <v>2.5646244510942308E-2</v>
      </c>
      <c r="D551" s="7">
        <f t="shared" si="25"/>
        <v>2.3288444480856234</v>
      </c>
      <c r="E551" s="8">
        <f t="shared" si="26"/>
        <v>-3.8744899048043231</v>
      </c>
    </row>
    <row r="552" spans="1:5" x14ac:dyDescent="0.2">
      <c r="A552" s="4">
        <v>42416</v>
      </c>
      <c r="B552" s="3">
        <v>49387.1</v>
      </c>
      <c r="C552" s="6">
        <f t="shared" si="24"/>
        <v>-9.3683565055180714E-3</v>
      </c>
      <c r="D552" s="7">
        <f t="shared" si="25"/>
        <v>-0.87932963849007484</v>
      </c>
      <c r="E552" s="8">
        <f t="shared" si="26"/>
        <v>-1.4320686099092197</v>
      </c>
    </row>
    <row r="553" spans="1:5" x14ac:dyDescent="0.2">
      <c r="A553" s="4">
        <v>42417</v>
      </c>
      <c r="B553" s="3">
        <v>50039.31</v>
      </c>
      <c r="C553" s="6">
        <f t="shared" si="24"/>
        <v>1.3119640045495016E-2</v>
      </c>
      <c r="D553" s="7">
        <f t="shared" si="25"/>
        <v>1.181108170298558</v>
      </c>
      <c r="E553" s="8">
        <f t="shared" si="26"/>
        <v>-1.9206545346414445</v>
      </c>
    </row>
    <row r="554" spans="1:5" x14ac:dyDescent="0.2">
      <c r="A554" s="4">
        <v>42418</v>
      </c>
      <c r="B554" s="3">
        <v>49857.7</v>
      </c>
      <c r="C554" s="6">
        <f t="shared" si="24"/>
        <v>-3.6359486650401115E-3</v>
      </c>
      <c r="D554" s="7">
        <f t="shared" si="25"/>
        <v>-0.35410411103484724</v>
      </c>
      <c r="E554" s="8">
        <f t="shared" si="26"/>
        <v>-0.80409029129802434</v>
      </c>
    </row>
    <row r="555" spans="1:5" x14ac:dyDescent="0.2">
      <c r="A555" s="4">
        <v>42419</v>
      </c>
      <c r="B555" s="3">
        <v>48940.43</v>
      </c>
      <c r="C555" s="6">
        <f t="shared" si="24"/>
        <v>-1.8569103624949321E-2</v>
      </c>
      <c r="D555" s="7">
        <f t="shared" si="25"/>
        <v>-1.7223379158603951</v>
      </c>
      <c r="E555" s="8">
        <f t="shared" si="26"/>
        <v>-2.85994610733625</v>
      </c>
    </row>
    <row r="556" spans="1:5" x14ac:dyDescent="0.2">
      <c r="A556" s="4">
        <v>42422</v>
      </c>
      <c r="B556" s="3">
        <v>49112.800000000003</v>
      </c>
      <c r="C556" s="6">
        <f t="shared" si="24"/>
        <v>3.5158490456301795E-3</v>
      </c>
      <c r="D556" s="7">
        <f t="shared" si="25"/>
        <v>0.30117144321230088</v>
      </c>
      <c r="E556" s="8">
        <f t="shared" si="26"/>
        <v>-0.765870091290767</v>
      </c>
    </row>
    <row r="557" spans="1:5" x14ac:dyDescent="0.2">
      <c r="A557" s="4">
        <v>42423</v>
      </c>
      <c r="B557" s="3">
        <v>48421.99</v>
      </c>
      <c r="C557" s="6">
        <f t="shared" si="24"/>
        <v>-1.416564390553678E-2</v>
      </c>
      <c r="D557" s="7">
        <f t="shared" si="25"/>
        <v>-1.3188757899758801</v>
      </c>
      <c r="E557" s="8">
        <f t="shared" si="26"/>
        <v>-2.1569147770556372</v>
      </c>
    </row>
    <row r="558" spans="1:5" x14ac:dyDescent="0.2">
      <c r="A558" s="4">
        <v>42424</v>
      </c>
      <c r="B558" s="3">
        <v>47995.82</v>
      </c>
      <c r="C558" s="6">
        <f t="shared" si="24"/>
        <v>-8.8401256023366032E-3</v>
      </c>
      <c r="D558" s="7">
        <f t="shared" si="25"/>
        <v>-0.8309310662910484</v>
      </c>
      <c r="E558" s="8">
        <f t="shared" si="26"/>
        <v>-1.3596568336459938</v>
      </c>
    </row>
    <row r="559" spans="1:5" x14ac:dyDescent="0.2">
      <c r="A559" s="4">
        <v>42425</v>
      </c>
      <c r="B559" s="3">
        <v>48373.17</v>
      </c>
      <c r="C559" s="6">
        <f t="shared" si="24"/>
        <v>7.8313973944454749E-3</v>
      </c>
      <c r="D559" s="7">
        <f t="shared" si="25"/>
        <v>0.69657878700939913</v>
      </c>
      <c r="E559" s="8">
        <f t="shared" si="26"/>
        <v>-1.1710864795174063</v>
      </c>
    </row>
    <row r="560" spans="1:5" x14ac:dyDescent="0.2">
      <c r="A560" s="4">
        <v>42426</v>
      </c>
      <c r="B560" s="3">
        <v>49429.4</v>
      </c>
      <c r="C560" s="6">
        <f t="shared" si="24"/>
        <v>2.1600067690664183E-2</v>
      </c>
      <c r="D560" s="7">
        <f t="shared" si="25"/>
        <v>1.9581179726242228</v>
      </c>
      <c r="E560" s="8">
        <f t="shared" si="26"/>
        <v>-3.2641160440732047</v>
      </c>
    </row>
    <row r="561" spans="1:5" x14ac:dyDescent="0.2">
      <c r="A561" s="4">
        <v>42429</v>
      </c>
      <c r="B561" s="3">
        <v>49415.31</v>
      </c>
      <c r="C561" s="6">
        <f t="shared" si="24"/>
        <v>-2.8509366045872741E-4</v>
      </c>
      <c r="D561" s="7">
        <f t="shared" si="25"/>
        <v>-4.7085727803324748E-2</v>
      </c>
      <c r="E561" s="8">
        <f t="shared" si="26"/>
        <v>-0.66578988737761391</v>
      </c>
    </row>
    <row r="562" spans="1:5" x14ac:dyDescent="0.2">
      <c r="A562" s="4">
        <v>42430</v>
      </c>
      <c r="B562" s="3">
        <v>50315.09</v>
      </c>
      <c r="C562" s="6">
        <f t="shared" si="24"/>
        <v>1.8044736907456296E-2</v>
      </c>
      <c r="D562" s="7">
        <f t="shared" si="25"/>
        <v>1.6323647223578439</v>
      </c>
      <c r="E562" s="8">
        <f t="shared" si="26"/>
        <v>-2.7035358151634759</v>
      </c>
    </row>
    <row r="563" spans="1:5" x14ac:dyDescent="0.2">
      <c r="A563" s="4">
        <v>42431</v>
      </c>
      <c r="B563" s="3">
        <v>50966.93</v>
      </c>
      <c r="C563" s="6">
        <f t="shared" si="24"/>
        <v>1.2871958914538221E-2</v>
      </c>
      <c r="D563" s="7">
        <f t="shared" si="25"/>
        <v>1.1584146606482322</v>
      </c>
      <c r="E563" s="8">
        <f t="shared" si="26"/>
        <v>-1.8822835015614912</v>
      </c>
    </row>
    <row r="564" spans="1:5" x14ac:dyDescent="0.2">
      <c r="A564" s="4">
        <v>42432</v>
      </c>
      <c r="B564" s="3">
        <v>51787.01</v>
      </c>
      <c r="C564" s="6">
        <f t="shared" si="24"/>
        <v>1.5962354586829586E-2</v>
      </c>
      <c r="D564" s="7">
        <f t="shared" si="25"/>
        <v>1.441568745666937</v>
      </c>
      <c r="E564" s="8">
        <f t="shared" si="26"/>
        <v>-2.3703391018847793</v>
      </c>
    </row>
    <row r="565" spans="1:5" x14ac:dyDescent="0.2">
      <c r="A565" s="4">
        <v>42433</v>
      </c>
      <c r="B565" s="3">
        <v>52200.71</v>
      </c>
      <c r="C565" s="6">
        <f t="shared" si="24"/>
        <v>7.9567507126008727E-3</v>
      </c>
      <c r="D565" s="7">
        <f t="shared" si="25"/>
        <v>0.70806414612525403</v>
      </c>
      <c r="E565" s="8">
        <f t="shared" si="26"/>
        <v>-1.1864064446892368</v>
      </c>
    </row>
    <row r="566" spans="1:5" x14ac:dyDescent="0.2">
      <c r="A566" s="4">
        <v>42436</v>
      </c>
      <c r="B566" s="3">
        <v>52673.79</v>
      </c>
      <c r="C566" s="6">
        <f t="shared" si="24"/>
        <v>9.0218920488693583E-3</v>
      </c>
      <c r="D566" s="7">
        <f t="shared" si="25"/>
        <v>0.80565654285000199</v>
      </c>
      <c r="E566" s="8">
        <f t="shared" si="26"/>
        <v>-1.3227151381643902</v>
      </c>
    </row>
    <row r="567" spans="1:5" x14ac:dyDescent="0.2">
      <c r="A567" s="4">
        <v>42437</v>
      </c>
      <c r="B567" s="3">
        <v>52247.839999999997</v>
      </c>
      <c r="C567" s="6">
        <f t="shared" si="24"/>
        <v>-8.1194381000373166E-3</v>
      </c>
      <c r="D567" s="7">
        <f t="shared" si="25"/>
        <v>-0.76489887108457943</v>
      </c>
      <c r="E567" s="8">
        <f t="shared" si="26"/>
        <v>-1.2645106036495821</v>
      </c>
    </row>
    <row r="568" spans="1:5" x14ac:dyDescent="0.2">
      <c r="A568" s="4">
        <v>42438</v>
      </c>
      <c r="B568" s="3">
        <v>51484.46</v>
      </c>
      <c r="C568" s="6">
        <f t="shared" si="24"/>
        <v>-1.4718535715576421E-2</v>
      </c>
      <c r="D568" s="7">
        <f t="shared" si="25"/>
        <v>-1.3695338904870142</v>
      </c>
      <c r="E568" s="8">
        <f t="shared" si="26"/>
        <v>-2.2448138086904748</v>
      </c>
    </row>
    <row r="569" spans="1:5" x14ac:dyDescent="0.2">
      <c r="A569" s="4">
        <v>42439</v>
      </c>
      <c r="B569" s="3">
        <v>51533.78</v>
      </c>
      <c r="C569" s="6">
        <f t="shared" si="24"/>
        <v>9.5750041484064796E-4</v>
      </c>
      <c r="D569" s="7">
        <f t="shared" si="25"/>
        <v>6.6765579844987794E-2</v>
      </c>
      <c r="E569" s="8">
        <f t="shared" si="26"/>
        <v>-0.66837126397864199</v>
      </c>
    </row>
    <row r="570" spans="1:5" x14ac:dyDescent="0.2">
      <c r="A570" s="4">
        <v>42440</v>
      </c>
      <c r="B570" s="3">
        <v>51739.83</v>
      </c>
      <c r="C570" s="6">
        <f t="shared" si="24"/>
        <v>3.9903761166643105E-3</v>
      </c>
      <c r="D570" s="7">
        <f t="shared" si="25"/>
        <v>0.34464946119556161</v>
      </c>
      <c r="E570" s="8">
        <f t="shared" si="26"/>
        <v>-0.79685298733479748</v>
      </c>
    </row>
    <row r="571" spans="1:5" x14ac:dyDescent="0.2">
      <c r="A571" s="4">
        <v>42443</v>
      </c>
      <c r="B571" s="3">
        <v>52471.72</v>
      </c>
      <c r="C571" s="6">
        <f t="shared" si="24"/>
        <v>1.4046466704480546E-2</v>
      </c>
      <c r="D571" s="7">
        <f t="shared" si="25"/>
        <v>1.266027637714654</v>
      </c>
      <c r="E571" s="8">
        <f t="shared" si="26"/>
        <v>-2.065712863599225</v>
      </c>
    </row>
    <row r="572" spans="1:5" x14ac:dyDescent="0.2">
      <c r="A572" s="4">
        <v>42444</v>
      </c>
      <c r="B572" s="3">
        <v>52253.79</v>
      </c>
      <c r="C572" s="6">
        <f t="shared" si="24"/>
        <v>-4.1619336984136017E-3</v>
      </c>
      <c r="D572" s="7">
        <f t="shared" si="25"/>
        <v>-0.40229690789699657</v>
      </c>
      <c r="E572" s="8">
        <f t="shared" si="26"/>
        <v>-0.8436722313969599</v>
      </c>
    </row>
    <row r="573" spans="1:5" x14ac:dyDescent="0.2">
      <c r="A573" s="4">
        <v>42445</v>
      </c>
      <c r="B573" s="3">
        <v>52685.7</v>
      </c>
      <c r="C573" s="6">
        <f t="shared" si="24"/>
        <v>8.231647377926192E-3</v>
      </c>
      <c r="D573" s="7">
        <f t="shared" si="25"/>
        <v>0.73325124900751071</v>
      </c>
      <c r="E573" s="8">
        <f t="shared" si="26"/>
        <v>-1.2205590526204375</v>
      </c>
    </row>
    <row r="574" spans="1:5" x14ac:dyDescent="0.2">
      <c r="A574" s="4">
        <v>42446</v>
      </c>
      <c r="B574" s="3">
        <v>53190.559999999998</v>
      </c>
      <c r="C574" s="6">
        <f t="shared" si="24"/>
        <v>9.5368655161824044E-3</v>
      </c>
      <c r="D574" s="7">
        <f t="shared" si="25"/>
        <v>0.85284041715235626</v>
      </c>
      <c r="E574" s="8">
        <f t="shared" si="26"/>
        <v>-1.392173825604021</v>
      </c>
    </row>
    <row r="575" spans="1:5" x14ac:dyDescent="0.2">
      <c r="A575" s="4">
        <v>42447</v>
      </c>
      <c r="B575" s="3">
        <v>53824.28</v>
      </c>
      <c r="C575" s="6">
        <f t="shared" si="24"/>
        <v>1.1843729483664514E-2</v>
      </c>
      <c r="D575" s="7">
        <f t="shared" si="25"/>
        <v>1.0642042764250117</v>
      </c>
      <c r="E575" s="8">
        <f t="shared" si="26"/>
        <v>-1.7252816156171125</v>
      </c>
    </row>
    <row r="576" spans="1:5" x14ac:dyDescent="0.2">
      <c r="A576" s="4">
        <v>42451</v>
      </c>
      <c r="B576" s="3">
        <v>53392.86</v>
      </c>
      <c r="C576" s="6">
        <f t="shared" si="24"/>
        <v>-8.0476373159737921E-3</v>
      </c>
      <c r="D576" s="7">
        <f t="shared" si="25"/>
        <v>-0.7583202036675174</v>
      </c>
      <c r="E576" s="8">
        <f t="shared" si="26"/>
        <v>-1.2552820309039103</v>
      </c>
    </row>
    <row r="577" spans="1:5" x14ac:dyDescent="0.2">
      <c r="A577" s="4">
        <v>42452</v>
      </c>
      <c r="B577" s="3">
        <v>52569.55</v>
      </c>
      <c r="C577" s="6">
        <f t="shared" si="24"/>
        <v>-1.5539974381785325E-2</v>
      </c>
      <c r="D577" s="7">
        <f t="shared" si="25"/>
        <v>-1.4447972996403513</v>
      </c>
      <c r="E577" s="8">
        <f t="shared" si="26"/>
        <v>-2.3759748659966062</v>
      </c>
    </row>
    <row r="578" spans="1:5" x14ac:dyDescent="0.2">
      <c r="A578" s="4">
        <v>42453</v>
      </c>
      <c r="B578" s="3">
        <v>52323.78</v>
      </c>
      <c r="C578" s="6">
        <f t="shared" si="24"/>
        <v>-4.6861025338764241E-3</v>
      </c>
      <c r="D578" s="7">
        <f t="shared" si="25"/>
        <v>-0.45032329763457646</v>
      </c>
      <c r="E578" s="8">
        <f t="shared" si="26"/>
        <v>-0.88744059352928051</v>
      </c>
    </row>
    <row r="579" spans="1:5" x14ac:dyDescent="0.2">
      <c r="A579" s="4">
        <v>42458</v>
      </c>
      <c r="B579" s="3">
        <v>51787.199999999997</v>
      </c>
      <c r="C579" s="6">
        <f t="shared" ref="C579:C642" si="27">LN(B579/B578)</f>
        <v>-1.0307937762577166E-2</v>
      </c>
      <c r="D579" s="7">
        <f t="shared" ref="D579:D642" si="28">(C579-$G$4)/$G$5</f>
        <v>-0.96541773184610546</v>
      </c>
      <c r="E579" s="8">
        <f t="shared" ref="E579:E642" si="29">LN((PI()*(G$3-2))^(-1/2)*EXP(GAMMALN((G$3+1)/2))*((1+D579^2/(G$3-2))^(-(G$3+1)/2))/EXP(GAMMALN(G$3/2)))</f>
        <v>-1.5656854753769491</v>
      </c>
    </row>
    <row r="580" spans="1:5" x14ac:dyDescent="0.2">
      <c r="A580" s="4">
        <v>42459</v>
      </c>
      <c r="B580" s="3">
        <v>52495.46</v>
      </c>
      <c r="C580" s="6">
        <f t="shared" si="27"/>
        <v>1.3583675184772189E-2</v>
      </c>
      <c r="D580" s="7">
        <f t="shared" si="28"/>
        <v>1.2236248766402849</v>
      </c>
      <c r="E580" s="8">
        <f t="shared" si="29"/>
        <v>-1.9930160968856843</v>
      </c>
    </row>
    <row r="581" spans="1:5" x14ac:dyDescent="0.2">
      <c r="A581" s="4">
        <v>42460</v>
      </c>
      <c r="B581" s="3">
        <v>52250.28</v>
      </c>
      <c r="C581" s="6">
        <f t="shared" si="27"/>
        <v>-4.6814399855841385E-3</v>
      </c>
      <c r="D581" s="7">
        <f t="shared" si="28"/>
        <v>-0.44989609680479448</v>
      </c>
      <c r="E581" s="8">
        <f t="shared" si="29"/>
        <v>-0.88703288174064976</v>
      </c>
    </row>
    <row r="582" spans="1:5" x14ac:dyDescent="0.2">
      <c r="A582" s="4">
        <v>42461</v>
      </c>
      <c r="B582" s="3">
        <v>51584.13</v>
      </c>
      <c r="C582" s="6">
        <f t="shared" si="27"/>
        <v>-1.2831182639958664E-2</v>
      </c>
      <c r="D582" s="7">
        <f t="shared" si="28"/>
        <v>-1.1966072526375813</v>
      </c>
      <c r="E582" s="8">
        <f t="shared" si="29"/>
        <v>-1.946965486752785</v>
      </c>
    </row>
    <row r="583" spans="1:5" x14ac:dyDescent="0.2">
      <c r="A583" s="4">
        <v>42464</v>
      </c>
      <c r="B583" s="3">
        <v>51895.14</v>
      </c>
      <c r="C583" s="6">
        <f t="shared" si="27"/>
        <v>6.0110771264179951E-3</v>
      </c>
      <c r="D583" s="7">
        <f t="shared" si="28"/>
        <v>0.52979395600678536</v>
      </c>
      <c r="E583" s="8">
        <f t="shared" si="29"/>
        <v>-0.96874936625313357</v>
      </c>
    </row>
    <row r="584" spans="1:5" x14ac:dyDescent="0.2">
      <c r="A584" s="4">
        <v>42465</v>
      </c>
      <c r="B584" s="3">
        <v>51226.09</v>
      </c>
      <c r="C584" s="6">
        <f t="shared" si="27"/>
        <v>-1.2976171597596935E-2</v>
      </c>
      <c r="D584" s="7">
        <f t="shared" si="28"/>
        <v>-1.2098917055010041</v>
      </c>
      <c r="E584" s="8">
        <f t="shared" si="29"/>
        <v>-1.9695799964730563</v>
      </c>
    </row>
    <row r="585" spans="1:5" x14ac:dyDescent="0.2">
      <c r="A585" s="4">
        <v>42466</v>
      </c>
      <c r="B585" s="3">
        <v>51184.32</v>
      </c>
      <c r="C585" s="6">
        <f t="shared" si="27"/>
        <v>-8.1573742974451469E-4</v>
      </c>
      <c r="D585" s="7">
        <f t="shared" si="28"/>
        <v>-9.5705376190156816E-2</v>
      </c>
      <c r="E585" s="8">
        <f t="shared" si="29"/>
        <v>-0.67378014248499762</v>
      </c>
    </row>
    <row r="586" spans="1:5" x14ac:dyDescent="0.2">
      <c r="A586" s="4">
        <v>42467</v>
      </c>
      <c r="B586" s="3">
        <v>51146.82</v>
      </c>
      <c r="C586" s="6">
        <f t="shared" si="27"/>
        <v>-7.3291476433547163E-4</v>
      </c>
      <c r="D586" s="7">
        <f t="shared" si="28"/>
        <v>-8.8116841086714914E-2</v>
      </c>
      <c r="E586" s="8">
        <f t="shared" si="29"/>
        <v>-0.67217660216108077</v>
      </c>
    </row>
    <row r="587" spans="1:5" x14ac:dyDescent="0.2">
      <c r="A587" s="4">
        <v>42468</v>
      </c>
      <c r="B587" s="3">
        <v>51424.480000000003</v>
      </c>
      <c r="C587" s="6">
        <f t="shared" si="27"/>
        <v>5.4140032975569666E-3</v>
      </c>
      <c r="D587" s="7">
        <f t="shared" si="28"/>
        <v>0.47508772689327933</v>
      </c>
      <c r="E587" s="8">
        <f t="shared" si="29"/>
        <v>-0.91162397890425795</v>
      </c>
    </row>
    <row r="588" spans="1:5" x14ac:dyDescent="0.2">
      <c r="A588" s="4">
        <v>42471</v>
      </c>
      <c r="B588" s="3">
        <v>51428.08</v>
      </c>
      <c r="C588" s="6">
        <f t="shared" si="27"/>
        <v>7.0003119056384936E-5</v>
      </c>
      <c r="D588" s="7">
        <f t="shared" si="28"/>
        <v>-1.4550378172143075E-2</v>
      </c>
      <c r="E588" s="8">
        <f t="shared" si="29"/>
        <v>-0.66347737728893741</v>
      </c>
    </row>
    <row r="589" spans="1:5" x14ac:dyDescent="0.2">
      <c r="A589" s="4">
        <v>42472</v>
      </c>
      <c r="B589" s="3">
        <v>52059.76</v>
      </c>
      <c r="C589" s="6">
        <f t="shared" si="27"/>
        <v>1.2207962696851555E-2</v>
      </c>
      <c r="D589" s="7">
        <f t="shared" si="28"/>
        <v>1.0975767416850768</v>
      </c>
      <c r="E589" s="8">
        <f t="shared" si="29"/>
        <v>-1.7804323997413372</v>
      </c>
    </row>
    <row r="590" spans="1:5" x14ac:dyDescent="0.2">
      <c r="A590" s="4">
        <v>42473</v>
      </c>
      <c r="B590" s="3">
        <v>52938.239999999998</v>
      </c>
      <c r="C590" s="6">
        <f t="shared" si="27"/>
        <v>1.6733661572611917E-2</v>
      </c>
      <c r="D590" s="7">
        <f t="shared" si="28"/>
        <v>1.5122388950545718</v>
      </c>
      <c r="E590" s="8">
        <f t="shared" si="29"/>
        <v>-2.4937938033578519</v>
      </c>
    </row>
    <row r="591" spans="1:5" x14ac:dyDescent="0.2">
      <c r="A591" s="4">
        <v>42474</v>
      </c>
      <c r="B591" s="3">
        <v>52848</v>
      </c>
      <c r="C591" s="6">
        <f t="shared" si="27"/>
        <v>-1.7060824146616928E-3</v>
      </c>
      <c r="D591" s="7">
        <f t="shared" si="28"/>
        <v>-0.17728225057410696</v>
      </c>
      <c r="E591" s="8">
        <f t="shared" si="29"/>
        <v>-0.69924912182683485</v>
      </c>
    </row>
    <row r="592" spans="1:5" x14ac:dyDescent="0.2">
      <c r="A592" s="4">
        <v>42475</v>
      </c>
      <c r="B592" s="3">
        <v>53038.91</v>
      </c>
      <c r="C592" s="6">
        <f t="shared" si="27"/>
        <v>3.6059264901048831E-3</v>
      </c>
      <c r="D592" s="7">
        <f t="shared" si="28"/>
        <v>0.30942468942272761</v>
      </c>
      <c r="E592" s="8">
        <f t="shared" si="29"/>
        <v>-0.77145742504427484</v>
      </c>
    </row>
    <row r="593" spans="1:5" x14ac:dyDescent="0.2">
      <c r="A593" s="4">
        <v>42478</v>
      </c>
      <c r="B593" s="3">
        <v>53166.59</v>
      </c>
      <c r="C593" s="6">
        <f t="shared" si="27"/>
        <v>2.4043964109415959E-3</v>
      </c>
      <c r="D593" s="7">
        <f t="shared" si="28"/>
        <v>0.19933582499726119</v>
      </c>
      <c r="E593" s="8">
        <f t="shared" si="29"/>
        <v>-0.70868581440753187</v>
      </c>
    </row>
    <row r="594" spans="1:5" x14ac:dyDescent="0.2">
      <c r="A594" s="4">
        <v>42479</v>
      </c>
      <c r="B594" s="3">
        <v>53380.94</v>
      </c>
      <c r="C594" s="6">
        <f t="shared" si="27"/>
        <v>4.0235618634582937E-3</v>
      </c>
      <c r="D594" s="7">
        <f t="shared" si="28"/>
        <v>0.34769006853699813</v>
      </c>
      <c r="E594" s="8">
        <f t="shared" si="29"/>
        <v>-0.79916128195022029</v>
      </c>
    </row>
    <row r="595" spans="1:5" x14ac:dyDescent="0.2">
      <c r="A595" s="4">
        <v>42480</v>
      </c>
      <c r="B595" s="3">
        <v>53789.75</v>
      </c>
      <c r="C595" s="6">
        <f t="shared" si="27"/>
        <v>7.6291751573778471E-3</v>
      </c>
      <c r="D595" s="7">
        <f t="shared" si="28"/>
        <v>0.67805039822710944</v>
      </c>
      <c r="E595" s="8">
        <f t="shared" si="29"/>
        <v>-1.1467181831842828</v>
      </c>
    </row>
    <row r="596" spans="1:5" x14ac:dyDescent="0.2">
      <c r="A596" s="4">
        <v>42481</v>
      </c>
      <c r="B596" s="3">
        <v>53323.58</v>
      </c>
      <c r="C596" s="6">
        <f t="shared" si="27"/>
        <v>-8.7042937282708899E-3</v>
      </c>
      <c r="D596" s="7">
        <f t="shared" si="28"/>
        <v>-0.81848562108081224</v>
      </c>
      <c r="E596" s="8">
        <f t="shared" si="29"/>
        <v>-1.3413881890428081</v>
      </c>
    </row>
    <row r="597" spans="1:5" x14ac:dyDescent="0.2">
      <c r="A597" s="4">
        <v>42482</v>
      </c>
      <c r="B597" s="3">
        <v>52925.75</v>
      </c>
      <c r="C597" s="6">
        <f t="shared" si="27"/>
        <v>-7.4886469248308168E-3</v>
      </c>
      <c r="D597" s="7">
        <f t="shared" si="28"/>
        <v>-0.70710332740876292</v>
      </c>
      <c r="E597" s="8">
        <f t="shared" si="29"/>
        <v>-1.185118651573932</v>
      </c>
    </row>
    <row r="598" spans="1:5" x14ac:dyDescent="0.2">
      <c r="A598" s="4">
        <v>42485</v>
      </c>
      <c r="B598" s="3">
        <v>52985.31</v>
      </c>
      <c r="C598" s="6">
        <f t="shared" si="27"/>
        <v>1.1247174049350077E-3</v>
      </c>
      <c r="D598" s="7">
        <f t="shared" si="28"/>
        <v>8.2086651594562202E-2</v>
      </c>
      <c r="E598" s="8">
        <f t="shared" si="29"/>
        <v>-0.67099614090072235</v>
      </c>
    </row>
    <row r="599" spans="1:5" x14ac:dyDescent="0.2">
      <c r="A599" s="4">
        <v>42486</v>
      </c>
      <c r="B599" s="3">
        <v>53062.95</v>
      </c>
      <c r="C599" s="6">
        <f t="shared" si="27"/>
        <v>1.4642392788276383E-3</v>
      </c>
      <c r="D599" s="7">
        <f t="shared" si="28"/>
        <v>0.11319496772633547</v>
      </c>
      <c r="E599" s="8">
        <f t="shared" si="29"/>
        <v>-0.67797548129874474</v>
      </c>
    </row>
    <row r="600" spans="1:5" x14ac:dyDescent="0.2">
      <c r="A600" s="4">
        <v>42488</v>
      </c>
      <c r="B600" s="3">
        <v>53223.98</v>
      </c>
      <c r="C600" s="6">
        <f t="shared" si="27"/>
        <v>3.0301020682094565E-3</v>
      </c>
      <c r="D600" s="7">
        <f t="shared" si="28"/>
        <v>0.25666541371731827</v>
      </c>
      <c r="E600" s="8">
        <f t="shared" si="29"/>
        <v>-0.738170046222698</v>
      </c>
    </row>
    <row r="601" spans="1:5" x14ac:dyDescent="0.2">
      <c r="A601" s="4">
        <v>42489</v>
      </c>
      <c r="B601" s="3">
        <v>52957.32</v>
      </c>
      <c r="C601" s="6">
        <f t="shared" si="27"/>
        <v>-5.0227405504783698E-3</v>
      </c>
      <c r="D601" s="7">
        <f t="shared" si="28"/>
        <v>-0.48116738353208238</v>
      </c>
      <c r="E601" s="8">
        <f t="shared" si="29"/>
        <v>-0.91772389985900182</v>
      </c>
    </row>
    <row r="602" spans="1:5" x14ac:dyDescent="0.2">
      <c r="A602" s="4">
        <v>42493</v>
      </c>
      <c r="B602" s="3">
        <v>51912.11</v>
      </c>
      <c r="C602" s="6">
        <f t="shared" si="27"/>
        <v>-1.9934209831520337E-2</v>
      </c>
      <c r="D602" s="7">
        <f t="shared" si="28"/>
        <v>-1.8474142620191298</v>
      </c>
      <c r="E602" s="8">
        <f t="shared" si="29"/>
        <v>-3.0755889647431673</v>
      </c>
    </row>
    <row r="603" spans="1:5" x14ac:dyDescent="0.2">
      <c r="A603" s="4">
        <v>42494</v>
      </c>
      <c r="B603" s="3">
        <v>51873.5</v>
      </c>
      <c r="C603" s="6">
        <f t="shared" si="27"/>
        <v>-7.4403381704201137E-4</v>
      </c>
      <c r="D603" s="7">
        <f t="shared" si="28"/>
        <v>-8.9135611991561767E-2</v>
      </c>
      <c r="E603" s="8">
        <f t="shared" si="29"/>
        <v>-0.67238424035256872</v>
      </c>
    </row>
    <row r="604" spans="1:5" x14ac:dyDescent="0.2">
      <c r="A604" s="4">
        <v>42495</v>
      </c>
      <c r="B604" s="3">
        <v>51933.8</v>
      </c>
      <c r="C604" s="6">
        <f t="shared" si="27"/>
        <v>1.1617681373521146E-3</v>
      </c>
      <c r="D604" s="7">
        <f t="shared" si="28"/>
        <v>8.5481383968446276E-2</v>
      </c>
      <c r="E604" s="8">
        <f t="shared" si="29"/>
        <v>-0.67165046391179595</v>
      </c>
    </row>
    <row r="605" spans="1:5" x14ac:dyDescent="0.2">
      <c r="A605" s="4">
        <v>42496</v>
      </c>
      <c r="B605" s="3">
        <v>51417.38</v>
      </c>
      <c r="C605" s="6">
        <f t="shared" si="27"/>
        <v>-9.9935830045001402E-3</v>
      </c>
      <c r="D605" s="7">
        <f t="shared" si="28"/>
        <v>-0.93661532486221932</v>
      </c>
      <c r="E605" s="8">
        <f t="shared" si="29"/>
        <v>-1.5203511526561506</v>
      </c>
    </row>
    <row r="606" spans="1:5" x14ac:dyDescent="0.2">
      <c r="A606" s="4">
        <v>42499</v>
      </c>
      <c r="B606" s="3">
        <v>51348.72</v>
      </c>
      <c r="C606" s="6">
        <f t="shared" si="27"/>
        <v>-1.336238510875082E-3</v>
      </c>
      <c r="D606" s="7">
        <f t="shared" si="28"/>
        <v>-0.14339571199414669</v>
      </c>
      <c r="E606" s="8">
        <f t="shared" si="29"/>
        <v>-0.68685182920369114</v>
      </c>
    </row>
    <row r="607" spans="1:5" x14ac:dyDescent="0.2">
      <c r="A607" s="4">
        <v>42500</v>
      </c>
      <c r="B607" s="3">
        <v>51875.26</v>
      </c>
      <c r="C607" s="6">
        <f t="shared" si="27"/>
        <v>1.0201981494372092E-2</v>
      </c>
      <c r="D607" s="7">
        <f t="shared" si="28"/>
        <v>0.91378093293297302</v>
      </c>
      <c r="E607" s="8">
        <f t="shared" si="29"/>
        <v>-1.484847942985696</v>
      </c>
    </row>
    <row r="608" spans="1:5" x14ac:dyDescent="0.2">
      <c r="A608" s="4">
        <v>42501</v>
      </c>
      <c r="B608" s="3">
        <v>52130.34</v>
      </c>
      <c r="C608" s="6">
        <f t="shared" si="27"/>
        <v>4.9051303283985121E-3</v>
      </c>
      <c r="D608" s="7">
        <f t="shared" si="28"/>
        <v>0.4284628039862462</v>
      </c>
      <c r="E608" s="8">
        <f t="shared" si="29"/>
        <v>-0.86699694409102745</v>
      </c>
    </row>
    <row r="609" spans="1:5" x14ac:dyDescent="0.2">
      <c r="A609" s="4">
        <v>42502</v>
      </c>
      <c r="B609" s="3">
        <v>51458.48</v>
      </c>
      <c r="C609" s="6">
        <f t="shared" si="27"/>
        <v>-1.2971852002394021E-2</v>
      </c>
      <c r="D609" s="7">
        <f t="shared" si="28"/>
        <v>-1.2094959273686767</v>
      </c>
      <c r="E609" s="8">
        <f t="shared" si="29"/>
        <v>-1.9689054425573722</v>
      </c>
    </row>
    <row r="610" spans="1:5" x14ac:dyDescent="0.2">
      <c r="A610" s="4">
        <v>42503</v>
      </c>
      <c r="B610" s="3">
        <v>51602.55</v>
      </c>
      <c r="C610" s="6">
        <f t="shared" si="27"/>
        <v>2.7958209586098474E-3</v>
      </c>
      <c r="D610" s="7">
        <f t="shared" si="28"/>
        <v>0.23519966620135105</v>
      </c>
      <c r="E610" s="8">
        <f t="shared" si="29"/>
        <v>-0.72630160076293782</v>
      </c>
    </row>
    <row r="611" spans="1:5" x14ac:dyDescent="0.2">
      <c r="A611" s="4">
        <v>42506</v>
      </c>
      <c r="B611" s="3">
        <v>52412.68</v>
      </c>
      <c r="C611" s="6">
        <f t="shared" si="27"/>
        <v>1.5577456915128646E-2</v>
      </c>
      <c r="D611" s="7">
        <f t="shared" si="28"/>
        <v>1.406302922253619</v>
      </c>
      <c r="E611" s="8">
        <f t="shared" si="29"/>
        <v>-2.3088261888577404</v>
      </c>
    </row>
    <row r="612" spans="1:5" x14ac:dyDescent="0.2">
      <c r="A612" s="4">
        <v>42507</v>
      </c>
      <c r="B612" s="3">
        <v>52528.84</v>
      </c>
      <c r="C612" s="6">
        <f t="shared" si="27"/>
        <v>2.2138053163521226E-3</v>
      </c>
      <c r="D612" s="7">
        <f t="shared" si="28"/>
        <v>0.18187312677869222</v>
      </c>
      <c r="E612" s="8">
        <f t="shared" si="29"/>
        <v>-0.70112514428807804</v>
      </c>
    </row>
    <row r="613" spans="1:5" x14ac:dyDescent="0.2">
      <c r="A613" s="4">
        <v>42508</v>
      </c>
      <c r="B613" s="3">
        <v>52797.23</v>
      </c>
      <c r="C613" s="6">
        <f t="shared" si="27"/>
        <v>5.0963751122285132E-3</v>
      </c>
      <c r="D613" s="7">
        <f t="shared" si="28"/>
        <v>0.44598539575839724</v>
      </c>
      <c r="E613" s="8">
        <f t="shared" si="29"/>
        <v>-0.88331567831138158</v>
      </c>
    </row>
    <row r="614" spans="1:5" x14ac:dyDescent="0.2">
      <c r="A614" s="4">
        <v>42509</v>
      </c>
      <c r="B614" s="3">
        <v>52370.1</v>
      </c>
      <c r="C614" s="6">
        <f t="shared" si="27"/>
        <v>-8.1229094350791804E-3</v>
      </c>
      <c r="D614" s="7">
        <f t="shared" si="28"/>
        <v>-0.76521692831795751</v>
      </c>
      <c r="E614" s="8">
        <f t="shared" si="29"/>
        <v>-1.2649579772155559</v>
      </c>
    </row>
    <row r="615" spans="1:5" x14ac:dyDescent="0.2">
      <c r="A615" s="4">
        <v>42510</v>
      </c>
      <c r="B615" s="3">
        <v>52638.25</v>
      </c>
      <c r="C615" s="6">
        <f t="shared" si="27"/>
        <v>5.1072240038546463E-3</v>
      </c>
      <c r="D615" s="7">
        <f t="shared" si="28"/>
        <v>0.44697941345309172</v>
      </c>
      <c r="E615" s="8">
        <f t="shared" si="29"/>
        <v>-0.88425793074591685</v>
      </c>
    </row>
    <row r="616" spans="1:5" x14ac:dyDescent="0.2">
      <c r="A616" s="4">
        <v>42513</v>
      </c>
      <c r="B616" s="3">
        <v>52628.62</v>
      </c>
      <c r="C616" s="6">
        <f t="shared" si="27"/>
        <v>-1.8296354830080362E-4</v>
      </c>
      <c r="D616" s="7">
        <f t="shared" si="28"/>
        <v>-3.7728169248535226E-2</v>
      </c>
      <c r="E616" s="8">
        <f t="shared" si="29"/>
        <v>-0.66487491515666486</v>
      </c>
    </row>
    <row r="617" spans="1:5" x14ac:dyDescent="0.2">
      <c r="A617" s="4">
        <v>42514</v>
      </c>
      <c r="B617" s="3">
        <v>53050.76</v>
      </c>
      <c r="C617" s="6">
        <f t="shared" si="27"/>
        <v>7.9891128295269728E-3</v>
      </c>
      <c r="D617" s="7">
        <f t="shared" si="28"/>
        <v>0.71102928929110754</v>
      </c>
      <c r="E617" s="8">
        <f t="shared" si="29"/>
        <v>-1.1903877108114365</v>
      </c>
    </row>
    <row r="618" spans="1:5" x14ac:dyDescent="0.2">
      <c r="A618" s="4">
        <v>42515</v>
      </c>
      <c r="B618" s="3">
        <v>53721.88</v>
      </c>
      <c r="C618" s="6">
        <f t="shared" si="27"/>
        <v>1.2571176254852831E-2</v>
      </c>
      <c r="D618" s="7">
        <f t="shared" si="28"/>
        <v>1.1308557821666425</v>
      </c>
      <c r="E618" s="8">
        <f t="shared" si="29"/>
        <v>-1.8359516565646639</v>
      </c>
    </row>
    <row r="619" spans="1:5" x14ac:dyDescent="0.2">
      <c r="A619" s="4">
        <v>42516</v>
      </c>
      <c r="B619" s="3">
        <v>53921</v>
      </c>
      <c r="C619" s="6">
        <f t="shared" si="27"/>
        <v>3.6996451064689193E-3</v>
      </c>
      <c r="D619" s="7">
        <f t="shared" si="28"/>
        <v>0.31801155397981584</v>
      </c>
      <c r="E619" s="8">
        <f t="shared" si="29"/>
        <v>-0.7774179251647837</v>
      </c>
    </row>
    <row r="620" spans="1:5" x14ac:dyDescent="0.2">
      <c r="A620" s="4">
        <v>42517</v>
      </c>
      <c r="B620" s="3">
        <v>54105.37</v>
      </c>
      <c r="C620" s="6">
        <f t="shared" si="27"/>
        <v>3.4134291287494551E-3</v>
      </c>
      <c r="D620" s="7">
        <f t="shared" si="28"/>
        <v>0.29178733162035353</v>
      </c>
      <c r="E620" s="8">
        <f t="shared" si="29"/>
        <v>-0.75968695330259151</v>
      </c>
    </row>
    <row r="621" spans="1:5" x14ac:dyDescent="0.2">
      <c r="A621" s="4">
        <v>42520</v>
      </c>
      <c r="B621" s="3">
        <v>54474.09</v>
      </c>
      <c r="C621" s="6">
        <f t="shared" si="27"/>
        <v>6.7917342257539665E-3</v>
      </c>
      <c r="D621" s="7">
        <f t="shared" si="28"/>
        <v>0.6013207992061026</v>
      </c>
      <c r="E621" s="8">
        <f t="shared" si="29"/>
        <v>-1.0506412253804542</v>
      </c>
    </row>
    <row r="622" spans="1:5" x14ac:dyDescent="0.2">
      <c r="A622" s="4">
        <v>42521</v>
      </c>
      <c r="B622" s="3">
        <v>53905.21</v>
      </c>
      <c r="C622" s="6">
        <f t="shared" si="27"/>
        <v>-1.0498042054642753E-2</v>
      </c>
      <c r="D622" s="7">
        <f t="shared" si="28"/>
        <v>-0.98283582732190211</v>
      </c>
      <c r="E622" s="8">
        <f t="shared" si="29"/>
        <v>-1.5933828742024705</v>
      </c>
    </row>
    <row r="623" spans="1:5" x14ac:dyDescent="0.2">
      <c r="A623" s="4">
        <v>42522</v>
      </c>
      <c r="B623" s="3">
        <v>53518.36</v>
      </c>
      <c r="C623" s="6">
        <f t="shared" si="27"/>
        <v>-7.2023611259021047E-3</v>
      </c>
      <c r="D623" s="7">
        <f t="shared" si="28"/>
        <v>-0.68087270775823627</v>
      </c>
      <c r="E623" s="8">
        <f t="shared" si="29"/>
        <v>-1.1504020143497646</v>
      </c>
    </row>
    <row r="624" spans="1:5" x14ac:dyDescent="0.2">
      <c r="A624" s="4">
        <v>42523</v>
      </c>
      <c r="B624" s="3">
        <v>53716.91</v>
      </c>
      <c r="C624" s="6">
        <f t="shared" si="27"/>
        <v>3.7030769240252027E-3</v>
      </c>
      <c r="D624" s="7">
        <f t="shared" si="28"/>
        <v>0.31832599046728999</v>
      </c>
      <c r="E624" s="8">
        <f t="shared" si="29"/>
        <v>-0.77763902681641128</v>
      </c>
    </row>
    <row r="625" spans="1:5" x14ac:dyDescent="0.2">
      <c r="A625" s="4">
        <v>42524</v>
      </c>
      <c r="B625" s="3">
        <v>54259.360000000001</v>
      </c>
      <c r="C625" s="6">
        <f t="shared" si="27"/>
        <v>1.0047662576279297E-2</v>
      </c>
      <c r="D625" s="7">
        <f t="shared" si="28"/>
        <v>0.89964163276328202</v>
      </c>
      <c r="E625" s="8">
        <f t="shared" si="29"/>
        <v>-1.4630687769951902</v>
      </c>
    </row>
    <row r="626" spans="1:5" x14ac:dyDescent="0.2">
      <c r="A626" s="4">
        <v>42527</v>
      </c>
      <c r="B626" s="3">
        <v>53990.76</v>
      </c>
      <c r="C626" s="6">
        <f t="shared" si="27"/>
        <v>-4.9625912884182421E-3</v>
      </c>
      <c r="D626" s="7">
        <f t="shared" si="28"/>
        <v>-0.47565627393019838</v>
      </c>
      <c r="E626" s="8">
        <f t="shared" si="29"/>
        <v>-0.91219172646656188</v>
      </c>
    </row>
    <row r="627" spans="1:5" x14ac:dyDescent="0.2">
      <c r="A627" s="4">
        <v>42528</v>
      </c>
      <c r="B627" s="3">
        <v>54305.73</v>
      </c>
      <c r="C627" s="6">
        <f t="shared" si="27"/>
        <v>5.816825422424678E-3</v>
      </c>
      <c r="D627" s="7">
        <f t="shared" si="28"/>
        <v>0.51199585850078866</v>
      </c>
      <c r="E627" s="8">
        <f t="shared" si="29"/>
        <v>-0.9496190614048674</v>
      </c>
    </row>
    <row r="628" spans="1:5" x14ac:dyDescent="0.2">
      <c r="A628" s="4">
        <v>42529</v>
      </c>
      <c r="B628" s="3">
        <v>53960.18</v>
      </c>
      <c r="C628" s="6">
        <f t="shared" si="27"/>
        <v>-6.3833790961208151E-3</v>
      </c>
      <c r="D628" s="7">
        <f t="shared" si="28"/>
        <v>-0.60583438520015997</v>
      </c>
      <c r="E628" s="8">
        <f t="shared" si="29"/>
        <v>-1.0560662846202069</v>
      </c>
    </row>
    <row r="629" spans="1:5" x14ac:dyDescent="0.2">
      <c r="A629" s="4">
        <v>42530</v>
      </c>
      <c r="B629" s="3">
        <v>53353.87</v>
      </c>
      <c r="C629" s="6">
        <f t="shared" si="27"/>
        <v>-1.1299852190112035E-2</v>
      </c>
      <c r="D629" s="7">
        <f t="shared" si="28"/>
        <v>-1.0563007940584084</v>
      </c>
      <c r="E629" s="8">
        <f t="shared" si="29"/>
        <v>-1.7123036831793559</v>
      </c>
    </row>
    <row r="630" spans="1:5" x14ac:dyDescent="0.2">
      <c r="A630" s="4">
        <v>42531</v>
      </c>
      <c r="B630" s="3">
        <v>53175.15</v>
      </c>
      <c r="C630" s="6">
        <f t="shared" si="27"/>
        <v>-3.355332991385445E-3</v>
      </c>
      <c r="D630" s="7">
        <f t="shared" si="28"/>
        <v>-0.3283930103405206</v>
      </c>
      <c r="E630" s="8">
        <f t="shared" si="29"/>
        <v>-0.78482326063614716</v>
      </c>
    </row>
    <row r="631" spans="1:5" x14ac:dyDescent="0.2">
      <c r="A631" s="4">
        <v>42534</v>
      </c>
      <c r="B631" s="3">
        <v>52511.519999999997</v>
      </c>
      <c r="C631" s="6">
        <f t="shared" si="27"/>
        <v>-1.2558607858714535E-2</v>
      </c>
      <c r="D631" s="7">
        <f t="shared" si="28"/>
        <v>-1.171632889815901</v>
      </c>
      <c r="E631" s="8">
        <f t="shared" si="29"/>
        <v>-1.9046105440227958</v>
      </c>
    </row>
    <row r="632" spans="1:5" x14ac:dyDescent="0.2">
      <c r="A632" s="4">
        <v>42535</v>
      </c>
      <c r="B632" s="3">
        <v>51394.31</v>
      </c>
      <c r="C632" s="6">
        <f t="shared" si="27"/>
        <v>-2.1505108153804728E-2</v>
      </c>
      <c r="D632" s="7">
        <f t="shared" si="28"/>
        <v>-1.9913460831422336</v>
      </c>
      <c r="E632" s="8">
        <f t="shared" si="29"/>
        <v>-3.3202025042689534</v>
      </c>
    </row>
    <row r="633" spans="1:5" x14ac:dyDescent="0.2">
      <c r="A633" s="4">
        <v>42536</v>
      </c>
      <c r="B633" s="3">
        <v>52026.71</v>
      </c>
      <c r="C633" s="6">
        <f t="shared" si="27"/>
        <v>1.2229774608327046E-2</v>
      </c>
      <c r="D633" s="7">
        <f t="shared" si="28"/>
        <v>1.0995752339466751</v>
      </c>
      <c r="E633" s="8">
        <f t="shared" si="29"/>
        <v>-1.7837523055356068</v>
      </c>
    </row>
    <row r="634" spans="1:5" x14ac:dyDescent="0.2">
      <c r="A634" s="4">
        <v>42538</v>
      </c>
      <c r="B634" s="3">
        <v>52140.61</v>
      </c>
      <c r="C634" s="6">
        <f t="shared" si="27"/>
        <v>2.1868671555115497E-3</v>
      </c>
      <c r="D634" s="7">
        <f t="shared" si="28"/>
        <v>0.17940494758944178</v>
      </c>
      <c r="E634" s="8">
        <f t="shared" si="29"/>
        <v>-0.70011074789161987</v>
      </c>
    </row>
    <row r="635" spans="1:5" x14ac:dyDescent="0.2">
      <c r="A635" s="4">
        <v>42541</v>
      </c>
      <c r="B635" s="3">
        <v>53032.14</v>
      </c>
      <c r="C635" s="6">
        <f t="shared" si="27"/>
        <v>1.6954037143015754E-2</v>
      </c>
      <c r="D635" s="7">
        <f t="shared" si="28"/>
        <v>1.5324305629234007</v>
      </c>
      <c r="E635" s="8">
        <f t="shared" si="29"/>
        <v>-2.5290809339463847</v>
      </c>
    </row>
    <row r="636" spans="1:5" x14ac:dyDescent="0.2">
      <c r="A636" s="4">
        <v>42542</v>
      </c>
      <c r="B636" s="3">
        <v>52955.18</v>
      </c>
      <c r="C636" s="6">
        <f t="shared" si="27"/>
        <v>-1.4522494488189929E-3</v>
      </c>
      <c r="D636" s="7">
        <f t="shared" si="28"/>
        <v>-0.15402508585723979</v>
      </c>
      <c r="E636" s="8">
        <f t="shared" si="29"/>
        <v>-0.69046451762151095</v>
      </c>
    </row>
    <row r="637" spans="1:5" x14ac:dyDescent="0.2">
      <c r="A637" s="4">
        <v>42543</v>
      </c>
      <c r="B637" s="3">
        <v>53557.2</v>
      </c>
      <c r="C637" s="6">
        <f t="shared" si="27"/>
        <v>1.1304346234861139E-2</v>
      </c>
      <c r="D637" s="7">
        <f t="shared" si="28"/>
        <v>1.014783882894595</v>
      </c>
      <c r="E637" s="8">
        <f t="shared" si="29"/>
        <v>-1.6447001636776093</v>
      </c>
    </row>
    <row r="638" spans="1:5" x14ac:dyDescent="0.2">
      <c r="A638" s="4">
        <v>42544</v>
      </c>
      <c r="B638" s="3">
        <v>53585.53</v>
      </c>
      <c r="C638" s="6">
        <f t="shared" si="27"/>
        <v>5.2882730653274314E-4</v>
      </c>
      <c r="D638" s="7">
        <f t="shared" si="28"/>
        <v>2.748888047495161E-2</v>
      </c>
      <c r="E638" s="8">
        <f t="shared" si="29"/>
        <v>-0.66410481448312375</v>
      </c>
    </row>
    <row r="639" spans="1:5" x14ac:dyDescent="0.2">
      <c r="A639" s="4">
        <v>42545</v>
      </c>
      <c r="B639" s="3">
        <v>51679.66</v>
      </c>
      <c r="C639" s="6">
        <f t="shared" si="27"/>
        <v>-3.6214788438366757E-2</v>
      </c>
      <c r="D639" s="7">
        <f t="shared" si="28"/>
        <v>-3.3391042680366079</v>
      </c>
      <c r="E639" s="8">
        <f t="shared" si="29"/>
        <v>-5.343652512318906</v>
      </c>
    </row>
    <row r="640" spans="1:5" x14ac:dyDescent="0.2">
      <c r="A640" s="4">
        <v>42548</v>
      </c>
      <c r="B640" s="3">
        <v>50086.68</v>
      </c>
      <c r="C640" s="6">
        <f t="shared" si="27"/>
        <v>-3.130917602722303E-2</v>
      </c>
      <c r="D640" s="7">
        <f t="shared" si="28"/>
        <v>-2.8896329572306683</v>
      </c>
      <c r="E640" s="8">
        <f t="shared" si="29"/>
        <v>-4.7255283993728838</v>
      </c>
    </row>
    <row r="641" spans="1:5" x14ac:dyDescent="0.2">
      <c r="A641" s="4">
        <v>42549</v>
      </c>
      <c r="B641" s="3">
        <v>51141.14</v>
      </c>
      <c r="C641" s="6">
        <f t="shared" si="27"/>
        <v>2.083415688461188E-2</v>
      </c>
      <c r="D641" s="7">
        <f t="shared" si="28"/>
        <v>1.8879422422353433</v>
      </c>
      <c r="E641" s="8">
        <f t="shared" si="29"/>
        <v>-3.1448904587208464</v>
      </c>
    </row>
    <row r="642" spans="1:5" x14ac:dyDescent="0.2">
      <c r="A642" s="4">
        <v>42550</v>
      </c>
      <c r="B642" s="3">
        <v>51890.42</v>
      </c>
      <c r="C642" s="6">
        <f t="shared" si="27"/>
        <v>1.454492602926139E-2</v>
      </c>
      <c r="D642" s="7">
        <f t="shared" si="28"/>
        <v>1.3116984219746879</v>
      </c>
      <c r="E642" s="8">
        <f t="shared" si="29"/>
        <v>-2.1444952753875235</v>
      </c>
    </row>
    <row r="643" spans="1:5" x14ac:dyDescent="0.2">
      <c r="A643" s="4">
        <v>42551</v>
      </c>
      <c r="B643" s="3">
        <v>52217.72</v>
      </c>
      <c r="C643" s="6">
        <f t="shared" ref="C643:C706" si="30">LN(B643/B642)</f>
        <v>6.2877134934063985E-3</v>
      </c>
      <c r="D643" s="7">
        <f t="shared" ref="D643:D706" si="31">(C643-$G$4)/$G$5</f>
        <v>0.55514045712954352</v>
      </c>
      <c r="E643" s="8">
        <f t="shared" ref="E643:E706" si="32">LN((PI()*(G$3-2))^(-1/2)*EXP(GAMMALN((G$3+1)/2))*((1+D643^2/(G$3-2))^(-(G$3+1)/2))/EXP(GAMMALN(G$3/2)))</f>
        <v>-0.99686919616110581</v>
      </c>
    </row>
    <row r="644" spans="1:5" x14ac:dyDescent="0.2">
      <c r="A644" s="4">
        <v>42552</v>
      </c>
      <c r="B644" s="3">
        <v>52357.5</v>
      </c>
      <c r="C644" s="6">
        <f t="shared" si="30"/>
        <v>2.6732926451356904E-3</v>
      </c>
      <c r="D644" s="7">
        <f t="shared" si="31"/>
        <v>0.22397314501452326</v>
      </c>
      <c r="E644" s="8">
        <f t="shared" si="32"/>
        <v>-0.72048761508350456</v>
      </c>
    </row>
    <row r="645" spans="1:5" x14ac:dyDescent="0.2">
      <c r="A645" s="4">
        <v>42555</v>
      </c>
      <c r="B645" s="3">
        <v>52454.239999999998</v>
      </c>
      <c r="C645" s="6">
        <f t="shared" si="30"/>
        <v>1.8459769386747103E-3</v>
      </c>
      <c r="D645" s="7">
        <f t="shared" si="31"/>
        <v>0.14817125854900404</v>
      </c>
      <c r="E645" s="8">
        <f t="shared" si="32"/>
        <v>-0.68844359328532323</v>
      </c>
    </row>
    <row r="646" spans="1:5" x14ac:dyDescent="0.2">
      <c r="A646" s="4">
        <v>42556</v>
      </c>
      <c r="B646" s="3">
        <v>51670.16</v>
      </c>
      <c r="C646" s="6">
        <f t="shared" si="30"/>
        <v>-1.5060731600490231E-2</v>
      </c>
      <c r="D646" s="7">
        <f t="shared" si="31"/>
        <v>-1.4008872099207339</v>
      </c>
      <c r="E646" s="8">
        <f t="shared" si="32"/>
        <v>-2.2993888654239871</v>
      </c>
    </row>
    <row r="647" spans="1:5" x14ac:dyDescent="0.2">
      <c r="A647" s="4">
        <v>42557</v>
      </c>
      <c r="B647" s="3">
        <v>50811.66</v>
      </c>
      <c r="C647" s="6">
        <f t="shared" si="30"/>
        <v>-1.6754583062642239E-2</v>
      </c>
      <c r="D647" s="7">
        <f t="shared" si="31"/>
        <v>-1.5560844764790425</v>
      </c>
      <c r="E647" s="8">
        <f t="shared" si="32"/>
        <v>-2.5704114287004209</v>
      </c>
    </row>
    <row r="648" spans="1:5" x14ac:dyDescent="0.2">
      <c r="A648" s="4">
        <v>42558</v>
      </c>
      <c r="B648" s="3">
        <v>51097.48</v>
      </c>
      <c r="C648" s="6">
        <f t="shared" si="30"/>
        <v>5.6093251190665267E-3</v>
      </c>
      <c r="D648" s="7">
        <f t="shared" si="31"/>
        <v>0.49298387273298649</v>
      </c>
      <c r="E648" s="8">
        <f t="shared" si="32"/>
        <v>-0.92976034506913108</v>
      </c>
    </row>
    <row r="649" spans="1:5" x14ac:dyDescent="0.2">
      <c r="A649" s="4">
        <v>42559</v>
      </c>
      <c r="B649" s="3">
        <v>51276.4</v>
      </c>
      <c r="C649" s="6">
        <f t="shared" si="30"/>
        <v>3.4954264148320834E-3</v>
      </c>
      <c r="D649" s="7">
        <f t="shared" si="31"/>
        <v>0.29930024225600971</v>
      </c>
      <c r="E649" s="8">
        <f t="shared" si="32"/>
        <v>-0.7646227093421144</v>
      </c>
    </row>
    <row r="650" spans="1:5" x14ac:dyDescent="0.2">
      <c r="A650" s="4">
        <v>42562</v>
      </c>
      <c r="B650" s="3">
        <v>52170.37</v>
      </c>
      <c r="C650" s="6">
        <f t="shared" si="30"/>
        <v>1.7284101867763576E-2</v>
      </c>
      <c r="D650" s="7">
        <f t="shared" si="31"/>
        <v>1.5626723782258487</v>
      </c>
      <c r="E650" s="8">
        <f t="shared" si="32"/>
        <v>-2.581919862220702</v>
      </c>
    </row>
    <row r="651" spans="1:5" x14ac:dyDescent="0.2">
      <c r="A651" s="4">
        <v>42563</v>
      </c>
      <c r="B651" s="3">
        <v>52547.519999999997</v>
      </c>
      <c r="C651" s="6">
        <f t="shared" si="30"/>
        <v>7.2031938522134605E-3</v>
      </c>
      <c r="D651" s="7">
        <f t="shared" si="31"/>
        <v>0.63902033234254807</v>
      </c>
      <c r="E651" s="8">
        <f t="shared" si="32"/>
        <v>-1.0968417112627054</v>
      </c>
    </row>
    <row r="652" spans="1:5" x14ac:dyDescent="0.2">
      <c r="A652" s="4">
        <v>42564</v>
      </c>
      <c r="B652" s="3">
        <v>52814.879999999997</v>
      </c>
      <c r="C652" s="6">
        <f t="shared" si="30"/>
        <v>5.0750661308024891E-3</v>
      </c>
      <c r="D652" s="7">
        <f t="shared" si="31"/>
        <v>0.44403298390626289</v>
      </c>
      <c r="E652" s="8">
        <f t="shared" si="32"/>
        <v>-0.88147007695861335</v>
      </c>
    </row>
    <row r="653" spans="1:5" x14ac:dyDescent="0.2">
      <c r="A653" s="4">
        <v>42565</v>
      </c>
      <c r="B653" s="3">
        <v>52837.03</v>
      </c>
      <c r="C653" s="6">
        <f t="shared" si="30"/>
        <v>4.1930146505685957E-4</v>
      </c>
      <c r="D653" s="7">
        <f t="shared" si="31"/>
        <v>1.7453696402223079E-2</v>
      </c>
      <c r="E653" s="8">
        <f t="shared" si="32"/>
        <v>-0.66358457210782229</v>
      </c>
    </row>
    <row r="654" spans="1:5" x14ac:dyDescent="0.2">
      <c r="A654" s="4">
        <v>42566</v>
      </c>
      <c r="B654" s="3">
        <v>53088.46</v>
      </c>
      <c r="C654" s="6">
        <f t="shared" si="30"/>
        <v>4.7473081730364857E-3</v>
      </c>
      <c r="D654" s="7">
        <f t="shared" si="31"/>
        <v>0.41400252357688339</v>
      </c>
      <c r="E654" s="8">
        <f t="shared" si="32"/>
        <v>-0.85395050908624304</v>
      </c>
    </row>
    <row r="655" spans="1:5" x14ac:dyDescent="0.2">
      <c r="A655" s="4">
        <v>42569</v>
      </c>
      <c r="B655" s="3">
        <v>53046.31</v>
      </c>
      <c r="C655" s="6">
        <f t="shared" si="30"/>
        <v>-7.9427320973010965E-4</v>
      </c>
      <c r="D655" s="7">
        <f t="shared" si="31"/>
        <v>-9.3738740774079898E-2</v>
      </c>
      <c r="E655" s="8">
        <f t="shared" si="32"/>
        <v>-0.67335195644017332</v>
      </c>
    </row>
    <row r="656" spans="1:5" x14ac:dyDescent="0.2">
      <c r="A656" s="4">
        <v>42570</v>
      </c>
      <c r="B656" s="3">
        <v>52892.92</v>
      </c>
      <c r="C656" s="6">
        <f t="shared" si="30"/>
        <v>-2.8958131409983667E-3</v>
      </c>
      <c r="D656" s="7">
        <f t="shared" si="31"/>
        <v>-0.28629001234874185</v>
      </c>
      <c r="E656" s="8">
        <f t="shared" si="32"/>
        <v>-0.75614921542295688</v>
      </c>
    </row>
    <row r="657" spans="1:5" x14ac:dyDescent="0.2">
      <c r="A657" s="4">
        <v>42571</v>
      </c>
      <c r="B657" s="3">
        <v>52837.86</v>
      </c>
      <c r="C657" s="6">
        <f t="shared" si="30"/>
        <v>-1.0415132656203287E-3</v>
      </c>
      <c r="D657" s="7">
        <f t="shared" si="31"/>
        <v>-0.11639183740932785</v>
      </c>
      <c r="E657" s="8">
        <f t="shared" si="32"/>
        <v>-0.67881747125036207</v>
      </c>
    </row>
    <row r="658" spans="1:5" x14ac:dyDescent="0.2">
      <c r="A658" s="4">
        <v>42572</v>
      </c>
      <c r="B658" s="3">
        <v>52974.03</v>
      </c>
      <c r="C658" s="6">
        <f t="shared" si="30"/>
        <v>2.5738142503972236E-3</v>
      </c>
      <c r="D658" s="7">
        <f t="shared" si="31"/>
        <v>0.2148585471350824</v>
      </c>
      <c r="E658" s="8">
        <f t="shared" si="32"/>
        <v>-0.71596764232598409</v>
      </c>
    </row>
    <row r="659" spans="1:5" x14ac:dyDescent="0.2">
      <c r="A659" s="4">
        <v>42573</v>
      </c>
      <c r="B659" s="3">
        <v>53005.22</v>
      </c>
      <c r="C659" s="6">
        <f t="shared" si="30"/>
        <v>5.88605805391168E-4</v>
      </c>
      <c r="D659" s="7">
        <f t="shared" si="31"/>
        <v>3.2966019308600977E-2</v>
      </c>
      <c r="E659" s="8">
        <f t="shared" si="32"/>
        <v>-0.66448670041938362</v>
      </c>
    </row>
    <row r="660" spans="1:5" x14ac:dyDescent="0.2">
      <c r="A660" s="4">
        <v>42576</v>
      </c>
      <c r="B660" s="3">
        <v>53292.52</v>
      </c>
      <c r="C660" s="6">
        <f t="shared" si="30"/>
        <v>5.4055843441892428E-3</v>
      </c>
      <c r="D660" s="7">
        <f t="shared" si="31"/>
        <v>0.47431634960362451</v>
      </c>
      <c r="E660" s="8">
        <f t="shared" si="32"/>
        <v>-0.9108545776144793</v>
      </c>
    </row>
    <row r="661" spans="1:5" x14ac:dyDescent="0.2">
      <c r="A661" s="4">
        <v>42577</v>
      </c>
      <c r="B661" s="3">
        <v>53638.04</v>
      </c>
      <c r="C661" s="6">
        <f t="shared" si="30"/>
        <v>6.4625342378078141E-3</v>
      </c>
      <c r="D661" s="7">
        <f t="shared" si="31"/>
        <v>0.57115821445657511</v>
      </c>
      <c r="E661" s="8">
        <f t="shared" si="32"/>
        <v>-1.0151561307457269</v>
      </c>
    </row>
    <row r="662" spans="1:5" x14ac:dyDescent="0.2">
      <c r="A662" s="4">
        <v>42578</v>
      </c>
      <c r="B662" s="3">
        <v>53764.26</v>
      </c>
      <c r="C662" s="6">
        <f t="shared" si="30"/>
        <v>2.3504162966355899E-3</v>
      </c>
      <c r="D662" s="7">
        <f t="shared" si="31"/>
        <v>0.19438995673431819</v>
      </c>
      <c r="E662" s="8">
        <f t="shared" si="32"/>
        <v>-0.70647636824210402</v>
      </c>
    </row>
    <row r="663" spans="1:5" x14ac:dyDescent="0.2">
      <c r="A663" s="4">
        <v>42579</v>
      </c>
      <c r="B663" s="3">
        <v>53282.16</v>
      </c>
      <c r="C663" s="6">
        <f t="shared" si="30"/>
        <v>-9.0073681959860086E-3</v>
      </c>
      <c r="D663" s="7">
        <f t="shared" si="31"/>
        <v>-0.84625448393803226</v>
      </c>
      <c r="E663" s="8">
        <f t="shared" si="32"/>
        <v>-1.3823524249160135</v>
      </c>
    </row>
    <row r="664" spans="1:5" x14ac:dyDescent="0.2">
      <c r="A664" s="4">
        <v>42580</v>
      </c>
      <c r="B664" s="3">
        <v>52797.58</v>
      </c>
      <c r="C664" s="6">
        <f t="shared" si="30"/>
        <v>-9.1362096224256763E-3</v>
      </c>
      <c r="D664" s="7">
        <f t="shared" si="31"/>
        <v>-0.85805943711704691</v>
      </c>
      <c r="E664" s="8">
        <f t="shared" si="32"/>
        <v>-1.3999848092623846</v>
      </c>
    </row>
    <row r="665" spans="1:5" x14ac:dyDescent="0.2">
      <c r="A665" s="4">
        <v>42583</v>
      </c>
      <c r="B665" s="3">
        <v>53126.8</v>
      </c>
      <c r="C665" s="6">
        <f t="shared" si="30"/>
        <v>6.2161526950249525E-3</v>
      </c>
      <c r="D665" s="7">
        <f t="shared" si="31"/>
        <v>0.5485837781351407</v>
      </c>
      <c r="E665" s="8">
        <f t="shared" si="32"/>
        <v>-0.98949804053131196</v>
      </c>
    </row>
    <row r="666" spans="1:5" x14ac:dyDescent="0.2">
      <c r="A666" s="4">
        <v>42584</v>
      </c>
      <c r="B666" s="3">
        <v>52532.76</v>
      </c>
      <c r="C666" s="6">
        <f t="shared" si="30"/>
        <v>-1.1244534032997763E-2</v>
      </c>
      <c r="D666" s="7">
        <f t="shared" si="31"/>
        <v>-1.0512323291032402</v>
      </c>
      <c r="E666" s="8">
        <f t="shared" si="32"/>
        <v>-1.7039985871077723</v>
      </c>
    </row>
    <row r="667" spans="1:5" x14ac:dyDescent="0.2">
      <c r="A667" s="4">
        <v>42586</v>
      </c>
      <c r="B667" s="3">
        <v>52543.37</v>
      </c>
      <c r="C667" s="6">
        <f t="shared" si="30"/>
        <v>2.0194881627374838E-4</v>
      </c>
      <c r="D667" s="7">
        <f t="shared" si="31"/>
        <v>-2.4609996169251283E-3</v>
      </c>
      <c r="E667" s="8">
        <f t="shared" si="32"/>
        <v>-0.66324010577419068</v>
      </c>
    </row>
    <row r="668" spans="1:5" x14ac:dyDescent="0.2">
      <c r="A668" s="4">
        <v>42587</v>
      </c>
      <c r="B668" s="3">
        <v>52348.36</v>
      </c>
      <c r="C668" s="6">
        <f t="shared" si="30"/>
        <v>-3.7183145836521621E-3</v>
      </c>
      <c r="D668" s="7">
        <f t="shared" si="31"/>
        <v>-0.36165079721824717</v>
      </c>
      <c r="E668" s="8">
        <f t="shared" si="32"/>
        <v>-0.80999298330830383</v>
      </c>
    </row>
    <row r="669" spans="1:5" x14ac:dyDescent="0.2">
      <c r="A669" s="4">
        <v>42590</v>
      </c>
      <c r="B669" s="3">
        <v>52486.65</v>
      </c>
      <c r="C669" s="6">
        <f t="shared" si="30"/>
        <v>2.6382423240462523E-3</v>
      </c>
      <c r="D669" s="7">
        <f t="shared" si="31"/>
        <v>0.2207616981157729</v>
      </c>
      <c r="E669" s="8">
        <f t="shared" si="32"/>
        <v>-0.718874505699304</v>
      </c>
    </row>
    <row r="670" spans="1:5" x14ac:dyDescent="0.2">
      <c r="A670" s="4">
        <v>42592</v>
      </c>
      <c r="B670" s="3">
        <v>52218.61</v>
      </c>
      <c r="C670" s="6">
        <f t="shared" si="30"/>
        <v>-5.1199067844488501E-3</v>
      </c>
      <c r="D670" s="7">
        <f t="shared" si="31"/>
        <v>-0.49007013223876345</v>
      </c>
      <c r="E670" s="8">
        <f t="shared" si="32"/>
        <v>-0.92677035390457596</v>
      </c>
    </row>
    <row r="671" spans="1:5" x14ac:dyDescent="0.2">
      <c r="A671" s="4">
        <v>42593</v>
      </c>
      <c r="B671" s="3">
        <v>52321.78</v>
      </c>
      <c r="C671" s="6">
        <f t="shared" si="30"/>
        <v>1.9737832142066587E-3</v>
      </c>
      <c r="D671" s="7">
        <f t="shared" si="31"/>
        <v>0.15988136717113566</v>
      </c>
      <c r="E671" s="8">
        <f t="shared" si="32"/>
        <v>-0.6925629993893283</v>
      </c>
    </row>
    <row r="672" spans="1:5" x14ac:dyDescent="0.2">
      <c r="A672" s="4">
        <v>42594</v>
      </c>
      <c r="B672" s="3">
        <v>52806.5</v>
      </c>
      <c r="C672" s="6">
        <f t="shared" si="30"/>
        <v>9.2215612189364173E-3</v>
      </c>
      <c r="D672" s="7">
        <f t="shared" si="31"/>
        <v>0.82395100969245094</v>
      </c>
      <c r="E672" s="8">
        <f t="shared" si="32"/>
        <v>-1.3493923877622189</v>
      </c>
    </row>
    <row r="673" spans="1:5" x14ac:dyDescent="0.2">
      <c r="A673" s="4">
        <v>42597</v>
      </c>
      <c r="B673" s="3">
        <v>52397.97</v>
      </c>
      <c r="C673" s="6">
        <f t="shared" si="30"/>
        <v>-7.7664390773423261E-3</v>
      </c>
      <c r="D673" s="7">
        <f t="shared" si="31"/>
        <v>-0.73255572610159825</v>
      </c>
      <c r="E673" s="8">
        <f t="shared" si="32"/>
        <v>-1.2196059174026024</v>
      </c>
    </row>
    <row r="674" spans="1:5" x14ac:dyDescent="0.2">
      <c r="A674" s="4">
        <v>42598</v>
      </c>
      <c r="B674" s="3">
        <v>52396.4</v>
      </c>
      <c r="C674" s="6">
        <f t="shared" si="30"/>
        <v>-2.9963441740518548E-5</v>
      </c>
      <c r="D674" s="7">
        <f t="shared" si="31"/>
        <v>-2.3709703726701125E-2</v>
      </c>
      <c r="E674" s="8">
        <f t="shared" si="32"/>
        <v>-0.66388163554913437</v>
      </c>
    </row>
    <row r="675" spans="1:5" x14ac:dyDescent="0.2">
      <c r="A675" s="4">
        <v>42599</v>
      </c>
      <c r="B675" s="3">
        <v>52309.7</v>
      </c>
      <c r="C675" s="6">
        <f t="shared" si="30"/>
        <v>-1.6560643518366092E-3</v>
      </c>
      <c r="D675" s="7">
        <f t="shared" si="31"/>
        <v>-0.17269940089546254</v>
      </c>
      <c r="E675" s="8">
        <f t="shared" si="32"/>
        <v>-0.69742293729990867</v>
      </c>
    </row>
    <row r="676" spans="1:5" x14ac:dyDescent="0.2">
      <c r="A676" s="4">
        <v>42600</v>
      </c>
      <c r="B676" s="3">
        <v>52989.66</v>
      </c>
      <c r="C676" s="6">
        <f t="shared" si="30"/>
        <v>1.2914977854149877E-2</v>
      </c>
      <c r="D676" s="7">
        <f t="shared" si="31"/>
        <v>1.1623562234045579</v>
      </c>
      <c r="E676" s="8">
        <f t="shared" si="32"/>
        <v>-1.888934409446313</v>
      </c>
    </row>
    <row r="677" spans="1:5" x14ac:dyDescent="0.2">
      <c r="A677" s="4">
        <v>42601</v>
      </c>
      <c r="B677" s="3">
        <v>52771.95</v>
      </c>
      <c r="C677" s="6">
        <f t="shared" si="30"/>
        <v>-4.1170006301860873E-3</v>
      </c>
      <c r="D677" s="7">
        <f t="shared" si="31"/>
        <v>-0.39817996522356491</v>
      </c>
      <c r="E677" s="8">
        <f t="shared" si="32"/>
        <v>-0.84011808665016929</v>
      </c>
    </row>
    <row r="678" spans="1:5" x14ac:dyDescent="0.2">
      <c r="A678" s="4">
        <v>42604</v>
      </c>
      <c r="B678" s="3">
        <v>52828.93</v>
      </c>
      <c r="C678" s="6">
        <f t="shared" si="30"/>
        <v>1.079157778416653E-3</v>
      </c>
      <c r="D678" s="7">
        <f t="shared" si="31"/>
        <v>7.7912301210802545E-2</v>
      </c>
      <c r="E678" s="8">
        <f t="shared" si="32"/>
        <v>-0.6702276862859553</v>
      </c>
    </row>
    <row r="679" spans="1:5" x14ac:dyDescent="0.2">
      <c r="A679" s="4">
        <v>42605</v>
      </c>
      <c r="B679" s="3">
        <v>52957.8</v>
      </c>
      <c r="C679" s="6">
        <f t="shared" si="30"/>
        <v>2.4364126530584647E-3</v>
      </c>
      <c r="D679" s="7">
        <f t="shared" si="31"/>
        <v>0.2022692777663099</v>
      </c>
      <c r="E679" s="8">
        <f t="shared" si="32"/>
        <v>-0.71002159319425873</v>
      </c>
    </row>
    <row r="680" spans="1:5" x14ac:dyDescent="0.2">
      <c r="A680" s="4">
        <v>42606</v>
      </c>
      <c r="B680" s="3">
        <v>53562.8</v>
      </c>
      <c r="C680" s="6">
        <f t="shared" si="30"/>
        <v>1.1359427295390292E-2</v>
      </c>
      <c r="D680" s="7">
        <f t="shared" si="31"/>
        <v>1.0198306241374171</v>
      </c>
      <c r="E680" s="8">
        <f t="shared" si="32"/>
        <v>-1.6528646147992301</v>
      </c>
    </row>
    <row r="681" spans="1:5" x14ac:dyDescent="0.2">
      <c r="A681" s="4">
        <v>42607</v>
      </c>
      <c r="B681" s="3">
        <v>53482.879999999997</v>
      </c>
      <c r="C681" s="6">
        <f t="shared" si="30"/>
        <v>-1.4931945847668705E-3</v>
      </c>
      <c r="D681" s="7">
        <f t="shared" si="31"/>
        <v>-0.15777663864681885</v>
      </c>
      <c r="E681" s="8">
        <f t="shared" si="32"/>
        <v>-0.69179999088321076</v>
      </c>
    </row>
    <row r="682" spans="1:5" x14ac:dyDescent="0.2">
      <c r="A682" s="4">
        <v>42608</v>
      </c>
      <c r="B682" s="3">
        <v>53506.62</v>
      </c>
      <c r="C682" s="6">
        <f t="shared" si="30"/>
        <v>4.4378187372826641E-4</v>
      </c>
      <c r="D682" s="7">
        <f t="shared" si="31"/>
        <v>1.9696686767627213E-2</v>
      </c>
      <c r="E682" s="8">
        <f t="shared" si="32"/>
        <v>-0.66368069966524135</v>
      </c>
    </row>
    <row r="683" spans="1:5" x14ac:dyDescent="0.2">
      <c r="A683" s="4">
        <v>42611</v>
      </c>
      <c r="B683" s="3">
        <v>53563.93</v>
      </c>
      <c r="C683" s="6">
        <f t="shared" si="30"/>
        <v>1.0705092198192243E-3</v>
      </c>
      <c r="D683" s="7">
        <f t="shared" si="31"/>
        <v>7.7119886595954895E-2</v>
      </c>
      <c r="E683" s="8">
        <f t="shared" si="32"/>
        <v>-0.67008631501254967</v>
      </c>
    </row>
    <row r="684" spans="1:5" x14ac:dyDescent="0.2">
      <c r="A684" s="4">
        <v>42612</v>
      </c>
      <c r="B684" s="3">
        <v>53448.69</v>
      </c>
      <c r="C684" s="6">
        <f t="shared" si="30"/>
        <v>-2.1537655006864495E-3</v>
      </c>
      <c r="D684" s="7">
        <f t="shared" si="31"/>
        <v>-0.21830071812447785</v>
      </c>
      <c r="E684" s="8">
        <f t="shared" si="32"/>
        <v>-0.71765346890951076</v>
      </c>
    </row>
    <row r="685" spans="1:5" x14ac:dyDescent="0.2">
      <c r="A685" s="4">
        <v>42613</v>
      </c>
      <c r="B685" s="3">
        <v>52733.120000000003</v>
      </c>
      <c r="C685" s="6">
        <f t="shared" si="30"/>
        <v>-1.3478407138645843E-2</v>
      </c>
      <c r="D685" s="7">
        <f t="shared" si="31"/>
        <v>-1.2559084813995207</v>
      </c>
      <c r="E685" s="8">
        <f t="shared" si="32"/>
        <v>-2.0483213734177994</v>
      </c>
    </row>
    <row r="686" spans="1:5" x14ac:dyDescent="0.2">
      <c r="A686" s="4">
        <v>42614</v>
      </c>
      <c r="B686" s="3">
        <v>52631.33</v>
      </c>
      <c r="C686" s="6">
        <f t="shared" si="30"/>
        <v>-1.9321513407404827E-3</v>
      </c>
      <c r="D686" s="7">
        <f t="shared" si="31"/>
        <v>-0.19799556585892264</v>
      </c>
      <c r="E686" s="8">
        <f t="shared" si="32"/>
        <v>-0.70808178650634623</v>
      </c>
    </row>
    <row r="687" spans="1:5" x14ac:dyDescent="0.2">
      <c r="A687" s="4">
        <v>42615</v>
      </c>
      <c r="B687" s="3">
        <v>53500.07</v>
      </c>
      <c r="C687" s="6">
        <f t="shared" si="30"/>
        <v>1.6371392507809657E-2</v>
      </c>
      <c r="D687" s="7">
        <f t="shared" si="31"/>
        <v>1.4790463927176107</v>
      </c>
      <c r="E687" s="8">
        <f t="shared" si="32"/>
        <v>-2.4357910101660187</v>
      </c>
    </row>
    <row r="688" spans="1:5" x14ac:dyDescent="0.2">
      <c r="A688" s="4">
        <v>42618</v>
      </c>
      <c r="B688" s="3">
        <v>53622</v>
      </c>
      <c r="C688" s="6">
        <f t="shared" si="30"/>
        <v>2.2764693149901621E-3</v>
      </c>
      <c r="D688" s="7">
        <f t="shared" si="31"/>
        <v>0.18761464633784028</v>
      </c>
      <c r="E688" s="8">
        <f t="shared" si="32"/>
        <v>-0.70353691083348124</v>
      </c>
    </row>
    <row r="689" spans="1:5" x14ac:dyDescent="0.2">
      <c r="A689" s="4">
        <v>42619</v>
      </c>
      <c r="B689" s="3">
        <v>53680.43</v>
      </c>
      <c r="C689" s="6">
        <f t="shared" si="30"/>
        <v>1.0890714362239034E-3</v>
      </c>
      <c r="D689" s="7">
        <f t="shared" si="31"/>
        <v>7.8820629141354945E-2</v>
      </c>
      <c r="E689" s="8">
        <f t="shared" si="32"/>
        <v>-0.67039150544972781</v>
      </c>
    </row>
    <row r="690" spans="1:5" x14ac:dyDescent="0.2">
      <c r="A690" s="4">
        <v>42620</v>
      </c>
      <c r="B690" s="3">
        <v>53456.43</v>
      </c>
      <c r="C690" s="6">
        <f t="shared" si="30"/>
        <v>-4.1815734826830368E-3</v>
      </c>
      <c r="D690" s="7">
        <f t="shared" si="31"/>
        <v>-0.40409638140604837</v>
      </c>
      <c r="E690" s="8">
        <f t="shared" si="32"/>
        <v>-0.84523568175382136</v>
      </c>
    </row>
    <row r="691" spans="1:5" x14ac:dyDescent="0.2">
      <c r="A691" s="4">
        <v>42621</v>
      </c>
      <c r="B691" s="3">
        <v>53250.25</v>
      </c>
      <c r="C691" s="6">
        <f t="shared" si="30"/>
        <v>-3.8644301666562017E-3</v>
      </c>
      <c r="D691" s="7">
        <f t="shared" si="31"/>
        <v>-0.37503847588458677</v>
      </c>
      <c r="E691" s="8">
        <f t="shared" si="32"/>
        <v>-0.82073667202023803</v>
      </c>
    </row>
    <row r="692" spans="1:5" x14ac:dyDescent="0.2">
      <c r="A692" s="4">
        <v>42622</v>
      </c>
      <c r="B692" s="3">
        <v>53347.3</v>
      </c>
      <c r="C692" s="6">
        <f t="shared" si="30"/>
        <v>1.820867868250023E-3</v>
      </c>
      <c r="D692" s="7">
        <f t="shared" si="31"/>
        <v>0.14587066774585258</v>
      </c>
      <c r="E692" s="8">
        <f t="shared" si="32"/>
        <v>-0.68767038091975563</v>
      </c>
    </row>
    <row r="693" spans="1:5" x14ac:dyDescent="0.2">
      <c r="A693" s="4">
        <v>42625</v>
      </c>
      <c r="B693" s="3">
        <v>52802</v>
      </c>
      <c r="C693" s="6">
        <f t="shared" si="30"/>
        <v>-1.0274298499733249E-2</v>
      </c>
      <c r="D693" s="7">
        <f t="shared" si="31"/>
        <v>-0.96233557159825256</v>
      </c>
      <c r="E693" s="8">
        <f t="shared" si="32"/>
        <v>-1.5608059935610363</v>
      </c>
    </row>
    <row r="694" spans="1:5" x14ac:dyDescent="0.2">
      <c r="A694" s="4">
        <v>42626</v>
      </c>
      <c r="B694" s="3">
        <v>52805.96</v>
      </c>
      <c r="C694" s="6">
        <f t="shared" si="30"/>
        <v>7.4994347052110487E-5</v>
      </c>
      <c r="D694" s="7">
        <f t="shared" si="31"/>
        <v>-1.4093062428103887E-2</v>
      </c>
      <c r="E694" s="8">
        <f t="shared" si="32"/>
        <v>-0.66346226517394913</v>
      </c>
    </row>
    <row r="695" spans="1:5" x14ac:dyDescent="0.2">
      <c r="A695" s="4">
        <v>42627</v>
      </c>
      <c r="B695" s="3">
        <v>52501.97</v>
      </c>
      <c r="C695" s="6">
        <f t="shared" si="30"/>
        <v>-5.7733704266621734E-3</v>
      </c>
      <c r="D695" s="7">
        <f t="shared" si="31"/>
        <v>-0.54994301562482939</v>
      </c>
      <c r="E695" s="8">
        <f t="shared" si="32"/>
        <v>-0.99102060948967596</v>
      </c>
    </row>
    <row r="696" spans="1:5" x14ac:dyDescent="0.2">
      <c r="A696" s="4">
        <v>42628</v>
      </c>
      <c r="B696" s="3">
        <v>52174.26</v>
      </c>
      <c r="C696" s="6">
        <f t="shared" si="30"/>
        <v>-6.2614228782705093E-3</v>
      </c>
      <c r="D696" s="7">
        <f t="shared" si="31"/>
        <v>-0.59466028164204143</v>
      </c>
      <c r="E696" s="8">
        <f t="shared" si="32"/>
        <v>-1.0426897240448654</v>
      </c>
    </row>
    <row r="697" spans="1:5" x14ac:dyDescent="0.2">
      <c r="A697" s="4">
        <v>42629</v>
      </c>
      <c r="B697" s="3">
        <v>51832.55</v>
      </c>
      <c r="C697" s="6">
        <f t="shared" si="30"/>
        <v>-6.5709395280402361E-3</v>
      </c>
      <c r="D697" s="7">
        <f t="shared" si="31"/>
        <v>-0.62301940230396646</v>
      </c>
      <c r="E697" s="8">
        <f t="shared" si="32"/>
        <v>-1.0769884931464961</v>
      </c>
    </row>
    <row r="698" spans="1:5" x14ac:dyDescent="0.2">
      <c r="A698" s="4">
        <v>42632</v>
      </c>
      <c r="B698" s="3">
        <v>51975.89</v>
      </c>
      <c r="C698" s="6">
        <f t="shared" si="30"/>
        <v>2.7616269178021326E-3</v>
      </c>
      <c r="D698" s="7">
        <f t="shared" si="31"/>
        <v>0.23206667503623532</v>
      </c>
      <c r="E698" s="8">
        <f t="shared" si="32"/>
        <v>-0.72465178763240257</v>
      </c>
    </row>
    <row r="699" spans="1:5" x14ac:dyDescent="0.2">
      <c r="A699" s="4">
        <v>42633</v>
      </c>
      <c r="B699" s="3">
        <v>51335.75</v>
      </c>
      <c r="C699" s="6">
        <f t="shared" si="30"/>
        <v>-1.2392566655126013E-2</v>
      </c>
      <c r="D699" s="7">
        <f t="shared" si="31"/>
        <v>-1.1564195482043225</v>
      </c>
      <c r="E699" s="8">
        <f t="shared" si="32"/>
        <v>-1.8789192449404279</v>
      </c>
    </row>
    <row r="700" spans="1:5" x14ac:dyDescent="0.2">
      <c r="A700" s="4">
        <v>42634</v>
      </c>
      <c r="B700" s="3">
        <v>50757.82</v>
      </c>
      <c r="C700" s="6">
        <f t="shared" si="30"/>
        <v>-1.1321695838059023E-2</v>
      </c>
      <c r="D700" s="7">
        <f t="shared" si="31"/>
        <v>-1.0583021941391024</v>
      </c>
      <c r="E700" s="8">
        <f t="shared" si="32"/>
        <v>-1.7155869495458058</v>
      </c>
    </row>
    <row r="701" spans="1:5" x14ac:dyDescent="0.2">
      <c r="A701" s="4">
        <v>42635</v>
      </c>
      <c r="B701" s="3">
        <v>51895.18</v>
      </c>
      <c r="C701" s="6">
        <f t="shared" si="30"/>
        <v>2.2160220232078059E-2</v>
      </c>
      <c r="D701" s="7">
        <f t="shared" si="31"/>
        <v>2.0094413296160307</v>
      </c>
      <c r="E701" s="8">
        <f t="shared" si="32"/>
        <v>-3.3506416355447013</v>
      </c>
    </row>
    <row r="702" spans="1:5" x14ac:dyDescent="0.2">
      <c r="A702" s="4">
        <v>42636</v>
      </c>
      <c r="B702" s="3">
        <v>51999.45</v>
      </c>
      <c r="C702" s="6">
        <f t="shared" si="30"/>
        <v>2.0072266489286712E-3</v>
      </c>
      <c r="D702" s="7">
        <f t="shared" si="31"/>
        <v>0.16294558488393518</v>
      </c>
      <c r="E702" s="8">
        <f t="shared" si="32"/>
        <v>-0.69369151541020402</v>
      </c>
    </row>
    <row r="703" spans="1:5" x14ac:dyDescent="0.2">
      <c r="A703" s="4">
        <v>42639</v>
      </c>
      <c r="B703" s="3">
        <v>51479.8</v>
      </c>
      <c r="C703" s="6">
        <f t="shared" si="30"/>
        <v>-1.0043643885920002E-2</v>
      </c>
      <c r="D703" s="7">
        <f t="shared" si="31"/>
        <v>-0.94120209774724628</v>
      </c>
      <c r="E703" s="8">
        <f t="shared" si="32"/>
        <v>-1.5275303504597921</v>
      </c>
    </row>
    <row r="704" spans="1:5" x14ac:dyDescent="0.2">
      <c r="A704" s="4">
        <v>42640</v>
      </c>
      <c r="B704" s="3">
        <v>50899.66</v>
      </c>
      <c r="C704" s="6">
        <f t="shared" si="30"/>
        <v>-1.1333253946570525E-2</v>
      </c>
      <c r="D704" s="7">
        <f t="shared" si="31"/>
        <v>-1.0593611930464153</v>
      </c>
      <c r="E704" s="8">
        <f t="shared" si="32"/>
        <v>-1.7173250862027065</v>
      </c>
    </row>
    <row r="705" spans="1:5" x14ac:dyDescent="0.2">
      <c r="A705" s="4">
        <v>42641</v>
      </c>
      <c r="B705" s="3">
        <v>51773.5</v>
      </c>
      <c r="C705" s="6">
        <f t="shared" si="30"/>
        <v>1.7022191580694516E-2</v>
      </c>
      <c r="D705" s="7">
        <f t="shared" si="31"/>
        <v>1.5386751378863812</v>
      </c>
      <c r="E705" s="8">
        <f t="shared" si="32"/>
        <v>-2.539993197085582</v>
      </c>
    </row>
    <row r="706" spans="1:5" x14ac:dyDescent="0.2">
      <c r="A706" s="4">
        <v>42642</v>
      </c>
      <c r="B706" s="3">
        <v>52698.58</v>
      </c>
      <c r="C706" s="6">
        <f t="shared" si="30"/>
        <v>1.771007486213912E-2</v>
      </c>
      <c r="D706" s="7">
        <f t="shared" si="31"/>
        <v>1.6017016826435755</v>
      </c>
      <c r="E706" s="8">
        <f t="shared" si="32"/>
        <v>-2.650062788288893</v>
      </c>
    </row>
    <row r="707" spans="1:5" x14ac:dyDescent="0.2">
      <c r="A707" s="4">
        <v>42643</v>
      </c>
      <c r="B707" s="3">
        <v>51949.83</v>
      </c>
      <c r="C707" s="6">
        <f t="shared" ref="C707:C770" si="33">LN(B707/B706)</f>
        <v>-1.4310065050161013E-2</v>
      </c>
      <c r="D707" s="7">
        <f t="shared" ref="D707:D770" si="34">(C707-$G$4)/$G$5</f>
        <v>-1.3321082175999805</v>
      </c>
      <c r="E707" s="8">
        <f t="shared" ref="E707:E770" si="35">LN((PI()*(G$3-2))^(-1/2)*EXP(GAMMALN((G$3+1)/2))*((1+D707^2/(G$3-2))^(-(G$3+1)/2))/EXP(GAMMALN(G$3/2)))</f>
        <v>-2.1798358579861312</v>
      </c>
    </row>
    <row r="708" spans="1:5" x14ac:dyDescent="0.2">
      <c r="A708" s="4">
        <v>42646</v>
      </c>
      <c r="B708" s="3">
        <v>51658.99</v>
      </c>
      <c r="C708" s="6">
        <f t="shared" si="33"/>
        <v>-5.6142085958182644E-3</v>
      </c>
      <c r="D708" s="7">
        <f t="shared" si="34"/>
        <v>-0.53535998893132708</v>
      </c>
      <c r="E708" s="8">
        <f t="shared" si="35"/>
        <v>-0.97483714092244211</v>
      </c>
    </row>
    <row r="709" spans="1:5" x14ac:dyDescent="0.2">
      <c r="A709" s="4">
        <v>42647</v>
      </c>
      <c r="B709" s="3">
        <v>52040.85</v>
      </c>
      <c r="C709" s="6">
        <f t="shared" si="33"/>
        <v>7.3647505336813896E-3</v>
      </c>
      <c r="D709" s="7">
        <f t="shared" si="34"/>
        <v>0.65382278457540144</v>
      </c>
      <c r="E709" s="8">
        <f t="shared" si="35"/>
        <v>-1.1155197624272242</v>
      </c>
    </row>
    <row r="710" spans="1:5" x14ac:dyDescent="0.2">
      <c r="A710" s="4">
        <v>42648</v>
      </c>
      <c r="B710" s="3">
        <v>51868.53</v>
      </c>
      <c r="C710" s="6">
        <f t="shared" si="33"/>
        <v>-3.3167392197098657E-3</v>
      </c>
      <c r="D710" s="7">
        <f t="shared" si="34"/>
        <v>-0.32485689870141876</v>
      </c>
      <c r="E710" s="8">
        <f t="shared" si="35"/>
        <v>-0.78227649522140186</v>
      </c>
    </row>
    <row r="711" spans="1:5" x14ac:dyDescent="0.2">
      <c r="A711" s="4">
        <v>42649</v>
      </c>
      <c r="B711" s="3">
        <v>51610.78</v>
      </c>
      <c r="C711" s="6">
        <f t="shared" si="33"/>
        <v>-4.9816824841932613E-3</v>
      </c>
      <c r="D711" s="7">
        <f t="shared" si="34"/>
        <v>-0.47740548362527296</v>
      </c>
      <c r="E711" s="8">
        <f t="shared" si="35"/>
        <v>-0.91394196826820295</v>
      </c>
    </row>
    <row r="712" spans="1:5" x14ac:dyDescent="0.2">
      <c r="A712" s="4">
        <v>42650</v>
      </c>
      <c r="B712" s="3">
        <v>51662.07</v>
      </c>
      <c r="C712" s="6">
        <f t="shared" si="33"/>
        <v>9.9329115478097091E-4</v>
      </c>
      <c r="D712" s="7">
        <f t="shared" si="34"/>
        <v>7.0044866801932865E-2</v>
      </c>
      <c r="E712" s="8">
        <f t="shared" si="35"/>
        <v>-0.66888784219855224</v>
      </c>
    </row>
    <row r="713" spans="1:5" x14ac:dyDescent="0.2">
      <c r="A713" s="4">
        <v>42653</v>
      </c>
      <c r="B713" s="3">
        <v>51675.51</v>
      </c>
      <c r="C713" s="6">
        <f t="shared" si="33"/>
        <v>2.6011834370004303E-4</v>
      </c>
      <c r="D713" s="7">
        <f t="shared" si="34"/>
        <v>2.8687189890262478E-3</v>
      </c>
      <c r="E713" s="8">
        <f t="shared" si="35"/>
        <v>-0.66324261296288756</v>
      </c>
    </row>
    <row r="714" spans="1:5" x14ac:dyDescent="0.2">
      <c r="A714" s="4">
        <v>42654</v>
      </c>
      <c r="B714" s="3">
        <v>51898.82</v>
      </c>
      <c r="C714" s="6">
        <f t="shared" si="33"/>
        <v>4.3120789875097975E-3</v>
      </c>
      <c r="D714" s="7">
        <f t="shared" si="34"/>
        <v>0.3741251308837103</v>
      </c>
      <c r="E714" s="8">
        <f t="shared" si="35"/>
        <v>-0.81999270216204645</v>
      </c>
    </row>
    <row r="715" spans="1:5" x14ac:dyDescent="0.2">
      <c r="A715" s="4">
        <v>42655</v>
      </c>
      <c r="B715" s="3">
        <v>51548.13</v>
      </c>
      <c r="C715" s="6">
        <f t="shared" si="33"/>
        <v>-6.7801195382662764E-3</v>
      </c>
      <c r="D715" s="7">
        <f t="shared" si="34"/>
        <v>-0.64218528935552377</v>
      </c>
      <c r="E715" s="8">
        <f t="shared" si="35"/>
        <v>-1.1008103921767811</v>
      </c>
    </row>
    <row r="716" spans="1:5" x14ac:dyDescent="0.2">
      <c r="A716" s="4">
        <v>42656</v>
      </c>
      <c r="B716" s="3">
        <v>50494.51</v>
      </c>
      <c r="C716" s="6">
        <f t="shared" si="33"/>
        <v>-2.0651316843926178E-2</v>
      </c>
      <c r="D716" s="7">
        <f t="shared" si="34"/>
        <v>-1.9131183987996867</v>
      </c>
      <c r="E716" s="8">
        <f t="shared" si="35"/>
        <v>-3.1877802991830535</v>
      </c>
    </row>
    <row r="717" spans="1:5" x14ac:dyDescent="0.2">
      <c r="A717" s="4">
        <v>42657</v>
      </c>
      <c r="B717" s="3">
        <v>51146.78</v>
      </c>
      <c r="C717" s="6">
        <f t="shared" si="33"/>
        <v>1.2834920814052523E-2</v>
      </c>
      <c r="D717" s="7">
        <f t="shared" si="34"/>
        <v>1.1550210856610907</v>
      </c>
      <c r="E717" s="8">
        <f t="shared" si="35"/>
        <v>-1.8765619996472567</v>
      </c>
    </row>
    <row r="718" spans="1:5" x14ac:dyDescent="0.2">
      <c r="A718" s="4">
        <v>42660</v>
      </c>
      <c r="B718" s="3">
        <v>50769.01</v>
      </c>
      <c r="C718" s="6">
        <f t="shared" si="33"/>
        <v>-7.4134092497755927E-3</v>
      </c>
      <c r="D718" s="7">
        <f t="shared" si="34"/>
        <v>-0.70020975865631874</v>
      </c>
      <c r="E718" s="8">
        <f t="shared" si="35"/>
        <v>-1.1759122000728139</v>
      </c>
    </row>
    <row r="719" spans="1:5" x14ac:dyDescent="0.2">
      <c r="A719" s="4">
        <v>42661</v>
      </c>
      <c r="B719" s="3">
        <v>51126.79</v>
      </c>
      <c r="C719" s="6">
        <f t="shared" si="33"/>
        <v>7.0224969103597212E-3</v>
      </c>
      <c r="D719" s="7">
        <f t="shared" si="34"/>
        <v>0.62246417492392947</v>
      </c>
      <c r="E719" s="8">
        <f t="shared" si="35"/>
        <v>-1.0763059861682749</v>
      </c>
    </row>
    <row r="720" spans="1:5" x14ac:dyDescent="0.2">
      <c r="A720" s="4">
        <v>42662</v>
      </c>
      <c r="B720" s="3">
        <v>51504.87</v>
      </c>
      <c r="C720" s="6">
        <f t="shared" si="33"/>
        <v>7.3677403306867699E-3</v>
      </c>
      <c r="D720" s="7">
        <f t="shared" si="34"/>
        <v>0.65409672141884212</v>
      </c>
      <c r="E720" s="8">
        <f t="shared" si="35"/>
        <v>-1.1158681989659518</v>
      </c>
    </row>
    <row r="721" spans="1:5" x14ac:dyDescent="0.2">
      <c r="A721" s="4">
        <v>42663</v>
      </c>
      <c r="B721" s="3">
        <v>51420.66</v>
      </c>
      <c r="C721" s="6">
        <f t="shared" si="33"/>
        <v>-1.6363290777296508E-3</v>
      </c>
      <c r="D721" s="7">
        <f t="shared" si="34"/>
        <v>-0.17089117823567418</v>
      </c>
      <c r="E721" s="8">
        <f t="shared" si="35"/>
        <v>-0.69671521189026575</v>
      </c>
    </row>
    <row r="722" spans="1:5" x14ac:dyDescent="0.2">
      <c r="A722" s="4">
        <v>42664</v>
      </c>
      <c r="B722" s="3">
        <v>51629.23</v>
      </c>
      <c r="C722" s="6">
        <f t="shared" si="33"/>
        <v>4.047947742596981E-3</v>
      </c>
      <c r="D722" s="7">
        <f t="shared" si="34"/>
        <v>0.34992439773853112</v>
      </c>
      <c r="E722" s="8">
        <f t="shared" si="35"/>
        <v>-0.8008691132700092</v>
      </c>
    </row>
    <row r="723" spans="1:5" x14ac:dyDescent="0.2">
      <c r="A723" s="4">
        <v>42667</v>
      </c>
      <c r="B723" s="3">
        <v>51683.39</v>
      </c>
      <c r="C723" s="6">
        <f t="shared" si="33"/>
        <v>1.0484683277112755E-3</v>
      </c>
      <c r="D723" s="7">
        <f t="shared" si="34"/>
        <v>7.5100414237195462E-2</v>
      </c>
      <c r="E723" s="8">
        <f t="shared" si="35"/>
        <v>-0.66973253122787157</v>
      </c>
    </row>
    <row r="724" spans="1:5" x14ac:dyDescent="0.2">
      <c r="A724" s="4">
        <v>42668</v>
      </c>
      <c r="B724" s="3">
        <v>51749.86</v>
      </c>
      <c r="C724" s="6">
        <f t="shared" si="33"/>
        <v>1.2852735295527207E-3</v>
      </c>
      <c r="D724" s="7">
        <f t="shared" si="34"/>
        <v>9.6797428912784964E-2</v>
      </c>
      <c r="E724" s="8">
        <f t="shared" si="35"/>
        <v>-0.67402171819136802</v>
      </c>
    </row>
    <row r="725" spans="1:5" x14ac:dyDescent="0.2">
      <c r="A725" s="4">
        <v>42669</v>
      </c>
      <c r="B725" s="3">
        <v>51552.32</v>
      </c>
      <c r="C725" s="6">
        <f t="shared" si="33"/>
        <v>-3.8245125278679013E-3</v>
      </c>
      <c r="D725" s="7">
        <f t="shared" si="34"/>
        <v>-0.37138106638568341</v>
      </c>
      <c r="E725" s="8">
        <f t="shared" si="35"/>
        <v>-0.81776717468008808</v>
      </c>
    </row>
    <row r="726" spans="1:5" x14ac:dyDescent="0.2">
      <c r="A726" s="4">
        <v>42670</v>
      </c>
      <c r="B726" s="3">
        <v>51139.66</v>
      </c>
      <c r="C726" s="6">
        <f t="shared" si="33"/>
        <v>-8.0368928751144604E-3</v>
      </c>
      <c r="D726" s="7">
        <f t="shared" si="34"/>
        <v>-0.75733575615879245</v>
      </c>
      <c r="E726" s="8">
        <f t="shared" si="35"/>
        <v>-1.2539051460799455</v>
      </c>
    </row>
    <row r="727" spans="1:5" x14ac:dyDescent="0.2">
      <c r="A727" s="4">
        <v>42671</v>
      </c>
      <c r="B727" s="3">
        <v>50797.7</v>
      </c>
      <c r="C727" s="6">
        <f t="shared" si="33"/>
        <v>-6.7092434559126637E-3</v>
      </c>
      <c r="D727" s="7">
        <f t="shared" si="34"/>
        <v>-0.63569134670976946</v>
      </c>
      <c r="E727" s="8">
        <f t="shared" si="35"/>
        <v>-1.0926821246396099</v>
      </c>
    </row>
    <row r="728" spans="1:5" x14ac:dyDescent="0.2">
      <c r="A728" s="4">
        <v>42674</v>
      </c>
      <c r="B728" s="3">
        <v>50590.080000000002</v>
      </c>
      <c r="C728" s="6">
        <f t="shared" si="33"/>
        <v>-4.0955683261342298E-3</v>
      </c>
      <c r="D728" s="7">
        <f t="shared" si="34"/>
        <v>-0.39621625407225242</v>
      </c>
      <c r="E728" s="8">
        <f t="shared" si="35"/>
        <v>-0.83843403273761852</v>
      </c>
    </row>
    <row r="729" spans="1:5" x14ac:dyDescent="0.2">
      <c r="A729" s="4">
        <v>42675</v>
      </c>
      <c r="B729" s="3">
        <v>51002.69</v>
      </c>
      <c r="C729" s="6">
        <f t="shared" si="33"/>
        <v>8.122866788610978E-3</v>
      </c>
      <c r="D729" s="7">
        <f t="shared" si="34"/>
        <v>0.72328434783963957</v>
      </c>
      <c r="E729" s="8">
        <f t="shared" si="35"/>
        <v>-1.2069544810705506</v>
      </c>
    </row>
    <row r="730" spans="1:5" x14ac:dyDescent="0.2">
      <c r="A730" s="4">
        <v>42676</v>
      </c>
      <c r="B730" s="3">
        <v>50384.87</v>
      </c>
      <c r="C730" s="6">
        <f t="shared" si="33"/>
        <v>-1.2187444835330082E-2</v>
      </c>
      <c r="D730" s="7">
        <f t="shared" si="34"/>
        <v>-1.1376254883619386</v>
      </c>
      <c r="E730" s="8">
        <f t="shared" si="35"/>
        <v>-1.8473043918446324</v>
      </c>
    </row>
    <row r="731" spans="1:5" x14ac:dyDescent="0.2">
      <c r="A731" s="4">
        <v>42677</v>
      </c>
      <c r="B731" s="3">
        <v>50239.27</v>
      </c>
      <c r="C731" s="6">
        <f t="shared" si="33"/>
        <v>-2.8939397964602379E-3</v>
      </c>
      <c r="D731" s="7">
        <f t="shared" si="34"/>
        <v>-0.28611836922764422</v>
      </c>
      <c r="E731" s="8">
        <f t="shared" si="35"/>
        <v>-0.75603976427017161</v>
      </c>
    </row>
    <row r="732" spans="1:5" x14ac:dyDescent="0.2">
      <c r="A732" s="4">
        <v>42678</v>
      </c>
      <c r="B732" s="3">
        <v>49686.1</v>
      </c>
      <c r="C732" s="6">
        <f t="shared" si="33"/>
        <v>-1.1071775882632978E-2</v>
      </c>
      <c r="D732" s="7">
        <f t="shared" si="34"/>
        <v>-1.0354035546732672</v>
      </c>
      <c r="E732" s="8">
        <f t="shared" si="35"/>
        <v>-1.6781529288810755</v>
      </c>
    </row>
    <row r="733" spans="1:5" x14ac:dyDescent="0.2">
      <c r="A733" s="4">
        <v>42681</v>
      </c>
      <c r="B733" s="3">
        <v>50303.77</v>
      </c>
      <c r="C733" s="6">
        <f t="shared" si="33"/>
        <v>1.2354808678302954E-2</v>
      </c>
      <c r="D733" s="7">
        <f t="shared" si="34"/>
        <v>1.1110313423012221</v>
      </c>
      <c r="E733" s="8">
        <f t="shared" si="35"/>
        <v>-1.8028189596085895</v>
      </c>
    </row>
    <row r="734" spans="1:5" x14ac:dyDescent="0.2">
      <c r="A734" s="4">
        <v>42682</v>
      </c>
      <c r="B734" s="3">
        <v>50700.7</v>
      </c>
      <c r="C734" s="6">
        <f t="shared" si="33"/>
        <v>7.859692612669127E-3</v>
      </c>
      <c r="D734" s="7">
        <f t="shared" si="34"/>
        <v>0.69917130508025904</v>
      </c>
      <c r="E734" s="8">
        <f t="shared" si="35"/>
        <v>-1.1745303870602199</v>
      </c>
    </row>
    <row r="735" spans="1:5" x14ac:dyDescent="0.2">
      <c r="A735" s="4">
        <v>42683</v>
      </c>
      <c r="B735" s="3">
        <v>50977.85</v>
      </c>
      <c r="C735" s="6">
        <f t="shared" si="33"/>
        <v>5.4515074493725673E-3</v>
      </c>
      <c r="D735" s="7">
        <f t="shared" si="34"/>
        <v>0.47852400331799849</v>
      </c>
      <c r="E735" s="8">
        <f t="shared" si="35"/>
        <v>-0.91506390670302862</v>
      </c>
    </row>
    <row r="736" spans="1:5" x14ac:dyDescent="0.2">
      <c r="A736" s="4">
        <v>42684</v>
      </c>
      <c r="B736" s="3">
        <v>51493</v>
      </c>
      <c r="C736" s="6">
        <f t="shared" si="33"/>
        <v>1.0054651444003819E-2</v>
      </c>
      <c r="D736" s="7">
        <f t="shared" si="34"/>
        <v>0.90028198003777404</v>
      </c>
      <c r="E736" s="8">
        <f t="shared" si="35"/>
        <v>-1.4640516357109747</v>
      </c>
    </row>
    <row r="737" spans="1:5" x14ac:dyDescent="0.2">
      <c r="A737" s="4">
        <v>42685</v>
      </c>
      <c r="B737" s="3">
        <v>50294.720000000001</v>
      </c>
      <c r="C737" s="6">
        <f t="shared" si="33"/>
        <v>-2.3545774684304091E-2</v>
      </c>
      <c r="D737" s="7">
        <f t="shared" si="34"/>
        <v>-2.1783198967068302</v>
      </c>
      <c r="E737" s="8">
        <f t="shared" si="35"/>
        <v>-3.6309203796959344</v>
      </c>
    </row>
    <row r="738" spans="1:5" x14ac:dyDescent="0.2">
      <c r="A738" s="4">
        <v>42688</v>
      </c>
      <c r="B738" s="3">
        <v>49731.89</v>
      </c>
      <c r="C738" s="6">
        <f t="shared" si="33"/>
        <v>-1.1253724184313045E-2</v>
      </c>
      <c r="D738" s="7">
        <f t="shared" si="34"/>
        <v>-1.0520743665517758</v>
      </c>
      <c r="E738" s="8">
        <f t="shared" si="35"/>
        <v>-1.7053773708430913</v>
      </c>
    </row>
    <row r="739" spans="1:5" x14ac:dyDescent="0.2">
      <c r="A739" s="4">
        <v>42689</v>
      </c>
      <c r="B739" s="3">
        <v>49430.21</v>
      </c>
      <c r="C739" s="6">
        <f t="shared" si="33"/>
        <v>-6.0846014907296672E-3</v>
      </c>
      <c r="D739" s="7">
        <f t="shared" si="34"/>
        <v>-0.57845921760038033</v>
      </c>
      <c r="E739" s="8">
        <f t="shared" si="35"/>
        <v>-1.0236211456684792</v>
      </c>
    </row>
    <row r="740" spans="1:5" x14ac:dyDescent="0.2">
      <c r="A740" s="4">
        <v>42690</v>
      </c>
      <c r="B740" s="3">
        <v>50004.82</v>
      </c>
      <c r="C740" s="6">
        <f t="shared" si="33"/>
        <v>1.1557625039995127E-2</v>
      </c>
      <c r="D740" s="7">
        <f t="shared" si="34"/>
        <v>1.0379902732495137</v>
      </c>
      <c r="E740" s="8">
        <f t="shared" si="35"/>
        <v>-1.6823669890542046</v>
      </c>
    </row>
    <row r="741" spans="1:5" x14ac:dyDescent="0.2">
      <c r="A741" s="4">
        <v>42691</v>
      </c>
      <c r="B741" s="3">
        <v>50617.57</v>
      </c>
      <c r="C741" s="6">
        <f t="shared" si="33"/>
        <v>1.2179348441539768E-2</v>
      </c>
      <c r="D741" s="7">
        <f t="shared" si="34"/>
        <v>1.0949549921939208</v>
      </c>
      <c r="E741" s="8">
        <f t="shared" si="35"/>
        <v>-1.7760799916451659</v>
      </c>
    </row>
    <row r="742" spans="1:5" x14ac:dyDescent="0.2">
      <c r="A742" s="4">
        <v>42692</v>
      </c>
      <c r="B742" s="3">
        <v>50626.06</v>
      </c>
      <c r="C742" s="6">
        <f t="shared" si="33"/>
        <v>1.6771425560106528E-4</v>
      </c>
      <c r="D742" s="7">
        <f t="shared" si="34"/>
        <v>-5.5977033698473471E-3</v>
      </c>
      <c r="E742" s="8">
        <f t="shared" si="35"/>
        <v>-0.66326927049750861</v>
      </c>
    </row>
    <row r="743" spans="1:5" x14ac:dyDescent="0.2">
      <c r="A743" s="4">
        <v>42695</v>
      </c>
      <c r="B743" s="3">
        <v>50596.52</v>
      </c>
      <c r="C743" s="6">
        <f t="shared" si="33"/>
        <v>-5.8366425433145728E-4</v>
      </c>
      <c r="D743" s="7">
        <f t="shared" si="34"/>
        <v>-7.4441928201716134E-2</v>
      </c>
      <c r="E743" s="8">
        <f t="shared" si="35"/>
        <v>-0.66961919297825512</v>
      </c>
    </row>
    <row r="744" spans="1:5" x14ac:dyDescent="0.2">
      <c r="A744" s="4">
        <v>42696</v>
      </c>
      <c r="B744" s="3">
        <v>51117.74</v>
      </c>
      <c r="C744" s="6">
        <f t="shared" si="33"/>
        <v>1.0248800164567072E-2</v>
      </c>
      <c r="D744" s="7">
        <f t="shared" si="34"/>
        <v>0.91807064180090669</v>
      </c>
      <c r="E744" s="8">
        <f t="shared" si="35"/>
        <v>-1.4914869387492513</v>
      </c>
    </row>
    <row r="745" spans="1:5" x14ac:dyDescent="0.2">
      <c r="A745" s="4">
        <v>42697</v>
      </c>
      <c r="B745" s="3">
        <v>50616.43</v>
      </c>
      <c r="C745" s="6">
        <f t="shared" si="33"/>
        <v>-9.8553722434004884E-3</v>
      </c>
      <c r="D745" s="7">
        <f t="shared" si="34"/>
        <v>-0.92395191675891508</v>
      </c>
      <c r="E745" s="8">
        <f t="shared" si="35"/>
        <v>-1.5006124553284812</v>
      </c>
    </row>
    <row r="746" spans="1:5" x14ac:dyDescent="0.2">
      <c r="A746" s="4">
        <v>42698</v>
      </c>
      <c r="B746" s="3">
        <v>50561.43</v>
      </c>
      <c r="C746" s="6">
        <f t="shared" si="33"/>
        <v>-1.0871944794535653E-3</v>
      </c>
      <c r="D746" s="7">
        <f t="shared" si="34"/>
        <v>-0.1205773280963192</v>
      </c>
      <c r="E746" s="8">
        <f t="shared" si="35"/>
        <v>-0.67995486516454984</v>
      </c>
    </row>
    <row r="747" spans="1:5" x14ac:dyDescent="0.2">
      <c r="A747" s="4">
        <v>42699</v>
      </c>
      <c r="B747" s="3">
        <v>50696.1</v>
      </c>
      <c r="C747" s="6">
        <f t="shared" si="33"/>
        <v>2.6599518949956117E-3</v>
      </c>
      <c r="D747" s="7">
        <f t="shared" si="34"/>
        <v>0.22275081353986897</v>
      </c>
      <c r="E747" s="8">
        <f t="shared" si="35"/>
        <v>-0.71987100812832983</v>
      </c>
    </row>
    <row r="748" spans="1:5" x14ac:dyDescent="0.2">
      <c r="A748" s="4">
        <v>42702</v>
      </c>
      <c r="B748" s="3">
        <v>50193.64</v>
      </c>
      <c r="C748" s="6">
        <f t="shared" si="33"/>
        <v>-9.9606591171556898E-3</v>
      </c>
      <c r="D748" s="7">
        <f t="shared" si="34"/>
        <v>-0.93359871010318918</v>
      </c>
      <c r="E748" s="8">
        <f t="shared" si="35"/>
        <v>-1.5156381023418772</v>
      </c>
    </row>
    <row r="749" spans="1:5" x14ac:dyDescent="0.2">
      <c r="A749" s="4">
        <v>42703</v>
      </c>
      <c r="B749" s="3">
        <v>50157.279999999999</v>
      </c>
      <c r="C749" s="6">
        <f t="shared" si="33"/>
        <v>-7.2465706524938486E-4</v>
      </c>
      <c r="D749" s="7">
        <f t="shared" si="34"/>
        <v>-8.7360238542242993E-2</v>
      </c>
      <c r="E749" s="8">
        <f t="shared" si="35"/>
        <v>-0.67202393128367055</v>
      </c>
    </row>
    <row r="750" spans="1:5" x14ac:dyDescent="0.2">
      <c r="A750" s="4">
        <v>42704</v>
      </c>
      <c r="B750" s="3">
        <v>50209.43</v>
      </c>
      <c r="C750" s="6">
        <f t="shared" si="33"/>
        <v>1.0391892828434256E-3</v>
      </c>
      <c r="D750" s="7">
        <f t="shared" si="34"/>
        <v>7.4250232015235673E-2</v>
      </c>
      <c r="E750" s="8">
        <f t="shared" si="35"/>
        <v>-0.66958638501383161</v>
      </c>
    </row>
    <row r="751" spans="1:5" x14ac:dyDescent="0.2">
      <c r="A751" s="4">
        <v>42705</v>
      </c>
      <c r="B751" s="3">
        <v>49927</v>
      </c>
      <c r="C751" s="6">
        <f t="shared" si="33"/>
        <v>-5.6409190722909574E-3</v>
      </c>
      <c r="D751" s="7">
        <f t="shared" si="34"/>
        <v>-0.53780730679222466</v>
      </c>
      <c r="E751" s="8">
        <f t="shared" si="35"/>
        <v>-0.97752953154458644</v>
      </c>
    </row>
    <row r="752" spans="1:5" x14ac:dyDescent="0.2">
      <c r="A752" s="4">
        <v>42706</v>
      </c>
      <c r="B752" s="3">
        <v>49256.1</v>
      </c>
      <c r="C752" s="6">
        <f t="shared" si="33"/>
        <v>-1.352872077326437E-2</v>
      </c>
      <c r="D752" s="7">
        <f t="shared" si="34"/>
        <v>-1.2605184125167914</v>
      </c>
      <c r="E752" s="8">
        <f t="shared" si="35"/>
        <v>-2.056241183047645</v>
      </c>
    </row>
    <row r="753" spans="1:5" x14ac:dyDescent="0.2">
      <c r="A753" s="4">
        <v>42709</v>
      </c>
      <c r="B753" s="3">
        <v>49713.56</v>
      </c>
      <c r="C753" s="6">
        <f t="shared" si="33"/>
        <v>9.2445150950982991E-3</v>
      </c>
      <c r="D753" s="7">
        <f t="shared" si="34"/>
        <v>0.82605413320525056</v>
      </c>
      <c r="E753" s="8">
        <f t="shared" si="35"/>
        <v>-1.3524801833061628</v>
      </c>
    </row>
    <row r="754" spans="1:5" x14ac:dyDescent="0.2">
      <c r="A754" s="4">
        <v>42710</v>
      </c>
      <c r="B754" s="3">
        <v>48935.9</v>
      </c>
      <c r="C754" s="6">
        <f t="shared" si="33"/>
        <v>-1.5766454458656824E-2</v>
      </c>
      <c r="D754" s="7">
        <f t="shared" si="34"/>
        <v>-1.4655482861617526</v>
      </c>
      <c r="E754" s="8">
        <f t="shared" si="35"/>
        <v>-2.4122107308021694</v>
      </c>
    </row>
    <row r="755" spans="1:5" x14ac:dyDescent="0.2">
      <c r="A755" s="4">
        <v>42711</v>
      </c>
      <c r="B755" s="3">
        <v>49476.06</v>
      </c>
      <c r="C755" s="6">
        <f t="shared" si="33"/>
        <v>1.0977637768413121E-2</v>
      </c>
      <c r="D755" s="7">
        <f t="shared" si="34"/>
        <v>0.98484958104632636</v>
      </c>
      <c r="E755" s="8">
        <f t="shared" si="35"/>
        <v>-1.5965981708992811</v>
      </c>
    </row>
    <row r="756" spans="1:5" x14ac:dyDescent="0.2">
      <c r="A756" s="4">
        <v>42712</v>
      </c>
      <c r="B756" s="3">
        <v>50543.44</v>
      </c>
      <c r="C756" s="6">
        <f t="shared" si="33"/>
        <v>2.1344248321607636E-2</v>
      </c>
      <c r="D756" s="7">
        <f t="shared" si="34"/>
        <v>1.9346788059101556</v>
      </c>
      <c r="E756" s="8">
        <f t="shared" si="35"/>
        <v>-3.2244078455523519</v>
      </c>
    </row>
    <row r="757" spans="1:5" x14ac:dyDescent="0.2">
      <c r="A757" s="4">
        <v>42713</v>
      </c>
      <c r="B757" s="3">
        <v>50899.92</v>
      </c>
      <c r="C757" s="6">
        <f t="shared" si="33"/>
        <v>7.028187303180204E-3</v>
      </c>
      <c r="D757" s="7">
        <f t="shared" si="34"/>
        <v>0.62298555087165275</v>
      </c>
      <c r="E757" s="8">
        <f t="shared" si="35"/>
        <v>-1.0769468692757791</v>
      </c>
    </row>
    <row r="758" spans="1:5" x14ac:dyDescent="0.2">
      <c r="A758" s="4">
        <v>42716</v>
      </c>
      <c r="B758" s="3">
        <v>50527.86</v>
      </c>
      <c r="C758" s="6">
        <f t="shared" si="33"/>
        <v>-7.3364845175903368E-3</v>
      </c>
      <c r="D758" s="7">
        <f t="shared" si="34"/>
        <v>-0.69316161516048114</v>
      </c>
      <c r="E758" s="8">
        <f t="shared" si="35"/>
        <v>-1.1665598356306175</v>
      </c>
    </row>
    <row r="759" spans="1:5" x14ac:dyDescent="0.2">
      <c r="A759" s="4">
        <v>42717</v>
      </c>
      <c r="B759" s="3">
        <v>50839.25</v>
      </c>
      <c r="C759" s="6">
        <f t="shared" si="33"/>
        <v>6.1438267203706657E-3</v>
      </c>
      <c r="D759" s="7">
        <f t="shared" si="34"/>
        <v>0.54195699071114189</v>
      </c>
      <c r="E759" s="8">
        <f t="shared" si="35"/>
        <v>-0.98211651401510747</v>
      </c>
    </row>
    <row r="760" spans="1:5" x14ac:dyDescent="0.2">
      <c r="A760" s="4">
        <v>42718</v>
      </c>
      <c r="B760" s="3">
        <v>50716.25</v>
      </c>
      <c r="C760" s="6">
        <f t="shared" si="33"/>
        <v>-2.4223219843994728E-3</v>
      </c>
      <c r="D760" s="7">
        <f t="shared" si="34"/>
        <v>-0.24290690887972829</v>
      </c>
      <c r="E760" s="8">
        <f t="shared" si="35"/>
        <v>-0.73044979601960547</v>
      </c>
    </row>
    <row r="761" spans="1:5" x14ac:dyDescent="0.2">
      <c r="A761" s="4">
        <v>42719</v>
      </c>
      <c r="B761" s="3">
        <v>49691.31</v>
      </c>
      <c r="C761" s="6">
        <f t="shared" si="33"/>
        <v>-2.041630334425832E-2</v>
      </c>
      <c r="D761" s="7">
        <f t="shared" si="34"/>
        <v>-1.8915855468538527</v>
      </c>
      <c r="E761" s="8">
        <f t="shared" si="35"/>
        <v>-3.1511049609625621</v>
      </c>
    </row>
    <row r="762" spans="1:5" x14ac:dyDescent="0.2">
      <c r="A762" s="4">
        <v>42723</v>
      </c>
      <c r="B762" s="3">
        <v>49880.99</v>
      </c>
      <c r="C762" s="6">
        <f t="shared" si="33"/>
        <v>3.8098995290658062E-3</v>
      </c>
      <c r="D762" s="7">
        <f t="shared" si="34"/>
        <v>0.32811349349183305</v>
      </c>
      <c r="E762" s="8">
        <f t="shared" si="35"/>
        <v>-0.78462103400981853</v>
      </c>
    </row>
    <row r="763" spans="1:5" x14ac:dyDescent="0.2">
      <c r="A763" s="4">
        <v>42724</v>
      </c>
      <c r="B763" s="3">
        <v>50343.24</v>
      </c>
      <c r="C763" s="6">
        <f t="shared" si="33"/>
        <v>9.2243817229215094E-3</v>
      </c>
      <c r="D763" s="7">
        <f t="shared" si="34"/>
        <v>0.82420943525017187</v>
      </c>
      <c r="E763" s="8">
        <f t="shared" si="35"/>
        <v>-1.3497715766653933</v>
      </c>
    </row>
    <row r="764" spans="1:5" x14ac:dyDescent="0.2">
      <c r="A764" s="4">
        <v>42725</v>
      </c>
      <c r="B764" s="3">
        <v>50163.92</v>
      </c>
      <c r="C764" s="6">
        <f t="shared" si="33"/>
        <v>-3.5683067807433869E-3</v>
      </c>
      <c r="D764" s="7">
        <f t="shared" si="34"/>
        <v>-0.34790649820853259</v>
      </c>
      <c r="E764" s="8">
        <f t="shared" si="35"/>
        <v>-0.79932628164089703</v>
      </c>
    </row>
    <row r="765" spans="1:5" x14ac:dyDescent="0.2">
      <c r="A765" s="4">
        <v>42726</v>
      </c>
      <c r="B765" s="3">
        <v>49833.77</v>
      </c>
      <c r="C765" s="6">
        <f t="shared" si="33"/>
        <v>-6.6031765253279128E-3</v>
      </c>
      <c r="D765" s="7">
        <f t="shared" si="34"/>
        <v>-0.62597308152135123</v>
      </c>
      <c r="E765" s="8">
        <f t="shared" si="35"/>
        <v>-1.0806265285611207</v>
      </c>
    </row>
    <row r="766" spans="1:5" x14ac:dyDescent="0.2">
      <c r="A766" s="4">
        <v>42727</v>
      </c>
      <c r="B766" s="3">
        <v>49400.56</v>
      </c>
      <c r="C766" s="6">
        <f t="shared" si="33"/>
        <v>-8.731106504033373E-3</v>
      </c>
      <c r="D766" s="7">
        <f t="shared" si="34"/>
        <v>-0.820942312000978</v>
      </c>
      <c r="E766" s="8">
        <f t="shared" si="35"/>
        <v>-1.344982477428321</v>
      </c>
    </row>
    <row r="767" spans="1:5" x14ac:dyDescent="0.2">
      <c r="A767" s="4">
        <v>42732</v>
      </c>
      <c r="B767" s="3">
        <v>50322.720000000001</v>
      </c>
      <c r="C767" s="6">
        <f t="shared" si="33"/>
        <v>1.8494904823358315E-2</v>
      </c>
      <c r="D767" s="7">
        <f t="shared" si="34"/>
        <v>1.6736108596971131</v>
      </c>
      <c r="E767" s="8">
        <f t="shared" si="35"/>
        <v>-2.775343491999497</v>
      </c>
    </row>
    <row r="768" spans="1:5" x14ac:dyDescent="0.2">
      <c r="A768" s="4">
        <v>42733</v>
      </c>
      <c r="B768" s="3">
        <v>50682.080000000002</v>
      </c>
      <c r="C768" s="6">
        <f t="shared" si="33"/>
        <v>7.1157314564710781E-3</v>
      </c>
      <c r="D768" s="7">
        <f t="shared" si="34"/>
        <v>0.63100668707957241</v>
      </c>
      <c r="E768" s="8">
        <f t="shared" si="35"/>
        <v>-1.0868544320201381</v>
      </c>
    </row>
    <row r="769" spans="1:7" x14ac:dyDescent="0.2">
      <c r="A769" s="4">
        <v>42734</v>
      </c>
      <c r="B769" s="3">
        <v>50653.54</v>
      </c>
      <c r="C769" s="6">
        <f t="shared" si="33"/>
        <v>-5.6327677779246892E-4</v>
      </c>
      <c r="D769" s="7">
        <f t="shared" si="34"/>
        <v>-7.2573948215529663E-2</v>
      </c>
      <c r="E769" s="8">
        <f t="shared" si="35"/>
        <v>-0.66930308355963952</v>
      </c>
      <c r="F769" s="18"/>
      <c r="G769" s="18"/>
    </row>
    <row r="770" spans="1:7" x14ac:dyDescent="0.2">
      <c r="A770" s="4">
        <v>42738</v>
      </c>
      <c r="B770" s="3">
        <v>51020.66</v>
      </c>
      <c r="C770" s="6">
        <f t="shared" si="33"/>
        <v>7.2215290694335995E-3</v>
      </c>
      <c r="D770" s="7">
        <f t="shared" si="34"/>
        <v>0.64070027633876081</v>
      </c>
      <c r="E770" s="8">
        <f t="shared" si="35"/>
        <v>-1.0989465673976544</v>
      </c>
    </row>
    <row r="771" spans="1:7" x14ac:dyDescent="0.2">
      <c r="A771" s="4">
        <v>42739</v>
      </c>
      <c r="B771" s="3">
        <v>50760.24</v>
      </c>
      <c r="C771" s="6">
        <f t="shared" ref="C771:C834" si="36">LN(B771/B770)</f>
        <v>-5.117277766086537E-3</v>
      </c>
      <c r="D771" s="7">
        <f t="shared" ref="D771:D834" si="37">(C771-$G$4)/$G$5</f>
        <v>-0.48982925133941696</v>
      </c>
      <c r="E771" s="8">
        <f t="shared" ref="E771:E834" si="38">LN((PI()*(G$3-2))^(-1/2)*EXP(GAMMALN((G$3+1)/2))*((1+D771^2/(G$3-2))^(-(G$3+1)/2))/EXP(GAMMALN(G$3/2)))</f>
        <v>-0.9265238118437561</v>
      </c>
    </row>
    <row r="772" spans="1:7" x14ac:dyDescent="0.2">
      <c r="A772" s="4">
        <v>42740</v>
      </c>
      <c r="B772" s="3">
        <v>50474.95</v>
      </c>
      <c r="C772" s="6">
        <f t="shared" si="36"/>
        <v>-5.6361973583872269E-3</v>
      </c>
      <c r="D772" s="7">
        <f t="shared" si="37"/>
        <v>-0.5373746849787403</v>
      </c>
      <c r="E772" s="8">
        <f t="shared" si="38"/>
        <v>-0.97705289326764355</v>
      </c>
    </row>
    <row r="773" spans="1:7" x14ac:dyDescent="0.2">
      <c r="A773" s="4">
        <v>42741</v>
      </c>
      <c r="B773" s="3">
        <v>51216</v>
      </c>
      <c r="C773" s="6">
        <f t="shared" si="36"/>
        <v>1.4574809618497501E-2</v>
      </c>
      <c r="D773" s="7">
        <f t="shared" si="37"/>
        <v>1.3144364727825808</v>
      </c>
      <c r="E773" s="8">
        <f t="shared" si="38"/>
        <v>-2.1492319929335522</v>
      </c>
    </row>
    <row r="774" spans="1:7" x14ac:dyDescent="0.2">
      <c r="A774" s="4">
        <v>42744</v>
      </c>
      <c r="B774" s="3">
        <v>51049.71</v>
      </c>
      <c r="C774" s="6">
        <f t="shared" si="36"/>
        <v>-3.2521193381589162E-3</v>
      </c>
      <c r="D774" s="7">
        <f t="shared" si="37"/>
        <v>-0.31893617353388393</v>
      </c>
      <c r="E774" s="8">
        <f t="shared" si="38"/>
        <v>-0.77806865860572094</v>
      </c>
    </row>
    <row r="775" spans="1:7" x14ac:dyDescent="0.2">
      <c r="A775" s="4">
        <v>42745</v>
      </c>
      <c r="B775" s="3">
        <v>51740.17</v>
      </c>
      <c r="C775" s="6">
        <f t="shared" si="36"/>
        <v>1.3434598522201559E-2</v>
      </c>
      <c r="D775" s="7">
        <f t="shared" si="37"/>
        <v>1.2099658923340677</v>
      </c>
      <c r="E775" s="8">
        <f t="shared" si="38"/>
        <v>-1.9697064440039513</v>
      </c>
    </row>
    <row r="776" spans="1:7" x14ac:dyDescent="0.2">
      <c r="A776" s="4">
        <v>42746</v>
      </c>
      <c r="B776" s="3">
        <v>52437.91</v>
      </c>
      <c r="C776" s="6">
        <f t="shared" si="36"/>
        <v>1.339534061725103E-2</v>
      </c>
      <c r="D776" s="7">
        <f t="shared" si="37"/>
        <v>1.2063689302182827</v>
      </c>
      <c r="E776" s="8">
        <f t="shared" si="38"/>
        <v>-1.9635775943642519</v>
      </c>
    </row>
    <row r="777" spans="1:7" x14ac:dyDescent="0.2">
      <c r="A777" s="4">
        <v>42747</v>
      </c>
      <c r="B777" s="3">
        <v>52444.36</v>
      </c>
      <c r="C777" s="6">
        <f t="shared" si="36"/>
        <v>1.2299504974723857E-4</v>
      </c>
      <c r="D777" s="7">
        <f t="shared" si="37"/>
        <v>-9.6950511398547004E-3</v>
      </c>
      <c r="E777" s="8">
        <f t="shared" si="38"/>
        <v>-0.6633415640271193</v>
      </c>
    </row>
    <row r="778" spans="1:7" x14ac:dyDescent="0.2">
      <c r="A778" s="4">
        <v>42748</v>
      </c>
      <c r="B778" s="3">
        <v>52794.81</v>
      </c>
      <c r="C778" s="6">
        <f t="shared" si="36"/>
        <v>6.6600923478072355E-3</v>
      </c>
      <c r="D778" s="7">
        <f t="shared" si="37"/>
        <v>0.58925925775548527</v>
      </c>
      <c r="E778" s="8">
        <f t="shared" si="38"/>
        <v>-1.0362895400735945</v>
      </c>
    </row>
    <row r="779" spans="1:7" x14ac:dyDescent="0.2">
      <c r="A779" s="4">
        <v>42751</v>
      </c>
      <c r="B779" s="3">
        <v>53158.54</v>
      </c>
      <c r="C779" s="6">
        <f t="shared" si="36"/>
        <v>6.8658787826982887E-3</v>
      </c>
      <c r="D779" s="7">
        <f t="shared" si="37"/>
        <v>0.60811421222079287</v>
      </c>
      <c r="E779" s="8">
        <f t="shared" si="38"/>
        <v>-1.0588176685658859</v>
      </c>
    </row>
    <row r="780" spans="1:7" x14ac:dyDescent="0.2">
      <c r="A780" s="4">
        <v>42752</v>
      </c>
      <c r="B780" s="3">
        <v>52817.73</v>
      </c>
      <c r="C780" s="6">
        <f t="shared" si="36"/>
        <v>-6.4318394089679176E-3</v>
      </c>
      <c r="D780" s="7">
        <f t="shared" si="37"/>
        <v>-0.61027450776018399</v>
      </c>
      <c r="E780" s="8">
        <f t="shared" si="38"/>
        <v>-1.0614316826462631</v>
      </c>
    </row>
    <row r="781" spans="1:7" x14ac:dyDescent="0.2">
      <c r="A781" s="4">
        <v>42753</v>
      </c>
      <c r="B781" s="3">
        <v>52933.279999999999</v>
      </c>
      <c r="C781" s="6">
        <f t="shared" si="36"/>
        <v>2.1853227876572987E-3</v>
      </c>
      <c r="D781" s="7">
        <f t="shared" si="37"/>
        <v>0.17926344659310545</v>
      </c>
      <c r="E781" s="8">
        <f t="shared" si="38"/>
        <v>-0.70005300082042421</v>
      </c>
    </row>
    <row r="782" spans="1:7" x14ac:dyDescent="0.2">
      <c r="A782" s="4">
        <v>42754</v>
      </c>
      <c r="B782" s="3">
        <v>52900.77</v>
      </c>
      <c r="C782" s="6">
        <f t="shared" si="36"/>
        <v>-6.1435806382804817E-4</v>
      </c>
      <c r="D782" s="7">
        <f t="shared" si="37"/>
        <v>-7.7254214544746652E-2</v>
      </c>
      <c r="E782" s="8">
        <f t="shared" si="38"/>
        <v>-0.67011017868511469</v>
      </c>
    </row>
    <row r="783" spans="1:7" x14ac:dyDescent="0.2">
      <c r="A783" s="4">
        <v>42755</v>
      </c>
      <c r="B783" s="3">
        <v>52532.26</v>
      </c>
      <c r="C783" s="6">
        <f t="shared" si="36"/>
        <v>-6.9904374490524701E-3</v>
      </c>
      <c r="D783" s="7">
        <f t="shared" si="37"/>
        <v>-0.66145543528721129</v>
      </c>
      <c r="E783" s="8">
        <f t="shared" si="38"/>
        <v>-1.1252654871857324</v>
      </c>
    </row>
    <row r="784" spans="1:7" x14ac:dyDescent="0.2">
      <c r="A784" s="4">
        <v>42758</v>
      </c>
      <c r="B784" s="3">
        <v>53040.480000000003</v>
      </c>
      <c r="C784" s="6">
        <f t="shared" si="36"/>
        <v>9.6279385355512153E-3</v>
      </c>
      <c r="D784" s="7">
        <f t="shared" si="37"/>
        <v>0.8611848818111959</v>
      </c>
      <c r="E784" s="8">
        <f t="shared" si="38"/>
        <v>-1.4046741986472226</v>
      </c>
    </row>
    <row r="785" spans="1:5" x14ac:dyDescent="0.2">
      <c r="A785" s="4">
        <v>42759</v>
      </c>
      <c r="B785" s="3">
        <v>53342.04</v>
      </c>
      <c r="C785" s="6">
        <f t="shared" si="36"/>
        <v>5.6693676314722562E-3</v>
      </c>
      <c r="D785" s="7">
        <f t="shared" si="37"/>
        <v>0.49848520151586789</v>
      </c>
      <c r="E785" s="8">
        <f t="shared" si="38"/>
        <v>-0.93544464285593287</v>
      </c>
    </row>
    <row r="786" spans="1:5" x14ac:dyDescent="0.2">
      <c r="A786" s="4">
        <v>42760</v>
      </c>
      <c r="B786" s="3">
        <v>53250.79</v>
      </c>
      <c r="C786" s="6">
        <f t="shared" si="36"/>
        <v>-1.7121230816479916E-3</v>
      </c>
      <c r="D786" s="7">
        <f t="shared" si="37"/>
        <v>-0.17783572000481579</v>
      </c>
      <c r="E786" s="8">
        <f t="shared" si="38"/>
        <v>-0.69947281973164221</v>
      </c>
    </row>
    <row r="787" spans="1:5" x14ac:dyDescent="0.2">
      <c r="A787" s="4">
        <v>42761</v>
      </c>
      <c r="B787" s="3">
        <v>53405.74</v>
      </c>
      <c r="C787" s="6">
        <f t="shared" si="36"/>
        <v>2.9055906659106439E-3</v>
      </c>
      <c r="D787" s="7">
        <f t="shared" si="37"/>
        <v>0.24525719421053396</v>
      </c>
      <c r="E787" s="8">
        <f t="shared" si="38"/>
        <v>-0.73174005174904277</v>
      </c>
    </row>
    <row r="788" spans="1:5" x14ac:dyDescent="0.2">
      <c r="A788" s="4">
        <v>42762</v>
      </c>
      <c r="B788" s="3">
        <v>52973.83</v>
      </c>
      <c r="C788" s="6">
        <f t="shared" si="36"/>
        <v>-8.12021280525335E-3</v>
      </c>
      <c r="D788" s="7">
        <f t="shared" si="37"/>
        <v>-0.76496985259305494</v>
      </c>
      <c r="E788" s="8">
        <f t="shared" si="38"/>
        <v>-1.2646104353900787</v>
      </c>
    </row>
    <row r="789" spans="1:5" x14ac:dyDescent="0.2">
      <c r="A789" s="4">
        <v>42765</v>
      </c>
      <c r="B789" s="3">
        <v>52660.94</v>
      </c>
      <c r="C789" s="6">
        <f t="shared" si="36"/>
        <v>-5.9240137512426329E-3</v>
      </c>
      <c r="D789" s="7">
        <f t="shared" si="37"/>
        <v>-0.56374554360472684</v>
      </c>
      <c r="E789" s="8">
        <f t="shared" si="38"/>
        <v>-1.0066443936785394</v>
      </c>
    </row>
    <row r="790" spans="1:5" x14ac:dyDescent="0.2">
      <c r="A790" s="4">
        <v>42766</v>
      </c>
      <c r="B790" s="3">
        <v>52788.12</v>
      </c>
      <c r="C790" s="6">
        <f t="shared" si="36"/>
        <v>2.4121611262656159E-3</v>
      </c>
      <c r="D790" s="7">
        <f t="shared" si="37"/>
        <v>0.20004725844984994</v>
      </c>
      <c r="E790" s="8">
        <f t="shared" si="38"/>
        <v>-0.70900804243562054</v>
      </c>
    </row>
    <row r="791" spans="1:5" x14ac:dyDescent="0.2">
      <c r="A791" s="4">
        <v>42767</v>
      </c>
      <c r="B791" s="3">
        <v>53104.12</v>
      </c>
      <c r="C791" s="6">
        <f t="shared" si="36"/>
        <v>5.9683492959295486E-3</v>
      </c>
      <c r="D791" s="7">
        <f t="shared" si="37"/>
        <v>0.52587906580186228</v>
      </c>
      <c r="E791" s="8">
        <f t="shared" si="38"/>
        <v>-0.96449732323532711</v>
      </c>
    </row>
    <row r="792" spans="1:5" x14ac:dyDescent="0.2">
      <c r="A792" s="4">
        <v>42768</v>
      </c>
      <c r="B792" s="3">
        <v>52719.58</v>
      </c>
      <c r="C792" s="6">
        <f t="shared" si="36"/>
        <v>-7.2675911454147092E-3</v>
      </c>
      <c r="D792" s="7">
        <f t="shared" si="37"/>
        <v>-0.68684933614160093</v>
      </c>
      <c r="E792" s="8">
        <f t="shared" si="38"/>
        <v>-1.1582364789984811</v>
      </c>
    </row>
    <row r="793" spans="1:5" x14ac:dyDescent="0.2">
      <c r="A793" s="4">
        <v>42769</v>
      </c>
      <c r="B793" s="3">
        <v>52265.16</v>
      </c>
      <c r="C793" s="6">
        <f t="shared" si="36"/>
        <v>-8.6569312443400322E-3</v>
      </c>
      <c r="D793" s="7">
        <f t="shared" si="37"/>
        <v>-0.81414608588087078</v>
      </c>
      <c r="E793" s="8">
        <f t="shared" si="38"/>
        <v>-1.3350536371153134</v>
      </c>
    </row>
    <row r="794" spans="1:5" x14ac:dyDescent="0.2">
      <c r="A794" s="4">
        <v>42772</v>
      </c>
      <c r="B794" s="3">
        <v>52151.16</v>
      </c>
      <c r="C794" s="6">
        <f t="shared" si="36"/>
        <v>-2.1835675744114667E-3</v>
      </c>
      <c r="D794" s="7">
        <f t="shared" si="37"/>
        <v>-0.22103130016383543</v>
      </c>
      <c r="E794" s="8">
        <f t="shared" si="38"/>
        <v>-0.71900906856382496</v>
      </c>
    </row>
    <row r="795" spans="1:5" x14ac:dyDescent="0.2">
      <c r="A795" s="4">
        <v>42773</v>
      </c>
      <c r="B795" s="3">
        <v>52181.91</v>
      </c>
      <c r="C795" s="6">
        <f t="shared" si="36"/>
        <v>5.8945837384772714E-4</v>
      </c>
      <c r="D795" s="7">
        <f t="shared" si="37"/>
        <v>3.3044134950360793E-2</v>
      </c>
      <c r="E795" s="8">
        <f t="shared" si="38"/>
        <v>-0.66449264697313792</v>
      </c>
    </row>
    <row r="796" spans="1:5" x14ac:dyDescent="0.2">
      <c r="A796" s="4">
        <v>42774</v>
      </c>
      <c r="B796" s="3">
        <v>51803.48</v>
      </c>
      <c r="C796" s="6">
        <f t="shared" si="36"/>
        <v>-7.2785546254841788E-3</v>
      </c>
      <c r="D796" s="7">
        <f t="shared" si="37"/>
        <v>-0.68785385287566359</v>
      </c>
      <c r="E796" s="8">
        <f t="shared" si="38"/>
        <v>-1.1595576847580291</v>
      </c>
    </row>
    <row r="797" spans="1:5" x14ac:dyDescent="0.2">
      <c r="A797" s="4">
        <v>42775</v>
      </c>
      <c r="B797" s="3">
        <v>51904.34</v>
      </c>
      <c r="C797" s="6">
        <f t="shared" si="36"/>
        <v>1.9450805503181345E-3</v>
      </c>
      <c r="D797" s="7">
        <f t="shared" si="37"/>
        <v>0.1572515173419296</v>
      </c>
      <c r="E797" s="8">
        <f t="shared" si="38"/>
        <v>-0.69161116541194334</v>
      </c>
    </row>
    <row r="798" spans="1:5" x14ac:dyDescent="0.2">
      <c r="A798" s="4">
        <v>42776</v>
      </c>
      <c r="B798" s="3">
        <v>52687.29</v>
      </c>
      <c r="C798" s="6">
        <f t="shared" si="36"/>
        <v>1.4971840962643092E-2</v>
      </c>
      <c r="D798" s="7">
        <f t="shared" si="37"/>
        <v>1.3508140305119238</v>
      </c>
      <c r="E798" s="8">
        <f t="shared" si="38"/>
        <v>-2.2122869713713653</v>
      </c>
    </row>
    <row r="799" spans="1:5" x14ac:dyDescent="0.2">
      <c r="A799" s="4">
        <v>42779</v>
      </c>
      <c r="B799" s="3">
        <v>52956.71</v>
      </c>
      <c r="C799" s="6">
        <f t="shared" si="36"/>
        <v>5.1005373535773346E-3</v>
      </c>
      <c r="D799" s="7">
        <f t="shared" si="37"/>
        <v>0.44636675651790114</v>
      </c>
      <c r="E799" s="8">
        <f t="shared" si="38"/>
        <v>-0.8836769706447648</v>
      </c>
    </row>
    <row r="800" spans="1:5" x14ac:dyDescent="0.2">
      <c r="A800" s="4">
        <v>42780</v>
      </c>
      <c r="B800" s="3">
        <v>52465.64</v>
      </c>
      <c r="C800" s="6">
        <f t="shared" si="36"/>
        <v>-9.3163081985156802E-3</v>
      </c>
      <c r="D800" s="7">
        <f t="shared" si="37"/>
        <v>-0.8745607699344482</v>
      </c>
      <c r="E800" s="8">
        <f t="shared" si="38"/>
        <v>-1.4248409367155368</v>
      </c>
    </row>
    <row r="801" spans="1:5" x14ac:dyDescent="0.2">
      <c r="A801" s="4">
        <v>42781</v>
      </c>
      <c r="B801" s="3">
        <v>52485.16</v>
      </c>
      <c r="C801" s="6">
        <f t="shared" si="36"/>
        <v>3.7198382909124357E-4</v>
      </c>
      <c r="D801" s="7">
        <f t="shared" si="37"/>
        <v>1.3118270347488119E-2</v>
      </c>
      <c r="E801" s="8">
        <f t="shared" si="38"/>
        <v>-0.66343166319806757</v>
      </c>
    </row>
    <row r="802" spans="1:5" x14ac:dyDescent="0.2">
      <c r="A802" s="4">
        <v>42782</v>
      </c>
      <c r="B802" s="3">
        <v>52586.37</v>
      </c>
      <c r="C802" s="6">
        <f t="shared" si="36"/>
        <v>1.9264977164128835E-3</v>
      </c>
      <c r="D802" s="7">
        <f t="shared" si="37"/>
        <v>0.15554888574084583</v>
      </c>
      <c r="E802" s="8">
        <f t="shared" si="38"/>
        <v>-0.69100316352926472</v>
      </c>
    </row>
    <row r="803" spans="1:5" x14ac:dyDescent="0.2">
      <c r="A803" s="4">
        <v>42783</v>
      </c>
      <c r="B803" s="3">
        <v>52223.54</v>
      </c>
      <c r="C803" s="6">
        <f t="shared" si="36"/>
        <v>-6.923609597507238E-3</v>
      </c>
      <c r="D803" s="7">
        <f t="shared" si="37"/>
        <v>-0.65533240731130626</v>
      </c>
      <c r="E803" s="8">
        <f t="shared" si="38"/>
        <v>-1.1174411843721814</v>
      </c>
    </row>
    <row r="804" spans="1:5" x14ac:dyDescent="0.2">
      <c r="A804" s="4">
        <v>42786</v>
      </c>
      <c r="B804" s="3">
        <v>52558.61</v>
      </c>
      <c r="C804" s="6">
        <f t="shared" si="36"/>
        <v>6.395576768074852E-3</v>
      </c>
      <c r="D804" s="7">
        <f t="shared" si="37"/>
        <v>0.56502331035759701</v>
      </c>
      <c r="E804" s="8">
        <f t="shared" si="38"/>
        <v>-1.0081056270532265</v>
      </c>
    </row>
    <row r="805" spans="1:5" x14ac:dyDescent="0.2">
      <c r="A805" s="4">
        <v>42787</v>
      </c>
      <c r="B805" s="3">
        <v>52586.61</v>
      </c>
      <c r="C805" s="6">
        <f t="shared" si="36"/>
        <v>5.3259673928825202E-4</v>
      </c>
      <c r="D805" s="7">
        <f t="shared" si="37"/>
        <v>2.7834250581600214E-2</v>
      </c>
      <c r="E805" s="8">
        <f t="shared" si="38"/>
        <v>-0.66412685234336299</v>
      </c>
    </row>
    <row r="806" spans="1:5" x14ac:dyDescent="0.2">
      <c r="A806" s="4">
        <v>42788</v>
      </c>
      <c r="B806" s="3">
        <v>52088.56</v>
      </c>
      <c r="C806" s="6">
        <f t="shared" si="36"/>
        <v>-9.5161776859520823E-3</v>
      </c>
      <c r="D806" s="7">
        <f t="shared" si="37"/>
        <v>-0.89287359063428129</v>
      </c>
      <c r="E806" s="8">
        <f t="shared" si="38"/>
        <v>-1.4527011787419988</v>
      </c>
    </row>
    <row r="807" spans="1:5" x14ac:dyDescent="0.2">
      <c r="A807" s="4">
        <v>42789</v>
      </c>
      <c r="B807" s="3">
        <v>52183.1</v>
      </c>
      <c r="C807" s="6">
        <f t="shared" si="36"/>
        <v>1.8133407659486822E-3</v>
      </c>
      <c r="D807" s="7">
        <f t="shared" si="37"/>
        <v>0.14518100532363012</v>
      </c>
      <c r="E807" s="8">
        <f t="shared" si="38"/>
        <v>-0.68744090397061819</v>
      </c>
    </row>
    <row r="808" spans="1:5" x14ac:dyDescent="0.2">
      <c r="A808" s="4">
        <v>42790</v>
      </c>
      <c r="B808" s="3">
        <v>51609.86</v>
      </c>
      <c r="C808" s="6">
        <f t="shared" si="36"/>
        <v>-1.1045948175054908E-2</v>
      </c>
      <c r="D808" s="7">
        <f t="shared" si="37"/>
        <v>-1.0330371195358607</v>
      </c>
      <c r="E808" s="8">
        <f t="shared" si="38"/>
        <v>-1.6743010814574881</v>
      </c>
    </row>
    <row r="809" spans="1:5" x14ac:dyDescent="0.2">
      <c r="A809" s="4">
        <v>42793</v>
      </c>
      <c r="B809" s="3">
        <v>51497.16</v>
      </c>
      <c r="C809" s="6">
        <f t="shared" si="36"/>
        <v>-2.1860789863234337E-3</v>
      </c>
      <c r="D809" s="7">
        <f t="shared" si="37"/>
        <v>-0.22126140550225989</v>
      </c>
      <c r="E809" s="8">
        <f t="shared" si="38"/>
        <v>-0.7191240424496993</v>
      </c>
    </row>
    <row r="810" spans="1:5" x14ac:dyDescent="0.2">
      <c r="A810" s="4">
        <v>42794</v>
      </c>
      <c r="B810" s="3">
        <v>51146.05</v>
      </c>
      <c r="C810" s="6">
        <f t="shared" si="36"/>
        <v>-6.8413949537433159E-3</v>
      </c>
      <c r="D810" s="7">
        <f t="shared" si="37"/>
        <v>-0.64779958151853267</v>
      </c>
      <c r="E810" s="8">
        <f t="shared" si="38"/>
        <v>-1.1078838746653179</v>
      </c>
    </row>
    <row r="811" spans="1:5" x14ac:dyDescent="0.2">
      <c r="A811" s="4">
        <v>42795</v>
      </c>
      <c r="B811" s="3">
        <v>51682.19</v>
      </c>
      <c r="C811" s="6">
        <f t="shared" si="36"/>
        <v>1.0427969173190086E-2</v>
      </c>
      <c r="D811" s="7">
        <f t="shared" si="37"/>
        <v>0.93448680402739026</v>
      </c>
      <c r="E811" s="8">
        <f t="shared" si="38"/>
        <v>-1.517024920332227</v>
      </c>
    </row>
    <row r="812" spans="1:5" x14ac:dyDescent="0.2">
      <c r="A812" s="4">
        <v>42796</v>
      </c>
      <c r="B812" s="3">
        <v>51893.19</v>
      </c>
      <c r="C812" s="6">
        <f t="shared" si="36"/>
        <v>4.0743329522242569E-3</v>
      </c>
      <c r="D812" s="7">
        <f t="shared" si="37"/>
        <v>0.35234191338451265</v>
      </c>
      <c r="E812" s="8">
        <f t="shared" si="38"/>
        <v>-0.80272803404769688</v>
      </c>
    </row>
    <row r="813" spans="1:5" x14ac:dyDescent="0.2">
      <c r="A813" s="4">
        <v>42797</v>
      </c>
      <c r="B813" s="3">
        <v>51708.61</v>
      </c>
      <c r="C813" s="6">
        <f t="shared" si="36"/>
        <v>-3.5632623235985618E-3</v>
      </c>
      <c r="D813" s="7">
        <f t="shared" si="37"/>
        <v>-0.34744430540258681</v>
      </c>
      <c r="E813" s="8">
        <f t="shared" si="38"/>
        <v>-0.79897403131622258</v>
      </c>
    </row>
    <row r="814" spans="1:5" x14ac:dyDescent="0.2">
      <c r="A814" s="4">
        <v>42800</v>
      </c>
      <c r="B814" s="3">
        <v>51498.14</v>
      </c>
      <c r="C814" s="6">
        <f t="shared" si="36"/>
        <v>-4.0786148534992864E-3</v>
      </c>
      <c r="D814" s="7">
        <f t="shared" si="37"/>
        <v>-0.39466291089523531</v>
      </c>
      <c r="E814" s="8">
        <f t="shared" si="38"/>
        <v>-0.83710704850667916</v>
      </c>
    </row>
    <row r="815" spans="1:5" x14ac:dyDescent="0.2">
      <c r="A815" s="4">
        <v>42801</v>
      </c>
      <c r="B815" s="3">
        <v>51377.78</v>
      </c>
      <c r="C815" s="6">
        <f t="shared" si="36"/>
        <v>-2.339907238076908E-3</v>
      </c>
      <c r="D815" s="7">
        <f t="shared" si="37"/>
        <v>-0.23535574891136346</v>
      </c>
      <c r="E815" s="8">
        <f t="shared" si="38"/>
        <v>-0.72638434438832178</v>
      </c>
    </row>
    <row r="816" spans="1:5" x14ac:dyDescent="0.2">
      <c r="A816" s="4">
        <v>42802</v>
      </c>
      <c r="B816" s="3">
        <v>51299.99</v>
      </c>
      <c r="C816" s="6">
        <f t="shared" si="36"/>
        <v>-1.5152260296115898E-3</v>
      </c>
      <c r="D816" s="7">
        <f t="shared" si="37"/>
        <v>-0.15979524541053503</v>
      </c>
      <c r="E816" s="8">
        <f t="shared" si="38"/>
        <v>-0.69253158437654472</v>
      </c>
    </row>
    <row r="817" spans="1:5" x14ac:dyDescent="0.2">
      <c r="A817" s="4">
        <v>42803</v>
      </c>
      <c r="B817" s="3">
        <v>50910.71</v>
      </c>
      <c r="C817" s="6">
        <f t="shared" si="36"/>
        <v>-7.617243248400892E-3</v>
      </c>
      <c r="D817" s="7">
        <f t="shared" si="37"/>
        <v>-0.71888582330847273</v>
      </c>
      <c r="E817" s="8">
        <f t="shared" si="38"/>
        <v>-1.2009877982392987</v>
      </c>
    </row>
    <row r="818" spans="1:5" x14ac:dyDescent="0.2">
      <c r="A818" s="4">
        <v>42804</v>
      </c>
      <c r="B818" s="3">
        <v>51269.54</v>
      </c>
      <c r="C818" s="6">
        <f t="shared" si="36"/>
        <v>7.0234996503840807E-3</v>
      </c>
      <c r="D818" s="7">
        <f t="shared" si="37"/>
        <v>0.62255604986947599</v>
      </c>
      <c r="E818" s="8">
        <f t="shared" si="38"/>
        <v>-1.0764188925377525</v>
      </c>
    </row>
    <row r="819" spans="1:5" x14ac:dyDescent="0.2">
      <c r="A819" s="4">
        <v>42807</v>
      </c>
      <c r="B819" s="3">
        <v>51855.38</v>
      </c>
      <c r="C819" s="6">
        <f t="shared" si="36"/>
        <v>1.1361876494439396E-2</v>
      </c>
      <c r="D819" s="7">
        <f t="shared" si="37"/>
        <v>1.0200550292910988</v>
      </c>
      <c r="E819" s="8">
        <f t="shared" si="38"/>
        <v>-1.6532280049095154</v>
      </c>
    </row>
    <row r="820" spans="1:5" x14ac:dyDescent="0.2">
      <c r="A820" s="4">
        <v>42808</v>
      </c>
      <c r="B820" s="3">
        <v>51699.46</v>
      </c>
      <c r="C820" s="6">
        <f t="shared" si="36"/>
        <v>-3.0113535557928467E-3</v>
      </c>
      <c r="D820" s="7">
        <f t="shared" si="37"/>
        <v>-0.29687627504873959</v>
      </c>
      <c r="E820" s="8">
        <f t="shared" si="38"/>
        <v>-0.7630175354466735</v>
      </c>
    </row>
    <row r="821" spans="1:5" x14ac:dyDescent="0.2">
      <c r="A821" s="4">
        <v>42809</v>
      </c>
      <c r="B821" s="3">
        <v>51701.599999999999</v>
      </c>
      <c r="C821" s="6">
        <f t="shared" si="36"/>
        <v>4.1392225578719562E-5</v>
      </c>
      <c r="D821" s="7">
        <f t="shared" si="37"/>
        <v>-1.7171819638966409E-2</v>
      </c>
      <c r="E821" s="8">
        <f t="shared" si="38"/>
        <v>-0.66357331254467022</v>
      </c>
    </row>
    <row r="822" spans="1:5" x14ac:dyDescent="0.2">
      <c r="A822" s="4">
        <v>42810</v>
      </c>
      <c r="B822" s="3">
        <v>52748.97</v>
      </c>
      <c r="C822" s="6">
        <f t="shared" si="36"/>
        <v>2.0055517288049631E-2</v>
      </c>
      <c r="D822" s="7">
        <f t="shared" si="37"/>
        <v>1.8166002504959988</v>
      </c>
      <c r="E822" s="8">
        <f t="shared" si="38"/>
        <v>-3.0226970019524306</v>
      </c>
    </row>
    <row r="823" spans="1:5" x14ac:dyDescent="0.2">
      <c r="A823" s="4">
        <v>42811</v>
      </c>
      <c r="B823" s="3">
        <v>52550.99</v>
      </c>
      <c r="C823" s="6">
        <f t="shared" si="36"/>
        <v>-3.7603097529232982E-3</v>
      </c>
      <c r="D823" s="7">
        <f t="shared" si="37"/>
        <v>-0.36549855814957072</v>
      </c>
      <c r="E823" s="8">
        <f t="shared" si="38"/>
        <v>-0.81304527961989514</v>
      </c>
    </row>
    <row r="824" spans="1:5" x14ac:dyDescent="0.2">
      <c r="A824" s="4">
        <v>42814</v>
      </c>
      <c r="B824" s="3">
        <v>52753.56</v>
      </c>
      <c r="C824" s="6">
        <f t="shared" si="36"/>
        <v>3.8473218843459011E-3</v>
      </c>
      <c r="D824" s="7">
        <f t="shared" si="37"/>
        <v>0.33154227539946612</v>
      </c>
      <c r="E824" s="8">
        <f t="shared" si="38"/>
        <v>-0.78711253311198481</v>
      </c>
    </row>
    <row r="825" spans="1:5" x14ac:dyDescent="0.2">
      <c r="A825" s="4">
        <v>42816</v>
      </c>
      <c r="B825" s="3">
        <v>52096.71</v>
      </c>
      <c r="C825" s="6">
        <f t="shared" si="36"/>
        <v>-1.2529459257902669E-2</v>
      </c>
      <c r="D825" s="7">
        <f t="shared" si="37"/>
        <v>-1.1689621815093689</v>
      </c>
      <c r="E825" s="8">
        <f t="shared" si="38"/>
        <v>-1.9000942094525946</v>
      </c>
    </row>
    <row r="826" spans="1:5" x14ac:dyDescent="0.2">
      <c r="A826" s="4">
        <v>42817</v>
      </c>
      <c r="B826" s="3">
        <v>52027.98</v>
      </c>
      <c r="C826" s="6">
        <f t="shared" si="36"/>
        <v>-1.3201481796840042E-3</v>
      </c>
      <c r="D826" s="7">
        <f t="shared" si="37"/>
        <v>-0.14192145319715599</v>
      </c>
      <c r="E826" s="8">
        <f t="shared" si="38"/>
        <v>-0.68637078059873413</v>
      </c>
    </row>
    <row r="827" spans="1:5" x14ac:dyDescent="0.2">
      <c r="A827" s="4">
        <v>42818</v>
      </c>
      <c r="B827" s="3">
        <v>51816.31</v>
      </c>
      <c r="C827" s="6">
        <f t="shared" si="36"/>
        <v>-4.0766862222616435E-3</v>
      </c>
      <c r="D827" s="7">
        <f t="shared" si="37"/>
        <v>-0.39448620219145036</v>
      </c>
      <c r="E827" s="8">
        <f t="shared" si="38"/>
        <v>-0.83695637862633965</v>
      </c>
    </row>
    <row r="828" spans="1:5" x14ac:dyDescent="0.2">
      <c r="A828" s="4">
        <v>42821</v>
      </c>
      <c r="B828" s="3">
        <v>51724.92</v>
      </c>
      <c r="C828" s="6">
        <f t="shared" si="36"/>
        <v>-1.7652875812420822E-3</v>
      </c>
      <c r="D828" s="7">
        <f t="shared" si="37"/>
        <v>-0.18270685847197538</v>
      </c>
      <c r="E828" s="8">
        <f t="shared" si="38"/>
        <v>-0.70147084237346446</v>
      </c>
    </row>
    <row r="829" spans="1:5" x14ac:dyDescent="0.2">
      <c r="A829" s="4">
        <v>42822</v>
      </c>
      <c r="B829" s="3">
        <v>52309.23</v>
      </c>
      <c r="C829" s="6">
        <f t="shared" si="36"/>
        <v>1.1233160345832891E-2</v>
      </c>
      <c r="D829" s="7">
        <f t="shared" si="37"/>
        <v>1.0082615545549711</v>
      </c>
      <c r="E829" s="8">
        <f t="shared" si="38"/>
        <v>-1.6341714480615552</v>
      </c>
    </row>
    <row r="830" spans="1:5" x14ac:dyDescent="0.2">
      <c r="A830" s="4">
        <v>42823</v>
      </c>
      <c r="B830" s="3">
        <v>52444.78</v>
      </c>
      <c r="C830" s="6">
        <f t="shared" si="36"/>
        <v>2.5879691985974925E-3</v>
      </c>
      <c r="D830" s="7">
        <f t="shared" si="37"/>
        <v>0.2161554786063728</v>
      </c>
      <c r="E830" s="8">
        <f t="shared" si="38"/>
        <v>-0.71659980335538098</v>
      </c>
    </row>
    <row r="831" spans="1:5" x14ac:dyDescent="0.2">
      <c r="A831" s="4">
        <v>42824</v>
      </c>
      <c r="B831" s="3">
        <v>52261.18</v>
      </c>
      <c r="C831" s="6">
        <f t="shared" si="36"/>
        <v>-3.5069672857571525E-3</v>
      </c>
      <c r="D831" s="7">
        <f t="shared" si="37"/>
        <v>-0.34228633483137555</v>
      </c>
      <c r="E831" s="8">
        <f t="shared" si="38"/>
        <v>-0.79507163288957439</v>
      </c>
    </row>
    <row r="832" spans="1:5" x14ac:dyDescent="0.2">
      <c r="A832" s="4">
        <v>42825</v>
      </c>
      <c r="B832" s="3">
        <v>52056.06</v>
      </c>
      <c r="C832" s="6">
        <f t="shared" si="36"/>
        <v>-3.9326244512887598E-3</v>
      </c>
      <c r="D832" s="7">
        <f t="shared" si="37"/>
        <v>-0.38128670178063201</v>
      </c>
      <c r="E832" s="8">
        <f t="shared" si="38"/>
        <v>-0.82586914867988248</v>
      </c>
    </row>
    <row r="833" spans="1:5" x14ac:dyDescent="0.2">
      <c r="A833" s="4">
        <v>42828</v>
      </c>
      <c r="B833" s="3">
        <v>52457.760000000002</v>
      </c>
      <c r="C833" s="6">
        <f t="shared" si="36"/>
        <v>7.6870595307951218E-3</v>
      </c>
      <c r="D833" s="7">
        <f t="shared" si="37"/>
        <v>0.68335398991240881</v>
      </c>
      <c r="E833" s="8">
        <f t="shared" si="38"/>
        <v>-1.1536491045619297</v>
      </c>
    </row>
    <row r="834" spans="1:5" x14ac:dyDescent="0.2">
      <c r="A834" s="4">
        <v>42829</v>
      </c>
      <c r="B834" s="3">
        <v>52660.74</v>
      </c>
      <c r="C834" s="6">
        <f t="shared" si="36"/>
        <v>3.8619320534259323E-3</v>
      </c>
      <c r="D834" s="7">
        <f t="shared" si="37"/>
        <v>0.3328809159803201</v>
      </c>
      <c r="E834" s="8">
        <f t="shared" si="38"/>
        <v>-0.78809163434722129</v>
      </c>
    </row>
    <row r="835" spans="1:5" x14ac:dyDescent="0.2">
      <c r="A835" s="4">
        <v>42830</v>
      </c>
      <c r="B835" s="3">
        <v>52990.080000000002</v>
      </c>
      <c r="C835" s="6">
        <f t="shared" ref="C835:C898" si="39">LN(B835/B834)</f>
        <v>6.2345198412192618E-3</v>
      </c>
      <c r="D835" s="7">
        <f t="shared" ref="D835:D898" si="40">(C835-$G$4)/$G$5</f>
        <v>0.55026664758829336</v>
      </c>
      <c r="E835" s="8">
        <f t="shared" ref="E835:E898" si="41">LN((PI()*(G$3-2))^(-1/2)*EXP(GAMMALN((G$3+1)/2))*((1+D835^2/(G$3-2))^(-(G$3+1)/2))/EXP(GAMMALN(G$3/2)))</f>
        <v>-0.9913835564579716</v>
      </c>
    </row>
    <row r="836" spans="1:5" x14ac:dyDescent="0.2">
      <c r="A836" s="4">
        <v>42831</v>
      </c>
      <c r="B836" s="3">
        <v>52918.42</v>
      </c>
      <c r="C836" s="6">
        <f t="shared" si="39"/>
        <v>-1.3532438083010965E-3</v>
      </c>
      <c r="D836" s="7">
        <f t="shared" si="40"/>
        <v>-0.14495380356031948</v>
      </c>
      <c r="E836" s="8">
        <f t="shared" si="41"/>
        <v>-0.6873655391023622</v>
      </c>
    </row>
    <row r="837" spans="1:5" x14ac:dyDescent="0.2">
      <c r="A837" s="4">
        <v>42832</v>
      </c>
      <c r="B837" s="3">
        <v>52853.36</v>
      </c>
      <c r="C837" s="6">
        <f t="shared" si="39"/>
        <v>-1.2301959597362092E-3</v>
      </c>
      <c r="D837" s="7">
        <f t="shared" si="40"/>
        <v>-0.13367968054548959</v>
      </c>
      <c r="E837" s="8">
        <f t="shared" si="41"/>
        <v>-0.68377156911216153</v>
      </c>
    </row>
    <row r="838" spans="1:5" x14ac:dyDescent="0.2">
      <c r="A838" s="4">
        <v>42835</v>
      </c>
      <c r="B838" s="3">
        <v>53139.96</v>
      </c>
      <c r="C838" s="6">
        <f t="shared" si="39"/>
        <v>5.4079011484340946E-3</v>
      </c>
      <c r="D838" s="7">
        <f t="shared" si="40"/>
        <v>0.47452862422981568</v>
      </c>
      <c r="E838" s="8">
        <f t="shared" si="41"/>
        <v>-0.91106620607413014</v>
      </c>
    </row>
    <row r="839" spans="1:5" x14ac:dyDescent="0.2">
      <c r="A839" s="4">
        <v>42836</v>
      </c>
      <c r="B839" s="3">
        <v>53535.16</v>
      </c>
      <c r="C839" s="6">
        <f t="shared" si="39"/>
        <v>7.4094467020063906E-3</v>
      </c>
      <c r="D839" s="7">
        <f t="shared" si="40"/>
        <v>0.65791802155731316</v>
      </c>
      <c r="E839" s="8">
        <f t="shared" si="41"/>
        <v>-1.1207391513714959</v>
      </c>
    </row>
    <row r="840" spans="1:5" x14ac:dyDescent="0.2">
      <c r="A840" s="4">
        <v>42837</v>
      </c>
      <c r="B840" s="3">
        <v>53551.31</v>
      </c>
      <c r="C840" s="6">
        <f t="shared" si="39"/>
        <v>3.0162540837211057E-4</v>
      </c>
      <c r="D840" s="7">
        <f t="shared" si="40"/>
        <v>6.6717578763792482E-3</v>
      </c>
      <c r="E840" s="8">
        <f t="shared" si="41"/>
        <v>-0.66328447483085973</v>
      </c>
    </row>
    <row r="841" spans="1:5" x14ac:dyDescent="0.2">
      <c r="A841" s="4">
        <v>42838</v>
      </c>
      <c r="B841" s="3">
        <v>53510.22</v>
      </c>
      <c r="C841" s="6">
        <f t="shared" si="39"/>
        <v>-7.675960173094315E-4</v>
      </c>
      <c r="D841" s="7">
        <f t="shared" si="40"/>
        <v>-9.129447252763094E-2</v>
      </c>
      <c r="E841" s="8">
        <f t="shared" si="41"/>
        <v>-0.67283207554729541</v>
      </c>
    </row>
    <row r="842" spans="1:5" x14ac:dyDescent="0.2">
      <c r="A842" s="4">
        <v>42843</v>
      </c>
      <c r="B842" s="3">
        <v>52672.75</v>
      </c>
      <c r="C842" s="6">
        <f t="shared" si="39"/>
        <v>-1.5774419678183198E-2</v>
      </c>
      <c r="D842" s="7">
        <f t="shared" si="40"/>
        <v>-1.4662780905900934</v>
      </c>
      <c r="E842" s="8">
        <f t="shared" si="41"/>
        <v>-2.4134854850316505</v>
      </c>
    </row>
    <row r="843" spans="1:5" x14ac:dyDescent="0.2">
      <c r="A843" s="4">
        <v>42844</v>
      </c>
      <c r="B843" s="3">
        <v>52545.120000000003</v>
      </c>
      <c r="C843" s="6">
        <f t="shared" si="39"/>
        <v>-2.4260149458966563E-3</v>
      </c>
      <c r="D843" s="7">
        <f t="shared" si="40"/>
        <v>-0.24324527239192184</v>
      </c>
      <c r="E843" s="8">
        <f t="shared" si="41"/>
        <v>-0.73063482331236462</v>
      </c>
    </row>
    <row r="844" spans="1:5" x14ac:dyDescent="0.2">
      <c r="A844" s="4">
        <v>42845</v>
      </c>
      <c r="B844" s="3">
        <v>52496.62</v>
      </c>
      <c r="C844" s="6">
        <f t="shared" si="39"/>
        <v>-9.2344249907728342E-4</v>
      </c>
      <c r="D844" s="7">
        <f t="shared" si="40"/>
        <v>-0.1055737340293277</v>
      </c>
      <c r="E844" s="8">
        <f t="shared" si="41"/>
        <v>-0.67606179142111777</v>
      </c>
    </row>
    <row r="845" spans="1:5" x14ac:dyDescent="0.2">
      <c r="A845" s="4">
        <v>42846</v>
      </c>
      <c r="B845" s="3">
        <v>52194.59</v>
      </c>
      <c r="C845" s="6">
        <f t="shared" si="39"/>
        <v>-5.7699369017850484E-3</v>
      </c>
      <c r="D845" s="7">
        <f t="shared" si="40"/>
        <v>-0.54962842270597168</v>
      </c>
      <c r="E845" s="8">
        <f t="shared" si="41"/>
        <v>-0.99066795663501162</v>
      </c>
    </row>
    <row r="846" spans="1:5" x14ac:dyDescent="0.2">
      <c r="A846" s="4">
        <v>42849</v>
      </c>
      <c r="B846" s="3">
        <v>52921.41</v>
      </c>
      <c r="C846" s="6">
        <f t="shared" si="39"/>
        <v>1.3829133211870218E-2</v>
      </c>
      <c r="D846" s="7">
        <f t="shared" si="40"/>
        <v>1.2461146968586474</v>
      </c>
      <c r="E846" s="8">
        <f t="shared" si="41"/>
        <v>-2.0315137743969958</v>
      </c>
    </row>
    <row r="847" spans="1:5" x14ac:dyDescent="0.2">
      <c r="A847" s="4">
        <v>42850</v>
      </c>
      <c r="B847" s="3">
        <v>53257.440000000002</v>
      </c>
      <c r="C847" s="6">
        <f t="shared" si="39"/>
        <v>6.3295302569598682E-3</v>
      </c>
      <c r="D847" s="7">
        <f t="shared" si="40"/>
        <v>0.55897187183433017</v>
      </c>
      <c r="E847" s="8">
        <f t="shared" si="41"/>
        <v>-1.0012074882667625</v>
      </c>
    </row>
    <row r="848" spans="1:5" x14ac:dyDescent="0.2">
      <c r="A848" s="4">
        <v>42851</v>
      </c>
      <c r="B848" s="3">
        <v>53680.69</v>
      </c>
      <c r="C848" s="6">
        <f t="shared" si="39"/>
        <v>7.915833390444816E-3</v>
      </c>
      <c r="D848" s="7">
        <f t="shared" si="40"/>
        <v>0.70431514174358423</v>
      </c>
      <c r="E848" s="8">
        <f t="shared" si="41"/>
        <v>-1.1813879894008636</v>
      </c>
    </row>
    <row r="849" spans="1:5" x14ac:dyDescent="0.2">
      <c r="A849" s="4">
        <v>42853</v>
      </c>
      <c r="B849" s="3">
        <v>53817.31</v>
      </c>
      <c r="C849" s="6">
        <f t="shared" si="39"/>
        <v>2.5418160999557651E-3</v>
      </c>
      <c r="D849" s="7">
        <f t="shared" si="40"/>
        <v>0.21192675199578095</v>
      </c>
      <c r="E849" s="8">
        <f t="shared" si="41"/>
        <v>-0.71455207565054457</v>
      </c>
    </row>
    <row r="850" spans="1:5" x14ac:dyDescent="0.2">
      <c r="A850" s="4">
        <v>42857</v>
      </c>
      <c r="B850" s="3">
        <v>53915.64</v>
      </c>
      <c r="C850" s="6">
        <f t="shared" si="39"/>
        <v>1.8254401704373717E-3</v>
      </c>
      <c r="D850" s="7">
        <f t="shared" si="40"/>
        <v>0.14628959987609591</v>
      </c>
      <c r="E850" s="8">
        <f t="shared" si="41"/>
        <v>-0.68781029677348904</v>
      </c>
    </row>
    <row r="851" spans="1:5" x14ac:dyDescent="0.2">
      <c r="A851" s="4">
        <v>42858</v>
      </c>
      <c r="B851" s="3">
        <v>53586.63</v>
      </c>
      <c r="C851" s="6">
        <f t="shared" si="39"/>
        <v>-6.1210061376946066E-3</v>
      </c>
      <c r="D851" s="7">
        <f t="shared" si="40"/>
        <v>-0.58179475310937989</v>
      </c>
      <c r="E851" s="8">
        <f t="shared" si="41"/>
        <v>-1.0275151535115965</v>
      </c>
    </row>
    <row r="852" spans="1:5" x14ac:dyDescent="0.2">
      <c r="A852" s="4">
        <v>42859</v>
      </c>
      <c r="B852" s="3">
        <v>53406.31</v>
      </c>
      <c r="C852" s="6">
        <f t="shared" si="39"/>
        <v>-3.3706928835959176E-3</v>
      </c>
      <c r="D852" s="7">
        <f t="shared" si="40"/>
        <v>-0.3298003434738917</v>
      </c>
      <c r="E852" s="8">
        <f t="shared" si="41"/>
        <v>-0.78584382737368663</v>
      </c>
    </row>
    <row r="853" spans="1:5" x14ac:dyDescent="0.2">
      <c r="A853" s="4">
        <v>42860</v>
      </c>
      <c r="B853" s="3">
        <v>53579.01</v>
      </c>
      <c r="C853" s="6">
        <f t="shared" si="39"/>
        <v>3.2284831228396814E-3</v>
      </c>
      <c r="D853" s="7">
        <f t="shared" si="40"/>
        <v>0.27484185840772196</v>
      </c>
      <c r="E853" s="8">
        <f t="shared" si="41"/>
        <v>-0.74898337634843326</v>
      </c>
    </row>
    <row r="854" spans="1:5" x14ac:dyDescent="0.2">
      <c r="A854" s="4">
        <v>42863</v>
      </c>
      <c r="B854" s="3">
        <v>53696.37</v>
      </c>
      <c r="C854" s="6">
        <f t="shared" si="39"/>
        <v>2.1880145625369201E-3</v>
      </c>
      <c r="D854" s="7">
        <f t="shared" si="40"/>
        <v>0.17951007748893194</v>
      </c>
      <c r="E854" s="8">
        <f t="shared" si="41"/>
        <v>-0.70015368047146609</v>
      </c>
    </row>
    <row r="855" spans="1:5" x14ac:dyDescent="0.2">
      <c r="A855" s="4">
        <v>42864</v>
      </c>
      <c r="B855" s="3">
        <v>54172.76</v>
      </c>
      <c r="C855" s="6">
        <f t="shared" si="39"/>
        <v>8.8327976179655779E-3</v>
      </c>
      <c r="D855" s="7">
        <f t="shared" si="40"/>
        <v>0.78833097478609337</v>
      </c>
      <c r="E855" s="8">
        <f t="shared" si="41"/>
        <v>-1.2977607904150554</v>
      </c>
    </row>
    <row r="856" spans="1:5" x14ac:dyDescent="0.2">
      <c r="A856" s="4">
        <v>42865</v>
      </c>
      <c r="B856" s="3">
        <v>54254.35</v>
      </c>
      <c r="C856" s="6">
        <f t="shared" si="39"/>
        <v>1.5049744551848189E-3</v>
      </c>
      <c r="D856" s="7">
        <f t="shared" si="40"/>
        <v>0.11692728320066467</v>
      </c>
      <c r="E856" s="8">
        <f t="shared" si="41"/>
        <v>-0.67896076263210436</v>
      </c>
    </row>
    <row r="857" spans="1:5" x14ac:dyDescent="0.2">
      <c r="A857" s="4">
        <v>42866</v>
      </c>
      <c r="B857" s="3">
        <v>54114</v>
      </c>
      <c r="C857" s="6">
        <f t="shared" si="39"/>
        <v>-2.5902411261483562E-3</v>
      </c>
      <c r="D857" s="7">
        <f t="shared" si="40"/>
        <v>-0.2582923144979602</v>
      </c>
      <c r="E857" s="8">
        <f t="shared" si="41"/>
        <v>-0.73910951901979294</v>
      </c>
    </row>
    <row r="858" spans="1:5" x14ac:dyDescent="0.2">
      <c r="A858" s="4">
        <v>42867</v>
      </c>
      <c r="B858" s="3">
        <v>54063.34</v>
      </c>
      <c r="C858" s="6">
        <f t="shared" si="39"/>
        <v>-9.3661026798061691E-4</v>
      </c>
      <c r="D858" s="7">
        <f t="shared" si="40"/>
        <v>-0.10678021628950918</v>
      </c>
      <c r="E858" s="8">
        <f t="shared" si="41"/>
        <v>-0.67635594574416147</v>
      </c>
    </row>
    <row r="859" spans="1:5" x14ac:dyDescent="0.2">
      <c r="A859" s="4">
        <v>42870</v>
      </c>
      <c r="B859" s="3">
        <v>54052.18</v>
      </c>
      <c r="C859" s="6">
        <f t="shared" si="39"/>
        <v>-2.0644584680598886E-4</v>
      </c>
      <c r="D859" s="7">
        <f t="shared" si="40"/>
        <v>-3.9879708874023326E-2</v>
      </c>
      <c r="E859" s="8">
        <f t="shared" si="41"/>
        <v>-0.66506744265127227</v>
      </c>
    </row>
    <row r="860" spans="1:5" x14ac:dyDescent="0.2">
      <c r="A860" s="4">
        <v>42871</v>
      </c>
      <c r="B860" s="3">
        <v>54023.12</v>
      </c>
      <c r="C860" s="6">
        <f t="shared" si="39"/>
        <v>-5.3777321368233177E-4</v>
      </c>
      <c r="D860" s="7">
        <f t="shared" si="40"/>
        <v>-7.023721236481982E-2</v>
      </c>
      <c r="E860" s="8">
        <f t="shared" si="41"/>
        <v>-0.66891890759161055</v>
      </c>
    </row>
    <row r="861" spans="1:5" x14ac:dyDescent="0.2">
      <c r="A861" s="4">
        <v>42872</v>
      </c>
      <c r="B861" s="3">
        <v>54001.94</v>
      </c>
      <c r="C861" s="6">
        <f t="shared" si="39"/>
        <v>-3.9213123827741905E-4</v>
      </c>
      <c r="D861" s="7">
        <f t="shared" si="40"/>
        <v>-5.6892927470867043E-2</v>
      </c>
      <c r="E861" s="8">
        <f t="shared" si="41"/>
        <v>-0.66696504493077946</v>
      </c>
    </row>
    <row r="862" spans="1:5" x14ac:dyDescent="0.2">
      <c r="A862" s="4">
        <v>42873</v>
      </c>
      <c r="B862" s="3">
        <v>54197.120000000003</v>
      </c>
      <c r="C862" s="6">
        <f t="shared" si="39"/>
        <v>3.6077986575599767E-3</v>
      </c>
      <c r="D862" s="7">
        <f t="shared" si="40"/>
        <v>0.30959622469489417</v>
      </c>
      <c r="E862" s="8">
        <f t="shared" si="41"/>
        <v>-0.77157502756429452</v>
      </c>
    </row>
    <row r="863" spans="1:5" x14ac:dyDescent="0.2">
      <c r="A863" s="4">
        <v>42874</v>
      </c>
      <c r="B863" s="3">
        <v>54427.3</v>
      </c>
      <c r="C863" s="6">
        <f t="shared" si="39"/>
        <v>4.2380957160561179E-3</v>
      </c>
      <c r="D863" s="7">
        <f t="shared" si="40"/>
        <v>0.36734649547369347</v>
      </c>
      <c r="E863" s="8">
        <f t="shared" si="41"/>
        <v>-0.8145214039520452</v>
      </c>
    </row>
    <row r="864" spans="1:5" x14ac:dyDescent="0.2">
      <c r="A864" s="4">
        <v>42877</v>
      </c>
      <c r="B864" s="3">
        <v>54517.06</v>
      </c>
      <c r="C864" s="6">
        <f t="shared" si="39"/>
        <v>1.6478139907447418E-3</v>
      </c>
      <c r="D864" s="7">
        <f t="shared" si="40"/>
        <v>0.13001479764375162</v>
      </c>
      <c r="E864" s="8">
        <f t="shared" si="41"/>
        <v>-0.68266493225607394</v>
      </c>
    </row>
    <row r="865" spans="1:5" x14ac:dyDescent="0.2">
      <c r="A865" s="4">
        <v>42878</v>
      </c>
      <c r="B865" s="3">
        <v>54548.91</v>
      </c>
      <c r="C865" s="6">
        <f t="shared" si="39"/>
        <v>5.8405020200852137E-4</v>
      </c>
      <c r="D865" s="7">
        <f t="shared" si="40"/>
        <v>3.2548617187867029E-2</v>
      </c>
      <c r="E865" s="8">
        <f t="shared" si="41"/>
        <v>-0.6644551639799795</v>
      </c>
    </row>
    <row r="866" spans="1:5" x14ac:dyDescent="0.2">
      <c r="A866" s="4">
        <v>42879</v>
      </c>
      <c r="B866" s="3">
        <v>54308.67</v>
      </c>
      <c r="C866" s="6">
        <f t="shared" si="39"/>
        <v>-4.4138477087319545E-3</v>
      </c>
      <c r="D866" s="7">
        <f t="shared" si="40"/>
        <v>-0.42537825043660671</v>
      </c>
      <c r="E866" s="8">
        <f t="shared" si="41"/>
        <v>-0.86418184558659872</v>
      </c>
    </row>
    <row r="867" spans="1:5" x14ac:dyDescent="0.2">
      <c r="A867" s="4">
        <v>42880</v>
      </c>
      <c r="B867" s="3">
        <v>54028.39</v>
      </c>
      <c r="C867" s="6">
        <f t="shared" si="39"/>
        <v>-5.1742335507458442E-3</v>
      </c>
      <c r="D867" s="7">
        <f t="shared" si="40"/>
        <v>-0.49504776210693008</v>
      </c>
      <c r="E867" s="8">
        <f t="shared" si="41"/>
        <v>-0.93188691282621516</v>
      </c>
    </row>
    <row r="868" spans="1:5" x14ac:dyDescent="0.2">
      <c r="A868" s="4">
        <v>42881</v>
      </c>
      <c r="B868" s="3">
        <v>53996.14</v>
      </c>
      <c r="C868" s="6">
        <f t="shared" si="39"/>
        <v>-5.9708662390156402E-4</v>
      </c>
      <c r="D868" s="7">
        <f t="shared" si="40"/>
        <v>-7.5671737966363048E-2</v>
      </c>
      <c r="E868" s="8">
        <f t="shared" si="41"/>
        <v>-0.66983167186820081</v>
      </c>
    </row>
    <row r="869" spans="1:5" x14ac:dyDescent="0.2">
      <c r="A869" s="4">
        <v>42884</v>
      </c>
      <c r="B869" s="3">
        <v>53944.22</v>
      </c>
      <c r="C869" s="6">
        <f t="shared" si="39"/>
        <v>-9.6201280047965125E-4</v>
      </c>
      <c r="D869" s="7">
        <f t="shared" si="40"/>
        <v>-0.10910769523060829</v>
      </c>
      <c r="E869" s="8">
        <f t="shared" si="41"/>
        <v>-0.67693276080262887</v>
      </c>
    </row>
    <row r="870" spans="1:5" x14ac:dyDescent="0.2">
      <c r="A870" s="4">
        <v>42885</v>
      </c>
      <c r="B870" s="3">
        <v>54158.04</v>
      </c>
      <c r="C870" s="6">
        <f t="shared" si="39"/>
        <v>3.9558891523650292E-3</v>
      </c>
      <c r="D870" s="7">
        <f t="shared" si="40"/>
        <v>0.34148963123954973</v>
      </c>
      <c r="E870" s="8">
        <f t="shared" si="41"/>
        <v>-0.79447356147351111</v>
      </c>
    </row>
    <row r="871" spans="1:5" x14ac:dyDescent="0.2">
      <c r="A871" s="4">
        <v>42886</v>
      </c>
      <c r="B871" s="3">
        <v>53562.57</v>
      </c>
      <c r="C871" s="6">
        <f t="shared" si="39"/>
        <v>-1.1055935638130197E-2</v>
      </c>
      <c r="D871" s="7">
        <f t="shared" si="40"/>
        <v>-1.0339522097924572</v>
      </c>
      <c r="E871" s="8">
        <f t="shared" si="41"/>
        <v>-1.6757901936326145</v>
      </c>
    </row>
    <row r="872" spans="1:5" x14ac:dyDescent="0.2">
      <c r="A872" s="4">
        <v>42887</v>
      </c>
      <c r="B872" s="3">
        <v>52840.68</v>
      </c>
      <c r="C872" s="6">
        <f t="shared" si="39"/>
        <v>-1.3569154631699021E-2</v>
      </c>
      <c r="D872" s="7">
        <f t="shared" si="40"/>
        <v>-1.2642231200697729</v>
      </c>
      <c r="E872" s="8">
        <f t="shared" si="41"/>
        <v>-2.0626096490809784</v>
      </c>
    </row>
    <row r="873" spans="1:5" x14ac:dyDescent="0.2">
      <c r="A873" s="4">
        <v>42888</v>
      </c>
      <c r="B873" s="3">
        <v>52889.7</v>
      </c>
      <c r="C873" s="6">
        <f t="shared" si="39"/>
        <v>9.2726430213065905E-4</v>
      </c>
      <c r="D873" s="7">
        <f t="shared" si="40"/>
        <v>6.3995229463746348E-2</v>
      </c>
      <c r="E873" s="8">
        <f t="shared" si="41"/>
        <v>-0.66795408126434563</v>
      </c>
    </row>
    <row r="874" spans="1:5" x14ac:dyDescent="0.2">
      <c r="A874" s="4">
        <v>42891</v>
      </c>
      <c r="B874" s="3">
        <v>52870.12</v>
      </c>
      <c r="C874" s="6">
        <f t="shared" si="39"/>
        <v>-3.7027294909724263E-4</v>
      </c>
      <c r="D874" s="7">
        <f t="shared" si="40"/>
        <v>-5.4890185903377693E-2</v>
      </c>
      <c r="E874" s="8">
        <f t="shared" si="41"/>
        <v>-0.66670709657697957</v>
      </c>
    </row>
    <row r="875" spans="1:5" x14ac:dyDescent="0.2">
      <c r="A875" s="4">
        <v>42892</v>
      </c>
      <c r="B875" s="3">
        <v>52251.87</v>
      </c>
      <c r="C875" s="6">
        <f t="shared" si="39"/>
        <v>-1.1762660284783084E-2</v>
      </c>
      <c r="D875" s="7">
        <f t="shared" si="40"/>
        <v>-1.0987050737953998</v>
      </c>
      <c r="E875" s="8">
        <f t="shared" si="41"/>
        <v>-1.7823065604052692</v>
      </c>
    </row>
    <row r="876" spans="1:5" x14ac:dyDescent="0.2">
      <c r="A876" s="4">
        <v>42893</v>
      </c>
      <c r="B876" s="3">
        <v>52117.82</v>
      </c>
      <c r="C876" s="6">
        <f t="shared" si="39"/>
        <v>-2.5687548503930211E-3</v>
      </c>
      <c r="D876" s="7">
        <f t="shared" si="40"/>
        <v>-0.25632365824901765</v>
      </c>
      <c r="E876" s="8">
        <f t="shared" si="41"/>
        <v>-0.7379734078168857</v>
      </c>
    </row>
    <row r="877" spans="1:5" x14ac:dyDescent="0.2">
      <c r="A877" s="4">
        <v>42894</v>
      </c>
      <c r="B877" s="3">
        <v>51958.52</v>
      </c>
      <c r="C877" s="6">
        <f t="shared" si="39"/>
        <v>-3.061216879852959E-3</v>
      </c>
      <c r="D877" s="7">
        <f t="shared" si="40"/>
        <v>-0.30144494695920848</v>
      </c>
      <c r="E877" s="8">
        <f t="shared" si="41"/>
        <v>-0.76605301642683243</v>
      </c>
    </row>
    <row r="878" spans="1:5" x14ac:dyDescent="0.2">
      <c r="A878" s="4">
        <v>42895</v>
      </c>
      <c r="B878" s="3">
        <v>52216.93</v>
      </c>
      <c r="C878" s="6">
        <f t="shared" si="39"/>
        <v>4.961063859134314E-3</v>
      </c>
      <c r="D878" s="7">
        <f t="shared" si="40"/>
        <v>0.43358765186878889</v>
      </c>
      <c r="E878" s="8">
        <f t="shared" si="41"/>
        <v>-0.87171236158668119</v>
      </c>
    </row>
    <row r="879" spans="1:5" x14ac:dyDescent="0.2">
      <c r="A879" s="4">
        <v>42898</v>
      </c>
      <c r="B879" s="3">
        <v>51564</v>
      </c>
      <c r="C879" s="6">
        <f t="shared" si="39"/>
        <v>-1.2583017226206706E-2</v>
      </c>
      <c r="D879" s="7">
        <f t="shared" si="40"/>
        <v>-1.1738693711118402</v>
      </c>
      <c r="E879" s="8">
        <f t="shared" si="41"/>
        <v>-1.9083945658197325</v>
      </c>
    </row>
    <row r="880" spans="1:5" x14ac:dyDescent="0.2">
      <c r="A880" s="4">
        <v>42899</v>
      </c>
      <c r="B880" s="3">
        <v>51625.07</v>
      </c>
      <c r="C880" s="6">
        <f t="shared" si="39"/>
        <v>1.1836526316226217E-3</v>
      </c>
      <c r="D880" s="7">
        <f t="shared" si="40"/>
        <v>8.7486526548350291E-2</v>
      </c>
      <c r="E880" s="8">
        <f t="shared" si="41"/>
        <v>-0.6720493233564846</v>
      </c>
    </row>
    <row r="881" spans="1:5" x14ac:dyDescent="0.2">
      <c r="A881" s="4">
        <v>42900</v>
      </c>
      <c r="B881" s="3">
        <v>51489.16</v>
      </c>
      <c r="C881" s="6">
        <f t="shared" si="39"/>
        <v>-2.6361071348521598E-3</v>
      </c>
      <c r="D881" s="7">
        <f t="shared" si="40"/>
        <v>-0.26249473681055563</v>
      </c>
      <c r="E881" s="8">
        <f t="shared" si="41"/>
        <v>-0.74156215539871795</v>
      </c>
    </row>
    <row r="882" spans="1:5" x14ac:dyDescent="0.2">
      <c r="A882" s="4">
        <v>42901</v>
      </c>
      <c r="B882" s="3">
        <v>50831.89</v>
      </c>
      <c r="C882" s="6">
        <f t="shared" si="39"/>
        <v>-1.2847386543996593E-2</v>
      </c>
      <c r="D882" s="7">
        <f t="shared" si="40"/>
        <v>-1.1980919174210356</v>
      </c>
      <c r="E882" s="8">
        <f t="shared" si="41"/>
        <v>-1.9494900512768067</v>
      </c>
    </row>
    <row r="883" spans="1:5" x14ac:dyDescent="0.2">
      <c r="A883" s="4">
        <v>42905</v>
      </c>
      <c r="B883" s="3">
        <v>51615.9</v>
      </c>
      <c r="C883" s="6">
        <f t="shared" si="39"/>
        <v>1.5305851023532428E-2</v>
      </c>
      <c r="D883" s="7">
        <f t="shared" si="40"/>
        <v>1.3814173328741868</v>
      </c>
      <c r="E883" s="8">
        <f t="shared" si="41"/>
        <v>-2.2654855805712599</v>
      </c>
    </row>
    <row r="884" spans="1:5" x14ac:dyDescent="0.2">
      <c r="A884" s="4">
        <v>42906</v>
      </c>
      <c r="B884" s="3">
        <v>51160.57</v>
      </c>
      <c r="C884" s="6">
        <f t="shared" si="39"/>
        <v>-8.8606463917789667E-3</v>
      </c>
      <c r="D884" s="7">
        <f t="shared" si="40"/>
        <v>-0.83281126092454194</v>
      </c>
      <c r="E884" s="8">
        <f t="shared" si="41"/>
        <v>-1.3624297016203843</v>
      </c>
    </row>
    <row r="885" spans="1:5" x14ac:dyDescent="0.2">
      <c r="A885" s="4">
        <v>42907</v>
      </c>
      <c r="B885" s="3">
        <v>51402.69</v>
      </c>
      <c r="C885" s="6">
        <f t="shared" si="39"/>
        <v>4.7213875566749488E-3</v>
      </c>
      <c r="D885" s="7">
        <f t="shared" si="40"/>
        <v>0.41162757577496328</v>
      </c>
      <c r="E885" s="8">
        <f t="shared" si="41"/>
        <v>-0.85184456874372627</v>
      </c>
    </row>
    <row r="886" spans="1:5" x14ac:dyDescent="0.2">
      <c r="A886" s="4">
        <v>42908</v>
      </c>
      <c r="B886" s="3">
        <v>51072.86</v>
      </c>
      <c r="C886" s="6">
        <f t="shared" si="39"/>
        <v>-6.4372650640599658E-3</v>
      </c>
      <c r="D886" s="7">
        <f t="shared" si="40"/>
        <v>-0.61077162740638036</v>
      </c>
      <c r="E886" s="8">
        <f t="shared" si="41"/>
        <v>-1.0620341562907238</v>
      </c>
    </row>
    <row r="887" spans="1:5" x14ac:dyDescent="0.2">
      <c r="A887" s="4">
        <v>42909</v>
      </c>
      <c r="B887" s="3">
        <v>51503.519999999997</v>
      </c>
      <c r="C887" s="6">
        <f t="shared" si="39"/>
        <v>8.3969141905312038E-3</v>
      </c>
      <c r="D887" s="7">
        <f t="shared" si="40"/>
        <v>0.74839363790182123</v>
      </c>
      <c r="E887" s="8">
        <f t="shared" si="41"/>
        <v>-1.2414477813707101</v>
      </c>
    </row>
    <row r="888" spans="1:5" x14ac:dyDescent="0.2">
      <c r="A888" s="4">
        <v>42912</v>
      </c>
      <c r="B888" s="3">
        <v>51288.71</v>
      </c>
      <c r="C888" s="6">
        <f t="shared" si="39"/>
        <v>-4.17950486522834E-3</v>
      </c>
      <c r="D888" s="7">
        <f t="shared" si="40"/>
        <v>-0.40390684661997223</v>
      </c>
      <c r="E888" s="8">
        <f t="shared" si="41"/>
        <v>-0.84507072160222374</v>
      </c>
    </row>
    <row r="889" spans="1:5" x14ac:dyDescent="0.2">
      <c r="A889" s="4">
        <v>42913</v>
      </c>
      <c r="B889" s="3">
        <v>51432.24</v>
      </c>
      <c r="C889" s="6">
        <f t="shared" si="39"/>
        <v>2.7945632007709744E-3</v>
      </c>
      <c r="D889" s="7">
        <f t="shared" si="40"/>
        <v>0.23508442553063877</v>
      </c>
      <c r="E889" s="8">
        <f t="shared" si="41"/>
        <v>-0.72624054216404643</v>
      </c>
    </row>
    <row r="890" spans="1:5" x14ac:dyDescent="0.2">
      <c r="A890" s="4">
        <v>42914</v>
      </c>
      <c r="B890" s="3">
        <v>51596.84</v>
      </c>
      <c r="C890" s="6">
        <f t="shared" si="39"/>
        <v>3.1952171181006232E-3</v>
      </c>
      <c r="D890" s="7">
        <f t="shared" si="40"/>
        <v>0.27179389752084565</v>
      </c>
      <c r="E890" s="8">
        <f t="shared" si="41"/>
        <v>-0.74712165477272152</v>
      </c>
    </row>
    <row r="891" spans="1:5" x14ac:dyDescent="0.2">
      <c r="A891" s="4">
        <v>42915</v>
      </c>
      <c r="B891" s="3">
        <v>51355.97</v>
      </c>
      <c r="C891" s="6">
        <f t="shared" si="39"/>
        <v>-4.6792397311532091E-3</v>
      </c>
      <c r="D891" s="7">
        <f t="shared" si="40"/>
        <v>-0.4496945009263818</v>
      </c>
      <c r="E891" s="8">
        <f t="shared" si="41"/>
        <v>-0.88684059533091275</v>
      </c>
    </row>
    <row r="892" spans="1:5" x14ac:dyDescent="0.2">
      <c r="A892" s="4">
        <v>42916</v>
      </c>
      <c r="B892" s="3">
        <v>51611.01</v>
      </c>
      <c r="C892" s="6">
        <f t="shared" si="39"/>
        <v>4.9538312489308808E-3</v>
      </c>
      <c r="D892" s="7">
        <f t="shared" si="40"/>
        <v>0.43292497195928348</v>
      </c>
      <c r="E892" s="8">
        <f t="shared" si="41"/>
        <v>-0.87109994256346124</v>
      </c>
    </row>
    <row r="893" spans="1:5" x14ac:dyDescent="0.2">
      <c r="A893" s="4">
        <v>42919</v>
      </c>
      <c r="B893" s="3">
        <v>52163.8</v>
      </c>
      <c r="C893" s="6">
        <f t="shared" si="39"/>
        <v>1.0653745905547476E-2</v>
      </c>
      <c r="D893" s="7">
        <f t="shared" si="40"/>
        <v>0.95517334738569404</v>
      </c>
      <c r="E893" s="8">
        <f t="shared" si="41"/>
        <v>-1.5494929270581206</v>
      </c>
    </row>
    <row r="894" spans="1:5" x14ac:dyDescent="0.2">
      <c r="A894" s="4">
        <v>42920</v>
      </c>
      <c r="B894" s="3">
        <v>52049.25</v>
      </c>
      <c r="C894" s="6">
        <f t="shared" si="39"/>
        <v>-2.1983819902382479E-3</v>
      </c>
      <c r="D894" s="7">
        <f t="shared" si="40"/>
        <v>-0.22238865462693194</v>
      </c>
      <c r="E894" s="8">
        <f t="shared" si="41"/>
        <v>-0.71968893704510928</v>
      </c>
    </row>
    <row r="895" spans="1:5" x14ac:dyDescent="0.2">
      <c r="A895" s="4">
        <v>42921</v>
      </c>
      <c r="B895" s="3">
        <v>52483.9</v>
      </c>
      <c r="C895" s="6">
        <f t="shared" si="39"/>
        <v>8.3160701638115599E-3</v>
      </c>
      <c r="D895" s="7">
        <f t="shared" si="40"/>
        <v>0.74098639337961547</v>
      </c>
      <c r="E895" s="8">
        <f t="shared" si="41"/>
        <v>-1.2311968355809149</v>
      </c>
    </row>
    <row r="896" spans="1:5" x14ac:dyDescent="0.2">
      <c r="A896" s="4">
        <v>42922</v>
      </c>
      <c r="B896" s="3">
        <v>52285.08</v>
      </c>
      <c r="C896" s="6">
        <f t="shared" si="39"/>
        <v>-3.7954027741445612E-3</v>
      </c>
      <c r="D896" s="7">
        <f t="shared" si="40"/>
        <v>-0.36871391740066661</v>
      </c>
      <c r="E896" s="8">
        <f t="shared" si="41"/>
        <v>-0.81561795412599347</v>
      </c>
    </row>
    <row r="897" spans="1:5" x14ac:dyDescent="0.2">
      <c r="A897" s="4">
        <v>42923</v>
      </c>
      <c r="B897" s="3">
        <v>51900.26</v>
      </c>
      <c r="C897" s="6">
        <f t="shared" si="39"/>
        <v>-7.3872533317228938E-3</v>
      </c>
      <c r="D897" s="7">
        <f t="shared" si="40"/>
        <v>-0.69781325159722585</v>
      </c>
      <c r="E897" s="8">
        <f t="shared" si="41"/>
        <v>-1.1727253085559757</v>
      </c>
    </row>
    <row r="898" spans="1:5" x14ac:dyDescent="0.2">
      <c r="A898" s="4">
        <v>42926</v>
      </c>
      <c r="B898" s="3">
        <v>52187.92</v>
      </c>
      <c r="C898" s="6">
        <f t="shared" si="39"/>
        <v>5.5272506896754539E-3</v>
      </c>
      <c r="D898" s="7">
        <f t="shared" si="40"/>
        <v>0.48546389392702655</v>
      </c>
      <c r="E898" s="8">
        <f t="shared" si="41"/>
        <v>-0.92207291600147612</v>
      </c>
    </row>
    <row r="899" spans="1:5" x14ac:dyDescent="0.2">
      <c r="A899" s="4">
        <v>42927</v>
      </c>
      <c r="B899" s="3">
        <v>52376.38</v>
      </c>
      <c r="C899" s="6">
        <f t="shared" ref="C899:C962" si="42">LN(B899/B898)</f>
        <v>3.6046758609930983E-3</v>
      </c>
      <c r="D899" s="7">
        <f t="shared" ref="D899:D962" si="43">(C899-$G$4)/$G$5</f>
        <v>0.3093101019137493</v>
      </c>
      <c r="E899" s="8">
        <f t="shared" ref="E899:E962" si="44">LN((PI()*(G$3-2))^(-1/2)*EXP(GAMMALN((G$3+1)/2))*((1+D899^2/(G$3-2))^(-(G$3+1)/2))/EXP(GAMMALN(G$3/2)))</f>
        <v>-0.77137889862877329</v>
      </c>
    </row>
    <row r="900" spans="1:5" x14ac:dyDescent="0.2">
      <c r="A900" s="4">
        <v>42928</v>
      </c>
      <c r="B900" s="3">
        <v>52905.98</v>
      </c>
      <c r="C900" s="6">
        <f t="shared" si="42"/>
        <v>1.0060649609707376E-2</v>
      </c>
      <c r="D900" s="7">
        <f t="shared" si="43"/>
        <v>0.90083155533546455</v>
      </c>
      <c r="E900" s="8">
        <f t="shared" si="44"/>
        <v>-1.4648954364617219</v>
      </c>
    </row>
    <row r="901" spans="1:5" x14ac:dyDescent="0.2">
      <c r="A901" s="4">
        <v>42929</v>
      </c>
      <c r="B901" s="3">
        <v>53300.959999999999</v>
      </c>
      <c r="C901" s="6">
        <f t="shared" si="42"/>
        <v>7.4379663130515654E-3</v>
      </c>
      <c r="D901" s="7">
        <f t="shared" si="43"/>
        <v>0.66053109937223209</v>
      </c>
      <c r="E901" s="8">
        <f t="shared" si="44"/>
        <v>-1.1240811484405981</v>
      </c>
    </row>
    <row r="902" spans="1:5" x14ac:dyDescent="0.2">
      <c r="A902" s="4">
        <v>42930</v>
      </c>
      <c r="B902" s="3">
        <v>53597.96</v>
      </c>
      <c r="C902" s="6">
        <f t="shared" si="42"/>
        <v>5.5566653843411602E-3</v>
      </c>
      <c r="D902" s="7">
        <f t="shared" si="43"/>
        <v>0.48815898278857583</v>
      </c>
      <c r="E902" s="8">
        <f t="shared" si="44"/>
        <v>-0.92481699337438317</v>
      </c>
    </row>
    <row r="903" spans="1:5" x14ac:dyDescent="0.2">
      <c r="A903" s="4">
        <v>42933</v>
      </c>
      <c r="B903" s="3">
        <v>53827.41</v>
      </c>
      <c r="C903" s="6">
        <f t="shared" si="42"/>
        <v>4.2718093300241448E-3</v>
      </c>
      <c r="D903" s="7">
        <f t="shared" si="43"/>
        <v>0.3704354680610491</v>
      </c>
      <c r="E903" s="8">
        <f t="shared" si="44"/>
        <v>-0.81700362764329493</v>
      </c>
    </row>
    <row r="904" spans="1:5" x14ac:dyDescent="0.2">
      <c r="A904" s="4">
        <v>42934</v>
      </c>
      <c r="B904" s="3">
        <v>53261.64</v>
      </c>
      <c r="C904" s="6">
        <f t="shared" si="42"/>
        <v>-1.0566444729820578E-2</v>
      </c>
      <c r="D904" s="7">
        <f t="shared" si="43"/>
        <v>-0.98910314677114541</v>
      </c>
      <c r="E904" s="8">
        <f t="shared" si="44"/>
        <v>-1.6033984581740237</v>
      </c>
    </row>
    <row r="905" spans="1:5" x14ac:dyDescent="0.2">
      <c r="A905" s="4">
        <v>42935</v>
      </c>
      <c r="B905" s="3">
        <v>54091.11</v>
      </c>
      <c r="C905" s="6">
        <f t="shared" si="42"/>
        <v>1.5453474774897094E-2</v>
      </c>
      <c r="D905" s="7">
        <f t="shared" si="43"/>
        <v>1.3949431957983016</v>
      </c>
      <c r="E905" s="8">
        <f t="shared" si="44"/>
        <v>-2.2890342120901037</v>
      </c>
    </row>
    <row r="906" spans="1:5" x14ac:dyDescent="0.2">
      <c r="A906" s="4">
        <v>42936</v>
      </c>
      <c r="B906" s="3">
        <v>54287.32</v>
      </c>
      <c r="C906" s="6">
        <f t="shared" si="42"/>
        <v>3.6208351489626068E-3</v>
      </c>
      <c r="D906" s="7">
        <f t="shared" si="43"/>
        <v>0.31079067879928685</v>
      </c>
      <c r="E906" s="8">
        <f t="shared" si="44"/>
        <v>-0.77239559258305113</v>
      </c>
    </row>
    <row r="907" spans="1:5" x14ac:dyDescent="0.2">
      <c r="A907" s="4">
        <v>42937</v>
      </c>
      <c r="B907" s="3">
        <v>54162.71</v>
      </c>
      <c r="C907" s="6">
        <f t="shared" si="42"/>
        <v>-2.2980178952020456E-3</v>
      </c>
      <c r="D907" s="7">
        <f t="shared" si="43"/>
        <v>-0.23151768420653812</v>
      </c>
      <c r="E907" s="8">
        <f t="shared" si="44"/>
        <v>-0.72436486564596614</v>
      </c>
    </row>
    <row r="908" spans="1:5" x14ac:dyDescent="0.2">
      <c r="A908" s="4">
        <v>42940</v>
      </c>
      <c r="B908" s="3">
        <v>54368.62</v>
      </c>
      <c r="C908" s="6">
        <f t="shared" si="42"/>
        <v>3.7944849115847073E-3</v>
      </c>
      <c r="D908" s="7">
        <f t="shared" si="43"/>
        <v>0.32670114621607543</v>
      </c>
      <c r="E908" s="8">
        <f t="shared" si="44"/>
        <v>-0.78360161812189988</v>
      </c>
    </row>
    <row r="909" spans="1:5" x14ac:dyDescent="0.2">
      <c r="A909" s="4">
        <v>42941</v>
      </c>
      <c r="B909" s="3">
        <v>54499.11</v>
      </c>
      <c r="C909" s="6">
        <f t="shared" si="42"/>
        <v>2.3972220692077234E-3</v>
      </c>
      <c r="D909" s="7">
        <f t="shared" si="43"/>
        <v>0.1986784838718253</v>
      </c>
      <c r="E909" s="8">
        <f t="shared" si="44"/>
        <v>-0.70838907199097723</v>
      </c>
    </row>
    <row r="910" spans="1:5" x14ac:dyDescent="0.2">
      <c r="A910" s="4">
        <v>42942</v>
      </c>
      <c r="B910" s="3">
        <v>54836.19</v>
      </c>
      <c r="C910" s="6">
        <f t="shared" si="42"/>
        <v>6.1660061841106095E-3</v>
      </c>
      <c r="D910" s="7">
        <f t="shared" si="43"/>
        <v>0.54398915954240123</v>
      </c>
      <c r="E910" s="8">
        <f t="shared" si="44"/>
        <v>-0.98437277776876397</v>
      </c>
    </row>
    <row r="911" spans="1:5" x14ac:dyDescent="0.2">
      <c r="A911" s="4">
        <v>42943</v>
      </c>
      <c r="B911" s="3">
        <v>54888.89</v>
      </c>
      <c r="C911" s="6">
        <f t="shared" si="42"/>
        <v>9.6058264987861444E-4</v>
      </c>
      <c r="D911" s="7">
        <f t="shared" si="43"/>
        <v>6.7047986220913403E-2</v>
      </c>
      <c r="E911" s="8">
        <f t="shared" si="44"/>
        <v>-0.66841478016791545</v>
      </c>
    </row>
    <row r="912" spans="1:5" x14ac:dyDescent="0.2">
      <c r="A912" s="4">
        <v>42944</v>
      </c>
      <c r="B912" s="3">
        <v>54883.21</v>
      </c>
      <c r="C912" s="6">
        <f t="shared" si="42"/>
        <v>-1.0348713389049442E-4</v>
      </c>
      <c r="D912" s="7">
        <f t="shared" si="43"/>
        <v>-3.0446230691381828E-2</v>
      </c>
      <c r="E912" s="8">
        <f t="shared" si="44"/>
        <v>-0.66430242412386598</v>
      </c>
    </row>
    <row r="913" spans="1:5" x14ac:dyDescent="0.2">
      <c r="A913" s="4">
        <v>42947</v>
      </c>
      <c r="B913" s="3">
        <v>55207.41</v>
      </c>
      <c r="C913" s="6">
        <f t="shared" si="42"/>
        <v>5.889710443491139E-3</v>
      </c>
      <c r="D913" s="7">
        <f t="shared" si="43"/>
        <v>0.51867386793391124</v>
      </c>
      <c r="E913" s="8">
        <f t="shared" si="44"/>
        <v>-0.95673645495664672</v>
      </c>
    </row>
    <row r="914" spans="1:5" x14ac:dyDescent="0.2">
      <c r="A914" s="4">
        <v>42948</v>
      </c>
      <c r="B914" s="3">
        <v>55390.07</v>
      </c>
      <c r="C914" s="6">
        <f t="shared" si="42"/>
        <v>3.3031524060181021E-3</v>
      </c>
      <c r="D914" s="7">
        <f t="shared" si="43"/>
        <v>0.28168334888318325</v>
      </c>
      <c r="E914" s="8">
        <f t="shared" si="44"/>
        <v>-0.75323291252168512</v>
      </c>
    </row>
    <row r="915" spans="1:5" x14ac:dyDescent="0.2">
      <c r="A915" s="4">
        <v>42949</v>
      </c>
      <c r="B915" s="3">
        <v>55200.49</v>
      </c>
      <c r="C915" s="6">
        <f t="shared" si="42"/>
        <v>-3.4285057549916292E-3</v>
      </c>
      <c r="D915" s="7">
        <f t="shared" si="43"/>
        <v>-0.33509738386555754</v>
      </c>
      <c r="E915" s="8">
        <f t="shared" si="44"/>
        <v>-0.78972066282936426</v>
      </c>
    </row>
    <row r="916" spans="1:5" x14ac:dyDescent="0.2">
      <c r="A916" s="4">
        <v>42950</v>
      </c>
      <c r="B916" s="3">
        <v>55685.01</v>
      </c>
      <c r="C916" s="6">
        <f t="shared" si="42"/>
        <v>8.7391603713773067E-3</v>
      </c>
      <c r="D916" s="7">
        <f t="shared" si="43"/>
        <v>0.77975156564470205</v>
      </c>
      <c r="E916" s="8">
        <f t="shared" si="44"/>
        <v>-1.2855187854447652</v>
      </c>
    </row>
    <row r="917" spans="1:5" x14ac:dyDescent="0.2">
      <c r="A917" s="4">
        <v>42951</v>
      </c>
      <c r="B917" s="3">
        <v>55944.83</v>
      </c>
      <c r="C917" s="6">
        <f t="shared" si="42"/>
        <v>4.6550361297233982E-3</v>
      </c>
      <c r="D917" s="7">
        <f t="shared" si="43"/>
        <v>0.40554819967545508</v>
      </c>
      <c r="E917" s="8">
        <f t="shared" si="44"/>
        <v>-0.8465014853442977</v>
      </c>
    </row>
    <row r="918" spans="1:5" x14ac:dyDescent="0.2">
      <c r="A918" s="4">
        <v>42954</v>
      </c>
      <c r="B918" s="3">
        <v>56163.6</v>
      </c>
      <c r="C918" s="6">
        <f t="shared" si="42"/>
        <v>3.9028336708310483E-3</v>
      </c>
      <c r="D918" s="7">
        <f t="shared" si="43"/>
        <v>0.33662848143155688</v>
      </c>
      <c r="E918" s="8">
        <f t="shared" si="44"/>
        <v>-0.79085169098084818</v>
      </c>
    </row>
    <row r="919" spans="1:5" x14ac:dyDescent="0.2">
      <c r="A919" s="4">
        <v>42955</v>
      </c>
      <c r="B919" s="3">
        <v>55980.05</v>
      </c>
      <c r="C919" s="6">
        <f t="shared" si="42"/>
        <v>-3.2734829641337029E-3</v>
      </c>
      <c r="D919" s="7">
        <f t="shared" si="43"/>
        <v>-0.32089359213235336</v>
      </c>
      <c r="E919" s="8">
        <f t="shared" si="44"/>
        <v>-0.7794519623562427</v>
      </c>
    </row>
    <row r="920" spans="1:5" x14ac:dyDescent="0.2">
      <c r="A920" s="4">
        <v>42957</v>
      </c>
      <c r="B920" s="3">
        <v>55700.639999999999</v>
      </c>
      <c r="C920" s="6">
        <f t="shared" si="42"/>
        <v>-5.0037402701423248E-3</v>
      </c>
      <c r="D920" s="7">
        <f t="shared" si="43"/>
        <v>-0.4794265038635373</v>
      </c>
      <c r="E920" s="8">
        <f t="shared" si="44"/>
        <v>-0.9159707320695476</v>
      </c>
    </row>
    <row r="921" spans="1:5" x14ac:dyDescent="0.2">
      <c r="A921" s="4">
        <v>42958</v>
      </c>
      <c r="B921" s="3">
        <v>55155.13</v>
      </c>
      <c r="C921" s="6">
        <f t="shared" si="42"/>
        <v>-9.8418765804071159E-3</v>
      </c>
      <c r="D921" s="7">
        <f t="shared" si="43"/>
        <v>-0.92271539156543525</v>
      </c>
      <c r="E921" s="8">
        <f t="shared" si="44"/>
        <v>-1.4986916123333685</v>
      </c>
    </row>
    <row r="922" spans="1:5" x14ac:dyDescent="0.2">
      <c r="A922" s="4">
        <v>42961</v>
      </c>
      <c r="B922" s="3">
        <v>55465.65</v>
      </c>
      <c r="C922" s="6">
        <f t="shared" si="42"/>
        <v>5.6141498115977791E-3</v>
      </c>
      <c r="D922" s="7">
        <f t="shared" si="43"/>
        <v>0.49342592984930728</v>
      </c>
      <c r="E922" s="8">
        <f t="shared" si="44"/>
        <v>-0.9302152229980305</v>
      </c>
    </row>
    <row r="923" spans="1:5" x14ac:dyDescent="0.2">
      <c r="A923" s="4">
        <v>42962</v>
      </c>
      <c r="B923" s="3">
        <v>54983.32</v>
      </c>
      <c r="C923" s="6">
        <f t="shared" si="42"/>
        <v>-8.7340437153665181E-3</v>
      </c>
      <c r="D923" s="7">
        <f t="shared" si="43"/>
        <v>-0.82121143074036795</v>
      </c>
      <c r="E923" s="8">
        <f t="shared" si="44"/>
        <v>-1.3453765722146815</v>
      </c>
    </row>
    <row r="924" spans="1:5" x14ac:dyDescent="0.2">
      <c r="A924" s="4">
        <v>42963</v>
      </c>
      <c r="B924" s="3">
        <v>55534.6</v>
      </c>
      <c r="C924" s="6">
        <f t="shared" si="42"/>
        <v>9.9763834194331828E-3</v>
      </c>
      <c r="D924" s="7">
        <f t="shared" si="43"/>
        <v>0.89311075886301483</v>
      </c>
      <c r="E924" s="8">
        <f t="shared" si="44"/>
        <v>-1.4530638452011768</v>
      </c>
    </row>
    <row r="925" spans="1:5" x14ac:dyDescent="0.2">
      <c r="A925" s="4">
        <v>42964</v>
      </c>
      <c r="B925" s="3">
        <v>55415.27</v>
      </c>
      <c r="C925" s="6">
        <f t="shared" si="42"/>
        <v>-2.1510623854240972E-3</v>
      </c>
      <c r="D925" s="7">
        <f t="shared" si="43"/>
        <v>-0.21805304817862786</v>
      </c>
      <c r="E925" s="8">
        <f t="shared" si="44"/>
        <v>-0.71753131239646462</v>
      </c>
    </row>
    <row r="926" spans="1:5" x14ac:dyDescent="0.2">
      <c r="A926" s="4">
        <v>42965</v>
      </c>
      <c r="B926" s="3">
        <v>55304.23</v>
      </c>
      <c r="C926" s="6">
        <f t="shared" si="42"/>
        <v>-2.0057900772301671E-3</v>
      </c>
      <c r="D926" s="7">
        <f t="shared" si="43"/>
        <v>-0.2047426336339723</v>
      </c>
      <c r="E926" s="8">
        <f t="shared" si="44"/>
        <v>-0.71116249110929075</v>
      </c>
    </row>
    <row r="927" spans="1:5" x14ac:dyDescent="0.2">
      <c r="A927" s="4">
        <v>42968</v>
      </c>
      <c r="B927" s="3">
        <v>55450.53</v>
      </c>
      <c r="C927" s="6">
        <f t="shared" si="42"/>
        <v>2.6418744456983287E-3</v>
      </c>
      <c r="D927" s="7">
        <f t="shared" si="43"/>
        <v>0.22109448724445679</v>
      </c>
      <c r="E927" s="8">
        <f t="shared" si="44"/>
        <v>-0.71904062905239485</v>
      </c>
    </row>
    <row r="928" spans="1:5" x14ac:dyDescent="0.2">
      <c r="A928" s="4">
        <v>42969</v>
      </c>
      <c r="B928" s="3">
        <v>56033.96</v>
      </c>
      <c r="C928" s="6">
        <f t="shared" si="42"/>
        <v>1.0466663591875081E-2</v>
      </c>
      <c r="D928" s="7">
        <f t="shared" si="43"/>
        <v>0.93803213733739865</v>
      </c>
      <c r="E928" s="8">
        <f t="shared" si="44"/>
        <v>-1.5225670750981433</v>
      </c>
    </row>
    <row r="929" spans="1:5" x14ac:dyDescent="0.2">
      <c r="A929" s="4">
        <v>42970</v>
      </c>
      <c r="B929" s="3">
        <v>56162.3</v>
      </c>
      <c r="C929" s="6">
        <f t="shared" si="42"/>
        <v>2.2877777918239982E-3</v>
      </c>
      <c r="D929" s="7">
        <f t="shared" si="43"/>
        <v>0.1886507730188183</v>
      </c>
      <c r="E929" s="8">
        <f t="shared" si="44"/>
        <v>-0.70397988800986921</v>
      </c>
    </row>
    <row r="930" spans="1:5" x14ac:dyDescent="0.2">
      <c r="A930" s="4">
        <v>42971</v>
      </c>
      <c r="B930" s="3">
        <v>56588.99</v>
      </c>
      <c r="C930" s="6">
        <f t="shared" si="42"/>
        <v>7.5687300239920168E-3</v>
      </c>
      <c r="D930" s="7">
        <f t="shared" si="43"/>
        <v>0.67251217974228739</v>
      </c>
      <c r="E930" s="8">
        <f t="shared" si="44"/>
        <v>-1.1395190930062322</v>
      </c>
    </row>
    <row r="931" spans="1:5" x14ac:dyDescent="0.2">
      <c r="A931" s="4">
        <v>42972</v>
      </c>
      <c r="B931" s="3">
        <v>56655.88</v>
      </c>
      <c r="C931" s="6">
        <f t="shared" si="42"/>
        <v>1.1813340026621108E-3</v>
      </c>
      <c r="D931" s="7">
        <f t="shared" si="43"/>
        <v>8.7274084734605267E-2</v>
      </c>
      <c r="E931" s="8">
        <f t="shared" si="44"/>
        <v>-0.67200662969309621</v>
      </c>
    </row>
    <row r="932" spans="1:5" x14ac:dyDescent="0.2">
      <c r="A932" s="4">
        <v>42975</v>
      </c>
      <c r="B932" s="3">
        <v>56555.62</v>
      </c>
      <c r="C932" s="6">
        <f t="shared" si="42"/>
        <v>-1.7711986187062801E-3</v>
      </c>
      <c r="D932" s="7">
        <f t="shared" si="43"/>
        <v>-0.18324845074111201</v>
      </c>
      <c r="E932" s="8">
        <f t="shared" si="44"/>
        <v>-0.70169623074358267</v>
      </c>
    </row>
    <row r="933" spans="1:5" x14ac:dyDescent="0.2">
      <c r="A933" s="4">
        <v>42976</v>
      </c>
      <c r="B933" s="3">
        <v>56409.62</v>
      </c>
      <c r="C933" s="6">
        <f t="shared" si="42"/>
        <v>-2.5848673679098474E-3</v>
      </c>
      <c r="D933" s="7">
        <f t="shared" si="43"/>
        <v>-0.25779994984356353</v>
      </c>
      <c r="E933" s="8">
        <f t="shared" si="44"/>
        <v>-0.73882460613612266</v>
      </c>
    </row>
    <row r="934" spans="1:5" x14ac:dyDescent="0.2">
      <c r="A934" s="4">
        <v>42977</v>
      </c>
      <c r="B934" s="3">
        <v>56168</v>
      </c>
      <c r="C934" s="6">
        <f t="shared" si="42"/>
        <v>-4.2925116199910756E-3</v>
      </c>
      <c r="D934" s="7">
        <f t="shared" si="43"/>
        <v>-0.41426096552218078</v>
      </c>
      <c r="E934" s="8">
        <f t="shared" si="44"/>
        <v>-0.85418030717279947</v>
      </c>
    </row>
    <row r="935" spans="1:5" x14ac:dyDescent="0.2">
      <c r="A935" s="4">
        <v>42978</v>
      </c>
      <c r="B935" s="3">
        <v>56522.11</v>
      </c>
      <c r="C935" s="6">
        <f t="shared" si="42"/>
        <v>6.2846893224654749E-3</v>
      </c>
      <c r="D935" s="7">
        <f t="shared" si="43"/>
        <v>0.55486337081228165</v>
      </c>
      <c r="E935" s="8">
        <f t="shared" si="44"/>
        <v>-0.99655633490328932</v>
      </c>
    </row>
    <row r="936" spans="1:5" x14ac:dyDescent="0.2">
      <c r="A936" s="4">
        <v>42979</v>
      </c>
      <c r="B936" s="3">
        <v>56513.46</v>
      </c>
      <c r="C936" s="6">
        <f t="shared" si="42"/>
        <v>-1.5304916880382315E-4</v>
      </c>
      <c r="D936" s="7">
        <f t="shared" si="43"/>
        <v>-3.4987297317049033E-2</v>
      </c>
      <c r="E936" s="8">
        <f t="shared" si="44"/>
        <v>-0.66464509517576476</v>
      </c>
    </row>
    <row r="937" spans="1:5" x14ac:dyDescent="0.2">
      <c r="A937" s="4">
        <v>42982</v>
      </c>
      <c r="B937" s="3">
        <v>56312.85</v>
      </c>
      <c r="C937" s="6">
        <f t="shared" si="42"/>
        <v>-3.5560892030523888E-3</v>
      </c>
      <c r="D937" s="7">
        <f t="shared" si="43"/>
        <v>-0.34678707616712312</v>
      </c>
      <c r="E937" s="8">
        <f t="shared" si="44"/>
        <v>-0.7984738640123823</v>
      </c>
    </row>
    <row r="938" spans="1:5" x14ac:dyDescent="0.2">
      <c r="A938" s="4">
        <v>42983</v>
      </c>
      <c r="B938" s="3">
        <v>56144.800000000003</v>
      </c>
      <c r="C938" s="6">
        <f t="shared" si="42"/>
        <v>-2.9886828524043818E-3</v>
      </c>
      <c r="D938" s="7">
        <f t="shared" si="43"/>
        <v>-0.29479909692807144</v>
      </c>
      <c r="E938" s="8">
        <f t="shared" si="44"/>
        <v>-0.76165162749479942</v>
      </c>
    </row>
    <row r="939" spans="1:5" x14ac:dyDescent="0.2">
      <c r="A939" s="4">
        <v>42984</v>
      </c>
      <c r="B939" s="3">
        <v>55480.2</v>
      </c>
      <c r="C939" s="6">
        <f t="shared" si="42"/>
        <v>-1.1907867470351746E-2</v>
      </c>
      <c r="D939" s="7">
        <f t="shared" si="43"/>
        <v>-1.1120095215515509</v>
      </c>
      <c r="E939" s="8">
        <f t="shared" si="44"/>
        <v>-1.8044497379514974</v>
      </c>
    </row>
    <row r="940" spans="1:5" x14ac:dyDescent="0.2">
      <c r="A940" s="4">
        <v>42985</v>
      </c>
      <c r="B940" s="3">
        <v>55878.19</v>
      </c>
      <c r="C940" s="6">
        <f t="shared" si="42"/>
        <v>7.1479426838569624E-3</v>
      </c>
      <c r="D940" s="7">
        <f t="shared" si="43"/>
        <v>0.63395800515821088</v>
      </c>
      <c r="E940" s="8">
        <f t="shared" si="44"/>
        <v>-1.0905223290968167</v>
      </c>
    </row>
    <row r="941" spans="1:5" x14ac:dyDescent="0.2">
      <c r="A941" s="4">
        <v>42986</v>
      </c>
      <c r="B941" s="3">
        <v>55724.67</v>
      </c>
      <c r="C941" s="6">
        <f t="shared" si="42"/>
        <v>-2.7511857103486572E-3</v>
      </c>
      <c r="D941" s="7">
        <f t="shared" si="43"/>
        <v>-0.27303868399574133</v>
      </c>
      <c r="E941" s="8">
        <f t="shared" si="44"/>
        <v>-0.74787963135032665</v>
      </c>
    </row>
    <row r="942" spans="1:5" x14ac:dyDescent="0.2">
      <c r="A942" s="4">
        <v>42989</v>
      </c>
      <c r="B942" s="3">
        <v>56008.77</v>
      </c>
      <c r="C942" s="6">
        <f t="shared" si="42"/>
        <v>5.0853283000789548E-3</v>
      </c>
      <c r="D942" s="7">
        <f t="shared" si="43"/>
        <v>0.44497324381467462</v>
      </c>
      <c r="E942" s="8">
        <f t="shared" si="44"/>
        <v>-0.88235804793739914</v>
      </c>
    </row>
    <row r="943" spans="1:5" x14ac:dyDescent="0.2">
      <c r="A943" s="4">
        <v>42990</v>
      </c>
      <c r="B943" s="3">
        <v>56366.16</v>
      </c>
      <c r="C943" s="6">
        <f t="shared" si="42"/>
        <v>6.360692815592958E-3</v>
      </c>
      <c r="D943" s="7">
        <f t="shared" si="43"/>
        <v>0.56182710679848347</v>
      </c>
      <c r="E943" s="8">
        <f t="shared" si="44"/>
        <v>-1.0044552037160464</v>
      </c>
    </row>
    <row r="944" spans="1:5" x14ac:dyDescent="0.2">
      <c r="A944" s="4">
        <v>42991</v>
      </c>
      <c r="B944" s="3">
        <v>56152.54</v>
      </c>
      <c r="C944" s="6">
        <f t="shared" si="42"/>
        <v>-3.7970622955777454E-3</v>
      </c>
      <c r="D944" s="7">
        <f t="shared" si="43"/>
        <v>-0.36886596921629505</v>
      </c>
      <c r="E944" s="8">
        <f t="shared" si="44"/>
        <v>-0.81574010967954214</v>
      </c>
    </row>
    <row r="945" spans="1:5" x14ac:dyDescent="0.2">
      <c r="A945" s="4">
        <v>42992</v>
      </c>
      <c r="B945" s="3">
        <v>55850.32</v>
      </c>
      <c r="C945" s="6">
        <f t="shared" si="42"/>
        <v>-5.3966610046623066E-3</v>
      </c>
      <c r="D945" s="7">
        <f t="shared" si="43"/>
        <v>-0.51542743153290316</v>
      </c>
      <c r="E945" s="8">
        <f t="shared" si="44"/>
        <v>-0.95326728759165469</v>
      </c>
    </row>
    <row r="946" spans="1:5" x14ac:dyDescent="0.2">
      <c r="A946" s="4">
        <v>42993</v>
      </c>
      <c r="B946" s="3">
        <v>55645.15</v>
      </c>
      <c r="C946" s="6">
        <f t="shared" si="42"/>
        <v>-3.6803330499981884E-3</v>
      </c>
      <c r="D946" s="7">
        <f t="shared" si="43"/>
        <v>-0.35817078121064511</v>
      </c>
      <c r="E946" s="8">
        <f t="shared" si="44"/>
        <v>-0.80725723658620629</v>
      </c>
    </row>
    <row r="947" spans="1:5" x14ac:dyDescent="0.2">
      <c r="A947" s="4">
        <v>42996</v>
      </c>
      <c r="B947" s="3">
        <v>56050.1</v>
      </c>
      <c r="C947" s="6">
        <f t="shared" si="42"/>
        <v>7.2510115561550108E-3</v>
      </c>
      <c r="D947" s="7">
        <f t="shared" si="43"/>
        <v>0.64340157657242558</v>
      </c>
      <c r="E947" s="8">
        <f t="shared" si="44"/>
        <v>-1.1023391763546118</v>
      </c>
    </row>
    <row r="948" spans="1:5" x14ac:dyDescent="0.2">
      <c r="A948" s="4">
        <v>42997</v>
      </c>
      <c r="B948" s="3">
        <v>56011.16</v>
      </c>
      <c r="C948" s="6">
        <f t="shared" si="42"/>
        <v>-6.9497704322274325E-4</v>
      </c>
      <c r="D948" s="7">
        <f t="shared" si="43"/>
        <v>-8.4640839354741038E-2</v>
      </c>
      <c r="E948" s="8">
        <f t="shared" si="44"/>
        <v>-0.67148599754034322</v>
      </c>
    </row>
    <row r="949" spans="1:5" x14ac:dyDescent="0.2">
      <c r="A949" s="4">
        <v>42998</v>
      </c>
      <c r="B949" s="3">
        <v>55867.46</v>
      </c>
      <c r="C949" s="6">
        <f t="shared" si="42"/>
        <v>-2.5688568383006967E-3</v>
      </c>
      <c r="D949" s="7">
        <f t="shared" si="43"/>
        <v>-0.25633300277824406</v>
      </c>
      <c r="E949" s="8">
        <f t="shared" si="44"/>
        <v>-0.73797878115884097</v>
      </c>
    </row>
    <row r="950" spans="1:5" x14ac:dyDescent="0.2">
      <c r="A950" s="4">
        <v>42999</v>
      </c>
      <c r="B950" s="3">
        <v>55867.34</v>
      </c>
      <c r="C950" s="6">
        <f t="shared" si="42"/>
        <v>-2.1479431654494026E-6</v>
      </c>
      <c r="D950" s="7">
        <f t="shared" si="43"/>
        <v>-2.1161139437998539E-2</v>
      </c>
      <c r="E950" s="8">
        <f t="shared" si="44"/>
        <v>-0.66374972273198107</v>
      </c>
    </row>
    <row r="951" spans="1:5" x14ac:dyDescent="0.2">
      <c r="A951" s="4">
        <v>43000</v>
      </c>
      <c r="B951" s="3">
        <v>55839.73</v>
      </c>
      <c r="C951" s="6">
        <f t="shared" si="42"/>
        <v>-4.9432861433437204E-4</v>
      </c>
      <c r="D951" s="7">
        <f t="shared" si="43"/>
        <v>-6.6256649006000853E-2</v>
      </c>
      <c r="E951" s="8">
        <f t="shared" si="44"/>
        <v>-0.66829330445660151</v>
      </c>
    </row>
    <row r="952" spans="1:5" x14ac:dyDescent="0.2">
      <c r="A952" s="4">
        <v>43004</v>
      </c>
      <c r="B952" s="3">
        <v>55070.38</v>
      </c>
      <c r="C952" s="6">
        <f t="shared" si="42"/>
        <v>-1.3873619639593221E-2</v>
      </c>
      <c r="D952" s="7">
        <f t="shared" si="43"/>
        <v>-1.292119389632749</v>
      </c>
      <c r="E952" s="8">
        <f t="shared" si="44"/>
        <v>-2.1106668827877462</v>
      </c>
    </row>
    <row r="953" spans="1:5" x14ac:dyDescent="0.2">
      <c r="A953" s="4">
        <v>43005</v>
      </c>
      <c r="B953" s="3">
        <v>55214.07</v>
      </c>
      <c r="C953" s="6">
        <f t="shared" si="42"/>
        <v>2.6058085488467639E-3</v>
      </c>
      <c r="D953" s="7">
        <f t="shared" si="43"/>
        <v>0.21778998933988522</v>
      </c>
      <c r="E953" s="8">
        <f t="shared" si="44"/>
        <v>-0.71740171142644116</v>
      </c>
    </row>
    <row r="954" spans="1:5" x14ac:dyDescent="0.2">
      <c r="A954" s="4">
        <v>43006</v>
      </c>
      <c r="B954" s="3">
        <v>54994.35</v>
      </c>
      <c r="C954" s="6">
        <f t="shared" si="42"/>
        <v>-3.9873594251920346E-3</v>
      </c>
      <c r="D954" s="7">
        <f t="shared" si="43"/>
        <v>-0.38630173321918343</v>
      </c>
      <c r="E954" s="8">
        <f t="shared" si="44"/>
        <v>-0.83004264890319213</v>
      </c>
    </row>
    <row r="955" spans="1:5" x14ac:dyDescent="0.2">
      <c r="A955" s="4">
        <v>43007</v>
      </c>
      <c r="B955" s="3">
        <v>55579.92</v>
      </c>
      <c r="C955" s="6">
        <f t="shared" si="42"/>
        <v>1.0591532263707154E-2</v>
      </c>
      <c r="D955" s="7">
        <f t="shared" si="43"/>
        <v>0.94947309126997259</v>
      </c>
      <c r="E955" s="8">
        <f t="shared" si="44"/>
        <v>-1.5405151596864151</v>
      </c>
    </row>
    <row r="956" spans="1:5" x14ac:dyDescent="0.2">
      <c r="A956" s="4">
        <v>43010</v>
      </c>
      <c r="B956" s="3">
        <v>55778.27</v>
      </c>
      <c r="C956" s="6">
        <f t="shared" si="42"/>
        <v>3.5623820711244499E-3</v>
      </c>
      <c r="D956" s="7">
        <f t="shared" si="43"/>
        <v>0.3054349802004992</v>
      </c>
      <c r="E956" s="8">
        <f t="shared" si="44"/>
        <v>-0.76873906025291971</v>
      </c>
    </row>
    <row r="957" spans="1:5" x14ac:dyDescent="0.2">
      <c r="A957" s="4">
        <v>43011</v>
      </c>
      <c r="B957" s="3">
        <v>56358.26</v>
      </c>
      <c r="C957" s="6">
        <f t="shared" si="42"/>
        <v>1.0344446576586676E-2</v>
      </c>
      <c r="D957" s="7">
        <f t="shared" si="43"/>
        <v>0.92683413850249652</v>
      </c>
      <c r="E957" s="8">
        <f t="shared" si="44"/>
        <v>-1.5050943184825387</v>
      </c>
    </row>
    <row r="958" spans="1:5" x14ac:dyDescent="0.2">
      <c r="A958" s="4">
        <v>43012</v>
      </c>
      <c r="B958" s="3">
        <v>56750.03</v>
      </c>
      <c r="C958" s="6">
        <f t="shared" si="42"/>
        <v>6.9273714013794816E-3</v>
      </c>
      <c r="D958" s="7">
        <f t="shared" si="43"/>
        <v>0.61374840538712205</v>
      </c>
      <c r="E958" s="8">
        <f t="shared" si="44"/>
        <v>-1.0656491820706877</v>
      </c>
    </row>
    <row r="959" spans="1:5" x14ac:dyDescent="0.2">
      <c r="A959" s="4">
        <v>43013</v>
      </c>
      <c r="B959" s="3">
        <v>56999.79</v>
      </c>
      <c r="C959" s="6">
        <f t="shared" si="42"/>
        <v>4.3913986215035304E-3</v>
      </c>
      <c r="D959" s="7">
        <f t="shared" si="43"/>
        <v>0.38139270460861829</v>
      </c>
      <c r="E959" s="8">
        <f t="shared" si="44"/>
        <v>-0.8259568675503336</v>
      </c>
    </row>
    <row r="960" spans="1:5" x14ac:dyDescent="0.2">
      <c r="A960" s="4">
        <v>43014</v>
      </c>
      <c r="B960" s="3">
        <v>57231.87</v>
      </c>
      <c r="C960" s="6">
        <f t="shared" si="42"/>
        <v>4.0633274403171545E-3</v>
      </c>
      <c r="D960" s="7">
        <f t="shared" si="43"/>
        <v>0.3513335455298206</v>
      </c>
      <c r="E960" s="8">
        <f t="shared" si="44"/>
        <v>-0.80195126414550155</v>
      </c>
    </row>
    <row r="961" spans="1:5" x14ac:dyDescent="0.2">
      <c r="A961" s="4">
        <v>43017</v>
      </c>
      <c r="B961" s="3">
        <v>57530.11</v>
      </c>
      <c r="C961" s="6">
        <f t="shared" si="42"/>
        <v>5.1975518617087537E-3</v>
      </c>
      <c r="D961" s="7">
        <f t="shared" si="43"/>
        <v>0.45525560351241046</v>
      </c>
      <c r="E961" s="8">
        <f t="shared" si="44"/>
        <v>-0.89217131687550444</v>
      </c>
    </row>
    <row r="962" spans="1:5" x14ac:dyDescent="0.2">
      <c r="A962" s="4">
        <v>43018</v>
      </c>
      <c r="B962" s="3">
        <v>57629.93</v>
      </c>
      <c r="C962" s="6">
        <f t="shared" si="42"/>
        <v>1.7335878834239316E-3</v>
      </c>
      <c r="D962" s="7">
        <f t="shared" si="43"/>
        <v>0.13787373568130748</v>
      </c>
      <c r="E962" s="8">
        <f t="shared" si="44"/>
        <v>-0.68507514310528339</v>
      </c>
    </row>
    <row r="963" spans="1:5" x14ac:dyDescent="0.2">
      <c r="A963" s="4">
        <v>43019</v>
      </c>
      <c r="B963" s="3">
        <v>57770.73</v>
      </c>
      <c r="C963" s="6">
        <f t="shared" ref="C963:C1026" si="45">LN(B963/B962)</f>
        <v>2.4401952270767398E-3</v>
      </c>
      <c r="D963" s="7">
        <f t="shared" ref="D963:D1026" si="46">(C963-$G$4)/$G$5</f>
        <v>0.20261585192662321</v>
      </c>
      <c r="E963" s="8">
        <f t="shared" ref="E963:E1026" si="47">LN((PI()*(G$3-2))^(-1/2)*EXP(GAMMALN((G$3+1)/2))*((1+D963^2/(G$3-2))^(-(G$3+1)/2))/EXP(GAMMALN(G$3/2)))</f>
        <v>-0.71018065342546377</v>
      </c>
    </row>
    <row r="964" spans="1:5" x14ac:dyDescent="0.2">
      <c r="A964" s="4">
        <v>43020</v>
      </c>
      <c r="B964" s="3">
        <v>57747.34</v>
      </c>
      <c r="C964" s="6">
        <f t="shared" si="45"/>
        <v>-4.0495829474390183E-4</v>
      </c>
      <c r="D964" s="7">
        <f t="shared" si="46"/>
        <v>-5.8068192330902657E-2</v>
      </c>
      <c r="E964" s="8">
        <f t="shared" si="47"/>
        <v>-0.66712070759370801</v>
      </c>
    </row>
    <row r="965" spans="1:5" x14ac:dyDescent="0.2">
      <c r="A965" s="4">
        <v>43021</v>
      </c>
      <c r="B965" s="3">
        <v>57876.6</v>
      </c>
      <c r="C965" s="6">
        <f t="shared" si="45"/>
        <v>2.2358700775772368E-3</v>
      </c>
      <c r="D965" s="7">
        <f t="shared" si="46"/>
        <v>0.183894786118909</v>
      </c>
      <c r="E965" s="8">
        <f t="shared" si="47"/>
        <v>-0.70196605676673884</v>
      </c>
    </row>
    <row r="966" spans="1:5" x14ac:dyDescent="0.2">
      <c r="A966" s="4">
        <v>43024</v>
      </c>
      <c r="B966" s="3">
        <v>58163.56</v>
      </c>
      <c r="C966" s="6">
        <f t="shared" si="45"/>
        <v>4.9458839933034021E-3</v>
      </c>
      <c r="D966" s="7">
        <f t="shared" si="46"/>
        <v>0.43219681345330807</v>
      </c>
      <c r="E966" s="8">
        <f t="shared" si="47"/>
        <v>-0.87042792826871385</v>
      </c>
    </row>
    <row r="967" spans="1:5" x14ac:dyDescent="0.2">
      <c r="A967" s="4">
        <v>43025</v>
      </c>
      <c r="B967" s="3">
        <v>57882.67</v>
      </c>
      <c r="C967" s="6">
        <f t="shared" si="45"/>
        <v>-4.8410111825891687E-3</v>
      </c>
      <c r="D967" s="7">
        <f t="shared" si="46"/>
        <v>-0.46451663121998726</v>
      </c>
      <c r="E967" s="8">
        <f t="shared" si="47"/>
        <v>-0.90116969805715741</v>
      </c>
    </row>
    <row r="968" spans="1:5" x14ac:dyDescent="0.2">
      <c r="A968" s="4">
        <v>43026</v>
      </c>
      <c r="B968" s="3">
        <v>58152.41</v>
      </c>
      <c r="C968" s="6">
        <f t="shared" si="45"/>
        <v>4.6492920225434803E-3</v>
      </c>
      <c r="D968" s="7">
        <f t="shared" si="46"/>
        <v>0.40502190220896495</v>
      </c>
      <c r="E968" s="8">
        <f t="shared" si="47"/>
        <v>-0.84604216533971222</v>
      </c>
    </row>
    <row r="969" spans="1:5" x14ac:dyDescent="0.2">
      <c r="A969" s="4">
        <v>43027</v>
      </c>
      <c r="B969" s="3">
        <v>57896.83</v>
      </c>
      <c r="C969" s="6">
        <f t="shared" si="45"/>
        <v>-4.4046891339389179E-3</v>
      </c>
      <c r="D969" s="7">
        <f t="shared" si="46"/>
        <v>-0.4245391061519932</v>
      </c>
      <c r="E969" s="8">
        <f t="shared" si="47"/>
        <v>-0.86341900971980612</v>
      </c>
    </row>
    <row r="970" spans="1:5" x14ac:dyDescent="0.2">
      <c r="A970" s="4">
        <v>43028</v>
      </c>
      <c r="B970" s="3">
        <v>57948.66</v>
      </c>
      <c r="C970" s="6">
        <f t="shared" si="45"/>
        <v>8.9481262426894755E-4</v>
      </c>
      <c r="D970" s="7">
        <f t="shared" si="46"/>
        <v>6.1021880376235599E-2</v>
      </c>
      <c r="E970" s="8">
        <f t="shared" si="47"/>
        <v>-0.66752592854823545</v>
      </c>
    </row>
    <row r="971" spans="1:5" x14ac:dyDescent="0.2">
      <c r="A971" s="4">
        <v>43031</v>
      </c>
      <c r="B971" s="3">
        <v>57999.6</v>
      </c>
      <c r="C971" s="6">
        <f t="shared" si="45"/>
        <v>8.7866783472861346E-4</v>
      </c>
      <c r="D971" s="7">
        <f t="shared" si="46"/>
        <v>5.9542631893233638E-2</v>
      </c>
      <c r="E971" s="8">
        <f t="shared" si="47"/>
        <v>-0.66732048337208494</v>
      </c>
    </row>
    <row r="972" spans="1:5" x14ac:dyDescent="0.2">
      <c r="A972" s="4">
        <v>43032</v>
      </c>
      <c r="B972" s="3">
        <v>57904.72</v>
      </c>
      <c r="C972" s="6">
        <f t="shared" si="45"/>
        <v>-1.6372128526969385E-3</v>
      </c>
      <c r="D972" s="7">
        <f t="shared" si="46"/>
        <v>-0.17097215313946026</v>
      </c>
      <c r="E972" s="8">
        <f t="shared" si="47"/>
        <v>-0.69674674959359961</v>
      </c>
    </row>
    <row r="973" spans="1:5" x14ac:dyDescent="0.2">
      <c r="A973" s="4">
        <v>43033</v>
      </c>
      <c r="B973" s="3">
        <v>58123.13</v>
      </c>
      <c r="C973" s="6">
        <f t="shared" si="45"/>
        <v>3.7647902287613411E-3</v>
      </c>
      <c r="D973" s="7">
        <f t="shared" si="46"/>
        <v>0.32398040374929066</v>
      </c>
      <c r="E973" s="8">
        <f t="shared" si="47"/>
        <v>-0.78164911729118036</v>
      </c>
    </row>
    <row r="974" spans="1:5" x14ac:dyDescent="0.2">
      <c r="A974" s="4">
        <v>43034</v>
      </c>
      <c r="B974" s="3">
        <v>58576.29</v>
      </c>
      <c r="C974" s="6">
        <f t="shared" si="45"/>
        <v>7.766315851752483E-3</v>
      </c>
      <c r="D974" s="7">
        <f t="shared" si="46"/>
        <v>0.69061576265039315</v>
      </c>
      <c r="E974" s="8">
        <f t="shared" si="47"/>
        <v>-1.1631968694549506</v>
      </c>
    </row>
    <row r="975" spans="1:5" x14ac:dyDescent="0.2">
      <c r="A975" s="4">
        <v>43035</v>
      </c>
      <c r="B975" s="3">
        <v>58714.04</v>
      </c>
      <c r="C975" s="6">
        <f t="shared" si="45"/>
        <v>2.3488733185920057E-3</v>
      </c>
      <c r="D975" s="7">
        <f t="shared" si="46"/>
        <v>0.19424858307784687</v>
      </c>
      <c r="E975" s="8">
        <f t="shared" si="47"/>
        <v>-0.70641400226211226</v>
      </c>
    </row>
    <row r="976" spans="1:5" x14ac:dyDescent="0.2">
      <c r="A976" s="4">
        <v>43038</v>
      </c>
      <c r="B976" s="3">
        <v>58879.14</v>
      </c>
      <c r="C976" s="6">
        <f t="shared" si="45"/>
        <v>2.8079878183688081E-3</v>
      </c>
      <c r="D976" s="7">
        <f t="shared" si="46"/>
        <v>0.2363144412683395</v>
      </c>
      <c r="E976" s="8">
        <f t="shared" si="47"/>
        <v>-0.72689371993867902</v>
      </c>
    </row>
    <row r="977" spans="1:5" x14ac:dyDescent="0.2">
      <c r="A977" s="4">
        <v>43039</v>
      </c>
      <c r="B977" s="3">
        <v>58980.11</v>
      </c>
      <c r="C977" s="6">
        <f t="shared" si="45"/>
        <v>1.713400088695597E-3</v>
      </c>
      <c r="D977" s="7">
        <f t="shared" si="46"/>
        <v>0.13602405132014322</v>
      </c>
      <c r="E977" s="8">
        <f t="shared" si="47"/>
        <v>-0.68449534998039163</v>
      </c>
    </row>
    <row r="978" spans="1:5" x14ac:dyDescent="0.2">
      <c r="A978" s="4">
        <v>43040</v>
      </c>
      <c r="B978" s="3">
        <v>59514.11</v>
      </c>
      <c r="C978" s="6">
        <f t="shared" si="45"/>
        <v>9.0131588704168483E-3</v>
      </c>
      <c r="D978" s="7">
        <f t="shared" si="46"/>
        <v>0.80485637503453511</v>
      </c>
      <c r="E978" s="8">
        <f t="shared" si="47"/>
        <v>-1.3215559102996228</v>
      </c>
    </row>
    <row r="979" spans="1:5" x14ac:dyDescent="0.2">
      <c r="A979" s="4">
        <v>43041</v>
      </c>
      <c r="B979" s="3">
        <v>59331.199999999997</v>
      </c>
      <c r="C979" s="6">
        <f t="shared" si="45"/>
        <v>-3.0781213734070575E-3</v>
      </c>
      <c r="D979" s="7">
        <f t="shared" si="46"/>
        <v>-0.30299380248212165</v>
      </c>
      <c r="E979" s="8">
        <f t="shared" si="47"/>
        <v>-0.76709181693464901</v>
      </c>
    </row>
    <row r="980" spans="1:5" x14ac:dyDescent="0.2">
      <c r="A980" s="4">
        <v>43042</v>
      </c>
      <c r="B980" s="3">
        <v>59638.21</v>
      </c>
      <c r="C980" s="6">
        <f t="shared" si="45"/>
        <v>5.1611701109129087E-3</v>
      </c>
      <c r="D980" s="7">
        <f t="shared" si="46"/>
        <v>0.45192216583957745</v>
      </c>
      <c r="E980" s="8">
        <f t="shared" si="47"/>
        <v>-0.8889693958454965</v>
      </c>
    </row>
    <row r="981" spans="1:5" x14ac:dyDescent="0.2">
      <c r="A981" s="4">
        <v>43045</v>
      </c>
      <c r="B981" s="3">
        <v>59975.67</v>
      </c>
      <c r="C981" s="6">
        <f t="shared" si="45"/>
        <v>5.6425039524335124E-3</v>
      </c>
      <c r="D981" s="7">
        <f t="shared" si="46"/>
        <v>0.4960238466393217</v>
      </c>
      <c r="E981" s="8">
        <f t="shared" si="47"/>
        <v>-0.93289513742287533</v>
      </c>
    </row>
    <row r="982" spans="1:5" x14ac:dyDescent="0.2">
      <c r="A982" s="4">
        <v>43046</v>
      </c>
      <c r="B982" s="3">
        <v>60182.6</v>
      </c>
      <c r="C982" s="6">
        <f t="shared" si="45"/>
        <v>3.4442940060685342E-3</v>
      </c>
      <c r="D982" s="7">
        <f t="shared" si="46"/>
        <v>0.29461529186339208</v>
      </c>
      <c r="E982" s="8">
        <f t="shared" si="47"/>
        <v>-0.76153118927196073</v>
      </c>
    </row>
    <row r="983" spans="1:5" x14ac:dyDescent="0.2">
      <c r="A983" s="4">
        <v>43047</v>
      </c>
      <c r="B983" s="3">
        <v>60078.03</v>
      </c>
      <c r="C983" s="6">
        <f t="shared" si="45"/>
        <v>-1.7390566863720875E-3</v>
      </c>
      <c r="D983" s="7">
        <f t="shared" si="46"/>
        <v>-0.18030348174493377</v>
      </c>
      <c r="E983" s="8">
        <f t="shared" si="47"/>
        <v>-0.70047847670462793</v>
      </c>
    </row>
    <row r="984" spans="1:5" x14ac:dyDescent="0.2">
      <c r="A984" s="4">
        <v>43048</v>
      </c>
      <c r="B984" s="3">
        <v>59862.11</v>
      </c>
      <c r="C984" s="6">
        <f t="shared" si="45"/>
        <v>-3.6004665869824662E-3</v>
      </c>
      <c r="D984" s="7">
        <f t="shared" si="46"/>
        <v>-0.35085310488147475</v>
      </c>
      <c r="E984" s="8">
        <f t="shared" si="47"/>
        <v>-0.80158187228169164</v>
      </c>
    </row>
    <row r="985" spans="1:5" x14ac:dyDescent="0.2">
      <c r="A985" s="4">
        <v>43049</v>
      </c>
      <c r="B985" s="3">
        <v>59776.12</v>
      </c>
      <c r="C985" s="6">
        <f t="shared" si="45"/>
        <v>-1.4375006184483559E-3</v>
      </c>
      <c r="D985" s="7">
        <f t="shared" si="46"/>
        <v>-0.15267374058901484</v>
      </c>
      <c r="E985" s="8">
        <f t="shared" si="47"/>
        <v>-0.68999117845430169</v>
      </c>
    </row>
    <row r="986" spans="1:5" x14ac:dyDescent="0.2">
      <c r="A986" s="4">
        <v>43052</v>
      </c>
      <c r="B986" s="3">
        <v>59821.49</v>
      </c>
      <c r="C986" s="6">
        <f t="shared" si="45"/>
        <v>7.5871085009817079E-4</v>
      </c>
      <c r="D986" s="7">
        <f t="shared" si="46"/>
        <v>4.8551705867424265E-2</v>
      </c>
      <c r="E986" s="8">
        <f t="shared" si="47"/>
        <v>-0.66595148888718902</v>
      </c>
    </row>
    <row r="987" spans="1:5" x14ac:dyDescent="0.2">
      <c r="A987" s="4">
        <v>43053</v>
      </c>
      <c r="B987" s="3">
        <v>59518.9</v>
      </c>
      <c r="C987" s="6">
        <f t="shared" si="45"/>
        <v>-5.0710517778457045E-3</v>
      </c>
      <c r="D987" s="7">
        <f t="shared" si="46"/>
        <v>-0.48559384629993424</v>
      </c>
      <c r="E987" s="8">
        <f t="shared" si="47"/>
        <v>-0.92220494704237133</v>
      </c>
    </row>
    <row r="988" spans="1:5" x14ac:dyDescent="0.2">
      <c r="A988" s="4">
        <v>43054</v>
      </c>
      <c r="B988" s="3">
        <v>59185.21</v>
      </c>
      <c r="C988" s="6">
        <f t="shared" si="45"/>
        <v>-5.6222295753660242E-3</v>
      </c>
      <c r="D988" s="7">
        <f t="shared" si="46"/>
        <v>-0.53609490230994816</v>
      </c>
      <c r="E988" s="8">
        <f t="shared" si="47"/>
        <v>-0.97564464540015594</v>
      </c>
    </row>
    <row r="989" spans="1:5" x14ac:dyDescent="0.2">
      <c r="A989" s="4">
        <v>43055</v>
      </c>
      <c r="B989" s="3">
        <v>59549.22</v>
      </c>
      <c r="C989" s="6">
        <f t="shared" si="45"/>
        <v>6.1315178828549961E-3</v>
      </c>
      <c r="D989" s="7">
        <f t="shared" si="46"/>
        <v>0.54082920708924431</v>
      </c>
      <c r="E989" s="8">
        <f t="shared" si="47"/>
        <v>-0.98086718203412426</v>
      </c>
    </row>
    <row r="990" spans="1:5" x14ac:dyDescent="0.2">
      <c r="A990" s="4">
        <v>43056</v>
      </c>
      <c r="B990" s="3">
        <v>60128.41</v>
      </c>
      <c r="C990" s="6">
        <f t="shared" si="45"/>
        <v>9.6792445156450996E-3</v>
      </c>
      <c r="D990" s="7">
        <f t="shared" si="46"/>
        <v>0.86588573548495873</v>
      </c>
      <c r="E990" s="8">
        <f t="shared" si="47"/>
        <v>-1.4117437044693026</v>
      </c>
    </row>
    <row r="991" spans="1:5" x14ac:dyDescent="0.2">
      <c r="A991" s="4">
        <v>43059</v>
      </c>
      <c r="B991" s="3">
        <v>60500.61</v>
      </c>
      <c r="C991" s="6">
        <f t="shared" si="45"/>
        <v>6.1710056361987675E-3</v>
      </c>
      <c r="D991" s="7">
        <f t="shared" si="46"/>
        <v>0.54444722880981244</v>
      </c>
      <c r="E991" s="8">
        <f t="shared" si="47"/>
        <v>-0.98488226011174196</v>
      </c>
    </row>
    <row r="992" spans="1:5" x14ac:dyDescent="0.2">
      <c r="A992" s="4">
        <v>43060</v>
      </c>
      <c r="B992" s="3">
        <v>61211.519999999997</v>
      </c>
      <c r="C992" s="6">
        <f t="shared" si="45"/>
        <v>1.1681959467763474E-2</v>
      </c>
      <c r="D992" s="7">
        <f t="shared" si="46"/>
        <v>1.0493822776607054</v>
      </c>
      <c r="E992" s="8">
        <f t="shared" si="47"/>
        <v>-1.7009706015893731</v>
      </c>
    </row>
    <row r="993" spans="1:5" x14ac:dyDescent="0.2">
      <c r="A993" s="4">
        <v>43061</v>
      </c>
      <c r="B993" s="3">
        <v>60751.18</v>
      </c>
      <c r="C993" s="6">
        <f t="shared" si="45"/>
        <v>-7.5489011980281878E-3</v>
      </c>
      <c r="D993" s="7">
        <f t="shared" si="46"/>
        <v>-0.71262405853993827</v>
      </c>
      <c r="E993" s="8">
        <f t="shared" si="47"/>
        <v>-1.1925333865668715</v>
      </c>
    </row>
    <row r="994" spans="1:5" x14ac:dyDescent="0.2">
      <c r="A994" s="4">
        <v>43062</v>
      </c>
      <c r="B994" s="3">
        <v>60298.16</v>
      </c>
      <c r="C994" s="6">
        <f t="shared" si="45"/>
        <v>-7.4849167289401655E-3</v>
      </c>
      <c r="D994" s="7">
        <f t="shared" si="46"/>
        <v>-0.70676155233645488</v>
      </c>
      <c r="E994" s="8">
        <f t="shared" si="47"/>
        <v>-1.1846608383928101</v>
      </c>
    </row>
    <row r="995" spans="1:5" x14ac:dyDescent="0.2">
      <c r="A995" s="4">
        <v>43063</v>
      </c>
      <c r="B995" s="3">
        <v>60323.95</v>
      </c>
      <c r="C995" s="6">
        <f t="shared" si="45"/>
        <v>4.276164692026596E-4</v>
      </c>
      <c r="D995" s="7">
        <f t="shared" si="46"/>
        <v>1.8215549459402989E-2</v>
      </c>
      <c r="E995" s="8">
        <f t="shared" si="47"/>
        <v>-0.66361592139406611</v>
      </c>
    </row>
    <row r="996" spans="1:5" x14ac:dyDescent="0.2">
      <c r="A996" s="4">
        <v>43066</v>
      </c>
      <c r="B996" s="3">
        <v>60157.56</v>
      </c>
      <c r="C996" s="6">
        <f t="shared" si="45"/>
        <v>-2.762085332164742E-3</v>
      </c>
      <c r="D996" s="7">
        <f t="shared" si="46"/>
        <v>-0.27403734978797467</v>
      </c>
      <c r="E996" s="8">
        <f t="shared" si="47"/>
        <v>-0.7484900860843009</v>
      </c>
    </row>
    <row r="997" spans="1:5" x14ac:dyDescent="0.2">
      <c r="A997" s="4">
        <v>43067</v>
      </c>
      <c r="B997" s="3">
        <v>60082.79</v>
      </c>
      <c r="C997" s="6">
        <f t="shared" si="45"/>
        <v>-1.243675848205919E-3</v>
      </c>
      <c r="D997" s="7">
        <f t="shared" si="46"/>
        <v>-0.13491476041568784</v>
      </c>
      <c r="E997" s="8">
        <f t="shared" si="47"/>
        <v>-0.68415133340556245</v>
      </c>
    </row>
    <row r="998" spans="1:5" x14ac:dyDescent="0.2">
      <c r="A998" s="4">
        <v>43068</v>
      </c>
      <c r="B998" s="3">
        <v>60418.39</v>
      </c>
      <c r="C998" s="6">
        <f t="shared" si="45"/>
        <v>5.5700843375785314E-3</v>
      </c>
      <c r="D998" s="7">
        <f t="shared" si="46"/>
        <v>0.48938847953551484</v>
      </c>
      <c r="E998" s="8">
        <f t="shared" si="47"/>
        <v>-0.9260729354935785</v>
      </c>
    </row>
    <row r="999" spans="1:5" x14ac:dyDescent="0.2">
      <c r="A999" s="4">
        <v>43069</v>
      </c>
      <c r="B999" s="3">
        <v>59772.83</v>
      </c>
      <c r="C999" s="6">
        <f t="shared" si="45"/>
        <v>-1.0742318914549085E-2</v>
      </c>
      <c r="D999" s="7">
        <f t="shared" si="46"/>
        <v>-1.0052174244028789</v>
      </c>
      <c r="E999" s="8">
        <f t="shared" si="47"/>
        <v>-1.6292663954526159</v>
      </c>
    </row>
    <row r="1000" spans="1:5" x14ac:dyDescent="0.2">
      <c r="A1000" s="4">
        <v>43070</v>
      </c>
      <c r="B1000" s="3">
        <v>59449.38</v>
      </c>
      <c r="C1000" s="6">
        <f t="shared" si="45"/>
        <v>-5.4260157327173479E-3</v>
      </c>
      <c r="D1000" s="7">
        <f t="shared" si="46"/>
        <v>-0.51811702602008269</v>
      </c>
      <c r="E1000" s="8">
        <f t="shared" si="47"/>
        <v>-0.95614018527460665</v>
      </c>
    </row>
    <row r="1001" spans="1:5" x14ac:dyDescent="0.2">
      <c r="A1001" s="4">
        <v>43073</v>
      </c>
      <c r="B1001" s="3">
        <v>59607.34</v>
      </c>
      <c r="C1001" s="6">
        <f t="shared" si="45"/>
        <v>2.6535267003105632E-3</v>
      </c>
      <c r="D1001" s="7">
        <f t="shared" si="46"/>
        <v>0.22216211218410922</v>
      </c>
      <c r="E1001" s="8">
        <f t="shared" si="47"/>
        <v>-0.71957518979546342</v>
      </c>
    </row>
    <row r="1002" spans="1:5" x14ac:dyDescent="0.2">
      <c r="A1002" s="4">
        <v>43074</v>
      </c>
      <c r="B1002" s="3">
        <v>58977.23</v>
      </c>
      <c r="C1002" s="6">
        <f t="shared" si="45"/>
        <v>-1.0627283639513549E-2</v>
      </c>
      <c r="D1002" s="7">
        <f t="shared" si="46"/>
        <v>-0.99467744457453178</v>
      </c>
      <c r="E1002" s="8">
        <f t="shared" si="47"/>
        <v>-1.6123280326612901</v>
      </c>
    </row>
    <row r="1003" spans="1:5" x14ac:dyDescent="0.2">
      <c r="A1003" s="4">
        <v>43075</v>
      </c>
      <c r="B1003" s="3">
        <v>58010.18</v>
      </c>
      <c r="C1003" s="6">
        <f t="shared" si="45"/>
        <v>-1.6532924824880869E-2</v>
      </c>
      <c r="D1003" s="7">
        <f t="shared" si="46"/>
        <v>-1.5357752856324078</v>
      </c>
      <c r="E1003" s="8">
        <f t="shared" si="47"/>
        <v>-2.5349258420574223</v>
      </c>
    </row>
    <row r="1004" spans="1:5" x14ac:dyDescent="0.2">
      <c r="A1004" s="4">
        <v>43076</v>
      </c>
      <c r="B1004" s="3">
        <v>58013.18</v>
      </c>
      <c r="C1004" s="6">
        <f t="shared" si="45"/>
        <v>5.1713723868507627E-5</v>
      </c>
      <c r="D1004" s="7">
        <f t="shared" si="46"/>
        <v>-1.6226123775336065E-2</v>
      </c>
      <c r="E1004" s="8">
        <f t="shared" si="47"/>
        <v>-0.66353687566846487</v>
      </c>
    </row>
    <row r="1005" spans="1:5" x14ac:dyDescent="0.2">
      <c r="A1005" s="4">
        <v>43077</v>
      </c>
      <c r="B1005" s="3">
        <v>58012.31</v>
      </c>
      <c r="C1005" s="6">
        <f t="shared" si="45"/>
        <v>-1.4996704603772172E-5</v>
      </c>
      <c r="D1005" s="7">
        <f t="shared" si="46"/>
        <v>-2.2338392992069946E-2</v>
      </c>
      <c r="E1005" s="8">
        <f t="shared" si="47"/>
        <v>-0.66380879555771077</v>
      </c>
    </row>
    <row r="1006" spans="1:5" x14ac:dyDescent="0.2">
      <c r="A1006" s="4">
        <v>43080</v>
      </c>
      <c r="B1006" s="3">
        <v>57997.33</v>
      </c>
      <c r="C1006" s="6">
        <f t="shared" si="45"/>
        <v>-2.5825440167301248E-4</v>
      </c>
      <c r="D1006" s="7">
        <f t="shared" si="46"/>
        <v>-4.4626610405449733E-2</v>
      </c>
      <c r="E1006" s="8">
        <f t="shared" si="47"/>
        <v>-0.66552991234715642</v>
      </c>
    </row>
    <row r="1007" spans="1:5" x14ac:dyDescent="0.2">
      <c r="A1007" s="4">
        <v>43081</v>
      </c>
      <c r="B1007" s="3">
        <v>57523.62</v>
      </c>
      <c r="C1007" s="6">
        <f t="shared" si="45"/>
        <v>-8.201328940118437E-3</v>
      </c>
      <c r="D1007" s="7">
        <f t="shared" si="46"/>
        <v>-0.77240202872309316</v>
      </c>
      <c r="E1007" s="8">
        <f t="shared" si="47"/>
        <v>-1.2750936811620384</v>
      </c>
    </row>
    <row r="1008" spans="1:5" x14ac:dyDescent="0.2">
      <c r="A1008" s="4">
        <v>43082</v>
      </c>
      <c r="B1008" s="3">
        <v>57344.41</v>
      </c>
      <c r="C1008" s="6">
        <f t="shared" si="45"/>
        <v>-3.1202789044282725E-3</v>
      </c>
      <c r="D1008" s="7">
        <f t="shared" si="46"/>
        <v>-0.30685643962919901</v>
      </c>
      <c r="E1008" s="8">
        <f t="shared" si="47"/>
        <v>-0.76970383736024295</v>
      </c>
    </row>
    <row r="1009" spans="1:5" x14ac:dyDescent="0.2">
      <c r="A1009" s="4">
        <v>43083</v>
      </c>
      <c r="B1009" s="3">
        <v>57845.57</v>
      </c>
      <c r="C1009" s="6">
        <f t="shared" si="45"/>
        <v>8.7015061927664464E-3</v>
      </c>
      <c r="D1009" s="7">
        <f t="shared" si="46"/>
        <v>0.77630154318082001</v>
      </c>
      <c r="E1009" s="8">
        <f t="shared" si="47"/>
        <v>-1.2806178481274662</v>
      </c>
    </row>
    <row r="1010" spans="1:5" x14ac:dyDescent="0.2">
      <c r="A1010" s="4">
        <v>43084</v>
      </c>
      <c r="B1010" s="3">
        <v>57412.76</v>
      </c>
      <c r="C1010" s="6">
        <f t="shared" si="45"/>
        <v>-7.5102950800788526E-3</v>
      </c>
      <c r="D1010" s="7">
        <f t="shared" si="46"/>
        <v>-0.70908681568716048</v>
      </c>
      <c r="E1010" s="8">
        <f t="shared" si="47"/>
        <v>-1.1877783687595251</v>
      </c>
    </row>
    <row r="1011" spans="1:5" x14ac:dyDescent="0.2">
      <c r="A1011" s="4">
        <v>43087</v>
      </c>
      <c r="B1011" s="3">
        <v>57707.42</v>
      </c>
      <c r="C1011" s="6">
        <f t="shared" si="45"/>
        <v>5.1191831612656521E-3</v>
      </c>
      <c r="D1011" s="7">
        <f t="shared" si="46"/>
        <v>0.44807515802219966</v>
      </c>
      <c r="E1011" s="8">
        <f t="shared" si="47"/>
        <v>-0.88529865334922841</v>
      </c>
    </row>
    <row r="1012" spans="1:5" x14ac:dyDescent="0.2">
      <c r="A1012" s="4">
        <v>43088</v>
      </c>
      <c r="B1012" s="3">
        <v>58170.44</v>
      </c>
      <c r="C1012" s="6">
        <f t="shared" si="45"/>
        <v>7.9915604970597978E-3</v>
      </c>
      <c r="D1012" s="7">
        <f t="shared" si="46"/>
        <v>0.71125355412130431</v>
      </c>
      <c r="E1012" s="8">
        <f t="shared" si="47"/>
        <v>-1.1906892615630789</v>
      </c>
    </row>
    <row r="1013" spans="1:5" x14ac:dyDescent="0.2">
      <c r="A1013" s="4">
        <v>43089</v>
      </c>
      <c r="B1013" s="3">
        <v>58032.09</v>
      </c>
      <c r="C1013" s="6">
        <f t="shared" si="45"/>
        <v>-2.3811885226776267E-3</v>
      </c>
      <c r="D1013" s="7">
        <f t="shared" si="46"/>
        <v>-0.23913810094942675</v>
      </c>
      <c r="E1013" s="8">
        <f t="shared" si="47"/>
        <v>-0.72840544958932285</v>
      </c>
    </row>
    <row r="1014" spans="1:5" x14ac:dyDescent="0.2">
      <c r="A1014" s="4">
        <v>43090</v>
      </c>
      <c r="B1014" s="3">
        <v>58771.79</v>
      </c>
      <c r="C1014" s="6">
        <f t="shared" si="45"/>
        <v>1.2665844469424033E-2</v>
      </c>
      <c r="D1014" s="7">
        <f t="shared" si="46"/>
        <v>1.1395296526090599</v>
      </c>
      <c r="E1014" s="8">
        <f t="shared" si="47"/>
        <v>-1.8505010731411462</v>
      </c>
    </row>
    <row r="1015" spans="1:5" x14ac:dyDescent="0.2">
      <c r="A1015" s="4">
        <v>43091</v>
      </c>
      <c r="B1015" s="3">
        <v>58800.23</v>
      </c>
      <c r="C1015" s="6">
        <f t="shared" si="45"/>
        <v>4.8378858430279378E-4</v>
      </c>
      <c r="D1015" s="7">
        <f t="shared" si="46"/>
        <v>2.336225737041649E-2</v>
      </c>
      <c r="E1015" s="8">
        <f t="shared" si="47"/>
        <v>-0.66386277006511785</v>
      </c>
    </row>
    <row r="1016" spans="1:5" x14ac:dyDescent="0.2">
      <c r="A1016" s="4">
        <v>43096</v>
      </c>
      <c r="B1016" s="3">
        <v>58844.01</v>
      </c>
      <c r="C1016" s="6">
        <f t="shared" si="45"/>
        <v>7.4427786725450801E-4</v>
      </c>
      <c r="D1016" s="7">
        <f t="shared" si="46"/>
        <v>4.7229299779482169E-2</v>
      </c>
      <c r="E1016" s="8">
        <f t="shared" si="47"/>
        <v>-0.66580549556886082</v>
      </c>
    </row>
    <row r="1017" spans="1:5" x14ac:dyDescent="0.2">
      <c r="A1017" s="4">
        <v>43097</v>
      </c>
      <c r="B1017" s="3">
        <v>58952.89</v>
      </c>
      <c r="C1017" s="6">
        <f t="shared" si="45"/>
        <v>1.8486060500181884E-3</v>
      </c>
      <c r="D1017" s="7">
        <f t="shared" si="46"/>
        <v>0.14841214796764696</v>
      </c>
      <c r="E1017" s="8">
        <f t="shared" si="47"/>
        <v>-0.68852524110700897</v>
      </c>
    </row>
    <row r="1018" spans="1:5" x14ac:dyDescent="0.2">
      <c r="A1018" s="4">
        <v>43098</v>
      </c>
      <c r="B1018" s="3">
        <v>59504.67</v>
      </c>
      <c r="C1018" s="6">
        <f t="shared" si="45"/>
        <v>9.3161464877377989E-3</v>
      </c>
      <c r="D1018" s="7">
        <f t="shared" si="46"/>
        <v>0.83261728032045956</v>
      </c>
      <c r="E1018" s="8">
        <f t="shared" si="47"/>
        <v>-1.3621434679829387</v>
      </c>
    </row>
    <row r="1019" spans="1:5" x14ac:dyDescent="0.2">
      <c r="A1019" s="4">
        <v>43102</v>
      </c>
      <c r="B1019" s="3">
        <v>59731.16</v>
      </c>
      <c r="C1019" s="6">
        <f t="shared" si="45"/>
        <v>3.7990304156702783E-3</v>
      </c>
      <c r="D1019" s="7">
        <f t="shared" si="46"/>
        <v>0.32711762299988617</v>
      </c>
      <c r="E1019" s="8">
        <f t="shared" si="47"/>
        <v>-0.78390180983688429</v>
      </c>
    </row>
    <row r="1020" spans="1:5" x14ac:dyDescent="0.2">
      <c r="A1020" s="4">
        <v>43103</v>
      </c>
      <c r="B1020" s="3">
        <v>59629.64</v>
      </c>
      <c r="C1020" s="6">
        <f t="shared" si="45"/>
        <v>-1.7010613950298981E-3</v>
      </c>
      <c r="D1020" s="7">
        <f t="shared" si="46"/>
        <v>-0.17682220520436709</v>
      </c>
      <c r="E1020" s="8">
        <f t="shared" si="47"/>
        <v>-0.69906369983454808</v>
      </c>
    </row>
    <row r="1021" spans="1:5" x14ac:dyDescent="0.2">
      <c r="A1021" s="4">
        <v>43104</v>
      </c>
      <c r="B1021" s="3">
        <v>59476.77</v>
      </c>
      <c r="C1021" s="6">
        <f t="shared" si="45"/>
        <v>-2.5669497374877304E-3</v>
      </c>
      <c r="D1021" s="7">
        <f t="shared" si="46"/>
        <v>-0.25615826677580411</v>
      </c>
      <c r="E1021" s="8">
        <f t="shared" si="47"/>
        <v>-0.7378783341255325</v>
      </c>
    </row>
    <row r="1022" spans="1:5" x14ac:dyDescent="0.2">
      <c r="A1022" s="4">
        <v>43105</v>
      </c>
      <c r="B1022" s="3">
        <v>59717.2</v>
      </c>
      <c r="C1022" s="6">
        <f t="shared" si="45"/>
        <v>4.0342699566060054E-3</v>
      </c>
      <c r="D1022" s="7">
        <f t="shared" si="46"/>
        <v>0.34867118572685207</v>
      </c>
      <c r="E1022" s="8">
        <f t="shared" si="47"/>
        <v>-0.79990999689208064</v>
      </c>
    </row>
    <row r="1023" spans="1:5" x14ac:dyDescent="0.2">
      <c r="A1023" s="4">
        <v>43108</v>
      </c>
      <c r="B1023" s="3">
        <v>60038.39</v>
      </c>
      <c r="C1023" s="6">
        <f t="shared" si="45"/>
        <v>5.3641048430318194E-3</v>
      </c>
      <c r="D1023" s="7">
        <f t="shared" si="46"/>
        <v>0.47051583619281129</v>
      </c>
      <c r="E1023" s="8">
        <f t="shared" si="47"/>
        <v>-0.90707881465825968</v>
      </c>
    </row>
    <row r="1024" spans="1:5" x14ac:dyDescent="0.2">
      <c r="A1024" s="4">
        <v>43109</v>
      </c>
      <c r="B1024" s="3">
        <v>60113.65</v>
      </c>
      <c r="C1024" s="6">
        <f t="shared" si="45"/>
        <v>1.2527462678550664E-3</v>
      </c>
      <c r="D1024" s="7">
        <f t="shared" si="46"/>
        <v>9.3817154539913364E-2</v>
      </c>
      <c r="E1024" s="8">
        <f t="shared" si="47"/>
        <v>-0.67336886023834863</v>
      </c>
    </row>
    <row r="1025" spans="1:5" x14ac:dyDescent="0.2">
      <c r="A1025" s="4">
        <v>43110</v>
      </c>
      <c r="B1025" s="3">
        <v>59979.63</v>
      </c>
      <c r="C1025" s="6">
        <f t="shared" si="45"/>
        <v>-2.2319326382844321E-3</v>
      </c>
      <c r="D1025" s="7">
        <f t="shared" si="46"/>
        <v>-0.22546269564196422</v>
      </c>
      <c r="E1025" s="8">
        <f t="shared" si="47"/>
        <v>-0.72124338669415422</v>
      </c>
    </row>
    <row r="1026" spans="1:5" x14ac:dyDescent="0.2">
      <c r="A1026" s="4">
        <v>43111</v>
      </c>
      <c r="B1026" s="3">
        <v>59606.02</v>
      </c>
      <c r="C1026" s="6">
        <f t="shared" si="45"/>
        <v>-6.2484288970496727E-3</v>
      </c>
      <c r="D1026" s="7">
        <f t="shared" si="46"/>
        <v>-0.59346972248603269</v>
      </c>
      <c r="E1026" s="8">
        <f t="shared" si="47"/>
        <v>-1.0412752328781958</v>
      </c>
    </row>
    <row r="1027" spans="1:5" x14ac:dyDescent="0.2">
      <c r="A1027" s="4">
        <v>43112</v>
      </c>
      <c r="B1027" s="3">
        <v>60083.13</v>
      </c>
      <c r="C1027" s="6">
        <f t="shared" ref="C1027:C1090" si="48">LN(B1027/B1026)</f>
        <v>7.9725276207164731E-3</v>
      </c>
      <c r="D1027" s="7">
        <f t="shared" ref="D1027:D1090" si="49">(C1027-$G$4)/$G$5</f>
        <v>0.70950968787964841</v>
      </c>
      <c r="E1027" s="8">
        <f t="shared" ref="E1027:E1090" si="50">LN((PI()*(G$3-2))^(-1/2)*EXP(GAMMALN((G$3+1)/2))*((1+D1027^2/(G$3-2))^(-(G$3+1)/2))/EXP(GAMMALN(G$3/2)))</f>
        <v>-1.1883460277792826</v>
      </c>
    </row>
    <row r="1028" spans="1:5" x14ac:dyDescent="0.2">
      <c r="A1028" s="4">
        <v>43115</v>
      </c>
      <c r="B1028" s="3">
        <v>60240.959999999999</v>
      </c>
      <c r="C1028" s="6">
        <f t="shared" si="48"/>
        <v>2.6234163170419851E-3</v>
      </c>
      <c r="D1028" s="7">
        <f t="shared" si="49"/>
        <v>0.21940328162386086</v>
      </c>
      <c r="E1028" s="8">
        <f t="shared" si="50"/>
        <v>-0.71819889254431801</v>
      </c>
    </row>
    <row r="1029" spans="1:5" x14ac:dyDescent="0.2">
      <c r="A1029" s="4">
        <v>43116</v>
      </c>
      <c r="B1029" s="3">
        <v>60649.599999999999</v>
      </c>
      <c r="C1029" s="6">
        <f t="shared" si="48"/>
        <v>6.7605205302065088E-3</v>
      </c>
      <c r="D1029" s="7">
        <f t="shared" si="49"/>
        <v>0.59846087887873567</v>
      </c>
      <c r="E1029" s="8">
        <f t="shared" si="50"/>
        <v>-1.0472190552066143</v>
      </c>
    </row>
    <row r="1030" spans="1:5" x14ac:dyDescent="0.2">
      <c r="A1030" s="4">
        <v>43117</v>
      </c>
      <c r="B1030" s="3">
        <v>60924.46</v>
      </c>
      <c r="C1030" s="6">
        <f t="shared" si="48"/>
        <v>4.5216959655601397E-3</v>
      </c>
      <c r="D1030" s="7">
        <f t="shared" si="49"/>
        <v>0.39333105462881535</v>
      </c>
      <c r="E1030" s="8">
        <f t="shared" si="50"/>
        <v>-0.83597289888870219</v>
      </c>
    </row>
    <row r="1031" spans="1:5" x14ac:dyDescent="0.2">
      <c r="A1031" s="4">
        <v>43118</v>
      </c>
      <c r="B1031" s="3">
        <v>60922.55</v>
      </c>
      <c r="C1031" s="6">
        <f t="shared" si="48"/>
        <v>-3.1350789816732595E-5</v>
      </c>
      <c r="D1031" s="7">
        <f t="shared" si="49"/>
        <v>-2.383681795956296E-2</v>
      </c>
      <c r="E1031" s="8">
        <f t="shared" si="50"/>
        <v>-0.6638886070889326</v>
      </c>
    </row>
    <row r="1032" spans="1:5" x14ac:dyDescent="0.2">
      <c r="A1032" s="4">
        <v>43119</v>
      </c>
      <c r="B1032" s="3">
        <v>60912.88</v>
      </c>
      <c r="C1032" s="6">
        <f t="shared" si="48"/>
        <v>-1.5873871861920988E-4</v>
      </c>
      <c r="D1032" s="7">
        <f t="shared" si="49"/>
        <v>-3.5508596025362875E-2</v>
      </c>
      <c r="E1032" s="8">
        <f t="shared" si="50"/>
        <v>-0.66468747294473185</v>
      </c>
    </row>
    <row r="1033" spans="1:5" x14ac:dyDescent="0.2">
      <c r="A1033" s="4">
        <v>43122</v>
      </c>
      <c r="B1033" s="3">
        <v>61060.28</v>
      </c>
      <c r="C1033" s="6">
        <f t="shared" si="48"/>
        <v>2.4169263427051054E-3</v>
      </c>
      <c r="D1033" s="7">
        <f t="shared" si="49"/>
        <v>0.2004838661350527</v>
      </c>
      <c r="E1033" s="8">
        <f t="shared" si="50"/>
        <v>-0.70920634316552023</v>
      </c>
    </row>
    <row r="1034" spans="1:5" x14ac:dyDescent="0.2">
      <c r="A1034" s="4">
        <v>43123</v>
      </c>
      <c r="B1034" s="3">
        <v>61475.44</v>
      </c>
      <c r="C1034" s="6">
        <f t="shared" si="48"/>
        <v>6.7761725080183414E-3</v>
      </c>
      <c r="D1034" s="7">
        <f t="shared" si="49"/>
        <v>0.59989497403223957</v>
      </c>
      <c r="E1034" s="8">
        <f t="shared" si="50"/>
        <v>-1.0489336018715953</v>
      </c>
    </row>
    <row r="1035" spans="1:5" x14ac:dyDescent="0.2">
      <c r="A1035" s="4">
        <v>43124</v>
      </c>
      <c r="B1035" s="3">
        <v>61623.13</v>
      </c>
      <c r="C1035" s="6">
        <f t="shared" si="48"/>
        <v>2.3995416171628046E-3</v>
      </c>
      <c r="D1035" s="7">
        <f t="shared" si="49"/>
        <v>0.19889100988743127</v>
      </c>
      <c r="E1035" s="8">
        <f t="shared" si="50"/>
        <v>-0.70848490867377012</v>
      </c>
    </row>
    <row r="1036" spans="1:5" x14ac:dyDescent="0.2">
      <c r="A1036" s="4">
        <v>43125</v>
      </c>
      <c r="B1036" s="3">
        <v>61684.77</v>
      </c>
      <c r="C1036" s="6">
        <f t="shared" si="48"/>
        <v>9.9977382040155379E-4</v>
      </c>
      <c r="D1036" s="7">
        <f t="shared" si="49"/>
        <v>7.0638833868589199E-2</v>
      </c>
      <c r="E1036" s="8">
        <f t="shared" si="50"/>
        <v>-0.66898404623467578</v>
      </c>
    </row>
    <row r="1037" spans="1:5" x14ac:dyDescent="0.2">
      <c r="A1037" s="4">
        <v>43126</v>
      </c>
      <c r="B1037" s="3">
        <v>61595.86</v>
      </c>
      <c r="C1037" s="6">
        <f t="shared" si="48"/>
        <v>-1.4424004065343846E-3</v>
      </c>
      <c r="D1037" s="7">
        <f t="shared" si="49"/>
        <v>-0.15312267825247472</v>
      </c>
      <c r="E1037" s="8">
        <f t="shared" si="50"/>
        <v>-0.6901479756915776</v>
      </c>
    </row>
    <row r="1038" spans="1:5" x14ac:dyDescent="0.2">
      <c r="A1038" s="4">
        <v>43129</v>
      </c>
      <c r="B1038" s="3">
        <v>60806.9</v>
      </c>
      <c r="C1038" s="6">
        <f t="shared" si="48"/>
        <v>-1.2891391113639298E-2</v>
      </c>
      <c r="D1038" s="7">
        <f t="shared" si="49"/>
        <v>-1.202123787438697</v>
      </c>
      <c r="E1038" s="8">
        <f t="shared" si="50"/>
        <v>-1.9563495759128147</v>
      </c>
    </row>
    <row r="1039" spans="1:5" x14ac:dyDescent="0.2">
      <c r="A1039" s="4">
        <v>43130</v>
      </c>
      <c r="B1039" s="3">
        <v>59546.23</v>
      </c>
      <c r="C1039" s="6">
        <f t="shared" si="48"/>
        <v>-2.0950283722234574E-2</v>
      </c>
      <c r="D1039" s="7">
        <f t="shared" si="49"/>
        <v>-1.9405109083211443</v>
      </c>
      <c r="E1039" s="8">
        <f t="shared" si="50"/>
        <v>-3.2342989344254334</v>
      </c>
    </row>
    <row r="1040" spans="1:5" x14ac:dyDescent="0.2">
      <c r="A1040" s="4">
        <v>43131</v>
      </c>
      <c r="B1040" s="3">
        <v>59506.12</v>
      </c>
      <c r="C1040" s="6">
        <f t="shared" si="48"/>
        <v>-6.7382124783952431E-4</v>
      </c>
      <c r="D1040" s="7">
        <f t="shared" si="49"/>
        <v>-8.2702463004331275E-2</v>
      </c>
      <c r="E1040" s="8">
        <f t="shared" si="50"/>
        <v>-0.67111287986176793</v>
      </c>
    </row>
    <row r="1041" spans="1:5" x14ac:dyDescent="0.2">
      <c r="A1041" s="4">
        <v>43132</v>
      </c>
      <c r="B1041" s="3">
        <v>59258.37</v>
      </c>
      <c r="C1041" s="6">
        <f t="shared" si="48"/>
        <v>-4.1721285440594145E-3</v>
      </c>
      <c r="D1041" s="7">
        <f t="shared" si="49"/>
        <v>-0.40323099935222007</v>
      </c>
      <c r="E1041" s="8">
        <f t="shared" si="50"/>
        <v>-0.84448304955602005</v>
      </c>
    </row>
    <row r="1042" spans="1:5" x14ac:dyDescent="0.2">
      <c r="A1042" s="4">
        <v>43133</v>
      </c>
      <c r="B1042" s="3">
        <v>58656.82</v>
      </c>
      <c r="C1042" s="6">
        <f t="shared" si="48"/>
        <v>-1.0203184486859116E-2</v>
      </c>
      <c r="D1042" s="7">
        <f t="shared" si="49"/>
        <v>-0.95581982883174343</v>
      </c>
      <c r="E1042" s="8">
        <f t="shared" si="50"/>
        <v>-1.5505125859952569</v>
      </c>
    </row>
    <row r="1043" spans="1:5" x14ac:dyDescent="0.2">
      <c r="A1043" s="4">
        <v>43136</v>
      </c>
      <c r="B1043" s="3">
        <v>57113.74</v>
      </c>
      <c r="C1043" s="6">
        <f t="shared" si="48"/>
        <v>-2.6659133186139088E-2</v>
      </c>
      <c r="D1043" s="7">
        <f t="shared" si="49"/>
        <v>-2.4635779255820331</v>
      </c>
      <c r="E1043" s="8">
        <f t="shared" si="50"/>
        <v>-4.0871823817669357</v>
      </c>
    </row>
    <row r="1044" spans="1:5" x14ac:dyDescent="0.2">
      <c r="A1044" s="4">
        <v>43137</v>
      </c>
      <c r="B1044" s="3">
        <v>56377.21</v>
      </c>
      <c r="C1044" s="6">
        <f t="shared" si="48"/>
        <v>-1.297971935964164E-2</v>
      </c>
      <c r="D1044" s="7">
        <f t="shared" si="49"/>
        <v>-1.2102167652739773</v>
      </c>
      <c r="E1044" s="8">
        <f t="shared" si="50"/>
        <v>-1.9701340563401513</v>
      </c>
    </row>
    <row r="1045" spans="1:5" x14ac:dyDescent="0.2">
      <c r="A1045" s="4">
        <v>43138</v>
      </c>
      <c r="B1045" s="3">
        <v>56886.45</v>
      </c>
      <c r="C1045" s="6">
        <f t="shared" si="48"/>
        <v>8.9921768622379106E-3</v>
      </c>
      <c r="D1045" s="7">
        <f t="shared" si="49"/>
        <v>0.80293392174448219</v>
      </c>
      <c r="E1045" s="8">
        <f t="shared" si="50"/>
        <v>-1.3187734303672258</v>
      </c>
    </row>
    <row r="1046" spans="1:5" x14ac:dyDescent="0.2">
      <c r="A1046" s="4">
        <v>43139</v>
      </c>
      <c r="B1046" s="3">
        <v>56635.69</v>
      </c>
      <c r="C1046" s="6">
        <f t="shared" si="48"/>
        <v>-4.4178238331941877E-3</v>
      </c>
      <c r="D1046" s="7">
        <f t="shared" si="49"/>
        <v>-0.42574255844225095</v>
      </c>
      <c r="E1046" s="8">
        <f t="shared" si="50"/>
        <v>-0.86451342527209518</v>
      </c>
    </row>
    <row r="1047" spans="1:5" x14ac:dyDescent="0.2">
      <c r="A1047" s="4">
        <v>43140</v>
      </c>
      <c r="B1047" s="3">
        <v>55902.62</v>
      </c>
      <c r="C1047" s="6">
        <f t="shared" si="48"/>
        <v>-1.3028103384975346E-2</v>
      </c>
      <c r="D1047" s="7">
        <f t="shared" si="49"/>
        <v>-1.214649898074972</v>
      </c>
      <c r="E1047" s="8">
        <f t="shared" si="50"/>
        <v>-1.9776935296913956</v>
      </c>
    </row>
    <row r="1048" spans="1:5" x14ac:dyDescent="0.2">
      <c r="A1048" s="4">
        <v>43143</v>
      </c>
      <c r="B1048" s="3">
        <v>56206.76</v>
      </c>
      <c r="C1048" s="6">
        <f t="shared" si="48"/>
        <v>5.4257858911529724E-3</v>
      </c>
      <c r="D1048" s="7">
        <f t="shared" si="49"/>
        <v>0.47616729399814473</v>
      </c>
      <c r="E1048" s="8">
        <f t="shared" si="50"/>
        <v>-0.91270250333663783</v>
      </c>
    </row>
    <row r="1049" spans="1:5" x14ac:dyDescent="0.2">
      <c r="A1049" s="4">
        <v>43144</v>
      </c>
      <c r="B1049" s="3">
        <v>57208.97</v>
      </c>
      <c r="C1049" s="6">
        <f t="shared" si="48"/>
        <v>1.7673669909354574E-2</v>
      </c>
      <c r="D1049" s="7">
        <f t="shared" si="49"/>
        <v>1.5983661191141927</v>
      </c>
      <c r="E1049" s="8">
        <f t="shared" si="50"/>
        <v>-2.6442421559500779</v>
      </c>
    </row>
    <row r="1050" spans="1:5" x14ac:dyDescent="0.2">
      <c r="A1050" s="4">
        <v>43145</v>
      </c>
      <c r="B1050" s="3">
        <v>57399.55</v>
      </c>
      <c r="C1050" s="6">
        <f t="shared" si="48"/>
        <v>3.3257593006510251E-3</v>
      </c>
      <c r="D1050" s="7">
        <f t="shared" si="49"/>
        <v>0.28375468059720726</v>
      </c>
      <c r="E1050" s="8">
        <f t="shared" si="50"/>
        <v>-0.75453873749467881</v>
      </c>
    </row>
    <row r="1051" spans="1:5" x14ac:dyDescent="0.2">
      <c r="A1051" s="4">
        <v>43146</v>
      </c>
      <c r="B1051" s="3">
        <v>59533.1</v>
      </c>
      <c r="C1051" s="6">
        <f t="shared" si="48"/>
        <v>3.6495996820172211E-2</v>
      </c>
      <c r="D1051" s="7">
        <f t="shared" si="49"/>
        <v>3.3229410019167811</v>
      </c>
      <c r="E1051" s="8">
        <f t="shared" si="50"/>
        <v>-5.3223644023053609</v>
      </c>
    </row>
    <row r="1052" spans="1:5" x14ac:dyDescent="0.2">
      <c r="A1052" s="4">
        <v>43147</v>
      </c>
      <c r="B1052" s="3">
        <v>59122.34</v>
      </c>
      <c r="C1052" s="6">
        <f t="shared" si="48"/>
        <v>-6.9236040228410284E-3</v>
      </c>
      <c r="D1052" s="7">
        <f t="shared" si="49"/>
        <v>-0.65533189653868118</v>
      </c>
      <c r="E1052" s="8">
        <f t="shared" si="50"/>
        <v>-1.1174405337562101</v>
      </c>
    </row>
    <row r="1053" spans="1:5" x14ac:dyDescent="0.2">
      <c r="A1053" s="4">
        <v>43150</v>
      </c>
      <c r="B1053" s="3">
        <v>58701.37</v>
      </c>
      <c r="C1053" s="6">
        <f t="shared" si="48"/>
        <v>-7.1457907972414863E-3</v>
      </c>
      <c r="D1053" s="7">
        <f t="shared" si="49"/>
        <v>-0.67568951397022914</v>
      </c>
      <c r="E1053" s="8">
        <f t="shared" si="50"/>
        <v>-1.1436444621234618</v>
      </c>
    </row>
    <row r="1054" spans="1:5" x14ac:dyDescent="0.2">
      <c r="A1054" s="4">
        <v>43151</v>
      </c>
      <c r="B1054" s="3">
        <v>57928.78</v>
      </c>
      <c r="C1054" s="6">
        <f t="shared" si="48"/>
        <v>-1.3248740586734522E-2</v>
      </c>
      <c r="D1054" s="7">
        <f t="shared" si="49"/>
        <v>-1.2348655376273294</v>
      </c>
      <c r="E1054" s="8">
        <f t="shared" si="50"/>
        <v>-2.0122400036185093</v>
      </c>
    </row>
    <row r="1055" spans="1:5" x14ac:dyDescent="0.2">
      <c r="A1055" s="4">
        <v>43152</v>
      </c>
      <c r="B1055" s="3">
        <v>58605.97</v>
      </c>
      <c r="C1055" s="6">
        <f t="shared" si="48"/>
        <v>1.1622243540059186E-2</v>
      </c>
      <c r="D1055" s="7">
        <f t="shared" si="49"/>
        <v>1.0439108718398402</v>
      </c>
      <c r="E1055" s="8">
        <f t="shared" si="50"/>
        <v>-1.6920265464223097</v>
      </c>
    </row>
    <row r="1056" spans="1:5" x14ac:dyDescent="0.2">
      <c r="A1056" s="4">
        <v>43153</v>
      </c>
      <c r="B1056" s="3">
        <v>58155.09</v>
      </c>
      <c r="C1056" s="6">
        <f t="shared" si="48"/>
        <v>-7.7231611488040282E-3</v>
      </c>
      <c r="D1056" s="7">
        <f t="shared" si="49"/>
        <v>-0.72859043377135091</v>
      </c>
      <c r="E1056" s="8">
        <f t="shared" si="50"/>
        <v>-1.2141826858861424</v>
      </c>
    </row>
    <row r="1057" spans="1:5" x14ac:dyDescent="0.2">
      <c r="A1057" s="4">
        <v>43154</v>
      </c>
      <c r="B1057" s="3">
        <v>58715.46</v>
      </c>
      <c r="C1057" s="6">
        <f t="shared" si="48"/>
        <v>9.5896578627778211E-3</v>
      </c>
      <c r="D1057" s="7">
        <f t="shared" si="49"/>
        <v>0.85767745751267099</v>
      </c>
      <c r="E1057" s="8">
        <f t="shared" si="50"/>
        <v>-1.3994122908824991</v>
      </c>
    </row>
    <row r="1058" spans="1:5" x14ac:dyDescent="0.2">
      <c r="A1058" s="4">
        <v>43157</v>
      </c>
      <c r="B1058" s="3">
        <v>58868.93</v>
      </c>
      <c r="C1058" s="6">
        <f t="shared" si="48"/>
        <v>2.6103819928237626E-3</v>
      </c>
      <c r="D1058" s="7">
        <f t="shared" si="49"/>
        <v>0.21820902608534223</v>
      </c>
      <c r="E1058" s="8">
        <f t="shared" si="50"/>
        <v>-0.71760822877850705</v>
      </c>
    </row>
    <row r="1059" spans="1:5" x14ac:dyDescent="0.2">
      <c r="A1059" s="4">
        <v>43158</v>
      </c>
      <c r="B1059" s="3">
        <v>59027.22</v>
      </c>
      <c r="C1059" s="6">
        <f t="shared" si="48"/>
        <v>2.6852462122488575E-3</v>
      </c>
      <c r="D1059" s="7">
        <f t="shared" si="49"/>
        <v>0.22506837737877547</v>
      </c>
      <c r="E1059" s="8">
        <f t="shared" si="50"/>
        <v>-0.72104285006976088</v>
      </c>
    </row>
    <row r="1060" spans="1:5" x14ac:dyDescent="0.2">
      <c r="A1060" s="4">
        <v>43159</v>
      </c>
      <c r="B1060" s="3">
        <v>58325.09</v>
      </c>
      <c r="C1060" s="6">
        <f t="shared" si="48"/>
        <v>-1.1966332462110979E-2</v>
      </c>
      <c r="D1060" s="7">
        <f t="shared" si="49"/>
        <v>-1.1173663117501786</v>
      </c>
      <c r="E1060" s="8">
        <f t="shared" si="50"/>
        <v>-1.8133879324282145</v>
      </c>
    </row>
    <row r="1061" spans="1:5" x14ac:dyDescent="0.2">
      <c r="A1061" s="4">
        <v>43160</v>
      </c>
      <c r="B1061" s="3">
        <v>57923.16</v>
      </c>
      <c r="C1061" s="6">
        <f t="shared" si="48"/>
        <v>-6.9150563836090327E-3</v>
      </c>
      <c r="D1061" s="7">
        <f t="shared" si="49"/>
        <v>-0.65454872854905899</v>
      </c>
      <c r="E1061" s="8">
        <f t="shared" si="50"/>
        <v>-1.1164433524432278</v>
      </c>
    </row>
    <row r="1062" spans="1:5" x14ac:dyDescent="0.2">
      <c r="A1062" s="4">
        <v>43161</v>
      </c>
      <c r="B1062" s="3">
        <v>57744.7</v>
      </c>
      <c r="C1062" s="6">
        <f t="shared" si="48"/>
        <v>-3.0857343017216808E-3</v>
      </c>
      <c r="D1062" s="7">
        <f t="shared" si="49"/>
        <v>-0.30369132861787429</v>
      </c>
      <c r="E1062" s="8">
        <f t="shared" si="50"/>
        <v>-0.76756124501513445</v>
      </c>
    </row>
    <row r="1063" spans="1:5" x14ac:dyDescent="0.2">
      <c r="A1063" s="4">
        <v>43164</v>
      </c>
      <c r="B1063" s="3">
        <v>57912.4</v>
      </c>
      <c r="C1063" s="6">
        <f t="shared" si="48"/>
        <v>2.899953699789811E-3</v>
      </c>
      <c r="D1063" s="7">
        <f t="shared" si="49"/>
        <v>0.24474071342506792</v>
      </c>
      <c r="E1063" s="8">
        <f t="shared" si="50"/>
        <v>-0.73145550392656855</v>
      </c>
    </row>
    <row r="1064" spans="1:5" x14ac:dyDescent="0.2">
      <c r="A1064" s="4">
        <v>43165</v>
      </c>
      <c r="B1064" s="3">
        <v>59242.86</v>
      </c>
      <c r="C1064" s="6">
        <f t="shared" si="48"/>
        <v>2.2713742426310728E-2</v>
      </c>
      <c r="D1064" s="7">
        <f t="shared" si="49"/>
        <v>2.0601571883815488</v>
      </c>
      <c r="E1064" s="8">
        <f t="shared" si="50"/>
        <v>-3.4355478831430792</v>
      </c>
    </row>
    <row r="1065" spans="1:5" x14ac:dyDescent="0.2">
      <c r="A1065" s="4">
        <v>43166</v>
      </c>
      <c r="B1065" s="3">
        <v>58962.65</v>
      </c>
      <c r="C1065" s="6">
        <f t="shared" si="48"/>
        <v>-4.7410738276874517E-3</v>
      </c>
      <c r="D1065" s="7">
        <f t="shared" si="49"/>
        <v>-0.45535998162326941</v>
      </c>
      <c r="E1065" s="8">
        <f t="shared" si="50"/>
        <v>-0.8922718940689407</v>
      </c>
    </row>
    <row r="1066" spans="1:5" x14ac:dyDescent="0.2">
      <c r="A1066" s="4">
        <v>43167</v>
      </c>
      <c r="B1066" s="3">
        <v>58926.01</v>
      </c>
      <c r="C1066" s="6">
        <f t="shared" si="48"/>
        <v>-6.216034889153381E-4</v>
      </c>
      <c r="D1066" s="7">
        <f t="shared" si="49"/>
        <v>-7.7918068603810231E-2</v>
      </c>
      <c r="E1066" s="8">
        <f t="shared" si="50"/>
        <v>-0.67022872049131399</v>
      </c>
    </row>
    <row r="1067" spans="1:5" x14ac:dyDescent="0.2">
      <c r="A1067" s="4">
        <v>43168</v>
      </c>
      <c r="B1067" s="3">
        <v>59169.23</v>
      </c>
      <c r="C1067" s="6">
        <f t="shared" si="48"/>
        <v>4.1190541445151599E-3</v>
      </c>
      <c r="D1067" s="7">
        <f t="shared" si="49"/>
        <v>0.35643944315961978</v>
      </c>
      <c r="E1067" s="8">
        <f t="shared" si="50"/>
        <v>-0.80590498893499496</v>
      </c>
    </row>
    <row r="1068" spans="1:5" x14ac:dyDescent="0.2">
      <c r="A1068" s="4">
        <v>43171</v>
      </c>
      <c r="B1068" s="3">
        <v>59194.45</v>
      </c>
      <c r="C1068" s="6">
        <f t="shared" si="48"/>
        <v>4.2614424258609508E-4</v>
      </c>
      <c r="D1068" s="7">
        <f t="shared" si="49"/>
        <v>1.8080658324170322E-2</v>
      </c>
      <c r="E1068" s="8">
        <f t="shared" si="50"/>
        <v>-0.66361027325905697</v>
      </c>
    </row>
    <row r="1069" spans="1:5" x14ac:dyDescent="0.2">
      <c r="A1069" s="4">
        <v>43172</v>
      </c>
      <c r="B1069" s="3">
        <v>59084.51</v>
      </c>
      <c r="C1069" s="6">
        <f t="shared" si="48"/>
        <v>-1.8589955755693682E-3</v>
      </c>
      <c r="D1069" s="7">
        <f t="shared" si="49"/>
        <v>-0.19129274979669603</v>
      </c>
      <c r="E1069" s="8">
        <f t="shared" si="50"/>
        <v>-0.70512011772593575</v>
      </c>
    </row>
    <row r="1070" spans="1:5" x14ac:dyDescent="0.2">
      <c r="A1070" s="4">
        <v>43173</v>
      </c>
      <c r="B1070" s="3">
        <v>58423.17</v>
      </c>
      <c r="C1070" s="6">
        <f t="shared" si="48"/>
        <v>-1.1256234193172617E-2</v>
      </c>
      <c r="D1070" s="7">
        <f t="shared" si="49"/>
        <v>-1.0523043433370767</v>
      </c>
      <c r="E1070" s="8">
        <f t="shared" si="50"/>
        <v>-1.7057540105008762</v>
      </c>
    </row>
    <row r="1071" spans="1:5" x14ac:dyDescent="0.2">
      <c r="A1071" s="4">
        <v>43174</v>
      </c>
      <c r="B1071" s="3">
        <v>58203.77</v>
      </c>
      <c r="C1071" s="6">
        <f t="shared" si="48"/>
        <v>-3.762428454633007E-3</v>
      </c>
      <c r="D1071" s="7">
        <f t="shared" si="49"/>
        <v>-0.36569268185011145</v>
      </c>
      <c r="E1071" s="8">
        <f t="shared" si="50"/>
        <v>-0.81320003347601999</v>
      </c>
    </row>
    <row r="1072" spans="1:5" x14ac:dyDescent="0.2">
      <c r="A1072" s="4">
        <v>43175</v>
      </c>
      <c r="B1072" s="3">
        <v>58101.02</v>
      </c>
      <c r="C1072" s="6">
        <f t="shared" si="48"/>
        <v>-1.766909629979406E-3</v>
      </c>
      <c r="D1072" s="7">
        <f t="shared" si="49"/>
        <v>-0.1828554768932962</v>
      </c>
      <c r="E1072" s="8">
        <f t="shared" si="50"/>
        <v>-0.70153262672626315</v>
      </c>
    </row>
    <row r="1073" spans="1:5" x14ac:dyDescent="0.2">
      <c r="A1073" s="4">
        <v>43178</v>
      </c>
      <c r="B1073" s="3">
        <v>58088.42</v>
      </c>
      <c r="C1073" s="6">
        <f t="shared" si="48"/>
        <v>-2.1688718095884144E-4</v>
      </c>
      <c r="D1073" s="7">
        <f t="shared" si="49"/>
        <v>-4.0836384566049981E-2</v>
      </c>
      <c r="E1073" s="8">
        <f t="shared" si="50"/>
        <v>-0.66515647326728311</v>
      </c>
    </row>
    <row r="1074" spans="1:5" x14ac:dyDescent="0.2">
      <c r="A1074" s="4">
        <v>43179</v>
      </c>
      <c r="B1074" s="3">
        <v>58288.87</v>
      </c>
      <c r="C1074" s="6">
        <f t="shared" si="48"/>
        <v>3.4448335792367168E-3</v>
      </c>
      <c r="D1074" s="7">
        <f t="shared" si="49"/>
        <v>0.29466472965807555</v>
      </c>
      <c r="E1074" s="8">
        <f t="shared" si="50"/>
        <v>-0.7615635765284452</v>
      </c>
    </row>
    <row r="1075" spans="1:5" x14ac:dyDescent="0.2">
      <c r="A1075" s="4">
        <v>43181</v>
      </c>
      <c r="B1075" s="3">
        <v>57224.6</v>
      </c>
      <c r="C1075" s="6">
        <f t="shared" si="48"/>
        <v>-1.8427290177821003E-2</v>
      </c>
      <c r="D1075" s="7">
        <f t="shared" si="49"/>
        <v>-1.7093444156348416</v>
      </c>
      <c r="E1075" s="8">
        <f t="shared" si="50"/>
        <v>-2.8374135075255422</v>
      </c>
    </row>
    <row r="1076" spans="1:5" x14ac:dyDescent="0.2">
      <c r="A1076" s="4">
        <v>43182</v>
      </c>
      <c r="B1076" s="3">
        <v>56405.64</v>
      </c>
      <c r="C1076" s="6">
        <f t="shared" si="48"/>
        <v>-1.4414722357909958E-2</v>
      </c>
      <c r="D1076" s="7">
        <f t="shared" si="49"/>
        <v>-1.3416973276553288</v>
      </c>
      <c r="E1076" s="8">
        <f t="shared" si="50"/>
        <v>-2.1964643544448514</v>
      </c>
    </row>
    <row r="1077" spans="1:5" x14ac:dyDescent="0.2">
      <c r="A1077" s="4">
        <v>43185</v>
      </c>
      <c r="B1077" s="3">
        <v>56176.43</v>
      </c>
      <c r="C1077" s="6">
        <f t="shared" si="48"/>
        <v>-4.0718795931823084E-3</v>
      </c>
      <c r="D1077" s="7">
        <f t="shared" si="49"/>
        <v>-0.39404580011893053</v>
      </c>
      <c r="E1077" s="8">
        <f t="shared" si="50"/>
        <v>-0.83658112815361574</v>
      </c>
    </row>
    <row r="1078" spans="1:5" x14ac:dyDescent="0.2">
      <c r="A1078" s="4">
        <v>43186</v>
      </c>
      <c r="B1078" s="3">
        <v>56050.79</v>
      </c>
      <c r="C1078" s="6">
        <f t="shared" si="48"/>
        <v>-2.2390299338926334E-3</v>
      </c>
      <c r="D1078" s="7">
        <f t="shared" si="49"/>
        <v>-0.22611297750136039</v>
      </c>
      <c r="E1078" s="8">
        <f t="shared" si="50"/>
        <v>-0.72157483102635411</v>
      </c>
    </row>
    <row r="1079" spans="1:5" x14ac:dyDescent="0.2">
      <c r="A1079" s="4">
        <v>43187</v>
      </c>
      <c r="B1079" s="3">
        <v>54763.97</v>
      </c>
      <c r="C1079" s="6">
        <f t="shared" si="48"/>
        <v>-2.322574801103942E-2</v>
      </c>
      <c r="D1079" s="7">
        <f t="shared" si="49"/>
        <v>-2.1489978067678903</v>
      </c>
      <c r="E1079" s="8">
        <f t="shared" si="50"/>
        <v>-3.5827696512568004</v>
      </c>
    </row>
    <row r="1080" spans="1:5" x14ac:dyDescent="0.2">
      <c r="A1080" s="4">
        <v>43188</v>
      </c>
      <c r="B1080" s="3">
        <v>55474.52</v>
      </c>
      <c r="C1080" s="6">
        <f t="shared" si="48"/>
        <v>1.2891320268799944E-2</v>
      </c>
      <c r="D1080" s="7">
        <f t="shared" si="49"/>
        <v>1.1601886233158141</v>
      </c>
      <c r="E1080" s="8">
        <f t="shared" si="50"/>
        <v>-1.8852761198274042</v>
      </c>
    </row>
    <row r="1081" spans="1:5" x14ac:dyDescent="0.2">
      <c r="A1081" s="4">
        <v>43193</v>
      </c>
      <c r="B1081" s="3">
        <v>54864.79</v>
      </c>
      <c r="C1081" s="6">
        <f t="shared" si="48"/>
        <v>-1.1052021376374196E-2</v>
      </c>
      <c r="D1081" s="7">
        <f t="shared" si="49"/>
        <v>-1.0335935698888417</v>
      </c>
      <c r="E1081" s="8">
        <f t="shared" si="50"/>
        <v>-1.6752065271914096</v>
      </c>
    </row>
    <row r="1082" spans="1:5" x14ac:dyDescent="0.2">
      <c r="A1082" s="4">
        <v>43194</v>
      </c>
      <c r="B1082" s="3">
        <v>54602.68</v>
      </c>
      <c r="C1082" s="6">
        <f t="shared" si="48"/>
        <v>-4.7888290633065836E-3</v>
      </c>
      <c r="D1082" s="7">
        <f t="shared" si="49"/>
        <v>-0.45973550226220494</v>
      </c>
      <c r="E1082" s="8">
        <f t="shared" si="50"/>
        <v>-0.89650535526862019</v>
      </c>
    </row>
    <row r="1083" spans="1:5" x14ac:dyDescent="0.2">
      <c r="A1083" s="4">
        <v>43195</v>
      </c>
      <c r="B1083" s="3">
        <v>55761.15</v>
      </c>
      <c r="C1083" s="6">
        <f t="shared" si="48"/>
        <v>2.099442454754322E-2</v>
      </c>
      <c r="D1083" s="7">
        <f t="shared" si="49"/>
        <v>1.9026265895706356</v>
      </c>
      <c r="E1083" s="8">
        <f t="shared" si="50"/>
        <v>-3.1699219822467302</v>
      </c>
    </row>
    <row r="1084" spans="1:5" x14ac:dyDescent="0.2">
      <c r="A1084" s="4">
        <v>43196</v>
      </c>
      <c r="B1084" s="3">
        <v>55878.81</v>
      </c>
      <c r="C1084" s="6">
        <f t="shared" si="48"/>
        <v>2.1078481856110849E-3</v>
      </c>
      <c r="D1084" s="7">
        <f t="shared" si="49"/>
        <v>0.17216492187949861</v>
      </c>
      <c r="E1084" s="8">
        <f t="shared" si="50"/>
        <v>-0.69721299027293138</v>
      </c>
    </row>
    <row r="1085" spans="1:5" x14ac:dyDescent="0.2">
      <c r="A1085" s="4">
        <v>43199</v>
      </c>
      <c r="B1085" s="3">
        <v>56091.56</v>
      </c>
      <c r="C1085" s="6">
        <f t="shared" si="48"/>
        <v>3.8001170492671841E-3</v>
      </c>
      <c r="D1085" s="7">
        <f t="shared" si="49"/>
        <v>0.32721718460121807</v>
      </c>
      <c r="E1085" s="8">
        <f t="shared" si="50"/>
        <v>-0.78397362429740358</v>
      </c>
    </row>
    <row r="1086" spans="1:5" x14ac:dyDescent="0.2">
      <c r="A1086" s="4">
        <v>43200</v>
      </c>
      <c r="B1086" s="3">
        <v>56747.24</v>
      </c>
      <c r="C1086" s="6">
        <f t="shared" si="48"/>
        <v>1.1621665239817093E-2</v>
      </c>
      <c r="D1086" s="7">
        <f t="shared" si="49"/>
        <v>1.0438578857198479</v>
      </c>
      <c r="E1086" s="8">
        <f t="shared" si="50"/>
        <v>-1.6919400115841692</v>
      </c>
    </row>
    <row r="1087" spans="1:5" x14ac:dyDescent="0.2">
      <c r="A1087" s="4">
        <v>43201</v>
      </c>
      <c r="B1087" s="3">
        <v>56170.07</v>
      </c>
      <c r="C1087" s="6">
        <f t="shared" si="48"/>
        <v>-1.0222968057183136E-2</v>
      </c>
      <c r="D1087" s="7">
        <f t="shared" si="49"/>
        <v>-0.95763247657899697</v>
      </c>
      <c r="E1087" s="8">
        <f t="shared" si="50"/>
        <v>-1.5533731552931378</v>
      </c>
    </row>
    <row r="1088" spans="1:5" x14ac:dyDescent="0.2">
      <c r="A1088" s="4">
        <v>43202</v>
      </c>
      <c r="B1088" s="3">
        <v>56480.98</v>
      </c>
      <c r="C1088" s="6">
        <f t="shared" si="48"/>
        <v>5.5198915488360095E-3</v>
      </c>
      <c r="D1088" s="7">
        <f t="shared" si="49"/>
        <v>0.48478962078795895</v>
      </c>
      <c r="E1088" s="8">
        <f t="shared" si="50"/>
        <v>-0.92138831922618836</v>
      </c>
    </row>
    <row r="1089" spans="1:5" x14ac:dyDescent="0.2">
      <c r="A1089" s="4">
        <v>43203</v>
      </c>
      <c r="B1089" s="3">
        <v>56563.17</v>
      </c>
      <c r="C1089" s="6">
        <f t="shared" si="48"/>
        <v>1.454122384614671E-3</v>
      </c>
      <c r="D1089" s="7">
        <f t="shared" si="49"/>
        <v>0.11226801848492012</v>
      </c>
      <c r="E1089" s="8">
        <f t="shared" si="50"/>
        <v>-0.67773567808440804</v>
      </c>
    </row>
    <row r="1090" spans="1:5" x14ac:dyDescent="0.2">
      <c r="A1090" s="4">
        <v>43206</v>
      </c>
      <c r="B1090" s="3">
        <v>56733.47</v>
      </c>
      <c r="C1090" s="6">
        <f t="shared" si="48"/>
        <v>3.0062697050751339E-3</v>
      </c>
      <c r="D1090" s="7">
        <f t="shared" si="49"/>
        <v>0.25448179980741098</v>
      </c>
      <c r="E1090" s="8">
        <f t="shared" si="50"/>
        <v>-0.73691790536412505</v>
      </c>
    </row>
    <row r="1091" spans="1:5" x14ac:dyDescent="0.2">
      <c r="A1091" s="4">
        <v>43207</v>
      </c>
      <c r="B1091" s="3">
        <v>56826.74</v>
      </c>
      <c r="C1091" s="6">
        <f t="shared" ref="C1091:C1154" si="51">LN(B1091/B1090)</f>
        <v>1.6426531964428878E-3</v>
      </c>
      <c r="D1091" s="7">
        <f t="shared" ref="D1091:D1154" si="52">(C1091-$G$4)/$G$5</f>
        <v>0.12954194557447996</v>
      </c>
      <c r="E1091" s="8">
        <f t="shared" ref="E1091:E1154" si="53">LN((PI()*(G$3-2))^(-1/2)*EXP(GAMMALN((G$3+1)/2))*((1+D1091^2/(G$3-2))^(-(G$3+1)/2))/EXP(GAMMALN(G$3/2)))</f>
        <v>-0.68252435860874328</v>
      </c>
    </row>
    <row r="1092" spans="1:5" x14ac:dyDescent="0.2">
      <c r="A1092" s="4">
        <v>43208</v>
      </c>
      <c r="B1092" s="3">
        <v>57713.29</v>
      </c>
      <c r="C1092" s="6">
        <f t="shared" si="51"/>
        <v>1.5480486686388463E-2</v>
      </c>
      <c r="D1092" s="7">
        <f t="shared" si="52"/>
        <v>1.3974181323093517</v>
      </c>
      <c r="E1092" s="8">
        <f t="shared" si="53"/>
        <v>-2.2933451977099772</v>
      </c>
    </row>
    <row r="1093" spans="1:5" x14ac:dyDescent="0.2">
      <c r="A1093" s="4">
        <v>43209</v>
      </c>
      <c r="B1093" s="3">
        <v>57526.79</v>
      </c>
      <c r="C1093" s="6">
        <f t="shared" si="51"/>
        <v>-3.2367239387616547E-3</v>
      </c>
      <c r="D1093" s="7">
        <f t="shared" si="52"/>
        <v>-0.31752558709379974</v>
      </c>
      <c r="E1093" s="8">
        <f t="shared" si="53"/>
        <v>-0.77707660240264897</v>
      </c>
    </row>
    <row r="1094" spans="1:5" x14ac:dyDescent="0.2">
      <c r="A1094" s="4">
        <v>43210</v>
      </c>
      <c r="B1094" s="3">
        <v>57581.73</v>
      </c>
      <c r="C1094" s="6">
        <f t="shared" si="51"/>
        <v>9.5457754424895153E-4</v>
      </c>
      <c r="D1094" s="7">
        <f t="shared" si="52"/>
        <v>6.6497775060169989E-2</v>
      </c>
      <c r="E1094" s="8">
        <f t="shared" si="53"/>
        <v>-0.66833016677898194</v>
      </c>
    </row>
    <row r="1095" spans="1:5" x14ac:dyDescent="0.2">
      <c r="A1095" s="4">
        <v>43213</v>
      </c>
      <c r="B1095" s="3">
        <v>57679.51</v>
      </c>
      <c r="C1095" s="6">
        <f t="shared" si="51"/>
        <v>1.6966679077279332E-3</v>
      </c>
      <c r="D1095" s="7">
        <f t="shared" si="52"/>
        <v>0.13449098374735782</v>
      </c>
      <c r="E1095" s="8">
        <f t="shared" si="53"/>
        <v>-0.68402064245169214</v>
      </c>
    </row>
    <row r="1096" spans="1:5" x14ac:dyDescent="0.2">
      <c r="A1096" s="4">
        <v>43214</v>
      </c>
      <c r="B1096" s="3">
        <v>57675.21</v>
      </c>
      <c r="C1096" s="6">
        <f t="shared" si="51"/>
        <v>-7.4552649462320146E-5</v>
      </c>
      <c r="D1096" s="7">
        <f t="shared" si="52"/>
        <v>-2.7795140561659694E-2</v>
      </c>
      <c r="E1096" s="8">
        <f t="shared" si="53"/>
        <v>-0.6641243429504301</v>
      </c>
    </row>
    <row r="1097" spans="1:5" x14ac:dyDescent="0.2">
      <c r="A1097" s="4">
        <v>43215</v>
      </c>
      <c r="B1097" s="3">
        <v>56987.19</v>
      </c>
      <c r="C1097" s="6">
        <f t="shared" si="51"/>
        <v>-1.2000939410179656E-2</v>
      </c>
      <c r="D1097" s="7">
        <f t="shared" si="52"/>
        <v>-1.1205371350863407</v>
      </c>
      <c r="E1097" s="8">
        <f t="shared" si="53"/>
        <v>-1.8186846609089329</v>
      </c>
    </row>
    <row r="1098" spans="1:5" x14ac:dyDescent="0.2">
      <c r="A1098" s="4">
        <v>43216</v>
      </c>
      <c r="B1098" s="3">
        <v>57453.04</v>
      </c>
      <c r="C1098" s="6">
        <f t="shared" si="51"/>
        <v>8.1414127382124172E-3</v>
      </c>
      <c r="D1098" s="7">
        <f t="shared" si="52"/>
        <v>0.72498359995718631</v>
      </c>
      <c r="E1098" s="8">
        <f t="shared" si="53"/>
        <v>-1.2092656793750274</v>
      </c>
    </row>
    <row r="1099" spans="1:5" x14ac:dyDescent="0.2">
      <c r="A1099" s="4">
        <v>43220</v>
      </c>
      <c r="B1099" s="3">
        <v>58236.13</v>
      </c>
      <c r="C1099" s="6">
        <f t="shared" si="51"/>
        <v>1.3538034031212917E-2</v>
      </c>
      <c r="D1099" s="7">
        <f t="shared" si="52"/>
        <v>1.2194430564315826</v>
      </c>
      <c r="E1099" s="8">
        <f t="shared" si="53"/>
        <v>-1.985873669582447</v>
      </c>
    </row>
    <row r="1100" spans="1:5" x14ac:dyDescent="0.2">
      <c r="A1100" s="4">
        <v>43222</v>
      </c>
      <c r="B1100" s="3">
        <v>58450.44</v>
      </c>
      <c r="C1100" s="6">
        <f t="shared" si="51"/>
        <v>3.673263186521572E-3</v>
      </c>
      <c r="D1100" s="7">
        <f t="shared" si="52"/>
        <v>0.31559433974711887</v>
      </c>
      <c r="E1100" s="8">
        <f t="shared" si="53"/>
        <v>-0.77572490215014989</v>
      </c>
    </row>
    <row r="1101" spans="1:5" x14ac:dyDescent="0.2">
      <c r="A1101" s="4">
        <v>43223</v>
      </c>
      <c r="B1101" s="3">
        <v>57273.88</v>
      </c>
      <c r="C1101" s="6">
        <f t="shared" si="51"/>
        <v>-2.0334542322493779E-2</v>
      </c>
      <c r="D1101" s="7">
        <f t="shared" si="52"/>
        <v>-1.8840942836749965</v>
      </c>
      <c r="E1101" s="8">
        <f t="shared" si="53"/>
        <v>-3.1383240486422235</v>
      </c>
    </row>
    <row r="1102" spans="1:5" x14ac:dyDescent="0.2">
      <c r="A1102" s="4">
        <v>43224</v>
      </c>
      <c r="B1102" s="3">
        <v>57648.87</v>
      </c>
      <c r="C1102" s="6">
        <f t="shared" si="51"/>
        <v>6.5259721134121066E-3</v>
      </c>
      <c r="D1102" s="7">
        <f t="shared" si="52"/>
        <v>0.57697063963672868</v>
      </c>
      <c r="E1102" s="8">
        <f t="shared" si="53"/>
        <v>-1.0218887187301273</v>
      </c>
    </row>
    <row r="1103" spans="1:5" x14ac:dyDescent="0.2">
      <c r="A1103" s="4">
        <v>43227</v>
      </c>
      <c r="B1103" s="3">
        <v>57880.72</v>
      </c>
      <c r="C1103" s="6">
        <f t="shared" si="51"/>
        <v>4.0136957337730253E-3</v>
      </c>
      <c r="D1103" s="7">
        <f t="shared" si="52"/>
        <v>0.34678609531804888</v>
      </c>
      <c r="E1103" s="8">
        <f t="shared" si="53"/>
        <v>-0.79847311819973177</v>
      </c>
    </row>
    <row r="1104" spans="1:5" x14ac:dyDescent="0.2">
      <c r="A1104" s="4">
        <v>43228</v>
      </c>
      <c r="B1104" s="3">
        <v>57665.24</v>
      </c>
      <c r="C1104" s="6">
        <f t="shared" si="51"/>
        <v>-3.729775576734885E-3</v>
      </c>
      <c r="D1104" s="7">
        <f t="shared" si="52"/>
        <v>-0.36270089803182287</v>
      </c>
      <c r="E1104" s="8">
        <f t="shared" si="53"/>
        <v>-0.81082313559365926</v>
      </c>
    </row>
    <row r="1105" spans="1:5" x14ac:dyDescent="0.2">
      <c r="A1105" s="4">
        <v>43229</v>
      </c>
      <c r="B1105" s="3">
        <v>57915.13</v>
      </c>
      <c r="C1105" s="6">
        <f t="shared" si="51"/>
        <v>4.3240974114611783E-3</v>
      </c>
      <c r="D1105" s="7">
        <f t="shared" si="52"/>
        <v>0.37522630568402221</v>
      </c>
      <c r="E1105" s="8">
        <f t="shared" si="53"/>
        <v>-0.82088986867251146</v>
      </c>
    </row>
    <row r="1106" spans="1:5" x14ac:dyDescent="0.2">
      <c r="A1106" s="4">
        <v>43230</v>
      </c>
      <c r="B1106" s="3">
        <v>58005.62</v>
      </c>
      <c r="C1106" s="6">
        <f t="shared" si="51"/>
        <v>1.561239353274528E-3</v>
      </c>
      <c r="D1106" s="7">
        <f t="shared" si="52"/>
        <v>0.12208249225046565</v>
      </c>
      <c r="E1106" s="8">
        <f t="shared" si="53"/>
        <v>-0.68037358812390902</v>
      </c>
    </row>
    <row r="1107" spans="1:5" x14ac:dyDescent="0.2">
      <c r="A1107" s="4">
        <v>43231</v>
      </c>
      <c r="B1107" s="3">
        <v>58422.86</v>
      </c>
      <c r="C1107" s="6">
        <f t="shared" si="51"/>
        <v>7.1673491943631757E-3</v>
      </c>
      <c r="D1107" s="7">
        <f t="shared" si="52"/>
        <v>0.63573610521674428</v>
      </c>
      <c r="E1107" s="8">
        <f t="shared" si="53"/>
        <v>-1.0927379498203531</v>
      </c>
    </row>
    <row r="1108" spans="1:5" x14ac:dyDescent="0.2">
      <c r="A1108" s="4">
        <v>43234</v>
      </c>
      <c r="B1108" s="3">
        <v>58614.45</v>
      </c>
      <c r="C1108" s="6">
        <f t="shared" si="51"/>
        <v>3.2740016177595639E-3</v>
      </c>
      <c r="D1108" s="7">
        <f t="shared" si="52"/>
        <v>0.27901244015426951</v>
      </c>
      <c r="E1108" s="8">
        <f t="shared" si="53"/>
        <v>-0.75156228051300433</v>
      </c>
    </row>
    <row r="1109" spans="1:5" x14ac:dyDescent="0.2">
      <c r="A1109" s="4">
        <v>43235</v>
      </c>
      <c r="B1109" s="3">
        <v>57891.77</v>
      </c>
      <c r="C1109" s="6">
        <f t="shared" si="51"/>
        <v>-1.2406020363715962E-2</v>
      </c>
      <c r="D1109" s="7">
        <f t="shared" si="52"/>
        <v>-1.1576522293719966</v>
      </c>
      <c r="E1109" s="8">
        <f t="shared" si="53"/>
        <v>-1.8809976726688602</v>
      </c>
    </row>
    <row r="1110" spans="1:5" x14ac:dyDescent="0.2">
      <c r="A1110" s="4">
        <v>43236</v>
      </c>
      <c r="B1110" s="3">
        <v>58621.77</v>
      </c>
      <c r="C1110" s="6">
        <f t="shared" si="51"/>
        <v>1.2530896447395702E-2</v>
      </c>
      <c r="D1110" s="7">
        <f t="shared" si="52"/>
        <v>1.127165189364072</v>
      </c>
      <c r="E1110" s="8">
        <f t="shared" si="53"/>
        <v>-1.8297706654994941</v>
      </c>
    </row>
    <row r="1111" spans="1:5" x14ac:dyDescent="0.2">
      <c r="A1111" s="4">
        <v>43237</v>
      </c>
      <c r="B1111" s="3">
        <v>58184.25</v>
      </c>
      <c r="C1111" s="6">
        <f t="shared" si="51"/>
        <v>-7.4914297428966027E-3</v>
      </c>
      <c r="D1111" s="7">
        <f t="shared" si="52"/>
        <v>-0.7073583000358139</v>
      </c>
      <c r="E1111" s="8">
        <f t="shared" si="53"/>
        <v>-1.1854602840530353</v>
      </c>
    </row>
    <row r="1112" spans="1:5" x14ac:dyDescent="0.2">
      <c r="A1112" s="4">
        <v>43238</v>
      </c>
      <c r="B1112" s="3">
        <v>57804.33</v>
      </c>
      <c r="C1112" s="6">
        <f t="shared" si="51"/>
        <v>-6.5510131896161436E-3</v>
      </c>
      <c r="D1112" s="7">
        <f t="shared" si="52"/>
        <v>-0.62119367358746735</v>
      </c>
      <c r="E1112" s="8">
        <f t="shared" si="53"/>
        <v>-1.0747458654126198</v>
      </c>
    </row>
    <row r="1113" spans="1:5" x14ac:dyDescent="0.2">
      <c r="A1113" s="4">
        <v>43241</v>
      </c>
      <c r="B1113" s="3">
        <v>57821.2</v>
      </c>
      <c r="C1113" s="6">
        <f t="shared" si="51"/>
        <v>2.9180406990909663E-4</v>
      </c>
      <c r="D1113" s="7">
        <f t="shared" si="52"/>
        <v>5.7718886036230536E-3</v>
      </c>
      <c r="E1113" s="8">
        <f t="shared" si="53"/>
        <v>-0.66327155542720839</v>
      </c>
    </row>
    <row r="1114" spans="1:5" x14ac:dyDescent="0.2">
      <c r="A1114" s="4">
        <v>43242</v>
      </c>
      <c r="B1114" s="3">
        <v>58121.84</v>
      </c>
      <c r="C1114" s="6">
        <f t="shared" si="51"/>
        <v>5.1860064010852544E-3</v>
      </c>
      <c r="D1114" s="7">
        <f t="shared" si="52"/>
        <v>0.45419776345384522</v>
      </c>
      <c r="E1114" s="8">
        <f t="shared" si="53"/>
        <v>-0.8911530837568965</v>
      </c>
    </row>
    <row r="1115" spans="1:5" x14ac:dyDescent="0.2">
      <c r="A1115" s="4">
        <v>43243</v>
      </c>
      <c r="B1115" s="3">
        <v>57043.42</v>
      </c>
      <c r="C1115" s="6">
        <f t="shared" si="51"/>
        <v>-1.8728764605360559E-2</v>
      </c>
      <c r="D1115" s="7">
        <f t="shared" si="52"/>
        <v>-1.7369666765808673</v>
      </c>
      <c r="E1115" s="8">
        <f t="shared" si="53"/>
        <v>-2.8852884575244175</v>
      </c>
    </row>
    <row r="1116" spans="1:5" x14ac:dyDescent="0.2">
      <c r="A1116" s="4">
        <v>43244</v>
      </c>
      <c r="B1116" s="3">
        <v>56699.199999999997</v>
      </c>
      <c r="C1116" s="6">
        <f t="shared" si="51"/>
        <v>-6.052630946173726E-3</v>
      </c>
      <c r="D1116" s="7">
        <f t="shared" si="52"/>
        <v>-0.57552995181980304</v>
      </c>
      <c r="E1116" s="8">
        <f t="shared" si="53"/>
        <v>-1.0202152015058084</v>
      </c>
    </row>
    <row r="1117" spans="1:5" x14ac:dyDescent="0.2">
      <c r="A1117" s="4">
        <v>43245</v>
      </c>
      <c r="B1117" s="3">
        <v>56916.97</v>
      </c>
      <c r="C1117" s="6">
        <f t="shared" si="51"/>
        <v>3.8334379108521856E-3</v>
      </c>
      <c r="D1117" s="7">
        <f t="shared" si="52"/>
        <v>0.33027017168592382</v>
      </c>
      <c r="E1117" s="8">
        <f t="shared" si="53"/>
        <v>-0.7861854201628059</v>
      </c>
    </row>
    <row r="1118" spans="1:5" x14ac:dyDescent="0.2">
      <c r="A1118" s="4">
        <v>43248</v>
      </c>
      <c r="B1118" s="3">
        <v>56857.24</v>
      </c>
      <c r="C1118" s="6">
        <f t="shared" si="51"/>
        <v>-1.0499744271998239E-3</v>
      </c>
      <c r="D1118" s="7">
        <f t="shared" si="52"/>
        <v>-0.11716708197969737</v>
      </c>
      <c r="E1118" s="8">
        <f t="shared" si="53"/>
        <v>-0.67902514621221854</v>
      </c>
    </row>
    <row r="1119" spans="1:5" x14ac:dyDescent="0.2">
      <c r="A1119" s="4">
        <v>43249</v>
      </c>
      <c r="B1119" s="3">
        <v>55935.75</v>
      </c>
      <c r="C1119" s="6">
        <f t="shared" si="51"/>
        <v>-1.6339854140888566E-2</v>
      </c>
      <c r="D1119" s="7">
        <f t="shared" si="52"/>
        <v>-1.5180853977776134</v>
      </c>
      <c r="E1119" s="8">
        <f t="shared" si="53"/>
        <v>-2.5040113977330272</v>
      </c>
    </row>
    <row r="1120" spans="1:5" x14ac:dyDescent="0.2">
      <c r="A1120" s="4">
        <v>43250</v>
      </c>
      <c r="B1120" s="3">
        <v>55601.63</v>
      </c>
      <c r="C1120" s="6">
        <f t="shared" si="51"/>
        <v>-5.9911932559121948E-3</v>
      </c>
      <c r="D1120" s="7">
        <f t="shared" si="52"/>
        <v>-0.56990079140916605</v>
      </c>
      <c r="E1120" s="8">
        <f t="shared" si="53"/>
        <v>-1.013706374937563</v>
      </c>
    </row>
    <row r="1121" spans="1:5" x14ac:dyDescent="0.2">
      <c r="A1121" s="4">
        <v>43251</v>
      </c>
      <c r="B1121" s="3">
        <v>56157.89</v>
      </c>
      <c r="C1121" s="6">
        <f t="shared" si="51"/>
        <v>9.9546704130906057E-3</v>
      </c>
      <c r="D1121" s="7">
        <f t="shared" si="52"/>
        <v>0.89112132867481519</v>
      </c>
      <c r="E1121" s="8">
        <f t="shared" si="53"/>
        <v>-1.45002314966218</v>
      </c>
    </row>
    <row r="1122" spans="1:5" x14ac:dyDescent="0.2">
      <c r="A1122" s="4">
        <v>43252</v>
      </c>
      <c r="B1122" s="3">
        <v>57282.14</v>
      </c>
      <c r="C1122" s="6">
        <f t="shared" si="51"/>
        <v>1.9821694503037533E-2</v>
      </c>
      <c r="D1122" s="7">
        <f t="shared" si="52"/>
        <v>1.7951764964633845</v>
      </c>
      <c r="E1122" s="8">
        <f t="shared" si="53"/>
        <v>-2.9858274757180694</v>
      </c>
    </row>
    <row r="1123" spans="1:5" x14ac:dyDescent="0.2">
      <c r="A1123" s="4">
        <v>43255</v>
      </c>
      <c r="B1123" s="3">
        <v>57870.89</v>
      </c>
      <c r="C1123" s="6">
        <f t="shared" si="51"/>
        <v>1.0225612476208925E-2</v>
      </c>
      <c r="D1123" s="7">
        <f t="shared" si="52"/>
        <v>0.91594609550425654</v>
      </c>
      <c r="E1123" s="8">
        <f t="shared" si="53"/>
        <v>-1.4881970656747774</v>
      </c>
    </row>
    <row r="1124" spans="1:5" x14ac:dyDescent="0.2">
      <c r="A1124" s="4">
        <v>43256</v>
      </c>
      <c r="B1124" s="3">
        <v>57779.11</v>
      </c>
      <c r="C1124" s="6">
        <f t="shared" si="51"/>
        <v>-1.5872031001778685E-3</v>
      </c>
      <c r="D1124" s="7">
        <f t="shared" si="52"/>
        <v>-0.16639006488341185</v>
      </c>
      <c r="E1124" s="8">
        <f t="shared" si="53"/>
        <v>-0.69498506193651155</v>
      </c>
    </row>
    <row r="1125" spans="1:5" x14ac:dyDescent="0.2">
      <c r="A1125" s="4">
        <v>43257</v>
      </c>
      <c r="B1125" s="3">
        <v>58081.87</v>
      </c>
      <c r="C1125" s="6">
        <f t="shared" si="51"/>
        <v>5.2262753021895631E-3</v>
      </c>
      <c r="D1125" s="7">
        <f t="shared" si="52"/>
        <v>0.45788735697390248</v>
      </c>
      <c r="E1125" s="8">
        <f t="shared" si="53"/>
        <v>-0.89471310128386239</v>
      </c>
    </row>
    <row r="1126" spans="1:5" x14ac:dyDescent="0.2">
      <c r="A1126" s="4">
        <v>43258</v>
      </c>
      <c r="B1126" s="3">
        <v>58391.64</v>
      </c>
      <c r="C1126" s="6">
        <f t="shared" si="51"/>
        <v>5.319161934286218E-3</v>
      </c>
      <c r="D1126" s="7">
        <f t="shared" si="52"/>
        <v>0.46639799189279502</v>
      </c>
      <c r="E1126" s="8">
        <f t="shared" si="53"/>
        <v>-0.90301606250760202</v>
      </c>
    </row>
    <row r="1127" spans="1:5" x14ac:dyDescent="0.2">
      <c r="A1127" s="4">
        <v>43259</v>
      </c>
      <c r="B1127" s="3">
        <v>58223.72</v>
      </c>
      <c r="C1127" s="6">
        <f t="shared" si="51"/>
        <v>-2.8798970574371993E-3</v>
      </c>
      <c r="D1127" s="7">
        <f t="shared" si="52"/>
        <v>-0.28483171879809688</v>
      </c>
      <c r="E1127" s="8">
        <f t="shared" si="53"/>
        <v>-0.75522125654086347</v>
      </c>
    </row>
    <row r="1128" spans="1:5" x14ac:dyDescent="0.2">
      <c r="A1128" s="4">
        <v>43262</v>
      </c>
      <c r="B1128" s="3">
        <v>58146.1</v>
      </c>
      <c r="C1128" s="6">
        <f t="shared" si="51"/>
        <v>-1.334023057029067E-3</v>
      </c>
      <c r="D1128" s="7">
        <f t="shared" si="52"/>
        <v>-0.14319272348613976</v>
      </c>
      <c r="E1128" s="8">
        <f t="shared" si="53"/>
        <v>-0.68678530442451935</v>
      </c>
    </row>
    <row r="1129" spans="1:5" x14ac:dyDescent="0.2">
      <c r="A1129" s="4">
        <v>43263</v>
      </c>
      <c r="B1129" s="3">
        <v>58207.82</v>
      </c>
      <c r="C1129" s="6">
        <f t="shared" si="51"/>
        <v>1.0609011847452082E-3</v>
      </c>
      <c r="D1129" s="7">
        <f t="shared" si="52"/>
        <v>7.623956101026913E-2</v>
      </c>
      <c r="E1129" s="8">
        <f t="shared" si="53"/>
        <v>-0.66993094578064671</v>
      </c>
    </row>
    <row r="1130" spans="1:5" x14ac:dyDescent="0.2">
      <c r="A1130" s="4">
        <v>43264</v>
      </c>
      <c r="B1130" s="3">
        <v>58437.23</v>
      </c>
      <c r="C1130" s="6">
        <f t="shared" si="51"/>
        <v>3.9334767448848994E-3</v>
      </c>
      <c r="D1130" s="7">
        <f t="shared" si="52"/>
        <v>0.3394361191957676</v>
      </c>
      <c r="E1130" s="8">
        <f t="shared" si="53"/>
        <v>-0.79293783283926123</v>
      </c>
    </row>
    <row r="1131" spans="1:5" x14ac:dyDescent="0.2">
      <c r="A1131" s="4">
        <v>43265</v>
      </c>
      <c r="B1131" s="3">
        <v>58495.67</v>
      </c>
      <c r="C1131" s="6">
        <f t="shared" si="51"/>
        <v>9.9954768701681729E-4</v>
      </c>
      <c r="D1131" s="7">
        <f t="shared" si="52"/>
        <v>7.0618114647351168E-2</v>
      </c>
      <c r="E1131" s="8">
        <f t="shared" si="53"/>
        <v>-0.66898067675550443</v>
      </c>
    </row>
    <row r="1132" spans="1:5" x14ac:dyDescent="0.2">
      <c r="A1132" s="4">
        <v>43266</v>
      </c>
      <c r="B1132" s="3">
        <v>57660.5</v>
      </c>
      <c r="C1132" s="6">
        <f t="shared" si="51"/>
        <v>-1.4380370709015291E-2</v>
      </c>
      <c r="D1132" s="7">
        <f t="shared" si="52"/>
        <v>-1.3385498958235849</v>
      </c>
      <c r="E1132" s="8">
        <f t="shared" si="53"/>
        <v>-2.1910047585086971</v>
      </c>
    </row>
    <row r="1133" spans="1:5" x14ac:dyDescent="0.2">
      <c r="A1133" s="4">
        <v>43269</v>
      </c>
      <c r="B1133" s="3">
        <v>57236.84</v>
      </c>
      <c r="C1133" s="6">
        <f t="shared" si="51"/>
        <v>-7.3746166805892955E-3</v>
      </c>
      <c r="D1133" s="7">
        <f t="shared" si="52"/>
        <v>-0.69665543241519812</v>
      </c>
      <c r="E1133" s="8">
        <f t="shared" si="53"/>
        <v>-1.1711881761278673</v>
      </c>
    </row>
    <row r="1134" spans="1:5" x14ac:dyDescent="0.2">
      <c r="A1134" s="4">
        <v>43270</v>
      </c>
      <c r="B1134" s="3">
        <v>56253.31</v>
      </c>
      <c r="C1134" s="6">
        <f t="shared" si="51"/>
        <v>-1.7332863217081277E-2</v>
      </c>
      <c r="D1134" s="7">
        <f t="shared" si="52"/>
        <v>-1.6090687559623407</v>
      </c>
      <c r="E1134" s="8">
        <f t="shared" si="53"/>
        <v>-2.6629160651805557</v>
      </c>
    </row>
    <row r="1135" spans="1:5" x14ac:dyDescent="0.2">
      <c r="A1135" s="4">
        <v>43271</v>
      </c>
      <c r="B1135" s="3">
        <v>56651.66</v>
      </c>
      <c r="C1135" s="6">
        <f t="shared" si="51"/>
        <v>7.0564059830899072E-3</v>
      </c>
      <c r="D1135" s="7">
        <f t="shared" si="52"/>
        <v>0.62557105620416031</v>
      </c>
      <c r="E1135" s="8">
        <f t="shared" si="53"/>
        <v>-1.0801306382443077</v>
      </c>
    </row>
    <row r="1136" spans="1:5" x14ac:dyDescent="0.2">
      <c r="A1136" s="4">
        <v>43272</v>
      </c>
      <c r="B1136" s="3">
        <v>56234.43</v>
      </c>
      <c r="C1136" s="6">
        <f t="shared" si="51"/>
        <v>-7.3920870124587462E-3</v>
      </c>
      <c r="D1136" s="7">
        <f t="shared" si="52"/>
        <v>-0.69825613224785077</v>
      </c>
      <c r="E1136" s="8">
        <f t="shared" si="53"/>
        <v>-1.1733137200335535</v>
      </c>
    </row>
    <row r="1137" spans="1:5" x14ac:dyDescent="0.2">
      <c r="A1137" s="4">
        <v>43273</v>
      </c>
      <c r="B1137" s="3">
        <v>56856.66</v>
      </c>
      <c r="C1137" s="6">
        <f t="shared" si="51"/>
        <v>1.1004160962412921E-2</v>
      </c>
      <c r="D1137" s="7">
        <f t="shared" si="52"/>
        <v>0.98727973935780833</v>
      </c>
      <c r="E1137" s="8">
        <f t="shared" si="53"/>
        <v>-1.6004818795909994</v>
      </c>
    </row>
    <row r="1138" spans="1:5" x14ac:dyDescent="0.2">
      <c r="A1138" s="4">
        <v>43276</v>
      </c>
      <c r="B1138" s="3">
        <v>55889.26</v>
      </c>
      <c r="C1138" s="6">
        <f t="shared" si="51"/>
        <v>-1.7161130830231901E-2</v>
      </c>
      <c r="D1138" s="7">
        <f t="shared" si="52"/>
        <v>-1.5933339659798142</v>
      </c>
      <c r="E1138" s="8">
        <f t="shared" si="53"/>
        <v>-2.6354597103081092</v>
      </c>
    </row>
    <row r="1139" spans="1:5" x14ac:dyDescent="0.2">
      <c r="A1139" s="4">
        <v>43277</v>
      </c>
      <c r="B1139" s="3">
        <v>55254.67</v>
      </c>
      <c r="C1139" s="6">
        <f t="shared" si="51"/>
        <v>-1.1419371187806769E-2</v>
      </c>
      <c r="D1139" s="7">
        <f t="shared" si="52"/>
        <v>-1.0672515900157147</v>
      </c>
      <c r="E1139" s="8">
        <f t="shared" si="53"/>
        <v>-1.7302942474345162</v>
      </c>
    </row>
    <row r="1140" spans="1:5" x14ac:dyDescent="0.2">
      <c r="A1140" s="4">
        <v>43278</v>
      </c>
      <c r="B1140" s="3">
        <v>55369.26</v>
      </c>
      <c r="C1140" s="6">
        <f t="shared" si="51"/>
        <v>2.0717043949646349E-3</v>
      </c>
      <c r="D1140" s="7">
        <f t="shared" si="52"/>
        <v>0.16885328704213326</v>
      </c>
      <c r="E1140" s="8">
        <f t="shared" si="53"/>
        <v>-0.69592630130168298</v>
      </c>
    </row>
    <row r="1141" spans="1:5" x14ac:dyDescent="0.2">
      <c r="A1141" s="4">
        <v>43279</v>
      </c>
      <c r="B1141" s="3">
        <v>55795.199999999997</v>
      </c>
      <c r="C1141" s="6">
        <f t="shared" si="51"/>
        <v>7.6632780741491711E-3</v>
      </c>
      <c r="D1141" s="7">
        <f t="shared" si="52"/>
        <v>0.6811750402531882</v>
      </c>
      <c r="E1141" s="8">
        <f t="shared" si="53"/>
        <v>-1.150797237871283</v>
      </c>
    </row>
    <row r="1142" spans="1:5" x14ac:dyDescent="0.2">
      <c r="A1142" s="4">
        <v>43280</v>
      </c>
      <c r="B1142" s="3">
        <v>57610.98</v>
      </c>
      <c r="C1142" s="6">
        <f t="shared" si="51"/>
        <v>3.2025330353381967E-2</v>
      </c>
      <c r="D1142" s="7">
        <f t="shared" si="52"/>
        <v>2.9133211321448278</v>
      </c>
      <c r="E1142" s="8">
        <f t="shared" si="53"/>
        <v>-4.7594953006428744</v>
      </c>
    </row>
    <row r="1143" spans="1:5" x14ac:dyDescent="0.2">
      <c r="A1143" s="4">
        <v>43283</v>
      </c>
      <c r="B1143" s="3">
        <v>57159.59</v>
      </c>
      <c r="C1143" s="6">
        <f t="shared" si="51"/>
        <v>-7.8659943474128861E-3</v>
      </c>
      <c r="D1143" s="7">
        <f t="shared" si="52"/>
        <v>-0.74167736759830627</v>
      </c>
      <c r="E1143" s="8">
        <f t="shared" si="53"/>
        <v>-1.2321504420144449</v>
      </c>
    </row>
    <row r="1144" spans="1:5" x14ac:dyDescent="0.2">
      <c r="A1144" s="4">
        <v>43284</v>
      </c>
      <c r="B1144" s="3">
        <v>57488.76</v>
      </c>
      <c r="C1144" s="6">
        <f t="shared" si="51"/>
        <v>5.7422702462738284E-3</v>
      </c>
      <c r="D1144" s="7">
        <f t="shared" si="52"/>
        <v>0.50516482295550857</v>
      </c>
      <c r="E1144" s="8">
        <f t="shared" si="53"/>
        <v>-0.94241453624688887</v>
      </c>
    </row>
    <row r="1145" spans="1:5" x14ac:dyDescent="0.2">
      <c r="A1145" s="4">
        <v>43285</v>
      </c>
      <c r="B1145" s="3">
        <v>57600.02</v>
      </c>
      <c r="C1145" s="6">
        <f t="shared" si="51"/>
        <v>1.9334644899375729E-3</v>
      </c>
      <c r="D1145" s="7">
        <f t="shared" si="52"/>
        <v>0.1561872086587178</v>
      </c>
      <c r="E1145" s="8">
        <f t="shared" si="53"/>
        <v>-0.69123034645957326</v>
      </c>
    </row>
    <row r="1146" spans="1:5" x14ac:dyDescent="0.2">
      <c r="A1146" s="4">
        <v>43286</v>
      </c>
      <c r="B1146" s="3">
        <v>57414</v>
      </c>
      <c r="C1146" s="6">
        <f t="shared" si="51"/>
        <v>-3.2347388988266438E-3</v>
      </c>
      <c r="D1146" s="7">
        <f t="shared" si="52"/>
        <v>-0.31734371000551514</v>
      </c>
      <c r="E1146" s="8">
        <f t="shared" si="53"/>
        <v>-0.77694898249580535</v>
      </c>
    </row>
    <row r="1147" spans="1:5" x14ac:dyDescent="0.2">
      <c r="A1147" s="4">
        <v>43287</v>
      </c>
      <c r="B1147" s="3">
        <v>57313.88</v>
      </c>
      <c r="C1147" s="6">
        <f t="shared" si="51"/>
        <v>-1.7453477814771464E-3</v>
      </c>
      <c r="D1147" s="7">
        <f t="shared" si="52"/>
        <v>-0.18087989637501181</v>
      </c>
      <c r="E1147" s="8">
        <f t="shared" si="53"/>
        <v>-0.7007153170102095</v>
      </c>
    </row>
    <row r="1148" spans="1:5" x14ac:dyDescent="0.2">
      <c r="A1148" s="4">
        <v>43290</v>
      </c>
      <c r="B1148" s="3">
        <v>58219.91</v>
      </c>
      <c r="C1148" s="6">
        <f t="shared" si="51"/>
        <v>1.5684564212049761E-2</v>
      </c>
      <c r="D1148" s="7">
        <f t="shared" si="52"/>
        <v>1.4161165098568005</v>
      </c>
      <c r="E1148" s="8">
        <f t="shared" si="53"/>
        <v>-2.3259339338701466</v>
      </c>
    </row>
    <row r="1149" spans="1:5" x14ac:dyDescent="0.2">
      <c r="A1149" s="4">
        <v>43291</v>
      </c>
      <c r="B1149" s="3">
        <v>58027.11</v>
      </c>
      <c r="C1149" s="6">
        <f t="shared" si="51"/>
        <v>-3.3170773200300076E-3</v>
      </c>
      <c r="D1149" s="7">
        <f t="shared" si="52"/>
        <v>-0.32488787676926056</v>
      </c>
      <c r="E1149" s="8">
        <f t="shared" si="53"/>
        <v>-0.78229869700404364</v>
      </c>
    </row>
    <row r="1150" spans="1:5" x14ac:dyDescent="0.2">
      <c r="A1150" s="4">
        <v>43292</v>
      </c>
      <c r="B1150" s="3">
        <v>57231.01</v>
      </c>
      <c r="C1150" s="6">
        <f t="shared" si="51"/>
        <v>-1.3814430783770237E-2</v>
      </c>
      <c r="D1150" s="7">
        <f t="shared" si="52"/>
        <v>-1.2866962761899856</v>
      </c>
      <c r="E1150" s="8">
        <f t="shared" si="53"/>
        <v>-2.101310808211768</v>
      </c>
    </row>
    <row r="1151" spans="1:5" x14ac:dyDescent="0.2">
      <c r="A1151" s="4">
        <v>43293</v>
      </c>
      <c r="B1151" s="3">
        <v>56849.36</v>
      </c>
      <c r="C1151" s="6">
        <f t="shared" si="51"/>
        <v>-6.6909219144668363E-3</v>
      </c>
      <c r="D1151" s="7">
        <f t="shared" si="52"/>
        <v>-0.63401265574125054</v>
      </c>
      <c r="E1151" s="8">
        <f t="shared" si="53"/>
        <v>-1.0905903622030571</v>
      </c>
    </row>
    <row r="1152" spans="1:5" x14ac:dyDescent="0.2">
      <c r="A1152" s="4">
        <v>43294</v>
      </c>
      <c r="B1152" s="3">
        <v>56364.14</v>
      </c>
      <c r="C1152" s="6">
        <f t="shared" si="51"/>
        <v>-8.5718217527698416E-3</v>
      </c>
      <c r="D1152" s="7">
        <f t="shared" si="52"/>
        <v>-0.80634802285999674</v>
      </c>
      <c r="E1152" s="8">
        <f t="shared" si="53"/>
        <v>-1.3237174251923978</v>
      </c>
    </row>
    <row r="1153" spans="1:5" x14ac:dyDescent="0.2">
      <c r="A1153" s="4">
        <v>43297</v>
      </c>
      <c r="B1153" s="3">
        <v>55442.04</v>
      </c>
      <c r="C1153" s="6">
        <f t="shared" si="51"/>
        <v>-1.6494989943248085E-2</v>
      </c>
      <c r="D1153" s="7">
        <f t="shared" si="52"/>
        <v>-1.532299544064643</v>
      </c>
      <c r="E1153" s="8">
        <f t="shared" si="53"/>
        <v>-2.5288519750892808</v>
      </c>
    </row>
    <row r="1154" spans="1:5" x14ac:dyDescent="0.2">
      <c r="A1154" s="4">
        <v>43298</v>
      </c>
      <c r="B1154" s="3">
        <v>56113.06</v>
      </c>
      <c r="C1154" s="6">
        <f t="shared" si="51"/>
        <v>1.2030433267774015E-2</v>
      </c>
      <c r="D1154" s="7">
        <f t="shared" si="52"/>
        <v>1.081310804120819</v>
      </c>
      <c r="E1154" s="8">
        <f t="shared" si="53"/>
        <v>-1.7534824293203353</v>
      </c>
    </row>
    <row r="1155" spans="1:5" x14ac:dyDescent="0.2">
      <c r="A1155" s="4">
        <v>43299</v>
      </c>
      <c r="B1155" s="3">
        <v>56237.2</v>
      </c>
      <c r="C1155" s="6">
        <f t="shared" ref="C1155:C1218" si="54">LN(B1155/B1154)</f>
        <v>2.209875625037654E-3</v>
      </c>
      <c r="D1155" s="7">
        <f t="shared" ref="D1155:D1218" si="55">(C1155-$G$4)/$G$5</f>
        <v>0.18151307315884965</v>
      </c>
      <c r="E1155" s="8">
        <f t="shared" ref="E1155:E1218" si="56">LN((PI()*(G$3-2))^(-1/2)*EXP(GAMMALN((G$3+1)/2))*((1+D1155^2/(G$3-2))^(-(G$3+1)/2))/EXP(GAMMALN(G$3/2)))</f>
        <v>-0.70097632678366284</v>
      </c>
    </row>
    <row r="1156" spans="1:5" x14ac:dyDescent="0.2">
      <c r="A1156" s="4">
        <v>43300</v>
      </c>
      <c r="B1156" s="3">
        <v>56276.72</v>
      </c>
      <c r="C1156" s="6">
        <f t="shared" si="54"/>
        <v>7.02490885132026E-4</v>
      </c>
      <c r="D1156" s="7">
        <f t="shared" si="55"/>
        <v>4.3400613765366892E-2</v>
      </c>
      <c r="E1156" s="8">
        <f t="shared" si="56"/>
        <v>-0.66540550030241841</v>
      </c>
    </row>
    <row r="1157" spans="1:5" x14ac:dyDescent="0.2">
      <c r="A1157" s="4">
        <v>43301</v>
      </c>
      <c r="B1157" s="3">
        <v>56990.2</v>
      </c>
      <c r="C1157" s="6">
        <f t="shared" si="54"/>
        <v>1.2598372708949914E-2</v>
      </c>
      <c r="D1157" s="7">
        <f t="shared" si="55"/>
        <v>1.1333476271898084</v>
      </c>
      <c r="E1157" s="8">
        <f t="shared" si="56"/>
        <v>-1.8401282375513681</v>
      </c>
    </row>
    <row r="1158" spans="1:5" x14ac:dyDescent="0.2">
      <c r="A1158" s="4">
        <v>43304</v>
      </c>
      <c r="B1158" s="3">
        <v>56556.81</v>
      </c>
      <c r="C1158" s="6">
        <f t="shared" si="54"/>
        <v>-7.6337035134860587E-3</v>
      </c>
      <c r="D1158" s="7">
        <f t="shared" si="55"/>
        <v>-0.72039397688930529</v>
      </c>
      <c r="E1158" s="8">
        <f t="shared" si="56"/>
        <v>-1.2030310512370568</v>
      </c>
    </row>
    <row r="1159" spans="1:5" x14ac:dyDescent="0.2">
      <c r="A1159" s="4">
        <v>43305</v>
      </c>
      <c r="B1159" s="3">
        <v>57054.84</v>
      </c>
      <c r="C1159" s="6">
        <f t="shared" si="54"/>
        <v>8.7672908562057214E-3</v>
      </c>
      <c r="D1159" s="7">
        <f t="shared" si="55"/>
        <v>0.782328990200444</v>
      </c>
      <c r="E1159" s="8">
        <f t="shared" si="56"/>
        <v>-1.289188389318481</v>
      </c>
    </row>
    <row r="1160" spans="1:5" x14ac:dyDescent="0.2">
      <c r="A1160" s="4">
        <v>43306</v>
      </c>
      <c r="B1160" s="3">
        <v>56387.87</v>
      </c>
      <c r="C1160" s="6">
        <f t="shared" si="54"/>
        <v>-1.1758846120121635E-2</v>
      </c>
      <c r="D1160" s="7">
        <f t="shared" si="55"/>
        <v>-1.09835560517735</v>
      </c>
      <c r="E1160" s="8">
        <f t="shared" si="56"/>
        <v>-1.7817260287161054</v>
      </c>
    </row>
    <row r="1161" spans="1:5" x14ac:dyDescent="0.2">
      <c r="A1161" s="4">
        <v>43307</v>
      </c>
      <c r="B1161" s="3">
        <v>56743.25</v>
      </c>
      <c r="C1161" s="6">
        <f t="shared" si="54"/>
        <v>6.282642105026796E-3</v>
      </c>
      <c r="D1161" s="7">
        <f t="shared" si="55"/>
        <v>0.55467579677900136</v>
      </c>
      <c r="E1161" s="8">
        <f t="shared" si="56"/>
        <v>-0.99634461064682289</v>
      </c>
    </row>
    <row r="1162" spans="1:5" x14ac:dyDescent="0.2">
      <c r="A1162" s="4">
        <v>43308</v>
      </c>
      <c r="B1162" s="3">
        <v>57162.38</v>
      </c>
      <c r="C1162" s="6">
        <f t="shared" si="54"/>
        <v>7.3592831476101657E-3</v>
      </c>
      <c r="D1162" s="7">
        <f t="shared" si="55"/>
        <v>0.65332184137439908</v>
      </c>
      <c r="E1162" s="8">
        <f t="shared" si="56"/>
        <v>-1.1148828419919858</v>
      </c>
    </row>
    <row r="1163" spans="1:5" x14ac:dyDescent="0.2">
      <c r="A1163" s="4">
        <v>43311</v>
      </c>
      <c r="B1163" s="3">
        <v>57313.14</v>
      </c>
      <c r="C1163" s="6">
        <f t="shared" si="54"/>
        <v>2.6339270991565839E-3</v>
      </c>
      <c r="D1163" s="7">
        <f t="shared" si="55"/>
        <v>0.22036632040856233</v>
      </c>
      <c r="E1163" s="8">
        <f t="shared" si="56"/>
        <v>-0.71867745080223333</v>
      </c>
    </row>
    <row r="1164" spans="1:5" x14ac:dyDescent="0.2">
      <c r="A1164" s="4">
        <v>43312</v>
      </c>
      <c r="B1164" s="3">
        <v>57432.46</v>
      </c>
      <c r="C1164" s="6">
        <f t="shared" si="54"/>
        <v>2.0797319114238886E-3</v>
      </c>
      <c r="D1164" s="7">
        <f t="shared" si="55"/>
        <v>0.16958879935803917</v>
      </c>
      <c r="E1164" s="8">
        <f t="shared" si="56"/>
        <v>-0.69620996918062705</v>
      </c>
    </row>
    <row r="1165" spans="1:5" x14ac:dyDescent="0.2">
      <c r="A1165" s="4">
        <v>43313</v>
      </c>
      <c r="B1165" s="3">
        <v>57399.53</v>
      </c>
      <c r="C1165" s="6">
        <f t="shared" si="54"/>
        <v>-5.7353357549000557E-4</v>
      </c>
      <c r="D1165" s="7">
        <f t="shared" si="55"/>
        <v>-7.3513715958963818E-2</v>
      </c>
      <c r="E1165" s="8">
        <f t="shared" si="56"/>
        <v>-0.66946111664765873</v>
      </c>
    </row>
    <row r="1166" spans="1:5" x14ac:dyDescent="0.2">
      <c r="A1166" s="4">
        <v>43314</v>
      </c>
      <c r="B1166" s="3">
        <v>56470.720000000001</v>
      </c>
      <c r="C1166" s="6">
        <f t="shared" si="54"/>
        <v>-1.6313841402410482E-2</v>
      </c>
      <c r="D1166" s="7">
        <f t="shared" si="55"/>
        <v>-1.5157020093886659</v>
      </c>
      <c r="E1166" s="8">
        <f t="shared" si="56"/>
        <v>-2.4998460897870998</v>
      </c>
    </row>
    <row r="1167" spans="1:5" x14ac:dyDescent="0.2">
      <c r="A1167" s="4">
        <v>43315</v>
      </c>
      <c r="B1167" s="3">
        <v>57118.03</v>
      </c>
      <c r="C1167" s="6">
        <f t="shared" si="54"/>
        <v>1.1397554904781587E-2</v>
      </c>
      <c r="D1167" s="7">
        <f t="shared" si="55"/>
        <v>1.0233240241728689</v>
      </c>
      <c r="E1167" s="8">
        <f t="shared" si="56"/>
        <v>-1.6585250447010191</v>
      </c>
    </row>
    <row r="1168" spans="1:5" x14ac:dyDescent="0.2">
      <c r="A1168" s="4">
        <v>43318</v>
      </c>
      <c r="B1168" s="3">
        <v>56861.21</v>
      </c>
      <c r="C1168" s="6">
        <f t="shared" si="54"/>
        <v>-4.5064423069564796E-3</v>
      </c>
      <c r="D1168" s="7">
        <f t="shared" si="55"/>
        <v>-0.43386212807499991</v>
      </c>
      <c r="E1168" s="8">
        <f t="shared" si="56"/>
        <v>-0.871966252966075</v>
      </c>
    </row>
    <row r="1169" spans="1:5" x14ac:dyDescent="0.2">
      <c r="A1169" s="4">
        <v>43319</v>
      </c>
      <c r="B1169" s="3">
        <v>57705.64</v>
      </c>
      <c r="C1169" s="6">
        <f t="shared" si="54"/>
        <v>1.4741529370099425E-2</v>
      </c>
      <c r="D1169" s="7">
        <f t="shared" si="55"/>
        <v>1.3297119856053083</v>
      </c>
      <c r="E1169" s="8">
        <f t="shared" si="56"/>
        <v>-2.1756828974257529</v>
      </c>
    </row>
    <row r="1170" spans="1:5" x14ac:dyDescent="0.2">
      <c r="A1170" s="4">
        <v>43320</v>
      </c>
      <c r="B1170" s="3">
        <v>57786.31</v>
      </c>
      <c r="C1170" s="6">
        <f t="shared" si="54"/>
        <v>1.396980709379872E-3</v>
      </c>
      <c r="D1170" s="7">
        <f t="shared" si="55"/>
        <v>0.10703247569905124</v>
      </c>
      <c r="E1170" s="8">
        <f t="shared" si="56"/>
        <v>-0.6764178678330075</v>
      </c>
    </row>
    <row r="1171" spans="1:5" x14ac:dyDescent="0.2">
      <c r="A1171" s="4">
        <v>43322</v>
      </c>
      <c r="B1171" s="3">
        <v>57703.02</v>
      </c>
      <c r="C1171" s="6">
        <f t="shared" si="54"/>
        <v>-1.4423845811595139E-3</v>
      </c>
      <c r="D1171" s="7">
        <f t="shared" si="55"/>
        <v>-0.15312122827000749</v>
      </c>
      <c r="E1171" s="8">
        <f t="shared" si="56"/>
        <v>-0.69014746854049602</v>
      </c>
    </row>
    <row r="1172" spans="1:5" x14ac:dyDescent="0.2">
      <c r="A1172" s="4">
        <v>43325</v>
      </c>
      <c r="B1172" s="3">
        <v>57885.26</v>
      </c>
      <c r="C1172" s="6">
        <f t="shared" si="54"/>
        <v>3.153263479689842E-3</v>
      </c>
      <c r="D1172" s="7">
        <f t="shared" si="55"/>
        <v>0.26794994180866255</v>
      </c>
      <c r="E1172" s="8">
        <f t="shared" si="56"/>
        <v>-0.74480150292696545</v>
      </c>
    </row>
    <row r="1173" spans="1:5" x14ac:dyDescent="0.2">
      <c r="A1173" s="4">
        <v>43326</v>
      </c>
      <c r="B1173" s="3">
        <v>57608.94</v>
      </c>
      <c r="C1173" s="6">
        <f t="shared" si="54"/>
        <v>-4.7850113204998199E-3</v>
      </c>
      <c r="D1173" s="7">
        <f t="shared" si="55"/>
        <v>-0.45938570580054849</v>
      </c>
      <c r="E1173" s="8">
        <f t="shared" si="56"/>
        <v>-0.89616567660028656</v>
      </c>
    </row>
    <row r="1174" spans="1:5" x14ac:dyDescent="0.2">
      <c r="A1174" s="4">
        <v>43327</v>
      </c>
      <c r="B1174" s="3">
        <v>55646.15</v>
      </c>
      <c r="C1174" s="6">
        <f t="shared" si="54"/>
        <v>-3.4664871053206911E-2</v>
      </c>
      <c r="D1174" s="7">
        <f t="shared" si="55"/>
        <v>-3.1970948020693832</v>
      </c>
      <c r="E1174" s="8">
        <f t="shared" si="56"/>
        <v>-5.1542698204023605</v>
      </c>
    </row>
    <row r="1175" spans="1:5" x14ac:dyDescent="0.2">
      <c r="A1175" s="4">
        <v>43328</v>
      </c>
      <c r="B1175" s="3">
        <v>56562.34</v>
      </c>
      <c r="C1175" s="6">
        <f t="shared" si="54"/>
        <v>1.6330499788457419E-2</v>
      </c>
      <c r="D1175" s="7">
        <f t="shared" si="55"/>
        <v>1.4752996425406262</v>
      </c>
      <c r="E1175" s="8">
        <f t="shared" si="56"/>
        <v>-2.4292450905209226</v>
      </c>
    </row>
    <row r="1176" spans="1:5" x14ac:dyDescent="0.2">
      <c r="A1176" s="4">
        <v>43329</v>
      </c>
      <c r="B1176" s="3">
        <v>56647.519999999997</v>
      </c>
      <c r="C1176" s="6">
        <f t="shared" si="54"/>
        <v>1.5048162072450208E-3</v>
      </c>
      <c r="D1176" s="7">
        <f t="shared" si="55"/>
        <v>0.11691278390822733</v>
      </c>
      <c r="E1176" s="8">
        <f t="shared" si="56"/>
        <v>-0.67895687389546988</v>
      </c>
    </row>
    <row r="1177" spans="1:5" x14ac:dyDescent="0.2">
      <c r="A1177" s="4">
        <v>43332</v>
      </c>
      <c r="B1177" s="3">
        <v>57145.62</v>
      </c>
      <c r="C1177" s="6">
        <f t="shared" si="54"/>
        <v>8.7545379497378072E-3</v>
      </c>
      <c r="D1177" s="7">
        <f t="shared" si="55"/>
        <v>0.7811605192520058</v>
      </c>
      <c r="E1177" s="8">
        <f t="shared" si="56"/>
        <v>-1.2875239106429843</v>
      </c>
    </row>
    <row r="1178" spans="1:5" x14ac:dyDescent="0.2">
      <c r="A1178" s="4">
        <v>43333</v>
      </c>
      <c r="B1178" s="3">
        <v>57186.66</v>
      </c>
      <c r="C1178" s="6">
        <f t="shared" si="54"/>
        <v>7.179075194274835E-4</v>
      </c>
      <c r="D1178" s="7">
        <f t="shared" si="55"/>
        <v>4.4813145829509217E-2</v>
      </c>
      <c r="E1178" s="8">
        <f t="shared" si="56"/>
        <v>-0.66554914487116867</v>
      </c>
    </row>
    <row r="1179" spans="1:5" x14ac:dyDescent="0.2">
      <c r="A1179" s="4">
        <v>43334</v>
      </c>
      <c r="B1179" s="3">
        <v>58125.95</v>
      </c>
      <c r="C1179" s="6">
        <f t="shared" si="54"/>
        <v>1.6291553456706236E-2</v>
      </c>
      <c r="D1179" s="7">
        <f t="shared" si="55"/>
        <v>1.4717312279745831</v>
      </c>
      <c r="E1179" s="8">
        <f t="shared" si="56"/>
        <v>-2.4230111464776436</v>
      </c>
    </row>
    <row r="1180" spans="1:5" x14ac:dyDescent="0.2">
      <c r="A1180" s="4">
        <v>43335</v>
      </c>
      <c r="B1180" s="3">
        <v>58204.72</v>
      </c>
      <c r="C1180" s="6">
        <f t="shared" si="54"/>
        <v>1.3542432453713944E-3</v>
      </c>
      <c r="D1180" s="7">
        <f t="shared" si="55"/>
        <v>0.10311670283351139</v>
      </c>
      <c r="E1180" s="8">
        <f t="shared" si="56"/>
        <v>-0.67547297542687446</v>
      </c>
    </row>
    <row r="1181" spans="1:5" x14ac:dyDescent="0.2">
      <c r="A1181" s="4">
        <v>43336</v>
      </c>
      <c r="B1181" s="3">
        <v>58797.68</v>
      </c>
      <c r="C1181" s="6">
        <f t="shared" si="54"/>
        <v>1.013594723851821E-2</v>
      </c>
      <c r="D1181" s="7">
        <f t="shared" si="55"/>
        <v>0.90773061728444837</v>
      </c>
      <c r="E1181" s="8">
        <f t="shared" si="56"/>
        <v>-1.4755088473989642</v>
      </c>
    </row>
    <row r="1182" spans="1:5" x14ac:dyDescent="0.2">
      <c r="A1182" s="4">
        <v>43339</v>
      </c>
      <c r="B1182" s="3">
        <v>59655.56</v>
      </c>
      <c r="C1182" s="6">
        <f t="shared" si="54"/>
        <v>1.4484956250202611E-2</v>
      </c>
      <c r="D1182" s="7">
        <f t="shared" si="55"/>
        <v>1.3062037573042664</v>
      </c>
      <c r="E1182" s="8">
        <f t="shared" si="56"/>
        <v>-2.1349940126870086</v>
      </c>
    </row>
    <row r="1183" spans="1:5" x14ac:dyDescent="0.2">
      <c r="A1183" s="4">
        <v>43340</v>
      </c>
      <c r="B1183" s="3">
        <v>60039.27</v>
      </c>
      <c r="C1183" s="6">
        <f t="shared" si="54"/>
        <v>6.4114935363149385E-3</v>
      </c>
      <c r="D1183" s="7">
        <f t="shared" si="55"/>
        <v>0.5664816666411906</v>
      </c>
      <c r="E1183" s="8">
        <f t="shared" si="56"/>
        <v>-1.0097764335887367</v>
      </c>
    </row>
    <row r="1184" spans="1:5" x14ac:dyDescent="0.2">
      <c r="A1184" s="4">
        <v>43341</v>
      </c>
      <c r="B1184" s="3">
        <v>60165.51</v>
      </c>
      <c r="C1184" s="6">
        <f t="shared" si="54"/>
        <v>2.100416412918023E-3</v>
      </c>
      <c r="D1184" s="7">
        <f t="shared" si="55"/>
        <v>0.17148399392718541</v>
      </c>
      <c r="E1184" s="8">
        <f t="shared" si="56"/>
        <v>-0.69694643576599868</v>
      </c>
    </row>
    <row r="1185" spans="1:5" x14ac:dyDescent="0.2">
      <c r="A1185" s="4">
        <v>43342</v>
      </c>
      <c r="B1185" s="3">
        <v>58802.69</v>
      </c>
      <c r="C1185" s="6">
        <f t="shared" si="54"/>
        <v>-2.2911662385824462E-2</v>
      </c>
      <c r="D1185" s="7">
        <f t="shared" si="55"/>
        <v>-2.1202200587847884</v>
      </c>
      <c r="E1185" s="8">
        <f t="shared" si="56"/>
        <v>-3.5352975596369927</v>
      </c>
    </row>
    <row r="1186" spans="1:5" x14ac:dyDescent="0.2">
      <c r="A1186" s="4">
        <v>43343</v>
      </c>
      <c r="B1186" s="3">
        <v>58668.480000000003</v>
      </c>
      <c r="C1186" s="6">
        <f t="shared" si="54"/>
        <v>-2.284987174204299E-3</v>
      </c>
      <c r="D1186" s="7">
        <f t="shared" si="55"/>
        <v>-0.23032375880910988</v>
      </c>
      <c r="E1186" s="8">
        <f t="shared" si="56"/>
        <v>-0.72374311736498564</v>
      </c>
    </row>
    <row r="1187" spans="1:5" x14ac:dyDescent="0.2">
      <c r="A1187" s="4">
        <v>43346</v>
      </c>
      <c r="B1187" s="3">
        <v>58711.15</v>
      </c>
      <c r="C1187" s="6">
        <f t="shared" si="54"/>
        <v>7.270427054436202E-4</v>
      </c>
      <c r="D1187" s="7">
        <f t="shared" si="55"/>
        <v>4.5650147143310879E-2</v>
      </c>
      <c r="E1187" s="8">
        <f t="shared" si="56"/>
        <v>-0.66563642877303564</v>
      </c>
    </row>
    <row r="1188" spans="1:5" x14ac:dyDescent="0.2">
      <c r="A1188" s="4">
        <v>43347</v>
      </c>
      <c r="B1188" s="3">
        <v>57891.82</v>
      </c>
      <c r="C1188" s="6">
        <f t="shared" si="54"/>
        <v>-1.4053561156085475E-2</v>
      </c>
      <c r="D1188" s="7">
        <f t="shared" si="55"/>
        <v>-1.3086063320382388</v>
      </c>
      <c r="E1188" s="8">
        <f t="shared" si="56"/>
        <v>-2.1391477843356439</v>
      </c>
    </row>
    <row r="1189" spans="1:5" x14ac:dyDescent="0.2">
      <c r="A1189" s="4">
        <v>43348</v>
      </c>
      <c r="B1189" s="3">
        <v>57102.13</v>
      </c>
      <c r="C1189" s="6">
        <f t="shared" si="54"/>
        <v>-1.3734677589174574E-2</v>
      </c>
      <c r="D1189" s="7">
        <f t="shared" si="55"/>
        <v>-1.2793889779545109</v>
      </c>
      <c r="E1189" s="8">
        <f t="shared" si="56"/>
        <v>-2.088714212575622</v>
      </c>
    </row>
    <row r="1190" spans="1:5" x14ac:dyDescent="0.2">
      <c r="A1190" s="4">
        <v>43349</v>
      </c>
      <c r="B1190" s="3">
        <v>57130.48</v>
      </c>
      <c r="C1190" s="6">
        <f t="shared" si="54"/>
        <v>4.9635564804220028E-4</v>
      </c>
      <c r="D1190" s="7">
        <f t="shared" si="55"/>
        <v>2.4513700684425859E-2</v>
      </c>
      <c r="E1190" s="8">
        <f t="shared" si="56"/>
        <v>-0.66392635793398391</v>
      </c>
    </row>
    <row r="1191" spans="1:5" x14ac:dyDescent="0.2">
      <c r="A1191" s="4">
        <v>43350</v>
      </c>
      <c r="B1191" s="3">
        <v>57068.45</v>
      </c>
      <c r="C1191" s="6">
        <f t="shared" si="54"/>
        <v>-1.0863500402400281E-3</v>
      </c>
      <c r="D1191" s="7">
        <f t="shared" si="55"/>
        <v>-0.12049995728745908</v>
      </c>
      <c r="E1191" s="8">
        <f t="shared" si="56"/>
        <v>-0.67993347990290642</v>
      </c>
    </row>
    <row r="1192" spans="1:5" x14ac:dyDescent="0.2">
      <c r="A1192" s="4">
        <v>43353</v>
      </c>
      <c r="B1192" s="3">
        <v>56715.26</v>
      </c>
      <c r="C1192" s="6">
        <f t="shared" si="54"/>
        <v>-6.20811422562852E-3</v>
      </c>
      <c r="D1192" s="7">
        <f t="shared" si="55"/>
        <v>-0.58977593531132366</v>
      </c>
      <c r="E1192" s="8">
        <f t="shared" si="56"/>
        <v>-1.0368999415508051</v>
      </c>
    </row>
    <row r="1193" spans="1:5" x14ac:dyDescent="0.2">
      <c r="A1193" s="4">
        <v>43354</v>
      </c>
      <c r="B1193" s="3">
        <v>56174.01</v>
      </c>
      <c r="C1193" s="6">
        <f t="shared" si="54"/>
        <v>-9.5891159075324594E-3</v>
      </c>
      <c r="D1193" s="7">
        <f t="shared" si="55"/>
        <v>-0.89955647450564347</v>
      </c>
      <c r="E1193" s="8">
        <f t="shared" si="56"/>
        <v>-1.4629380941587717</v>
      </c>
    </row>
    <row r="1194" spans="1:5" x14ac:dyDescent="0.2">
      <c r="A1194" s="4">
        <v>43355</v>
      </c>
      <c r="B1194" s="3">
        <v>55952.05</v>
      </c>
      <c r="C1194" s="6">
        <f t="shared" si="54"/>
        <v>-3.9591204743736289E-3</v>
      </c>
      <c r="D1194" s="7">
        <f t="shared" si="55"/>
        <v>-0.38371437058708874</v>
      </c>
      <c r="E1194" s="8">
        <f t="shared" si="56"/>
        <v>-0.82788346185113393</v>
      </c>
    </row>
    <row r="1195" spans="1:5" x14ac:dyDescent="0.2">
      <c r="A1195" s="4">
        <v>43356</v>
      </c>
      <c r="B1195" s="3">
        <v>56166.86</v>
      </c>
      <c r="C1195" s="6">
        <f t="shared" si="54"/>
        <v>3.8318293111548538E-3</v>
      </c>
      <c r="D1195" s="7">
        <f t="shared" si="55"/>
        <v>0.33012278551801549</v>
      </c>
      <c r="E1195" s="8">
        <f t="shared" si="56"/>
        <v>-0.78607821413544565</v>
      </c>
    </row>
    <row r="1196" spans="1:5" x14ac:dyDescent="0.2">
      <c r="A1196" s="4">
        <v>43357</v>
      </c>
      <c r="B1196" s="3">
        <v>56581.88</v>
      </c>
      <c r="C1196" s="6">
        <f t="shared" si="54"/>
        <v>7.3618893553203937E-3</v>
      </c>
      <c r="D1196" s="7">
        <f t="shared" si="55"/>
        <v>0.65356063227298045</v>
      </c>
      <c r="E1196" s="8">
        <f t="shared" si="56"/>
        <v>-1.1151864090936561</v>
      </c>
    </row>
    <row r="1197" spans="1:5" x14ac:dyDescent="0.2">
      <c r="A1197" s="4">
        <v>43360</v>
      </c>
      <c r="B1197" s="3">
        <v>56298.65</v>
      </c>
      <c r="C1197" s="6">
        <f t="shared" si="54"/>
        <v>-5.0182364376629082E-3</v>
      </c>
      <c r="D1197" s="7">
        <f t="shared" si="55"/>
        <v>-0.48075469917761027</v>
      </c>
      <c r="E1197" s="8">
        <f t="shared" si="56"/>
        <v>-0.9173078329892087</v>
      </c>
    </row>
    <row r="1198" spans="1:5" x14ac:dyDescent="0.2">
      <c r="A1198" s="4">
        <v>43361</v>
      </c>
      <c r="B1198" s="3">
        <v>56381.3</v>
      </c>
      <c r="C1198" s="6">
        <f t="shared" si="54"/>
        <v>1.4669870695230975E-3</v>
      </c>
      <c r="D1198" s="7">
        <f t="shared" si="55"/>
        <v>0.11344673100932595</v>
      </c>
      <c r="E1198" s="8">
        <f t="shared" si="56"/>
        <v>-0.67804094958316397</v>
      </c>
    </row>
    <row r="1199" spans="1:5" x14ac:dyDescent="0.2">
      <c r="A1199" s="4">
        <v>43362</v>
      </c>
      <c r="B1199" s="3">
        <v>56445.57</v>
      </c>
      <c r="C1199" s="6">
        <f t="shared" si="54"/>
        <v>1.1392677462646592E-3</v>
      </c>
      <c r="D1199" s="7">
        <f t="shared" si="55"/>
        <v>8.3419810523966395E-2</v>
      </c>
      <c r="E1199" s="8">
        <f t="shared" si="56"/>
        <v>-0.67124996053184149</v>
      </c>
    </row>
    <row r="1200" spans="1:5" x14ac:dyDescent="0.2">
      <c r="A1200" s="4">
        <v>43363</v>
      </c>
      <c r="B1200" s="3">
        <v>56546.8</v>
      </c>
      <c r="C1200" s="6">
        <f t="shared" si="54"/>
        <v>1.7918028816234631E-3</v>
      </c>
      <c r="D1200" s="7">
        <f t="shared" si="55"/>
        <v>0.14320762049655897</v>
      </c>
      <c r="E1200" s="8">
        <f t="shared" si="56"/>
        <v>-0.68679018342703579</v>
      </c>
    </row>
    <row r="1201" spans="1:5" x14ac:dyDescent="0.2">
      <c r="A1201" s="4">
        <v>43364</v>
      </c>
      <c r="B1201" s="3">
        <v>57164.25</v>
      </c>
      <c r="C1201" s="6">
        <f t="shared" si="54"/>
        <v>1.0860089121883994E-2</v>
      </c>
      <c r="D1201" s="7">
        <f t="shared" si="55"/>
        <v>0.97407931633505607</v>
      </c>
      <c r="E1201" s="8">
        <f t="shared" si="56"/>
        <v>-1.5794330189516337</v>
      </c>
    </row>
    <row r="1202" spans="1:5" x14ac:dyDescent="0.2">
      <c r="A1202" s="4">
        <v>43368</v>
      </c>
      <c r="B1202" s="3">
        <v>56882.75</v>
      </c>
      <c r="C1202" s="6">
        <f t="shared" si="54"/>
        <v>-4.9365712675152581E-3</v>
      </c>
      <c r="D1202" s="7">
        <f t="shared" si="55"/>
        <v>-0.47327221829712496</v>
      </c>
      <c r="E1202" s="8">
        <f t="shared" si="56"/>
        <v>-0.90981475727503469</v>
      </c>
    </row>
    <row r="1203" spans="1:5" x14ac:dyDescent="0.2">
      <c r="A1203" s="4">
        <v>43369</v>
      </c>
      <c r="B1203" s="3">
        <v>56570.15</v>
      </c>
      <c r="C1203" s="6">
        <f t="shared" si="54"/>
        <v>-5.5106707906590188E-3</v>
      </c>
      <c r="D1203" s="7">
        <f t="shared" si="55"/>
        <v>-0.52587345206241742</v>
      </c>
      <c r="E1203" s="8">
        <f t="shared" si="56"/>
        <v>-0.96449124379232154</v>
      </c>
    </row>
    <row r="1204" spans="1:5" x14ac:dyDescent="0.2">
      <c r="A1204" s="4">
        <v>43370</v>
      </c>
      <c r="B1204" s="3">
        <v>55988.57</v>
      </c>
      <c r="C1204" s="6">
        <f t="shared" si="54"/>
        <v>-1.0333898174065137E-2</v>
      </c>
      <c r="D1204" s="7">
        <f t="shared" si="55"/>
        <v>-0.96779632583246555</v>
      </c>
      <c r="E1204" s="8">
        <f t="shared" si="56"/>
        <v>-1.5694556181083297</v>
      </c>
    </row>
    <row r="1205" spans="1:5" x14ac:dyDescent="0.2">
      <c r="A1205" s="4">
        <v>43371</v>
      </c>
      <c r="B1205" s="3">
        <v>55708.47</v>
      </c>
      <c r="C1205" s="6">
        <f t="shared" si="54"/>
        <v>-5.0153627550533148E-3</v>
      </c>
      <c r="D1205" s="7">
        <f t="shared" si="55"/>
        <v>-0.48049140118724315</v>
      </c>
      <c r="E1205" s="8">
        <f t="shared" si="56"/>
        <v>-0.91704252931505836</v>
      </c>
    </row>
    <row r="1206" spans="1:5" x14ac:dyDescent="0.2">
      <c r="A1206" s="4">
        <v>43374</v>
      </c>
      <c r="B1206" s="3">
        <v>55789.75</v>
      </c>
      <c r="C1206" s="6">
        <f t="shared" si="54"/>
        <v>1.457960753054701E-3</v>
      </c>
      <c r="D1206" s="7">
        <f t="shared" si="55"/>
        <v>0.11261970474740945</v>
      </c>
      <c r="E1206" s="8">
        <f t="shared" si="56"/>
        <v>-0.6778264302862218</v>
      </c>
    </row>
    <row r="1207" spans="1:5" x14ac:dyDescent="0.2">
      <c r="A1207" s="4">
        <v>43375</v>
      </c>
      <c r="B1207" s="3">
        <v>55472.57</v>
      </c>
      <c r="C1207" s="6">
        <f t="shared" si="54"/>
        <v>-5.7014964134370454E-3</v>
      </c>
      <c r="D1207" s="7">
        <f t="shared" si="55"/>
        <v>-0.54335763866683817</v>
      </c>
      <c r="E1207" s="8">
        <f t="shared" si="56"/>
        <v>-0.98367091842473886</v>
      </c>
    </row>
    <row r="1208" spans="1:5" x14ac:dyDescent="0.2">
      <c r="A1208" s="4">
        <v>43376</v>
      </c>
      <c r="B1208" s="3">
        <v>55171.5</v>
      </c>
      <c r="C1208" s="6">
        <f t="shared" si="54"/>
        <v>-5.442148739919838E-3</v>
      </c>
      <c r="D1208" s="7">
        <f t="shared" si="55"/>
        <v>-0.51959519495941275</v>
      </c>
      <c r="E1208" s="8">
        <f t="shared" si="56"/>
        <v>-0.95772412851754096</v>
      </c>
    </row>
    <row r="1209" spans="1:5" x14ac:dyDescent="0.2">
      <c r="A1209" s="4">
        <v>43377</v>
      </c>
      <c r="B1209" s="3">
        <v>55030.6</v>
      </c>
      <c r="C1209" s="6">
        <f t="shared" si="54"/>
        <v>-2.5571214482705187E-3</v>
      </c>
      <c r="D1209" s="7">
        <f t="shared" si="55"/>
        <v>-0.25525776064788314</v>
      </c>
      <c r="E1209" s="8">
        <f t="shared" si="56"/>
        <v>-0.73736170382734234</v>
      </c>
    </row>
    <row r="1210" spans="1:5" x14ac:dyDescent="0.2">
      <c r="A1210" s="4">
        <v>43378</v>
      </c>
      <c r="B1210" s="3">
        <v>54409.47</v>
      </c>
      <c r="C1210" s="6">
        <f t="shared" si="54"/>
        <v>-1.1351174562036992E-2</v>
      </c>
      <c r="D1210" s="7">
        <f t="shared" si="55"/>
        <v>-1.0610031496155614</v>
      </c>
      <c r="E1210" s="8">
        <f t="shared" si="56"/>
        <v>-1.7200212103384704</v>
      </c>
    </row>
    <row r="1211" spans="1:5" x14ac:dyDescent="0.2">
      <c r="A1211" s="4">
        <v>43381</v>
      </c>
      <c r="B1211" s="3">
        <v>54219.199999999997</v>
      </c>
      <c r="C1211" s="6">
        <f t="shared" si="54"/>
        <v>-3.503130335325207E-3</v>
      </c>
      <c r="D1211" s="7">
        <f t="shared" si="55"/>
        <v>-0.34193477849230841</v>
      </c>
      <c r="E1211" s="8">
        <f t="shared" si="56"/>
        <v>-0.79480757056253337</v>
      </c>
    </row>
    <row r="1212" spans="1:5" x14ac:dyDescent="0.2">
      <c r="A1212" s="4">
        <v>43382</v>
      </c>
      <c r="B1212" s="3">
        <v>54187.82</v>
      </c>
      <c r="C1212" s="6">
        <f t="shared" si="54"/>
        <v>-5.7892931429053896E-4</v>
      </c>
      <c r="D1212" s="7">
        <f t="shared" si="55"/>
        <v>-7.4008094558042081E-2</v>
      </c>
      <c r="E1212" s="8">
        <f t="shared" si="56"/>
        <v>-0.66954506457806373</v>
      </c>
    </row>
    <row r="1213" spans="1:5" x14ac:dyDescent="0.2">
      <c r="A1213" s="4">
        <v>43383</v>
      </c>
      <c r="B1213" s="3">
        <v>52813.37</v>
      </c>
      <c r="C1213" s="6">
        <f t="shared" si="54"/>
        <v>-2.5691781589826442E-2</v>
      </c>
      <c r="D1213" s="7">
        <f t="shared" si="55"/>
        <v>-2.3749454056101809</v>
      </c>
      <c r="E1213" s="8">
        <f t="shared" si="56"/>
        <v>-3.9478419722779798</v>
      </c>
    </row>
    <row r="1214" spans="1:5" x14ac:dyDescent="0.2">
      <c r="A1214" s="4">
        <v>43384</v>
      </c>
      <c r="B1214" s="3">
        <v>52229.33</v>
      </c>
      <c r="C1214" s="6">
        <f t="shared" si="54"/>
        <v>-1.1120163865258994E-2</v>
      </c>
      <c r="D1214" s="7">
        <f t="shared" si="55"/>
        <v>-1.0398370500567926</v>
      </c>
      <c r="E1214" s="8">
        <f t="shared" si="56"/>
        <v>-1.6853779212256925</v>
      </c>
    </row>
    <row r="1215" spans="1:5" x14ac:dyDescent="0.2">
      <c r="A1215" s="4">
        <v>43385</v>
      </c>
      <c r="B1215" s="3">
        <v>53473.11</v>
      </c>
      <c r="C1215" s="6">
        <f t="shared" si="54"/>
        <v>2.3534696236125235E-2</v>
      </c>
      <c r="D1215" s="7">
        <f t="shared" si="55"/>
        <v>2.1353761731040755</v>
      </c>
      <c r="E1215" s="8">
        <f t="shared" si="56"/>
        <v>-3.5603255981402908</v>
      </c>
    </row>
    <row r="1216" spans="1:5" x14ac:dyDescent="0.2">
      <c r="A1216" s="4">
        <v>43388</v>
      </c>
      <c r="B1216" s="3">
        <v>52466.98</v>
      </c>
      <c r="C1216" s="6">
        <f t="shared" si="54"/>
        <v>-1.8994891382251657E-2</v>
      </c>
      <c r="D1216" s="7">
        <f t="shared" si="55"/>
        <v>-1.76135024813619</v>
      </c>
      <c r="E1216" s="8">
        <f t="shared" si="56"/>
        <v>-2.9274644748531036</v>
      </c>
    </row>
    <row r="1217" spans="1:5" x14ac:dyDescent="0.2">
      <c r="A1217" s="4">
        <v>43389</v>
      </c>
      <c r="B1217" s="3">
        <v>53241.35</v>
      </c>
      <c r="C1217" s="6">
        <f t="shared" si="54"/>
        <v>1.4651330736857138E-2</v>
      </c>
      <c r="D1217" s="7">
        <f t="shared" si="55"/>
        <v>1.3214476356081053</v>
      </c>
      <c r="E1217" s="8">
        <f t="shared" si="56"/>
        <v>-2.1613673061159804</v>
      </c>
    </row>
    <row r="1218" spans="1:5" x14ac:dyDescent="0.2">
      <c r="A1218" s="4">
        <v>43390</v>
      </c>
      <c r="B1218" s="3">
        <v>52391.02</v>
      </c>
      <c r="C1218" s="6">
        <f t="shared" si="54"/>
        <v>-1.6100147484976034E-2</v>
      </c>
      <c r="D1218" s="7">
        <f t="shared" si="55"/>
        <v>-1.4961225405822169</v>
      </c>
      <c r="E1218" s="8">
        <f t="shared" si="56"/>
        <v>-2.4656289859983525</v>
      </c>
    </row>
    <row r="1219" spans="1:5" x14ac:dyDescent="0.2">
      <c r="A1219" s="4">
        <v>43391</v>
      </c>
      <c r="B1219" s="3">
        <v>52132.6</v>
      </c>
      <c r="C1219" s="6">
        <f t="shared" ref="C1219:C1282" si="57">LN(B1219/B1218)</f>
        <v>-4.9447297469819721E-3</v>
      </c>
      <c r="D1219" s="7">
        <f t="shared" ref="D1219:D1282" si="58">(C1219-$G$4)/$G$5</f>
        <v>-0.47401972995372404</v>
      </c>
      <c r="E1219" s="8">
        <f t="shared" ref="E1219:E1282" si="59">LN((PI()*(G$3-2))^(-1/2)*EXP(GAMMALN((G$3+1)/2))*((1+D1219^2/(G$3-2))^(-(G$3+1)/2))/EXP(GAMMALN(G$3/2)))</f>
        <v>-0.91055899116358963</v>
      </c>
    </row>
    <row r="1220" spans="1:5" x14ac:dyDescent="0.2">
      <c r="A1220" s="4">
        <v>43392</v>
      </c>
      <c r="B1220" s="3">
        <v>52092.98</v>
      </c>
      <c r="C1220" s="6">
        <f t="shared" si="57"/>
        <v>-7.6027404996767357E-4</v>
      </c>
      <c r="D1220" s="7">
        <f t="shared" si="58"/>
        <v>-9.0623605369169288E-2</v>
      </c>
      <c r="E1220" s="8">
        <f t="shared" si="59"/>
        <v>-0.6726917709680803</v>
      </c>
    </row>
    <row r="1221" spans="1:5" x14ac:dyDescent="0.2">
      <c r="A1221" s="4">
        <v>43395</v>
      </c>
      <c r="B1221" s="3">
        <v>52204.160000000003</v>
      </c>
      <c r="C1221" s="6">
        <f t="shared" si="57"/>
        <v>2.1319864017902597E-3</v>
      </c>
      <c r="D1221" s="7">
        <f t="shared" si="58"/>
        <v>0.17437655923631973</v>
      </c>
      <c r="E1221" s="8">
        <f t="shared" si="59"/>
        <v>-0.69808585223062147</v>
      </c>
    </row>
    <row r="1222" spans="1:5" x14ac:dyDescent="0.2">
      <c r="A1222" s="4">
        <v>43396</v>
      </c>
      <c r="B1222" s="3">
        <v>51168.5</v>
      </c>
      <c r="C1222" s="6">
        <f t="shared" si="57"/>
        <v>-2.0038076863692623E-2</v>
      </c>
      <c r="D1222" s="7">
        <f t="shared" si="58"/>
        <v>-1.8569309639489335</v>
      </c>
      <c r="E1222" s="8">
        <f t="shared" si="59"/>
        <v>-3.091889911862971</v>
      </c>
    </row>
    <row r="1223" spans="1:5" x14ac:dyDescent="0.2">
      <c r="A1223" s="4">
        <v>43397</v>
      </c>
      <c r="B1223" s="3">
        <v>50877.34</v>
      </c>
      <c r="C1223" s="6">
        <f t="shared" si="57"/>
        <v>-5.7064705451207957E-3</v>
      </c>
      <c r="D1223" s="7">
        <f t="shared" si="58"/>
        <v>-0.54381338798020373</v>
      </c>
      <c r="E1223" s="8">
        <f t="shared" si="59"/>
        <v>-0.9841773656756666</v>
      </c>
    </row>
    <row r="1224" spans="1:5" x14ac:dyDescent="0.2">
      <c r="A1224" s="4">
        <v>43398</v>
      </c>
      <c r="B1224" s="3">
        <v>51624.86</v>
      </c>
      <c r="C1224" s="6">
        <f t="shared" si="57"/>
        <v>1.4585701622100433E-2</v>
      </c>
      <c r="D1224" s="7">
        <f t="shared" si="58"/>
        <v>1.3154344405644609</v>
      </c>
      <c r="E1224" s="8">
        <f t="shared" si="59"/>
        <v>-2.1509587838594273</v>
      </c>
    </row>
    <row r="1225" spans="1:5" x14ac:dyDescent="0.2">
      <c r="A1225" s="4">
        <v>43399</v>
      </c>
      <c r="B1225" s="3">
        <v>50837.57</v>
      </c>
      <c r="C1225" s="6">
        <f t="shared" si="57"/>
        <v>-1.5367691244401344E-2</v>
      </c>
      <c r="D1225" s="7">
        <f t="shared" si="58"/>
        <v>-1.4290120477493069</v>
      </c>
      <c r="E1225" s="8">
        <f t="shared" si="59"/>
        <v>-2.3484263353402768</v>
      </c>
    </row>
    <row r="1226" spans="1:5" x14ac:dyDescent="0.2">
      <c r="A1226" s="4">
        <v>43402</v>
      </c>
      <c r="B1226" s="3">
        <v>51320.52</v>
      </c>
      <c r="C1226" s="6">
        <f t="shared" si="57"/>
        <v>9.4550240293391607E-3</v>
      </c>
      <c r="D1226" s="7">
        <f t="shared" si="58"/>
        <v>0.84534178144967065</v>
      </c>
      <c r="E1226" s="8">
        <f t="shared" si="59"/>
        <v>-1.3809944813987802</v>
      </c>
    </row>
    <row r="1227" spans="1:5" x14ac:dyDescent="0.2">
      <c r="A1227" s="4">
        <v>43403</v>
      </c>
      <c r="B1227" s="3">
        <v>50756.59</v>
      </c>
      <c r="C1227" s="6">
        <f t="shared" si="57"/>
        <v>-1.1049210489474633E-2</v>
      </c>
      <c r="D1227" s="7">
        <f t="shared" si="58"/>
        <v>-1.0333360254859443</v>
      </c>
      <c r="E1227" s="8">
        <f t="shared" si="59"/>
        <v>-1.6747874335841202</v>
      </c>
    </row>
    <row r="1228" spans="1:5" x14ac:dyDescent="0.2">
      <c r="A1228" s="4">
        <v>43404</v>
      </c>
      <c r="B1228" s="3">
        <v>52388.87</v>
      </c>
      <c r="C1228" s="6">
        <f t="shared" si="57"/>
        <v>3.1652702477220254E-2</v>
      </c>
      <c r="D1228" s="7">
        <f t="shared" si="58"/>
        <v>2.8791795151755024</v>
      </c>
      <c r="E1228" s="8">
        <f t="shared" si="59"/>
        <v>-4.7104885551520983</v>
      </c>
    </row>
    <row r="1229" spans="1:5" x14ac:dyDescent="0.2">
      <c r="A1229" s="4">
        <v>43405</v>
      </c>
      <c r="B1229" s="3">
        <v>53578.76</v>
      </c>
      <c r="C1229" s="6">
        <f t="shared" si="57"/>
        <v>2.2458556699071465E-2</v>
      </c>
      <c r="D1229" s="7">
        <f t="shared" si="58"/>
        <v>2.0367760783980846</v>
      </c>
      <c r="E1229" s="8">
        <f t="shared" si="59"/>
        <v>-3.3964797284473418</v>
      </c>
    </row>
    <row r="1230" spans="1:5" x14ac:dyDescent="0.2">
      <c r="A1230" s="4">
        <v>43406</v>
      </c>
      <c r="B1230" s="3">
        <v>54271.19</v>
      </c>
      <c r="C1230" s="6">
        <f t="shared" si="57"/>
        <v>1.2840794350080753E-2</v>
      </c>
      <c r="D1230" s="7">
        <f t="shared" si="58"/>
        <v>1.155559241902639</v>
      </c>
      <c r="E1230" s="8">
        <f t="shared" si="59"/>
        <v>-1.8774690254071178</v>
      </c>
    </row>
    <row r="1231" spans="1:5" x14ac:dyDescent="0.2">
      <c r="A1231" s="4">
        <v>43409</v>
      </c>
      <c r="B1231" s="3">
        <v>54915.66</v>
      </c>
      <c r="C1231" s="6">
        <f t="shared" si="57"/>
        <v>1.1805038507298351E-2</v>
      </c>
      <c r="D1231" s="7">
        <f t="shared" si="58"/>
        <v>1.0606592585136585</v>
      </c>
      <c r="E1231" s="8">
        <f t="shared" si="59"/>
        <v>-1.7194564162633894</v>
      </c>
    </row>
    <row r="1232" spans="1:5" x14ac:dyDescent="0.2">
      <c r="A1232" s="4">
        <v>43410</v>
      </c>
      <c r="B1232" s="3">
        <v>54450.55</v>
      </c>
      <c r="C1232" s="6">
        <f t="shared" si="57"/>
        <v>-8.5056034041911793E-3</v>
      </c>
      <c r="D1232" s="7">
        <f t="shared" si="58"/>
        <v>-0.80028083991919918</v>
      </c>
      <c r="E1232" s="8">
        <f t="shared" si="59"/>
        <v>-1.3149396087290293</v>
      </c>
    </row>
    <row r="1233" spans="1:5" x14ac:dyDescent="0.2">
      <c r="A1233" s="4">
        <v>43411</v>
      </c>
      <c r="B1233" s="3">
        <v>54700.639999999999</v>
      </c>
      <c r="C1233" s="6">
        <f t="shared" si="57"/>
        <v>4.5824592042484824E-3</v>
      </c>
      <c r="D1233" s="7">
        <f t="shared" si="58"/>
        <v>0.39889841916010654</v>
      </c>
      <c r="E1233" s="8">
        <f t="shared" si="59"/>
        <v>-0.84073603524626406</v>
      </c>
    </row>
    <row r="1234" spans="1:5" x14ac:dyDescent="0.2">
      <c r="A1234" s="4">
        <v>43412</v>
      </c>
      <c r="B1234" s="3">
        <v>54064.82</v>
      </c>
      <c r="C1234" s="6">
        <f t="shared" si="57"/>
        <v>-1.169171247615754E-2</v>
      </c>
      <c r="D1234" s="7">
        <f t="shared" si="58"/>
        <v>-1.0922045593093201</v>
      </c>
      <c r="E1234" s="8">
        <f t="shared" si="59"/>
        <v>-1.7715174658608919</v>
      </c>
    </row>
    <row r="1235" spans="1:5" x14ac:dyDescent="0.2">
      <c r="A1235" s="4">
        <v>43413</v>
      </c>
      <c r="B1235" s="3">
        <v>53295.35</v>
      </c>
      <c r="C1235" s="6">
        <f t="shared" si="57"/>
        <v>-1.4334611726421134E-2</v>
      </c>
      <c r="D1235" s="7">
        <f t="shared" si="58"/>
        <v>-1.3343572796598984</v>
      </c>
      <c r="E1235" s="8">
        <f t="shared" si="59"/>
        <v>-2.1837346238871818</v>
      </c>
    </row>
    <row r="1236" spans="1:5" x14ac:dyDescent="0.2">
      <c r="A1236" s="4">
        <v>43416</v>
      </c>
      <c r="B1236" s="3">
        <v>52259.47</v>
      </c>
      <c r="C1236" s="6">
        <f t="shared" si="57"/>
        <v>-1.9627966898379295E-2</v>
      </c>
      <c r="D1236" s="7">
        <f t="shared" si="58"/>
        <v>-1.8193550920220718</v>
      </c>
      <c r="E1236" s="8">
        <f t="shared" si="59"/>
        <v>-3.0274324039934721</v>
      </c>
    </row>
    <row r="1237" spans="1:5" x14ac:dyDescent="0.2">
      <c r="A1237" s="4">
        <v>43417</v>
      </c>
      <c r="B1237" s="3">
        <v>52109.8</v>
      </c>
      <c r="C1237" s="6">
        <f t="shared" si="57"/>
        <v>-2.8680875625143754E-3</v>
      </c>
      <c r="D1237" s="7">
        <f t="shared" si="58"/>
        <v>-0.28374968688891872</v>
      </c>
      <c r="E1237" s="8">
        <f t="shared" si="59"/>
        <v>-0.75453557859506104</v>
      </c>
    </row>
    <row r="1238" spans="1:5" x14ac:dyDescent="0.2">
      <c r="A1238" s="4">
        <v>43418</v>
      </c>
      <c r="B1238" s="3">
        <v>51999.45</v>
      </c>
      <c r="C1238" s="6">
        <f t="shared" si="57"/>
        <v>-2.1198892764176186E-3</v>
      </c>
      <c r="D1238" s="7">
        <f t="shared" si="58"/>
        <v>-0.21519684654818316</v>
      </c>
      <c r="E1238" s="8">
        <f t="shared" si="59"/>
        <v>-0.71613218679569601</v>
      </c>
    </row>
    <row r="1239" spans="1:5" x14ac:dyDescent="0.2">
      <c r="A1239" s="4">
        <v>43419</v>
      </c>
      <c r="B1239" s="3">
        <v>52146.04</v>
      </c>
      <c r="C1239" s="6">
        <f t="shared" si="57"/>
        <v>2.8151021577224413E-3</v>
      </c>
      <c r="D1239" s="7">
        <f t="shared" si="58"/>
        <v>0.23696628474205786</v>
      </c>
      <c r="E1239" s="8">
        <f t="shared" si="59"/>
        <v>-0.72724118589081788</v>
      </c>
    </row>
    <row r="1240" spans="1:5" x14ac:dyDescent="0.2">
      <c r="A1240" s="4">
        <v>43420</v>
      </c>
      <c r="B1240" s="3">
        <v>52096.04</v>
      </c>
      <c r="C1240" s="6">
        <f t="shared" si="57"/>
        <v>-9.5930556708856245E-4</v>
      </c>
      <c r="D1240" s="7">
        <f t="shared" si="58"/>
        <v>-0.10885964796576809</v>
      </c>
      <c r="E1240" s="8">
        <f t="shared" si="59"/>
        <v>-0.67687070160544494</v>
      </c>
    </row>
    <row r="1241" spans="1:5" x14ac:dyDescent="0.2">
      <c r="A1241" s="4">
        <v>43423</v>
      </c>
      <c r="B1241" s="3">
        <v>52423.53</v>
      </c>
      <c r="C1241" s="6">
        <f t="shared" si="57"/>
        <v>6.2665981445810363E-3</v>
      </c>
      <c r="D1241" s="7">
        <f t="shared" si="58"/>
        <v>0.55320578665025721</v>
      </c>
      <c r="E1241" s="8">
        <f t="shared" si="59"/>
        <v>-0.99468723006132553</v>
      </c>
    </row>
    <row r="1242" spans="1:5" x14ac:dyDescent="0.2">
      <c r="A1242" s="4">
        <v>43424</v>
      </c>
      <c r="B1242" s="3">
        <v>51067.78</v>
      </c>
      <c r="C1242" s="6">
        <f t="shared" si="57"/>
        <v>-2.6201766370319127E-2</v>
      </c>
      <c r="D1242" s="7">
        <f t="shared" si="58"/>
        <v>-2.4216721970008779</v>
      </c>
      <c r="E1242" s="8">
        <f t="shared" si="59"/>
        <v>-4.0215796867395124</v>
      </c>
    </row>
    <row r="1243" spans="1:5" x14ac:dyDescent="0.2">
      <c r="A1243" s="4">
        <v>43425</v>
      </c>
      <c r="B1243" s="3">
        <v>51318.65</v>
      </c>
      <c r="C1243" s="6">
        <f t="shared" si="57"/>
        <v>4.9004639002239976E-3</v>
      </c>
      <c r="D1243" s="7">
        <f t="shared" si="58"/>
        <v>0.42803524766654671</v>
      </c>
      <c r="E1243" s="8">
        <f t="shared" si="59"/>
        <v>-0.86660570237939716</v>
      </c>
    </row>
    <row r="1244" spans="1:5" x14ac:dyDescent="0.2">
      <c r="A1244" s="4">
        <v>43426</v>
      </c>
      <c r="B1244" s="3">
        <v>51187.35</v>
      </c>
      <c r="C1244" s="6">
        <f t="shared" si="57"/>
        <v>-2.5618026614700165E-3</v>
      </c>
      <c r="D1244" s="7">
        <f t="shared" si="58"/>
        <v>-0.25568667162914221</v>
      </c>
      <c r="E1244" s="8">
        <f t="shared" si="59"/>
        <v>-0.73760756045132858</v>
      </c>
    </row>
    <row r="1245" spans="1:5" x14ac:dyDescent="0.2">
      <c r="A1245" s="4">
        <v>43427</v>
      </c>
      <c r="B1245" s="3">
        <v>50697.7</v>
      </c>
      <c r="C1245" s="6">
        <f t="shared" si="57"/>
        <v>-9.6118865294632285E-3</v>
      </c>
      <c r="D1245" s="7">
        <f t="shared" si="58"/>
        <v>-0.90164280755222492</v>
      </c>
      <c r="E1245" s="8">
        <f t="shared" si="59"/>
        <v>-1.4661414569308835</v>
      </c>
    </row>
    <row r="1246" spans="1:5" x14ac:dyDescent="0.2">
      <c r="A1246" s="4">
        <v>43430</v>
      </c>
      <c r="B1246" s="3">
        <v>51690.12</v>
      </c>
      <c r="C1246" s="6">
        <f t="shared" si="57"/>
        <v>1.9386116060863708E-2</v>
      </c>
      <c r="D1246" s="7">
        <f t="shared" si="58"/>
        <v>1.7552671035162495</v>
      </c>
      <c r="E1246" s="8">
        <f t="shared" si="59"/>
        <v>-2.9169504394226098</v>
      </c>
    </row>
    <row r="1247" spans="1:5" x14ac:dyDescent="0.2">
      <c r="A1247" s="4">
        <v>43431</v>
      </c>
      <c r="B1247" s="3">
        <v>51353.98</v>
      </c>
      <c r="C1247" s="6">
        <f t="shared" si="57"/>
        <v>-6.5242200636092783E-3</v>
      </c>
      <c r="D1247" s="7">
        <f t="shared" si="58"/>
        <v>-0.61873878305442453</v>
      </c>
      <c r="E1247" s="8">
        <f t="shared" si="59"/>
        <v>-1.0717378016148287</v>
      </c>
    </row>
    <row r="1248" spans="1:5" x14ac:dyDescent="0.2">
      <c r="A1248" s="4">
        <v>43432</v>
      </c>
      <c r="B1248" s="3">
        <v>51895.12</v>
      </c>
      <c r="C1248" s="6">
        <f t="shared" si="57"/>
        <v>1.0482318102222835E-2</v>
      </c>
      <c r="D1248" s="7">
        <f t="shared" si="58"/>
        <v>0.93946646453170501</v>
      </c>
      <c r="E1248" s="8">
        <f t="shared" si="59"/>
        <v>-1.5248119105632409</v>
      </c>
    </row>
    <row r="1249" spans="1:5" x14ac:dyDescent="0.2">
      <c r="A1249" s="4">
        <v>43433</v>
      </c>
      <c r="B1249" s="3">
        <v>51737.56</v>
      </c>
      <c r="C1249" s="6">
        <f t="shared" si="57"/>
        <v>-3.0407420014889699E-3</v>
      </c>
      <c r="D1249" s="7">
        <f t="shared" si="58"/>
        <v>-0.29956895887748625</v>
      </c>
      <c r="E1249" s="8">
        <f t="shared" si="59"/>
        <v>-0.76480139951467374</v>
      </c>
    </row>
    <row r="1250" spans="1:5" x14ac:dyDescent="0.2">
      <c r="A1250" s="4">
        <v>43434</v>
      </c>
      <c r="B1250" s="3">
        <v>50663.94</v>
      </c>
      <c r="C1250" s="6">
        <f t="shared" si="57"/>
        <v>-2.0969601834017533E-2</v>
      </c>
      <c r="D1250" s="7">
        <f t="shared" si="58"/>
        <v>-1.9422809089444422</v>
      </c>
      <c r="E1250" s="8">
        <f t="shared" si="59"/>
        <v>-3.2372993834882076</v>
      </c>
    </row>
    <row r="1251" spans="1:5" x14ac:dyDescent="0.2">
      <c r="A1251" s="4">
        <v>43437</v>
      </c>
      <c r="B1251" s="3">
        <v>52079.22</v>
      </c>
      <c r="C1251" s="6">
        <f t="shared" si="57"/>
        <v>2.7551605889061314E-2</v>
      </c>
      <c r="D1251" s="7">
        <f t="shared" si="58"/>
        <v>2.5034210767317693</v>
      </c>
      <c r="E1251" s="8">
        <f t="shared" si="59"/>
        <v>-4.1490909457112295</v>
      </c>
    </row>
    <row r="1252" spans="1:5" x14ac:dyDescent="0.2">
      <c r="A1252" s="4">
        <v>43438</v>
      </c>
      <c r="B1252" s="3">
        <v>52234.55</v>
      </c>
      <c r="C1252" s="6">
        <f t="shared" si="57"/>
        <v>2.9781325093579032E-3</v>
      </c>
      <c r="D1252" s="7">
        <f t="shared" si="58"/>
        <v>0.25190376037390461</v>
      </c>
      <c r="E1252" s="8">
        <f t="shared" si="59"/>
        <v>-0.73545261020213282</v>
      </c>
    </row>
    <row r="1253" spans="1:5" x14ac:dyDescent="0.2">
      <c r="A1253" s="4">
        <v>43439</v>
      </c>
      <c r="B1253" s="3">
        <v>51709.16</v>
      </c>
      <c r="C1253" s="6">
        <f t="shared" si="57"/>
        <v>-1.0109211502949607E-2</v>
      </c>
      <c r="D1253" s="7">
        <f t="shared" si="58"/>
        <v>-0.94720965812967106</v>
      </c>
      <c r="E1253" s="8">
        <f t="shared" si="59"/>
        <v>-1.536956794752395</v>
      </c>
    </row>
    <row r="1254" spans="1:5" x14ac:dyDescent="0.2">
      <c r="A1254" s="4">
        <v>43440</v>
      </c>
      <c r="B1254" s="3">
        <v>50806.06</v>
      </c>
      <c r="C1254" s="6">
        <f t="shared" si="57"/>
        <v>-1.7619303027667989E-2</v>
      </c>
      <c r="D1254" s="7">
        <f t="shared" si="58"/>
        <v>-1.6353134867606707</v>
      </c>
      <c r="E1254" s="8">
        <f t="shared" si="59"/>
        <v>-2.7086744694411404</v>
      </c>
    </row>
    <row r="1255" spans="1:5" x14ac:dyDescent="0.2">
      <c r="A1255" s="4">
        <v>43441</v>
      </c>
      <c r="B1255" s="3">
        <v>51037.69</v>
      </c>
      <c r="C1255" s="6">
        <f t="shared" si="57"/>
        <v>4.5487405832696772E-3</v>
      </c>
      <c r="D1255" s="7">
        <f t="shared" si="58"/>
        <v>0.39580898781092688</v>
      </c>
      <c r="E1255" s="8">
        <f t="shared" si="59"/>
        <v>-0.83808567505113829</v>
      </c>
    </row>
    <row r="1256" spans="1:5" x14ac:dyDescent="0.2">
      <c r="A1256" s="4">
        <v>43444</v>
      </c>
      <c r="B1256" s="3">
        <v>50434.39</v>
      </c>
      <c r="C1256" s="6">
        <f t="shared" si="57"/>
        <v>-1.1891095733439818E-2</v>
      </c>
      <c r="D1256" s="7">
        <f t="shared" si="58"/>
        <v>-1.1104728297091273</v>
      </c>
      <c r="E1256" s="8">
        <f t="shared" si="59"/>
        <v>-1.8018880247623841</v>
      </c>
    </row>
    <row r="1257" spans="1:5" x14ac:dyDescent="0.2">
      <c r="A1257" s="4">
        <v>43445</v>
      </c>
      <c r="B1257" s="3">
        <v>51187.99</v>
      </c>
      <c r="C1257" s="6">
        <f t="shared" si="57"/>
        <v>1.4831650558840562E-2</v>
      </c>
      <c r="D1257" s="7">
        <f t="shared" si="58"/>
        <v>1.337969239835759</v>
      </c>
      <c r="E1257" s="8">
        <f t="shared" si="59"/>
        <v>-2.1899977129757975</v>
      </c>
    </row>
    <row r="1258" spans="1:5" x14ac:dyDescent="0.2">
      <c r="A1258" s="4">
        <v>43446</v>
      </c>
      <c r="B1258" s="3">
        <v>51598.1</v>
      </c>
      <c r="C1258" s="6">
        <f t="shared" si="57"/>
        <v>7.9799158871118412E-3</v>
      </c>
      <c r="D1258" s="7">
        <f t="shared" si="58"/>
        <v>0.71018662961556012</v>
      </c>
      <c r="E1258" s="8">
        <f t="shared" si="59"/>
        <v>-1.1892551978522923</v>
      </c>
    </row>
    <row r="1259" spans="1:5" x14ac:dyDescent="0.2">
      <c r="A1259" s="4">
        <v>43447</v>
      </c>
      <c r="B1259" s="3">
        <v>51744.160000000003</v>
      </c>
      <c r="C1259" s="6">
        <f t="shared" si="57"/>
        <v>2.8267254317099972E-3</v>
      </c>
      <c r="D1259" s="7">
        <f t="shared" si="58"/>
        <v>0.23803125436403116</v>
      </c>
      <c r="E1259" s="8">
        <f t="shared" si="59"/>
        <v>-0.7278108298067163</v>
      </c>
    </row>
    <row r="1260" spans="1:5" x14ac:dyDescent="0.2">
      <c r="A1260" s="4">
        <v>43448</v>
      </c>
      <c r="B1260" s="3">
        <v>51560.47</v>
      </c>
      <c r="C1260" s="6">
        <f t="shared" si="57"/>
        <v>-3.5562819129417856E-3</v>
      </c>
      <c r="D1260" s="7">
        <f t="shared" si="58"/>
        <v>-0.3468047329975722</v>
      </c>
      <c r="E1260" s="8">
        <f t="shared" si="59"/>
        <v>-0.79848729014131581</v>
      </c>
    </row>
    <row r="1261" spans="1:5" x14ac:dyDescent="0.2">
      <c r="A1261" s="4">
        <v>43452</v>
      </c>
      <c r="B1261" s="3">
        <v>51237.08</v>
      </c>
      <c r="C1261" s="6">
        <f t="shared" si="57"/>
        <v>-6.2918049473129518E-3</v>
      </c>
      <c r="D1261" s="7">
        <f t="shared" si="58"/>
        <v>-0.59744400511079376</v>
      </c>
      <c r="E1261" s="8">
        <f t="shared" si="59"/>
        <v>-1.046005136933094</v>
      </c>
    </row>
    <row r="1262" spans="1:5" x14ac:dyDescent="0.2">
      <c r="A1262" s="4">
        <v>43453</v>
      </c>
      <c r="B1262" s="3">
        <v>51569.77</v>
      </c>
      <c r="C1262" s="6">
        <f t="shared" si="57"/>
        <v>6.4721594199720388E-3</v>
      </c>
      <c r="D1262" s="7">
        <f t="shared" si="58"/>
        <v>0.57204011112543385</v>
      </c>
      <c r="E1262" s="8">
        <f t="shared" si="59"/>
        <v>-1.0161743520393993</v>
      </c>
    </row>
    <row r="1263" spans="1:5" x14ac:dyDescent="0.2">
      <c r="A1263" s="4">
        <v>43454</v>
      </c>
      <c r="B1263" s="3">
        <v>51347.57</v>
      </c>
      <c r="C1263" s="6">
        <f t="shared" si="57"/>
        <v>-4.3180351387056308E-3</v>
      </c>
      <c r="D1263" s="7">
        <f t="shared" si="58"/>
        <v>-0.41659952969144753</v>
      </c>
      <c r="E1263" s="8">
        <f t="shared" si="59"/>
        <v>-0.85626528959875192</v>
      </c>
    </row>
    <row r="1264" spans="1:5" x14ac:dyDescent="0.2">
      <c r="A1264" s="4">
        <v>43455</v>
      </c>
      <c r="B1264" s="3">
        <v>51430.36</v>
      </c>
      <c r="C1264" s="6">
        <f t="shared" si="57"/>
        <v>1.6110466110104461E-3</v>
      </c>
      <c r="D1264" s="7">
        <f t="shared" si="58"/>
        <v>0.12664602714599829</v>
      </c>
      <c r="E1264" s="8">
        <f t="shared" si="59"/>
        <v>-0.68167444924905096</v>
      </c>
    </row>
    <row r="1265" spans="1:5" x14ac:dyDescent="0.2">
      <c r="A1265" s="4">
        <v>43458</v>
      </c>
      <c r="B1265" s="3">
        <v>52081.11</v>
      </c>
      <c r="C1265" s="6">
        <f t="shared" si="57"/>
        <v>1.2573651469355226E-2</v>
      </c>
      <c r="D1265" s="7">
        <f t="shared" si="58"/>
        <v>1.1310825709574548</v>
      </c>
      <c r="E1265" s="8">
        <f t="shared" si="59"/>
        <v>-1.8363316693992937</v>
      </c>
    </row>
    <row r="1266" spans="1:5" x14ac:dyDescent="0.2">
      <c r="A1266" s="4">
        <v>43461</v>
      </c>
      <c r="B1266" s="3">
        <v>51551.71</v>
      </c>
      <c r="C1266" s="6">
        <f t="shared" si="57"/>
        <v>-1.0216929446459065E-2</v>
      </c>
      <c r="D1266" s="7">
        <f t="shared" si="58"/>
        <v>-0.95707919555104037</v>
      </c>
      <c r="E1266" s="8">
        <f t="shared" si="59"/>
        <v>-1.5524997665493976</v>
      </c>
    </row>
    <row r="1267" spans="1:5" x14ac:dyDescent="0.2">
      <c r="A1267" s="4">
        <v>43462</v>
      </c>
      <c r="B1267" s="3">
        <v>52444.89</v>
      </c>
      <c r="C1267" s="6">
        <f t="shared" si="57"/>
        <v>1.7177522385175538E-2</v>
      </c>
      <c r="D1267" s="7">
        <f t="shared" si="58"/>
        <v>1.5529071510270909</v>
      </c>
      <c r="E1267" s="8">
        <f t="shared" si="59"/>
        <v>-2.5648604638475128</v>
      </c>
    </row>
    <row r="1268" spans="1:5" x14ac:dyDescent="0.2">
      <c r="A1268" s="4">
        <v>43465</v>
      </c>
      <c r="B1268" s="3">
        <v>52736.86</v>
      </c>
      <c r="C1268" s="6">
        <f t="shared" si="57"/>
        <v>5.5517378237103813E-3</v>
      </c>
      <c r="D1268" s="7">
        <f t="shared" si="58"/>
        <v>0.48770750049642392</v>
      </c>
      <c r="E1268" s="8">
        <f t="shared" si="59"/>
        <v>-0.92435644387042892</v>
      </c>
    </row>
    <row r="1269" spans="1:5" x14ac:dyDescent="0.2">
      <c r="A1269" s="4">
        <v>43467</v>
      </c>
      <c r="B1269" s="3">
        <v>51264.06</v>
      </c>
      <c r="C1269" s="6">
        <f t="shared" si="57"/>
        <v>-2.8324719942475259E-2</v>
      </c>
      <c r="D1269" s="7">
        <f t="shared" si="58"/>
        <v>-2.6161854697350968</v>
      </c>
      <c r="E1269" s="8">
        <f t="shared" si="59"/>
        <v>-4.3218322218633833</v>
      </c>
    </row>
    <row r="1270" spans="1:5" x14ac:dyDescent="0.2">
      <c r="A1270" s="4">
        <v>43468</v>
      </c>
      <c r="B1270" s="3">
        <v>51669.94</v>
      </c>
      <c r="C1270" s="6">
        <f t="shared" si="57"/>
        <v>7.8862592258196369E-3</v>
      </c>
      <c r="D1270" s="7">
        <f t="shared" si="58"/>
        <v>0.70160544162339655</v>
      </c>
      <c r="E1270" s="8">
        <f t="shared" si="59"/>
        <v>-1.1777714504347327</v>
      </c>
    </row>
    <row r="1271" spans="1:5" x14ac:dyDescent="0.2">
      <c r="A1271" s="4">
        <v>43469</v>
      </c>
      <c r="B1271" s="3">
        <v>52202.95</v>
      </c>
      <c r="C1271" s="6">
        <f t="shared" si="57"/>
        <v>1.0262825618718389E-2</v>
      </c>
      <c r="D1271" s="7">
        <f t="shared" si="58"/>
        <v>0.91935570852320225</v>
      </c>
      <c r="E1271" s="8">
        <f t="shared" si="59"/>
        <v>-1.4934785842630587</v>
      </c>
    </row>
    <row r="1272" spans="1:5" x14ac:dyDescent="0.2">
      <c r="A1272" s="4">
        <v>43472</v>
      </c>
      <c r="B1272" s="3">
        <v>51959.3</v>
      </c>
      <c r="C1272" s="6">
        <f t="shared" si="57"/>
        <v>-4.6782868915427279E-3</v>
      </c>
      <c r="D1272" s="7">
        <f t="shared" si="58"/>
        <v>-0.44960719805105931</v>
      </c>
      <c r="E1272" s="8">
        <f t="shared" si="59"/>
        <v>-0.88675734641290538</v>
      </c>
    </row>
    <row r="1273" spans="1:5" x14ac:dyDescent="0.2">
      <c r="A1273" s="4">
        <v>43473</v>
      </c>
      <c r="B1273" s="3">
        <v>52165.47</v>
      </c>
      <c r="C1273" s="6">
        <f t="shared" si="57"/>
        <v>3.9600619416745525E-3</v>
      </c>
      <c r="D1273" s="7">
        <f t="shared" si="58"/>
        <v>0.34187195844428525</v>
      </c>
      <c r="E1273" s="8">
        <f t="shared" si="59"/>
        <v>-0.79476041073474757</v>
      </c>
    </row>
    <row r="1274" spans="1:5" x14ac:dyDescent="0.2">
      <c r="A1274" s="4">
        <v>43474</v>
      </c>
      <c r="B1274" s="3">
        <v>53222.89</v>
      </c>
      <c r="C1274" s="6">
        <f t="shared" si="57"/>
        <v>2.006778521697946E-2</v>
      </c>
      <c r="D1274" s="7">
        <f t="shared" si="58"/>
        <v>1.81772428591397</v>
      </c>
      <c r="E1274" s="8">
        <f t="shared" si="59"/>
        <v>-3.0246293056436442</v>
      </c>
    </row>
    <row r="1275" spans="1:5" x14ac:dyDescent="0.2">
      <c r="A1275" s="4">
        <v>43475</v>
      </c>
      <c r="B1275" s="3">
        <v>53271.02</v>
      </c>
      <c r="C1275" s="6">
        <f t="shared" si="57"/>
        <v>9.0390151468757991E-4</v>
      </c>
      <c r="D1275" s="7">
        <f t="shared" si="58"/>
        <v>6.1854639907126016E-2</v>
      </c>
      <c r="E1275" s="8">
        <f t="shared" si="59"/>
        <v>-0.66764379692892062</v>
      </c>
    </row>
    <row r="1276" spans="1:5" x14ac:dyDescent="0.2">
      <c r="A1276" s="4">
        <v>43476</v>
      </c>
      <c r="B1276" s="3">
        <v>53653.38</v>
      </c>
      <c r="C1276" s="6">
        <f t="shared" si="57"/>
        <v>7.1519995406674908E-3</v>
      </c>
      <c r="D1276" s="7">
        <f t="shared" si="58"/>
        <v>0.63432971017596518</v>
      </c>
      <c r="E1276" s="8">
        <f t="shared" si="59"/>
        <v>-1.0909851363130516</v>
      </c>
    </row>
    <row r="1277" spans="1:5" x14ac:dyDescent="0.2">
      <c r="A1277" s="4">
        <v>43479</v>
      </c>
      <c r="B1277" s="3">
        <v>53485.59</v>
      </c>
      <c r="C1277" s="6">
        <f t="shared" si="57"/>
        <v>-3.1321961967234724E-3</v>
      </c>
      <c r="D1277" s="7">
        <f t="shared" si="58"/>
        <v>-0.30794834835338053</v>
      </c>
      <c r="E1277" s="8">
        <f t="shared" si="59"/>
        <v>-0.77044774284839934</v>
      </c>
    </row>
    <row r="1278" spans="1:5" x14ac:dyDescent="0.2">
      <c r="A1278" s="4">
        <v>43480</v>
      </c>
      <c r="B1278" s="3">
        <v>53533.54</v>
      </c>
      <c r="C1278" s="6">
        <f t="shared" si="57"/>
        <v>8.9610153266337451E-4</v>
      </c>
      <c r="D1278" s="7">
        <f t="shared" si="58"/>
        <v>6.1139975182143196E-2</v>
      </c>
      <c r="E1278" s="8">
        <f t="shared" si="59"/>
        <v>-0.66754254673073699</v>
      </c>
    </row>
    <row r="1279" spans="1:5" x14ac:dyDescent="0.2">
      <c r="A1279" s="4">
        <v>43481</v>
      </c>
      <c r="B1279" s="3">
        <v>53786.74</v>
      </c>
      <c r="C1279" s="6">
        <f t="shared" si="57"/>
        <v>4.7185950277851309E-3</v>
      </c>
      <c r="D1279" s="7">
        <f t="shared" si="58"/>
        <v>0.41137171340440204</v>
      </c>
      <c r="E1279" s="8">
        <f t="shared" si="59"/>
        <v>-0.85161831088199036</v>
      </c>
    </row>
    <row r="1280" spans="1:5" x14ac:dyDescent="0.2">
      <c r="A1280" s="4">
        <v>43482</v>
      </c>
      <c r="B1280" s="3">
        <v>53436.21</v>
      </c>
      <c r="C1280" s="6">
        <f t="shared" si="57"/>
        <v>-6.5383623332048394E-3</v>
      </c>
      <c r="D1280" s="7">
        <f t="shared" si="58"/>
        <v>-0.62003455286258302</v>
      </c>
      <c r="E1280" s="8">
        <f t="shared" si="59"/>
        <v>-1.0733244956910117</v>
      </c>
    </row>
    <row r="1281" spans="1:5" x14ac:dyDescent="0.2">
      <c r="A1281" s="4">
        <v>43483</v>
      </c>
      <c r="B1281" s="3">
        <v>53731.5</v>
      </c>
      <c r="C1281" s="6">
        <f t="shared" si="57"/>
        <v>5.5108156609297403E-3</v>
      </c>
      <c r="D1281" s="7">
        <f t="shared" si="58"/>
        <v>0.48395805259788105</v>
      </c>
      <c r="E1281" s="8">
        <f t="shared" si="59"/>
        <v>-0.92054508615170605</v>
      </c>
    </row>
    <row r="1282" spans="1:5" x14ac:dyDescent="0.2">
      <c r="A1282" s="4">
        <v>43486</v>
      </c>
      <c r="B1282" s="3">
        <v>54139.05</v>
      </c>
      <c r="C1282" s="6">
        <f t="shared" si="57"/>
        <v>7.5563152164437606E-3</v>
      </c>
      <c r="D1282" s="7">
        <f t="shared" si="58"/>
        <v>0.6713746867333733</v>
      </c>
      <c r="E1282" s="8">
        <f t="shared" si="59"/>
        <v>-1.1380453701474971</v>
      </c>
    </row>
    <row r="1283" spans="1:5" x14ac:dyDescent="0.2">
      <c r="A1283" s="4">
        <v>43487</v>
      </c>
      <c r="B1283" s="3">
        <v>54078.37</v>
      </c>
      <c r="C1283" s="6">
        <f t="shared" ref="C1283:C1346" si="60">LN(B1283/B1282)</f>
        <v>-1.1214461841628804E-3</v>
      </c>
      <c r="D1283" s="7">
        <f t="shared" ref="D1283:D1346" si="61">(C1283-$G$4)/$G$5</f>
        <v>-0.12371560265263387</v>
      </c>
      <c r="E1283" s="8">
        <f t="shared" ref="E1283:E1346" si="62">LN((PI()*(G$3-2))^(-1/2)*EXP(GAMMALN((G$3+1)/2))*((1+D1283^2/(G$3-2))^(-(G$3+1)/2))/EXP(GAMMALN(G$3/2)))</f>
        <v>-0.68083370377108776</v>
      </c>
    </row>
    <row r="1284" spans="1:5" x14ac:dyDescent="0.2">
      <c r="A1284" s="4">
        <v>43488</v>
      </c>
      <c r="B1284" s="3">
        <v>53915.15</v>
      </c>
      <c r="C1284" s="6">
        <f t="shared" si="60"/>
        <v>-3.022776260664673E-3</v>
      </c>
      <c r="D1284" s="7">
        <f t="shared" si="61"/>
        <v>-0.29792286774734461</v>
      </c>
      <c r="E1284" s="8">
        <f t="shared" si="62"/>
        <v>-0.7637091171010586</v>
      </c>
    </row>
    <row r="1285" spans="1:5" x14ac:dyDescent="0.2">
      <c r="A1285" s="4">
        <v>43489</v>
      </c>
      <c r="B1285" s="3">
        <v>53639.09</v>
      </c>
      <c r="C1285" s="6">
        <f t="shared" si="60"/>
        <v>-5.1334211692220721E-3</v>
      </c>
      <c r="D1285" s="7">
        <f t="shared" si="61"/>
        <v>-0.49130837279461276</v>
      </c>
      <c r="E1285" s="8">
        <f t="shared" si="62"/>
        <v>-0.92803924521867875</v>
      </c>
    </row>
    <row r="1286" spans="1:5" x14ac:dyDescent="0.2">
      <c r="A1286" s="4">
        <v>43490</v>
      </c>
      <c r="B1286" s="3">
        <v>54050.23</v>
      </c>
      <c r="C1286" s="6">
        <f t="shared" si="60"/>
        <v>7.6357060772697461E-3</v>
      </c>
      <c r="D1286" s="7">
        <f t="shared" si="61"/>
        <v>0.67864878653799843</v>
      </c>
      <c r="E1286" s="8">
        <f t="shared" si="62"/>
        <v>-1.1474983816202402</v>
      </c>
    </row>
    <row r="1287" spans="1:5" x14ac:dyDescent="0.2">
      <c r="A1287" s="4">
        <v>43493</v>
      </c>
      <c r="B1287" s="3">
        <v>53767.47</v>
      </c>
      <c r="C1287" s="6">
        <f t="shared" si="60"/>
        <v>-5.2451619403422771E-3</v>
      </c>
      <c r="D1287" s="7">
        <f t="shared" si="61"/>
        <v>-0.50154649734594792</v>
      </c>
      <c r="E1287" s="8">
        <f t="shared" si="62"/>
        <v>-0.93862973219180401</v>
      </c>
    </row>
    <row r="1288" spans="1:5" x14ac:dyDescent="0.2">
      <c r="A1288" s="4">
        <v>43494</v>
      </c>
      <c r="B1288" s="3">
        <v>54387.7</v>
      </c>
      <c r="C1288" s="6">
        <f t="shared" si="60"/>
        <v>1.1469387900626554E-2</v>
      </c>
      <c r="D1288" s="7">
        <f t="shared" si="61"/>
        <v>1.0299056429587745</v>
      </c>
      <c r="E1288" s="8">
        <f t="shared" si="62"/>
        <v>-1.6692089290566445</v>
      </c>
    </row>
    <row r="1289" spans="1:5" x14ac:dyDescent="0.2">
      <c r="A1289" s="4">
        <v>43495</v>
      </c>
      <c r="B1289" s="3">
        <v>54131.67</v>
      </c>
      <c r="C1289" s="6">
        <f t="shared" si="60"/>
        <v>-4.7186133691858624E-3</v>
      </c>
      <c r="D1289" s="7">
        <f t="shared" si="61"/>
        <v>-0.4533020669577979</v>
      </c>
      <c r="E1289" s="8">
        <f t="shared" si="62"/>
        <v>-0.89029246991981248</v>
      </c>
    </row>
    <row r="1290" spans="1:5" x14ac:dyDescent="0.2">
      <c r="A1290" s="4">
        <v>43496</v>
      </c>
      <c r="B1290" s="3">
        <v>54156.75</v>
      </c>
      <c r="C1290" s="6">
        <f t="shared" si="60"/>
        <v>4.6320743156901689E-4</v>
      </c>
      <c r="D1290" s="7">
        <f t="shared" si="61"/>
        <v>2.1476532017118306E-2</v>
      </c>
      <c r="E1290" s="8">
        <f t="shared" si="62"/>
        <v>-0.66376523522750841</v>
      </c>
    </row>
    <row r="1291" spans="1:5" x14ac:dyDescent="0.2">
      <c r="A1291" s="4">
        <v>43497</v>
      </c>
      <c r="B1291" s="3">
        <v>53930.14</v>
      </c>
      <c r="C1291" s="6">
        <f t="shared" si="60"/>
        <v>-4.1931141144908373E-3</v>
      </c>
      <c r="D1291" s="7">
        <f t="shared" si="61"/>
        <v>-0.40515377902971661</v>
      </c>
      <c r="E1291" s="8">
        <f t="shared" si="62"/>
        <v>-0.84615721078078221</v>
      </c>
    </row>
    <row r="1292" spans="1:5" x14ac:dyDescent="0.2">
      <c r="A1292" s="4">
        <v>43500</v>
      </c>
      <c r="B1292" s="3">
        <v>53391.83</v>
      </c>
      <c r="C1292" s="6">
        <f t="shared" si="60"/>
        <v>-1.0031767297142429E-2</v>
      </c>
      <c r="D1292" s="7">
        <f t="shared" si="61"/>
        <v>-0.94011391843784298</v>
      </c>
      <c r="E1292" s="8">
        <f t="shared" si="62"/>
        <v>-1.5258257265215354</v>
      </c>
    </row>
    <row r="1293" spans="1:5" x14ac:dyDescent="0.2">
      <c r="A1293" s="4">
        <v>43501</v>
      </c>
      <c r="B1293" s="3">
        <v>54209.41</v>
      </c>
      <c r="C1293" s="6">
        <f t="shared" si="60"/>
        <v>1.5196771605861739E-2</v>
      </c>
      <c r="D1293" s="7">
        <f t="shared" si="61"/>
        <v>1.3714230518887955</v>
      </c>
      <c r="E1293" s="8">
        <f t="shared" si="62"/>
        <v>-2.2480989278296257</v>
      </c>
    </row>
    <row r="1294" spans="1:5" x14ac:dyDescent="0.2">
      <c r="A1294" s="4">
        <v>43502</v>
      </c>
      <c r="B1294" s="3">
        <v>54574.28</v>
      </c>
      <c r="C1294" s="6">
        <f t="shared" si="60"/>
        <v>6.7081998829019362E-3</v>
      </c>
      <c r="D1294" s="7">
        <f t="shared" si="61"/>
        <v>0.59366705744417225</v>
      </c>
      <c r="E1294" s="8">
        <f t="shared" si="62"/>
        <v>-1.041509540761443</v>
      </c>
    </row>
    <row r="1295" spans="1:5" x14ac:dyDescent="0.2">
      <c r="A1295" s="4">
        <v>43503</v>
      </c>
      <c r="B1295" s="3">
        <v>53888.85</v>
      </c>
      <c r="C1295" s="6">
        <f t="shared" si="60"/>
        <v>-1.263911754359141E-2</v>
      </c>
      <c r="D1295" s="7">
        <f t="shared" si="61"/>
        <v>-1.1790095006365968</v>
      </c>
      <c r="E1295" s="8">
        <f t="shared" si="62"/>
        <v>-1.9170982197781414</v>
      </c>
    </row>
    <row r="1296" spans="1:5" x14ac:dyDescent="0.2">
      <c r="A1296" s="4">
        <v>43504</v>
      </c>
      <c r="B1296" s="3">
        <v>53244.18</v>
      </c>
      <c r="C1296" s="6">
        <f t="shared" si="60"/>
        <v>-1.203508910985069E-2</v>
      </c>
      <c r="D1296" s="7">
        <f t="shared" si="61"/>
        <v>-1.1236660635438562</v>
      </c>
      <c r="E1296" s="8">
        <f t="shared" si="62"/>
        <v>-1.8239157069314686</v>
      </c>
    </row>
    <row r="1297" spans="1:5" x14ac:dyDescent="0.2">
      <c r="A1297" s="4">
        <v>43507</v>
      </c>
      <c r="B1297" s="3">
        <v>53409.14</v>
      </c>
      <c r="C1297" s="6">
        <f t="shared" si="60"/>
        <v>3.0933895267889772E-3</v>
      </c>
      <c r="D1297" s="7">
        <f t="shared" si="61"/>
        <v>0.26246405710396153</v>
      </c>
      <c r="E1297" s="8">
        <f t="shared" si="62"/>
        <v>-0.74154411483857519</v>
      </c>
    </row>
    <row r="1298" spans="1:5" x14ac:dyDescent="0.2">
      <c r="A1298" s="4">
        <v>43508</v>
      </c>
      <c r="B1298" s="3">
        <v>53960.51</v>
      </c>
      <c r="C1298" s="6">
        <f t="shared" si="60"/>
        <v>1.027059037194851E-2</v>
      </c>
      <c r="D1298" s="7">
        <f t="shared" si="61"/>
        <v>0.92006714544889556</v>
      </c>
      <c r="E1298" s="8">
        <f t="shared" si="62"/>
        <v>-1.4945817494443558</v>
      </c>
    </row>
    <row r="1299" spans="1:5" x14ac:dyDescent="0.2">
      <c r="A1299" s="4">
        <v>43509</v>
      </c>
      <c r="B1299" s="3">
        <v>54543.22</v>
      </c>
      <c r="C1299" s="6">
        <f t="shared" si="60"/>
        <v>1.0740932171546588E-2</v>
      </c>
      <c r="D1299" s="7">
        <f t="shared" si="61"/>
        <v>0.96316169256638462</v>
      </c>
      <c r="E1299" s="8">
        <f t="shared" si="62"/>
        <v>-1.5621132075104585</v>
      </c>
    </row>
    <row r="1300" spans="1:5" x14ac:dyDescent="0.2">
      <c r="A1300" s="4">
        <v>43510</v>
      </c>
      <c r="B1300" s="3">
        <v>54527.11</v>
      </c>
      <c r="C1300" s="6">
        <f t="shared" si="60"/>
        <v>-2.9540572797666592E-4</v>
      </c>
      <c r="D1300" s="7">
        <f t="shared" si="61"/>
        <v>-4.8030559582916264E-2</v>
      </c>
      <c r="E1300" s="8">
        <f t="shared" si="62"/>
        <v>-0.66589347411857081</v>
      </c>
    </row>
    <row r="1301" spans="1:5" x14ac:dyDescent="0.2">
      <c r="A1301" s="4">
        <v>43511</v>
      </c>
      <c r="B1301" s="3">
        <v>54628.41</v>
      </c>
      <c r="C1301" s="6">
        <f t="shared" si="60"/>
        <v>1.8560679126707774E-3</v>
      </c>
      <c r="D1301" s="7">
        <f t="shared" si="61"/>
        <v>0.14909583287921768</v>
      </c>
      <c r="E1301" s="8">
        <f t="shared" si="62"/>
        <v>-0.68875768004430704</v>
      </c>
    </row>
    <row r="1302" spans="1:5" x14ac:dyDescent="0.2">
      <c r="A1302" s="4">
        <v>43514</v>
      </c>
      <c r="B1302" s="3">
        <v>55259.98</v>
      </c>
      <c r="C1302" s="6">
        <f t="shared" si="60"/>
        <v>1.1494880473115199E-2</v>
      </c>
      <c r="D1302" s="7">
        <f t="shared" si="61"/>
        <v>1.0322413717143235</v>
      </c>
      <c r="E1302" s="8">
        <f t="shared" si="62"/>
        <v>-1.6730065647173056</v>
      </c>
    </row>
    <row r="1303" spans="1:5" x14ac:dyDescent="0.2">
      <c r="A1303" s="4">
        <v>43515</v>
      </c>
      <c r="B1303" s="3">
        <v>55194.62</v>
      </c>
      <c r="C1303" s="6">
        <f t="shared" si="60"/>
        <v>-1.1834728047295819E-3</v>
      </c>
      <c r="D1303" s="7">
        <f t="shared" si="61"/>
        <v>-0.12939872315103421</v>
      </c>
      <c r="E1303" s="8">
        <f t="shared" si="62"/>
        <v>-0.68248187977328567</v>
      </c>
    </row>
    <row r="1304" spans="1:5" x14ac:dyDescent="0.2">
      <c r="A1304" s="4">
        <v>43516</v>
      </c>
      <c r="B1304" s="3">
        <v>55691.58</v>
      </c>
      <c r="C1304" s="6">
        <f t="shared" si="60"/>
        <v>8.9634837754401422E-3</v>
      </c>
      <c r="D1304" s="7">
        <f t="shared" si="61"/>
        <v>0.80030494940562291</v>
      </c>
      <c r="E1304" s="8">
        <f t="shared" si="62"/>
        <v>-1.3149744158532264</v>
      </c>
    </row>
    <row r="1305" spans="1:5" x14ac:dyDescent="0.2">
      <c r="A1305" s="4">
        <v>43517</v>
      </c>
      <c r="B1305" s="3">
        <v>55483.79</v>
      </c>
      <c r="C1305" s="6">
        <f t="shared" si="60"/>
        <v>-3.73806252151019E-3</v>
      </c>
      <c r="D1305" s="7">
        <f t="shared" si="61"/>
        <v>-0.36346018018021919</v>
      </c>
      <c r="E1305" s="8">
        <f t="shared" si="62"/>
        <v>-0.81142471921599257</v>
      </c>
    </row>
    <row r="1306" spans="1:5" x14ac:dyDescent="0.2">
      <c r="A1306" s="4">
        <v>43518</v>
      </c>
      <c r="B1306" s="3">
        <v>55992.97</v>
      </c>
      <c r="C1306" s="6">
        <f t="shared" si="60"/>
        <v>9.1352411216340124E-3</v>
      </c>
      <c r="D1306" s="7">
        <f t="shared" si="61"/>
        <v>0.81604202626047972</v>
      </c>
      <c r="E1306" s="8">
        <f t="shared" si="62"/>
        <v>-1.3378189210255147</v>
      </c>
    </row>
    <row r="1307" spans="1:5" x14ac:dyDescent="0.2">
      <c r="A1307" s="4">
        <v>43521</v>
      </c>
      <c r="B1307" s="3">
        <v>55878.2</v>
      </c>
      <c r="C1307" s="6">
        <f t="shared" si="60"/>
        <v>-2.0518251532547012E-3</v>
      </c>
      <c r="D1307" s="7">
        <f t="shared" si="61"/>
        <v>-0.20896054655281507</v>
      </c>
      <c r="E1307" s="8">
        <f t="shared" si="62"/>
        <v>-0.71313893189411626</v>
      </c>
    </row>
    <row r="1308" spans="1:5" x14ac:dyDescent="0.2">
      <c r="A1308" s="4">
        <v>43522</v>
      </c>
      <c r="B1308" s="3">
        <v>56242.8</v>
      </c>
      <c r="C1308" s="6">
        <f t="shared" si="60"/>
        <v>6.5037109044887367E-3</v>
      </c>
      <c r="D1308" s="7">
        <f t="shared" si="61"/>
        <v>0.57493098099346063</v>
      </c>
      <c r="E1308" s="8">
        <f t="shared" si="62"/>
        <v>-1.0195203516460309</v>
      </c>
    </row>
    <row r="1309" spans="1:5" x14ac:dyDescent="0.2">
      <c r="A1309" s="4">
        <v>43523</v>
      </c>
      <c r="B1309" s="3">
        <v>56297.95</v>
      </c>
      <c r="C1309" s="6">
        <f t="shared" si="60"/>
        <v>9.800895127255614E-4</v>
      </c>
      <c r="D1309" s="7">
        <f t="shared" si="61"/>
        <v>6.883528095166136E-2</v>
      </c>
      <c r="E1309" s="8">
        <f t="shared" si="62"/>
        <v>-0.66869442826023184</v>
      </c>
    </row>
    <row r="1310" spans="1:5" x14ac:dyDescent="0.2">
      <c r="A1310" s="4">
        <v>43524</v>
      </c>
      <c r="B1310" s="3">
        <v>56002.080000000002</v>
      </c>
      <c r="C1310" s="6">
        <f t="shared" si="60"/>
        <v>-5.2692895020428013E-3</v>
      </c>
      <c r="D1310" s="7">
        <f t="shared" si="61"/>
        <v>-0.50375715849794822</v>
      </c>
      <c r="E1310" s="8">
        <f t="shared" si="62"/>
        <v>-0.94093951562611111</v>
      </c>
    </row>
    <row r="1311" spans="1:5" x14ac:dyDescent="0.2">
      <c r="A1311" s="4">
        <v>43525</v>
      </c>
      <c r="B1311" s="3">
        <v>56203.11</v>
      </c>
      <c r="C1311" s="6">
        <f t="shared" si="60"/>
        <v>3.5832605443289448E-3</v>
      </c>
      <c r="D1311" s="7">
        <f t="shared" si="61"/>
        <v>0.30734794721304454</v>
      </c>
      <c r="E1311" s="8">
        <f t="shared" si="62"/>
        <v>-0.77003839496243298</v>
      </c>
    </row>
    <row r="1312" spans="1:5" x14ac:dyDescent="0.2">
      <c r="A1312" s="4">
        <v>43528</v>
      </c>
      <c r="B1312" s="3">
        <v>56217.13</v>
      </c>
      <c r="C1312" s="6">
        <f t="shared" si="60"/>
        <v>2.4942127988132672E-4</v>
      </c>
      <c r="D1312" s="7">
        <f t="shared" si="61"/>
        <v>1.8886123492413414E-3</v>
      </c>
      <c r="E1312" s="8">
        <f t="shared" si="62"/>
        <v>-0.6632372332591262</v>
      </c>
    </row>
    <row r="1313" spans="1:5" x14ac:dyDescent="0.2">
      <c r="A1313" s="4">
        <v>43529</v>
      </c>
      <c r="B1313" s="3">
        <v>55815.43</v>
      </c>
      <c r="C1313" s="6">
        <f t="shared" si="60"/>
        <v>-7.1711602674876165E-3</v>
      </c>
      <c r="D1313" s="7">
        <f t="shared" si="61"/>
        <v>-0.67801396361897792</v>
      </c>
      <c r="E1313" s="8">
        <f t="shared" si="62"/>
        <v>-1.146670693343651</v>
      </c>
    </row>
    <row r="1314" spans="1:5" x14ac:dyDescent="0.2">
      <c r="A1314" s="4">
        <v>43530</v>
      </c>
      <c r="B1314" s="3">
        <v>56073.86</v>
      </c>
      <c r="C1314" s="6">
        <f t="shared" si="60"/>
        <v>4.6193958250885462E-3</v>
      </c>
      <c r="D1314" s="7">
        <f t="shared" si="61"/>
        <v>0.4022826961869691</v>
      </c>
      <c r="E1314" s="8">
        <f t="shared" si="62"/>
        <v>-0.8436599078320518</v>
      </c>
    </row>
    <row r="1315" spans="1:5" x14ac:dyDescent="0.2">
      <c r="A1315" s="4">
        <v>43531</v>
      </c>
      <c r="B1315" s="3">
        <v>55857.89</v>
      </c>
      <c r="C1315" s="6">
        <f t="shared" si="60"/>
        <v>-3.8589634846501126E-3</v>
      </c>
      <c r="D1315" s="7">
        <f t="shared" si="61"/>
        <v>-0.37453759719277357</v>
      </c>
      <c r="E1315" s="8">
        <f t="shared" si="62"/>
        <v>-0.82032847997076597</v>
      </c>
    </row>
    <row r="1316" spans="1:5" x14ac:dyDescent="0.2">
      <c r="A1316" s="4">
        <v>43532</v>
      </c>
      <c r="B1316" s="3">
        <v>55488.79</v>
      </c>
      <c r="C1316" s="6">
        <f t="shared" si="60"/>
        <v>-6.6297684303752349E-3</v>
      </c>
      <c r="D1316" s="7">
        <f t="shared" si="61"/>
        <v>-0.62840953540655742</v>
      </c>
      <c r="E1316" s="8">
        <f t="shared" si="62"/>
        <v>-1.0836366682895195</v>
      </c>
    </row>
    <row r="1317" spans="1:5" x14ac:dyDescent="0.2">
      <c r="A1317" s="4">
        <v>43535</v>
      </c>
      <c r="B1317" s="3">
        <v>55580.65</v>
      </c>
      <c r="C1317" s="6">
        <f t="shared" si="60"/>
        <v>1.6541007309382649E-3</v>
      </c>
      <c r="D1317" s="7">
        <f t="shared" si="61"/>
        <v>0.1305908132598774</v>
      </c>
      <c r="E1317" s="8">
        <f t="shared" si="62"/>
        <v>-0.68283685711964004</v>
      </c>
    </row>
    <row r="1318" spans="1:5" x14ac:dyDescent="0.2">
      <c r="A1318" s="4">
        <v>43536</v>
      </c>
      <c r="B1318" s="3">
        <v>55699.8</v>
      </c>
      <c r="C1318" s="6">
        <f t="shared" si="60"/>
        <v>2.1414371622814139E-3</v>
      </c>
      <c r="D1318" s="7">
        <f t="shared" si="61"/>
        <v>0.17524247471232077</v>
      </c>
      <c r="E1318" s="8">
        <f t="shared" si="62"/>
        <v>-0.69843055686049305</v>
      </c>
    </row>
    <row r="1319" spans="1:5" x14ac:dyDescent="0.2">
      <c r="A1319" s="4">
        <v>43537</v>
      </c>
      <c r="B1319" s="3">
        <v>55829.1</v>
      </c>
      <c r="C1319" s="6">
        <f t="shared" si="60"/>
        <v>2.3186825644204599E-3</v>
      </c>
      <c r="D1319" s="7">
        <f t="shared" si="61"/>
        <v>0.19148238862251671</v>
      </c>
      <c r="E1319" s="8">
        <f t="shared" si="62"/>
        <v>-0.70520255336371029</v>
      </c>
    </row>
    <row r="1320" spans="1:5" x14ac:dyDescent="0.2">
      <c r="A1320" s="4">
        <v>43538</v>
      </c>
      <c r="B1320" s="3">
        <v>55789.45</v>
      </c>
      <c r="C1320" s="6">
        <f t="shared" si="60"/>
        <v>-7.1045541565930583E-4</v>
      </c>
      <c r="D1320" s="7">
        <f t="shared" si="61"/>
        <v>-8.6059028107770205E-2</v>
      </c>
      <c r="E1320" s="8">
        <f t="shared" si="62"/>
        <v>-0.67176442570455297</v>
      </c>
    </row>
    <row r="1321" spans="1:5" x14ac:dyDescent="0.2">
      <c r="A1321" s="4">
        <v>43539</v>
      </c>
      <c r="B1321" s="3">
        <v>56040.21</v>
      </c>
      <c r="C1321" s="6">
        <f t="shared" si="60"/>
        <v>4.4846853738451731E-3</v>
      </c>
      <c r="D1321" s="7">
        <f t="shared" si="61"/>
        <v>0.38994000010236302</v>
      </c>
      <c r="E1321" s="8">
        <f t="shared" si="62"/>
        <v>-0.83310036208850069</v>
      </c>
    </row>
    <row r="1322" spans="1:5" x14ac:dyDescent="0.2">
      <c r="A1322" s="4">
        <v>43542</v>
      </c>
      <c r="B1322" s="3">
        <v>56769.86</v>
      </c>
      <c r="C1322" s="6">
        <f t="shared" si="60"/>
        <v>1.2936082303223139E-2</v>
      </c>
      <c r="D1322" s="7">
        <f t="shared" si="61"/>
        <v>1.1642898952061147</v>
      </c>
      <c r="E1322" s="8">
        <f t="shared" si="62"/>
        <v>-1.8921993855380854</v>
      </c>
    </row>
    <row r="1323" spans="1:5" x14ac:dyDescent="0.2">
      <c r="A1323" s="4">
        <v>43543</v>
      </c>
      <c r="B1323" s="3">
        <v>56849.67</v>
      </c>
      <c r="C1323" s="6">
        <f t="shared" si="60"/>
        <v>1.404864342008398E-3</v>
      </c>
      <c r="D1323" s="7">
        <f t="shared" si="61"/>
        <v>0.10775480481812444</v>
      </c>
      <c r="E1323" s="8">
        <f t="shared" si="62"/>
        <v>-0.67659597800954152</v>
      </c>
    </row>
    <row r="1324" spans="1:5" x14ac:dyDescent="0.2">
      <c r="A1324" s="4">
        <v>43544</v>
      </c>
      <c r="B1324" s="3">
        <v>56145.67</v>
      </c>
      <c r="C1324" s="6">
        <f t="shared" si="60"/>
        <v>-1.246085209029092E-2</v>
      </c>
      <c r="D1324" s="7">
        <f t="shared" si="61"/>
        <v>-1.1626761256670677</v>
      </c>
      <c r="E1324" s="8">
        <f t="shared" si="62"/>
        <v>-1.889474462930109</v>
      </c>
    </row>
    <row r="1325" spans="1:5" x14ac:dyDescent="0.2">
      <c r="A1325" s="4">
        <v>43546</v>
      </c>
      <c r="B1325" s="3">
        <v>56107.48</v>
      </c>
      <c r="C1325" s="6">
        <f t="shared" si="60"/>
        <v>-6.8042636618086442E-4</v>
      </c>
      <c r="D1325" s="7">
        <f t="shared" si="61"/>
        <v>-8.3307649666075359E-2</v>
      </c>
      <c r="E1325" s="8">
        <f t="shared" si="62"/>
        <v>-0.67122844967409179</v>
      </c>
    </row>
    <row r="1326" spans="1:5" x14ac:dyDescent="0.2">
      <c r="A1326" s="4">
        <v>43549</v>
      </c>
      <c r="B1326" s="3">
        <v>55367.11</v>
      </c>
      <c r="C1326" s="6">
        <f t="shared" si="60"/>
        <v>-1.3283401830239782E-2</v>
      </c>
      <c r="D1326" s="7">
        <f t="shared" si="61"/>
        <v>-1.2380413357228093</v>
      </c>
      <c r="E1326" s="8">
        <f t="shared" si="62"/>
        <v>-2.0176777608491996</v>
      </c>
    </row>
    <row r="1327" spans="1:5" x14ac:dyDescent="0.2">
      <c r="A1327" s="4">
        <v>43550</v>
      </c>
      <c r="B1327" s="3">
        <v>55638.43</v>
      </c>
      <c r="C1327" s="6">
        <f t="shared" si="60"/>
        <v>4.8884144034938987E-3</v>
      </c>
      <c r="D1327" s="7">
        <f t="shared" si="61"/>
        <v>0.42693122585725607</v>
      </c>
      <c r="E1327" s="8">
        <f t="shared" si="62"/>
        <v>-0.86559699078262375</v>
      </c>
    </row>
    <row r="1328" spans="1:5" x14ac:dyDescent="0.2">
      <c r="A1328" s="4">
        <v>43551</v>
      </c>
      <c r="B1328" s="3">
        <v>56149.3</v>
      </c>
      <c r="C1328" s="6">
        <f t="shared" si="60"/>
        <v>9.1400649523023392E-3</v>
      </c>
      <c r="D1328" s="7">
        <f t="shared" si="61"/>
        <v>0.81648400440956326</v>
      </c>
      <c r="E1328" s="8">
        <f t="shared" si="62"/>
        <v>-1.3384640677612138</v>
      </c>
    </row>
    <row r="1329" spans="1:5" x14ac:dyDescent="0.2">
      <c r="A1329" s="4">
        <v>43552</v>
      </c>
      <c r="B1329" s="3">
        <v>56059.5</v>
      </c>
      <c r="C1329" s="6">
        <f t="shared" si="60"/>
        <v>-1.6005878179147519E-3</v>
      </c>
      <c r="D1329" s="7">
        <f t="shared" si="61"/>
        <v>-0.16761642484048841</v>
      </c>
      <c r="E1329" s="8">
        <f t="shared" si="62"/>
        <v>-0.69545198798375085</v>
      </c>
    </row>
    <row r="1330" spans="1:5" x14ac:dyDescent="0.2">
      <c r="A1330" s="4">
        <v>43553</v>
      </c>
      <c r="B1330" s="3">
        <v>56462.55</v>
      </c>
      <c r="C1330" s="6">
        <f t="shared" si="60"/>
        <v>7.1639598423058667E-3</v>
      </c>
      <c r="D1330" s="7">
        <f t="shared" si="61"/>
        <v>0.63542555958364022</v>
      </c>
      <c r="E1330" s="8">
        <f t="shared" si="62"/>
        <v>-1.0923506775832481</v>
      </c>
    </row>
    <row r="1331" spans="1:5" x14ac:dyDescent="0.2">
      <c r="A1331" s="4">
        <v>43556</v>
      </c>
      <c r="B1331" s="3">
        <v>57109.64</v>
      </c>
      <c r="C1331" s="6">
        <f t="shared" si="60"/>
        <v>1.1395342508486551E-2</v>
      </c>
      <c r="D1331" s="7">
        <f t="shared" si="61"/>
        <v>1.0231213158095882</v>
      </c>
      <c r="E1331" s="8">
        <f t="shared" si="62"/>
        <v>-1.6581963941306841</v>
      </c>
    </row>
    <row r="1332" spans="1:5" x14ac:dyDescent="0.2">
      <c r="A1332" s="4">
        <v>43557</v>
      </c>
      <c r="B1332" s="3">
        <v>57158</v>
      </c>
      <c r="C1332" s="6">
        <f t="shared" si="60"/>
        <v>8.4643391405110722E-4</v>
      </c>
      <c r="D1332" s="7">
        <f t="shared" si="61"/>
        <v>5.6589234566852623E-2</v>
      </c>
      <c r="E1332" s="8">
        <f t="shared" si="62"/>
        <v>-0.66692533711566426</v>
      </c>
    </row>
    <row r="1333" spans="1:5" x14ac:dyDescent="0.2">
      <c r="A1333" s="4">
        <v>43558</v>
      </c>
      <c r="B1333" s="3">
        <v>57926.01</v>
      </c>
      <c r="C1333" s="6">
        <f t="shared" si="60"/>
        <v>1.3347143560153069E-2</v>
      </c>
      <c r="D1333" s="7">
        <f t="shared" si="61"/>
        <v>1.201952928175072</v>
      </c>
      <c r="E1333" s="8">
        <f t="shared" si="62"/>
        <v>-1.9560587819627155</v>
      </c>
    </row>
    <row r="1334" spans="1:5" x14ac:dyDescent="0.2">
      <c r="A1334" s="4">
        <v>43559</v>
      </c>
      <c r="B1334" s="3">
        <v>57711.02</v>
      </c>
      <c r="C1334" s="6">
        <f t="shared" si="60"/>
        <v>-3.718363360046733E-3</v>
      </c>
      <c r="D1334" s="7">
        <f t="shared" si="61"/>
        <v>-0.36165526630144551</v>
      </c>
      <c r="E1334" s="8">
        <f t="shared" si="62"/>
        <v>-0.80999651177194854</v>
      </c>
    </row>
    <row r="1335" spans="1:5" x14ac:dyDescent="0.2">
      <c r="A1335" s="4">
        <v>43560</v>
      </c>
      <c r="B1335" s="3">
        <v>57776.36</v>
      </c>
      <c r="C1335" s="6">
        <f t="shared" si="60"/>
        <v>1.1315523301653452E-3</v>
      </c>
      <c r="D1335" s="7">
        <f t="shared" si="61"/>
        <v>8.2712894058308756E-2</v>
      </c>
      <c r="E1335" s="8">
        <f t="shared" si="62"/>
        <v>-0.67111486473992699</v>
      </c>
    </row>
    <row r="1336" spans="1:5" x14ac:dyDescent="0.2">
      <c r="A1336" s="4">
        <v>43563</v>
      </c>
      <c r="B1336" s="3">
        <v>57985.78</v>
      </c>
      <c r="C1336" s="6">
        <f t="shared" si="60"/>
        <v>3.6181125963144619E-3</v>
      </c>
      <c r="D1336" s="7">
        <f t="shared" si="61"/>
        <v>0.31054122792446437</v>
      </c>
      <c r="E1336" s="8">
        <f t="shared" si="62"/>
        <v>-0.77222398504303325</v>
      </c>
    </row>
    <row r="1337" spans="1:5" x14ac:dyDescent="0.2">
      <c r="A1337" s="4">
        <v>43564</v>
      </c>
      <c r="B1337" s="3">
        <v>57838.37</v>
      </c>
      <c r="C1337" s="6">
        <f t="shared" si="60"/>
        <v>-2.545411809032774E-3</v>
      </c>
      <c r="D1337" s="7">
        <f t="shared" si="61"/>
        <v>-0.25418487790539457</v>
      </c>
      <c r="E1337" s="8">
        <f t="shared" si="62"/>
        <v>-0.73674842340365188</v>
      </c>
    </row>
    <row r="1338" spans="1:5" x14ac:dyDescent="0.2">
      <c r="A1338" s="4">
        <v>43565</v>
      </c>
      <c r="B1338" s="3">
        <v>58411.65</v>
      </c>
      <c r="C1338" s="6">
        <f t="shared" si="60"/>
        <v>9.8629599768808654E-3</v>
      </c>
      <c r="D1338" s="7">
        <f t="shared" si="61"/>
        <v>0.88271846140300692</v>
      </c>
      <c r="E1338" s="8">
        <f t="shared" si="62"/>
        <v>-1.4372165351980424</v>
      </c>
    </row>
    <row r="1339" spans="1:5" x14ac:dyDescent="0.2">
      <c r="A1339" s="4">
        <v>43566</v>
      </c>
      <c r="B1339" s="3">
        <v>58186.19</v>
      </c>
      <c r="C1339" s="6">
        <f t="shared" si="60"/>
        <v>-3.8673148833731829E-3</v>
      </c>
      <c r="D1339" s="7">
        <f t="shared" si="61"/>
        <v>-0.37530278486283786</v>
      </c>
      <c r="E1339" s="8">
        <f t="shared" si="62"/>
        <v>-0.82095226561091572</v>
      </c>
    </row>
    <row r="1340" spans="1:5" x14ac:dyDescent="0.2">
      <c r="A1340" s="4">
        <v>43567</v>
      </c>
      <c r="B1340" s="3">
        <v>58405.3</v>
      </c>
      <c r="C1340" s="6">
        <f t="shared" si="60"/>
        <v>3.7585977835642953E-3</v>
      </c>
      <c r="D1340" s="7">
        <f t="shared" si="61"/>
        <v>0.32341302780791231</v>
      </c>
      <c r="E1340" s="8">
        <f t="shared" si="62"/>
        <v>-0.7812438253921814</v>
      </c>
    </row>
    <row r="1341" spans="1:5" x14ac:dyDescent="0.2">
      <c r="A1341" s="4">
        <v>43570</v>
      </c>
      <c r="B1341" s="3">
        <v>58249.35</v>
      </c>
      <c r="C1341" s="6">
        <f t="shared" si="60"/>
        <v>-2.6737055557292965E-3</v>
      </c>
      <c r="D1341" s="7">
        <f t="shared" si="61"/>
        <v>-0.2659396505337619</v>
      </c>
      <c r="E1341" s="8">
        <f t="shared" si="62"/>
        <v>-0.74360048460430417</v>
      </c>
    </row>
    <row r="1342" spans="1:5" x14ac:dyDescent="0.2">
      <c r="A1342" s="4">
        <v>43571</v>
      </c>
      <c r="B1342" s="3">
        <v>58902.64</v>
      </c>
      <c r="C1342" s="6">
        <f t="shared" si="60"/>
        <v>1.1152977799559136E-2</v>
      </c>
      <c r="D1342" s="7">
        <f t="shared" si="61"/>
        <v>1.0009149174469205</v>
      </c>
      <c r="E1342" s="8">
        <f t="shared" si="62"/>
        <v>-1.622343549116481</v>
      </c>
    </row>
    <row r="1343" spans="1:5" x14ac:dyDescent="0.2">
      <c r="A1343" s="4">
        <v>43572</v>
      </c>
      <c r="B1343" s="3">
        <v>58908.31</v>
      </c>
      <c r="C1343" s="6">
        <f t="shared" si="60"/>
        <v>9.625590837484803E-5</v>
      </c>
      <c r="D1343" s="7">
        <f t="shared" si="61"/>
        <v>-1.2144995390479189E-2</v>
      </c>
      <c r="E1343" s="8">
        <f t="shared" si="62"/>
        <v>-0.66340329592827041</v>
      </c>
    </row>
    <row r="1344" spans="1:5" x14ac:dyDescent="0.2">
      <c r="A1344" s="4">
        <v>43573</v>
      </c>
      <c r="B1344" s="3">
        <v>59222.47</v>
      </c>
      <c r="C1344" s="6">
        <f t="shared" si="60"/>
        <v>5.3188633925877497E-3</v>
      </c>
      <c r="D1344" s="7">
        <f t="shared" si="61"/>
        <v>0.46637063833990611</v>
      </c>
      <c r="E1344" s="8">
        <f t="shared" si="62"/>
        <v>-0.90298917355105479</v>
      </c>
    </row>
    <row r="1345" spans="1:5" x14ac:dyDescent="0.2">
      <c r="A1345" s="4">
        <v>43578</v>
      </c>
      <c r="B1345" s="3">
        <v>59544.800000000003</v>
      </c>
      <c r="C1345" s="6">
        <f t="shared" si="60"/>
        <v>5.4279397242642984E-3</v>
      </c>
      <c r="D1345" s="7">
        <f t="shared" si="61"/>
        <v>0.47636463657449785</v>
      </c>
      <c r="E1345" s="8">
        <f t="shared" si="62"/>
        <v>-0.91289987239141457</v>
      </c>
    </row>
    <row r="1346" spans="1:5" x14ac:dyDescent="0.2">
      <c r="A1346" s="4">
        <v>43579</v>
      </c>
      <c r="B1346" s="3">
        <v>59102.68</v>
      </c>
      <c r="C1346" s="6">
        <f t="shared" si="60"/>
        <v>-7.4527001564260922E-3</v>
      </c>
      <c r="D1346" s="7">
        <f t="shared" si="61"/>
        <v>-0.70380974451635869</v>
      </c>
      <c r="E1346" s="8">
        <f t="shared" si="62"/>
        <v>-1.1807127715512671</v>
      </c>
    </row>
    <row r="1347" spans="1:5" x14ac:dyDescent="0.2">
      <c r="A1347" s="4">
        <v>43580</v>
      </c>
      <c r="B1347" s="3">
        <v>58807.07</v>
      </c>
      <c r="C1347" s="6">
        <f t="shared" ref="C1347:C1410" si="63">LN(B1347/B1346)</f>
        <v>-5.0141844818277657E-3</v>
      </c>
      <c r="D1347" s="7">
        <f t="shared" ref="D1347:D1410" si="64">(C1347-$G$4)/$G$5</f>
        <v>-0.48038344320630438</v>
      </c>
      <c r="E1347" s="8">
        <f t="shared" ref="E1347:E1410" si="65">LN((PI()*(G$3-2))^(-1/2)*EXP(GAMMALN((G$3+1)/2))*((1+D1347^2/(G$3-2))^(-(G$3+1)/2))/EXP(GAMMALN(G$3/2)))</f>
        <v>-0.91693378329034603</v>
      </c>
    </row>
    <row r="1348" spans="1:5" x14ac:dyDescent="0.2">
      <c r="A1348" s="4">
        <v>43581</v>
      </c>
      <c r="B1348" s="3">
        <v>58894.19</v>
      </c>
      <c r="C1348" s="6">
        <f t="shared" si="63"/>
        <v>1.4803582546185543E-3</v>
      </c>
      <c r="D1348" s="7">
        <f t="shared" si="64"/>
        <v>0.114671851053101</v>
      </c>
      <c r="E1348" s="8">
        <f t="shared" si="65"/>
        <v>-0.67836158123131385</v>
      </c>
    </row>
    <row r="1349" spans="1:5" x14ac:dyDescent="0.2">
      <c r="A1349" s="4">
        <v>43584</v>
      </c>
      <c r="B1349" s="3">
        <v>58662.68</v>
      </c>
      <c r="C1349" s="6">
        <f t="shared" si="63"/>
        <v>-3.9386945108447358E-3</v>
      </c>
      <c r="D1349" s="7">
        <f t="shared" si="64"/>
        <v>-0.38184286427302477</v>
      </c>
      <c r="E1349" s="8">
        <f t="shared" si="65"/>
        <v>-0.82632962039480284</v>
      </c>
    </row>
    <row r="1350" spans="1:5" x14ac:dyDescent="0.2">
      <c r="A1350" s="4">
        <v>43585</v>
      </c>
      <c r="B1350" s="3">
        <v>58528.4</v>
      </c>
      <c r="C1350" s="6">
        <f t="shared" si="63"/>
        <v>-2.2916429947690531E-3</v>
      </c>
      <c r="D1350" s="7">
        <f t="shared" si="64"/>
        <v>-0.23093359100598981</v>
      </c>
      <c r="E1350" s="8">
        <f t="shared" si="65"/>
        <v>-0.72406031002837323</v>
      </c>
    </row>
    <row r="1351" spans="1:5" x14ac:dyDescent="0.2">
      <c r="A1351" s="4">
        <v>43587</v>
      </c>
      <c r="B1351" s="3">
        <v>58743.56</v>
      </c>
      <c r="C1351" s="6">
        <f t="shared" si="63"/>
        <v>3.6694234738030946E-3</v>
      </c>
      <c r="D1351" s="7">
        <f t="shared" si="64"/>
        <v>0.31524253031660376</v>
      </c>
      <c r="E1351" s="8">
        <f t="shared" si="65"/>
        <v>-0.77547948095126595</v>
      </c>
    </row>
    <row r="1352" spans="1:5" x14ac:dyDescent="0.2">
      <c r="A1352" s="4">
        <v>43588</v>
      </c>
      <c r="B1352" s="3">
        <v>59335.9</v>
      </c>
      <c r="C1352" s="6">
        <f t="shared" si="63"/>
        <v>1.0032989120716061E-2</v>
      </c>
      <c r="D1352" s="7">
        <f t="shared" si="64"/>
        <v>0.89829719362840899</v>
      </c>
      <c r="E1352" s="8">
        <f t="shared" si="65"/>
        <v>-1.4610063085666671</v>
      </c>
    </row>
    <row r="1353" spans="1:5" x14ac:dyDescent="0.2">
      <c r="A1353" s="4">
        <v>43591</v>
      </c>
      <c r="B1353" s="3">
        <v>58712.83</v>
      </c>
      <c r="C1353" s="6">
        <f t="shared" si="63"/>
        <v>-1.0556247169105791E-2</v>
      </c>
      <c r="D1353" s="7">
        <f t="shared" si="64"/>
        <v>-0.98816880655073036</v>
      </c>
      <c r="E1353" s="8">
        <f t="shared" si="65"/>
        <v>-1.6019036904304353</v>
      </c>
    </row>
    <row r="1354" spans="1:5" x14ac:dyDescent="0.2">
      <c r="A1354" s="4">
        <v>43592</v>
      </c>
      <c r="B1354" s="3">
        <v>58043.6</v>
      </c>
      <c r="C1354" s="6">
        <f t="shared" si="63"/>
        <v>-1.1463819664939404E-2</v>
      </c>
      <c r="D1354" s="7">
        <f t="shared" si="64"/>
        <v>-1.0713241325661107</v>
      </c>
      <c r="E1354" s="8">
        <f t="shared" si="65"/>
        <v>-1.7370008288404331</v>
      </c>
    </row>
    <row r="1355" spans="1:5" x14ac:dyDescent="0.2">
      <c r="A1355" s="4">
        <v>43594</v>
      </c>
      <c r="B1355" s="3">
        <v>56496.08</v>
      </c>
      <c r="C1355" s="6">
        <f t="shared" si="63"/>
        <v>-2.7023197066796387E-2</v>
      </c>
      <c r="D1355" s="7">
        <f t="shared" si="64"/>
        <v>-2.4969348759363688</v>
      </c>
      <c r="E1355" s="8">
        <f t="shared" si="65"/>
        <v>-4.139043636732481</v>
      </c>
    </row>
    <row r="1356" spans="1:5" x14ac:dyDescent="0.2">
      <c r="A1356" s="4">
        <v>43595</v>
      </c>
      <c r="B1356" s="3">
        <v>56780.75</v>
      </c>
      <c r="C1356" s="6">
        <f t="shared" si="63"/>
        <v>5.0261046194721567E-3</v>
      </c>
      <c r="D1356" s="7">
        <f t="shared" si="64"/>
        <v>0.43954693958961588</v>
      </c>
      <c r="E1356" s="8">
        <f t="shared" si="65"/>
        <v>-0.87725530597071588</v>
      </c>
    </row>
    <row r="1357" spans="1:5" x14ac:dyDescent="0.2">
      <c r="A1357" s="4">
        <v>43598</v>
      </c>
      <c r="B1357" s="3">
        <v>56373.68</v>
      </c>
      <c r="C1357" s="6">
        <f t="shared" si="63"/>
        <v>-7.1949769193843391E-3</v>
      </c>
      <c r="D1357" s="7">
        <f t="shared" si="64"/>
        <v>-0.68019613800411904</v>
      </c>
      <c r="E1357" s="8">
        <f t="shared" si="65"/>
        <v>-1.1495179920309082</v>
      </c>
    </row>
    <row r="1358" spans="1:5" x14ac:dyDescent="0.2">
      <c r="A1358" s="4">
        <v>43599</v>
      </c>
      <c r="B1358" s="3">
        <v>56234.28</v>
      </c>
      <c r="C1358" s="6">
        <f t="shared" si="63"/>
        <v>-2.475847554792398E-3</v>
      </c>
      <c r="D1358" s="7">
        <f t="shared" si="64"/>
        <v>-0.24781113005943103</v>
      </c>
      <c r="E1358" s="8">
        <f t="shared" si="65"/>
        <v>-0.73315546907267914</v>
      </c>
    </row>
    <row r="1359" spans="1:5" x14ac:dyDescent="0.2">
      <c r="A1359" s="4">
        <v>43600</v>
      </c>
      <c r="B1359" s="3">
        <v>56043.21</v>
      </c>
      <c r="C1359" s="6">
        <f t="shared" si="63"/>
        <v>-3.4035350175179516E-3</v>
      </c>
      <c r="D1359" s="7">
        <f t="shared" si="64"/>
        <v>-0.33280946766602476</v>
      </c>
      <c r="E1359" s="8">
        <f t="shared" si="65"/>
        <v>-0.78803928550507474</v>
      </c>
    </row>
    <row r="1360" spans="1:5" x14ac:dyDescent="0.2">
      <c r="A1360" s="4">
        <v>43601</v>
      </c>
      <c r="B1360" s="3">
        <v>56537.72</v>
      </c>
      <c r="C1360" s="6">
        <f t="shared" si="63"/>
        <v>8.7850256767716961E-3</v>
      </c>
      <c r="D1360" s="7">
        <f t="shared" si="64"/>
        <v>0.78395392351735038</v>
      </c>
      <c r="E1360" s="8">
        <f t="shared" si="65"/>
        <v>-1.2915054877542007</v>
      </c>
    </row>
    <row r="1361" spans="1:5" x14ac:dyDescent="0.2">
      <c r="A1361" s="4">
        <v>43602</v>
      </c>
      <c r="B1361" s="3">
        <v>56183.21</v>
      </c>
      <c r="C1361" s="6">
        <f t="shared" si="63"/>
        <v>-6.2900682037843889E-3</v>
      </c>
      <c r="D1361" s="7">
        <f t="shared" si="64"/>
        <v>-0.59728487790609575</v>
      </c>
      <c r="E1361" s="8">
        <f t="shared" si="65"/>
        <v>-1.0458153113621376</v>
      </c>
    </row>
    <row r="1362" spans="1:5" x14ac:dyDescent="0.2">
      <c r="A1362" s="4">
        <v>43605</v>
      </c>
      <c r="B1362" s="3">
        <v>55616.97</v>
      </c>
      <c r="C1362" s="6">
        <f t="shared" si="63"/>
        <v>-1.012958730024657E-2</v>
      </c>
      <c r="D1362" s="7">
        <f t="shared" si="64"/>
        <v>-0.94907656801822593</v>
      </c>
      <c r="E1362" s="8">
        <f t="shared" si="65"/>
        <v>-1.5398915138334019</v>
      </c>
    </row>
    <row r="1363" spans="1:5" x14ac:dyDescent="0.2">
      <c r="A1363" s="4">
        <v>43606</v>
      </c>
      <c r="B1363" s="3">
        <v>55523.95</v>
      </c>
      <c r="C1363" s="6">
        <f t="shared" si="63"/>
        <v>-1.673911314032858E-3</v>
      </c>
      <c r="D1363" s="7">
        <f t="shared" si="64"/>
        <v>-0.17433460906519679</v>
      </c>
      <c r="E1363" s="8">
        <f t="shared" si="65"/>
        <v>-0.69806919488553676</v>
      </c>
    </row>
    <row r="1364" spans="1:5" x14ac:dyDescent="0.2">
      <c r="A1364" s="4">
        <v>43607</v>
      </c>
      <c r="B1364" s="3">
        <v>55231.05</v>
      </c>
      <c r="C1364" s="6">
        <f t="shared" si="63"/>
        <v>-5.289164061740923E-3</v>
      </c>
      <c r="D1364" s="7">
        <f t="shared" si="64"/>
        <v>-0.5055781430459555</v>
      </c>
      <c r="E1364" s="8">
        <f t="shared" si="65"/>
        <v>-0.94284825883165435</v>
      </c>
    </row>
    <row r="1365" spans="1:5" x14ac:dyDescent="0.2">
      <c r="A1365" s="4">
        <v>43608</v>
      </c>
      <c r="B1365" s="3">
        <v>54271.24</v>
      </c>
      <c r="C1365" s="6">
        <f t="shared" si="63"/>
        <v>-1.7530858605574285E-2</v>
      </c>
      <c r="D1365" s="7">
        <f t="shared" si="64"/>
        <v>-1.6272098644195281</v>
      </c>
      <c r="E1365" s="8">
        <f t="shared" si="65"/>
        <v>-2.6945510637343286</v>
      </c>
    </row>
    <row r="1366" spans="1:5" x14ac:dyDescent="0.2">
      <c r="A1366" s="4">
        <v>43609</v>
      </c>
      <c r="B1366" s="3">
        <v>54423.56</v>
      </c>
      <c r="C1366" s="6">
        <f t="shared" si="63"/>
        <v>2.802711807898471E-3</v>
      </c>
      <c r="D1366" s="7">
        <f t="shared" si="64"/>
        <v>0.23583103264507743</v>
      </c>
      <c r="E1366" s="8">
        <f t="shared" si="65"/>
        <v>-0.72663662712890453</v>
      </c>
    </row>
    <row r="1367" spans="1:5" x14ac:dyDescent="0.2">
      <c r="A1367" s="4">
        <v>43612</v>
      </c>
      <c r="B1367" s="3">
        <v>54488.15</v>
      </c>
      <c r="C1367" s="6">
        <f t="shared" si="63"/>
        <v>1.1860984933991742E-3</v>
      </c>
      <c r="D1367" s="7">
        <f t="shared" si="64"/>
        <v>8.7710625928125979E-2</v>
      </c>
      <c r="E1367" s="8">
        <f t="shared" si="65"/>
        <v>-0.67209447154793778</v>
      </c>
    </row>
    <row r="1368" spans="1:5" x14ac:dyDescent="0.2">
      <c r="A1368" s="4">
        <v>43613</v>
      </c>
      <c r="B1368" s="3">
        <v>54431.63</v>
      </c>
      <c r="C1368" s="6">
        <f t="shared" si="63"/>
        <v>-1.0378281166760176E-3</v>
      </c>
      <c r="D1368" s="7">
        <f t="shared" si="64"/>
        <v>-0.11605418971364932</v>
      </c>
      <c r="E1368" s="8">
        <f t="shared" si="65"/>
        <v>-0.67872744704695065</v>
      </c>
    </row>
    <row r="1369" spans="1:5" x14ac:dyDescent="0.2">
      <c r="A1369" s="4">
        <v>43614</v>
      </c>
      <c r="B1369" s="3">
        <v>54997.34</v>
      </c>
      <c r="C1369" s="6">
        <f t="shared" si="63"/>
        <v>1.0339401708275837E-2</v>
      </c>
      <c r="D1369" s="7">
        <f t="shared" si="64"/>
        <v>0.92637190802391955</v>
      </c>
      <c r="E1369" s="8">
        <f t="shared" si="65"/>
        <v>-1.5043751201525273</v>
      </c>
    </row>
    <row r="1370" spans="1:5" x14ac:dyDescent="0.2">
      <c r="A1370" s="4">
        <v>43615</v>
      </c>
      <c r="B1370" s="3">
        <v>55700.59</v>
      </c>
      <c r="C1370" s="6">
        <f t="shared" si="63"/>
        <v>1.2705918910194744E-2</v>
      </c>
      <c r="D1370" s="7">
        <f t="shared" si="64"/>
        <v>1.1432014289161545</v>
      </c>
      <c r="E1370" s="8">
        <f t="shared" si="65"/>
        <v>-1.8566693662484235</v>
      </c>
    </row>
    <row r="1371" spans="1:5" x14ac:dyDescent="0.2">
      <c r="A1371" s="4">
        <v>43616</v>
      </c>
      <c r="B1371" s="3">
        <v>55650.41</v>
      </c>
      <c r="C1371" s="6">
        <f t="shared" si="63"/>
        <v>-9.0129416703738519E-4</v>
      </c>
      <c r="D1371" s="7">
        <f t="shared" si="64"/>
        <v>-0.10354441760564854</v>
      </c>
      <c r="E1371" s="8">
        <f t="shared" si="65"/>
        <v>-0.67557448789414254</v>
      </c>
    </row>
    <row r="1372" spans="1:5" x14ac:dyDescent="0.2">
      <c r="A1372" s="4">
        <v>43619</v>
      </c>
      <c r="B1372" s="3">
        <v>56286.31</v>
      </c>
      <c r="C1372" s="6">
        <f t="shared" si="63"/>
        <v>1.1361898773251935E-2</v>
      </c>
      <c r="D1372" s="7">
        <f t="shared" si="64"/>
        <v>1.0200570705626539</v>
      </c>
      <c r="E1372" s="8">
        <f t="shared" si="65"/>
        <v>-1.6532313105771774</v>
      </c>
    </row>
    <row r="1373" spans="1:5" x14ac:dyDescent="0.2">
      <c r="A1373" s="4">
        <v>43620</v>
      </c>
      <c r="B1373" s="3">
        <v>56500.38</v>
      </c>
      <c r="C1373" s="6">
        <f t="shared" si="63"/>
        <v>3.7960198505368188E-3</v>
      </c>
      <c r="D1373" s="7">
        <f t="shared" si="64"/>
        <v>0.32684178329968305</v>
      </c>
      <c r="E1373" s="8">
        <f t="shared" si="65"/>
        <v>-0.78370294876672131</v>
      </c>
    </row>
    <row r="1374" spans="1:5" x14ac:dyDescent="0.2">
      <c r="A1374" s="4">
        <v>43621</v>
      </c>
      <c r="B1374" s="3">
        <v>57073.38</v>
      </c>
      <c r="C1374" s="6">
        <f t="shared" si="63"/>
        <v>1.0090444513888918E-2</v>
      </c>
      <c r="D1374" s="7">
        <f t="shared" si="64"/>
        <v>0.90356148047333185</v>
      </c>
      <c r="E1374" s="8">
        <f t="shared" si="65"/>
        <v>-1.4690905151538618</v>
      </c>
    </row>
    <row r="1375" spans="1:5" x14ac:dyDescent="0.2">
      <c r="A1375" s="4">
        <v>43622</v>
      </c>
      <c r="B1375" s="3">
        <v>57090.53</v>
      </c>
      <c r="C1375" s="6">
        <f t="shared" si="63"/>
        <v>3.0044521301020207E-4</v>
      </c>
      <c r="D1375" s="7">
        <f t="shared" si="64"/>
        <v>6.5636237818227595E-3</v>
      </c>
      <c r="E1375" s="8">
        <f t="shared" si="65"/>
        <v>-0.66328282357803503</v>
      </c>
    </row>
    <row r="1376" spans="1:5" x14ac:dyDescent="0.2">
      <c r="A1376" s="4">
        <v>43623</v>
      </c>
      <c r="B1376" s="3">
        <v>58099.839999999997</v>
      </c>
      <c r="C1376" s="6">
        <f t="shared" si="63"/>
        <v>1.7524656461046395E-2</v>
      </c>
      <c r="D1376" s="7">
        <f t="shared" si="64"/>
        <v>1.5847129267448481</v>
      </c>
      <c r="E1376" s="8">
        <f t="shared" si="65"/>
        <v>-2.6204104903626808</v>
      </c>
    </row>
    <row r="1377" spans="1:5" x14ac:dyDescent="0.2">
      <c r="A1377" s="4">
        <v>43626</v>
      </c>
      <c r="B1377" s="3">
        <v>58481.05</v>
      </c>
      <c r="C1377" s="6">
        <f t="shared" si="63"/>
        <v>6.5398601552575956E-3</v>
      </c>
      <c r="D1377" s="7">
        <f t="shared" si="64"/>
        <v>0.57824311610850199</v>
      </c>
      <c r="E1377" s="8">
        <f t="shared" si="65"/>
        <v>-1.0233694372863564</v>
      </c>
    </row>
    <row r="1378" spans="1:5" x14ac:dyDescent="0.2">
      <c r="A1378" s="4">
        <v>43627</v>
      </c>
      <c r="B1378" s="3">
        <v>58767.63</v>
      </c>
      <c r="C1378" s="6">
        <f t="shared" si="63"/>
        <v>4.8884229774236194E-3</v>
      </c>
      <c r="D1378" s="7">
        <f t="shared" si="64"/>
        <v>0.42693201143408266</v>
      </c>
      <c r="E1378" s="8">
        <f t="shared" si="65"/>
        <v>-0.86559770775090672</v>
      </c>
    </row>
    <row r="1379" spans="1:5" x14ac:dyDescent="0.2">
      <c r="A1379" s="4">
        <v>43628</v>
      </c>
      <c r="B1379" s="3">
        <v>58710.55</v>
      </c>
      <c r="C1379" s="6">
        <f t="shared" si="63"/>
        <v>-9.7175500151184342E-4</v>
      </c>
      <c r="D1379" s="7">
        <f t="shared" si="64"/>
        <v>-0.11000031362380365</v>
      </c>
      <c r="E1379" s="8">
        <f t="shared" si="65"/>
        <v>-0.67715724245931541</v>
      </c>
    </row>
    <row r="1380" spans="1:5" x14ac:dyDescent="0.2">
      <c r="A1380" s="4">
        <v>43629</v>
      </c>
      <c r="B1380" s="3">
        <v>58697.63</v>
      </c>
      <c r="C1380" s="6">
        <f t="shared" si="63"/>
        <v>-2.2008688069535817E-4</v>
      </c>
      <c r="D1380" s="7">
        <f t="shared" si="64"/>
        <v>-4.1129553515046158E-2</v>
      </c>
      <c r="E1380" s="8">
        <f t="shared" si="65"/>
        <v>-0.66518417814978614</v>
      </c>
    </row>
    <row r="1381" spans="1:5" x14ac:dyDescent="0.2">
      <c r="A1381" s="4">
        <v>43630</v>
      </c>
      <c r="B1381" s="3">
        <v>58193.78</v>
      </c>
      <c r="C1381" s="6">
        <f t="shared" si="63"/>
        <v>-8.6208750580659688E-3</v>
      </c>
      <c r="D1381" s="7">
        <f t="shared" si="64"/>
        <v>-0.8108424776972214</v>
      </c>
      <c r="E1381" s="8">
        <f t="shared" si="65"/>
        <v>-1.3302437207749509</v>
      </c>
    </row>
    <row r="1382" spans="1:5" x14ac:dyDescent="0.2">
      <c r="A1382" s="4">
        <v>43634</v>
      </c>
      <c r="B1382" s="3">
        <v>58629.09</v>
      </c>
      <c r="C1382" s="6">
        <f t="shared" si="63"/>
        <v>7.4525136175209771E-3</v>
      </c>
      <c r="D1382" s="7">
        <f t="shared" si="64"/>
        <v>0.66186398005267599</v>
      </c>
      <c r="E1382" s="8">
        <f t="shared" si="65"/>
        <v>-1.1257893086564381</v>
      </c>
    </row>
    <row r="1383" spans="1:5" x14ac:dyDescent="0.2">
      <c r="A1383" s="4">
        <v>43635</v>
      </c>
      <c r="B1383" s="3">
        <v>58564.72</v>
      </c>
      <c r="C1383" s="6">
        <f t="shared" si="63"/>
        <v>-1.0985222935103614E-3</v>
      </c>
      <c r="D1383" s="7">
        <f t="shared" si="64"/>
        <v>-0.12161522652896098</v>
      </c>
      <c r="E1383" s="8">
        <f t="shared" si="65"/>
        <v>-0.68024305017545672</v>
      </c>
    </row>
    <row r="1384" spans="1:5" x14ac:dyDescent="0.2">
      <c r="A1384" s="4">
        <v>43636</v>
      </c>
      <c r="B1384" s="3">
        <v>58973.62</v>
      </c>
      <c r="C1384" s="6">
        <f t="shared" si="63"/>
        <v>6.9577577764468141E-3</v>
      </c>
      <c r="D1384" s="7">
        <f t="shared" si="64"/>
        <v>0.6165325233906418</v>
      </c>
      <c r="E1384" s="8">
        <f t="shared" si="65"/>
        <v>-1.0690416532823928</v>
      </c>
    </row>
    <row r="1385" spans="1:5" x14ac:dyDescent="0.2">
      <c r="A1385" s="4">
        <v>43637</v>
      </c>
      <c r="B1385" s="3">
        <v>58941.47</v>
      </c>
      <c r="C1385" s="6">
        <f t="shared" si="63"/>
        <v>-5.4530765819165003E-4</v>
      </c>
      <c r="D1385" s="7">
        <f t="shared" si="64"/>
        <v>-7.0927547508726624E-2</v>
      </c>
      <c r="E1385" s="8">
        <f t="shared" si="65"/>
        <v>-0.66903110091478157</v>
      </c>
    </row>
    <row r="1386" spans="1:5" x14ac:dyDescent="0.2">
      <c r="A1386" s="4">
        <v>43640</v>
      </c>
      <c r="B1386" s="3">
        <v>58756.01</v>
      </c>
      <c r="C1386" s="6">
        <f t="shared" si="63"/>
        <v>-3.1514719515755808E-3</v>
      </c>
      <c r="D1386" s="7">
        <f t="shared" si="64"/>
        <v>-0.30971446806974257</v>
      </c>
      <c r="E1386" s="8">
        <f t="shared" si="65"/>
        <v>-0.77165612870548872</v>
      </c>
    </row>
    <row r="1387" spans="1:5" x14ac:dyDescent="0.2">
      <c r="A1387" s="4">
        <v>43641</v>
      </c>
      <c r="B1387" s="3">
        <v>58343.23</v>
      </c>
      <c r="C1387" s="6">
        <f t="shared" si="63"/>
        <v>-7.0501176564222263E-3</v>
      </c>
      <c r="D1387" s="7">
        <f t="shared" si="64"/>
        <v>-0.666923568271937</v>
      </c>
      <c r="E1387" s="8">
        <f t="shared" si="65"/>
        <v>-1.1322946931564604</v>
      </c>
    </row>
    <row r="1388" spans="1:5" x14ac:dyDescent="0.2">
      <c r="A1388" s="4">
        <v>43642</v>
      </c>
      <c r="B1388" s="3">
        <v>58421.72</v>
      </c>
      <c r="C1388" s="6">
        <f t="shared" si="63"/>
        <v>1.3444104899998591E-3</v>
      </c>
      <c r="D1388" s="7">
        <f t="shared" si="64"/>
        <v>0.10221578749914079</v>
      </c>
      <c r="E1388" s="8">
        <f t="shared" si="65"/>
        <v>-0.67526051709744617</v>
      </c>
    </row>
    <row r="1389" spans="1:5" x14ac:dyDescent="0.2">
      <c r="A1389" s="4">
        <v>43643</v>
      </c>
      <c r="B1389" s="3">
        <v>58066.65</v>
      </c>
      <c r="C1389" s="6">
        <f t="shared" si="63"/>
        <v>-6.0962497742708599E-3</v>
      </c>
      <c r="D1389" s="7">
        <f t="shared" si="64"/>
        <v>-0.57952647869504115</v>
      </c>
      <c r="E1389" s="8">
        <f t="shared" si="65"/>
        <v>-1.0248652862793903</v>
      </c>
    </row>
    <row r="1390" spans="1:5" x14ac:dyDescent="0.2">
      <c r="A1390" s="4">
        <v>43644</v>
      </c>
      <c r="B1390" s="3">
        <v>58203.839999999997</v>
      </c>
      <c r="C1390" s="6">
        <f t="shared" si="63"/>
        <v>2.3598432184465255E-3</v>
      </c>
      <c r="D1390" s="7">
        <f t="shared" si="64"/>
        <v>0.19525368801761347</v>
      </c>
      <c r="E1390" s="8">
        <f t="shared" si="65"/>
        <v>-0.7068583504996313</v>
      </c>
    </row>
    <row r="1391" spans="1:5" x14ac:dyDescent="0.2">
      <c r="A1391" s="4">
        <v>43647</v>
      </c>
      <c r="B1391" s="3">
        <v>58472.52</v>
      </c>
      <c r="C1391" s="6">
        <f t="shared" si="63"/>
        <v>4.6055683416922144E-3</v>
      </c>
      <c r="D1391" s="7">
        <f t="shared" si="64"/>
        <v>0.4010157683161128</v>
      </c>
      <c r="E1391" s="8">
        <f t="shared" si="65"/>
        <v>-0.8425628214389832</v>
      </c>
    </row>
    <row r="1392" spans="1:5" x14ac:dyDescent="0.2">
      <c r="A1392" s="4">
        <v>43648</v>
      </c>
      <c r="B1392" s="3">
        <v>58092.480000000003</v>
      </c>
      <c r="C1392" s="6">
        <f t="shared" si="63"/>
        <v>-6.5206768169336366E-3</v>
      </c>
      <c r="D1392" s="7">
        <f t="shared" si="64"/>
        <v>-0.61841413699714698</v>
      </c>
      <c r="E1392" s="8">
        <f t="shared" si="65"/>
        <v>-1.0713406377264578</v>
      </c>
    </row>
    <row r="1393" spans="1:5" x14ac:dyDescent="0.2">
      <c r="A1393" s="4">
        <v>43649</v>
      </c>
      <c r="B1393" s="3">
        <v>58012.18</v>
      </c>
      <c r="C1393" s="6">
        <f t="shared" si="63"/>
        <v>-1.3832349675444117E-3</v>
      </c>
      <c r="D1393" s="7">
        <f t="shared" si="64"/>
        <v>-0.14770171035113333</v>
      </c>
      <c r="E1393" s="8">
        <f t="shared" si="65"/>
        <v>-0.6882848171527044</v>
      </c>
    </row>
    <row r="1394" spans="1:5" x14ac:dyDescent="0.2">
      <c r="A1394" s="4">
        <v>43650</v>
      </c>
      <c r="B1394" s="3">
        <v>57829.47</v>
      </c>
      <c r="C1394" s="6">
        <f t="shared" si="63"/>
        <v>-3.154481164735786E-3</v>
      </c>
      <c r="D1394" s="7">
        <f t="shared" si="64"/>
        <v>-0.30999018389689176</v>
      </c>
      <c r="E1394" s="8">
        <f t="shared" si="65"/>
        <v>-0.77184534818743455</v>
      </c>
    </row>
    <row r="1395" spans="1:5" x14ac:dyDescent="0.2">
      <c r="A1395" s="4">
        <v>43651</v>
      </c>
      <c r="B1395" s="3">
        <v>57589.82</v>
      </c>
      <c r="C1395" s="6">
        <f t="shared" si="63"/>
        <v>-4.1526913637025212E-3</v>
      </c>
      <c r="D1395" s="7">
        <f t="shared" si="64"/>
        <v>-0.40145008920254371</v>
      </c>
      <c r="E1395" s="8">
        <f t="shared" si="65"/>
        <v>-0.84293857962735541</v>
      </c>
    </row>
    <row r="1396" spans="1:5" x14ac:dyDescent="0.2">
      <c r="A1396" s="4">
        <v>43654</v>
      </c>
      <c r="B1396" s="3">
        <v>57731.4</v>
      </c>
      <c r="C1396" s="6">
        <f t="shared" si="63"/>
        <v>2.4554036305240341E-3</v>
      </c>
      <c r="D1396" s="7">
        <f t="shared" si="64"/>
        <v>0.20400930506963807</v>
      </c>
      <c r="E1396" s="8">
        <f t="shared" si="65"/>
        <v>-0.71082283004587155</v>
      </c>
    </row>
    <row r="1397" spans="1:5" x14ac:dyDescent="0.2">
      <c r="A1397" s="4">
        <v>43655</v>
      </c>
      <c r="B1397" s="3">
        <v>56963.8</v>
      </c>
      <c r="C1397" s="6">
        <f t="shared" si="63"/>
        <v>-1.3385241239970556E-2</v>
      </c>
      <c r="D1397" s="7">
        <f t="shared" si="64"/>
        <v>-1.2473722589892731</v>
      </c>
      <c r="E1397" s="8">
        <f t="shared" si="65"/>
        <v>-2.0336705396489525</v>
      </c>
    </row>
    <row r="1398" spans="1:5" x14ac:dyDescent="0.2">
      <c r="A1398" s="4">
        <v>43656</v>
      </c>
      <c r="B1398" s="3">
        <v>57597.87</v>
      </c>
      <c r="C1398" s="6">
        <f t="shared" si="63"/>
        <v>1.1069609489811606E-2</v>
      </c>
      <c r="D1398" s="7">
        <f t="shared" si="64"/>
        <v>0.99327638828453158</v>
      </c>
      <c r="E1398" s="8">
        <f t="shared" si="65"/>
        <v>-1.6100817686373048</v>
      </c>
    </row>
    <row r="1399" spans="1:5" x14ac:dyDescent="0.2">
      <c r="A1399" s="4">
        <v>43657</v>
      </c>
      <c r="B1399" s="3">
        <v>57273.14</v>
      </c>
      <c r="C1399" s="6">
        <f t="shared" si="63"/>
        <v>-5.6538349409841334E-3</v>
      </c>
      <c r="D1399" s="7">
        <f t="shared" si="64"/>
        <v>-0.53899070897429091</v>
      </c>
      <c r="E1399" s="8">
        <f t="shared" si="65"/>
        <v>-0.97883485744391596</v>
      </c>
    </row>
    <row r="1400" spans="1:5" x14ac:dyDescent="0.2">
      <c r="A1400" s="4">
        <v>43658</v>
      </c>
      <c r="B1400" s="3">
        <v>57277.35</v>
      </c>
      <c r="C1400" s="6">
        <f t="shared" si="63"/>
        <v>7.3504705250870852E-5</v>
      </c>
      <c r="D1400" s="7">
        <f t="shared" si="64"/>
        <v>-1.4229549210368529E-2</v>
      </c>
      <c r="E1400" s="8">
        <f t="shared" si="65"/>
        <v>-0.6634667249051065</v>
      </c>
    </row>
    <row r="1401" spans="1:5" x14ac:dyDescent="0.2">
      <c r="A1401" s="4">
        <v>43661</v>
      </c>
      <c r="B1401" s="3">
        <v>57537.23</v>
      </c>
      <c r="C1401" s="6">
        <f t="shared" si="63"/>
        <v>4.5269589248623007E-3</v>
      </c>
      <c r="D1401" s="7">
        <f t="shared" si="64"/>
        <v>0.39381326745322986</v>
      </c>
      <c r="E1401" s="8">
        <f t="shared" si="65"/>
        <v>-0.83638314323888863</v>
      </c>
    </row>
    <row r="1402" spans="1:5" x14ac:dyDescent="0.2">
      <c r="A1402" s="4">
        <v>43662</v>
      </c>
      <c r="B1402" s="3">
        <v>58052.72</v>
      </c>
      <c r="C1402" s="6">
        <f t="shared" si="63"/>
        <v>8.9193466641073124E-3</v>
      </c>
      <c r="D1402" s="7">
        <f t="shared" si="64"/>
        <v>0.79626093540221543</v>
      </c>
      <c r="E1402" s="8">
        <f t="shared" si="65"/>
        <v>-1.3091443156171394</v>
      </c>
    </row>
    <row r="1403" spans="1:5" x14ac:dyDescent="0.2">
      <c r="A1403" s="4">
        <v>43663</v>
      </c>
      <c r="B1403" s="3">
        <v>57636.01</v>
      </c>
      <c r="C1403" s="6">
        <f t="shared" si="63"/>
        <v>-7.2040172313244761E-3</v>
      </c>
      <c r="D1403" s="7">
        <f t="shared" si="64"/>
        <v>-0.68102444658565264</v>
      </c>
      <c r="E1403" s="8">
        <f t="shared" si="65"/>
        <v>-1.1506003600586772</v>
      </c>
    </row>
    <row r="1404" spans="1:5" x14ac:dyDescent="0.2">
      <c r="A1404" s="4">
        <v>43664</v>
      </c>
      <c r="B1404" s="3">
        <v>57872.53</v>
      </c>
      <c r="C1404" s="6">
        <f t="shared" si="63"/>
        <v>4.0952873365687264E-3</v>
      </c>
      <c r="D1404" s="7">
        <f t="shared" si="64"/>
        <v>0.35426183567128872</v>
      </c>
      <c r="E1404" s="8">
        <f t="shared" si="65"/>
        <v>-0.80421251655750625</v>
      </c>
    </row>
    <row r="1405" spans="1:5" x14ac:dyDescent="0.2">
      <c r="A1405" s="4">
        <v>43665</v>
      </c>
      <c r="B1405" s="3">
        <v>58248.73</v>
      </c>
      <c r="C1405" s="6">
        <f t="shared" si="63"/>
        <v>6.4794563231098503E-3</v>
      </c>
      <c r="D1405" s="7">
        <f t="shared" si="64"/>
        <v>0.57270868180393386</v>
      </c>
      <c r="E1405" s="8">
        <f t="shared" si="65"/>
        <v>-1.0169470566527563</v>
      </c>
    </row>
    <row r="1406" spans="1:5" x14ac:dyDescent="0.2">
      <c r="A1406" s="4">
        <v>43668</v>
      </c>
      <c r="B1406" s="3">
        <v>58015.09</v>
      </c>
      <c r="C1406" s="6">
        <f t="shared" si="63"/>
        <v>-4.0191405117839503E-3</v>
      </c>
      <c r="D1406" s="7">
        <f t="shared" si="64"/>
        <v>-0.38921364012337667</v>
      </c>
      <c r="E1406" s="8">
        <f t="shared" si="65"/>
        <v>-0.83248789937268264</v>
      </c>
    </row>
    <row r="1407" spans="1:5" x14ac:dyDescent="0.2">
      <c r="A1407" s="4">
        <v>43669</v>
      </c>
      <c r="B1407" s="3">
        <v>58309.59</v>
      </c>
      <c r="C1407" s="6">
        <f t="shared" si="63"/>
        <v>5.0634247041230441E-3</v>
      </c>
      <c r="D1407" s="7">
        <f t="shared" si="64"/>
        <v>0.44296635106397492</v>
      </c>
      <c r="E1407" s="8">
        <f t="shared" si="65"/>
        <v>-0.88046467527435812</v>
      </c>
    </row>
    <row r="1408" spans="1:5" x14ac:dyDescent="0.2">
      <c r="A1408" s="4">
        <v>43670</v>
      </c>
      <c r="B1408" s="3">
        <v>57718.1</v>
      </c>
      <c r="C1408" s="6">
        <f t="shared" si="63"/>
        <v>-1.0195757994403443E-2</v>
      </c>
      <c r="D1408" s="7">
        <f t="shared" si="64"/>
        <v>-0.95513938467534032</v>
      </c>
      <c r="E1408" s="8">
        <f t="shared" si="65"/>
        <v>-1.5494393677967973</v>
      </c>
    </row>
    <row r="1409" spans="1:5" x14ac:dyDescent="0.2">
      <c r="A1409" s="4">
        <v>43671</v>
      </c>
      <c r="B1409" s="3">
        <v>57662.89</v>
      </c>
      <c r="C1409" s="6">
        <f t="shared" si="63"/>
        <v>-9.5700347541998528E-4</v>
      </c>
      <c r="D1409" s="7">
        <f t="shared" si="64"/>
        <v>-0.10864872136310369</v>
      </c>
      <c r="E1409" s="8">
        <f t="shared" si="65"/>
        <v>-0.67681803964522813</v>
      </c>
    </row>
    <row r="1410" spans="1:5" x14ac:dyDescent="0.2">
      <c r="A1410" s="4">
        <v>43672</v>
      </c>
      <c r="B1410" s="3">
        <v>57570.54</v>
      </c>
      <c r="C1410" s="6">
        <f t="shared" si="63"/>
        <v>-1.602833826454392E-3</v>
      </c>
      <c r="D1410" s="7">
        <f t="shared" si="64"/>
        <v>-0.16782221288850055</v>
      </c>
      <c r="E1410" s="8">
        <f t="shared" si="65"/>
        <v>-0.69553066786807416</v>
      </c>
    </row>
    <row r="1411" spans="1:5" x14ac:dyDescent="0.2">
      <c r="A1411" s="4">
        <v>43675</v>
      </c>
      <c r="B1411" s="3">
        <v>58034.77</v>
      </c>
      <c r="C1411" s="6">
        <f t="shared" ref="C1411:C1474" si="66">LN(B1411/B1410)</f>
        <v>8.0313351579482627E-3</v>
      </c>
      <c r="D1411" s="7">
        <f t="shared" ref="D1411:D1474" si="67">(C1411-$G$4)/$G$5</f>
        <v>0.71489786342829087</v>
      </c>
      <c r="E1411" s="8">
        <f t="shared" ref="E1411:E1474" si="68">LN((PI()*(G$3-2))^(-1/2)*EXP(GAMMALN((G$3+1)/2))*((1+D1411^2/(G$3-2))^(-(G$3+1)/2))/EXP(GAMMALN(G$3/2)))</f>
        <v>-1.1955979637332781</v>
      </c>
    </row>
    <row r="1412" spans="1:5" x14ac:dyDescent="0.2">
      <c r="A1412" s="4">
        <v>43676</v>
      </c>
      <c r="B1412" s="3">
        <v>57241.55</v>
      </c>
      <c r="C1412" s="6">
        <f t="shared" si="66"/>
        <v>-1.3762280399652816E-2</v>
      </c>
      <c r="D1412" s="7">
        <f t="shared" si="67"/>
        <v>-1.2819180549316076</v>
      </c>
      <c r="E1412" s="8">
        <f t="shared" si="68"/>
        <v>-2.093072592688257</v>
      </c>
    </row>
    <row r="1413" spans="1:5" x14ac:dyDescent="0.2">
      <c r="A1413" s="4">
        <v>43677</v>
      </c>
      <c r="B1413" s="3">
        <v>56784.61</v>
      </c>
      <c r="C1413" s="6">
        <f t="shared" si="66"/>
        <v>-8.014694978273432E-3</v>
      </c>
      <c r="D1413" s="7">
        <f t="shared" si="67"/>
        <v>-0.75530189841503603</v>
      </c>
      <c r="E1413" s="8">
        <f t="shared" si="68"/>
        <v>-1.2510639193445809</v>
      </c>
    </row>
    <row r="1414" spans="1:5" x14ac:dyDescent="0.2">
      <c r="A1414" s="4">
        <v>43678</v>
      </c>
      <c r="B1414" s="3">
        <v>57223.61</v>
      </c>
      <c r="C1414" s="6">
        <f t="shared" si="66"/>
        <v>7.7012371515095303E-3</v>
      </c>
      <c r="D1414" s="7">
        <f t="shared" si="67"/>
        <v>0.68465299872772789</v>
      </c>
      <c r="E1414" s="8">
        <f t="shared" si="68"/>
        <v>-1.1553521492099819</v>
      </c>
    </row>
    <row r="1415" spans="1:5" x14ac:dyDescent="0.2">
      <c r="A1415" s="4">
        <v>43679</v>
      </c>
      <c r="B1415" s="3">
        <v>56273.919999999998</v>
      </c>
      <c r="C1415" s="6">
        <f t="shared" si="66"/>
        <v>-1.6735380322436141E-2</v>
      </c>
      <c r="D1415" s="7">
        <f t="shared" si="67"/>
        <v>-1.5543250466488556</v>
      </c>
      <c r="E1415" s="8">
        <f t="shared" si="68"/>
        <v>-2.5673376429005059</v>
      </c>
    </row>
    <row r="1416" spans="1:5" x14ac:dyDescent="0.2">
      <c r="A1416" s="4">
        <v>43682</v>
      </c>
      <c r="B1416" s="3">
        <v>54975.38</v>
      </c>
      <c r="C1416" s="6">
        <f t="shared" si="66"/>
        <v>-2.3345746488411197E-2</v>
      </c>
      <c r="D1416" s="7">
        <f t="shared" si="67"/>
        <v>-2.1599925345202271</v>
      </c>
      <c r="E1416" s="8">
        <f t="shared" si="68"/>
        <v>-3.6008505877236154</v>
      </c>
    </row>
    <row r="1417" spans="1:5" x14ac:dyDescent="0.2">
      <c r="A1417" s="4">
        <v>43683</v>
      </c>
      <c r="B1417" s="3">
        <v>55062.01</v>
      </c>
      <c r="C1417" s="6">
        <f t="shared" si="66"/>
        <v>1.5745560286000051E-3</v>
      </c>
      <c r="D1417" s="7">
        <f t="shared" si="67"/>
        <v>0.12330261789686253</v>
      </c>
      <c r="E1417" s="8">
        <f t="shared" si="68"/>
        <v>-0.6807167786566376</v>
      </c>
    </row>
    <row r="1418" spans="1:5" x14ac:dyDescent="0.2">
      <c r="A1418" s="4">
        <v>43684</v>
      </c>
      <c r="B1418" s="3">
        <v>55225.32</v>
      </c>
      <c r="C1418" s="6">
        <f t="shared" si="66"/>
        <v>2.9615390881633404E-3</v>
      </c>
      <c r="D1418" s="7">
        <f t="shared" si="67"/>
        <v>0.25038340651183982</v>
      </c>
      <c r="E1418" s="8">
        <f t="shared" si="68"/>
        <v>-0.73459509554137703</v>
      </c>
    </row>
    <row r="1419" spans="1:5" x14ac:dyDescent="0.2">
      <c r="A1419" s="4">
        <v>43685</v>
      </c>
      <c r="B1419" s="3">
        <v>55535.24</v>
      </c>
      <c r="C1419" s="6">
        <f t="shared" si="66"/>
        <v>5.5962304422049001E-3</v>
      </c>
      <c r="D1419" s="7">
        <f t="shared" si="67"/>
        <v>0.4917840874502753</v>
      </c>
      <c r="E1419" s="8">
        <f t="shared" si="68"/>
        <v>-0.92852742481818562</v>
      </c>
    </row>
    <row r="1420" spans="1:5" x14ac:dyDescent="0.2">
      <c r="A1420" s="4">
        <v>43689</v>
      </c>
      <c r="B1420" s="3">
        <v>55371.53</v>
      </c>
      <c r="C1420" s="6">
        <f t="shared" si="66"/>
        <v>-2.9522114637710361E-3</v>
      </c>
      <c r="D1420" s="7">
        <f t="shared" si="67"/>
        <v>-0.29145744628753073</v>
      </c>
      <c r="E1420" s="8">
        <f t="shared" si="68"/>
        <v>-0.7594728960241256</v>
      </c>
    </row>
    <row r="1421" spans="1:5" x14ac:dyDescent="0.2">
      <c r="A1421" s="4">
        <v>43690</v>
      </c>
      <c r="B1421" s="3">
        <v>55191.97</v>
      </c>
      <c r="C1421" s="6">
        <f t="shared" si="66"/>
        <v>-3.2480910583432853E-3</v>
      </c>
      <c r="D1421" s="7">
        <f t="shared" si="67"/>
        <v>-0.31856708685167651</v>
      </c>
      <c r="E1421" s="8">
        <f t="shared" si="68"/>
        <v>-0.7778086935403189</v>
      </c>
    </row>
    <row r="1422" spans="1:5" x14ac:dyDescent="0.2">
      <c r="A1422" s="4">
        <v>43691</v>
      </c>
      <c r="B1422" s="3">
        <v>54029.43</v>
      </c>
      <c r="C1422" s="6">
        <f t="shared" si="66"/>
        <v>-2.1288573580910714E-2</v>
      </c>
      <c r="D1422" s="7">
        <f t="shared" si="67"/>
        <v>-1.9715063424215056</v>
      </c>
      <c r="E1422" s="8">
        <f t="shared" si="68"/>
        <v>-3.2867439492096602</v>
      </c>
    </row>
    <row r="1423" spans="1:5" x14ac:dyDescent="0.2">
      <c r="A1423" s="4">
        <v>43692</v>
      </c>
      <c r="B1423" s="3">
        <v>53840.93</v>
      </c>
      <c r="C1423" s="6">
        <f t="shared" si="66"/>
        <v>-3.4949395157484551E-3</v>
      </c>
      <c r="D1423" s="7">
        <f t="shared" si="67"/>
        <v>-0.34118430370890024</v>
      </c>
      <c r="E1423" s="8">
        <f t="shared" si="68"/>
        <v>-0.79424469110917106</v>
      </c>
    </row>
    <row r="1424" spans="1:5" x14ac:dyDescent="0.2">
      <c r="A1424" s="4">
        <v>43693</v>
      </c>
      <c r="B1424" s="3">
        <v>53874.52</v>
      </c>
      <c r="C1424" s="6">
        <f t="shared" si="66"/>
        <v>6.2368028149746688E-4</v>
      </c>
      <c r="D1424" s="7">
        <f t="shared" si="67"/>
        <v>3.6179679384052026E-2</v>
      </c>
      <c r="E1424" s="8">
        <f t="shared" si="68"/>
        <v>-0.66474294882434948</v>
      </c>
    </row>
    <row r="1425" spans="1:5" x14ac:dyDescent="0.2">
      <c r="A1425" s="4">
        <v>43696</v>
      </c>
      <c r="B1425" s="3">
        <v>54386.31</v>
      </c>
      <c r="C1425" s="6">
        <f t="shared" si="66"/>
        <v>9.4548289083864548E-3</v>
      </c>
      <c r="D1425" s="7">
        <f t="shared" si="67"/>
        <v>0.84532390370821286</v>
      </c>
      <c r="E1425" s="8">
        <f t="shared" si="68"/>
        <v>-1.3809678900894498</v>
      </c>
    </row>
    <row r="1426" spans="1:5" x14ac:dyDescent="0.2">
      <c r="A1426" s="4">
        <v>43697</v>
      </c>
      <c r="B1426" s="3">
        <v>54280.800000000003</v>
      </c>
      <c r="C1426" s="6">
        <f t="shared" si="66"/>
        <v>-1.9418945282728213E-3</v>
      </c>
      <c r="D1426" s="7">
        <f t="shared" si="67"/>
        <v>-0.19888827463910269</v>
      </c>
      <c r="E1426" s="8">
        <f t="shared" si="68"/>
        <v>-0.70848367460948591</v>
      </c>
    </row>
    <row r="1427" spans="1:5" x14ac:dyDescent="0.2">
      <c r="A1427" s="4">
        <v>43698</v>
      </c>
      <c r="B1427" s="3">
        <v>54638.03</v>
      </c>
      <c r="C1427" s="6">
        <f t="shared" si="66"/>
        <v>6.5595871882255779E-3</v>
      </c>
      <c r="D1427" s="7">
        <f t="shared" si="67"/>
        <v>0.58005058368304763</v>
      </c>
      <c r="E1427" s="8">
        <f t="shared" si="68"/>
        <v>-1.025476877552929</v>
      </c>
    </row>
    <row r="1428" spans="1:5" x14ac:dyDescent="0.2">
      <c r="A1428" s="4">
        <v>43699</v>
      </c>
      <c r="B1428" s="3">
        <v>54187.93</v>
      </c>
      <c r="C1428" s="6">
        <f t="shared" si="66"/>
        <v>-8.2719705210667262E-3</v>
      </c>
      <c r="D1428" s="7">
        <f t="shared" si="67"/>
        <v>-0.77887448543697957</v>
      </c>
      <c r="E1428" s="8">
        <f t="shared" si="68"/>
        <v>-1.2842716477994376</v>
      </c>
    </row>
    <row r="1429" spans="1:5" x14ac:dyDescent="0.2">
      <c r="A1429" s="4">
        <v>43700</v>
      </c>
      <c r="B1429" s="3">
        <v>53995.82</v>
      </c>
      <c r="C1429" s="6">
        <f t="shared" si="66"/>
        <v>-3.5515537579742964E-3</v>
      </c>
      <c r="D1429" s="7">
        <f t="shared" si="67"/>
        <v>-0.34637152102874574</v>
      </c>
      <c r="E1429" s="8">
        <f t="shared" si="68"/>
        <v>-0.79815805654953953</v>
      </c>
    </row>
    <row r="1430" spans="1:5" x14ac:dyDescent="0.2">
      <c r="A1430" s="4">
        <v>43703</v>
      </c>
      <c r="B1430" s="3">
        <v>53811.89</v>
      </c>
      <c r="C1430" s="6">
        <f t="shared" si="66"/>
        <v>-3.4121896932721887E-3</v>
      </c>
      <c r="D1430" s="7">
        <f t="shared" si="67"/>
        <v>-0.33360244275859846</v>
      </c>
      <c r="E1430" s="8">
        <f t="shared" si="68"/>
        <v>-0.78862085510156377</v>
      </c>
    </row>
    <row r="1431" spans="1:5" x14ac:dyDescent="0.2">
      <c r="A1431" s="4">
        <v>43704</v>
      </c>
      <c r="B1431" s="3">
        <v>53895.75</v>
      </c>
      <c r="C1431" s="6">
        <f t="shared" si="66"/>
        <v>1.5571786169549804E-3</v>
      </c>
      <c r="D1431" s="7">
        <f t="shared" si="67"/>
        <v>0.12171043177698873</v>
      </c>
      <c r="E1431" s="8">
        <f t="shared" si="68"/>
        <v>-0.68026960715763207</v>
      </c>
    </row>
    <row r="1432" spans="1:5" x14ac:dyDescent="0.2">
      <c r="A1432" s="4">
        <v>43705</v>
      </c>
      <c r="B1432" s="3">
        <v>54255.62</v>
      </c>
      <c r="C1432" s="6">
        <f t="shared" si="66"/>
        <v>6.6549564406365655E-3</v>
      </c>
      <c r="D1432" s="7">
        <f t="shared" si="67"/>
        <v>0.58878868594207934</v>
      </c>
      <c r="E1432" s="8">
        <f t="shared" si="68"/>
        <v>-1.0357339509534202</v>
      </c>
    </row>
    <row r="1433" spans="1:5" x14ac:dyDescent="0.2">
      <c r="A1433" s="4">
        <v>43706</v>
      </c>
      <c r="B1433" s="3">
        <v>54411.47</v>
      </c>
      <c r="C1433" s="6">
        <f t="shared" si="66"/>
        <v>2.8683957002466529E-3</v>
      </c>
      <c r="D1433" s="7">
        <f t="shared" si="67"/>
        <v>0.24184924662494836</v>
      </c>
      <c r="E1433" s="8">
        <f t="shared" si="68"/>
        <v>-0.72987301247690695</v>
      </c>
    </row>
    <row r="1434" spans="1:5" x14ac:dyDescent="0.2">
      <c r="A1434" s="4">
        <v>43707</v>
      </c>
      <c r="B1434" s="3">
        <v>55259.57</v>
      </c>
      <c r="C1434" s="6">
        <f t="shared" si="66"/>
        <v>1.546656084263778E-2</v>
      </c>
      <c r="D1434" s="7">
        <f t="shared" si="67"/>
        <v>1.3961421922798296</v>
      </c>
      <c r="E1434" s="8">
        <f t="shared" si="68"/>
        <v>-2.2911226149694905</v>
      </c>
    </row>
    <row r="1435" spans="1:5" x14ac:dyDescent="0.2">
      <c r="A1435" s="4">
        <v>43710</v>
      </c>
      <c r="B1435" s="3">
        <v>54785.18</v>
      </c>
      <c r="C1435" s="6">
        <f t="shared" si="66"/>
        <v>-8.6218186451359254E-3</v>
      </c>
      <c r="D1435" s="7">
        <f t="shared" si="67"/>
        <v>-0.81092893281875311</v>
      </c>
      <c r="E1435" s="8">
        <f t="shared" si="68"/>
        <v>-1.3303694578485059</v>
      </c>
    </row>
    <row r="1436" spans="1:5" x14ac:dyDescent="0.2">
      <c r="A1436" s="4">
        <v>43711</v>
      </c>
      <c r="B1436" s="3">
        <v>54742.07</v>
      </c>
      <c r="C1436" s="6">
        <f t="shared" si="66"/>
        <v>-7.8720139921753226E-4</v>
      </c>
      <c r="D1436" s="7">
        <f t="shared" si="67"/>
        <v>-9.3090793958379811E-2</v>
      </c>
      <c r="E1436" s="8">
        <f t="shared" si="68"/>
        <v>-0.67321281420989187</v>
      </c>
    </row>
    <row r="1437" spans="1:5" x14ac:dyDescent="0.2">
      <c r="A1437" s="4">
        <v>43712</v>
      </c>
      <c r="B1437" s="3">
        <v>54907.17</v>
      </c>
      <c r="C1437" s="6">
        <f t="shared" si="66"/>
        <v>3.0114230571911486E-3</v>
      </c>
      <c r="D1437" s="7">
        <f t="shared" si="67"/>
        <v>0.25495396999463732</v>
      </c>
      <c r="E1437" s="8">
        <f t="shared" si="68"/>
        <v>-0.73718780351693758</v>
      </c>
    </row>
    <row r="1438" spans="1:5" x14ac:dyDescent="0.2">
      <c r="A1438" s="4">
        <v>43713</v>
      </c>
      <c r="B1438" s="3">
        <v>55476.36</v>
      </c>
      <c r="C1438" s="6">
        <f t="shared" si="66"/>
        <v>1.0313042984899613E-2</v>
      </c>
      <c r="D1438" s="7">
        <f t="shared" si="67"/>
        <v>0.92395681915139272</v>
      </c>
      <c r="E1438" s="8">
        <f t="shared" si="68"/>
        <v>-1.5006200731475259</v>
      </c>
    </row>
    <row r="1439" spans="1:5" x14ac:dyDescent="0.2">
      <c r="A1439" s="4">
        <v>43714</v>
      </c>
      <c r="B1439" s="3">
        <v>55591.09</v>
      </c>
      <c r="C1439" s="6">
        <f t="shared" si="66"/>
        <v>2.0659525505836245E-3</v>
      </c>
      <c r="D1439" s="7">
        <f t="shared" si="67"/>
        <v>0.16832628066315156</v>
      </c>
      <c r="E1439" s="8">
        <f t="shared" si="68"/>
        <v>-0.69572378832775417</v>
      </c>
    </row>
    <row r="1440" spans="1:5" x14ac:dyDescent="0.2">
      <c r="A1440" s="4">
        <v>43717</v>
      </c>
      <c r="B1440" s="3">
        <v>55523.07</v>
      </c>
      <c r="C1440" s="6">
        <f t="shared" si="66"/>
        <v>-1.2243265574197111E-3</v>
      </c>
      <c r="D1440" s="7">
        <f t="shared" si="67"/>
        <v>-0.13314190305070608</v>
      </c>
      <c r="E1440" s="8">
        <f t="shared" si="68"/>
        <v>-0.68360728700125739</v>
      </c>
    </row>
    <row r="1441" spans="1:5" x14ac:dyDescent="0.2">
      <c r="A1441" s="4">
        <v>43718</v>
      </c>
      <c r="B1441" s="3">
        <v>55335.81</v>
      </c>
      <c r="C1441" s="6">
        <f t="shared" si="66"/>
        <v>-3.3783523359420514E-3</v>
      </c>
      <c r="D1441" s="7">
        <f t="shared" si="67"/>
        <v>-0.33050213232256875</v>
      </c>
      <c r="E1441" s="8">
        <f t="shared" si="68"/>
        <v>-0.78635423224416845</v>
      </c>
    </row>
    <row r="1442" spans="1:5" x14ac:dyDescent="0.2">
      <c r="A1442" s="4">
        <v>43719</v>
      </c>
      <c r="B1442" s="3">
        <v>56243.78</v>
      </c>
      <c r="C1442" s="6">
        <f t="shared" si="66"/>
        <v>1.6275199469656131E-2</v>
      </c>
      <c r="D1442" s="7">
        <f t="shared" si="67"/>
        <v>1.470232812001153</v>
      </c>
      <c r="E1442" s="8">
        <f t="shared" si="68"/>
        <v>-2.4203935732766593</v>
      </c>
    </row>
    <row r="1443" spans="1:5" x14ac:dyDescent="0.2">
      <c r="A1443" s="4">
        <v>43720</v>
      </c>
      <c r="B1443" s="3">
        <v>56781.94</v>
      </c>
      <c r="C1443" s="6">
        <f t="shared" si="66"/>
        <v>9.5228602287667236E-3</v>
      </c>
      <c r="D1443" s="7">
        <f t="shared" si="67"/>
        <v>0.85155719818490583</v>
      </c>
      <c r="E1443" s="8">
        <f t="shared" si="68"/>
        <v>-1.3902570910133847</v>
      </c>
    </row>
    <row r="1444" spans="1:5" x14ac:dyDescent="0.2">
      <c r="A1444" s="4">
        <v>43721</v>
      </c>
      <c r="B1444" s="3">
        <v>57123.78</v>
      </c>
      <c r="C1444" s="6">
        <f t="shared" si="66"/>
        <v>6.0021748910060952E-3</v>
      </c>
      <c r="D1444" s="7">
        <f t="shared" si="67"/>
        <v>0.52897829853441758</v>
      </c>
      <c r="E1444" s="8">
        <f t="shared" si="68"/>
        <v>-0.96786142731936797</v>
      </c>
    </row>
    <row r="1445" spans="1:5" x14ac:dyDescent="0.2">
      <c r="A1445" s="4">
        <v>43724</v>
      </c>
      <c r="B1445" s="3">
        <v>57853.9</v>
      </c>
      <c r="C1445" s="6">
        <f t="shared" si="66"/>
        <v>1.2700374785333321E-2</v>
      </c>
      <c r="D1445" s="7">
        <f t="shared" si="67"/>
        <v>1.1426934546083851</v>
      </c>
      <c r="E1445" s="8">
        <f t="shared" si="68"/>
        <v>-1.8558156841430256</v>
      </c>
    </row>
    <row r="1446" spans="1:5" x14ac:dyDescent="0.2">
      <c r="A1446" s="4">
        <v>43725</v>
      </c>
      <c r="B1446" s="3">
        <v>56895.23</v>
      </c>
      <c r="C1446" s="6">
        <f t="shared" si="66"/>
        <v>-1.670936076239013E-2</v>
      </c>
      <c r="D1446" s="7">
        <f t="shared" si="67"/>
        <v>-1.5519410332412926</v>
      </c>
      <c r="E1446" s="8">
        <f t="shared" si="68"/>
        <v>-2.5631725450627023</v>
      </c>
    </row>
    <row r="1447" spans="1:5" x14ac:dyDescent="0.2">
      <c r="A1447" s="4">
        <v>43726</v>
      </c>
      <c r="B1447" s="3">
        <v>56220.41</v>
      </c>
      <c r="C1447" s="6">
        <f t="shared" si="66"/>
        <v>-1.1931648105129967E-2</v>
      </c>
      <c r="D1447" s="7">
        <f t="shared" si="67"/>
        <v>-1.1141883959080499</v>
      </c>
      <c r="E1447" s="8">
        <f t="shared" si="68"/>
        <v>-1.8080838063878311</v>
      </c>
    </row>
    <row r="1448" spans="1:5" x14ac:dyDescent="0.2">
      <c r="A1448" s="4">
        <v>43727</v>
      </c>
      <c r="B1448" s="3">
        <v>56123.83</v>
      </c>
      <c r="C1448" s="6">
        <f t="shared" si="66"/>
        <v>-1.7193587102006665E-3</v>
      </c>
      <c r="D1448" s="7">
        <f t="shared" si="67"/>
        <v>-0.17849867646723175</v>
      </c>
      <c r="E1448" s="8">
        <f t="shared" si="68"/>
        <v>-0.6997416622649103</v>
      </c>
    </row>
    <row r="1449" spans="1:5" x14ac:dyDescent="0.2">
      <c r="A1449" s="4">
        <v>43728</v>
      </c>
      <c r="B1449" s="3">
        <v>56406.89</v>
      </c>
      <c r="C1449" s="6">
        <f t="shared" si="66"/>
        <v>5.0308146433105817E-3</v>
      </c>
      <c r="D1449" s="7">
        <f t="shared" si="67"/>
        <v>0.43997849031379765</v>
      </c>
      <c r="E1449" s="8">
        <f t="shared" si="68"/>
        <v>-0.87765919074849486</v>
      </c>
    </row>
    <row r="1450" spans="1:5" x14ac:dyDescent="0.2">
      <c r="A1450" s="4">
        <v>43731</v>
      </c>
      <c r="B1450" s="3">
        <v>55622.8</v>
      </c>
      <c r="C1450" s="6">
        <f t="shared" si="66"/>
        <v>-1.3998125020811693E-2</v>
      </c>
      <c r="D1450" s="7">
        <f t="shared" si="67"/>
        <v>-1.3035270574647073</v>
      </c>
      <c r="E1450" s="8">
        <f t="shared" si="68"/>
        <v>-2.1303676340962419</v>
      </c>
    </row>
    <row r="1451" spans="1:5" x14ac:dyDescent="0.2">
      <c r="A1451" s="4">
        <v>43733</v>
      </c>
      <c r="B1451" s="3">
        <v>54876.83</v>
      </c>
      <c r="C1451" s="6">
        <f t="shared" si="66"/>
        <v>-1.35019697838144E-2</v>
      </c>
      <c r="D1451" s="7">
        <f t="shared" si="67"/>
        <v>-1.2580673826991644</v>
      </c>
      <c r="E1451" s="8">
        <f t="shared" si="68"/>
        <v>-2.0520296786609666</v>
      </c>
    </row>
    <row r="1452" spans="1:5" x14ac:dyDescent="0.2">
      <c r="A1452" s="4">
        <v>43734</v>
      </c>
      <c r="B1452" s="3">
        <v>55271.38</v>
      </c>
      <c r="C1452" s="6">
        <f t="shared" si="66"/>
        <v>7.1640145120730643E-3</v>
      </c>
      <c r="D1452" s="7">
        <f t="shared" si="67"/>
        <v>0.63543056864058656</v>
      </c>
      <c r="E1452" s="8">
        <f t="shared" si="68"/>
        <v>-1.0923569231774486</v>
      </c>
    </row>
    <row r="1453" spans="1:5" x14ac:dyDescent="0.2">
      <c r="A1453" s="4">
        <v>43735</v>
      </c>
      <c r="B1453" s="3">
        <v>55209.03</v>
      </c>
      <c r="C1453" s="6">
        <f t="shared" si="66"/>
        <v>-1.128707010037091E-3</v>
      </c>
      <c r="D1453" s="7">
        <f t="shared" si="67"/>
        <v>-0.12438086779176341</v>
      </c>
      <c r="E1453" s="8">
        <f t="shared" si="68"/>
        <v>-0.68102286626779518</v>
      </c>
    </row>
    <row r="1454" spans="1:5" x14ac:dyDescent="0.2">
      <c r="A1454" s="4">
        <v>43738</v>
      </c>
      <c r="B1454" s="3">
        <v>54824.97</v>
      </c>
      <c r="C1454" s="6">
        <f t="shared" si="66"/>
        <v>-6.9807797525044844E-3</v>
      </c>
      <c r="D1454" s="7">
        <f t="shared" si="67"/>
        <v>-0.66057055952390631</v>
      </c>
      <c r="E1454" s="8">
        <f t="shared" si="68"/>
        <v>-1.1241316851633631</v>
      </c>
    </row>
    <row r="1455" spans="1:5" x14ac:dyDescent="0.2">
      <c r="A1455" s="4">
        <v>43739</v>
      </c>
      <c r="B1455" s="3">
        <v>54945.89</v>
      </c>
      <c r="C1455" s="6">
        <f t="shared" si="66"/>
        <v>2.2031356757192485E-3</v>
      </c>
      <c r="D1455" s="7">
        <f t="shared" si="67"/>
        <v>0.18089553275797582</v>
      </c>
      <c r="E1455" s="8">
        <f t="shared" si="68"/>
        <v>-0.70072175200607489</v>
      </c>
    </row>
    <row r="1456" spans="1:5" x14ac:dyDescent="0.2">
      <c r="A1456" s="4">
        <v>43740</v>
      </c>
      <c r="B1456" s="3">
        <v>54003.82</v>
      </c>
      <c r="C1456" s="6">
        <f t="shared" si="66"/>
        <v>-1.7294097980892025E-2</v>
      </c>
      <c r="D1456" s="7">
        <f t="shared" si="67"/>
        <v>-1.6055169340768398</v>
      </c>
      <c r="E1456" s="8">
        <f t="shared" si="68"/>
        <v>-2.6567196562998787</v>
      </c>
    </row>
    <row r="1457" spans="1:5" x14ac:dyDescent="0.2">
      <c r="A1457" s="4">
        <v>43741</v>
      </c>
      <c r="B1457" s="3">
        <v>53727.29</v>
      </c>
      <c r="C1457" s="6">
        <f t="shared" si="66"/>
        <v>-5.1337187063292683E-3</v>
      </c>
      <c r="D1457" s="7">
        <f t="shared" si="67"/>
        <v>-0.49133563430293764</v>
      </c>
      <c r="E1457" s="8">
        <f t="shared" si="68"/>
        <v>-0.92806721071765941</v>
      </c>
    </row>
    <row r="1458" spans="1:5" x14ac:dyDescent="0.2">
      <c r="A1458" s="4">
        <v>43742</v>
      </c>
      <c r="B1458" s="3">
        <v>53993.87</v>
      </c>
      <c r="C1458" s="6">
        <f t="shared" si="66"/>
        <v>4.9494555053636296E-3</v>
      </c>
      <c r="D1458" s="7">
        <f t="shared" si="67"/>
        <v>0.4325240492951824</v>
      </c>
      <c r="E1458" s="8">
        <f t="shared" si="68"/>
        <v>-0.8707298139404589</v>
      </c>
    </row>
    <row r="1459" spans="1:5" x14ac:dyDescent="0.2">
      <c r="A1459" s="4">
        <v>43745</v>
      </c>
      <c r="B1459" s="3">
        <v>54714.75</v>
      </c>
      <c r="C1459" s="6">
        <f t="shared" si="66"/>
        <v>1.326280412697535E-2</v>
      </c>
      <c r="D1459" s="7">
        <f t="shared" si="67"/>
        <v>1.1942254209026049</v>
      </c>
      <c r="E1459" s="8">
        <f t="shared" si="68"/>
        <v>-1.9429168712421085</v>
      </c>
    </row>
    <row r="1460" spans="1:5" x14ac:dyDescent="0.2">
      <c r="A1460" s="4">
        <v>43746</v>
      </c>
      <c r="B1460" s="3">
        <v>54532.68</v>
      </c>
      <c r="C1460" s="6">
        <f t="shared" si="66"/>
        <v>-3.3331707403433369E-3</v>
      </c>
      <c r="D1460" s="7">
        <f t="shared" si="67"/>
        <v>-0.32636241860366055</v>
      </c>
      <c r="E1460" s="8">
        <f t="shared" si="68"/>
        <v>-0.78335772407042858</v>
      </c>
    </row>
    <row r="1461" spans="1:5" x14ac:dyDescent="0.2">
      <c r="A1461" s="4">
        <v>43747</v>
      </c>
      <c r="B1461" s="3">
        <v>54339.47</v>
      </c>
      <c r="C1461" s="6">
        <f t="shared" si="66"/>
        <v>-3.5493044425264756E-3</v>
      </c>
      <c r="D1461" s="7">
        <f t="shared" si="67"/>
        <v>-0.34616542998892952</v>
      </c>
      <c r="E1461" s="8">
        <f t="shared" si="68"/>
        <v>-0.79800156102509989</v>
      </c>
    </row>
    <row r="1462" spans="1:5" x14ac:dyDescent="0.2">
      <c r="A1462" s="4">
        <v>43748</v>
      </c>
      <c r="B1462" s="3">
        <v>55071.77</v>
      </c>
      <c r="C1462" s="6">
        <f t="shared" si="66"/>
        <v>1.3386393123302373E-2</v>
      </c>
      <c r="D1462" s="7">
        <f t="shared" si="67"/>
        <v>1.2055491259825475</v>
      </c>
      <c r="E1462" s="8">
        <f t="shared" si="68"/>
        <v>-1.9621813029273516</v>
      </c>
    </row>
    <row r="1463" spans="1:5" x14ac:dyDescent="0.2">
      <c r="A1463" s="4">
        <v>43749</v>
      </c>
      <c r="B1463" s="3">
        <v>55537.02</v>
      </c>
      <c r="C1463" s="6">
        <f t="shared" si="66"/>
        <v>8.4125817463154371E-3</v>
      </c>
      <c r="D1463" s="7">
        <f t="shared" si="67"/>
        <v>0.74982916036981473</v>
      </c>
      <c r="E1463" s="8">
        <f t="shared" si="68"/>
        <v>-1.2434415922009725</v>
      </c>
    </row>
    <row r="1464" spans="1:5" x14ac:dyDescent="0.2">
      <c r="A1464" s="4">
        <v>43752</v>
      </c>
      <c r="B1464" s="3">
        <v>55219.21</v>
      </c>
      <c r="C1464" s="6">
        <f t="shared" si="66"/>
        <v>-5.7389254268147205E-3</v>
      </c>
      <c r="D1464" s="7">
        <f t="shared" si="67"/>
        <v>-0.5467870306152971</v>
      </c>
      <c r="E1464" s="8">
        <f t="shared" si="68"/>
        <v>-0.98748983197032436</v>
      </c>
    </row>
    <row r="1465" spans="1:5" x14ac:dyDescent="0.2">
      <c r="A1465" s="4">
        <v>43753</v>
      </c>
      <c r="B1465" s="3">
        <v>55573.79</v>
      </c>
      <c r="C1465" s="6">
        <f t="shared" si="66"/>
        <v>6.4007872446214496E-3</v>
      </c>
      <c r="D1465" s="7">
        <f t="shared" si="67"/>
        <v>0.5655007145075871</v>
      </c>
      <c r="E1465" s="8">
        <f t="shared" si="68"/>
        <v>-1.0086522203117037</v>
      </c>
    </row>
    <row r="1466" spans="1:5" x14ac:dyDescent="0.2">
      <c r="A1466" s="4">
        <v>43754</v>
      </c>
      <c r="B1466" s="3">
        <v>56090.51</v>
      </c>
      <c r="C1466" s="6">
        <f t="shared" si="66"/>
        <v>9.254948775200042E-3</v>
      </c>
      <c r="D1466" s="7">
        <f t="shared" si="67"/>
        <v>0.82701010760331095</v>
      </c>
      <c r="E1466" s="8">
        <f t="shared" si="68"/>
        <v>-1.3538851496852309</v>
      </c>
    </row>
    <row r="1467" spans="1:5" x14ac:dyDescent="0.2">
      <c r="A1467" s="4">
        <v>43755</v>
      </c>
      <c r="B1467" s="3">
        <v>55993.42</v>
      </c>
      <c r="C1467" s="6">
        <f t="shared" si="66"/>
        <v>-1.7324521772880601E-3</v>
      </c>
      <c r="D1467" s="7">
        <f t="shared" si="67"/>
        <v>-0.17969835090571701</v>
      </c>
      <c r="E1467" s="8">
        <f t="shared" si="68"/>
        <v>-0.7002306280197016</v>
      </c>
    </row>
    <row r="1468" spans="1:5" x14ac:dyDescent="0.2">
      <c r="A1468" s="4">
        <v>43756</v>
      </c>
      <c r="B1468" s="3">
        <v>55722.79</v>
      </c>
      <c r="C1468" s="6">
        <f t="shared" si="66"/>
        <v>-4.8449643859195292E-3</v>
      </c>
      <c r="D1468" s="7">
        <f t="shared" si="67"/>
        <v>-0.46487883910227801</v>
      </c>
      <c r="E1468" s="8">
        <f t="shared" si="68"/>
        <v>-0.90152468821310472</v>
      </c>
    </row>
    <row r="1469" spans="1:5" x14ac:dyDescent="0.2">
      <c r="A1469" s="4">
        <v>43759</v>
      </c>
      <c r="B1469" s="3">
        <v>56110.78</v>
      </c>
      <c r="C1469" s="6">
        <f t="shared" si="66"/>
        <v>6.9387314860665959E-3</v>
      </c>
      <c r="D1469" s="7">
        <f t="shared" si="67"/>
        <v>0.61478926058057048</v>
      </c>
      <c r="E1469" s="8">
        <f t="shared" si="68"/>
        <v>-1.0669161843826391</v>
      </c>
    </row>
    <row r="1470" spans="1:5" x14ac:dyDescent="0.2">
      <c r="A1470" s="4">
        <v>43760</v>
      </c>
      <c r="B1470" s="3">
        <v>55936.83</v>
      </c>
      <c r="C1470" s="6">
        <f t="shared" si="66"/>
        <v>-3.1049326219202769E-3</v>
      </c>
      <c r="D1470" s="7">
        <f t="shared" si="67"/>
        <v>-0.30545035346976296</v>
      </c>
      <c r="E1470" s="8">
        <f t="shared" si="68"/>
        <v>-0.76874947235863378</v>
      </c>
    </row>
    <row r="1471" spans="1:5" x14ac:dyDescent="0.2">
      <c r="A1471" s="4">
        <v>43761</v>
      </c>
      <c r="B1471" s="3">
        <v>55571.45</v>
      </c>
      <c r="C1471" s="6">
        <f t="shared" si="66"/>
        <v>-6.5534381425384662E-3</v>
      </c>
      <c r="D1471" s="7">
        <f t="shared" si="67"/>
        <v>-0.62141585721660264</v>
      </c>
      <c r="E1471" s="8">
        <f t="shared" si="68"/>
        <v>-1.075018533634212</v>
      </c>
    </row>
    <row r="1472" spans="1:5" x14ac:dyDescent="0.2">
      <c r="A1472" s="4">
        <v>43762</v>
      </c>
      <c r="B1472" s="3">
        <v>55478.45</v>
      </c>
      <c r="C1472" s="6">
        <f t="shared" si="66"/>
        <v>-1.674923106488079E-3</v>
      </c>
      <c r="D1472" s="7">
        <f t="shared" si="67"/>
        <v>-0.17442731342970766</v>
      </c>
      <c r="E1472" s="8">
        <f t="shared" si="68"/>
        <v>-0.69810601064635724</v>
      </c>
    </row>
    <row r="1473" spans="1:5" x14ac:dyDescent="0.2">
      <c r="A1473" s="4">
        <v>43763</v>
      </c>
      <c r="B1473" s="3">
        <v>55141.98</v>
      </c>
      <c r="C1473" s="6">
        <f t="shared" si="66"/>
        <v>-6.0833435134307143E-3</v>
      </c>
      <c r="D1473" s="7">
        <f t="shared" si="67"/>
        <v>-0.578343956821881</v>
      </c>
      <c r="E1473" s="8">
        <f t="shared" si="68"/>
        <v>-1.0234868847272232</v>
      </c>
    </row>
    <row r="1474" spans="1:5" x14ac:dyDescent="0.2">
      <c r="A1474" s="4">
        <v>43766</v>
      </c>
      <c r="B1474" s="3">
        <v>55761.98</v>
      </c>
      <c r="C1474" s="6">
        <f t="shared" si="66"/>
        <v>1.1180961600255925E-2</v>
      </c>
      <c r="D1474" s="7">
        <f t="shared" si="67"/>
        <v>1.0034789022313575</v>
      </c>
      <c r="E1474" s="8">
        <f t="shared" si="68"/>
        <v>-1.6264676728648473</v>
      </c>
    </row>
    <row r="1475" spans="1:5" x14ac:dyDescent="0.2">
      <c r="A1475" s="4">
        <v>43767</v>
      </c>
      <c r="B1475" s="3">
        <v>55716.69</v>
      </c>
      <c r="C1475" s="6">
        <f t="shared" ref="C1475:C1538" si="69">LN(B1475/B1474)</f>
        <v>-8.1253216407651012E-4</v>
      </c>
      <c r="D1475" s="7">
        <f t="shared" ref="D1475:D1538" si="70">(C1475-$G$4)/$G$5</f>
        <v>-9.5411697268844839E-2</v>
      </c>
      <c r="E1475" s="8">
        <f t="shared" ref="E1475:E1538" si="71">LN((PI()*(G$3-2))^(-1/2)*EXP(GAMMALN((G$3+1)/2))*((1+D1475^2/(G$3-2))^(-(G$3+1)/2))/EXP(GAMMALN(G$3/2)))</f>
        <v>-0.67371564096333281</v>
      </c>
    </row>
    <row r="1476" spans="1:5" x14ac:dyDescent="0.2">
      <c r="A1476" s="4">
        <v>43768</v>
      </c>
      <c r="B1476" s="3">
        <v>55872.6</v>
      </c>
      <c r="C1476" s="6">
        <f t="shared" si="69"/>
        <v>2.794356007659067E-3</v>
      </c>
      <c r="D1476" s="7">
        <f t="shared" si="70"/>
        <v>0.23506544169094784</v>
      </c>
      <c r="E1476" s="8">
        <f t="shared" si="71"/>
        <v>-0.72623048658746125</v>
      </c>
    </row>
    <row r="1477" spans="1:5" x14ac:dyDescent="0.2">
      <c r="A1477" s="4">
        <v>43769</v>
      </c>
      <c r="B1477" s="3">
        <v>56425.11</v>
      </c>
      <c r="C1477" s="6">
        <f t="shared" si="69"/>
        <v>9.8401732010819781E-3</v>
      </c>
      <c r="D1477" s="7">
        <f t="shared" si="70"/>
        <v>0.8806306482761278</v>
      </c>
      <c r="E1477" s="8">
        <f t="shared" si="71"/>
        <v>-1.4340438020525095</v>
      </c>
    </row>
    <row r="1478" spans="1:5" x14ac:dyDescent="0.2">
      <c r="A1478" s="4">
        <v>43770</v>
      </c>
      <c r="B1478" s="3">
        <v>56650.01</v>
      </c>
      <c r="C1478" s="6">
        <f t="shared" si="69"/>
        <v>3.9778918043332718E-3</v>
      </c>
      <c r="D1478" s="7">
        <f t="shared" si="70"/>
        <v>0.3435055998878081</v>
      </c>
      <c r="E1478" s="8">
        <f t="shared" si="71"/>
        <v>-0.79598934951422629</v>
      </c>
    </row>
    <row r="1479" spans="1:5" x14ac:dyDescent="0.2">
      <c r="A1479" s="4">
        <v>43773</v>
      </c>
      <c r="B1479" s="3">
        <v>56928.87</v>
      </c>
      <c r="C1479" s="6">
        <f t="shared" si="69"/>
        <v>4.9104298322000346E-3</v>
      </c>
      <c r="D1479" s="7">
        <f t="shared" si="70"/>
        <v>0.42894836515999085</v>
      </c>
      <c r="E1479" s="8">
        <f t="shared" si="71"/>
        <v>-0.8674416674648483</v>
      </c>
    </row>
    <row r="1480" spans="1:5" x14ac:dyDescent="0.2">
      <c r="A1480" s="4">
        <v>43774</v>
      </c>
      <c r="B1480" s="3">
        <v>57246.91</v>
      </c>
      <c r="C1480" s="6">
        <f t="shared" si="69"/>
        <v>5.5710733498780867E-3</v>
      </c>
      <c r="D1480" s="7">
        <f t="shared" si="70"/>
        <v>0.48947909669346124</v>
      </c>
      <c r="E1480" s="8">
        <f t="shared" si="71"/>
        <v>-0.92616560314297069</v>
      </c>
    </row>
    <row r="1481" spans="1:5" x14ac:dyDescent="0.2">
      <c r="A1481" s="4">
        <v>43775</v>
      </c>
      <c r="B1481" s="3">
        <v>57652.58</v>
      </c>
      <c r="C1481" s="6">
        <f t="shared" si="69"/>
        <v>7.0613313538397775E-3</v>
      </c>
      <c r="D1481" s="7">
        <f t="shared" si="70"/>
        <v>0.62602233785089623</v>
      </c>
      <c r="E1481" s="8">
        <f t="shared" si="71"/>
        <v>-1.0806873007918831</v>
      </c>
    </row>
    <row r="1482" spans="1:5" x14ac:dyDescent="0.2">
      <c r="A1482" s="4">
        <v>43776</v>
      </c>
      <c r="B1482" s="3">
        <v>57483</v>
      </c>
      <c r="C1482" s="6">
        <f t="shared" si="69"/>
        <v>-2.945746616752789E-3</v>
      </c>
      <c r="D1482" s="7">
        <f t="shared" si="70"/>
        <v>-0.29086511183060326</v>
      </c>
      <c r="E1482" s="8">
        <f t="shared" si="71"/>
        <v>-0.75908910414047792</v>
      </c>
    </row>
    <row r="1483" spans="1:5" x14ac:dyDescent="0.2">
      <c r="A1483" s="4">
        <v>43777</v>
      </c>
      <c r="B1483" s="3">
        <v>56617.02</v>
      </c>
      <c r="C1483" s="6">
        <f t="shared" si="69"/>
        <v>-1.517960519595558E-2</v>
      </c>
      <c r="D1483" s="7">
        <f t="shared" si="70"/>
        <v>-1.4117788716126873</v>
      </c>
      <c r="E1483" s="8">
        <f t="shared" si="71"/>
        <v>-2.3183712192810089</v>
      </c>
    </row>
    <row r="1484" spans="1:5" x14ac:dyDescent="0.2">
      <c r="A1484" s="4">
        <v>43780</v>
      </c>
      <c r="B1484" s="3">
        <v>56174.93</v>
      </c>
      <c r="C1484" s="6">
        <f t="shared" si="69"/>
        <v>-7.8390747550185092E-3</v>
      </c>
      <c r="D1484" s="7">
        <f t="shared" si="70"/>
        <v>-0.73921088972239901</v>
      </c>
      <c r="E1484" s="8">
        <f t="shared" si="71"/>
        <v>-1.2287489853768894</v>
      </c>
    </row>
    <row r="1485" spans="1:5" x14ac:dyDescent="0.2">
      <c r="A1485" s="4">
        <v>43781</v>
      </c>
      <c r="B1485" s="3">
        <v>56399.1</v>
      </c>
      <c r="C1485" s="6">
        <f t="shared" si="69"/>
        <v>3.9826289651856799E-3</v>
      </c>
      <c r="D1485" s="7">
        <f t="shared" si="70"/>
        <v>0.34393963701087832</v>
      </c>
      <c r="E1485" s="8">
        <f t="shared" si="71"/>
        <v>-0.79631675122701395</v>
      </c>
    </row>
    <row r="1486" spans="1:5" x14ac:dyDescent="0.2">
      <c r="A1486" s="4">
        <v>43782</v>
      </c>
      <c r="B1486" s="3">
        <v>56338.33</v>
      </c>
      <c r="C1486" s="6">
        <f t="shared" si="69"/>
        <v>-1.0780803835223553E-3</v>
      </c>
      <c r="D1486" s="7">
        <f t="shared" si="70"/>
        <v>-0.11974225913822005</v>
      </c>
      <c r="E1486" s="8">
        <f t="shared" si="71"/>
        <v>-0.67972476879403276</v>
      </c>
    </row>
    <row r="1487" spans="1:5" x14ac:dyDescent="0.2">
      <c r="A1487" s="4">
        <v>43783</v>
      </c>
      <c r="B1487" s="3">
        <v>56235.94</v>
      </c>
      <c r="C1487" s="6">
        <f t="shared" si="69"/>
        <v>-1.8190662614833513E-3</v>
      </c>
      <c r="D1487" s="7">
        <f t="shared" si="70"/>
        <v>-0.18763427056155405</v>
      </c>
      <c r="E1487" s="8">
        <f t="shared" si="71"/>
        <v>-0.70354527883541507</v>
      </c>
    </row>
    <row r="1488" spans="1:5" x14ac:dyDescent="0.2">
      <c r="A1488" s="4">
        <v>43784</v>
      </c>
      <c r="B1488" s="3">
        <v>56054.77</v>
      </c>
      <c r="C1488" s="6">
        <f t="shared" si="69"/>
        <v>-3.2268058007525568E-3</v>
      </c>
      <c r="D1488" s="7">
        <f t="shared" si="70"/>
        <v>-0.31661684866970885</v>
      </c>
      <c r="E1488" s="8">
        <f t="shared" si="71"/>
        <v>-0.77643962563121649</v>
      </c>
    </row>
    <row r="1489" spans="1:5" x14ac:dyDescent="0.2">
      <c r="A1489" s="4">
        <v>43787</v>
      </c>
      <c r="B1489" s="3">
        <v>56467.03</v>
      </c>
      <c r="C1489" s="6">
        <f t="shared" si="69"/>
        <v>7.3276795196344224E-3</v>
      </c>
      <c r="D1489" s="7">
        <f t="shared" si="70"/>
        <v>0.65042619391961609</v>
      </c>
      <c r="E1489" s="8">
        <f t="shared" si="71"/>
        <v>-1.1112077680173311</v>
      </c>
    </row>
    <row r="1490" spans="1:5" x14ac:dyDescent="0.2">
      <c r="A1490" s="4">
        <v>43788</v>
      </c>
      <c r="B1490" s="3">
        <v>57372.55</v>
      </c>
      <c r="C1490" s="6">
        <f t="shared" si="69"/>
        <v>1.5909037940159174E-2</v>
      </c>
      <c r="D1490" s="7">
        <f t="shared" si="70"/>
        <v>1.4366836668922076</v>
      </c>
      <c r="E1490" s="8">
        <f t="shared" si="71"/>
        <v>-2.3618129042634552</v>
      </c>
    </row>
    <row r="1491" spans="1:5" x14ac:dyDescent="0.2">
      <c r="A1491" s="4">
        <v>43789</v>
      </c>
      <c r="B1491" s="3">
        <v>57313.440000000002</v>
      </c>
      <c r="C1491" s="6">
        <f t="shared" si="69"/>
        <v>-1.030814753119994E-3</v>
      </c>
      <c r="D1491" s="7">
        <f t="shared" si="70"/>
        <v>-0.11541159803569212</v>
      </c>
      <c r="E1491" s="8">
        <f t="shared" si="71"/>
        <v>-0.67855683226538022</v>
      </c>
    </row>
    <row r="1492" spans="1:5" x14ac:dyDescent="0.2">
      <c r="A1492" s="4">
        <v>43790</v>
      </c>
      <c r="B1492" s="3">
        <v>56540.25</v>
      </c>
      <c r="C1492" s="6">
        <f t="shared" si="69"/>
        <v>-1.3582377286739411E-2</v>
      </c>
      <c r="D1492" s="7">
        <f t="shared" si="70"/>
        <v>-1.2654346312115496</v>
      </c>
      <c r="E1492" s="8">
        <f t="shared" si="71"/>
        <v>-2.0646929881372769</v>
      </c>
    </row>
    <row r="1493" spans="1:5" x14ac:dyDescent="0.2">
      <c r="A1493" s="4">
        <v>43791</v>
      </c>
      <c r="B1493" s="3">
        <v>56759.62</v>
      </c>
      <c r="C1493" s="6">
        <f t="shared" si="69"/>
        <v>3.8723835098399915E-3</v>
      </c>
      <c r="D1493" s="7">
        <f t="shared" si="70"/>
        <v>0.33383851911333307</v>
      </c>
      <c r="E1493" s="8">
        <f t="shared" si="71"/>
        <v>-0.78879423662592352</v>
      </c>
    </row>
    <row r="1494" spans="1:5" x14ac:dyDescent="0.2">
      <c r="A1494" s="4">
        <v>43794</v>
      </c>
      <c r="B1494" s="3">
        <v>56747.88</v>
      </c>
      <c r="C1494" s="6">
        <f t="shared" si="69"/>
        <v>-2.068585783647712E-4</v>
      </c>
      <c r="D1494" s="7">
        <f t="shared" si="70"/>
        <v>-3.9917524946551902E-2</v>
      </c>
      <c r="E1494" s="8">
        <f t="shared" si="71"/>
        <v>-0.66507092190243811</v>
      </c>
    </row>
    <row r="1495" spans="1:5" x14ac:dyDescent="0.2">
      <c r="A1495" s="4">
        <v>43795</v>
      </c>
      <c r="B1495" s="3">
        <v>56053.38</v>
      </c>
      <c r="C1495" s="6">
        <f t="shared" si="69"/>
        <v>-1.2313847834912135E-2</v>
      </c>
      <c r="D1495" s="7">
        <f t="shared" si="70"/>
        <v>-1.149207023377401</v>
      </c>
      <c r="E1495" s="8">
        <f t="shared" si="71"/>
        <v>-1.8667699701287059</v>
      </c>
    </row>
    <row r="1496" spans="1:5" x14ac:dyDescent="0.2">
      <c r="A1496" s="4">
        <v>43796</v>
      </c>
      <c r="B1496" s="3">
        <v>56173.86</v>
      </c>
      <c r="C1496" s="6">
        <f t="shared" si="69"/>
        <v>2.1470731398834332E-3</v>
      </c>
      <c r="D1496" s="7">
        <f t="shared" si="70"/>
        <v>0.17575886492584394</v>
      </c>
      <c r="E1496" s="8">
        <f t="shared" si="71"/>
        <v>-0.69863691334490596</v>
      </c>
    </row>
    <row r="1497" spans="1:5" x14ac:dyDescent="0.2">
      <c r="A1497" s="4">
        <v>43797</v>
      </c>
      <c r="B1497" s="3">
        <v>55702.45</v>
      </c>
      <c r="C1497" s="6">
        <f t="shared" si="69"/>
        <v>-8.4273925372644418E-3</v>
      </c>
      <c r="D1497" s="7">
        <f t="shared" si="70"/>
        <v>-0.79311485575033702</v>
      </c>
      <c r="E1497" s="8">
        <f t="shared" si="71"/>
        <v>-1.3046203196170638</v>
      </c>
    </row>
    <row r="1498" spans="1:5" x14ac:dyDescent="0.2">
      <c r="A1498" s="4">
        <v>43798</v>
      </c>
      <c r="B1498" s="3">
        <v>55349.01</v>
      </c>
      <c r="C1498" s="6">
        <f t="shared" si="69"/>
        <v>-6.3653587874168962E-3</v>
      </c>
      <c r="D1498" s="7">
        <f t="shared" si="70"/>
        <v>-0.60418329434840845</v>
      </c>
      <c r="E1498" s="8">
        <f t="shared" si="71"/>
        <v>-1.0540783574688499</v>
      </c>
    </row>
    <row r="1499" spans="1:5" x14ac:dyDescent="0.2">
      <c r="A1499" s="4">
        <v>43801</v>
      </c>
      <c r="B1499" s="3">
        <v>54814.07</v>
      </c>
      <c r="C1499" s="6">
        <f t="shared" si="69"/>
        <v>-9.7118599921462347E-3</v>
      </c>
      <c r="D1499" s="7">
        <f t="shared" si="70"/>
        <v>-0.91080276548446248</v>
      </c>
      <c r="E1499" s="8">
        <f t="shared" si="71"/>
        <v>-1.4802472925280801</v>
      </c>
    </row>
    <row r="1500" spans="1:5" x14ac:dyDescent="0.2">
      <c r="A1500" s="4">
        <v>43802</v>
      </c>
      <c r="B1500" s="3">
        <v>54485.41</v>
      </c>
      <c r="C1500" s="6">
        <f t="shared" si="69"/>
        <v>-6.0139534162588605E-3</v>
      </c>
      <c r="D1500" s="7">
        <f t="shared" si="70"/>
        <v>-0.5719861659246761</v>
      </c>
      <c r="E1500" s="8">
        <f t="shared" si="71"/>
        <v>-1.0161120340695384</v>
      </c>
    </row>
    <row r="1501" spans="1:5" x14ac:dyDescent="0.2">
      <c r="A1501" s="4">
        <v>43803</v>
      </c>
      <c r="B1501" s="3">
        <v>55022.87</v>
      </c>
      <c r="C1501" s="6">
        <f t="shared" si="69"/>
        <v>9.8159575784477742E-3</v>
      </c>
      <c r="D1501" s="7">
        <f t="shared" si="70"/>
        <v>0.87841191863848811</v>
      </c>
      <c r="E1501" s="8">
        <f t="shared" si="71"/>
        <v>-1.4306761993323924</v>
      </c>
    </row>
    <row r="1502" spans="1:5" x14ac:dyDescent="0.2">
      <c r="A1502" s="4">
        <v>43804</v>
      </c>
      <c r="B1502" s="3">
        <v>54779.76</v>
      </c>
      <c r="C1502" s="6">
        <f t="shared" si="69"/>
        <v>-4.428134321539959E-3</v>
      </c>
      <c r="D1502" s="7">
        <f t="shared" si="70"/>
        <v>-0.42668724553193949</v>
      </c>
      <c r="E1502" s="8">
        <f t="shared" si="71"/>
        <v>-0.865374372978432</v>
      </c>
    </row>
    <row r="1503" spans="1:5" x14ac:dyDescent="0.2">
      <c r="A1503" s="4">
        <v>43805</v>
      </c>
      <c r="B1503" s="3">
        <v>55307.31</v>
      </c>
      <c r="C1503" s="6">
        <f t="shared" si="69"/>
        <v>9.5843051929889733E-3</v>
      </c>
      <c r="D1503" s="7">
        <f t="shared" si="70"/>
        <v>0.85718702506414746</v>
      </c>
      <c r="E1503" s="8">
        <f t="shared" si="71"/>
        <v>-1.3986774136105629</v>
      </c>
    </row>
    <row r="1504" spans="1:5" x14ac:dyDescent="0.2">
      <c r="A1504" s="4">
        <v>43808</v>
      </c>
      <c r="B1504" s="3">
        <v>55269.2</v>
      </c>
      <c r="C1504" s="6">
        <f t="shared" si="69"/>
        <v>-6.8929651530755601E-4</v>
      </c>
      <c r="D1504" s="7">
        <f t="shared" si="70"/>
        <v>-8.4120367268053359E-2</v>
      </c>
      <c r="E1504" s="8">
        <f t="shared" si="71"/>
        <v>-0.67138496828896099</v>
      </c>
    </row>
    <row r="1505" spans="1:5" x14ac:dyDescent="0.2">
      <c r="A1505" s="4">
        <v>43809</v>
      </c>
      <c r="B1505" s="3">
        <v>55417.93</v>
      </c>
      <c r="C1505" s="6">
        <f t="shared" si="69"/>
        <v>2.6873962584789859E-3</v>
      </c>
      <c r="D1505" s="7">
        <f t="shared" si="70"/>
        <v>0.22526537298632773</v>
      </c>
      <c r="E1505" s="8">
        <f t="shared" si="71"/>
        <v>-0.72114299323935782</v>
      </c>
    </row>
    <row r="1506" spans="1:5" x14ac:dyDescent="0.2">
      <c r="A1506" s="4">
        <v>43810</v>
      </c>
      <c r="B1506" s="3">
        <v>55766.45</v>
      </c>
      <c r="C1506" s="6">
        <f t="shared" si="69"/>
        <v>6.2692464805305806E-3</v>
      </c>
      <c r="D1506" s="7">
        <f t="shared" si="70"/>
        <v>0.55344843750216555</v>
      </c>
      <c r="E1506" s="8">
        <f t="shared" si="71"/>
        <v>-0.99496057804975468</v>
      </c>
    </row>
    <row r="1507" spans="1:5" x14ac:dyDescent="0.2">
      <c r="A1507" s="4">
        <v>43811</v>
      </c>
      <c r="B1507" s="3">
        <v>55824.08</v>
      </c>
      <c r="C1507" s="6">
        <f t="shared" si="69"/>
        <v>1.0328834377530886E-3</v>
      </c>
      <c r="D1507" s="7">
        <f t="shared" si="70"/>
        <v>7.3672465934072298E-2</v>
      </c>
      <c r="E1507" s="8">
        <f t="shared" si="71"/>
        <v>-0.66948801213902043</v>
      </c>
    </row>
    <row r="1508" spans="1:5" x14ac:dyDescent="0.2">
      <c r="A1508" s="4">
        <v>43812</v>
      </c>
      <c r="B1508" s="3">
        <v>56749.120000000003</v>
      </c>
      <c r="C1508" s="6">
        <f t="shared" si="69"/>
        <v>1.6434832114582753E-2</v>
      </c>
      <c r="D1508" s="7">
        <f t="shared" si="70"/>
        <v>1.4848589765141909</v>
      </c>
      <c r="E1508" s="8">
        <f t="shared" si="71"/>
        <v>-2.4459468988198605</v>
      </c>
    </row>
    <row r="1509" spans="1:5" x14ac:dyDescent="0.2">
      <c r="A1509" s="4">
        <v>43816</v>
      </c>
      <c r="B1509" s="3">
        <v>57326.18</v>
      </c>
      <c r="C1509" s="6">
        <f t="shared" si="69"/>
        <v>1.0117263286024213E-2</v>
      </c>
      <c r="D1509" s="7">
        <f t="shared" si="70"/>
        <v>0.9060187208045235</v>
      </c>
      <c r="E1509" s="8">
        <f t="shared" si="71"/>
        <v>-1.4728717131510292</v>
      </c>
    </row>
    <row r="1510" spans="1:5" x14ac:dyDescent="0.2">
      <c r="A1510" s="4">
        <v>43817</v>
      </c>
      <c r="B1510" s="3">
        <v>57767.81</v>
      </c>
      <c r="C1510" s="6">
        <f t="shared" si="69"/>
        <v>7.6742872059519622E-3</v>
      </c>
      <c r="D1510" s="7">
        <f t="shared" si="70"/>
        <v>0.68218373977681857</v>
      </c>
      <c r="E1510" s="8">
        <f t="shared" si="71"/>
        <v>-1.1521167000276413</v>
      </c>
    </row>
    <row r="1511" spans="1:5" x14ac:dyDescent="0.2">
      <c r="A1511" s="4">
        <v>43818</v>
      </c>
      <c r="B1511" s="3">
        <v>57558.92</v>
      </c>
      <c r="C1511" s="6">
        <f t="shared" si="69"/>
        <v>-3.6225813120728352E-3</v>
      </c>
      <c r="D1511" s="7">
        <f t="shared" si="70"/>
        <v>-0.35287934210557775</v>
      </c>
      <c r="E1511" s="8">
        <f t="shared" si="71"/>
        <v>-0.80314284433045691</v>
      </c>
    </row>
    <row r="1512" spans="1:5" x14ac:dyDescent="0.2">
      <c r="A1512" s="4">
        <v>43819</v>
      </c>
      <c r="B1512" s="3">
        <v>57411.21</v>
      </c>
      <c r="C1512" s="6">
        <f t="shared" si="69"/>
        <v>-2.5695383883032035E-3</v>
      </c>
      <c r="D1512" s="7">
        <f t="shared" si="70"/>
        <v>-0.25639544904332412</v>
      </c>
      <c r="E1512" s="8">
        <f t="shared" si="71"/>
        <v>-0.73801469409780629</v>
      </c>
    </row>
    <row r="1513" spans="1:5" x14ac:dyDescent="0.2">
      <c r="A1513" s="4">
        <v>43822</v>
      </c>
      <c r="B1513" s="3">
        <v>57092.85</v>
      </c>
      <c r="C1513" s="6">
        <f t="shared" si="69"/>
        <v>-5.5606905177180213E-3</v>
      </c>
      <c r="D1513" s="7">
        <f t="shared" si="70"/>
        <v>-0.53045645422465371</v>
      </c>
      <c r="E1513" s="8">
        <f t="shared" si="71"/>
        <v>-0.96947136065415318</v>
      </c>
    </row>
    <row r="1514" spans="1:5" x14ac:dyDescent="0.2">
      <c r="A1514" s="4">
        <v>43823</v>
      </c>
      <c r="B1514" s="3">
        <v>57244.87</v>
      </c>
      <c r="C1514" s="6">
        <f t="shared" si="69"/>
        <v>2.6591415252674375E-3</v>
      </c>
      <c r="D1514" s="7">
        <f t="shared" si="70"/>
        <v>0.22267656430991911</v>
      </c>
      <c r="E1514" s="8">
        <f t="shared" si="71"/>
        <v>-0.71983365708949509</v>
      </c>
    </row>
    <row r="1515" spans="1:5" x14ac:dyDescent="0.2">
      <c r="A1515" s="4">
        <v>43826</v>
      </c>
      <c r="B1515" s="3">
        <v>57430.7</v>
      </c>
      <c r="C1515" s="6">
        <f t="shared" si="69"/>
        <v>3.24097212094278E-3</v>
      </c>
      <c r="D1515" s="7">
        <f t="shared" si="70"/>
        <v>0.27598614904415725</v>
      </c>
      <c r="E1515" s="8">
        <f t="shared" si="71"/>
        <v>-0.74968733833818268</v>
      </c>
    </row>
    <row r="1516" spans="1:5" x14ac:dyDescent="0.2">
      <c r="A1516" s="4">
        <v>43829</v>
      </c>
      <c r="B1516" s="3">
        <v>57703.56</v>
      </c>
      <c r="C1516" s="6">
        <f t="shared" si="69"/>
        <v>4.7398664975449494E-3</v>
      </c>
      <c r="D1516" s="7">
        <f t="shared" si="70"/>
        <v>0.413320688291614</v>
      </c>
      <c r="E1516" s="8">
        <f t="shared" si="71"/>
        <v>-0.85334483623992019</v>
      </c>
    </row>
    <row r="1517" spans="1:5" x14ac:dyDescent="0.2">
      <c r="A1517" s="4">
        <v>43830</v>
      </c>
      <c r="B1517" s="3">
        <v>57084.1</v>
      </c>
      <c r="C1517" s="6">
        <f t="shared" si="69"/>
        <v>-1.0793251010022497E-2</v>
      </c>
      <c r="D1517" s="7">
        <f t="shared" si="70"/>
        <v>-1.0098840213118652</v>
      </c>
      <c r="E1517" s="8">
        <f t="shared" si="71"/>
        <v>-1.6367880923743694</v>
      </c>
    </row>
    <row r="1518" spans="1:5" x14ac:dyDescent="0.2">
      <c r="A1518" s="4">
        <v>43832</v>
      </c>
      <c r="B1518" s="3">
        <v>57718</v>
      </c>
      <c r="C1518" s="6">
        <f t="shared" si="69"/>
        <v>1.1043464229725011E-2</v>
      </c>
      <c r="D1518" s="7">
        <f t="shared" si="70"/>
        <v>0.99088085774979373</v>
      </c>
      <c r="E1518" s="8">
        <f t="shared" si="71"/>
        <v>-1.6062440267182014</v>
      </c>
    </row>
    <row r="1519" spans="1:5" x14ac:dyDescent="0.2">
      <c r="A1519" s="4">
        <v>43833</v>
      </c>
      <c r="B1519" s="3">
        <v>57810</v>
      </c>
      <c r="C1519" s="6">
        <f t="shared" si="69"/>
        <v>1.5926878236910201E-3</v>
      </c>
      <c r="D1519" s="7">
        <f t="shared" si="70"/>
        <v>0.12496392356551056</v>
      </c>
      <c r="E1519" s="8">
        <f t="shared" si="71"/>
        <v>-0.68118947620561543</v>
      </c>
    </row>
    <row r="1520" spans="1:5" x14ac:dyDescent="0.2">
      <c r="A1520" s="4">
        <v>43836</v>
      </c>
      <c r="B1520" s="3">
        <v>57195.35</v>
      </c>
      <c r="C1520" s="6">
        <f t="shared" si="69"/>
        <v>-1.0689169719438705E-2</v>
      </c>
      <c r="D1520" s="7">
        <f t="shared" si="70"/>
        <v>-1.0003476881921103</v>
      </c>
      <c r="E1520" s="8">
        <f t="shared" si="71"/>
        <v>-1.6214317292911342</v>
      </c>
    </row>
    <row r="1521" spans="1:5" x14ac:dyDescent="0.2">
      <c r="A1521" s="4">
        <v>43837</v>
      </c>
      <c r="B1521" s="3">
        <v>57384.41</v>
      </c>
      <c r="C1521" s="6">
        <f t="shared" si="69"/>
        <v>3.3000622724013444E-3</v>
      </c>
      <c r="D1521" s="7">
        <f t="shared" si="70"/>
        <v>0.28140021880871297</v>
      </c>
      <c r="E1521" s="8">
        <f t="shared" si="71"/>
        <v>-0.75305511288736393</v>
      </c>
    </row>
    <row r="1522" spans="1:5" x14ac:dyDescent="0.2">
      <c r="A1522" s="4">
        <v>43838</v>
      </c>
      <c r="B1522" s="3">
        <v>57322.33</v>
      </c>
      <c r="C1522" s="6">
        <f t="shared" si="69"/>
        <v>-1.082412525387147E-3</v>
      </c>
      <c r="D1522" s="7">
        <f t="shared" si="70"/>
        <v>-0.1201391868445635</v>
      </c>
      <c r="E1522" s="8">
        <f t="shared" si="71"/>
        <v>-0.67983394204700143</v>
      </c>
    </row>
    <row r="1523" spans="1:5" x14ac:dyDescent="0.2">
      <c r="A1523" s="4">
        <v>43839</v>
      </c>
      <c r="B1523" s="3">
        <v>57128.68</v>
      </c>
      <c r="C1523" s="6">
        <f t="shared" si="69"/>
        <v>-3.3839838511878716E-3</v>
      </c>
      <c r="D1523" s="7">
        <f t="shared" si="70"/>
        <v>-0.33101811367764128</v>
      </c>
      <c r="E1523" s="8">
        <f t="shared" si="71"/>
        <v>-0.78673013011646664</v>
      </c>
    </row>
    <row r="1524" spans="1:5" x14ac:dyDescent="0.2">
      <c r="A1524" s="4">
        <v>43840</v>
      </c>
      <c r="B1524" s="3">
        <v>57484.84</v>
      </c>
      <c r="C1524" s="6">
        <f t="shared" si="69"/>
        <v>6.2149935962747963E-3</v>
      </c>
      <c r="D1524" s="7">
        <f t="shared" si="70"/>
        <v>0.54847757699429989</v>
      </c>
      <c r="E1524" s="8">
        <f t="shared" si="71"/>
        <v>-0.98937919968876642</v>
      </c>
    </row>
    <row r="1525" spans="1:5" x14ac:dyDescent="0.2">
      <c r="A1525" s="4">
        <v>43843</v>
      </c>
      <c r="B1525" s="3">
        <v>57572.72</v>
      </c>
      <c r="C1525" s="6">
        <f t="shared" si="69"/>
        <v>1.5275835345211152E-3</v>
      </c>
      <c r="D1525" s="7">
        <f t="shared" si="70"/>
        <v>0.11899881508571861</v>
      </c>
      <c r="E1525" s="8">
        <f t="shared" si="71"/>
        <v>-0.67952124777731127</v>
      </c>
    </row>
    <row r="1526" spans="1:5" x14ac:dyDescent="0.2">
      <c r="A1526" s="4">
        <v>43844</v>
      </c>
      <c r="B1526" s="3">
        <v>57967.13</v>
      </c>
      <c r="C1526" s="6">
        <f t="shared" si="69"/>
        <v>6.8272813580972863E-3</v>
      </c>
      <c r="D1526" s="7">
        <f t="shared" si="70"/>
        <v>0.60457776588643986</v>
      </c>
      <c r="E1526" s="8">
        <f t="shared" si="71"/>
        <v>-1.0545529468985515</v>
      </c>
    </row>
    <row r="1527" spans="1:5" x14ac:dyDescent="0.2">
      <c r="A1527" s="4">
        <v>43845</v>
      </c>
      <c r="B1527" s="3">
        <v>58063.59</v>
      </c>
      <c r="C1527" s="6">
        <f t="shared" si="69"/>
        <v>1.6626635122416276E-3</v>
      </c>
      <c r="D1527" s="7">
        <f t="shared" si="70"/>
        <v>0.13137536862503918</v>
      </c>
      <c r="E1527" s="8">
        <f t="shared" si="71"/>
        <v>-0.68307222981751026</v>
      </c>
    </row>
    <row r="1528" spans="1:5" x14ac:dyDescent="0.2">
      <c r="A1528" s="4">
        <v>43846</v>
      </c>
      <c r="B1528" s="3">
        <v>58217.43</v>
      </c>
      <c r="C1528" s="6">
        <f t="shared" si="69"/>
        <v>2.6460051650254481E-3</v>
      </c>
      <c r="D1528" s="7">
        <f t="shared" si="70"/>
        <v>0.22147295983359044</v>
      </c>
      <c r="E1528" s="8">
        <f t="shared" si="71"/>
        <v>-0.7192298483246512</v>
      </c>
    </row>
    <row r="1529" spans="1:5" x14ac:dyDescent="0.2">
      <c r="A1529" s="4">
        <v>43847</v>
      </c>
      <c r="B1529" s="3">
        <v>59001.87</v>
      </c>
      <c r="C1529" s="6">
        <f t="shared" si="69"/>
        <v>1.3384343881767969E-2</v>
      </c>
      <c r="D1529" s="7">
        <f t="shared" si="70"/>
        <v>1.2053613664937353</v>
      </c>
      <c r="E1529" s="8">
        <f t="shared" si="71"/>
        <v>-1.961861540728675</v>
      </c>
    </row>
    <row r="1530" spans="1:5" x14ac:dyDescent="0.2">
      <c r="A1530" s="4">
        <v>43850</v>
      </c>
      <c r="B1530" s="3">
        <v>58850.41</v>
      </c>
      <c r="C1530" s="6">
        <f t="shared" si="69"/>
        <v>-2.5703377717724274E-3</v>
      </c>
      <c r="D1530" s="7">
        <f t="shared" si="70"/>
        <v>-0.25646869166945019</v>
      </c>
      <c r="E1530" s="8">
        <f t="shared" si="71"/>
        <v>-0.73805682656599636</v>
      </c>
    </row>
    <row r="1531" spans="1:5" x14ac:dyDescent="0.2">
      <c r="A1531" s="4">
        <v>43851</v>
      </c>
      <c r="B1531" s="3">
        <v>57976.39</v>
      </c>
      <c r="C1531" s="6">
        <f t="shared" si="69"/>
        <v>-1.4962941841088673E-2</v>
      </c>
      <c r="D1531" s="7">
        <f t="shared" si="70"/>
        <v>-1.3919273313861458</v>
      </c>
      <c r="E1531" s="8">
        <f t="shared" si="71"/>
        <v>-2.283781858474883</v>
      </c>
    </row>
    <row r="1532" spans="1:5" x14ac:dyDescent="0.2">
      <c r="A1532" s="4">
        <v>43852</v>
      </c>
      <c r="B1532" s="3">
        <v>57918.89</v>
      </c>
      <c r="C1532" s="6">
        <f t="shared" si="69"/>
        <v>-9.9227517665817543E-4</v>
      </c>
      <c r="D1532" s="7">
        <f t="shared" si="70"/>
        <v>-0.11188045197310283</v>
      </c>
      <c r="E1532" s="8">
        <f t="shared" si="71"/>
        <v>-0.67763599220048731</v>
      </c>
    </row>
    <row r="1533" spans="1:5" x14ac:dyDescent="0.2">
      <c r="A1533" s="4">
        <v>43853</v>
      </c>
      <c r="B1533" s="3">
        <v>56894.67</v>
      </c>
      <c r="C1533" s="6">
        <f t="shared" si="69"/>
        <v>-1.7841919895216451E-2</v>
      </c>
      <c r="D1533" s="7">
        <f t="shared" si="70"/>
        <v>-1.6557105110011552</v>
      </c>
      <c r="E1533" s="8">
        <f t="shared" si="71"/>
        <v>-2.7441990628891237</v>
      </c>
    </row>
    <row r="1534" spans="1:5" x14ac:dyDescent="0.2">
      <c r="A1534" s="4">
        <v>43854</v>
      </c>
      <c r="B1534" s="3">
        <v>57261.04</v>
      </c>
      <c r="C1534" s="6">
        <f t="shared" si="69"/>
        <v>6.4187986373921944E-3</v>
      </c>
      <c r="D1534" s="7">
        <f t="shared" si="70"/>
        <v>0.56715098844682388</v>
      </c>
      <c r="E1534" s="8">
        <f t="shared" si="71"/>
        <v>-1.0105443489213826</v>
      </c>
    </row>
    <row r="1535" spans="1:5" x14ac:dyDescent="0.2">
      <c r="A1535" s="4">
        <v>43857</v>
      </c>
      <c r="B1535" s="3">
        <v>55902.94</v>
      </c>
      <c r="C1535" s="6">
        <f t="shared" si="69"/>
        <v>-2.4003489575604872E-2</v>
      </c>
      <c r="D1535" s="7">
        <f t="shared" si="70"/>
        <v>-2.2202575173188905</v>
      </c>
      <c r="E1535" s="8">
        <f t="shared" si="71"/>
        <v>-3.6993954173440473</v>
      </c>
    </row>
    <row r="1536" spans="1:5" x14ac:dyDescent="0.2">
      <c r="A1536" s="4">
        <v>43858</v>
      </c>
      <c r="B1536" s="3">
        <v>55748.24</v>
      </c>
      <c r="C1536" s="6">
        <f t="shared" si="69"/>
        <v>-2.7711323605778253E-3</v>
      </c>
      <c r="D1536" s="7">
        <f t="shared" si="70"/>
        <v>-0.27486627375891248</v>
      </c>
      <c r="E1536" s="8">
        <f t="shared" si="71"/>
        <v>-0.74899836796639485</v>
      </c>
    </row>
    <row r="1537" spans="1:5" x14ac:dyDescent="0.2">
      <c r="A1537" s="4">
        <v>43859</v>
      </c>
      <c r="B1537" s="3">
        <v>56370.720000000001</v>
      </c>
      <c r="C1537" s="6">
        <f t="shared" si="69"/>
        <v>1.1104034428202071E-2</v>
      </c>
      <c r="D1537" s="7">
        <f t="shared" si="70"/>
        <v>0.99643053518525848</v>
      </c>
      <c r="E1537" s="8">
        <f t="shared" si="71"/>
        <v>-1.6151404717667992</v>
      </c>
    </row>
    <row r="1538" spans="1:5" x14ac:dyDescent="0.2">
      <c r="A1538" s="4">
        <v>43860</v>
      </c>
      <c r="B1538" s="3">
        <v>56590.93</v>
      </c>
      <c r="C1538" s="6">
        <f t="shared" si="69"/>
        <v>3.8988502549591295E-3</v>
      </c>
      <c r="D1538" s="7">
        <f t="shared" si="70"/>
        <v>0.33626350535856558</v>
      </c>
      <c r="E1538" s="8">
        <f t="shared" si="71"/>
        <v>-0.79058165750689069</v>
      </c>
    </row>
    <row r="1539" spans="1:5" x14ac:dyDescent="0.2">
      <c r="A1539" s="4">
        <v>43861</v>
      </c>
      <c r="B1539" s="3">
        <v>56079.54</v>
      </c>
      <c r="C1539" s="6">
        <f t="shared" ref="C1539:C1602" si="72">LN(B1539/B1538)</f>
        <v>-9.0776848934024101E-3</v>
      </c>
      <c r="D1539" s="7">
        <f t="shared" ref="D1539:D1602" si="73">(C1539-$G$4)/$G$5</f>
        <v>-0.85269717355768082</v>
      </c>
      <c r="E1539" s="8">
        <f t="shared" ref="E1539:E1602" si="74">LN((PI()*(G$3-2))^(-1/2)*EXP(GAMMALN((G$3+1)/2))*((1+D1539^2/(G$3-2))^(-(G$3+1)/2))/EXP(GAMMALN(G$3/2)))</f>
        <v>-1.3919597894510225</v>
      </c>
    </row>
    <row r="1540" spans="1:5" x14ac:dyDescent="0.2">
      <c r="A1540" s="4">
        <v>43864</v>
      </c>
      <c r="B1540" s="3">
        <v>55828.49</v>
      </c>
      <c r="C1540" s="6">
        <f t="shared" si="72"/>
        <v>-4.4867275592536107E-3</v>
      </c>
      <c r="D1540" s="7">
        <f t="shared" si="73"/>
        <v>-0.43205578612428092</v>
      </c>
      <c r="E1540" s="8">
        <f t="shared" si="74"/>
        <v>-0.87029788583023604</v>
      </c>
    </row>
    <row r="1541" spans="1:5" x14ac:dyDescent="0.2">
      <c r="A1541" s="4">
        <v>43865</v>
      </c>
      <c r="B1541" s="3">
        <v>56817.03</v>
      </c>
      <c r="C1541" s="6">
        <f t="shared" si="72"/>
        <v>1.7551792166871673E-2</v>
      </c>
      <c r="D1541" s="7">
        <f t="shared" si="73"/>
        <v>1.5871992057748068</v>
      </c>
      <c r="E1541" s="8">
        <f t="shared" si="74"/>
        <v>-2.6247510332177435</v>
      </c>
    </row>
    <row r="1542" spans="1:5" x14ac:dyDescent="0.2">
      <c r="A1542" s="4">
        <v>43866</v>
      </c>
      <c r="B1542" s="3">
        <v>57426.2</v>
      </c>
      <c r="C1542" s="6">
        <f t="shared" si="72"/>
        <v>1.0664540446216949E-2</v>
      </c>
      <c r="D1542" s="7">
        <f t="shared" si="73"/>
        <v>0.95616238523410502</v>
      </c>
      <c r="E1542" s="8">
        <f t="shared" si="74"/>
        <v>-1.5510530013684618</v>
      </c>
    </row>
    <row r="1543" spans="1:5" x14ac:dyDescent="0.2">
      <c r="A1543" s="4">
        <v>43867</v>
      </c>
      <c r="B1543" s="3">
        <v>57531.49</v>
      </c>
      <c r="C1543" s="6">
        <f t="shared" si="72"/>
        <v>1.8318048917267099E-3</v>
      </c>
      <c r="D1543" s="7">
        <f t="shared" si="73"/>
        <v>0.1468727604238666</v>
      </c>
      <c r="E1543" s="8">
        <f t="shared" si="74"/>
        <v>-0.68800571764249618</v>
      </c>
    </row>
    <row r="1544" spans="1:5" x14ac:dyDescent="0.2">
      <c r="A1544" s="4">
        <v>43868</v>
      </c>
      <c r="B1544" s="3">
        <v>57276.49</v>
      </c>
      <c r="C1544" s="6">
        <f t="shared" si="72"/>
        <v>-4.442207228634568E-3</v>
      </c>
      <c r="D1544" s="7">
        <f t="shared" si="73"/>
        <v>-0.42797666007767388</v>
      </c>
      <c r="E1544" s="8">
        <f t="shared" si="74"/>
        <v>-0.86655211687024669</v>
      </c>
    </row>
    <row r="1545" spans="1:5" x14ac:dyDescent="0.2">
      <c r="A1545" s="4">
        <v>43871</v>
      </c>
      <c r="B1545" s="3">
        <v>56847.74</v>
      </c>
      <c r="C1545" s="6">
        <f t="shared" si="72"/>
        <v>-7.5137771734225785E-3</v>
      </c>
      <c r="D1545" s="7">
        <f t="shared" si="73"/>
        <v>-0.70940585863804628</v>
      </c>
      <c r="E1545" s="8">
        <f t="shared" si="74"/>
        <v>-1.1882066284673714</v>
      </c>
    </row>
    <row r="1546" spans="1:5" x14ac:dyDescent="0.2">
      <c r="A1546" s="4">
        <v>43872</v>
      </c>
      <c r="B1546" s="3">
        <v>56981.2</v>
      </c>
      <c r="C1546" s="6">
        <f t="shared" si="72"/>
        <v>2.3449232006256321E-3</v>
      </c>
      <c r="D1546" s="7">
        <f t="shared" si="73"/>
        <v>0.19388665788861853</v>
      </c>
      <c r="E1546" s="8">
        <f t="shared" si="74"/>
        <v>-0.70625454163135359</v>
      </c>
    </row>
    <row r="1547" spans="1:5" x14ac:dyDescent="0.2">
      <c r="A1547" s="4">
        <v>43873</v>
      </c>
      <c r="B1547" s="3">
        <v>57744.13</v>
      </c>
      <c r="C1547" s="6">
        <f t="shared" si="72"/>
        <v>1.3300310344989475E-2</v>
      </c>
      <c r="D1547" s="7">
        <f t="shared" si="73"/>
        <v>1.1976618866404782</v>
      </c>
      <c r="E1547" s="8">
        <f t="shared" si="74"/>
        <v>-1.9487587408794942</v>
      </c>
    </row>
    <row r="1548" spans="1:5" x14ac:dyDescent="0.2">
      <c r="A1548" s="4">
        <v>43874</v>
      </c>
      <c r="B1548" s="3">
        <v>57835.69</v>
      </c>
      <c r="C1548" s="6">
        <f t="shared" si="72"/>
        <v>1.5843599540612877E-3</v>
      </c>
      <c r="D1548" s="7">
        <f t="shared" si="73"/>
        <v>0.12420089172259656</v>
      </c>
      <c r="E1548" s="8">
        <f t="shared" si="74"/>
        <v>-0.68097159283504771</v>
      </c>
    </row>
    <row r="1549" spans="1:5" x14ac:dyDescent="0.2">
      <c r="A1549" s="4">
        <v>43875</v>
      </c>
      <c r="B1549" s="3">
        <v>57861.760000000002</v>
      </c>
      <c r="C1549" s="6">
        <f t="shared" si="72"/>
        <v>4.5065816820018815E-4</v>
      </c>
      <c r="D1549" s="7">
        <f t="shared" si="73"/>
        <v>2.0326719642373165E-2</v>
      </c>
      <c r="E1549" s="8">
        <f t="shared" si="74"/>
        <v>-0.66370978835704431</v>
      </c>
    </row>
    <row r="1550" spans="1:5" x14ac:dyDescent="0.2">
      <c r="A1550" s="4">
        <v>43878</v>
      </c>
      <c r="B1550" s="3">
        <v>58187.96</v>
      </c>
      <c r="C1550" s="6">
        <f t="shared" si="72"/>
        <v>5.6217431477042319E-3</v>
      </c>
      <c r="D1550" s="7">
        <f t="shared" si="73"/>
        <v>0.49412166087065834</v>
      </c>
      <c r="E1550" s="8">
        <f t="shared" si="74"/>
        <v>-0.93093179924195468</v>
      </c>
    </row>
    <row r="1551" spans="1:5" x14ac:dyDescent="0.2">
      <c r="A1551" s="4">
        <v>43879</v>
      </c>
      <c r="B1551" s="3">
        <v>57714.66</v>
      </c>
      <c r="C1551" s="6">
        <f t="shared" si="72"/>
        <v>-8.1672464506951301E-3</v>
      </c>
      <c r="D1551" s="7">
        <f t="shared" si="73"/>
        <v>-0.76927925833018074</v>
      </c>
      <c r="E1551" s="8">
        <f t="shared" si="74"/>
        <v>-1.2706816587736931</v>
      </c>
    </row>
    <row r="1552" spans="1:5" x14ac:dyDescent="0.2">
      <c r="A1552" s="4">
        <v>43880</v>
      </c>
      <c r="B1552" s="3">
        <v>57940.97</v>
      </c>
      <c r="C1552" s="6">
        <f t="shared" si="72"/>
        <v>3.913519624423838E-3</v>
      </c>
      <c r="D1552" s="7">
        <f t="shared" si="73"/>
        <v>0.33760757010918091</v>
      </c>
      <c r="E1552" s="8">
        <f t="shared" si="74"/>
        <v>-0.79157739607336419</v>
      </c>
    </row>
    <row r="1553" spans="1:5" x14ac:dyDescent="0.2">
      <c r="A1553" s="4">
        <v>43881</v>
      </c>
      <c r="B1553" s="3">
        <v>57793.03</v>
      </c>
      <c r="C1553" s="6">
        <f t="shared" si="72"/>
        <v>-2.5565534860551866E-3</v>
      </c>
      <c r="D1553" s="7">
        <f t="shared" si="73"/>
        <v>-0.25520572173815725</v>
      </c>
      <c r="E1553" s="8">
        <f t="shared" si="74"/>
        <v>-0.73733190106239188</v>
      </c>
    </row>
    <row r="1554" spans="1:5" x14ac:dyDescent="0.2">
      <c r="A1554" s="4">
        <v>43882</v>
      </c>
      <c r="B1554" s="3">
        <v>57336.21</v>
      </c>
      <c r="C1554" s="6">
        <f t="shared" si="72"/>
        <v>-7.9358188664379447E-3</v>
      </c>
      <c r="D1554" s="7">
        <f t="shared" si="73"/>
        <v>-0.7480749619172733</v>
      </c>
      <c r="E1554" s="8">
        <f t="shared" si="74"/>
        <v>-1.2410054840148934</v>
      </c>
    </row>
    <row r="1555" spans="1:5" x14ac:dyDescent="0.2">
      <c r="A1555" s="4">
        <v>43885</v>
      </c>
      <c r="B1555" s="3">
        <v>54881.56</v>
      </c>
      <c r="C1555" s="6">
        <f t="shared" si="72"/>
        <v>-4.3754952635648811E-2</v>
      </c>
      <c r="D1555" s="7">
        <f t="shared" si="73"/>
        <v>-4.0299634720262327</v>
      </c>
      <c r="E1555" s="8">
        <f t="shared" si="74"/>
        <v>-6.1937346597484995</v>
      </c>
    </row>
    <row r="1556" spans="1:5" x14ac:dyDescent="0.2">
      <c r="A1556" s="4">
        <v>43886</v>
      </c>
      <c r="B1556" s="3">
        <v>54809.51</v>
      </c>
      <c r="C1556" s="6">
        <f t="shared" si="72"/>
        <v>-1.3136896259990313E-3</v>
      </c>
      <c r="D1556" s="7">
        <f t="shared" si="73"/>
        <v>-0.1413296953599284</v>
      </c>
      <c r="E1556" s="8">
        <f t="shared" si="74"/>
        <v>-0.68617906466175671</v>
      </c>
    </row>
    <row r="1557" spans="1:5" x14ac:dyDescent="0.2">
      <c r="A1557" s="4">
        <v>43887</v>
      </c>
      <c r="B1557" s="3">
        <v>55047.199999999997</v>
      </c>
      <c r="C1557" s="6">
        <f t="shared" si="72"/>
        <v>4.3272799795714212E-3</v>
      </c>
      <c r="D1557" s="7">
        <f t="shared" si="73"/>
        <v>0.37551790496671122</v>
      </c>
      <c r="E1557" s="8">
        <f t="shared" si="74"/>
        <v>-0.82112783558488789</v>
      </c>
    </row>
    <row r="1558" spans="1:5" x14ac:dyDescent="0.2">
      <c r="A1558" s="4">
        <v>43888</v>
      </c>
      <c r="B1558" s="3">
        <v>53444.83</v>
      </c>
      <c r="C1558" s="6">
        <f t="shared" si="72"/>
        <v>-2.9541092142443246E-2</v>
      </c>
      <c r="D1558" s="7">
        <f t="shared" si="73"/>
        <v>-2.7276342270616154</v>
      </c>
      <c r="E1558" s="8">
        <f t="shared" si="74"/>
        <v>-4.4889568246979028</v>
      </c>
    </row>
    <row r="1559" spans="1:5" x14ac:dyDescent="0.2">
      <c r="A1559" s="4">
        <v>43889</v>
      </c>
      <c r="B1559" s="3">
        <v>51038.18</v>
      </c>
      <c r="C1559" s="6">
        <f t="shared" si="72"/>
        <v>-4.6075926787182316E-2</v>
      </c>
      <c r="D1559" s="7">
        <f t="shared" si="73"/>
        <v>-4.2426201613045542</v>
      </c>
      <c r="E1559" s="8">
        <f t="shared" si="74"/>
        <v>-6.4337686485014611</v>
      </c>
    </row>
    <row r="1560" spans="1:5" x14ac:dyDescent="0.2">
      <c r="A1560" s="4">
        <v>43892</v>
      </c>
      <c r="B1560" s="3">
        <v>51840.09</v>
      </c>
      <c r="C1560" s="6">
        <f t="shared" si="72"/>
        <v>1.5589808060071476E-2</v>
      </c>
      <c r="D1560" s="7">
        <f t="shared" si="73"/>
        <v>1.4074345822467313</v>
      </c>
      <c r="E1560" s="8">
        <f t="shared" si="74"/>
        <v>-2.310798544613196</v>
      </c>
    </row>
    <row r="1561" spans="1:5" x14ac:dyDescent="0.2">
      <c r="A1561" s="4">
        <v>43893</v>
      </c>
      <c r="B1561" s="3">
        <v>52957.85</v>
      </c>
      <c r="C1561" s="6">
        <f t="shared" si="72"/>
        <v>2.133252597432499E-2</v>
      </c>
      <c r="D1561" s="7">
        <f t="shared" si="73"/>
        <v>1.9336047588071101</v>
      </c>
      <c r="E1561" s="8">
        <f t="shared" si="74"/>
        <v>-3.2225855084470258</v>
      </c>
    </row>
    <row r="1562" spans="1:5" x14ac:dyDescent="0.2">
      <c r="A1562" s="4">
        <v>43894</v>
      </c>
      <c r="B1562" s="3">
        <v>52926.75</v>
      </c>
      <c r="C1562" s="6">
        <f t="shared" si="72"/>
        <v>-5.8743199472480916E-4</v>
      </c>
      <c r="D1562" s="7">
        <f t="shared" si="73"/>
        <v>-7.4787143247554116E-2</v>
      </c>
      <c r="E1562" s="8">
        <f t="shared" si="74"/>
        <v>-0.66967848733176927</v>
      </c>
    </row>
    <row r="1563" spans="1:5" x14ac:dyDescent="0.2">
      <c r="A1563" s="4">
        <v>43895</v>
      </c>
      <c r="B1563" s="3">
        <v>52936.27</v>
      </c>
      <c r="C1563" s="6">
        <f t="shared" si="72"/>
        <v>1.7985506224296112E-4</v>
      </c>
      <c r="D1563" s="7">
        <f t="shared" si="73"/>
        <v>-4.4853153908911972E-3</v>
      </c>
      <c r="E1563" s="8">
        <f t="shared" si="74"/>
        <v>-0.66325632958983005</v>
      </c>
    </row>
    <row r="1564" spans="1:5" x14ac:dyDescent="0.2">
      <c r="A1564" s="4">
        <v>43896</v>
      </c>
      <c r="B1564" s="3">
        <v>52064.72</v>
      </c>
      <c r="C1564" s="6">
        <f t="shared" si="72"/>
        <v>-1.6601177121086129E-2</v>
      </c>
      <c r="D1564" s="7">
        <f t="shared" si="73"/>
        <v>-1.542028826774632</v>
      </c>
      <c r="E1564" s="8">
        <f t="shared" si="74"/>
        <v>-2.5458534221733102</v>
      </c>
    </row>
    <row r="1565" spans="1:5" x14ac:dyDescent="0.2">
      <c r="A1565" s="4">
        <v>43899</v>
      </c>
      <c r="B1565" s="3">
        <v>48819.55</v>
      </c>
      <c r="C1565" s="6">
        <f t="shared" si="72"/>
        <v>-6.4356712685845363E-2</v>
      </c>
      <c r="D1565" s="7">
        <f t="shared" si="73"/>
        <v>-5.9175769478964906</v>
      </c>
      <c r="E1565" s="8">
        <f t="shared" si="74"/>
        <v>-8.0458533505986356</v>
      </c>
    </row>
    <row r="1566" spans="1:5" x14ac:dyDescent="0.2">
      <c r="A1566" s="4">
        <v>43900</v>
      </c>
      <c r="B1566" s="3">
        <v>49466.01</v>
      </c>
      <c r="C1566" s="6">
        <f t="shared" si="72"/>
        <v>1.3154919655908533E-2</v>
      </c>
      <c r="D1566" s="7">
        <f t="shared" si="73"/>
        <v>1.1843406255779978</v>
      </c>
      <c r="E1566" s="8">
        <f t="shared" si="74"/>
        <v>-1.9261351232090749</v>
      </c>
    </row>
    <row r="1567" spans="1:5" x14ac:dyDescent="0.2">
      <c r="A1567" s="4">
        <v>43901</v>
      </c>
      <c r="B1567" s="3">
        <v>49074.09</v>
      </c>
      <c r="C1567" s="6">
        <f t="shared" si="72"/>
        <v>-7.9545701002005191E-3</v>
      </c>
      <c r="D1567" s="7">
        <f t="shared" si="73"/>
        <v>-0.74979302296900818</v>
      </c>
      <c r="E1567" s="8">
        <f t="shared" si="74"/>
        <v>-1.2433913721786047</v>
      </c>
    </row>
    <row r="1568" spans="1:5" x14ac:dyDescent="0.2">
      <c r="A1568" s="4">
        <v>43902</v>
      </c>
      <c r="B1568" s="3">
        <v>44303.47</v>
      </c>
      <c r="C1568" s="6">
        <f t="shared" si="72"/>
        <v>-0.10226819338964728</v>
      </c>
      <c r="D1568" s="7">
        <f t="shared" si="73"/>
        <v>-9.3911744314284373</v>
      </c>
      <c r="E1568" s="8">
        <f t="shared" si="74"/>
        <v>-10.391002625696808</v>
      </c>
    </row>
    <row r="1569" spans="1:5" x14ac:dyDescent="0.2">
      <c r="A1569" s="4">
        <v>43903</v>
      </c>
      <c r="B1569" s="3">
        <v>44177.63</v>
      </c>
      <c r="C1569" s="6">
        <f t="shared" si="72"/>
        <v>-2.8444511844131866E-3</v>
      </c>
      <c r="D1569" s="7">
        <f t="shared" si="73"/>
        <v>-0.28158402989088266</v>
      </c>
      <c r="E1569" s="8">
        <f t="shared" si="74"/>
        <v>-0.75317052331774936</v>
      </c>
    </row>
    <row r="1570" spans="1:5" x14ac:dyDescent="0.2">
      <c r="A1570" s="4">
        <v>43906</v>
      </c>
      <c r="B1570" s="3">
        <v>40500.230000000003</v>
      </c>
      <c r="C1570" s="6">
        <f t="shared" si="72"/>
        <v>-8.6910899261468569E-2</v>
      </c>
      <c r="D1570" s="7">
        <f t="shared" si="73"/>
        <v>-7.984079344473634</v>
      </c>
      <c r="E1570" s="8">
        <f t="shared" si="74"/>
        <v>-9.5572370657516501</v>
      </c>
    </row>
    <row r="1571" spans="1:5" x14ac:dyDescent="0.2">
      <c r="A1571" s="4">
        <v>43907</v>
      </c>
      <c r="B1571" s="3">
        <v>41579.58</v>
      </c>
      <c r="C1571" s="6">
        <f t="shared" si="72"/>
        <v>2.6301528260036632E-2</v>
      </c>
      <c r="D1571" s="7">
        <f t="shared" si="73"/>
        <v>2.3888840967513416</v>
      </c>
      <c r="E1571" s="8">
        <f t="shared" si="74"/>
        <v>-3.9699026403277946</v>
      </c>
    </row>
    <row r="1572" spans="1:5" x14ac:dyDescent="0.2">
      <c r="A1572" s="4">
        <v>43908</v>
      </c>
      <c r="B1572" s="3">
        <v>38604.879999999997</v>
      </c>
      <c r="C1572" s="6">
        <f t="shared" si="72"/>
        <v>-7.4230488018449378E-2</v>
      </c>
      <c r="D1572" s="7">
        <f t="shared" si="73"/>
        <v>-6.822250690825598</v>
      </c>
      <c r="E1572" s="8">
        <f t="shared" si="74"/>
        <v>-8.7584221462554517</v>
      </c>
    </row>
    <row r="1573" spans="1:5" x14ac:dyDescent="0.2">
      <c r="A1573" s="4">
        <v>43909</v>
      </c>
      <c r="B1573" s="3">
        <v>37963.01</v>
      </c>
      <c r="C1573" s="6">
        <f t="shared" si="72"/>
        <v>-1.6766428758498833E-2</v>
      </c>
      <c r="D1573" s="7">
        <f t="shared" si="73"/>
        <v>-1.5571698252587334</v>
      </c>
      <c r="E1573" s="8">
        <f t="shared" si="74"/>
        <v>-2.5723075247443141</v>
      </c>
    </row>
    <row r="1574" spans="1:5" x14ac:dyDescent="0.2">
      <c r="A1574" s="4">
        <v>43910</v>
      </c>
      <c r="B1574" s="3">
        <v>40272</v>
      </c>
      <c r="C1574" s="6">
        <f t="shared" si="72"/>
        <v>5.904417380115777E-2</v>
      </c>
      <c r="D1574" s="7">
        <f t="shared" si="73"/>
        <v>5.3888927760327903</v>
      </c>
      <c r="E1574" s="8">
        <f t="shared" si="74"/>
        <v>-7.5836655185694894</v>
      </c>
    </row>
    <row r="1575" spans="1:5" x14ac:dyDescent="0.2">
      <c r="A1575" s="4">
        <v>43913</v>
      </c>
      <c r="B1575" s="3">
        <v>38267.21</v>
      </c>
      <c r="C1575" s="6">
        <f t="shared" si="72"/>
        <v>-5.1063044670131147E-2</v>
      </c>
      <c r="D1575" s="7">
        <f t="shared" si="73"/>
        <v>-4.699559320806995</v>
      </c>
      <c r="E1575" s="8">
        <f t="shared" si="74"/>
        <v>-6.9193605165075898</v>
      </c>
    </row>
    <row r="1576" spans="1:5" x14ac:dyDescent="0.2">
      <c r="A1576" s="4">
        <v>43914</v>
      </c>
      <c r="B1576" s="3">
        <v>41149.35</v>
      </c>
      <c r="C1576" s="6">
        <f t="shared" si="72"/>
        <v>7.2614737406721072E-2</v>
      </c>
      <c r="D1576" s="7">
        <f t="shared" si="73"/>
        <v>6.6322806552529139</v>
      </c>
      <c r="E1576" s="8">
        <f t="shared" si="74"/>
        <v>-8.6161224422348415</v>
      </c>
    </row>
    <row r="1577" spans="1:5" x14ac:dyDescent="0.2">
      <c r="A1577" s="4">
        <v>43915</v>
      </c>
      <c r="B1577" s="3">
        <v>43278.25</v>
      </c>
      <c r="C1577" s="6">
        <f t="shared" si="72"/>
        <v>5.0442068210408211E-2</v>
      </c>
      <c r="D1577" s="7">
        <f t="shared" si="73"/>
        <v>4.6007343665379254</v>
      </c>
      <c r="E1577" s="8">
        <f t="shared" si="74"/>
        <v>-6.8176358186491344</v>
      </c>
    </row>
    <row r="1578" spans="1:5" x14ac:dyDescent="0.2">
      <c r="A1578" s="4">
        <v>43916</v>
      </c>
      <c r="B1578" s="3">
        <v>45046.35</v>
      </c>
      <c r="C1578" s="6">
        <f t="shared" si="72"/>
        <v>4.0041760344322691E-2</v>
      </c>
      <c r="D1578" s="7">
        <f t="shared" si="73"/>
        <v>3.6478176626548913</v>
      </c>
      <c r="E1578" s="8">
        <f t="shared" si="74"/>
        <v>-5.737551318100433</v>
      </c>
    </row>
    <row r="1579" spans="1:5" x14ac:dyDescent="0.2">
      <c r="A1579" s="4">
        <v>43917</v>
      </c>
      <c r="B1579" s="3">
        <v>42946.83</v>
      </c>
      <c r="C1579" s="6">
        <f t="shared" si="72"/>
        <v>-4.7729120729906135E-2</v>
      </c>
      <c r="D1579" s="7">
        <f t="shared" si="73"/>
        <v>-4.394092227618752</v>
      </c>
      <c r="E1579" s="8">
        <f t="shared" si="74"/>
        <v>-6.5991385633161936</v>
      </c>
    </row>
    <row r="1580" spans="1:5" x14ac:dyDescent="0.2">
      <c r="A1580" s="4">
        <v>43920</v>
      </c>
      <c r="B1580" s="3">
        <v>43413.63</v>
      </c>
      <c r="C1580" s="6">
        <f t="shared" si="72"/>
        <v>1.081060814648069E-2</v>
      </c>
      <c r="D1580" s="7">
        <f t="shared" si="73"/>
        <v>0.96954567669733049</v>
      </c>
      <c r="E1580" s="8">
        <f t="shared" si="74"/>
        <v>-1.5722308792081672</v>
      </c>
    </row>
    <row r="1581" spans="1:5" x14ac:dyDescent="0.2">
      <c r="A1581" s="4">
        <v>43921</v>
      </c>
      <c r="B1581" s="3">
        <v>44490.31</v>
      </c>
      <c r="C1581" s="6">
        <f t="shared" si="72"/>
        <v>2.449796555076519E-2</v>
      </c>
      <c r="D1581" s="7">
        <f t="shared" si="73"/>
        <v>2.2236346585333013</v>
      </c>
      <c r="E1581" s="8">
        <f t="shared" si="74"/>
        <v>-3.7048892239852402</v>
      </c>
    </row>
    <row r="1582" spans="1:5" x14ac:dyDescent="0.2">
      <c r="A1582" s="4">
        <v>43922</v>
      </c>
      <c r="B1582" s="3">
        <v>43732.44</v>
      </c>
      <c r="C1582" s="6">
        <f t="shared" si="72"/>
        <v>-1.7181251847640331E-2</v>
      </c>
      <c r="D1582" s="7">
        <f t="shared" si="73"/>
        <v>-1.5951775319429082</v>
      </c>
      <c r="E1582" s="8">
        <f t="shared" si="74"/>
        <v>-2.638677390404907</v>
      </c>
    </row>
    <row r="1583" spans="1:5" x14ac:dyDescent="0.2">
      <c r="A1583" s="4">
        <v>43923</v>
      </c>
      <c r="B1583" s="3">
        <v>45060.69</v>
      </c>
      <c r="C1583" s="6">
        <f t="shared" si="72"/>
        <v>2.9920086998988467E-2</v>
      </c>
      <c r="D1583" s="7">
        <f t="shared" si="73"/>
        <v>2.7204305385228738</v>
      </c>
      <c r="E1583" s="8">
        <f t="shared" si="74"/>
        <v>-4.4782625722269582</v>
      </c>
    </row>
    <row r="1584" spans="1:5" x14ac:dyDescent="0.2">
      <c r="A1584" s="4">
        <v>43924</v>
      </c>
      <c r="B1584" s="3">
        <v>44598.7</v>
      </c>
      <c r="C1584" s="6">
        <f t="shared" si="72"/>
        <v>-1.0305537183823904E-2</v>
      </c>
      <c r="D1584" s="7">
        <f t="shared" si="73"/>
        <v>-0.96519778147324875</v>
      </c>
      <c r="E1584" s="8">
        <f t="shared" si="74"/>
        <v>-1.565337045083063</v>
      </c>
    </row>
    <row r="1585" spans="1:5" x14ac:dyDescent="0.2">
      <c r="A1585" s="4">
        <v>43927</v>
      </c>
      <c r="B1585" s="3">
        <v>46240.35</v>
      </c>
      <c r="C1585" s="6">
        <f t="shared" si="72"/>
        <v>3.6148082920483181E-2</v>
      </c>
      <c r="D1585" s="7">
        <f t="shared" si="73"/>
        <v>3.2910637757042895</v>
      </c>
      <c r="E1585" s="8">
        <f t="shared" si="74"/>
        <v>-5.2801803189975303</v>
      </c>
    </row>
    <row r="1586" spans="1:5" x14ac:dyDescent="0.2">
      <c r="A1586" s="4">
        <v>43928</v>
      </c>
      <c r="B1586" s="3">
        <v>47496.72</v>
      </c>
      <c r="C1586" s="6">
        <f t="shared" si="72"/>
        <v>2.6807862485145811E-2</v>
      </c>
      <c r="D1586" s="7">
        <f t="shared" si="73"/>
        <v>2.435276410043103</v>
      </c>
      <c r="E1586" s="8">
        <f t="shared" si="74"/>
        <v>-4.0429316702370972</v>
      </c>
    </row>
    <row r="1587" spans="1:5" x14ac:dyDescent="0.2">
      <c r="A1587" s="4">
        <v>43929</v>
      </c>
      <c r="B1587" s="3">
        <v>46689.9</v>
      </c>
      <c r="C1587" s="6">
        <f t="shared" si="72"/>
        <v>-1.7132788830471573E-2</v>
      </c>
      <c r="D1587" s="7">
        <f t="shared" si="73"/>
        <v>-1.590737161602404</v>
      </c>
      <c r="E1587" s="8">
        <f t="shared" si="74"/>
        <v>-2.6309270421647883</v>
      </c>
    </row>
    <row r="1588" spans="1:5" x14ac:dyDescent="0.2">
      <c r="A1588" s="4">
        <v>43930</v>
      </c>
      <c r="B1588" s="3">
        <v>48011.56</v>
      </c>
      <c r="C1588" s="6">
        <f t="shared" si="72"/>
        <v>2.7913948051229986E-2</v>
      </c>
      <c r="D1588" s="7">
        <f t="shared" si="73"/>
        <v>2.5366202765340709</v>
      </c>
      <c r="E1588" s="8">
        <f t="shared" si="74"/>
        <v>-4.2003282745777035</v>
      </c>
    </row>
    <row r="1589" spans="1:5" x14ac:dyDescent="0.2">
      <c r="A1589" s="4">
        <v>43935</v>
      </c>
      <c r="B1589" s="3">
        <v>49874.51</v>
      </c>
      <c r="C1589" s="6">
        <f t="shared" si="72"/>
        <v>3.8068235354830456E-2</v>
      </c>
      <c r="D1589" s="7">
        <f t="shared" si="73"/>
        <v>3.4669956185161572</v>
      </c>
      <c r="E1589" s="8">
        <f t="shared" si="74"/>
        <v>-5.5097261155850497</v>
      </c>
    </row>
    <row r="1590" spans="1:5" x14ac:dyDescent="0.2">
      <c r="A1590" s="4">
        <v>43936</v>
      </c>
      <c r="B1590" s="3">
        <v>48301.279999999999</v>
      </c>
      <c r="C1590" s="6">
        <f t="shared" si="72"/>
        <v>-3.2051989257785282E-2</v>
      </c>
      <c r="D1590" s="7">
        <f t="shared" si="73"/>
        <v>-2.9576923978147582</v>
      </c>
      <c r="E1590" s="8">
        <f t="shared" si="74"/>
        <v>-4.8226945959721315</v>
      </c>
    </row>
    <row r="1591" spans="1:5" x14ac:dyDescent="0.2">
      <c r="A1591" s="4">
        <v>43937</v>
      </c>
      <c r="B1591" s="3">
        <v>48245.11</v>
      </c>
      <c r="C1591" s="6">
        <f t="shared" si="72"/>
        <v>-1.1635858438110091E-3</v>
      </c>
      <c r="D1591" s="7">
        <f t="shared" si="73"/>
        <v>-0.12757660235492072</v>
      </c>
      <c r="E1591" s="8">
        <f t="shared" si="74"/>
        <v>-0.68194549382521652</v>
      </c>
    </row>
    <row r="1592" spans="1:5" x14ac:dyDescent="0.2">
      <c r="A1592" s="4">
        <v>43938</v>
      </c>
      <c r="B1592" s="3">
        <v>49134.65</v>
      </c>
      <c r="C1592" s="6">
        <f t="shared" si="72"/>
        <v>1.8270013058341385E-2</v>
      </c>
      <c r="D1592" s="7">
        <f t="shared" si="73"/>
        <v>1.6530054004924686</v>
      </c>
      <c r="E1592" s="8">
        <f t="shared" si="74"/>
        <v>-2.7394898191139001</v>
      </c>
    </row>
    <row r="1593" spans="1:5" x14ac:dyDescent="0.2">
      <c r="A1593" s="4">
        <v>43941</v>
      </c>
      <c r="B1593" s="3">
        <v>48849.52</v>
      </c>
      <c r="C1593" s="6">
        <f t="shared" si="72"/>
        <v>-5.8199361145445183E-3</v>
      </c>
      <c r="D1593" s="7">
        <f t="shared" si="73"/>
        <v>-0.55420954526820532</v>
      </c>
      <c r="E1593" s="8">
        <f t="shared" si="74"/>
        <v>-0.99581856591580031</v>
      </c>
    </row>
    <row r="1594" spans="1:5" x14ac:dyDescent="0.2">
      <c r="A1594" s="4">
        <v>43942</v>
      </c>
      <c r="B1594" s="3">
        <v>47628.87</v>
      </c>
      <c r="C1594" s="6">
        <f t="shared" si="72"/>
        <v>-2.5305462454580693E-2</v>
      </c>
      <c r="D1594" s="7">
        <f t="shared" si="73"/>
        <v>-2.339549342171928</v>
      </c>
      <c r="E1594" s="8">
        <f t="shared" si="74"/>
        <v>-3.8915756142402822</v>
      </c>
    </row>
    <row r="1595" spans="1:5" x14ac:dyDescent="0.2">
      <c r="A1595" s="4">
        <v>43943</v>
      </c>
      <c r="B1595" s="3">
        <v>48108.49</v>
      </c>
      <c r="C1595" s="6">
        <f t="shared" si="72"/>
        <v>1.0019578824663476E-2</v>
      </c>
      <c r="D1595" s="7">
        <f t="shared" si="73"/>
        <v>0.89706849008644973</v>
      </c>
      <c r="E1595" s="8">
        <f t="shared" si="74"/>
        <v>-1.4591226812427414</v>
      </c>
    </row>
    <row r="1596" spans="1:5" x14ac:dyDescent="0.2">
      <c r="A1596" s="4">
        <v>43944</v>
      </c>
      <c r="B1596" s="3">
        <v>49601.82</v>
      </c>
      <c r="C1596" s="6">
        <f t="shared" si="72"/>
        <v>3.0568857793430926E-2</v>
      </c>
      <c r="D1596" s="7">
        <f t="shared" si="73"/>
        <v>2.779873444922949</v>
      </c>
      <c r="E1596" s="8">
        <f t="shared" si="74"/>
        <v>-4.5660627468297035</v>
      </c>
    </row>
    <row r="1597" spans="1:5" x14ac:dyDescent="0.2">
      <c r="A1597" s="4">
        <v>43945</v>
      </c>
      <c r="B1597" s="3">
        <v>49527.23</v>
      </c>
      <c r="C1597" s="6">
        <f t="shared" si="72"/>
        <v>-1.5049072714261071E-3</v>
      </c>
      <c r="D1597" s="7">
        <f t="shared" si="73"/>
        <v>-0.15884980060593068</v>
      </c>
      <c r="E1597" s="8">
        <f t="shared" si="74"/>
        <v>-0.6921877988376659</v>
      </c>
    </row>
    <row r="1598" spans="1:5" x14ac:dyDescent="0.2">
      <c r="A1598" s="4">
        <v>43949</v>
      </c>
      <c r="B1598" s="3">
        <v>50029.22</v>
      </c>
      <c r="C1598" s="6">
        <f t="shared" si="72"/>
        <v>1.0084615398314605E-2</v>
      </c>
      <c r="D1598" s="7">
        <f t="shared" si="73"/>
        <v>0.90302739420673772</v>
      </c>
      <c r="E1598" s="8">
        <f t="shared" si="74"/>
        <v>-1.4682693088777083</v>
      </c>
    </row>
    <row r="1599" spans="1:5" x14ac:dyDescent="0.2">
      <c r="A1599" s="4">
        <v>43950</v>
      </c>
      <c r="B1599" s="3">
        <v>50857.25</v>
      </c>
      <c r="C1599" s="6">
        <f t="shared" si="72"/>
        <v>1.6415453803105277E-2</v>
      </c>
      <c r="D1599" s="7">
        <f t="shared" si="73"/>
        <v>1.483083460160473</v>
      </c>
      <c r="E1599" s="8">
        <f t="shared" si="74"/>
        <v>-2.4428445819153048</v>
      </c>
    </row>
    <row r="1600" spans="1:5" x14ac:dyDescent="0.2">
      <c r="A1600" s="4">
        <v>43951</v>
      </c>
      <c r="B1600" s="3">
        <v>50336.72</v>
      </c>
      <c r="C1600" s="6">
        <f t="shared" si="72"/>
        <v>-1.0287857884562907E-2</v>
      </c>
      <c r="D1600" s="7">
        <f t="shared" si="73"/>
        <v>-0.96357793523449575</v>
      </c>
      <c r="E1600" s="8">
        <f t="shared" si="74"/>
        <v>-1.5627720300952919</v>
      </c>
    </row>
    <row r="1601" spans="1:5" x14ac:dyDescent="0.2">
      <c r="A1601" s="4">
        <v>43955</v>
      </c>
      <c r="B1601" s="3">
        <v>49186.59</v>
      </c>
      <c r="C1601" s="6">
        <f t="shared" si="72"/>
        <v>-2.3113805280349002E-2</v>
      </c>
      <c r="D1601" s="7">
        <f t="shared" si="73"/>
        <v>-2.138741177894333</v>
      </c>
      <c r="E1601" s="8">
        <f t="shared" si="74"/>
        <v>-3.565874460818816</v>
      </c>
    </row>
    <row r="1602" spans="1:5" x14ac:dyDescent="0.2">
      <c r="A1602" s="4">
        <v>43956</v>
      </c>
      <c r="B1602" s="3">
        <v>49184.160000000003</v>
      </c>
      <c r="C1602" s="6">
        <f t="shared" si="72"/>
        <v>-4.9404929828969385E-5</v>
      </c>
      <c r="D1602" s="7">
        <f t="shared" si="73"/>
        <v>-2.549100856751645E-2</v>
      </c>
      <c r="E1602" s="8">
        <f t="shared" si="74"/>
        <v>-0.66398272776046863</v>
      </c>
    </row>
    <row r="1603" spans="1:5" x14ac:dyDescent="0.2">
      <c r="A1603" s="4">
        <v>43957</v>
      </c>
      <c r="B1603" s="3">
        <v>49831.99</v>
      </c>
      <c r="C1603" s="6">
        <f t="shared" ref="C1603:C1666" si="75">LN(B1603/B1602)</f>
        <v>1.3085526836228612E-2</v>
      </c>
      <c r="D1603" s="7">
        <f t="shared" ref="D1603:D1666" si="76">(C1603-$G$4)/$G$5</f>
        <v>1.1779825852340029</v>
      </c>
      <c r="E1603" s="8">
        <f t="shared" ref="E1603:E1666" si="77">LN((PI()*(G$3-2))^(-1/2)*EXP(GAMMALN((G$3+1)/2))*((1+D1603^2/(G$3-2))^(-(G$3+1)/2))/EXP(GAMMALN(G$3/2)))</f>
        <v>-1.9153586185582656</v>
      </c>
    </row>
    <row r="1604" spans="1:5" x14ac:dyDescent="0.2">
      <c r="A1604" s="4">
        <v>43958</v>
      </c>
      <c r="B1604" s="3">
        <v>50019.7</v>
      </c>
      <c r="C1604" s="6">
        <f t="shared" si="75"/>
        <v>3.759780552968924E-3</v>
      </c>
      <c r="D1604" s="7">
        <f t="shared" si="76"/>
        <v>0.32352139774628574</v>
      </c>
      <c r="E1604" s="8">
        <f t="shared" si="77"/>
        <v>-0.78132118686101515</v>
      </c>
    </row>
    <row r="1605" spans="1:5" x14ac:dyDescent="0.2">
      <c r="A1605" s="4">
        <v>43959</v>
      </c>
      <c r="B1605" s="3">
        <v>51003.58</v>
      </c>
      <c r="C1605" s="6">
        <f t="shared" si="75"/>
        <v>1.9478898508600028E-2</v>
      </c>
      <c r="D1605" s="7">
        <f t="shared" si="76"/>
        <v>1.7637681926583701</v>
      </c>
      <c r="E1605" s="8">
        <f t="shared" si="77"/>
        <v>-2.9316421177225815</v>
      </c>
    </row>
    <row r="1606" spans="1:5" x14ac:dyDescent="0.2">
      <c r="A1606" s="4">
        <v>43962</v>
      </c>
      <c r="B1606" s="3">
        <v>50202.85</v>
      </c>
      <c r="C1606" s="6">
        <f t="shared" si="75"/>
        <v>-1.5824028344598305E-2</v>
      </c>
      <c r="D1606" s="7">
        <f t="shared" si="76"/>
        <v>-1.4708234297755294</v>
      </c>
      <c r="E1606" s="8">
        <f t="shared" si="77"/>
        <v>-2.4214253103223133</v>
      </c>
    </row>
    <row r="1607" spans="1:5" x14ac:dyDescent="0.2">
      <c r="A1607" s="4">
        <v>43963</v>
      </c>
      <c r="B1607" s="3">
        <v>50319.41</v>
      </c>
      <c r="C1607" s="6">
        <f t="shared" si="75"/>
        <v>2.3190893686633848E-3</v>
      </c>
      <c r="D1607" s="7">
        <f t="shared" si="76"/>
        <v>0.19151966161128636</v>
      </c>
      <c r="E1607" s="8">
        <f t="shared" si="77"/>
        <v>-0.70521876516409465</v>
      </c>
    </row>
    <row r="1608" spans="1:5" x14ac:dyDescent="0.2">
      <c r="A1608" s="4">
        <v>43964</v>
      </c>
      <c r="B1608" s="3">
        <v>50152.05</v>
      </c>
      <c r="C1608" s="6">
        <f t="shared" si="75"/>
        <v>-3.3314964228088684E-3</v>
      </c>
      <c r="D1608" s="7">
        <f t="shared" si="76"/>
        <v>-0.32620901111161871</v>
      </c>
      <c r="E1608" s="8">
        <f t="shared" si="77"/>
        <v>-0.78324734192273926</v>
      </c>
    </row>
    <row r="1609" spans="1:5" x14ac:dyDescent="0.2">
      <c r="A1609" s="4">
        <v>43965</v>
      </c>
      <c r="B1609" s="3">
        <v>49113.06</v>
      </c>
      <c r="C1609" s="6">
        <f t="shared" si="75"/>
        <v>-2.0934403728346453E-2</v>
      </c>
      <c r="D1609" s="7">
        <f t="shared" si="76"/>
        <v>-1.9390559214468714</v>
      </c>
      <c r="E1609" s="8">
        <f t="shared" si="77"/>
        <v>-3.2318319889946929</v>
      </c>
    </row>
    <row r="1610" spans="1:5" x14ac:dyDescent="0.2">
      <c r="A1610" s="4">
        <v>43966</v>
      </c>
      <c r="B1610" s="3">
        <v>49628.72</v>
      </c>
      <c r="C1610" s="6">
        <f t="shared" si="75"/>
        <v>1.0444711202415118E-2</v>
      </c>
      <c r="D1610" s="7">
        <f t="shared" si="76"/>
        <v>0.93602077393586336</v>
      </c>
      <c r="E1610" s="8">
        <f t="shared" si="77"/>
        <v>-1.5194217090361424</v>
      </c>
    </row>
    <row r="1611" spans="1:5" x14ac:dyDescent="0.2">
      <c r="A1611" s="4">
        <v>43969</v>
      </c>
      <c r="B1611" s="3">
        <v>51382.06</v>
      </c>
      <c r="C1611" s="6">
        <f t="shared" si="75"/>
        <v>3.471938588512985E-2</v>
      </c>
      <c r="D1611" s="7">
        <f t="shared" si="76"/>
        <v>3.1601609901996546</v>
      </c>
      <c r="E1611" s="8">
        <f t="shared" si="77"/>
        <v>-5.1041366590991233</v>
      </c>
    </row>
    <row r="1612" spans="1:5" x14ac:dyDescent="0.2">
      <c r="A1612" s="4">
        <v>43970</v>
      </c>
      <c r="B1612" s="3">
        <v>51950.14</v>
      </c>
      <c r="C1612" s="6">
        <f t="shared" si="75"/>
        <v>1.0995328140963854E-2</v>
      </c>
      <c r="D1612" s="7">
        <f t="shared" si="76"/>
        <v>0.98647044186300248</v>
      </c>
      <c r="E1612" s="8">
        <f t="shared" si="77"/>
        <v>-1.59918808701742</v>
      </c>
    </row>
    <row r="1613" spans="1:5" x14ac:dyDescent="0.2">
      <c r="A1613" s="4">
        <v>43971</v>
      </c>
      <c r="B1613" s="3">
        <v>52142.75</v>
      </c>
      <c r="C1613" s="6">
        <f t="shared" si="75"/>
        <v>3.700737290000184E-3</v>
      </c>
      <c r="D1613" s="7">
        <f t="shared" si="76"/>
        <v>0.31811162408774429</v>
      </c>
      <c r="E1613" s="8">
        <f t="shared" si="77"/>
        <v>-0.77748826955313022</v>
      </c>
    </row>
    <row r="1614" spans="1:5" x14ac:dyDescent="0.2">
      <c r="A1614" s="4">
        <v>43972</v>
      </c>
      <c r="B1614" s="3">
        <v>51022.76</v>
      </c>
      <c r="C1614" s="6">
        <f t="shared" si="75"/>
        <v>-2.1713342047269012E-2</v>
      </c>
      <c r="D1614" s="7">
        <f t="shared" si="76"/>
        <v>-2.0104252832920464</v>
      </c>
      <c r="E1614" s="8">
        <f t="shared" si="77"/>
        <v>-3.352294656824399</v>
      </c>
    </row>
    <row r="1615" spans="1:5" x14ac:dyDescent="0.2">
      <c r="A1615" s="4">
        <v>43973</v>
      </c>
      <c r="B1615" s="3">
        <v>50147.21</v>
      </c>
      <c r="C1615" s="6">
        <f t="shared" si="75"/>
        <v>-1.7308927923609302E-2</v>
      </c>
      <c r="D1615" s="7">
        <f t="shared" si="76"/>
        <v>-1.6068757111741028</v>
      </c>
      <c r="E1615" s="8">
        <f t="shared" si="77"/>
        <v>-2.659090236425953</v>
      </c>
    </row>
    <row r="1616" spans="1:5" x14ac:dyDescent="0.2">
      <c r="A1616" s="4">
        <v>43976</v>
      </c>
      <c r="B1616" s="3">
        <v>50074.21</v>
      </c>
      <c r="C1616" s="6">
        <f t="shared" si="75"/>
        <v>-1.4567746677307985E-3</v>
      </c>
      <c r="D1616" s="7">
        <f t="shared" si="76"/>
        <v>-0.15443970403444282</v>
      </c>
      <c r="E1616" s="8">
        <f t="shared" si="77"/>
        <v>-0.69061056613172789</v>
      </c>
    </row>
    <row r="1617" spans="1:5" x14ac:dyDescent="0.2">
      <c r="A1617" s="4">
        <v>43977</v>
      </c>
      <c r="B1617" s="3">
        <v>50602.5</v>
      </c>
      <c r="C1617" s="6">
        <f t="shared" si="75"/>
        <v>1.0494877095615531E-2</v>
      </c>
      <c r="D1617" s="7">
        <f t="shared" si="76"/>
        <v>0.94061716840912402</v>
      </c>
      <c r="E1617" s="8">
        <f t="shared" si="77"/>
        <v>-1.5266139547894817</v>
      </c>
    </row>
    <row r="1618" spans="1:5" x14ac:dyDescent="0.2">
      <c r="A1618" s="4">
        <v>43978</v>
      </c>
      <c r="B1618" s="3">
        <v>50495.95</v>
      </c>
      <c r="C1618" s="6">
        <f t="shared" si="75"/>
        <v>-2.1078471420740872E-3</v>
      </c>
      <c r="D1618" s="7">
        <f t="shared" si="76"/>
        <v>-0.21409349930941787</v>
      </c>
      <c r="E1618" s="8">
        <f t="shared" si="77"/>
        <v>-0.71559645005688699</v>
      </c>
    </row>
    <row r="1619" spans="1:5" x14ac:dyDescent="0.2">
      <c r="A1619" s="4">
        <v>43979</v>
      </c>
      <c r="B1619" s="3">
        <v>51389.120000000003</v>
      </c>
      <c r="C1619" s="6">
        <f t="shared" si="75"/>
        <v>1.7533341857966022E-2</v>
      </c>
      <c r="D1619" s="7">
        <f t="shared" si="76"/>
        <v>1.5855087166302182</v>
      </c>
      <c r="E1619" s="8">
        <f t="shared" si="77"/>
        <v>-2.6217998133017377</v>
      </c>
    </row>
    <row r="1620" spans="1:5" x14ac:dyDescent="0.2">
      <c r="A1620" s="4">
        <v>43980</v>
      </c>
      <c r="B1620" s="3">
        <v>50483</v>
      </c>
      <c r="C1620" s="6">
        <f t="shared" si="75"/>
        <v>-1.7789830959328089E-2</v>
      </c>
      <c r="D1620" s="7">
        <f t="shared" si="76"/>
        <v>-1.6509379198687932</v>
      </c>
      <c r="E1620" s="8">
        <f t="shared" si="77"/>
        <v>-2.735890152176478</v>
      </c>
    </row>
    <row r="1621" spans="1:5" x14ac:dyDescent="0.2">
      <c r="A1621" s="4">
        <v>43983</v>
      </c>
      <c r="B1621" s="3">
        <v>50929.59</v>
      </c>
      <c r="C1621" s="6">
        <f t="shared" si="75"/>
        <v>8.8074446549231168E-3</v>
      </c>
      <c r="D1621" s="7">
        <f t="shared" si="76"/>
        <v>0.7860080375916213</v>
      </c>
      <c r="E1621" s="8">
        <f t="shared" si="77"/>
        <v>-1.2944385531118359</v>
      </c>
    </row>
    <row r="1622" spans="1:5" x14ac:dyDescent="0.2">
      <c r="A1622" s="4">
        <v>43984</v>
      </c>
      <c r="B1622" s="3">
        <v>52496.86</v>
      </c>
      <c r="C1622" s="6">
        <f t="shared" si="75"/>
        <v>3.0309267686067683E-2</v>
      </c>
      <c r="D1622" s="7">
        <f t="shared" si="76"/>
        <v>2.75608878848255</v>
      </c>
      <c r="E1622" s="8">
        <f t="shared" si="77"/>
        <v>-4.5310533215353557</v>
      </c>
    </row>
    <row r="1623" spans="1:5" x14ac:dyDescent="0.2">
      <c r="A1623" s="4">
        <v>43985</v>
      </c>
      <c r="B1623" s="3">
        <v>53645.279999999999</v>
      </c>
      <c r="C1623" s="6">
        <f t="shared" si="75"/>
        <v>2.1640129288535634E-2</v>
      </c>
      <c r="D1623" s="7">
        <f t="shared" si="76"/>
        <v>1.9617885722148789</v>
      </c>
      <c r="E1623" s="8">
        <f t="shared" si="77"/>
        <v>-3.2703236839700844</v>
      </c>
    </row>
    <row r="1624" spans="1:5" x14ac:dyDescent="0.2">
      <c r="A1624" s="4">
        <v>43986</v>
      </c>
      <c r="B1624" s="3">
        <v>53204.79</v>
      </c>
      <c r="C1624" s="6">
        <f t="shared" si="75"/>
        <v>-8.2450576852004954E-3</v>
      </c>
      <c r="D1624" s="7">
        <f t="shared" si="76"/>
        <v>-0.77640862662048993</v>
      </c>
      <c r="E1624" s="8">
        <f t="shared" si="77"/>
        <v>-1.2807697751903868</v>
      </c>
    </row>
    <row r="1625" spans="1:5" x14ac:dyDescent="0.2">
      <c r="A1625" s="4">
        <v>43987</v>
      </c>
      <c r="B1625" s="3">
        <v>54722.38</v>
      </c>
      <c r="C1625" s="6">
        <f t="shared" si="75"/>
        <v>2.8124336632055671E-2</v>
      </c>
      <c r="D1625" s="7">
        <f t="shared" si="76"/>
        <v>2.5558968975299545</v>
      </c>
      <c r="E1625" s="8">
        <f t="shared" si="77"/>
        <v>-4.2299330135180995</v>
      </c>
    </row>
    <row r="1626" spans="1:5" x14ac:dyDescent="0.2">
      <c r="A1626" s="4">
        <v>43990</v>
      </c>
      <c r="B1626" s="3">
        <v>54684.32</v>
      </c>
      <c r="C1626" s="6">
        <f t="shared" si="75"/>
        <v>-6.9575266478760702E-4</v>
      </c>
      <c r="D1626" s="7">
        <f t="shared" si="76"/>
        <v>-8.4711904822664413E-2</v>
      </c>
      <c r="E1626" s="8">
        <f t="shared" si="77"/>
        <v>-0.67149984016698694</v>
      </c>
    </row>
    <row r="1627" spans="1:5" x14ac:dyDescent="0.2">
      <c r="A1627" s="4">
        <v>43991</v>
      </c>
      <c r="B1627" s="3">
        <v>54483.48</v>
      </c>
      <c r="C1627" s="6">
        <f t="shared" si="75"/>
        <v>-3.6794774024980288E-3</v>
      </c>
      <c r="D1627" s="7">
        <f t="shared" si="76"/>
        <v>-0.35809238345492134</v>
      </c>
      <c r="E1627" s="8">
        <f t="shared" si="77"/>
        <v>-0.80719587797839543</v>
      </c>
    </row>
    <row r="1628" spans="1:5" x14ac:dyDescent="0.2">
      <c r="A1628" s="4">
        <v>43992</v>
      </c>
      <c r="B1628" s="3">
        <v>53672.63</v>
      </c>
      <c r="C1628" s="6">
        <f t="shared" si="75"/>
        <v>-1.4994348297586323E-2</v>
      </c>
      <c r="D1628" s="7">
        <f t="shared" si="76"/>
        <v>-1.3948049132223506</v>
      </c>
      <c r="E1628" s="8">
        <f t="shared" si="77"/>
        <v>-2.2887933620163379</v>
      </c>
    </row>
    <row r="1629" spans="1:5" x14ac:dyDescent="0.2">
      <c r="A1629" s="4">
        <v>43993</v>
      </c>
      <c r="B1629" s="3">
        <v>53295.3</v>
      </c>
      <c r="C1629" s="6">
        <f t="shared" si="75"/>
        <v>-7.0550409844927064E-3</v>
      </c>
      <c r="D1629" s="7">
        <f t="shared" si="76"/>
        <v>-0.66737466276043333</v>
      </c>
      <c r="E1629" s="8">
        <f t="shared" si="77"/>
        <v>-1.1328763159822304</v>
      </c>
    </row>
    <row r="1630" spans="1:5" x14ac:dyDescent="0.2">
      <c r="A1630" s="4">
        <v>43994</v>
      </c>
      <c r="B1630" s="3">
        <v>53639.64</v>
      </c>
      <c r="C1630" s="6">
        <f t="shared" si="75"/>
        <v>6.4401998104262953E-3</v>
      </c>
      <c r="D1630" s="7">
        <f t="shared" si="76"/>
        <v>0.56911184725307018</v>
      </c>
      <c r="E1630" s="8">
        <f t="shared" si="77"/>
        <v>-1.0127979823402995</v>
      </c>
    </row>
    <row r="1631" spans="1:5" x14ac:dyDescent="0.2">
      <c r="A1631" s="4">
        <v>43997</v>
      </c>
      <c r="B1631" s="3">
        <v>52270.2</v>
      </c>
      <c r="C1631" s="6">
        <f t="shared" si="75"/>
        <v>-2.5861927977461095E-2</v>
      </c>
      <c r="D1631" s="7">
        <f t="shared" si="76"/>
        <v>-2.3905348801690187</v>
      </c>
      <c r="E1631" s="8">
        <f t="shared" si="77"/>
        <v>-3.9725116953859416</v>
      </c>
    </row>
    <row r="1632" spans="1:5" x14ac:dyDescent="0.2">
      <c r="A1632" s="4">
        <v>43999</v>
      </c>
      <c r="B1632" s="3">
        <v>54027.42</v>
      </c>
      <c r="C1632" s="6">
        <f t="shared" si="75"/>
        <v>3.3065276462442152E-2</v>
      </c>
      <c r="D1632" s="7">
        <f t="shared" si="76"/>
        <v>3.0086050440464285</v>
      </c>
      <c r="E1632" s="8">
        <f t="shared" si="77"/>
        <v>-4.8945315492506909</v>
      </c>
    </row>
    <row r="1633" spans="1:5" x14ac:dyDescent="0.2">
      <c r="A1633" s="4">
        <v>44000</v>
      </c>
      <c r="B1633" s="3">
        <v>53941.22</v>
      </c>
      <c r="C1633" s="6">
        <f t="shared" si="75"/>
        <v>-1.5967602873377628E-3</v>
      </c>
      <c r="D1633" s="7">
        <f t="shared" si="76"/>
        <v>-0.16726573158521185</v>
      </c>
      <c r="E1633" s="8">
        <f t="shared" si="77"/>
        <v>-0.6953181228934463</v>
      </c>
    </row>
    <row r="1634" spans="1:5" x14ac:dyDescent="0.2">
      <c r="A1634" s="4">
        <v>44001</v>
      </c>
      <c r="B1634" s="3">
        <v>54224.4</v>
      </c>
      <c r="C1634" s="6">
        <f t="shared" si="75"/>
        <v>5.2360564656014135E-3</v>
      </c>
      <c r="D1634" s="7">
        <f t="shared" si="76"/>
        <v>0.45878354525203563</v>
      </c>
      <c r="E1634" s="8">
        <f t="shared" si="77"/>
        <v>-0.89558143711350335</v>
      </c>
    </row>
    <row r="1635" spans="1:5" x14ac:dyDescent="0.2">
      <c r="A1635" s="4">
        <v>44004</v>
      </c>
      <c r="B1635" s="3">
        <v>54230.17</v>
      </c>
      <c r="C1635" s="6">
        <f t="shared" si="75"/>
        <v>1.0640399948926775E-4</v>
      </c>
      <c r="D1635" s="7">
        <f t="shared" si="76"/>
        <v>-1.1215187767476846E-2</v>
      </c>
      <c r="E1635" s="8">
        <f t="shared" si="77"/>
        <v>-0.66337823678445329</v>
      </c>
    </row>
    <row r="1636" spans="1:5" x14ac:dyDescent="0.2">
      <c r="A1636" s="4">
        <v>44005</v>
      </c>
      <c r="B1636" s="3">
        <v>55474.93</v>
      </c>
      <c r="C1636" s="6">
        <f t="shared" si="75"/>
        <v>2.2693811343914433E-2</v>
      </c>
      <c r="D1636" s="7">
        <f t="shared" si="76"/>
        <v>2.0583310250038442</v>
      </c>
      <c r="E1636" s="8">
        <f t="shared" si="77"/>
        <v>-3.432501213089068</v>
      </c>
    </row>
    <row r="1637" spans="1:5" x14ac:dyDescent="0.2">
      <c r="A1637" s="4">
        <v>44006</v>
      </c>
      <c r="B1637" s="3">
        <v>54447.73</v>
      </c>
      <c r="C1637" s="6">
        <f t="shared" si="75"/>
        <v>-1.8690048101783298E-2</v>
      </c>
      <c r="D1637" s="7">
        <f t="shared" si="76"/>
        <v>-1.7334193197670342</v>
      </c>
      <c r="E1637" s="8">
        <f t="shared" si="77"/>
        <v>-2.8791457501968072</v>
      </c>
    </row>
    <row r="1638" spans="1:5" x14ac:dyDescent="0.2">
      <c r="A1638" s="4">
        <v>44007</v>
      </c>
      <c r="B1638" s="3">
        <v>53914.05</v>
      </c>
      <c r="C1638" s="6">
        <f t="shared" si="75"/>
        <v>-9.8500470359238722E-3</v>
      </c>
      <c r="D1638" s="7">
        <f t="shared" si="76"/>
        <v>-0.92346400051437216</v>
      </c>
      <c r="E1638" s="8">
        <f t="shared" si="77"/>
        <v>-1.4998543757045335</v>
      </c>
    </row>
    <row r="1639" spans="1:5" x14ac:dyDescent="0.2">
      <c r="A1639" s="4">
        <v>44008</v>
      </c>
      <c r="B1639" s="3">
        <v>53648.05</v>
      </c>
      <c r="C1639" s="6">
        <f t="shared" si="75"/>
        <v>-4.9459901258699559E-3</v>
      </c>
      <c r="D1639" s="7">
        <f t="shared" si="76"/>
        <v>-0.47413521077516185</v>
      </c>
      <c r="E1639" s="8">
        <f t="shared" si="77"/>
        <v>-0.91067405167948001</v>
      </c>
    </row>
    <row r="1640" spans="1:5" x14ac:dyDescent="0.2">
      <c r="A1640" s="4">
        <v>44011</v>
      </c>
      <c r="B1640" s="3">
        <v>54141.5</v>
      </c>
      <c r="C1640" s="6">
        <f t="shared" si="75"/>
        <v>9.1558680252644808E-3</v>
      </c>
      <c r="D1640" s="7">
        <f t="shared" si="76"/>
        <v>0.81793194348907972</v>
      </c>
      <c r="E1640" s="8">
        <f t="shared" si="77"/>
        <v>-1.340578939615326</v>
      </c>
    </row>
    <row r="1641" spans="1:5" x14ac:dyDescent="0.2">
      <c r="A1641" s="4">
        <v>44012</v>
      </c>
      <c r="B1641" s="3">
        <v>54362.36</v>
      </c>
      <c r="C1641" s="6">
        <f t="shared" si="75"/>
        <v>4.071012865877033E-3</v>
      </c>
      <c r="D1641" s="7">
        <f t="shared" si="76"/>
        <v>0.35203771414547663</v>
      </c>
      <c r="E1641" s="8">
        <f t="shared" si="77"/>
        <v>-0.80249349161553929</v>
      </c>
    </row>
    <row r="1642" spans="1:5" x14ac:dyDescent="0.2">
      <c r="A1642" s="4">
        <v>44013</v>
      </c>
      <c r="B1642" s="3">
        <v>53787.72</v>
      </c>
      <c r="C1642" s="6">
        <f t="shared" si="75"/>
        <v>-1.0626814289770586E-2</v>
      </c>
      <c r="D1642" s="7">
        <f t="shared" si="76"/>
        <v>-0.99463444092350617</v>
      </c>
      <c r="E1642" s="8">
        <f t="shared" si="77"/>
        <v>-1.6122590676933022</v>
      </c>
    </row>
    <row r="1643" spans="1:5" x14ac:dyDescent="0.2">
      <c r="A1643" s="4">
        <v>44014</v>
      </c>
      <c r="B1643" s="3">
        <v>54617.19</v>
      </c>
      <c r="C1643" s="6">
        <f t="shared" si="75"/>
        <v>1.530348003950154E-2</v>
      </c>
      <c r="D1643" s="7">
        <f t="shared" si="76"/>
        <v>1.3812000940850313</v>
      </c>
      <c r="E1643" s="8">
        <f t="shared" si="77"/>
        <v>-2.2651075324510681</v>
      </c>
    </row>
    <row r="1644" spans="1:5" x14ac:dyDescent="0.2">
      <c r="A1644" s="4">
        <v>44015</v>
      </c>
      <c r="B1644" s="3">
        <v>54521.9</v>
      </c>
      <c r="C1644" s="6">
        <f t="shared" si="75"/>
        <v>-1.7462125479267006E-3</v>
      </c>
      <c r="D1644" s="7">
        <f t="shared" si="76"/>
        <v>-0.18095912964438696</v>
      </c>
      <c r="E1644" s="8">
        <f t="shared" si="77"/>
        <v>-0.70074793023478743</v>
      </c>
    </row>
    <row r="1645" spans="1:5" x14ac:dyDescent="0.2">
      <c r="A1645" s="4">
        <v>44018</v>
      </c>
      <c r="B1645" s="3">
        <v>54846.28</v>
      </c>
      <c r="C1645" s="6">
        <f t="shared" si="75"/>
        <v>5.9319072727891647E-3</v>
      </c>
      <c r="D1645" s="7">
        <f t="shared" si="76"/>
        <v>0.52254010574213139</v>
      </c>
      <c r="E1645" s="8">
        <f t="shared" si="77"/>
        <v>-0.96089037838542568</v>
      </c>
    </row>
    <row r="1646" spans="1:5" x14ac:dyDescent="0.2">
      <c r="A1646" s="4">
        <v>44019</v>
      </c>
      <c r="B1646" s="3">
        <v>55243.8</v>
      </c>
      <c r="C1646" s="6">
        <f t="shared" si="75"/>
        <v>7.2217538161053578E-3</v>
      </c>
      <c r="D1646" s="7">
        <f t="shared" si="76"/>
        <v>0.64072086850395615</v>
      </c>
      <c r="E1646" s="8">
        <f t="shared" si="77"/>
        <v>-1.0989723918774226</v>
      </c>
    </row>
    <row r="1647" spans="1:5" x14ac:dyDescent="0.2">
      <c r="A1647" s="4">
        <v>44020</v>
      </c>
      <c r="B1647" s="3">
        <v>55870.69</v>
      </c>
      <c r="C1647" s="6">
        <f t="shared" si="75"/>
        <v>1.1283796586766733E-2</v>
      </c>
      <c r="D1647" s="7">
        <f t="shared" si="76"/>
        <v>1.01290104411903</v>
      </c>
      <c r="E1647" s="8">
        <f t="shared" si="77"/>
        <v>-1.6416581102295755</v>
      </c>
    </row>
    <row r="1648" spans="1:5" x14ac:dyDescent="0.2">
      <c r="A1648" s="4">
        <v>44021</v>
      </c>
      <c r="B1648" s="3">
        <v>55787.9</v>
      </c>
      <c r="C1648" s="6">
        <f t="shared" si="75"/>
        <v>-1.4829134985761827E-3</v>
      </c>
      <c r="D1648" s="7">
        <f t="shared" si="76"/>
        <v>-0.15683464549706655</v>
      </c>
      <c r="E1648" s="8">
        <f t="shared" si="77"/>
        <v>-0.69146170344772295</v>
      </c>
    </row>
    <row r="1649" spans="1:5" x14ac:dyDescent="0.2">
      <c r="A1649" s="4">
        <v>44022</v>
      </c>
      <c r="B1649" s="3">
        <v>55417.89</v>
      </c>
      <c r="C1649" s="6">
        <f t="shared" si="75"/>
        <v>-6.6545341824918777E-3</v>
      </c>
      <c r="D1649" s="7">
        <f t="shared" si="76"/>
        <v>-0.63067867004949729</v>
      </c>
      <c r="E1649" s="8">
        <f t="shared" si="77"/>
        <v>-1.0864475163038159</v>
      </c>
    </row>
    <row r="1650" spans="1:5" x14ac:dyDescent="0.2">
      <c r="A1650" s="4">
        <v>44025</v>
      </c>
      <c r="B1650" s="3">
        <v>56199.46</v>
      </c>
      <c r="C1650" s="6">
        <f t="shared" si="75"/>
        <v>1.4004682500387501E-2</v>
      </c>
      <c r="D1650" s="7">
        <f t="shared" si="76"/>
        <v>1.2621992062344132</v>
      </c>
      <c r="E1650" s="8">
        <f t="shared" si="77"/>
        <v>-2.0591300833164778</v>
      </c>
    </row>
    <row r="1651" spans="1:5" x14ac:dyDescent="0.2">
      <c r="A1651" s="4">
        <v>44026</v>
      </c>
      <c r="B1651" s="3">
        <v>55531.05</v>
      </c>
      <c r="C1651" s="6">
        <f t="shared" si="75"/>
        <v>-1.1964824539807961E-2</v>
      </c>
      <c r="D1651" s="7">
        <f t="shared" si="76"/>
        <v>-1.1172281500371595</v>
      </c>
      <c r="E1651" s="8">
        <f t="shared" si="77"/>
        <v>-1.8131572395260467</v>
      </c>
    </row>
    <row r="1652" spans="1:5" x14ac:dyDescent="0.2">
      <c r="A1652" s="4">
        <v>44027</v>
      </c>
      <c r="B1652" s="3">
        <v>55947.05</v>
      </c>
      <c r="C1652" s="6">
        <f t="shared" si="75"/>
        <v>7.4633839472387558E-3</v>
      </c>
      <c r="D1652" s="7">
        <f t="shared" si="76"/>
        <v>0.6628599619888037</v>
      </c>
      <c r="E1652" s="8">
        <f t="shared" si="77"/>
        <v>-1.1270672414270237</v>
      </c>
    </row>
    <row r="1653" spans="1:5" x14ac:dyDescent="0.2">
      <c r="A1653" s="4">
        <v>44028</v>
      </c>
      <c r="B1653" s="3">
        <v>55729.45</v>
      </c>
      <c r="C1653" s="6">
        <f t="shared" si="75"/>
        <v>-3.8969751985471527E-3</v>
      </c>
      <c r="D1653" s="7">
        <f t="shared" si="76"/>
        <v>-0.37802037843176262</v>
      </c>
      <c r="E1653" s="8">
        <f t="shared" si="77"/>
        <v>-0.82317675714075689</v>
      </c>
    </row>
    <row r="1654" spans="1:5" x14ac:dyDescent="0.2">
      <c r="A1654" s="4">
        <v>44029</v>
      </c>
      <c r="B1654" s="3">
        <v>55911.8</v>
      </c>
      <c r="C1654" s="6">
        <f t="shared" si="75"/>
        <v>3.266716597339423E-3</v>
      </c>
      <c r="D1654" s="7">
        <f t="shared" si="76"/>
        <v>0.27834495821663197</v>
      </c>
      <c r="E1654" s="8">
        <f t="shared" si="77"/>
        <v>-0.75114709819418424</v>
      </c>
    </row>
    <row r="1655" spans="1:5" x14ac:dyDescent="0.2">
      <c r="A1655" s="4">
        <v>44032</v>
      </c>
      <c r="B1655" s="3">
        <v>56265.36</v>
      </c>
      <c r="C1655" s="6">
        <f t="shared" si="75"/>
        <v>6.3036213564987608E-3</v>
      </c>
      <c r="D1655" s="7">
        <f t="shared" si="76"/>
        <v>0.55659799748882732</v>
      </c>
      <c r="E1655" s="8">
        <f t="shared" si="77"/>
        <v>-0.9985168827891503</v>
      </c>
    </row>
    <row r="1656" spans="1:5" x14ac:dyDescent="0.2">
      <c r="A1656" s="4">
        <v>44033</v>
      </c>
      <c r="B1656" s="3">
        <v>56422.14</v>
      </c>
      <c r="C1656" s="6">
        <f t="shared" si="75"/>
        <v>2.7825641913767148E-3</v>
      </c>
      <c r="D1656" s="7">
        <f t="shared" si="76"/>
        <v>0.23398502956764763</v>
      </c>
      <c r="E1656" s="8">
        <f t="shared" si="77"/>
        <v>-0.72565947714285972</v>
      </c>
    </row>
    <row r="1657" spans="1:5" x14ac:dyDescent="0.2">
      <c r="A1657" s="4">
        <v>44034</v>
      </c>
      <c r="B1657" s="3">
        <v>55834.239999999998</v>
      </c>
      <c r="C1657" s="6">
        <f t="shared" si="75"/>
        <v>-1.0474333395522881E-2</v>
      </c>
      <c r="D1657" s="7">
        <f t="shared" si="76"/>
        <v>-0.98066354765548314</v>
      </c>
      <c r="E1657" s="8">
        <f t="shared" si="77"/>
        <v>-1.5899174727841519</v>
      </c>
    </row>
    <row r="1658" spans="1:5" x14ac:dyDescent="0.2">
      <c r="A1658" s="4">
        <v>44035</v>
      </c>
      <c r="B1658" s="3">
        <v>56070.7</v>
      </c>
      <c r="C1658" s="6">
        <f t="shared" si="75"/>
        <v>4.2260931810250198E-3</v>
      </c>
      <c r="D1658" s="7">
        <f t="shared" si="76"/>
        <v>0.36624677647812692</v>
      </c>
      <c r="E1658" s="8">
        <f t="shared" si="77"/>
        <v>-0.81364215542529095</v>
      </c>
    </row>
    <row r="1659" spans="1:5" x14ac:dyDescent="0.2">
      <c r="A1659" s="4">
        <v>44036</v>
      </c>
      <c r="B1659" s="3">
        <v>55645.65</v>
      </c>
      <c r="C1659" s="6">
        <f t="shared" si="75"/>
        <v>-7.6094869017158612E-3</v>
      </c>
      <c r="D1659" s="7">
        <f t="shared" si="76"/>
        <v>-0.71817515662317433</v>
      </c>
      <c r="E1659" s="8">
        <f t="shared" si="77"/>
        <v>-1.2000259223966689</v>
      </c>
    </row>
    <row r="1660" spans="1:5" x14ac:dyDescent="0.2">
      <c r="A1660" s="4">
        <v>44039</v>
      </c>
      <c r="B1660" s="3">
        <v>56326.2</v>
      </c>
      <c r="C1660" s="6">
        <f t="shared" si="75"/>
        <v>1.2155883467682977E-2</v>
      </c>
      <c r="D1660" s="7">
        <f t="shared" si="76"/>
        <v>1.0928050399201781</v>
      </c>
      <c r="E1660" s="8">
        <f t="shared" si="77"/>
        <v>-1.7725132582026375</v>
      </c>
    </row>
    <row r="1661" spans="1:5" x14ac:dyDescent="0.2">
      <c r="A1661" s="4">
        <v>44040</v>
      </c>
      <c r="B1661" s="3">
        <v>56488.11</v>
      </c>
      <c r="C1661" s="6">
        <f t="shared" si="75"/>
        <v>2.8703825102681592E-3</v>
      </c>
      <c r="D1661" s="7">
        <f t="shared" si="76"/>
        <v>0.24203128589545009</v>
      </c>
      <c r="E1661" s="8">
        <f t="shared" si="77"/>
        <v>-0.72997211505286486</v>
      </c>
    </row>
    <row r="1662" spans="1:5" x14ac:dyDescent="0.2">
      <c r="A1662" s="4">
        <v>44041</v>
      </c>
      <c r="B1662" s="3">
        <v>56707.74</v>
      </c>
      <c r="C1662" s="6">
        <f t="shared" si="75"/>
        <v>3.8805358254598529E-3</v>
      </c>
      <c r="D1662" s="7">
        <f t="shared" si="76"/>
        <v>0.33458546601428246</v>
      </c>
      <c r="E1662" s="8">
        <f t="shared" si="77"/>
        <v>-0.78934354970770904</v>
      </c>
    </row>
    <row r="1663" spans="1:5" x14ac:dyDescent="0.2">
      <c r="A1663" s="4">
        <v>44042</v>
      </c>
      <c r="B1663" s="3">
        <v>55844.9</v>
      </c>
      <c r="C1663" s="6">
        <f t="shared" si="75"/>
        <v>-1.5332504033273178E-2</v>
      </c>
      <c r="D1663" s="7">
        <f t="shared" si="76"/>
        <v>-1.4257880584521796</v>
      </c>
      <c r="E1663" s="8">
        <f t="shared" si="77"/>
        <v>-2.3428018690599623</v>
      </c>
    </row>
    <row r="1664" spans="1:5" x14ac:dyDescent="0.2">
      <c r="A1664" s="4">
        <v>44043</v>
      </c>
      <c r="B1664" s="3">
        <v>55721.8</v>
      </c>
      <c r="C1664" s="6">
        <f t="shared" si="75"/>
        <v>-2.2067525517127169E-3</v>
      </c>
      <c r="D1664" s="7">
        <f t="shared" si="76"/>
        <v>-0.22315559806289617</v>
      </c>
      <c r="E1664" s="8">
        <f t="shared" si="77"/>
        <v>-0.72007484448841319</v>
      </c>
    </row>
    <row r="1665" spans="1:5" x14ac:dyDescent="0.2">
      <c r="A1665" s="4">
        <v>44046</v>
      </c>
      <c r="B1665" s="3">
        <v>55829.4</v>
      </c>
      <c r="C1665" s="6">
        <f t="shared" si="75"/>
        <v>1.9291595853894894E-3</v>
      </c>
      <c r="D1665" s="7">
        <f t="shared" si="76"/>
        <v>0.15579277654138907</v>
      </c>
      <c r="E1665" s="8">
        <f t="shared" si="77"/>
        <v>-0.69108985819032465</v>
      </c>
    </row>
    <row r="1666" spans="1:5" x14ac:dyDescent="0.2">
      <c r="A1666" s="4">
        <v>44047</v>
      </c>
      <c r="B1666" s="3">
        <v>56248.93</v>
      </c>
      <c r="C1666" s="6">
        <f t="shared" si="75"/>
        <v>7.4864063271251873E-3</v>
      </c>
      <c r="D1666" s="7">
        <f t="shared" si="76"/>
        <v>0.66496936207958945</v>
      </c>
      <c r="E1666" s="8">
        <f t="shared" si="77"/>
        <v>-1.1297780893969203</v>
      </c>
    </row>
    <row r="1667" spans="1:5" x14ac:dyDescent="0.2">
      <c r="A1667" s="4">
        <v>44048</v>
      </c>
      <c r="B1667" s="3">
        <v>57629.36</v>
      </c>
      <c r="C1667" s="6">
        <f t="shared" ref="C1667:C1730" si="78">LN(B1667/B1666)</f>
        <v>2.4245141378441158E-2</v>
      </c>
      <c r="D1667" s="7">
        <f t="shared" ref="D1667:D1730" si="79">(C1667-$G$4)/$G$5</f>
        <v>2.2004699234067009</v>
      </c>
      <c r="E1667" s="8">
        <f t="shared" ref="E1667:E1730" si="80">LN((PI()*(G$3-2))^(-1/2)*EXP(GAMMALN((G$3+1)/2))*((1+D1667^2/(G$3-2))^(-(G$3+1)/2))/EXP(GAMMALN(G$3/2)))</f>
        <v>-3.6671445840280477</v>
      </c>
    </row>
    <row r="1668" spans="1:5" x14ac:dyDescent="0.2">
      <c r="A1668" s="4">
        <v>44049</v>
      </c>
      <c r="B1668" s="3">
        <v>57656.69</v>
      </c>
      <c r="C1668" s="6">
        <f t="shared" si="78"/>
        <v>4.7412502227241567E-4</v>
      </c>
      <c r="D1668" s="7">
        <f t="shared" si="79"/>
        <v>2.2476844188775446E-2</v>
      </c>
      <c r="E1668" s="8">
        <f t="shared" si="80"/>
        <v>-0.66381595287263873</v>
      </c>
    </row>
    <row r="1669" spans="1:5" x14ac:dyDescent="0.2">
      <c r="A1669" s="4">
        <v>44050</v>
      </c>
      <c r="B1669" s="3">
        <v>56757.73</v>
      </c>
      <c r="C1669" s="6">
        <f t="shared" si="78"/>
        <v>-1.5714426542777341E-2</v>
      </c>
      <c r="D1669" s="7">
        <f t="shared" si="79"/>
        <v>-1.4607812859202067</v>
      </c>
      <c r="E1669" s="8">
        <f t="shared" si="80"/>
        <v>-2.4038847097596086</v>
      </c>
    </row>
    <row r="1670" spans="1:5" x14ac:dyDescent="0.2">
      <c r="A1670" s="4">
        <v>44054</v>
      </c>
      <c r="B1670" s="3">
        <v>57168.24</v>
      </c>
      <c r="C1670" s="6">
        <f t="shared" si="78"/>
        <v>7.2066408857355511E-3</v>
      </c>
      <c r="D1670" s="7">
        <f t="shared" si="79"/>
        <v>0.63933616297605811</v>
      </c>
      <c r="E1670" s="8">
        <f t="shared" si="80"/>
        <v>-1.0972371315243659</v>
      </c>
    </row>
    <row r="1671" spans="1:5" x14ac:dyDescent="0.2">
      <c r="A1671" s="4">
        <v>44055</v>
      </c>
      <c r="B1671" s="3">
        <v>57417.279999999999</v>
      </c>
      <c r="C1671" s="6">
        <f t="shared" si="78"/>
        <v>4.3468038915906422E-3</v>
      </c>
      <c r="D1671" s="7">
        <f t="shared" si="79"/>
        <v>0.37730676180900979</v>
      </c>
      <c r="E1671" s="8">
        <f t="shared" si="80"/>
        <v>-0.82259125222875906</v>
      </c>
    </row>
    <row r="1672" spans="1:5" x14ac:dyDescent="0.2">
      <c r="A1672" s="4">
        <v>44056</v>
      </c>
      <c r="B1672" s="3">
        <v>57419.46</v>
      </c>
      <c r="C1672" s="6">
        <f t="shared" si="78"/>
        <v>3.7966943336518094E-5</v>
      </c>
      <c r="D1672" s="7">
        <f t="shared" si="79"/>
        <v>-1.7485657335516849E-2</v>
      </c>
      <c r="E1672" s="8">
        <f t="shared" si="80"/>
        <v>-0.66358586035530176</v>
      </c>
    </row>
    <row r="1673" spans="1:5" x14ac:dyDescent="0.2">
      <c r="A1673" s="4">
        <v>44057</v>
      </c>
      <c r="B1673" s="3">
        <v>57077.48</v>
      </c>
      <c r="C1673" s="6">
        <f t="shared" si="78"/>
        <v>-5.9736271893421474E-3</v>
      </c>
      <c r="D1673" s="7">
        <f t="shared" si="79"/>
        <v>-0.56829131999046845</v>
      </c>
      <c r="E1673" s="8">
        <f t="shared" si="80"/>
        <v>-1.0118542297444557</v>
      </c>
    </row>
    <row r="1674" spans="1:5" x14ac:dyDescent="0.2">
      <c r="A1674" s="4">
        <v>44060</v>
      </c>
      <c r="B1674" s="3">
        <v>57435.08</v>
      </c>
      <c r="C1674" s="6">
        <f t="shared" si="78"/>
        <v>6.2456234046647336E-3</v>
      </c>
      <c r="D1674" s="7">
        <f t="shared" si="79"/>
        <v>0.55128399930672833</v>
      </c>
      <c r="E1674" s="8">
        <f t="shared" si="80"/>
        <v>-0.99252556262399605</v>
      </c>
    </row>
    <row r="1675" spans="1:5" x14ac:dyDescent="0.2">
      <c r="A1675" s="4">
        <v>44061</v>
      </c>
      <c r="B1675" s="3">
        <v>57025.16</v>
      </c>
      <c r="C1675" s="6">
        <f t="shared" si="78"/>
        <v>-7.162692521852909E-3</v>
      </c>
      <c r="D1675" s="7">
        <f t="shared" si="79"/>
        <v>-0.67723811579183246</v>
      </c>
      <c r="E1675" s="8">
        <f t="shared" si="80"/>
        <v>-1.1456598362793422</v>
      </c>
    </row>
    <row r="1676" spans="1:5" x14ac:dyDescent="0.2">
      <c r="A1676" s="4">
        <v>44062</v>
      </c>
      <c r="B1676" s="3">
        <v>56433.279999999999</v>
      </c>
      <c r="C1676" s="6">
        <f t="shared" si="78"/>
        <v>-1.0433518550844526E-2</v>
      </c>
      <c r="D1676" s="7">
        <f t="shared" si="79"/>
        <v>-0.97692393265935173</v>
      </c>
      <c r="E1676" s="8">
        <f t="shared" si="80"/>
        <v>-1.5839590943134174</v>
      </c>
    </row>
    <row r="1677" spans="1:5" x14ac:dyDescent="0.2">
      <c r="A1677" s="4">
        <v>44063</v>
      </c>
      <c r="B1677" s="3">
        <v>55629.98</v>
      </c>
      <c r="C1677" s="6">
        <f t="shared" si="78"/>
        <v>-1.4336790833714806E-2</v>
      </c>
      <c r="D1677" s="7">
        <f t="shared" si="79"/>
        <v>-1.3345569379552518</v>
      </c>
      <c r="E1677" s="8">
        <f t="shared" si="80"/>
        <v>-2.1840807732645429</v>
      </c>
    </row>
    <row r="1678" spans="1:5" x14ac:dyDescent="0.2">
      <c r="A1678" s="4">
        <v>44064</v>
      </c>
      <c r="B1678" s="3">
        <v>55949.919999999998</v>
      </c>
      <c r="C1678" s="6">
        <f t="shared" si="78"/>
        <v>5.7347403399416932E-3</v>
      </c>
      <c r="D1678" s="7">
        <f t="shared" si="79"/>
        <v>0.50447490361706626</v>
      </c>
      <c r="E1678" s="8">
        <f t="shared" si="80"/>
        <v>-0.94169119295914905</v>
      </c>
    </row>
    <row r="1679" spans="1:5" x14ac:dyDescent="0.2">
      <c r="A1679" s="4">
        <v>44067</v>
      </c>
      <c r="B1679" s="3">
        <v>56625.42</v>
      </c>
      <c r="C1679" s="6">
        <f t="shared" si="78"/>
        <v>1.2000996085400237E-2</v>
      </c>
      <c r="D1679" s="7">
        <f t="shared" si="79"/>
        <v>1.0786136548478924</v>
      </c>
      <c r="E1679" s="8">
        <f t="shared" si="80"/>
        <v>-1.7490262158504504</v>
      </c>
    </row>
    <row r="1680" spans="1:5" x14ac:dyDescent="0.2">
      <c r="A1680" s="4">
        <v>44068</v>
      </c>
      <c r="B1680" s="3">
        <v>56114.23</v>
      </c>
      <c r="C1680" s="6">
        <f t="shared" si="78"/>
        <v>-9.0685664414193838E-3</v>
      </c>
      <c r="D1680" s="7">
        <f t="shared" si="79"/>
        <v>-0.85186170548115248</v>
      </c>
      <c r="E1680" s="8">
        <f t="shared" si="80"/>
        <v>-1.3907117956647586</v>
      </c>
    </row>
    <row r="1681" spans="1:5" x14ac:dyDescent="0.2">
      <c r="A1681" s="4">
        <v>44069</v>
      </c>
      <c r="B1681" s="3">
        <v>56572.24</v>
      </c>
      <c r="C1681" s="6">
        <f t="shared" si="78"/>
        <v>8.1289709778304183E-3</v>
      </c>
      <c r="D1681" s="7">
        <f t="shared" si="79"/>
        <v>0.7238436374246946</v>
      </c>
      <c r="E1681" s="8">
        <f t="shared" si="80"/>
        <v>-1.2077148097551804</v>
      </c>
    </row>
    <row r="1682" spans="1:5" x14ac:dyDescent="0.2">
      <c r="A1682" s="4">
        <v>44070</v>
      </c>
      <c r="B1682" s="3">
        <v>56869.67</v>
      </c>
      <c r="C1682" s="6">
        <f t="shared" si="78"/>
        <v>5.2437530632976339E-3</v>
      </c>
      <c r="D1682" s="7">
        <f t="shared" si="79"/>
        <v>0.45948873750232588</v>
      </c>
      <c r="E1682" s="8">
        <f t="shared" si="80"/>
        <v>-0.89626570579656761</v>
      </c>
    </row>
    <row r="1683" spans="1:5" x14ac:dyDescent="0.2">
      <c r="A1683" s="4">
        <v>44071</v>
      </c>
      <c r="B1683" s="3">
        <v>56057.1</v>
      </c>
      <c r="C1683" s="6">
        <f t="shared" si="78"/>
        <v>-1.4391344484333619E-2</v>
      </c>
      <c r="D1683" s="7">
        <f t="shared" si="79"/>
        <v>-1.3395553558484359</v>
      </c>
      <c r="E1683" s="8">
        <f t="shared" si="80"/>
        <v>-2.1927486787926691</v>
      </c>
    </row>
    <row r="1684" spans="1:5" x14ac:dyDescent="0.2">
      <c r="A1684" s="4">
        <v>44074</v>
      </c>
      <c r="B1684" s="3">
        <v>55476.11</v>
      </c>
      <c r="C1684" s="6">
        <f t="shared" si="78"/>
        <v>-1.0418336478059561E-2</v>
      </c>
      <c r="D1684" s="7">
        <f t="shared" si="79"/>
        <v>-0.97553289203414706</v>
      </c>
      <c r="E1684" s="8">
        <f t="shared" si="80"/>
        <v>-1.5817451243643132</v>
      </c>
    </row>
    <row r="1685" spans="1:5" x14ac:dyDescent="0.2">
      <c r="A1685" s="4">
        <v>44075</v>
      </c>
      <c r="B1685" s="3">
        <v>55927.69</v>
      </c>
      <c r="C1685" s="6">
        <f t="shared" si="78"/>
        <v>8.107128721978267E-3</v>
      </c>
      <c r="D1685" s="7">
        <f t="shared" si="79"/>
        <v>0.72184236489315023</v>
      </c>
      <c r="E1685" s="8">
        <f t="shared" si="80"/>
        <v>-1.2049958764297846</v>
      </c>
    </row>
    <row r="1686" spans="1:5" x14ac:dyDescent="0.2">
      <c r="A1686" s="4">
        <v>44076</v>
      </c>
      <c r="B1686" s="3">
        <v>55861.88</v>
      </c>
      <c r="C1686" s="6">
        <f t="shared" si="78"/>
        <v>-1.177390835342261E-3</v>
      </c>
      <c r="D1686" s="7">
        <f t="shared" si="79"/>
        <v>-0.12884146943351857</v>
      </c>
      <c r="E1686" s="8">
        <f t="shared" si="80"/>
        <v>-0.68231704260842618</v>
      </c>
    </row>
    <row r="1687" spans="1:5" x14ac:dyDescent="0.2">
      <c r="A1687" s="4">
        <v>44077</v>
      </c>
      <c r="B1687" s="3">
        <v>54522.35</v>
      </c>
      <c r="C1687" s="6">
        <f t="shared" si="78"/>
        <v>-2.4271506170504144E-2</v>
      </c>
      <c r="D1687" s="7">
        <f t="shared" si="79"/>
        <v>-2.2448142413587813</v>
      </c>
      <c r="E1687" s="8">
        <f t="shared" si="80"/>
        <v>-3.7392735616867294</v>
      </c>
    </row>
    <row r="1688" spans="1:5" x14ac:dyDescent="0.2">
      <c r="A1688" s="4">
        <v>44078</v>
      </c>
      <c r="B1688" s="3">
        <v>53878.95</v>
      </c>
      <c r="C1688" s="6">
        <f t="shared" si="78"/>
        <v>-1.1870845745963072E-2</v>
      </c>
      <c r="D1688" s="7">
        <f t="shared" si="79"/>
        <v>-1.1086174470061847</v>
      </c>
      <c r="E1688" s="8">
        <f t="shared" si="80"/>
        <v>-1.7987964653255692</v>
      </c>
    </row>
    <row r="1689" spans="1:5" x14ac:dyDescent="0.2">
      <c r="A1689" s="4">
        <v>44081</v>
      </c>
      <c r="B1689" s="3">
        <v>54400.28</v>
      </c>
      <c r="C1689" s="6">
        <f t="shared" si="78"/>
        <v>9.6294373057566086E-3</v>
      </c>
      <c r="D1689" s="7">
        <f t="shared" si="79"/>
        <v>0.86132220497339373</v>
      </c>
      <c r="E1689" s="8">
        <f t="shared" si="80"/>
        <v>-1.4048804373470447</v>
      </c>
    </row>
    <row r="1690" spans="1:5" x14ac:dyDescent="0.2">
      <c r="A1690" s="4">
        <v>44082</v>
      </c>
      <c r="B1690" s="3">
        <v>54438.82</v>
      </c>
      <c r="C1690" s="6">
        <f t="shared" si="78"/>
        <v>7.0820140208445763E-4</v>
      </c>
      <c r="D1690" s="7">
        <f t="shared" si="79"/>
        <v>4.3923833564419576E-2</v>
      </c>
      <c r="E1690" s="8">
        <f t="shared" si="80"/>
        <v>-0.66545817257309137</v>
      </c>
    </row>
    <row r="1691" spans="1:5" x14ac:dyDescent="0.2">
      <c r="A1691" s="4">
        <v>44083</v>
      </c>
      <c r="B1691" s="3">
        <v>55211.34</v>
      </c>
      <c r="C1691" s="6">
        <f t="shared" si="78"/>
        <v>1.409086465726387E-2</v>
      </c>
      <c r="D1691" s="7">
        <f t="shared" si="79"/>
        <v>1.2700955510274321</v>
      </c>
      <c r="E1691" s="8">
        <f t="shared" si="80"/>
        <v>-2.0727112899963349</v>
      </c>
    </row>
    <row r="1692" spans="1:5" x14ac:dyDescent="0.2">
      <c r="A1692" s="4">
        <v>44084</v>
      </c>
      <c r="B1692" s="3">
        <v>55953.96</v>
      </c>
      <c r="C1692" s="6">
        <f t="shared" si="78"/>
        <v>1.3360842766396364E-2</v>
      </c>
      <c r="D1692" s="7">
        <f t="shared" si="79"/>
        <v>1.2032081027936758</v>
      </c>
      <c r="E1692" s="8">
        <f t="shared" si="80"/>
        <v>-1.9581952451318749</v>
      </c>
    </row>
    <row r="1693" spans="1:5" x14ac:dyDescent="0.2">
      <c r="A1693" s="4">
        <v>44085</v>
      </c>
      <c r="B1693" s="3">
        <v>56087.839999999997</v>
      </c>
      <c r="C1693" s="6">
        <f t="shared" si="78"/>
        <v>2.3898235072726624E-3</v>
      </c>
      <c r="D1693" s="7">
        <f t="shared" si="79"/>
        <v>0.1980005988184777</v>
      </c>
      <c r="E1693" s="8">
        <f t="shared" si="80"/>
        <v>-0.70808404739476549</v>
      </c>
    </row>
    <row r="1694" spans="1:5" x14ac:dyDescent="0.2">
      <c r="A1694" s="4">
        <v>44088</v>
      </c>
      <c r="B1694" s="3">
        <v>56327.05</v>
      </c>
      <c r="C1694" s="6">
        <f t="shared" si="78"/>
        <v>4.2558483320564435E-3</v>
      </c>
      <c r="D1694" s="7">
        <f t="shared" si="79"/>
        <v>0.36897305927758772</v>
      </c>
      <c r="E1694" s="8">
        <f t="shared" si="80"/>
        <v>-0.81582617065245722</v>
      </c>
    </row>
    <row r="1695" spans="1:5" x14ac:dyDescent="0.2">
      <c r="A1695" s="4">
        <v>44089</v>
      </c>
      <c r="B1695" s="3">
        <v>56130.78</v>
      </c>
      <c r="C1695" s="6">
        <f t="shared" si="78"/>
        <v>-3.4905564028610073E-3</v>
      </c>
      <c r="D1695" s="7">
        <f t="shared" si="79"/>
        <v>-0.34078270583898773</v>
      </c>
      <c r="E1695" s="8">
        <f t="shared" si="80"/>
        <v>-0.79394393913590178</v>
      </c>
    </row>
    <row r="1696" spans="1:5" x14ac:dyDescent="0.2">
      <c r="A1696" s="4">
        <v>44090</v>
      </c>
      <c r="B1696" s="3">
        <v>55960.74</v>
      </c>
      <c r="C1696" s="6">
        <f t="shared" si="78"/>
        <v>-3.0339517286034406E-3</v>
      </c>
      <c r="D1696" s="7">
        <f t="shared" si="79"/>
        <v>-0.29894680763544035</v>
      </c>
      <c r="E1696" s="8">
        <f t="shared" si="80"/>
        <v>-0.76438790953728208</v>
      </c>
    </row>
    <row r="1697" spans="1:5" x14ac:dyDescent="0.2">
      <c r="A1697" s="4">
        <v>44091</v>
      </c>
      <c r="B1697" s="3">
        <v>55035.6</v>
      </c>
      <c r="C1697" s="6">
        <f t="shared" si="78"/>
        <v>-1.667012487198203E-2</v>
      </c>
      <c r="D1697" s="7">
        <f t="shared" si="79"/>
        <v>-1.548346088183606</v>
      </c>
      <c r="E1697" s="8">
        <f t="shared" si="80"/>
        <v>-2.5568915439951376</v>
      </c>
    </row>
    <row r="1698" spans="1:5" x14ac:dyDescent="0.2">
      <c r="A1698" s="4">
        <v>44092</v>
      </c>
      <c r="B1698" s="3">
        <v>54673.65</v>
      </c>
      <c r="C1698" s="6">
        <f t="shared" si="78"/>
        <v>-6.598373669131948E-3</v>
      </c>
      <c r="D1698" s="7">
        <f t="shared" si="79"/>
        <v>-0.62553302513509679</v>
      </c>
      <c r="E1698" s="8">
        <f t="shared" si="80"/>
        <v>-1.080083739355336</v>
      </c>
    </row>
    <row r="1699" spans="1:5" x14ac:dyDescent="0.2">
      <c r="A1699" s="4">
        <v>44095</v>
      </c>
      <c r="B1699" s="3">
        <v>53319.08</v>
      </c>
      <c r="C1699" s="6">
        <f t="shared" si="78"/>
        <v>-2.5087634051898112E-2</v>
      </c>
      <c r="D1699" s="7">
        <f t="shared" si="79"/>
        <v>-2.3195910557279982</v>
      </c>
      <c r="E1699" s="8">
        <f t="shared" si="80"/>
        <v>-3.8596952009170264</v>
      </c>
    </row>
    <row r="1700" spans="1:5" x14ac:dyDescent="0.2">
      <c r="A1700" s="4">
        <v>44096</v>
      </c>
      <c r="B1700" s="3">
        <v>53265.33</v>
      </c>
      <c r="C1700" s="6">
        <f t="shared" si="78"/>
        <v>-1.0085903661980842E-3</v>
      </c>
      <c r="D1700" s="7">
        <f t="shared" si="79"/>
        <v>-0.11337531316757711</v>
      </c>
      <c r="E1700" s="8">
        <f t="shared" si="80"/>
        <v>-0.67802236354234169</v>
      </c>
    </row>
    <row r="1701" spans="1:5" x14ac:dyDescent="0.2">
      <c r="A1701" s="4">
        <v>44097</v>
      </c>
      <c r="B1701" s="3">
        <v>54247.81</v>
      </c>
      <c r="C1701" s="6">
        <f t="shared" si="78"/>
        <v>1.8276972460263809E-2</v>
      </c>
      <c r="D1701" s="7">
        <f t="shared" si="79"/>
        <v>1.6536430479954369</v>
      </c>
      <c r="E1701" s="8">
        <f t="shared" si="80"/>
        <v>-2.7405999409827624</v>
      </c>
    </row>
    <row r="1702" spans="1:5" x14ac:dyDescent="0.2">
      <c r="A1702" s="4">
        <v>44099</v>
      </c>
      <c r="B1702" s="3">
        <v>53587.11</v>
      </c>
      <c r="C1702" s="6">
        <f t="shared" si="78"/>
        <v>-1.2254068861180946E-2</v>
      </c>
      <c r="D1702" s="7">
        <f t="shared" si="79"/>
        <v>-1.1437298410340599</v>
      </c>
      <c r="E1702" s="8">
        <f t="shared" si="80"/>
        <v>-1.8575575057269598</v>
      </c>
    </row>
    <row r="1703" spans="1:5" x14ac:dyDescent="0.2">
      <c r="A1703" s="4">
        <v>44102</v>
      </c>
      <c r="B1703" s="3">
        <v>54718.8</v>
      </c>
      <c r="C1703" s="6">
        <f t="shared" si="78"/>
        <v>2.0898789168314471E-2</v>
      </c>
      <c r="D1703" s="7">
        <f t="shared" si="79"/>
        <v>1.8938641037363038</v>
      </c>
      <c r="E1703" s="8">
        <f t="shared" si="80"/>
        <v>-3.1549902403033707</v>
      </c>
    </row>
    <row r="1704" spans="1:5" x14ac:dyDescent="0.2">
      <c r="A1704" s="4">
        <v>44103</v>
      </c>
      <c r="B1704" s="3">
        <v>54506.879999999997</v>
      </c>
      <c r="C1704" s="6">
        <f t="shared" si="78"/>
        <v>-3.8804110153761394E-3</v>
      </c>
      <c r="D1704" s="7">
        <f t="shared" si="79"/>
        <v>-0.3765027034712638</v>
      </c>
      <c r="E1704" s="8">
        <f t="shared" si="80"/>
        <v>-0.82193271294088688</v>
      </c>
    </row>
    <row r="1705" spans="1:5" x14ac:dyDescent="0.2">
      <c r="A1705" s="4">
        <v>44104</v>
      </c>
      <c r="B1705" s="3">
        <v>54264.959999999999</v>
      </c>
      <c r="C1705" s="6">
        <f t="shared" si="78"/>
        <v>-4.4482174595649434E-3</v>
      </c>
      <c r="D1705" s="7">
        <f t="shared" si="79"/>
        <v>-0.42852734083842575</v>
      </c>
      <c r="E1705" s="8">
        <f t="shared" si="80"/>
        <v>-0.86705602839275253</v>
      </c>
    </row>
    <row r="1706" spans="1:5" x14ac:dyDescent="0.2">
      <c r="A1706" s="4">
        <v>44105</v>
      </c>
      <c r="B1706" s="3">
        <v>54446.78</v>
      </c>
      <c r="C1706" s="6">
        <f t="shared" si="78"/>
        <v>3.3449960332149306E-3</v>
      </c>
      <c r="D1706" s="7">
        <f t="shared" si="79"/>
        <v>0.28551722493957737</v>
      </c>
      <c r="E1706" s="8">
        <f t="shared" si="80"/>
        <v>-0.7556569163221083</v>
      </c>
    </row>
    <row r="1707" spans="1:5" x14ac:dyDescent="0.2">
      <c r="A1707" s="4">
        <v>44106</v>
      </c>
      <c r="B1707" s="3">
        <v>54219.24</v>
      </c>
      <c r="C1707" s="6">
        <f t="shared" si="78"/>
        <v>-4.1878838031730809E-3</v>
      </c>
      <c r="D1707" s="7">
        <f t="shared" si="79"/>
        <v>-0.40467455754075943</v>
      </c>
      <c r="E1707" s="8">
        <f t="shared" si="80"/>
        <v>-0.84573930744488512</v>
      </c>
    </row>
    <row r="1708" spans="1:5" x14ac:dyDescent="0.2">
      <c r="A1708" s="4">
        <v>44109</v>
      </c>
      <c r="B1708" s="3">
        <v>54524.05</v>
      </c>
      <c r="C1708" s="6">
        <f t="shared" si="78"/>
        <v>5.6060617311680322E-3</v>
      </c>
      <c r="D1708" s="7">
        <f t="shared" si="79"/>
        <v>0.49268486842659803</v>
      </c>
      <c r="E1708" s="8">
        <f t="shared" si="80"/>
        <v>-0.92945285572977865</v>
      </c>
    </row>
    <row r="1709" spans="1:5" x14ac:dyDescent="0.2">
      <c r="A1709" s="4">
        <v>44110</v>
      </c>
      <c r="B1709" s="3">
        <v>54203.83</v>
      </c>
      <c r="C1709" s="6">
        <f t="shared" si="78"/>
        <v>-5.8903185798950706E-3</v>
      </c>
      <c r="D1709" s="7">
        <f t="shared" si="79"/>
        <v>-0.56065826080207093</v>
      </c>
      <c r="E1709" s="8">
        <f t="shared" si="80"/>
        <v>-1.0031241696486142</v>
      </c>
    </row>
    <row r="1710" spans="1:5" x14ac:dyDescent="0.2">
      <c r="A1710" s="4">
        <v>44111</v>
      </c>
      <c r="B1710" s="3">
        <v>54749.77</v>
      </c>
      <c r="C1710" s="6">
        <f t="shared" si="78"/>
        <v>1.0021597618899068E-2</v>
      </c>
      <c r="D1710" s="7">
        <f t="shared" si="79"/>
        <v>0.89725345987518756</v>
      </c>
      <c r="E1710" s="8">
        <f t="shared" si="80"/>
        <v>-1.4594061644844651</v>
      </c>
    </row>
    <row r="1711" spans="1:5" x14ac:dyDescent="0.2">
      <c r="A1711" s="4">
        <v>44112</v>
      </c>
      <c r="B1711" s="3">
        <v>54554.85</v>
      </c>
      <c r="C1711" s="6">
        <f t="shared" si="78"/>
        <v>-3.5665501900963396E-3</v>
      </c>
      <c r="D1711" s="7">
        <f t="shared" si="79"/>
        <v>-0.34774555253355749</v>
      </c>
      <c r="E1711" s="8">
        <f t="shared" si="80"/>
        <v>-0.79920357252949503</v>
      </c>
    </row>
    <row r="1712" spans="1:5" x14ac:dyDescent="0.2">
      <c r="A1712" s="4">
        <v>44113</v>
      </c>
      <c r="B1712" s="3">
        <v>55182.99</v>
      </c>
      <c r="C1712" s="6">
        <f t="shared" si="78"/>
        <v>1.1448136036051352E-2</v>
      </c>
      <c r="D1712" s="7">
        <f t="shared" si="79"/>
        <v>1.0279584643749167</v>
      </c>
      <c r="E1712" s="8">
        <f t="shared" si="80"/>
        <v>-1.6660454513941554</v>
      </c>
    </row>
    <row r="1713" spans="1:5" x14ac:dyDescent="0.2">
      <c r="A1713" s="4">
        <v>44116</v>
      </c>
      <c r="B1713" s="3">
        <v>55552.35</v>
      </c>
      <c r="C1713" s="6">
        <f t="shared" si="78"/>
        <v>6.6710658007640188E-3</v>
      </c>
      <c r="D1713" s="7">
        <f t="shared" si="79"/>
        <v>0.59026468824431655</v>
      </c>
      <c r="E1713" s="8">
        <f t="shared" si="80"/>
        <v>-1.0374777156648183</v>
      </c>
    </row>
    <row r="1714" spans="1:5" x14ac:dyDescent="0.2">
      <c r="A1714" s="4">
        <v>44117</v>
      </c>
      <c r="B1714" s="3">
        <v>55054.53</v>
      </c>
      <c r="C1714" s="6">
        <f t="shared" si="78"/>
        <v>-9.0016708097764211E-3</v>
      </c>
      <c r="D1714" s="7">
        <f t="shared" si="79"/>
        <v>-0.84573246722876805</v>
      </c>
      <c r="E1714" s="8">
        <f t="shared" si="80"/>
        <v>-1.3815756601870171</v>
      </c>
    </row>
    <row r="1715" spans="1:5" x14ac:dyDescent="0.2">
      <c r="A1715" s="4">
        <v>44118</v>
      </c>
      <c r="B1715" s="3">
        <v>55394.23</v>
      </c>
      <c r="C1715" s="6">
        <f t="shared" si="78"/>
        <v>6.1512880930455118E-3</v>
      </c>
      <c r="D1715" s="7">
        <f t="shared" si="79"/>
        <v>0.54264063072904389</v>
      </c>
      <c r="E1715" s="8">
        <f t="shared" si="80"/>
        <v>-0.98287481357586104</v>
      </c>
    </row>
    <row r="1716" spans="1:5" x14ac:dyDescent="0.2">
      <c r="A1716" s="4">
        <v>44119</v>
      </c>
      <c r="B1716" s="3">
        <v>54843.96</v>
      </c>
      <c r="C1716" s="6">
        <f t="shared" si="78"/>
        <v>-9.9833745517944831E-3</v>
      </c>
      <c r="D1716" s="7">
        <f t="shared" si="79"/>
        <v>-0.93567998667518903</v>
      </c>
      <c r="E1716" s="8">
        <f t="shared" si="80"/>
        <v>-1.5188890855627482</v>
      </c>
    </row>
    <row r="1717" spans="1:5" x14ac:dyDescent="0.2">
      <c r="A1717" s="4">
        <v>44120</v>
      </c>
      <c r="B1717" s="3">
        <v>55047.26</v>
      </c>
      <c r="C1717" s="6">
        <f t="shared" si="78"/>
        <v>3.7000268435409137E-3</v>
      </c>
      <c r="D1717" s="7">
        <f t="shared" si="79"/>
        <v>0.3180465302167772</v>
      </c>
      <c r="E1717" s="8">
        <f t="shared" si="80"/>
        <v>-0.77744250944416193</v>
      </c>
    </row>
    <row r="1718" spans="1:5" x14ac:dyDescent="0.2">
      <c r="A1718" s="4">
        <v>44123</v>
      </c>
      <c r="B1718" s="3">
        <v>55161.03</v>
      </c>
      <c r="C1718" s="6">
        <f t="shared" si="78"/>
        <v>2.0646367058988514E-3</v>
      </c>
      <c r="D1718" s="7">
        <f t="shared" si="79"/>
        <v>0.16820571784943672</v>
      </c>
      <c r="E1718" s="8">
        <f t="shared" si="80"/>
        <v>-0.69567754640595725</v>
      </c>
    </row>
    <row r="1719" spans="1:5" x14ac:dyDescent="0.2">
      <c r="A1719" s="4">
        <v>44124</v>
      </c>
      <c r="B1719" s="3">
        <v>55271.75</v>
      </c>
      <c r="C1719" s="6">
        <f t="shared" si="78"/>
        <v>2.005202388256765E-3</v>
      </c>
      <c r="D1719" s="7">
        <f t="shared" si="79"/>
        <v>0.16276011423901676</v>
      </c>
      <c r="E1719" s="8">
        <f t="shared" si="80"/>
        <v>-0.69362261339125098</v>
      </c>
    </row>
    <row r="1720" spans="1:5" x14ac:dyDescent="0.2">
      <c r="A1720" s="4">
        <v>44125</v>
      </c>
      <c r="B1720" s="3">
        <v>55345.49</v>
      </c>
      <c r="C1720" s="6">
        <f t="shared" si="78"/>
        <v>1.3332462629336433E-3</v>
      </c>
      <c r="D1720" s="7">
        <f t="shared" si="79"/>
        <v>0.10119287754355846</v>
      </c>
      <c r="E1720" s="8">
        <f t="shared" si="80"/>
        <v>-0.67502152915193414</v>
      </c>
    </row>
    <row r="1721" spans="1:5" x14ac:dyDescent="0.2">
      <c r="A1721" s="4">
        <v>44126</v>
      </c>
      <c r="B1721" s="3">
        <v>54796.42</v>
      </c>
      <c r="C1721" s="6">
        <f t="shared" si="78"/>
        <v>-9.9703110005488118E-3</v>
      </c>
      <c r="D1721" s="7">
        <f t="shared" si="79"/>
        <v>-0.93448305324261005</v>
      </c>
      <c r="E1721" s="8">
        <f t="shared" si="80"/>
        <v>-1.517019061986705</v>
      </c>
    </row>
    <row r="1722" spans="1:5" x14ac:dyDescent="0.2">
      <c r="A1722" s="4">
        <v>44127</v>
      </c>
      <c r="B1722" s="3">
        <v>55339.58</v>
      </c>
      <c r="C1722" s="6">
        <f t="shared" si="78"/>
        <v>9.8635215301060494E-3</v>
      </c>
      <c r="D1722" s="7">
        <f t="shared" si="79"/>
        <v>0.88276991309609976</v>
      </c>
      <c r="E1722" s="8">
        <f t="shared" si="80"/>
        <v>-1.4372947702727035</v>
      </c>
    </row>
    <row r="1723" spans="1:5" x14ac:dyDescent="0.2">
      <c r="A1723" s="4">
        <v>44130</v>
      </c>
      <c r="B1723" s="3">
        <v>54890.879999999997</v>
      </c>
      <c r="C1723" s="6">
        <f t="shared" si="78"/>
        <v>-8.1411703855114124E-3</v>
      </c>
      <c r="D1723" s="7">
        <f t="shared" si="79"/>
        <v>-0.76689006770187873</v>
      </c>
      <c r="E1723" s="8">
        <f t="shared" si="80"/>
        <v>-1.2673132003063532</v>
      </c>
    </row>
    <row r="1724" spans="1:5" x14ac:dyDescent="0.2">
      <c r="A1724" s="4">
        <v>44131</v>
      </c>
      <c r="B1724" s="3">
        <v>54079.43</v>
      </c>
      <c r="C1724" s="6">
        <f t="shared" si="78"/>
        <v>-1.4893322759079154E-2</v>
      </c>
      <c r="D1724" s="7">
        <f t="shared" si="79"/>
        <v>-1.3855485600064825</v>
      </c>
      <c r="E1724" s="8">
        <f t="shared" si="80"/>
        <v>-2.2726759445132729</v>
      </c>
    </row>
    <row r="1725" spans="1:5" x14ac:dyDescent="0.2">
      <c r="A1725" s="4">
        <v>44132</v>
      </c>
      <c r="B1725" s="3">
        <v>52308.14</v>
      </c>
      <c r="C1725" s="6">
        <f t="shared" si="78"/>
        <v>-3.3301892242816128E-2</v>
      </c>
      <c r="D1725" s="7">
        <f t="shared" si="79"/>
        <v>-3.0722133762324333</v>
      </c>
      <c r="E1725" s="8">
        <f t="shared" si="80"/>
        <v>-4.9832705151678116</v>
      </c>
    </row>
    <row r="1726" spans="1:5" x14ac:dyDescent="0.2">
      <c r="A1726" s="4">
        <v>44133</v>
      </c>
      <c r="B1726" s="3">
        <v>51896.97</v>
      </c>
      <c r="C1726" s="6">
        <f t="shared" si="78"/>
        <v>-7.8915925308319871E-3</v>
      </c>
      <c r="D1726" s="7">
        <f t="shared" si="79"/>
        <v>-0.74402277283853635</v>
      </c>
      <c r="E1726" s="8">
        <f t="shared" si="80"/>
        <v>-1.2353913717099427</v>
      </c>
    </row>
    <row r="1727" spans="1:5" x14ac:dyDescent="0.2">
      <c r="A1727" s="4">
        <v>44134</v>
      </c>
      <c r="B1727" s="3">
        <v>51684.7</v>
      </c>
      <c r="C1727" s="6">
        <f t="shared" si="78"/>
        <v>-4.0986073530739969E-3</v>
      </c>
      <c r="D1727" s="7">
        <f t="shared" si="79"/>
        <v>-0.39649470155397537</v>
      </c>
      <c r="E1727" s="8">
        <f t="shared" si="80"/>
        <v>-0.83867238428099833</v>
      </c>
    </row>
    <row r="1728" spans="1:5" x14ac:dyDescent="0.2">
      <c r="A1728" s="4">
        <v>44137</v>
      </c>
      <c r="B1728" s="3">
        <v>52618.04</v>
      </c>
      <c r="C1728" s="6">
        <f t="shared" si="78"/>
        <v>1.7897227112200001E-2</v>
      </c>
      <c r="D1728" s="7">
        <f t="shared" si="79"/>
        <v>1.6188493005361053</v>
      </c>
      <c r="E1728" s="8">
        <f t="shared" si="80"/>
        <v>-2.6799745782075308</v>
      </c>
    </row>
    <row r="1729" spans="1:5" x14ac:dyDescent="0.2">
      <c r="A1729" s="4">
        <v>44138</v>
      </c>
      <c r="B1729" s="3">
        <v>53187.81</v>
      </c>
      <c r="C1729" s="6">
        <f t="shared" si="78"/>
        <v>1.077020802992777E-2</v>
      </c>
      <c r="D1729" s="7">
        <f t="shared" si="79"/>
        <v>0.96584406070693885</v>
      </c>
      <c r="E1729" s="8">
        <f t="shared" si="80"/>
        <v>-1.5663609317526763</v>
      </c>
    </row>
    <row r="1730" spans="1:5" x14ac:dyDescent="0.2">
      <c r="A1730" s="4">
        <v>44139</v>
      </c>
      <c r="B1730" s="3">
        <v>53656.21</v>
      </c>
      <c r="C1730" s="6">
        <f t="shared" si="78"/>
        <v>8.7679778574174441E-3</v>
      </c>
      <c r="D1730" s="7">
        <f t="shared" si="79"/>
        <v>0.78239193592653855</v>
      </c>
      <c r="E1730" s="8">
        <f t="shared" si="80"/>
        <v>-1.2892780959594441</v>
      </c>
    </row>
    <row r="1731" spans="1:5" x14ac:dyDescent="0.2">
      <c r="A1731" s="4">
        <v>44140</v>
      </c>
      <c r="B1731" s="3">
        <v>55225.24</v>
      </c>
      <c r="C1731" s="6">
        <f t="shared" ref="C1731:C1794" si="81">LN(B1731/B1730)</f>
        <v>2.8822882543434031E-2</v>
      </c>
      <c r="D1731" s="7">
        <f t="shared" ref="D1731:D1794" si="82">(C1731-$G$4)/$G$5</f>
        <v>2.6199003939603136</v>
      </c>
      <c r="E1731" s="8">
        <f t="shared" ref="E1731:E1794" si="83">LN((PI()*(G$3-2))^(-1/2)*EXP(GAMMALN((G$3+1)/2))*((1+D1731^2/(G$3-2))^(-(G$3+1)/2))/EXP(GAMMALN(G$3/2)))</f>
        <v>-4.3274606822397361</v>
      </c>
    </row>
    <row r="1732" spans="1:5" x14ac:dyDescent="0.2">
      <c r="A1732" s="4">
        <v>44141</v>
      </c>
      <c r="B1732" s="3">
        <v>56387.040000000001</v>
      </c>
      <c r="C1732" s="6">
        <f t="shared" si="81"/>
        <v>2.0819249710247238E-2</v>
      </c>
      <c r="D1732" s="7">
        <f t="shared" si="82"/>
        <v>1.8865763888738207</v>
      </c>
      <c r="E1732" s="8">
        <f t="shared" si="83"/>
        <v>-3.1425600076059377</v>
      </c>
    </row>
    <row r="1733" spans="1:5" x14ac:dyDescent="0.2">
      <c r="A1733" s="4">
        <v>44144</v>
      </c>
      <c r="B1733" s="3">
        <v>57307.49</v>
      </c>
      <c r="C1733" s="6">
        <f t="shared" si="81"/>
        <v>1.6191985845610112E-2</v>
      </c>
      <c r="D1733" s="7">
        <f t="shared" si="82"/>
        <v>1.4626084557450589</v>
      </c>
      <c r="E1733" s="8">
        <f t="shared" si="83"/>
        <v>-2.4070759249224012</v>
      </c>
    </row>
    <row r="1734" spans="1:5" x14ac:dyDescent="0.2">
      <c r="A1734" s="4">
        <v>44145</v>
      </c>
      <c r="B1734" s="3">
        <v>57672.12</v>
      </c>
      <c r="C1734" s="6">
        <f t="shared" si="81"/>
        <v>6.3425371220813221E-3</v>
      </c>
      <c r="D1734" s="7">
        <f t="shared" si="82"/>
        <v>0.56016361146348137</v>
      </c>
      <c r="E1734" s="8">
        <f t="shared" si="83"/>
        <v>-1.0025615167483555</v>
      </c>
    </row>
    <row r="1735" spans="1:5" x14ac:dyDescent="0.2">
      <c r="A1735" s="4">
        <v>44146</v>
      </c>
      <c r="B1735" s="3">
        <v>57607.3</v>
      </c>
      <c r="C1735" s="6">
        <f t="shared" si="81"/>
        <v>-1.1245720499163823E-3</v>
      </c>
      <c r="D1735" s="7">
        <f t="shared" si="82"/>
        <v>-0.12400200664460811</v>
      </c>
      <c r="E1735" s="8">
        <f t="shared" si="83"/>
        <v>-0.68091501761265383</v>
      </c>
    </row>
    <row r="1736" spans="1:5" x14ac:dyDescent="0.2">
      <c r="A1736" s="4">
        <v>44147</v>
      </c>
      <c r="B1736" s="3">
        <v>57031.19</v>
      </c>
      <c r="C1736" s="6">
        <f t="shared" si="81"/>
        <v>-1.0050984621096833E-2</v>
      </c>
      <c r="D1736" s="7">
        <f t="shared" si="82"/>
        <v>-0.94187468448783629</v>
      </c>
      <c r="E1736" s="8">
        <f t="shared" si="83"/>
        <v>-1.5285843888000827</v>
      </c>
    </row>
    <row r="1737" spans="1:5" x14ac:dyDescent="0.2">
      <c r="A1737" s="4">
        <v>44148</v>
      </c>
      <c r="B1737" s="3">
        <v>57182.6</v>
      </c>
      <c r="C1737" s="6">
        <f t="shared" si="81"/>
        <v>2.6513451431102709E-3</v>
      </c>
      <c r="D1737" s="7">
        <f t="shared" si="82"/>
        <v>0.22196222941877169</v>
      </c>
      <c r="E1737" s="8">
        <f t="shared" si="83"/>
        <v>-0.71947492062013196</v>
      </c>
    </row>
    <row r="1738" spans="1:5" x14ac:dyDescent="0.2">
      <c r="A1738" s="4">
        <v>44151</v>
      </c>
      <c r="B1738" s="3">
        <v>57267</v>
      </c>
      <c r="C1738" s="6">
        <f t="shared" si="81"/>
        <v>1.4748852822468795E-3</v>
      </c>
      <c r="D1738" s="7">
        <f t="shared" si="82"/>
        <v>0.11417039601349917</v>
      </c>
      <c r="E1738" s="8">
        <f t="shared" si="83"/>
        <v>-0.67822993155953082</v>
      </c>
    </row>
    <row r="1739" spans="1:5" x14ac:dyDescent="0.2">
      <c r="A1739" s="4">
        <v>44152</v>
      </c>
      <c r="B1739" s="3">
        <v>57053.01</v>
      </c>
      <c r="C1739" s="6">
        <f t="shared" si="81"/>
        <v>-3.743705934392179E-3</v>
      </c>
      <c r="D1739" s="7">
        <f t="shared" si="82"/>
        <v>-0.36397725164304501</v>
      </c>
      <c r="E1739" s="8">
        <f t="shared" si="83"/>
        <v>-0.81183503956616443</v>
      </c>
    </row>
    <row r="1740" spans="1:5" x14ac:dyDescent="0.2">
      <c r="A1740" s="4">
        <v>44153</v>
      </c>
      <c r="B1740" s="3">
        <v>57323.67</v>
      </c>
      <c r="C1740" s="6">
        <f t="shared" si="81"/>
        <v>4.7327917756734969E-3</v>
      </c>
      <c r="D1740" s="7">
        <f t="shared" si="82"/>
        <v>0.41267247472587743</v>
      </c>
      <c r="E1740" s="8">
        <f t="shared" si="83"/>
        <v>-0.85276982697634707</v>
      </c>
    </row>
    <row r="1741" spans="1:5" x14ac:dyDescent="0.2">
      <c r="A1741" s="4">
        <v>44154</v>
      </c>
      <c r="B1741" s="3">
        <v>56753.49</v>
      </c>
      <c r="C1741" s="6">
        <f t="shared" si="81"/>
        <v>-9.9964751601990653E-3</v>
      </c>
      <c r="D1741" s="7">
        <f t="shared" si="82"/>
        <v>-0.93688031542896233</v>
      </c>
      <c r="E1741" s="8">
        <f t="shared" si="83"/>
        <v>-1.5207654894222908</v>
      </c>
    </row>
    <row r="1742" spans="1:5" x14ac:dyDescent="0.2">
      <c r="A1742" s="4">
        <v>44155</v>
      </c>
      <c r="B1742" s="3">
        <v>56615.28</v>
      </c>
      <c r="C1742" s="6">
        <f t="shared" si="81"/>
        <v>-2.4382388284115808E-3</v>
      </c>
      <c r="D1742" s="7">
        <f t="shared" si="82"/>
        <v>-0.24436527210584949</v>
      </c>
      <c r="E1742" s="8">
        <f t="shared" si="83"/>
        <v>-0.73124901717304236</v>
      </c>
    </row>
    <row r="1743" spans="1:5" x14ac:dyDescent="0.2">
      <c r="A1743" s="4">
        <v>44158</v>
      </c>
      <c r="B1743" s="3">
        <v>57147.31</v>
      </c>
      <c r="C1743" s="6">
        <f t="shared" si="81"/>
        <v>9.3534065771283294E-3</v>
      </c>
      <c r="D1743" s="7">
        <f t="shared" si="82"/>
        <v>0.8360311947954524</v>
      </c>
      <c r="E1743" s="8">
        <f t="shared" si="83"/>
        <v>-1.3671861735834316</v>
      </c>
    </row>
    <row r="1744" spans="1:5" x14ac:dyDescent="0.2">
      <c r="A1744" s="4">
        <v>44159</v>
      </c>
      <c r="B1744" s="3">
        <v>57761.919999999998</v>
      </c>
      <c r="C1744" s="6">
        <f t="shared" si="81"/>
        <v>1.0697415012657344E-2</v>
      </c>
      <c r="D1744" s="7">
        <f t="shared" si="82"/>
        <v>0.95917448101985758</v>
      </c>
      <c r="E1744" s="8">
        <f t="shared" si="83"/>
        <v>-1.5558084470856612</v>
      </c>
    </row>
    <row r="1745" spans="1:5" x14ac:dyDescent="0.2">
      <c r="A1745" s="4">
        <v>44160</v>
      </c>
      <c r="B1745" s="3">
        <v>57742.19</v>
      </c>
      <c r="C1745" s="6">
        <f t="shared" si="81"/>
        <v>-3.4163286816189776E-4</v>
      </c>
      <c r="D1745" s="7">
        <f t="shared" si="82"/>
        <v>-5.2266070168030317E-2</v>
      </c>
      <c r="E1745" s="8">
        <f t="shared" si="83"/>
        <v>-0.66638307054430923</v>
      </c>
    </row>
    <row r="1746" spans="1:5" x14ac:dyDescent="0.2">
      <c r="A1746" s="4">
        <v>44161</v>
      </c>
      <c r="B1746" s="3">
        <v>57923.69</v>
      </c>
      <c r="C1746" s="6">
        <f t="shared" si="81"/>
        <v>3.1383524505234446E-3</v>
      </c>
      <c r="D1746" s="7">
        <f t="shared" si="82"/>
        <v>0.26658373525519297</v>
      </c>
      <c r="E1746" s="8">
        <f t="shared" si="83"/>
        <v>-0.74398435790405004</v>
      </c>
    </row>
    <row r="1747" spans="1:5" x14ac:dyDescent="0.2">
      <c r="A1747" s="4">
        <v>44162</v>
      </c>
      <c r="B1747" s="3">
        <v>57822.5</v>
      </c>
      <c r="C1747" s="6">
        <f t="shared" si="81"/>
        <v>-1.7484813241754279E-3</v>
      </c>
      <c r="D1747" s="7">
        <f t="shared" si="82"/>
        <v>-0.1811670037585596</v>
      </c>
      <c r="E1747" s="8">
        <f t="shared" si="83"/>
        <v>-0.70083355932672586</v>
      </c>
    </row>
    <row r="1748" spans="1:5" x14ac:dyDescent="0.2">
      <c r="A1748" s="4">
        <v>44165</v>
      </c>
      <c r="B1748" s="3">
        <v>57091.89</v>
      </c>
      <c r="C1748" s="6">
        <f t="shared" si="81"/>
        <v>-1.2715898236627327E-2</v>
      </c>
      <c r="D1748" s="7">
        <f t="shared" si="82"/>
        <v>-1.1860444467047058</v>
      </c>
      <c r="E1748" s="8">
        <f t="shared" si="83"/>
        <v>-1.9290253866082949</v>
      </c>
    </row>
    <row r="1749" spans="1:5" x14ac:dyDescent="0.2">
      <c r="A1749" s="4">
        <v>44166</v>
      </c>
      <c r="B1749" s="3">
        <v>57509.72</v>
      </c>
      <c r="C1749" s="6">
        <f t="shared" si="81"/>
        <v>7.291901944437163E-3</v>
      </c>
      <c r="D1749" s="7">
        <f t="shared" si="82"/>
        <v>0.64714811316769194</v>
      </c>
      <c r="E1749" s="8">
        <f t="shared" si="83"/>
        <v>-1.1070608997361426</v>
      </c>
    </row>
    <row r="1750" spans="1:5" x14ac:dyDescent="0.2">
      <c r="A1750" s="4">
        <v>44167</v>
      </c>
      <c r="B1750" s="3">
        <v>58281.98</v>
      </c>
      <c r="C1750" s="6">
        <f t="shared" si="81"/>
        <v>1.3338977673588484E-2</v>
      </c>
      <c r="D1750" s="7">
        <f t="shared" si="82"/>
        <v>1.201204737851324</v>
      </c>
      <c r="E1750" s="8">
        <f t="shared" si="83"/>
        <v>-1.9547855100397686</v>
      </c>
    </row>
    <row r="1751" spans="1:5" x14ac:dyDescent="0.2">
      <c r="A1751" s="4">
        <v>44168</v>
      </c>
      <c r="B1751" s="3">
        <v>58947.48</v>
      </c>
      <c r="C1751" s="6">
        <f t="shared" si="81"/>
        <v>1.1353923309136033E-2</v>
      </c>
      <c r="D1751" s="7">
        <f t="shared" si="82"/>
        <v>1.0193263274851296</v>
      </c>
      <c r="E1751" s="8">
        <f t="shared" si="83"/>
        <v>-1.6520480926323624</v>
      </c>
    </row>
    <row r="1752" spans="1:5" x14ac:dyDescent="0.2">
      <c r="A1752" s="4">
        <v>44169</v>
      </c>
      <c r="B1752" s="3">
        <v>59419.37</v>
      </c>
      <c r="C1752" s="6">
        <f t="shared" si="81"/>
        <v>7.9733895094597374E-3</v>
      </c>
      <c r="D1752" s="7">
        <f t="shared" si="82"/>
        <v>0.70958865748236799</v>
      </c>
      <c r="E1752" s="8">
        <f t="shared" si="83"/>
        <v>-1.1884520597211863</v>
      </c>
    </row>
    <row r="1753" spans="1:5" x14ac:dyDescent="0.2">
      <c r="A1753" s="4">
        <v>44172</v>
      </c>
      <c r="B1753" s="3">
        <v>59527.7</v>
      </c>
      <c r="C1753" s="6">
        <f t="shared" si="81"/>
        <v>1.8214829495410631E-3</v>
      </c>
      <c r="D1753" s="7">
        <f t="shared" si="82"/>
        <v>0.14592702388876921</v>
      </c>
      <c r="E1753" s="8">
        <f t="shared" si="83"/>
        <v>-0.68768917993724799</v>
      </c>
    </row>
    <row r="1754" spans="1:5" x14ac:dyDescent="0.2">
      <c r="A1754" s="4">
        <v>44173</v>
      </c>
      <c r="B1754" s="3">
        <v>59159.360000000001</v>
      </c>
      <c r="C1754" s="6">
        <f t="shared" si="81"/>
        <v>-6.206930773320826E-3</v>
      </c>
      <c r="D1754" s="7">
        <f t="shared" si="82"/>
        <v>-0.5896675028027123</v>
      </c>
      <c r="E1754" s="8">
        <f t="shared" si="83"/>
        <v>-1.0367718069926906</v>
      </c>
    </row>
    <row r="1755" spans="1:5" x14ac:dyDescent="0.2">
      <c r="A1755" s="4">
        <v>44174</v>
      </c>
      <c r="B1755" s="3">
        <v>59291.75</v>
      </c>
      <c r="C1755" s="6">
        <f t="shared" si="81"/>
        <v>2.2353535585652533E-3</v>
      </c>
      <c r="D1755" s="7">
        <f t="shared" si="82"/>
        <v>0.18384746063578583</v>
      </c>
      <c r="E1755" s="8">
        <f t="shared" si="83"/>
        <v>-0.7019462684686979</v>
      </c>
    </row>
    <row r="1756" spans="1:5" x14ac:dyDescent="0.2">
      <c r="A1756" s="4">
        <v>44175</v>
      </c>
      <c r="B1756" s="3">
        <v>59282.77</v>
      </c>
      <c r="C1756" s="6">
        <f t="shared" si="81"/>
        <v>-1.5146593074420264E-4</v>
      </c>
      <c r="D1756" s="7">
        <f t="shared" si="82"/>
        <v>-3.4842234881142159E-2</v>
      </c>
      <c r="E1756" s="8">
        <f t="shared" si="83"/>
        <v>-0.66463341401086662</v>
      </c>
    </row>
    <row r="1757" spans="1:5" x14ac:dyDescent="0.2">
      <c r="A1757" s="4">
        <v>44176</v>
      </c>
      <c r="B1757" s="3">
        <v>59412.61</v>
      </c>
      <c r="C1757" s="6">
        <f t="shared" si="81"/>
        <v>2.1877861090960149E-3</v>
      </c>
      <c r="D1757" s="7">
        <f t="shared" si="82"/>
        <v>0.17948914569511379</v>
      </c>
      <c r="E1757" s="8">
        <f t="shared" si="83"/>
        <v>-0.70014513046911053</v>
      </c>
    </row>
    <row r="1758" spans="1:5" x14ac:dyDescent="0.2">
      <c r="A1758" s="4">
        <v>44179</v>
      </c>
      <c r="B1758" s="3">
        <v>59508.800000000003</v>
      </c>
      <c r="C1758" s="6">
        <f t="shared" si="81"/>
        <v>1.6177073745972743E-3</v>
      </c>
      <c r="D1758" s="7">
        <f t="shared" si="82"/>
        <v>0.127256312241808</v>
      </c>
      <c r="E1758" s="8">
        <f t="shared" si="83"/>
        <v>-0.68185198350859944</v>
      </c>
    </row>
    <row r="1759" spans="1:5" x14ac:dyDescent="0.2">
      <c r="A1759" s="4">
        <v>44180</v>
      </c>
      <c r="B1759" s="3">
        <v>59478.26</v>
      </c>
      <c r="C1759" s="6">
        <f t="shared" si="81"/>
        <v>-5.1333314178254137E-4</v>
      </c>
      <c r="D1759" s="7">
        <f t="shared" si="82"/>
        <v>-6.7997917811496347E-2</v>
      </c>
      <c r="E1759" s="8">
        <f t="shared" si="83"/>
        <v>-0.66856249845908666</v>
      </c>
    </row>
    <row r="1760" spans="1:5" x14ac:dyDescent="0.2">
      <c r="A1760" s="4">
        <v>44182</v>
      </c>
      <c r="B1760" s="3">
        <v>60544.3</v>
      </c>
      <c r="C1760" s="6">
        <f t="shared" si="81"/>
        <v>1.7764460857669511E-2</v>
      </c>
      <c r="D1760" s="7">
        <f t="shared" si="82"/>
        <v>1.6066847393247354</v>
      </c>
      <c r="E1760" s="8">
        <f t="shared" si="83"/>
        <v>-2.6587570659480124</v>
      </c>
    </row>
    <row r="1761" spans="1:5" x14ac:dyDescent="0.2">
      <c r="A1761" s="4">
        <v>44183</v>
      </c>
      <c r="B1761" s="3">
        <v>59788.12</v>
      </c>
      <c r="C1761" s="6">
        <f t="shared" si="81"/>
        <v>-1.2568349477854594E-2</v>
      </c>
      <c r="D1761" s="7">
        <f t="shared" si="82"/>
        <v>-1.1725254548938733</v>
      </c>
      <c r="E1761" s="8">
        <f t="shared" si="83"/>
        <v>-1.9061205056474542</v>
      </c>
    </row>
    <row r="1762" spans="1:5" x14ac:dyDescent="0.2">
      <c r="A1762" s="4">
        <v>44186</v>
      </c>
      <c r="B1762" s="3">
        <v>58714.87</v>
      </c>
      <c r="C1762" s="6">
        <f t="shared" si="81"/>
        <v>-1.8113962283671407E-2</v>
      </c>
      <c r="D1762" s="7">
        <f t="shared" si="82"/>
        <v>-1.6806360939224361</v>
      </c>
      <c r="E1762" s="8">
        <f t="shared" si="83"/>
        <v>-2.7875576752097455</v>
      </c>
    </row>
    <row r="1763" spans="1:5" x14ac:dyDescent="0.2">
      <c r="A1763" s="4">
        <v>44187</v>
      </c>
      <c r="B1763" s="3">
        <v>58619.75</v>
      </c>
      <c r="C1763" s="6">
        <f t="shared" si="81"/>
        <v>-1.6213462120103189E-3</v>
      </c>
      <c r="D1763" s="7">
        <f t="shared" si="82"/>
        <v>-0.1695183897375043</v>
      </c>
      <c r="E1763" s="8">
        <f t="shared" si="83"/>
        <v>-0.69618276198295792</v>
      </c>
    </row>
    <row r="1764" spans="1:5" x14ac:dyDescent="0.2">
      <c r="A1764" s="4">
        <v>44188</v>
      </c>
      <c r="B1764" s="3">
        <v>58986.720000000001</v>
      </c>
      <c r="C1764" s="6">
        <f t="shared" si="81"/>
        <v>6.2406633069871549E-3</v>
      </c>
      <c r="D1764" s="7">
        <f t="shared" si="82"/>
        <v>0.55082953584365446</v>
      </c>
      <c r="E1764" s="8">
        <f t="shared" si="83"/>
        <v>-0.9920152146988892</v>
      </c>
    </row>
    <row r="1765" spans="1:5" x14ac:dyDescent="0.2">
      <c r="A1765" s="4">
        <v>44189</v>
      </c>
      <c r="B1765" s="3">
        <v>59175.8</v>
      </c>
      <c r="C1765" s="6">
        <f t="shared" si="81"/>
        <v>3.2003407067248846E-3</v>
      </c>
      <c r="D1765" s="7">
        <f t="shared" si="82"/>
        <v>0.27226334066106311</v>
      </c>
      <c r="E1765" s="8">
        <f t="shared" si="83"/>
        <v>-0.74740712722406522</v>
      </c>
    </row>
    <row r="1766" spans="1:5" x14ac:dyDescent="0.2">
      <c r="A1766" s="4">
        <v>44193</v>
      </c>
      <c r="B1766" s="3">
        <v>59006.07</v>
      </c>
      <c r="C1766" s="6">
        <f t="shared" si="81"/>
        <v>-2.8723545615805561E-3</v>
      </c>
      <c r="D1766" s="7">
        <f t="shared" si="82"/>
        <v>-0.28414064595839744</v>
      </c>
      <c r="E1766" s="8">
        <f t="shared" si="83"/>
        <v>-0.75478304666733897</v>
      </c>
    </row>
    <row r="1767" spans="1:5" x14ac:dyDescent="0.2">
      <c r="A1767" s="4">
        <v>44194</v>
      </c>
      <c r="B1767" s="3">
        <v>59246.400000000001</v>
      </c>
      <c r="C1767" s="6">
        <f t="shared" si="81"/>
        <v>4.0646987059090945E-3</v>
      </c>
      <c r="D1767" s="7">
        <f t="shared" si="82"/>
        <v>0.35145918622285055</v>
      </c>
      <c r="E1767" s="8">
        <f t="shared" si="83"/>
        <v>-0.80204793918676698</v>
      </c>
    </row>
    <row r="1768" spans="1:5" x14ac:dyDescent="0.2">
      <c r="A1768" s="4">
        <v>44195</v>
      </c>
      <c r="B1768" s="3">
        <v>59634.93</v>
      </c>
      <c r="C1768" s="6">
        <f t="shared" si="81"/>
        <v>6.5364575469786419E-3</v>
      </c>
      <c r="D1768" s="7">
        <f t="shared" si="82"/>
        <v>0.57793135588875322</v>
      </c>
      <c r="E1768" s="8">
        <f t="shared" si="83"/>
        <v>-1.0230064321242982</v>
      </c>
    </row>
    <row r="1769" spans="1:5" x14ac:dyDescent="0.2">
      <c r="A1769" s="4">
        <v>44196</v>
      </c>
      <c r="B1769" s="3">
        <v>59408.68</v>
      </c>
      <c r="C1769" s="6">
        <f t="shared" si="81"/>
        <v>-3.8011325835366153E-3</v>
      </c>
      <c r="D1769" s="7">
        <f t="shared" si="82"/>
        <v>-0.36923890484815924</v>
      </c>
      <c r="E1769" s="8">
        <f t="shared" si="83"/>
        <v>-0.81603990847274932</v>
      </c>
    </row>
    <row r="1770" spans="1:5" x14ac:dyDescent="0.2">
      <c r="A1770" s="4">
        <v>44200</v>
      </c>
      <c r="B1770" s="3">
        <v>60479.42</v>
      </c>
      <c r="C1770" s="6">
        <f t="shared" si="81"/>
        <v>1.7862798239124813E-2</v>
      </c>
      <c r="D1770" s="7">
        <f t="shared" si="82"/>
        <v>1.6156947931242431</v>
      </c>
      <c r="E1770" s="8">
        <f t="shared" si="83"/>
        <v>-2.6744734358149849</v>
      </c>
    </row>
    <row r="1771" spans="1:5" x14ac:dyDescent="0.2">
      <c r="A1771" s="4">
        <v>44201</v>
      </c>
      <c r="B1771" s="3">
        <v>60921.37</v>
      </c>
      <c r="C1771" s="6">
        <f t="shared" si="81"/>
        <v>7.2808744054152453E-3</v>
      </c>
      <c r="D1771" s="7">
        <f t="shared" si="82"/>
        <v>0.64613772710297035</v>
      </c>
      <c r="E1771" s="8">
        <f t="shared" si="83"/>
        <v>-1.1057856505905117</v>
      </c>
    </row>
    <row r="1772" spans="1:5" x14ac:dyDescent="0.2">
      <c r="A1772" s="4">
        <v>44202</v>
      </c>
      <c r="B1772" s="3">
        <v>61857.42</v>
      </c>
      <c r="C1772" s="6">
        <f t="shared" si="81"/>
        <v>1.524804302303555E-2</v>
      </c>
      <c r="D1772" s="7">
        <f t="shared" si="82"/>
        <v>1.3761207387732386</v>
      </c>
      <c r="E1772" s="8">
        <f t="shared" si="83"/>
        <v>-2.2562698045773781</v>
      </c>
    </row>
    <row r="1773" spans="1:5" x14ac:dyDescent="0.2">
      <c r="A1773" s="4">
        <v>44203</v>
      </c>
      <c r="B1773" s="3">
        <v>63042.879999999997</v>
      </c>
      <c r="C1773" s="6">
        <f t="shared" si="81"/>
        <v>1.898307047861619E-2</v>
      </c>
      <c r="D1773" s="7">
        <f t="shared" si="82"/>
        <v>1.7183384978734935</v>
      </c>
      <c r="E1773" s="8">
        <f t="shared" si="83"/>
        <v>-2.8530128028600257</v>
      </c>
    </row>
    <row r="1774" spans="1:5" x14ac:dyDescent="0.2">
      <c r="A1774" s="4">
        <v>44204</v>
      </c>
      <c r="B1774" s="3">
        <v>63519.18</v>
      </c>
      <c r="C1774" s="6">
        <f t="shared" si="81"/>
        <v>7.5267777503842167E-3</v>
      </c>
      <c r="D1774" s="7">
        <f t="shared" si="82"/>
        <v>0.66866834907866768</v>
      </c>
      <c r="E1774" s="8">
        <f t="shared" si="83"/>
        <v>-1.1345458134731148</v>
      </c>
    </row>
    <row r="1775" spans="1:5" x14ac:dyDescent="0.2">
      <c r="A1775" s="4">
        <v>44207</v>
      </c>
      <c r="B1775" s="3">
        <v>63759.93</v>
      </c>
      <c r="C1775" s="6">
        <f t="shared" si="81"/>
        <v>3.7830290787007311E-3</v>
      </c>
      <c r="D1775" s="7">
        <f t="shared" si="82"/>
        <v>0.32565151820000188</v>
      </c>
      <c r="E1775" s="8">
        <f t="shared" si="83"/>
        <v>-0.78284660424673935</v>
      </c>
    </row>
    <row r="1776" spans="1:5" x14ac:dyDescent="0.2">
      <c r="A1776" s="4">
        <v>44208</v>
      </c>
      <c r="B1776" s="3">
        <v>63535.1</v>
      </c>
      <c r="C1776" s="6">
        <f t="shared" si="81"/>
        <v>-3.5324275234706617E-3</v>
      </c>
      <c r="D1776" s="7">
        <f t="shared" si="82"/>
        <v>-0.34461910094892001</v>
      </c>
      <c r="E1776" s="8">
        <f t="shared" si="83"/>
        <v>-0.79683003130490238</v>
      </c>
    </row>
    <row r="1777" spans="1:5" x14ac:dyDescent="0.2">
      <c r="A1777" s="4">
        <v>44209</v>
      </c>
      <c r="B1777" s="3">
        <v>63474.53</v>
      </c>
      <c r="C1777" s="6">
        <f t="shared" si="81"/>
        <v>-9.537860175129481E-4</v>
      </c>
      <c r="D1777" s="7">
        <f t="shared" si="82"/>
        <v>-0.10835392534137686</v>
      </c>
      <c r="E1777" s="8">
        <f t="shared" si="83"/>
        <v>-0.67674460742095799</v>
      </c>
    </row>
    <row r="1778" spans="1:5" x14ac:dyDescent="0.2">
      <c r="A1778" s="4">
        <v>44210</v>
      </c>
      <c r="B1778" s="3">
        <v>63884.77</v>
      </c>
      <c r="C1778" s="6">
        <f t="shared" si="81"/>
        <v>6.4422687442898313E-3</v>
      </c>
      <c r="D1778" s="7">
        <f t="shared" si="82"/>
        <v>0.56930141102975618</v>
      </c>
      <c r="E1778" s="8">
        <f t="shared" si="83"/>
        <v>-1.0130161602102399</v>
      </c>
    </row>
    <row r="1779" spans="1:5" x14ac:dyDescent="0.2">
      <c r="A1779" s="4">
        <v>44211</v>
      </c>
      <c r="B1779" s="3">
        <v>63549.75</v>
      </c>
      <c r="C1779" s="6">
        <f t="shared" si="81"/>
        <v>-5.2579281002434796E-3</v>
      </c>
      <c r="D1779" s="7">
        <f t="shared" si="82"/>
        <v>-0.50271618262555073</v>
      </c>
      <c r="E1779" s="8">
        <f t="shared" si="83"/>
        <v>-0.93985084976754829</v>
      </c>
    </row>
    <row r="1780" spans="1:5" x14ac:dyDescent="0.2">
      <c r="A1780" s="4">
        <v>44214</v>
      </c>
      <c r="B1780" s="3">
        <v>63713.87</v>
      </c>
      <c r="C1780" s="6">
        <f t="shared" si="81"/>
        <v>2.5792145623695383E-3</v>
      </c>
      <c r="D1780" s="7">
        <f t="shared" si="82"/>
        <v>0.21535334474596651</v>
      </c>
      <c r="E1780" s="8">
        <f t="shared" si="83"/>
        <v>-0.71620838961263167</v>
      </c>
    </row>
    <row r="1781" spans="1:5" x14ac:dyDescent="0.2">
      <c r="A1781" s="4">
        <v>44215</v>
      </c>
      <c r="B1781" s="3">
        <v>63603.26</v>
      </c>
      <c r="C1781" s="6">
        <f t="shared" si="81"/>
        <v>-1.7375513857155341E-3</v>
      </c>
      <c r="D1781" s="7">
        <f t="shared" si="82"/>
        <v>-0.18016556023737212</v>
      </c>
      <c r="E1781" s="8">
        <f t="shared" si="83"/>
        <v>-0.70042191572827051</v>
      </c>
    </row>
    <row r="1782" spans="1:5" x14ac:dyDescent="0.2">
      <c r="A1782" s="4">
        <v>44216</v>
      </c>
      <c r="B1782" s="3">
        <v>64108.51</v>
      </c>
      <c r="C1782" s="6">
        <f t="shared" si="81"/>
        <v>7.9123895310015315E-3</v>
      </c>
      <c r="D1782" s="7">
        <f t="shared" si="82"/>
        <v>0.70399960193153377</v>
      </c>
      <c r="E1782" s="8">
        <f t="shared" si="83"/>
        <v>-1.1809663871015585</v>
      </c>
    </row>
    <row r="1783" spans="1:5" x14ac:dyDescent="0.2">
      <c r="A1783" s="4">
        <v>44217</v>
      </c>
      <c r="B1783" s="3">
        <v>64174.879999999997</v>
      </c>
      <c r="C1783" s="6">
        <f t="shared" si="81"/>
        <v>1.0347404433542051E-3</v>
      </c>
      <c r="D1783" s="7">
        <f t="shared" si="82"/>
        <v>7.3842612018139533E-2</v>
      </c>
      <c r="E1783" s="8">
        <f t="shared" si="83"/>
        <v>-0.66951690247368523</v>
      </c>
    </row>
    <row r="1784" spans="1:5" x14ac:dyDescent="0.2">
      <c r="A1784" s="4">
        <v>44218</v>
      </c>
      <c r="B1784" s="3">
        <v>63987.92</v>
      </c>
      <c r="C1784" s="6">
        <f t="shared" si="81"/>
        <v>-2.9175413242793677E-3</v>
      </c>
      <c r="D1784" s="7">
        <f t="shared" si="82"/>
        <v>-0.28828083310713642</v>
      </c>
      <c r="E1784" s="8">
        <f t="shared" si="83"/>
        <v>-0.75742315906312008</v>
      </c>
    </row>
    <row r="1785" spans="1:5" x14ac:dyDescent="0.2">
      <c r="A1785" s="4">
        <v>44221</v>
      </c>
      <c r="B1785" s="3">
        <v>64559.85</v>
      </c>
      <c r="C1785" s="6">
        <f t="shared" si="81"/>
        <v>8.8983849947711548E-3</v>
      </c>
      <c r="D1785" s="7">
        <f t="shared" si="82"/>
        <v>0.7943403456361342</v>
      </c>
      <c r="E1785" s="8">
        <f t="shared" si="83"/>
        <v>-1.3063813376593421</v>
      </c>
    </row>
    <row r="1786" spans="1:5" x14ac:dyDescent="0.2">
      <c r="A1786" s="4">
        <v>44222</v>
      </c>
      <c r="B1786" s="3">
        <v>63923.63</v>
      </c>
      <c r="C1786" s="6">
        <f t="shared" si="81"/>
        <v>-9.903610956205313E-3</v>
      </c>
      <c r="D1786" s="7">
        <f t="shared" si="82"/>
        <v>-0.92837173546018925</v>
      </c>
      <c r="E1786" s="8">
        <f t="shared" si="83"/>
        <v>-1.5074878858316165</v>
      </c>
    </row>
    <row r="1787" spans="1:5" x14ac:dyDescent="0.2">
      <c r="A1787" s="4">
        <v>44223</v>
      </c>
      <c r="B1787" s="3">
        <v>62784.52</v>
      </c>
      <c r="C1787" s="6">
        <f t="shared" si="81"/>
        <v>-1.7980543309181644E-2</v>
      </c>
      <c r="D1787" s="7">
        <f t="shared" si="82"/>
        <v>-1.6684117279668067</v>
      </c>
      <c r="E1787" s="8">
        <f t="shared" si="83"/>
        <v>-2.7663009059204864</v>
      </c>
    </row>
    <row r="1788" spans="1:5" x14ac:dyDescent="0.2">
      <c r="A1788" s="4">
        <v>44224</v>
      </c>
      <c r="B1788" s="3">
        <v>63206.720000000001</v>
      </c>
      <c r="C1788" s="6">
        <f t="shared" si="81"/>
        <v>6.7020783406631871E-3</v>
      </c>
      <c r="D1788" s="7">
        <f t="shared" si="82"/>
        <v>0.59310617790791809</v>
      </c>
      <c r="E1788" s="8">
        <f t="shared" si="83"/>
        <v>-1.0408437238127421</v>
      </c>
    </row>
    <row r="1789" spans="1:5" x14ac:dyDescent="0.2">
      <c r="A1789" s="4">
        <v>44225</v>
      </c>
      <c r="B1789" s="3">
        <v>62472.1</v>
      </c>
      <c r="C1789" s="6">
        <f t="shared" si="81"/>
        <v>-1.1690567537982213E-2</v>
      </c>
      <c r="D1789" s="7">
        <f t="shared" si="82"/>
        <v>-1.0920996556154843</v>
      </c>
      <c r="E1789" s="8">
        <f t="shared" si="83"/>
        <v>-1.7713435191167428</v>
      </c>
    </row>
    <row r="1790" spans="1:5" x14ac:dyDescent="0.2">
      <c r="A1790" s="4">
        <v>44228</v>
      </c>
      <c r="B1790" s="3">
        <v>62796.65</v>
      </c>
      <c r="C1790" s="6">
        <f t="shared" si="81"/>
        <v>5.1816710260552956E-3</v>
      </c>
      <c r="D1790" s="7">
        <f t="shared" si="82"/>
        <v>0.45380053951231969</v>
      </c>
      <c r="E1790" s="8">
        <f t="shared" si="83"/>
        <v>-0.89077124317973011</v>
      </c>
    </row>
    <row r="1791" spans="1:5" x14ac:dyDescent="0.2">
      <c r="A1791" s="4">
        <v>44229</v>
      </c>
      <c r="B1791" s="3">
        <v>62733.65</v>
      </c>
      <c r="C1791" s="6">
        <f t="shared" si="81"/>
        <v>-1.0037418103735235E-3</v>
      </c>
      <c r="D1791" s="7">
        <f t="shared" si="82"/>
        <v>-0.11293106960340345</v>
      </c>
      <c r="E1791" s="8">
        <f t="shared" si="83"/>
        <v>-0.67790701188475655</v>
      </c>
    </row>
    <row r="1792" spans="1:5" x14ac:dyDescent="0.2">
      <c r="A1792" s="4">
        <v>44230</v>
      </c>
      <c r="B1792" s="3">
        <v>63010.61</v>
      </c>
      <c r="C1792" s="6">
        <f t="shared" si="81"/>
        <v>4.4051386182230555E-3</v>
      </c>
      <c r="D1792" s="7">
        <f t="shared" si="82"/>
        <v>0.38265161660948593</v>
      </c>
      <c r="E1792" s="8">
        <f t="shared" si="83"/>
        <v>-0.82700027683243549</v>
      </c>
    </row>
    <row r="1793" spans="1:5" x14ac:dyDescent="0.2">
      <c r="A1793" s="4">
        <v>44231</v>
      </c>
      <c r="B1793" s="3">
        <v>63786.21</v>
      </c>
      <c r="C1793" s="6">
        <f t="shared" si="81"/>
        <v>1.2233897877474129E-2</v>
      </c>
      <c r="D1793" s="7">
        <f t="shared" si="82"/>
        <v>1.099953023921304</v>
      </c>
      <c r="E1793" s="8">
        <f t="shared" si="83"/>
        <v>-1.7843801027213917</v>
      </c>
    </row>
    <row r="1794" spans="1:5" x14ac:dyDescent="0.2">
      <c r="A1794" s="4">
        <v>44232</v>
      </c>
      <c r="B1794" s="3">
        <v>64289.48</v>
      </c>
      <c r="C1794" s="6">
        <f t="shared" si="81"/>
        <v>7.8589869836260557E-3</v>
      </c>
      <c r="D1794" s="7">
        <f t="shared" si="82"/>
        <v>0.69910665259972238</v>
      </c>
      <c r="E1794" s="8">
        <f t="shared" si="83"/>
        <v>-1.1744444015424111</v>
      </c>
    </row>
    <row r="1795" spans="1:5" x14ac:dyDescent="0.2">
      <c r="A1795" s="4">
        <v>44235</v>
      </c>
      <c r="B1795" s="3">
        <v>65059.16</v>
      </c>
      <c r="C1795" s="6">
        <f t="shared" ref="C1795:C1858" si="84">LN(B1795/B1794)</f>
        <v>1.1901000031706556E-2</v>
      </c>
      <c r="D1795" s="7">
        <f t="shared" ref="D1795:D1858" si="85">(C1795-$G$4)/$G$5</f>
        <v>1.0694516270392909</v>
      </c>
      <c r="E1795" s="8">
        <f t="shared" ref="E1795:E1858" si="86">LN((PI()*(G$3-2))^(-1/2)*EXP(GAMMALN((G$3+1)/2))*((1+D1795^2/(G$3-2))^(-(G$3+1)/2))/EXP(GAMMALN(G$3/2)))</f>
        <v>-1.733916162382297</v>
      </c>
    </row>
    <row r="1796" spans="1:5" x14ac:dyDescent="0.2">
      <c r="A1796" s="4">
        <v>44236</v>
      </c>
      <c r="B1796" s="3">
        <v>65162.69</v>
      </c>
      <c r="C1796" s="6">
        <f t="shared" si="84"/>
        <v>1.5900560745023607E-3</v>
      </c>
      <c r="D1796" s="7">
        <f t="shared" si="85"/>
        <v>0.12472279245722079</v>
      </c>
      <c r="E1796" s="8">
        <f t="shared" si="86"/>
        <v>-0.68112047905214201</v>
      </c>
    </row>
    <row r="1797" spans="1:5" x14ac:dyDescent="0.2">
      <c r="A1797" s="4">
        <v>44237</v>
      </c>
      <c r="B1797" s="3">
        <v>66150.820000000007</v>
      </c>
      <c r="C1797" s="6">
        <f t="shared" si="84"/>
        <v>1.5050220676245223E-2</v>
      </c>
      <c r="D1797" s="7">
        <f t="shared" si="85"/>
        <v>1.3579954850706484</v>
      </c>
      <c r="E1797" s="8">
        <f t="shared" si="86"/>
        <v>-2.2247594582839945</v>
      </c>
    </row>
    <row r="1798" spans="1:5" x14ac:dyDescent="0.2">
      <c r="A1798" s="4">
        <v>44238</v>
      </c>
      <c r="B1798" s="3">
        <v>65882.720000000001</v>
      </c>
      <c r="C1798" s="6">
        <f t="shared" si="84"/>
        <v>-4.0610949076978903E-3</v>
      </c>
      <c r="D1798" s="7">
        <f t="shared" si="85"/>
        <v>-0.39305766524094876</v>
      </c>
      <c r="E1798" s="8">
        <f t="shared" si="86"/>
        <v>-0.83574050691262247</v>
      </c>
    </row>
    <row r="1799" spans="1:5" x14ac:dyDescent="0.2">
      <c r="A1799" s="4">
        <v>44239</v>
      </c>
      <c r="B1799" s="3">
        <v>66132.240000000005</v>
      </c>
      <c r="C1799" s="6">
        <f t="shared" si="84"/>
        <v>3.780182141963683E-3</v>
      </c>
      <c r="D1799" s="7">
        <f t="shared" si="85"/>
        <v>0.32539067077062162</v>
      </c>
      <c r="E1799" s="8">
        <f t="shared" si="86"/>
        <v>-0.78265931619570095</v>
      </c>
    </row>
    <row r="1800" spans="1:5" x14ac:dyDescent="0.2">
      <c r="A1800" s="4">
        <v>44242</v>
      </c>
      <c r="B1800" s="3">
        <v>67124.83</v>
      </c>
      <c r="C1800" s="6">
        <f t="shared" si="84"/>
        <v>1.4897646449428478E-2</v>
      </c>
      <c r="D1800" s="7">
        <f t="shared" si="85"/>
        <v>1.3440160403092274</v>
      </c>
      <c r="E1800" s="8">
        <f t="shared" si="86"/>
        <v>-2.2004874290017269</v>
      </c>
    </row>
    <row r="1801" spans="1:5" x14ac:dyDescent="0.2">
      <c r="A1801" s="4">
        <v>44243</v>
      </c>
      <c r="B1801" s="3">
        <v>67227.06</v>
      </c>
      <c r="C1801" s="6">
        <f t="shared" si="84"/>
        <v>1.5218248099072111E-3</v>
      </c>
      <c r="D1801" s="7">
        <f t="shared" si="85"/>
        <v>0.11847117831300863</v>
      </c>
      <c r="E1801" s="8">
        <f t="shared" si="86"/>
        <v>-0.67937756453981035</v>
      </c>
    </row>
    <row r="1802" spans="1:5" x14ac:dyDescent="0.2">
      <c r="A1802" s="4">
        <v>44244</v>
      </c>
      <c r="B1802" s="3">
        <v>67110.070000000007</v>
      </c>
      <c r="C1802" s="6">
        <f t="shared" si="84"/>
        <v>-1.741737814043684E-3</v>
      </c>
      <c r="D1802" s="7">
        <f t="shared" si="85"/>
        <v>-0.18054913710210241</v>
      </c>
      <c r="E1802" s="8">
        <f t="shared" si="86"/>
        <v>-0.70057932303942538</v>
      </c>
    </row>
    <row r="1803" spans="1:5" x14ac:dyDescent="0.2">
      <c r="A1803" s="4">
        <v>44245</v>
      </c>
      <c r="B1803" s="3">
        <v>66575.45</v>
      </c>
      <c r="C1803" s="6">
        <f t="shared" si="84"/>
        <v>-7.9982162620496414E-3</v>
      </c>
      <c r="D1803" s="7">
        <f t="shared" si="85"/>
        <v>-0.75379205426903684</v>
      </c>
      <c r="E1803" s="8">
        <f t="shared" si="86"/>
        <v>-1.2489576948555718</v>
      </c>
    </row>
    <row r="1804" spans="1:5" x14ac:dyDescent="0.2">
      <c r="A1804" s="4">
        <v>44246</v>
      </c>
      <c r="B1804" s="3">
        <v>67464.86</v>
      </c>
      <c r="C1804" s="6">
        <f t="shared" si="84"/>
        <v>1.3270978759338484E-2</v>
      </c>
      <c r="D1804" s="7">
        <f t="shared" si="85"/>
        <v>1.1949744125504709</v>
      </c>
      <c r="E1804" s="8">
        <f t="shared" si="86"/>
        <v>-1.9441897981082896</v>
      </c>
    </row>
    <row r="1805" spans="1:5" x14ac:dyDescent="0.2">
      <c r="A1805" s="4">
        <v>44249</v>
      </c>
      <c r="B1805" s="3">
        <v>67362.820000000007</v>
      </c>
      <c r="C1805" s="6">
        <f t="shared" si="84"/>
        <v>-1.5136360646705517E-3</v>
      </c>
      <c r="D1805" s="7">
        <f t="shared" si="85"/>
        <v>-0.15964956663155924</v>
      </c>
      <c r="E1805" s="8">
        <f t="shared" si="86"/>
        <v>-0.69247848217318619</v>
      </c>
    </row>
    <row r="1806" spans="1:5" x14ac:dyDescent="0.2">
      <c r="A1806" s="4">
        <v>44250</v>
      </c>
      <c r="B1806" s="3">
        <v>65921.600000000006</v>
      </c>
      <c r="C1806" s="6">
        <f t="shared" si="84"/>
        <v>-2.1627076514529081E-2</v>
      </c>
      <c r="D1806" s="7">
        <f t="shared" si="85"/>
        <v>-2.0025212992777548</v>
      </c>
      <c r="E1806" s="8">
        <f t="shared" si="86"/>
        <v>-3.3390098487269246</v>
      </c>
    </row>
    <row r="1807" spans="1:5" x14ac:dyDescent="0.2">
      <c r="A1807" s="4">
        <v>44251</v>
      </c>
      <c r="B1807" s="3">
        <v>66200.759999999995</v>
      </c>
      <c r="C1807" s="6">
        <f t="shared" si="84"/>
        <v>4.2257860882812387E-3</v>
      </c>
      <c r="D1807" s="7">
        <f t="shared" si="85"/>
        <v>0.36621863944516997</v>
      </c>
      <c r="E1807" s="8">
        <f t="shared" si="86"/>
        <v>-0.8136196900346131</v>
      </c>
    </row>
    <row r="1808" spans="1:5" x14ac:dyDescent="0.2">
      <c r="A1808" s="4">
        <v>44252</v>
      </c>
      <c r="B1808" s="3">
        <v>67483.759999999995</v>
      </c>
      <c r="C1808" s="6">
        <f t="shared" si="84"/>
        <v>1.9195033099249286E-2</v>
      </c>
      <c r="D1808" s="7">
        <f t="shared" si="85"/>
        <v>1.7377593385256003</v>
      </c>
      <c r="E1808" s="8">
        <f t="shared" si="86"/>
        <v>-2.8866608217047678</v>
      </c>
    </row>
    <row r="1809" spans="1:5" x14ac:dyDescent="0.2">
      <c r="A1809" s="4">
        <v>44253</v>
      </c>
      <c r="B1809" s="3">
        <v>66138.05</v>
      </c>
      <c r="C1809" s="6">
        <f t="shared" si="84"/>
        <v>-2.014275213486226E-2</v>
      </c>
      <c r="D1809" s="7">
        <f t="shared" si="85"/>
        <v>-1.8665217198828321</v>
      </c>
      <c r="E1809" s="8">
        <f t="shared" si="86"/>
        <v>-3.1083007305886441</v>
      </c>
    </row>
    <row r="1810" spans="1:5" x14ac:dyDescent="0.2">
      <c r="A1810" s="4">
        <v>44256</v>
      </c>
      <c r="B1810" s="3">
        <v>67536.960000000006</v>
      </c>
      <c r="C1810" s="6">
        <f t="shared" si="84"/>
        <v>2.0930779376207936E-2</v>
      </c>
      <c r="D1810" s="7">
        <f t="shared" si="85"/>
        <v>1.896795171148431</v>
      </c>
      <c r="E1810" s="8">
        <f t="shared" si="86"/>
        <v>-3.1599866364985236</v>
      </c>
    </row>
    <row r="1811" spans="1:5" x14ac:dyDescent="0.2">
      <c r="A1811" s="4">
        <v>44257</v>
      </c>
      <c r="B1811" s="3">
        <v>68510.75</v>
      </c>
      <c r="C1811" s="6">
        <f t="shared" si="84"/>
        <v>1.4315663681652491E-2</v>
      </c>
      <c r="D1811" s="7">
        <f t="shared" si="85"/>
        <v>1.2906925129745934</v>
      </c>
      <c r="E1811" s="8">
        <f t="shared" si="86"/>
        <v>-2.1082045961232079</v>
      </c>
    </row>
    <row r="1812" spans="1:5" x14ac:dyDescent="0.2">
      <c r="A1812" s="4">
        <v>44258</v>
      </c>
      <c r="B1812" s="3">
        <v>68326.789999999994</v>
      </c>
      <c r="C1812" s="6">
        <f t="shared" si="84"/>
        <v>-2.6887374740192306E-3</v>
      </c>
      <c r="D1812" s="7">
        <f t="shared" si="85"/>
        <v>-0.26731693341945345</v>
      </c>
      <c r="E1812" s="8">
        <f t="shared" si="86"/>
        <v>-0.7444224048287621</v>
      </c>
    </row>
    <row r="1813" spans="1:5" x14ac:dyDescent="0.2">
      <c r="A1813" s="4">
        <v>44259</v>
      </c>
      <c r="B1813" s="3">
        <v>67743.539999999994</v>
      </c>
      <c r="C1813" s="6">
        <f t="shared" si="84"/>
        <v>-8.5728251276779924E-3</v>
      </c>
      <c r="D1813" s="7">
        <f t="shared" si="85"/>
        <v>-0.80643995597606843</v>
      </c>
      <c r="E1813" s="8">
        <f t="shared" si="86"/>
        <v>-1.3238507166515456</v>
      </c>
    </row>
    <row r="1814" spans="1:5" x14ac:dyDescent="0.2">
      <c r="A1814" s="4">
        <v>44260</v>
      </c>
      <c r="B1814" s="3">
        <v>68271.19</v>
      </c>
      <c r="C1814" s="6">
        <f t="shared" si="84"/>
        <v>7.7587574076351494E-3</v>
      </c>
      <c r="D1814" s="7">
        <f t="shared" si="85"/>
        <v>0.68992322856894928</v>
      </c>
      <c r="E1814" s="8">
        <f t="shared" si="86"/>
        <v>-1.1622834638379795</v>
      </c>
    </row>
    <row r="1815" spans="1:5" x14ac:dyDescent="0.2">
      <c r="A1815" s="4">
        <v>44263</v>
      </c>
      <c r="B1815" s="3">
        <v>68426.17</v>
      </c>
      <c r="C1815" s="6">
        <f t="shared" si="84"/>
        <v>2.2674917262879239E-3</v>
      </c>
      <c r="D1815" s="7">
        <f t="shared" si="85"/>
        <v>0.18679208470359759</v>
      </c>
      <c r="E1815" s="8">
        <f t="shared" si="86"/>
        <v>-0.7031869243026041</v>
      </c>
    </row>
    <row r="1816" spans="1:5" x14ac:dyDescent="0.2">
      <c r="A1816" s="4">
        <v>44264</v>
      </c>
      <c r="B1816" s="3">
        <v>68655.960000000006</v>
      </c>
      <c r="C1816" s="6">
        <f t="shared" si="84"/>
        <v>3.3525918401493908E-3</v>
      </c>
      <c r="D1816" s="7">
        <f t="shared" si="85"/>
        <v>0.28621318234781146</v>
      </c>
      <c r="E1816" s="8">
        <f t="shared" si="86"/>
        <v>-0.75610021591185006</v>
      </c>
    </row>
    <row r="1817" spans="1:5" x14ac:dyDescent="0.2">
      <c r="A1817" s="4">
        <v>44265</v>
      </c>
      <c r="B1817" s="3">
        <v>68516.990000000005</v>
      </c>
      <c r="C1817" s="6">
        <f t="shared" si="84"/>
        <v>-2.026201923120253E-3</v>
      </c>
      <c r="D1817" s="7">
        <f t="shared" si="85"/>
        <v>-0.20661284643499683</v>
      </c>
      <c r="E1817" s="8">
        <f t="shared" si="86"/>
        <v>-0.71203404910722967</v>
      </c>
    </row>
    <row r="1818" spans="1:5" x14ac:dyDescent="0.2">
      <c r="A1818" s="4">
        <v>44266</v>
      </c>
      <c r="B1818" s="3">
        <v>68775.06</v>
      </c>
      <c r="C1818" s="6">
        <f t="shared" si="84"/>
        <v>3.7594355091864237E-3</v>
      </c>
      <c r="D1818" s="7">
        <f t="shared" si="85"/>
        <v>0.32348978349138585</v>
      </c>
      <c r="E1818" s="8">
        <f t="shared" si="86"/>
        <v>-0.78129861611776152</v>
      </c>
    </row>
    <row r="1819" spans="1:5" x14ac:dyDescent="0.2">
      <c r="A1819" s="4">
        <v>44267</v>
      </c>
      <c r="B1819" s="3">
        <v>68209.86</v>
      </c>
      <c r="C1819" s="6">
        <f t="shared" si="84"/>
        <v>-8.2520500407415841E-3</v>
      </c>
      <c r="D1819" s="7">
        <f t="shared" si="85"/>
        <v>-0.77704929346231677</v>
      </c>
      <c r="E1819" s="8">
        <f t="shared" si="86"/>
        <v>-1.2816789913067561</v>
      </c>
    </row>
    <row r="1820" spans="1:5" x14ac:dyDescent="0.2">
      <c r="A1820" s="4">
        <v>44270</v>
      </c>
      <c r="B1820" s="3">
        <v>67566.42</v>
      </c>
      <c r="C1820" s="6">
        <f t="shared" si="84"/>
        <v>-9.4780151117108587E-3</v>
      </c>
      <c r="D1820" s="7">
        <f t="shared" si="85"/>
        <v>-0.88937698698313139</v>
      </c>
      <c r="E1820" s="8">
        <f t="shared" si="86"/>
        <v>-1.4473597648068421</v>
      </c>
    </row>
    <row r="1821" spans="1:5" x14ac:dyDescent="0.2">
      <c r="A1821" s="4">
        <v>44271</v>
      </c>
      <c r="B1821" s="3">
        <v>67289.37</v>
      </c>
      <c r="C1821" s="6">
        <f t="shared" si="84"/>
        <v>-4.1088393724291626E-3</v>
      </c>
      <c r="D1821" s="7">
        <f t="shared" si="85"/>
        <v>-0.39743219900919846</v>
      </c>
      <c r="E1821" s="8">
        <f t="shared" si="86"/>
        <v>-0.83947595658178431</v>
      </c>
    </row>
    <row r="1822" spans="1:5" x14ac:dyDescent="0.2">
      <c r="A1822" s="4">
        <v>44272</v>
      </c>
      <c r="B1822" s="3">
        <v>66494.490000000005</v>
      </c>
      <c r="C1822" s="6">
        <f t="shared" si="84"/>
        <v>-1.1883187609300048E-2</v>
      </c>
      <c r="D1822" s="7">
        <f t="shared" si="85"/>
        <v>-1.1097482565824277</v>
      </c>
      <c r="E1822" s="8">
        <f t="shared" si="86"/>
        <v>-1.8006805083413866</v>
      </c>
    </row>
    <row r="1823" spans="1:5" x14ac:dyDescent="0.2">
      <c r="A1823" s="4">
        <v>44273</v>
      </c>
      <c r="B1823" s="3">
        <v>66739.740000000005</v>
      </c>
      <c r="C1823" s="6">
        <f t="shared" si="84"/>
        <v>3.6814905148171212E-3</v>
      </c>
      <c r="D1823" s="7">
        <f t="shared" si="85"/>
        <v>0.31634815960150259</v>
      </c>
      <c r="E1823" s="8">
        <f t="shared" si="86"/>
        <v>-0.77625160943540206</v>
      </c>
    </row>
    <row r="1824" spans="1:5" x14ac:dyDescent="0.2">
      <c r="A1824" s="4">
        <v>44274</v>
      </c>
      <c r="B1824" s="3">
        <v>65911.27</v>
      </c>
      <c r="C1824" s="6">
        <f t="shared" si="84"/>
        <v>-1.2491134022194277E-2</v>
      </c>
      <c r="D1824" s="7">
        <f t="shared" si="85"/>
        <v>-1.1654506741812183</v>
      </c>
      <c r="E1824" s="8">
        <f t="shared" si="86"/>
        <v>-1.8941600142900177</v>
      </c>
    </row>
    <row r="1825" spans="1:5" x14ac:dyDescent="0.2">
      <c r="A1825" s="4">
        <v>44278</v>
      </c>
      <c r="B1825" s="3">
        <v>65318.52</v>
      </c>
      <c r="C1825" s="6">
        <f t="shared" si="84"/>
        <v>-9.0338334183984632E-3</v>
      </c>
      <c r="D1825" s="7">
        <f t="shared" si="85"/>
        <v>-0.84867933066694934</v>
      </c>
      <c r="E1825" s="8">
        <f t="shared" si="86"/>
        <v>-1.3859639041430332</v>
      </c>
    </row>
    <row r="1826" spans="1:5" x14ac:dyDescent="0.2">
      <c r="A1826" s="4">
        <v>44279</v>
      </c>
      <c r="B1826" s="3">
        <v>65257.09</v>
      </c>
      <c r="C1826" s="6">
        <f t="shared" si="84"/>
        <v>-9.4091085666102954E-4</v>
      </c>
      <c r="D1826" s="7">
        <f t="shared" si="85"/>
        <v>-0.10717425297023658</v>
      </c>
      <c r="E1826" s="8">
        <f t="shared" si="86"/>
        <v>-0.67645273338330936</v>
      </c>
    </row>
    <row r="1827" spans="1:5" x14ac:dyDescent="0.2">
      <c r="A1827" s="4">
        <v>44280</v>
      </c>
      <c r="B1827" s="3">
        <v>64783.62</v>
      </c>
      <c r="C1827" s="6">
        <f t="shared" si="84"/>
        <v>-7.2819056769082742E-3</v>
      </c>
      <c r="D1827" s="7">
        <f t="shared" si="85"/>
        <v>-0.6881608892556158</v>
      </c>
      <c r="E1827" s="8">
        <f t="shared" si="86"/>
        <v>-1.1599617725635138</v>
      </c>
    </row>
    <row r="1828" spans="1:5" x14ac:dyDescent="0.2">
      <c r="A1828" s="4">
        <v>44281</v>
      </c>
      <c r="B1828" s="3">
        <v>66833.990000000005</v>
      </c>
      <c r="C1828" s="6">
        <f t="shared" si="84"/>
        <v>3.1158989839890159E-2</v>
      </c>
      <c r="D1828" s="7">
        <f t="shared" si="85"/>
        <v>2.8339436409025742</v>
      </c>
      <c r="E1828" s="8">
        <f t="shared" si="86"/>
        <v>-4.6450482267444402</v>
      </c>
    </row>
    <row r="1829" spans="1:5" x14ac:dyDescent="0.2">
      <c r="A1829" s="4">
        <v>44284</v>
      </c>
      <c r="B1829" s="3">
        <v>67089.37</v>
      </c>
      <c r="C1829" s="6">
        <f t="shared" si="84"/>
        <v>3.8138276929096698E-3</v>
      </c>
      <c r="D1829" s="7">
        <f t="shared" si="85"/>
        <v>0.32847340715887108</v>
      </c>
      <c r="E1829" s="8">
        <f t="shared" si="86"/>
        <v>-0.78488145566280065</v>
      </c>
    </row>
    <row r="1830" spans="1:5" x14ac:dyDescent="0.2">
      <c r="A1830" s="4">
        <v>44285</v>
      </c>
      <c r="B1830" s="3">
        <v>67291.66</v>
      </c>
      <c r="C1830" s="6">
        <f t="shared" si="84"/>
        <v>3.0106950780354543E-3</v>
      </c>
      <c r="D1830" s="7">
        <f t="shared" si="85"/>
        <v>0.25488726970975423</v>
      </c>
      <c r="E1830" s="8">
        <f t="shared" si="86"/>
        <v>-0.7371496481569707</v>
      </c>
    </row>
    <row r="1831" spans="1:5" x14ac:dyDescent="0.2">
      <c r="A1831" s="4">
        <v>44286</v>
      </c>
      <c r="B1831" s="3">
        <v>66485.289999999994</v>
      </c>
      <c r="C1831" s="6">
        <f t="shared" si="84"/>
        <v>-1.20555860523032E-2</v>
      </c>
      <c r="D1831" s="7">
        <f t="shared" si="85"/>
        <v>-1.1255440732232829</v>
      </c>
      <c r="E1831" s="8">
        <f t="shared" si="86"/>
        <v>-1.8270574583203414</v>
      </c>
    </row>
    <row r="1832" spans="1:5" x14ac:dyDescent="0.2">
      <c r="A1832" s="4">
        <v>44287</v>
      </c>
      <c r="B1832" s="3">
        <v>67236.31</v>
      </c>
      <c r="C1832" s="6">
        <f t="shared" si="84"/>
        <v>1.1232708800483375E-2</v>
      </c>
      <c r="D1832" s="7">
        <f t="shared" si="85"/>
        <v>1.0082201822118007</v>
      </c>
      <c r="E1832" s="8">
        <f t="shared" si="86"/>
        <v>-1.6341047457418265</v>
      </c>
    </row>
    <row r="1833" spans="1:5" x14ac:dyDescent="0.2">
      <c r="A1833" s="4">
        <v>44292</v>
      </c>
      <c r="B1833" s="3">
        <v>68063.89</v>
      </c>
      <c r="C1833" s="6">
        <f t="shared" si="84"/>
        <v>1.2233393904742592E-2</v>
      </c>
      <c r="D1833" s="7">
        <f t="shared" si="85"/>
        <v>1.0999068479772487</v>
      </c>
      <c r="E1833" s="8">
        <f t="shared" si="86"/>
        <v>-1.7843033656910325</v>
      </c>
    </row>
    <row r="1834" spans="1:5" x14ac:dyDescent="0.2">
      <c r="A1834" s="4">
        <v>44293</v>
      </c>
      <c r="B1834" s="3">
        <v>67160.42</v>
      </c>
      <c r="C1834" s="6">
        <f t="shared" si="84"/>
        <v>-1.3362736978282211E-2</v>
      </c>
      <c r="D1834" s="7">
        <f t="shared" si="85"/>
        <v>-1.245310330905268</v>
      </c>
      <c r="E1834" s="8">
        <f t="shared" si="86"/>
        <v>-2.0301344770572003</v>
      </c>
    </row>
    <row r="1835" spans="1:5" x14ac:dyDescent="0.2">
      <c r="A1835" s="4">
        <v>44294</v>
      </c>
      <c r="B1835" s="3">
        <v>67053.97</v>
      </c>
      <c r="C1835" s="6">
        <f t="shared" si="84"/>
        <v>-1.5862683922522698E-3</v>
      </c>
      <c r="D1835" s="7">
        <f t="shared" si="85"/>
        <v>-0.16630442330366021</v>
      </c>
      <c r="E1835" s="8">
        <f t="shared" si="86"/>
        <v>-0.69495257965863688</v>
      </c>
    </row>
    <row r="1836" spans="1:5" x14ac:dyDescent="0.2">
      <c r="A1836" s="4">
        <v>44295</v>
      </c>
      <c r="B1836" s="3">
        <v>67191.27</v>
      </c>
      <c r="C1836" s="6">
        <f t="shared" si="84"/>
        <v>2.0455108557032023E-3</v>
      </c>
      <c r="D1836" s="7">
        <f t="shared" si="85"/>
        <v>0.16645333298140508</v>
      </c>
      <c r="E1836" s="8">
        <f t="shared" si="86"/>
        <v>-0.69500906884811631</v>
      </c>
    </row>
    <row r="1837" spans="1:5" x14ac:dyDescent="0.2">
      <c r="A1837" s="4">
        <v>44298</v>
      </c>
      <c r="B1837" s="3">
        <v>66390.02</v>
      </c>
      <c r="C1837" s="6">
        <f t="shared" si="84"/>
        <v>-1.1996584394479494E-2</v>
      </c>
      <c r="D1837" s="7">
        <f t="shared" si="85"/>
        <v>-1.1201381115901334</v>
      </c>
      <c r="E1837" s="8">
        <f t="shared" si="86"/>
        <v>-1.8180178664461082</v>
      </c>
    </row>
    <row r="1838" spans="1:5" x14ac:dyDescent="0.2">
      <c r="A1838" s="4">
        <v>44299</v>
      </c>
      <c r="B1838" s="3">
        <v>67072.490000000005</v>
      </c>
      <c r="C1838" s="6">
        <f t="shared" si="84"/>
        <v>1.0227230832686873E-2</v>
      </c>
      <c r="D1838" s="7">
        <f t="shared" si="85"/>
        <v>0.91609437562639628</v>
      </c>
      <c r="E1838" s="8">
        <f t="shared" si="86"/>
        <v>-1.4884265635752834</v>
      </c>
    </row>
    <row r="1839" spans="1:5" x14ac:dyDescent="0.2">
      <c r="A1839" s="4">
        <v>44300</v>
      </c>
      <c r="B1839" s="3">
        <v>67812.149999999994</v>
      </c>
      <c r="C1839" s="6">
        <f t="shared" si="84"/>
        <v>1.0967407617238811E-2</v>
      </c>
      <c r="D1839" s="7">
        <f t="shared" si="85"/>
        <v>0.98391225476110766</v>
      </c>
      <c r="E1839" s="8">
        <f t="shared" si="86"/>
        <v>-1.5951012388920096</v>
      </c>
    </row>
    <row r="1840" spans="1:5" x14ac:dyDescent="0.2">
      <c r="A1840" s="4">
        <v>44301</v>
      </c>
      <c r="B1840" s="3">
        <v>67823.09</v>
      </c>
      <c r="C1840" s="6">
        <f t="shared" si="84"/>
        <v>1.6131500963501586E-4</v>
      </c>
      <c r="D1840" s="7">
        <f t="shared" si="85"/>
        <v>-6.184027202932086E-3</v>
      </c>
      <c r="E1840" s="8">
        <f t="shared" si="86"/>
        <v>-0.66327724057962945</v>
      </c>
    </row>
    <row r="1841" spans="1:5" x14ac:dyDescent="0.2">
      <c r="A1841" s="4">
        <v>44302</v>
      </c>
      <c r="B1841" s="3">
        <v>68698.78</v>
      </c>
      <c r="C1841" s="6">
        <f t="shared" si="84"/>
        <v>1.2828743260126842E-2</v>
      </c>
      <c r="D1841" s="7">
        <f t="shared" si="85"/>
        <v>1.1544550741159791</v>
      </c>
      <c r="E1841" s="8">
        <f t="shared" si="86"/>
        <v>-1.875608146342324</v>
      </c>
    </row>
    <row r="1842" spans="1:5" x14ac:dyDescent="0.2">
      <c r="A1842" s="4">
        <v>44305</v>
      </c>
      <c r="B1842" s="3">
        <v>68094.28</v>
      </c>
      <c r="C1842" s="6">
        <f t="shared" si="84"/>
        <v>-8.8382251994209137E-3</v>
      </c>
      <c r="D1842" s="7">
        <f t="shared" si="85"/>
        <v>-0.8307569439760375</v>
      </c>
      <c r="E1842" s="8">
        <f t="shared" si="86"/>
        <v>-1.3594002123084103</v>
      </c>
    </row>
    <row r="1843" spans="1:5" x14ac:dyDescent="0.2">
      <c r="A1843" s="4">
        <v>44306</v>
      </c>
      <c r="B1843" s="3">
        <v>66835.520000000004</v>
      </c>
      <c r="C1843" s="6">
        <f t="shared" si="84"/>
        <v>-1.8658539753703365E-2</v>
      </c>
      <c r="D1843" s="7">
        <f t="shared" si="85"/>
        <v>-1.7305324022273108</v>
      </c>
      <c r="E1843" s="8">
        <f t="shared" si="86"/>
        <v>-2.8741454339880663</v>
      </c>
    </row>
    <row r="1844" spans="1:5" x14ac:dyDescent="0.2">
      <c r="A1844" s="4">
        <v>44307</v>
      </c>
      <c r="B1844" s="3">
        <v>67145.75</v>
      </c>
      <c r="C1844" s="6">
        <f t="shared" si="84"/>
        <v>4.6309540792632284E-3</v>
      </c>
      <c r="D1844" s="7">
        <f t="shared" si="85"/>
        <v>0.40334170844050982</v>
      </c>
      <c r="E1844" s="8">
        <f t="shared" si="86"/>
        <v>-0.84457925637866815</v>
      </c>
    </row>
    <row r="1845" spans="1:5" x14ac:dyDescent="0.2">
      <c r="A1845" s="4">
        <v>44308</v>
      </c>
      <c r="B1845" s="3">
        <v>66971.59</v>
      </c>
      <c r="C1845" s="6">
        <f t="shared" si="84"/>
        <v>-2.5971302128965741E-3</v>
      </c>
      <c r="D1845" s="7">
        <f t="shared" si="85"/>
        <v>-0.25892351945087155</v>
      </c>
      <c r="E1845" s="8">
        <f t="shared" si="86"/>
        <v>-0.73947552373922409</v>
      </c>
    </row>
    <row r="1846" spans="1:5" x14ac:dyDescent="0.2">
      <c r="A1846" s="4">
        <v>44309</v>
      </c>
      <c r="B1846" s="3">
        <v>67295.740000000005</v>
      </c>
      <c r="C1846" s="6">
        <f t="shared" si="84"/>
        <v>4.8284363703921338E-3</v>
      </c>
      <c r="D1846" s="7">
        <f t="shared" si="85"/>
        <v>0.4214358049192764</v>
      </c>
      <c r="E1846" s="8">
        <f t="shared" si="86"/>
        <v>-0.86060910085100295</v>
      </c>
    </row>
    <row r="1847" spans="1:5" x14ac:dyDescent="0.2">
      <c r="A1847" s="4">
        <v>44312</v>
      </c>
      <c r="B1847" s="3">
        <v>67572.58</v>
      </c>
      <c r="C1847" s="6">
        <f t="shared" si="84"/>
        <v>4.1053434760378515E-3</v>
      </c>
      <c r="D1847" s="7">
        <f t="shared" si="85"/>
        <v>0.35518321832650368</v>
      </c>
      <c r="E1847" s="8">
        <f t="shared" si="86"/>
        <v>-0.80492749653280971</v>
      </c>
    </row>
    <row r="1848" spans="1:5" x14ac:dyDescent="0.2">
      <c r="A1848" s="4">
        <v>44314</v>
      </c>
      <c r="B1848" s="3">
        <v>67740.11</v>
      </c>
      <c r="C1848" s="6">
        <f t="shared" si="84"/>
        <v>2.4761917836560927E-3</v>
      </c>
      <c r="D1848" s="7">
        <f t="shared" si="85"/>
        <v>0.2059139966054544</v>
      </c>
      <c r="E1848" s="8">
        <f t="shared" si="86"/>
        <v>-0.71170747680082502</v>
      </c>
    </row>
    <row r="1849" spans="1:5" x14ac:dyDescent="0.2">
      <c r="A1849" s="4">
        <v>44315</v>
      </c>
      <c r="B1849" s="3">
        <v>67392.73</v>
      </c>
      <c r="C1849" s="6">
        <f t="shared" si="84"/>
        <v>-5.141322645135081E-3</v>
      </c>
      <c r="D1849" s="7">
        <f t="shared" si="85"/>
        <v>-0.49203233678488933</v>
      </c>
      <c r="E1849" s="8">
        <f t="shared" si="86"/>
        <v>-0.92878233074726757</v>
      </c>
    </row>
    <row r="1850" spans="1:5" x14ac:dyDescent="0.2">
      <c r="A1850" s="4">
        <v>44316</v>
      </c>
      <c r="B1850" s="3">
        <v>66937</v>
      </c>
      <c r="C1850" s="6">
        <f t="shared" si="84"/>
        <v>-6.7852700735507492E-3</v>
      </c>
      <c r="D1850" s="7">
        <f t="shared" si="85"/>
        <v>-0.642657201453676</v>
      </c>
      <c r="E1850" s="8">
        <f t="shared" si="86"/>
        <v>-1.1014033125671201</v>
      </c>
    </row>
    <row r="1851" spans="1:5" x14ac:dyDescent="0.2">
      <c r="A1851" s="4">
        <v>44319</v>
      </c>
      <c r="B1851" s="3">
        <v>66586.240000000005</v>
      </c>
      <c r="C1851" s="6">
        <f t="shared" si="84"/>
        <v>-5.2539289318892669E-3</v>
      </c>
      <c r="D1851" s="7">
        <f t="shared" si="85"/>
        <v>-0.50234976324879399</v>
      </c>
      <c r="E1851" s="8">
        <f t="shared" si="86"/>
        <v>-0.93946807318705516</v>
      </c>
    </row>
    <row r="1852" spans="1:5" x14ac:dyDescent="0.2">
      <c r="A1852" s="4">
        <v>44320</v>
      </c>
      <c r="B1852" s="3">
        <v>66173.97</v>
      </c>
      <c r="C1852" s="6">
        <f t="shared" si="84"/>
        <v>-6.2107663919480274E-3</v>
      </c>
      <c r="D1852" s="7">
        <f t="shared" si="85"/>
        <v>-0.59001893711664288</v>
      </c>
      <c r="E1852" s="8">
        <f t="shared" si="86"/>
        <v>-1.0371871595050814</v>
      </c>
    </row>
    <row r="1853" spans="1:5" x14ac:dyDescent="0.2">
      <c r="A1853" s="4">
        <v>44321</v>
      </c>
      <c r="B1853" s="3">
        <v>67346.19</v>
      </c>
      <c r="C1853" s="6">
        <f t="shared" si="84"/>
        <v>1.7559147898615669E-2</v>
      </c>
      <c r="D1853" s="7">
        <f t="shared" si="85"/>
        <v>1.5878731665592749</v>
      </c>
      <c r="E1853" s="8">
        <f t="shared" si="86"/>
        <v>-2.6259275788314236</v>
      </c>
    </row>
    <row r="1854" spans="1:5" x14ac:dyDescent="0.2">
      <c r="A1854" s="4">
        <v>44322</v>
      </c>
      <c r="B1854" s="3">
        <v>67608.89</v>
      </c>
      <c r="C1854" s="6">
        <f t="shared" si="84"/>
        <v>3.8931521778043953E-3</v>
      </c>
      <c r="D1854" s="7">
        <f t="shared" si="85"/>
        <v>0.33574142534221663</v>
      </c>
      <c r="E1854" s="8">
        <f t="shared" si="86"/>
        <v>-0.79019584954927713</v>
      </c>
    </row>
    <row r="1855" spans="1:5" x14ac:dyDescent="0.2">
      <c r="A1855" s="4">
        <v>44323</v>
      </c>
      <c r="B1855" s="3">
        <v>68519.53</v>
      </c>
      <c r="C1855" s="6">
        <f t="shared" si="84"/>
        <v>1.3379330843119925E-2</v>
      </c>
      <c r="D1855" s="7">
        <f t="shared" si="85"/>
        <v>1.2049020523728033</v>
      </c>
      <c r="E1855" s="8">
        <f t="shared" si="86"/>
        <v>-1.961079356890612</v>
      </c>
    </row>
    <row r="1856" spans="1:5" x14ac:dyDescent="0.2">
      <c r="A1856" s="4">
        <v>44326</v>
      </c>
      <c r="B1856" s="3">
        <v>68377.23</v>
      </c>
      <c r="C1856" s="6">
        <f t="shared" si="84"/>
        <v>-2.0789396513343139E-3</v>
      </c>
      <c r="D1856" s="7">
        <f t="shared" si="85"/>
        <v>-0.21144488244653628</v>
      </c>
      <c r="E1856" s="8">
        <f t="shared" si="86"/>
        <v>-0.71432120243039121</v>
      </c>
    </row>
    <row r="1857" spans="1:5" x14ac:dyDescent="0.2">
      <c r="A1857" s="4">
        <v>44327</v>
      </c>
      <c r="B1857" s="3">
        <v>67241.2</v>
      </c>
      <c r="C1857" s="6">
        <f t="shared" si="84"/>
        <v>-1.6753719568813382E-2</v>
      </c>
      <c r="D1857" s="7">
        <f t="shared" si="85"/>
        <v>-1.5560053598121311</v>
      </c>
      <c r="E1857" s="8">
        <f t="shared" si="86"/>
        <v>-2.5702732110823705</v>
      </c>
    </row>
    <row r="1858" spans="1:5" x14ac:dyDescent="0.2">
      <c r="A1858" s="4">
        <v>44328</v>
      </c>
      <c r="B1858" s="3">
        <v>67424.27</v>
      </c>
      <c r="C1858" s="6">
        <f t="shared" si="84"/>
        <v>2.7188872214447099E-3</v>
      </c>
      <c r="D1858" s="7">
        <f t="shared" si="85"/>
        <v>0.22815069763419271</v>
      </c>
      <c r="E1858" s="8">
        <f t="shared" si="86"/>
        <v>-0.72261935423377099</v>
      </c>
    </row>
    <row r="1859" spans="1:5" x14ac:dyDescent="0.2">
      <c r="A1859" s="4">
        <v>44329</v>
      </c>
      <c r="B1859" s="3">
        <v>66168.649999999994</v>
      </c>
      <c r="C1859" s="6">
        <f t="shared" ref="C1859:C1922" si="87">LN(B1859/B1858)</f>
        <v>-1.8798256301558021E-2</v>
      </c>
      <c r="D1859" s="7">
        <f t="shared" ref="D1859:D1922" si="88">(C1859-$G$4)/$G$5</f>
        <v>-1.7433337763764094</v>
      </c>
      <c r="E1859" s="8">
        <f t="shared" ref="E1859:E1922" si="89">LN((PI()*(G$3-2))^(-1/2)*EXP(GAMMALN((G$3+1)/2))*((1+D1859^2/(G$3-2))^(-(G$3+1)/2))/EXP(GAMMALN(G$3/2)))</f>
        <v>-2.8963096198088332</v>
      </c>
    </row>
    <row r="1860" spans="1:5" x14ac:dyDescent="0.2">
      <c r="A1860" s="4">
        <v>44330</v>
      </c>
      <c r="B1860" s="3">
        <v>66598.13</v>
      </c>
      <c r="C1860" s="6">
        <f t="shared" si="87"/>
        <v>6.4697132530860662E-3</v>
      </c>
      <c r="D1860" s="7">
        <f t="shared" si="88"/>
        <v>0.57181598379034504</v>
      </c>
      <c r="E1860" s="8">
        <f t="shared" si="89"/>
        <v>-1.0159154670765711</v>
      </c>
    </row>
    <row r="1861" spans="1:5" x14ac:dyDescent="0.2">
      <c r="A1861" s="4">
        <v>44333</v>
      </c>
      <c r="B1861" s="3">
        <v>67217.11</v>
      </c>
      <c r="C1861" s="6">
        <f t="shared" si="87"/>
        <v>9.2513291418600315E-3</v>
      </c>
      <c r="D1861" s="7">
        <f t="shared" si="88"/>
        <v>0.82667846270240608</v>
      </c>
      <c r="E1861" s="8">
        <f t="shared" si="89"/>
        <v>-1.3533976417003166</v>
      </c>
    </row>
    <row r="1862" spans="1:5" x14ac:dyDescent="0.2">
      <c r="A1862" s="4">
        <v>44334</v>
      </c>
      <c r="B1862" s="3">
        <v>67254.92</v>
      </c>
      <c r="C1862" s="6">
        <f t="shared" si="87"/>
        <v>5.6234744126930955E-4</v>
      </c>
      <c r="D1862" s="7">
        <f t="shared" si="88"/>
        <v>3.0560125741742581E-2</v>
      </c>
      <c r="E1862" s="8">
        <f t="shared" si="89"/>
        <v>-0.66431043770425313</v>
      </c>
    </row>
    <row r="1863" spans="1:5" x14ac:dyDescent="0.2">
      <c r="A1863" s="4">
        <v>44335</v>
      </c>
      <c r="B1863" s="3">
        <v>65855.81</v>
      </c>
      <c r="C1863" s="6">
        <f t="shared" si="87"/>
        <v>-2.1022520532380105E-2</v>
      </c>
      <c r="D1863" s="7">
        <f t="shared" si="88"/>
        <v>-1.9471295261456578</v>
      </c>
      <c r="E1863" s="8">
        <f t="shared" si="89"/>
        <v>-3.2455151897284984</v>
      </c>
    </row>
    <row r="1864" spans="1:5" x14ac:dyDescent="0.2">
      <c r="A1864" s="4">
        <v>44336</v>
      </c>
      <c r="B1864" s="3">
        <v>66124.44</v>
      </c>
      <c r="C1864" s="6">
        <f t="shared" si="87"/>
        <v>4.0707662087111898E-3</v>
      </c>
      <c r="D1864" s="7">
        <f t="shared" si="88"/>
        <v>0.35201511445549716</v>
      </c>
      <c r="E1864" s="8">
        <f t="shared" si="89"/>
        <v>-0.80247607415192024</v>
      </c>
    </row>
    <row r="1865" spans="1:5" x14ac:dyDescent="0.2">
      <c r="A1865" s="4">
        <v>44337</v>
      </c>
      <c r="B1865" s="3">
        <v>66238.929999999993</v>
      </c>
      <c r="C1865" s="6">
        <f t="shared" si="87"/>
        <v>1.7299352313652353E-3</v>
      </c>
      <c r="D1865" s="7">
        <f t="shared" si="88"/>
        <v>0.13753906547682682</v>
      </c>
      <c r="E1865" s="8">
        <f t="shared" si="89"/>
        <v>-0.68496966819192895</v>
      </c>
    </row>
    <row r="1866" spans="1:5" x14ac:dyDescent="0.2">
      <c r="A1866" s="4">
        <v>44340</v>
      </c>
      <c r="B1866" s="3">
        <v>66054.92</v>
      </c>
      <c r="C1866" s="6">
        <f t="shared" si="87"/>
        <v>-2.7818393472625511E-3</v>
      </c>
      <c r="D1866" s="7">
        <f t="shared" si="88"/>
        <v>-0.27584728957031929</v>
      </c>
      <c r="E1866" s="8">
        <f t="shared" si="89"/>
        <v>-0.7496017667376691</v>
      </c>
    </row>
    <row r="1867" spans="1:5" x14ac:dyDescent="0.2">
      <c r="A1867" s="4">
        <v>44341</v>
      </c>
      <c r="B1867" s="3">
        <v>66076.679999999993</v>
      </c>
      <c r="C1867" s="6">
        <f t="shared" si="87"/>
        <v>3.2936860216201895E-4</v>
      </c>
      <c r="D1867" s="7">
        <f t="shared" si="88"/>
        <v>9.2136973191217376E-3</v>
      </c>
      <c r="E1867" s="8">
        <f t="shared" si="89"/>
        <v>-0.66333106296992261</v>
      </c>
    </row>
    <row r="1868" spans="1:5" x14ac:dyDescent="0.2">
      <c r="A1868" s="4">
        <v>44342</v>
      </c>
      <c r="B1868" s="3">
        <v>66108.23</v>
      </c>
      <c r="C1868" s="6">
        <f t="shared" si="87"/>
        <v>4.7736160805520437E-4</v>
      </c>
      <c r="D1868" s="7">
        <f t="shared" si="88"/>
        <v>2.2773392780959623E-2</v>
      </c>
      <c r="E1868" s="8">
        <f t="shared" si="89"/>
        <v>-0.66383143186127802</v>
      </c>
    </row>
    <row r="1869" spans="1:5" x14ac:dyDescent="0.2">
      <c r="A1869" s="4">
        <v>44343</v>
      </c>
      <c r="B1869" s="3">
        <v>66940.25</v>
      </c>
      <c r="C1869" s="6">
        <f t="shared" si="87"/>
        <v>1.2507183036137692E-2</v>
      </c>
      <c r="D1869" s="7">
        <f t="shared" si="88"/>
        <v>1.1249924742882529</v>
      </c>
      <c r="E1869" s="8">
        <f t="shared" si="89"/>
        <v>-1.8261345225874448</v>
      </c>
    </row>
    <row r="1870" spans="1:5" x14ac:dyDescent="0.2">
      <c r="A1870" s="4">
        <v>44344</v>
      </c>
      <c r="B1870" s="3">
        <v>67554.86</v>
      </c>
      <c r="C1870" s="6">
        <f t="shared" si="87"/>
        <v>9.1395780603245377E-3</v>
      </c>
      <c r="D1870" s="7">
        <f t="shared" si="88"/>
        <v>0.81643939347067496</v>
      </c>
      <c r="E1870" s="8">
        <f t="shared" si="89"/>
        <v>-1.33839894134383</v>
      </c>
    </row>
    <row r="1871" spans="1:5" x14ac:dyDescent="0.2">
      <c r="A1871" s="4">
        <v>44347</v>
      </c>
      <c r="B1871" s="3">
        <v>67964.039999999994</v>
      </c>
      <c r="C1871" s="6">
        <f t="shared" si="87"/>
        <v>6.0387332459053006E-3</v>
      </c>
      <c r="D1871" s="7">
        <f t="shared" si="88"/>
        <v>0.53232791736286955</v>
      </c>
      <c r="E1871" s="8">
        <f t="shared" si="89"/>
        <v>-0.97151469885281982</v>
      </c>
    </row>
    <row r="1872" spans="1:5" x14ac:dyDescent="0.2">
      <c r="A1872" s="4">
        <v>44348</v>
      </c>
      <c r="B1872" s="3">
        <v>68922.86</v>
      </c>
      <c r="C1872" s="6">
        <f t="shared" si="87"/>
        <v>1.4009166416795652E-2</v>
      </c>
      <c r="D1872" s="7">
        <f t="shared" si="88"/>
        <v>1.2626100401154057</v>
      </c>
      <c r="E1872" s="8">
        <f t="shared" si="89"/>
        <v>-2.0598363186292974</v>
      </c>
    </row>
    <row r="1873" spans="1:5" x14ac:dyDescent="0.2">
      <c r="A1873" s="4">
        <v>44349</v>
      </c>
      <c r="B1873" s="3">
        <v>69049.039999999994</v>
      </c>
      <c r="C1873" s="6">
        <f t="shared" si="87"/>
        <v>1.8290686027784748E-3</v>
      </c>
      <c r="D1873" s="7">
        <f t="shared" si="88"/>
        <v>0.14662205097574282</v>
      </c>
      <c r="E1873" s="8">
        <f t="shared" si="89"/>
        <v>-0.68792160978053762</v>
      </c>
    </row>
    <row r="1874" spans="1:5" x14ac:dyDescent="0.2">
      <c r="A1874" s="4">
        <v>44350</v>
      </c>
      <c r="B1874" s="3">
        <v>67791.38</v>
      </c>
      <c r="C1874" s="6">
        <f t="shared" si="87"/>
        <v>-1.8381928569311014E-2</v>
      </c>
      <c r="D1874" s="7">
        <f t="shared" si="88"/>
        <v>-1.70518820843206</v>
      </c>
      <c r="E1874" s="8">
        <f t="shared" si="89"/>
        <v>-2.8302016418020166</v>
      </c>
    </row>
    <row r="1875" spans="1:5" x14ac:dyDescent="0.2">
      <c r="A1875" s="4">
        <v>44351</v>
      </c>
      <c r="B1875" s="3">
        <v>67825.02</v>
      </c>
      <c r="C1875" s="6">
        <f t="shared" si="87"/>
        <v>4.961052009928254E-4</v>
      </c>
      <c r="D1875" s="7">
        <f t="shared" si="88"/>
        <v>2.449075375056001E-2</v>
      </c>
      <c r="E1875" s="8">
        <f t="shared" si="89"/>
        <v>-0.66392506084627934</v>
      </c>
    </row>
    <row r="1876" spans="1:5" x14ac:dyDescent="0.2">
      <c r="A1876" s="4">
        <v>44354</v>
      </c>
      <c r="B1876" s="3">
        <v>67575.42</v>
      </c>
      <c r="C1876" s="6">
        <f t="shared" si="87"/>
        <v>-3.6868459619609621E-3</v>
      </c>
      <c r="D1876" s="7">
        <f t="shared" si="88"/>
        <v>-0.35876751956494757</v>
      </c>
      <c r="E1876" s="8">
        <f t="shared" si="89"/>
        <v>-0.80772467199386477</v>
      </c>
    </row>
    <row r="1877" spans="1:5" x14ac:dyDescent="0.2">
      <c r="A1877" s="4">
        <v>44355</v>
      </c>
      <c r="B1877" s="3">
        <v>67644.84</v>
      </c>
      <c r="C1877" s="6">
        <f t="shared" si="87"/>
        <v>1.0267693036362924E-3</v>
      </c>
      <c r="D1877" s="7">
        <f t="shared" si="88"/>
        <v>7.3112265158797637E-2</v>
      </c>
      <c r="E1877" s="8">
        <f t="shared" si="89"/>
        <v>-0.66939336032916574</v>
      </c>
    </row>
    <row r="1878" spans="1:5" x14ac:dyDescent="0.2">
      <c r="A1878" s="4">
        <v>44356</v>
      </c>
      <c r="B1878" s="3">
        <v>67681.47</v>
      </c>
      <c r="C1878" s="6">
        <f t="shared" si="87"/>
        <v>5.4135815710327844E-4</v>
      </c>
      <c r="D1878" s="7">
        <f t="shared" si="88"/>
        <v>2.8637005797420519E-2</v>
      </c>
      <c r="E1878" s="8">
        <f t="shared" si="89"/>
        <v>-0.66417913798209316</v>
      </c>
    </row>
    <row r="1879" spans="1:5" x14ac:dyDescent="0.2">
      <c r="A1879" s="4">
        <v>44357</v>
      </c>
      <c r="B1879" s="3">
        <v>67542.84</v>
      </c>
      <c r="C1879" s="6">
        <f t="shared" si="87"/>
        <v>-2.0503716908148993E-3</v>
      </c>
      <c r="D1879" s="7">
        <f t="shared" si="88"/>
        <v>-0.20882737466452217</v>
      </c>
      <c r="E1879" s="8">
        <f t="shared" si="89"/>
        <v>-0.71307593649572898</v>
      </c>
    </row>
    <row r="1880" spans="1:5" x14ac:dyDescent="0.2">
      <c r="A1880" s="4">
        <v>44358</v>
      </c>
      <c r="B1880" s="3">
        <v>67723.91</v>
      </c>
      <c r="C1880" s="6">
        <f t="shared" si="87"/>
        <v>2.6772301123893782E-3</v>
      </c>
      <c r="D1880" s="7">
        <f t="shared" si="88"/>
        <v>0.22433391109619538</v>
      </c>
      <c r="E1880" s="8">
        <f t="shared" si="89"/>
        <v>-0.72067022144154924</v>
      </c>
    </row>
    <row r="1881" spans="1:5" x14ac:dyDescent="0.2">
      <c r="A1881" s="4">
        <v>44361</v>
      </c>
      <c r="B1881" s="3">
        <v>67941.48</v>
      </c>
      <c r="C1881" s="6">
        <f t="shared" si="87"/>
        <v>3.2074530803404425E-3</v>
      </c>
      <c r="D1881" s="7">
        <f t="shared" si="88"/>
        <v>0.27291500402620472</v>
      </c>
      <c r="E1881" s="8">
        <f t="shared" si="89"/>
        <v>-0.74780417478341055</v>
      </c>
    </row>
    <row r="1882" spans="1:5" x14ac:dyDescent="0.2">
      <c r="A1882" s="4">
        <v>44362</v>
      </c>
      <c r="B1882" s="3">
        <v>67310.570000000007</v>
      </c>
      <c r="C1882" s="6">
        <f t="shared" si="87"/>
        <v>-9.3294641543122687E-3</v>
      </c>
      <c r="D1882" s="7">
        <f t="shared" si="88"/>
        <v>-0.87576616983179134</v>
      </c>
      <c r="E1882" s="8">
        <f t="shared" si="89"/>
        <v>-1.4266659848862189</v>
      </c>
    </row>
    <row r="1883" spans="1:5" x14ac:dyDescent="0.2">
      <c r="A1883" s="4">
        <v>44364</v>
      </c>
      <c r="B1883" s="3">
        <v>66585.48</v>
      </c>
      <c r="C1883" s="6">
        <f t="shared" si="87"/>
        <v>-1.0830746508911217E-2</v>
      </c>
      <c r="D1883" s="7">
        <f t="shared" si="88"/>
        <v>-1.0133195049217303</v>
      </c>
      <c r="E1883" s="8">
        <f t="shared" si="89"/>
        <v>-1.6423340201954739</v>
      </c>
    </row>
    <row r="1884" spans="1:5" x14ac:dyDescent="0.2">
      <c r="A1884" s="4">
        <v>44365</v>
      </c>
      <c r="B1884" s="3">
        <v>65635.23</v>
      </c>
      <c r="C1884" s="6">
        <f t="shared" si="87"/>
        <v>-1.4373941281784434E-2</v>
      </c>
      <c r="D1884" s="7">
        <f t="shared" si="88"/>
        <v>-1.3379608066654973</v>
      </c>
      <c r="E1884" s="8">
        <f t="shared" si="89"/>
        <v>-2.1899830875243511</v>
      </c>
    </row>
    <row r="1885" spans="1:5" x14ac:dyDescent="0.2">
      <c r="A1885" s="4">
        <v>44368</v>
      </c>
      <c r="B1885" s="3">
        <v>65563.48</v>
      </c>
      <c r="C1885" s="6">
        <f t="shared" si="87"/>
        <v>-1.0937608632425298E-3</v>
      </c>
      <c r="D1885" s="7">
        <f t="shared" si="88"/>
        <v>-0.12117896574754829</v>
      </c>
      <c r="E1885" s="8">
        <f t="shared" si="89"/>
        <v>-0.68012162002515741</v>
      </c>
    </row>
    <row r="1886" spans="1:5" x14ac:dyDescent="0.2">
      <c r="A1886" s="4">
        <v>44369</v>
      </c>
      <c r="B1886" s="3">
        <v>65551.73</v>
      </c>
      <c r="C1886" s="6">
        <f t="shared" si="87"/>
        <v>-1.792316853468463E-4</v>
      </c>
      <c r="D1886" s="7">
        <f t="shared" si="88"/>
        <v>-3.7386241433395778E-2</v>
      </c>
      <c r="E1886" s="8">
        <f t="shared" si="89"/>
        <v>-0.66484530003516928</v>
      </c>
    </row>
    <row r="1887" spans="1:5" x14ac:dyDescent="0.2">
      <c r="A1887" s="4">
        <v>44370</v>
      </c>
      <c r="B1887" s="3">
        <v>65819.63</v>
      </c>
      <c r="C1887" s="6">
        <f t="shared" si="87"/>
        <v>4.0785201791508977E-3</v>
      </c>
      <c r="D1887" s="7">
        <f t="shared" si="88"/>
        <v>0.35272556341994632</v>
      </c>
      <c r="E1887" s="8">
        <f t="shared" si="89"/>
        <v>-0.8030240934881665</v>
      </c>
    </row>
    <row r="1888" spans="1:5" x14ac:dyDescent="0.2">
      <c r="A1888" s="4">
        <v>44371</v>
      </c>
      <c r="B1888" s="3">
        <v>66263.490000000005</v>
      </c>
      <c r="C1888" s="6">
        <f t="shared" si="87"/>
        <v>6.7209446718452691E-3</v>
      </c>
      <c r="D1888" s="7">
        <f t="shared" si="88"/>
        <v>0.59483478463339978</v>
      </c>
      <c r="E1888" s="8">
        <f t="shared" si="89"/>
        <v>-1.0428972238874832</v>
      </c>
    </row>
    <row r="1889" spans="1:5" x14ac:dyDescent="0.2">
      <c r="A1889" s="4">
        <v>44372</v>
      </c>
      <c r="B1889" s="3">
        <v>66215.47</v>
      </c>
      <c r="C1889" s="6">
        <f t="shared" si="87"/>
        <v>-7.2494533627165956E-4</v>
      </c>
      <c r="D1889" s="7">
        <f t="shared" si="88"/>
        <v>-8.7386651055786635E-2</v>
      </c>
      <c r="E1889" s="8">
        <f t="shared" si="89"/>
        <v>-0.67202923889706279</v>
      </c>
    </row>
    <row r="1890" spans="1:5" x14ac:dyDescent="0.2">
      <c r="A1890" s="4">
        <v>44375</v>
      </c>
      <c r="B1890" s="3">
        <v>65809.350000000006</v>
      </c>
      <c r="C1890" s="6">
        <f t="shared" si="87"/>
        <v>-6.1521959424437637E-3</v>
      </c>
      <c r="D1890" s="7">
        <f t="shared" si="88"/>
        <v>-0.58465248446877938</v>
      </c>
      <c r="E1890" s="8">
        <f t="shared" si="89"/>
        <v>-1.0308645805558192</v>
      </c>
    </row>
    <row r="1891" spans="1:5" x14ac:dyDescent="0.2">
      <c r="A1891" s="4">
        <v>44376</v>
      </c>
      <c r="B1891" s="3">
        <v>66548.710000000006</v>
      </c>
      <c r="C1891" s="6">
        <f t="shared" si="87"/>
        <v>1.1172235230537559E-2</v>
      </c>
      <c r="D1891" s="7">
        <f t="shared" si="88"/>
        <v>1.0026793582586251</v>
      </c>
      <c r="E1891" s="8">
        <f t="shared" si="89"/>
        <v>-1.6251811781589249</v>
      </c>
    </row>
    <row r="1892" spans="1:5" x14ac:dyDescent="0.2">
      <c r="A1892" s="4">
        <v>44377</v>
      </c>
      <c r="B1892" s="3">
        <v>66248.740000000005</v>
      </c>
      <c r="C1892" s="6">
        <f t="shared" si="87"/>
        <v>-4.5177149138407044E-3</v>
      </c>
      <c r="D1892" s="7">
        <f t="shared" si="88"/>
        <v>-0.43489496821152251</v>
      </c>
      <c r="E1892" s="8">
        <f t="shared" si="89"/>
        <v>-0.87292285452541407</v>
      </c>
    </row>
    <row r="1893" spans="1:5" x14ac:dyDescent="0.2">
      <c r="A1893" s="4">
        <v>44378</v>
      </c>
      <c r="B1893" s="3">
        <v>66555.78</v>
      </c>
      <c r="C1893" s="6">
        <f t="shared" si="87"/>
        <v>4.6239472431428485E-3</v>
      </c>
      <c r="D1893" s="7">
        <f t="shared" si="88"/>
        <v>0.40269971483162309</v>
      </c>
      <c r="E1893" s="8">
        <f t="shared" si="89"/>
        <v>-0.84402167920507742</v>
      </c>
    </row>
    <row r="1894" spans="1:5" x14ac:dyDescent="0.2">
      <c r="A1894" s="4">
        <v>44379</v>
      </c>
      <c r="B1894" s="3">
        <v>66323.759999999995</v>
      </c>
      <c r="C1894" s="6">
        <f t="shared" si="87"/>
        <v>-3.4921890277120394E-3</v>
      </c>
      <c r="D1894" s="7">
        <f t="shared" si="88"/>
        <v>-0.34093229328502828</v>
      </c>
      <c r="E1894" s="8">
        <f t="shared" si="89"/>
        <v>-0.79405592603010455</v>
      </c>
    </row>
    <row r="1895" spans="1:5" x14ac:dyDescent="0.2">
      <c r="A1895" s="4">
        <v>44382</v>
      </c>
      <c r="B1895" s="3">
        <v>66166.86</v>
      </c>
      <c r="C1895" s="6">
        <f t="shared" si="87"/>
        <v>-2.3684706637526662E-3</v>
      </c>
      <c r="D1895" s="7">
        <f t="shared" si="88"/>
        <v>-0.23797284119334378</v>
      </c>
      <c r="E1895" s="8">
        <f t="shared" si="89"/>
        <v>-0.72777952203236307</v>
      </c>
    </row>
    <row r="1896" spans="1:5" x14ac:dyDescent="0.2">
      <c r="A1896" s="4">
        <v>44383</v>
      </c>
      <c r="B1896" s="3">
        <v>65849.75</v>
      </c>
      <c r="C1896" s="6">
        <f t="shared" si="87"/>
        <v>-4.8041016943544306E-3</v>
      </c>
      <c r="D1896" s="7">
        <f t="shared" si="88"/>
        <v>-0.46113484018807482</v>
      </c>
      <c r="E1896" s="8">
        <f t="shared" si="89"/>
        <v>-0.8978663663284745</v>
      </c>
    </row>
    <row r="1897" spans="1:5" x14ac:dyDescent="0.2">
      <c r="A1897" s="4">
        <v>44384</v>
      </c>
      <c r="B1897" s="3">
        <v>66806.36</v>
      </c>
      <c r="C1897" s="6">
        <f t="shared" si="87"/>
        <v>1.4422653916423944E-2</v>
      </c>
      <c r="D1897" s="7">
        <f t="shared" si="88"/>
        <v>1.3004953748878012</v>
      </c>
      <c r="E1897" s="8">
        <f t="shared" si="89"/>
        <v>-2.1251294180466553</v>
      </c>
    </row>
    <row r="1898" spans="1:5" x14ac:dyDescent="0.2">
      <c r="A1898" s="4">
        <v>44385</v>
      </c>
      <c r="B1898" s="3">
        <v>65243.5</v>
      </c>
      <c r="C1898" s="6">
        <f t="shared" si="87"/>
        <v>-2.3671861208817372E-2</v>
      </c>
      <c r="D1898" s="7">
        <f t="shared" si="88"/>
        <v>-2.1898724350441867</v>
      </c>
      <c r="E1898" s="8">
        <f t="shared" si="89"/>
        <v>-3.6498295505084224</v>
      </c>
    </row>
    <row r="1899" spans="1:5" x14ac:dyDescent="0.2">
      <c r="A1899" s="4">
        <v>44386</v>
      </c>
      <c r="B1899" s="3">
        <v>66385.570000000007</v>
      </c>
      <c r="C1899" s="6">
        <f t="shared" si="87"/>
        <v>1.7353289205547476E-2</v>
      </c>
      <c r="D1899" s="7">
        <f t="shared" si="88"/>
        <v>1.5690115915184155</v>
      </c>
      <c r="E1899" s="8">
        <f t="shared" si="89"/>
        <v>-2.5929924361032315</v>
      </c>
    </row>
    <row r="1900" spans="1:5" x14ac:dyDescent="0.2">
      <c r="A1900" s="4">
        <v>44389</v>
      </c>
      <c r="B1900" s="3">
        <v>67293.33</v>
      </c>
      <c r="C1900" s="6">
        <f t="shared" si="87"/>
        <v>1.3581409681549904E-2</v>
      </c>
      <c r="D1900" s="7">
        <f t="shared" si="88"/>
        <v>1.2234173024135395</v>
      </c>
      <c r="E1900" s="8">
        <f t="shared" si="89"/>
        <v>-1.9926614442888049</v>
      </c>
    </row>
    <row r="1901" spans="1:5" x14ac:dyDescent="0.2">
      <c r="A1901" s="4">
        <v>44390</v>
      </c>
      <c r="B1901" s="3">
        <v>67088.27</v>
      </c>
      <c r="C1901" s="6">
        <f t="shared" si="87"/>
        <v>-3.0519082845146955E-3</v>
      </c>
      <c r="D1901" s="7">
        <f t="shared" si="88"/>
        <v>-0.30059205720808446</v>
      </c>
      <c r="E1901" s="8">
        <f t="shared" si="89"/>
        <v>-0.76548309236489398</v>
      </c>
    </row>
    <row r="1902" spans="1:5" x14ac:dyDescent="0.2">
      <c r="A1902" s="4">
        <v>44391</v>
      </c>
      <c r="B1902" s="3">
        <v>67897.600000000006</v>
      </c>
      <c r="C1902" s="6">
        <f t="shared" si="87"/>
        <v>1.1991472857701684E-2</v>
      </c>
      <c r="D1902" s="7">
        <f t="shared" si="88"/>
        <v>1.0777410996441734</v>
      </c>
      <c r="E1902" s="8">
        <f t="shared" si="89"/>
        <v>-1.7475853639421912</v>
      </c>
    </row>
    <row r="1903" spans="1:5" x14ac:dyDescent="0.2">
      <c r="A1903" s="4">
        <v>44392</v>
      </c>
      <c r="B1903" s="3">
        <v>67538.61</v>
      </c>
      <c r="C1903" s="6">
        <f t="shared" si="87"/>
        <v>-5.3012534939202325E-3</v>
      </c>
      <c r="D1903" s="7">
        <f t="shared" si="88"/>
        <v>-0.50668582389660533</v>
      </c>
      <c r="E1903" s="8">
        <f t="shared" si="89"/>
        <v>-0.9440120154813546</v>
      </c>
    </row>
    <row r="1904" spans="1:5" x14ac:dyDescent="0.2">
      <c r="A1904" s="4">
        <v>44393</v>
      </c>
      <c r="B1904" s="3">
        <v>66529.53</v>
      </c>
      <c r="C1904" s="6">
        <f t="shared" si="87"/>
        <v>-1.5053525102186448E-2</v>
      </c>
      <c r="D1904" s="7">
        <f t="shared" si="88"/>
        <v>-1.40022692248515</v>
      </c>
      <c r="E1904" s="8">
        <f t="shared" si="89"/>
        <v>-2.2982384518508425</v>
      </c>
    </row>
    <row r="1905" spans="1:5" x14ac:dyDescent="0.2">
      <c r="A1905" s="4">
        <v>44396</v>
      </c>
      <c r="B1905" s="3">
        <v>64804.74</v>
      </c>
      <c r="C1905" s="6">
        <f t="shared" si="87"/>
        <v>-2.6267160415472248E-2</v>
      </c>
      <c r="D1905" s="7">
        <f t="shared" si="88"/>
        <v>-2.4276638540521169</v>
      </c>
      <c r="E1905" s="8">
        <f t="shared" si="89"/>
        <v>-4.0309901505696573</v>
      </c>
    </row>
    <row r="1906" spans="1:5" x14ac:dyDescent="0.2">
      <c r="A1906" s="4">
        <v>44397</v>
      </c>
      <c r="B1906" s="3">
        <v>65724.679999999993</v>
      </c>
      <c r="C1906" s="6">
        <f t="shared" si="87"/>
        <v>1.409575300151448E-2</v>
      </c>
      <c r="D1906" s="7">
        <f t="shared" si="88"/>
        <v>1.2705434401621305</v>
      </c>
      <c r="E1906" s="8">
        <f t="shared" si="89"/>
        <v>-2.0734820775070602</v>
      </c>
    </row>
    <row r="1907" spans="1:5" x14ac:dyDescent="0.2">
      <c r="A1907" s="4">
        <v>44398</v>
      </c>
      <c r="B1907" s="3">
        <v>66558.460000000006</v>
      </c>
      <c r="C1907" s="6">
        <f t="shared" si="87"/>
        <v>1.2606157393361104E-2</v>
      </c>
      <c r="D1907" s="7">
        <f t="shared" si="88"/>
        <v>1.1340608902879201</v>
      </c>
      <c r="E1907" s="8">
        <f t="shared" si="89"/>
        <v>-1.841324215850509</v>
      </c>
    </row>
    <row r="1908" spans="1:5" x14ac:dyDescent="0.2">
      <c r="A1908" s="4">
        <v>44399</v>
      </c>
      <c r="B1908" s="3">
        <v>67404.27</v>
      </c>
      <c r="C1908" s="6">
        <f t="shared" si="87"/>
        <v>1.2627709801207023E-2</v>
      </c>
      <c r="D1908" s="7">
        <f t="shared" si="88"/>
        <v>1.1360356058165102</v>
      </c>
      <c r="E1908" s="8">
        <f t="shared" si="89"/>
        <v>-1.8446364634689125</v>
      </c>
    </row>
    <row r="1909" spans="1:5" x14ac:dyDescent="0.2">
      <c r="A1909" s="4">
        <v>44400</v>
      </c>
      <c r="B1909" s="3">
        <v>68063.7</v>
      </c>
      <c r="C1909" s="6">
        <f t="shared" si="87"/>
        <v>9.7356623644873786E-3</v>
      </c>
      <c r="D1909" s="7">
        <f t="shared" si="88"/>
        <v>0.87105495847827685</v>
      </c>
      <c r="E1909" s="8">
        <f t="shared" si="89"/>
        <v>-1.4195400847180479</v>
      </c>
    </row>
    <row r="1910" spans="1:5" x14ac:dyDescent="0.2">
      <c r="A1910" s="4">
        <v>44403</v>
      </c>
      <c r="B1910" s="3">
        <v>68051.05</v>
      </c>
      <c r="C1910" s="6">
        <f t="shared" si="87"/>
        <v>-1.8587258230887387E-4</v>
      </c>
      <c r="D1910" s="7">
        <f t="shared" si="88"/>
        <v>-3.7994706271683686E-2</v>
      </c>
      <c r="E1910" s="8">
        <f t="shared" si="89"/>
        <v>-0.66489818728618999</v>
      </c>
    </row>
    <row r="1911" spans="1:5" x14ac:dyDescent="0.2">
      <c r="A1911" s="4">
        <v>44404</v>
      </c>
      <c r="B1911" s="3">
        <v>67340.72</v>
      </c>
      <c r="C1911" s="6">
        <f t="shared" si="87"/>
        <v>-1.0493053122981839E-2</v>
      </c>
      <c r="D1911" s="7">
        <f t="shared" si="88"/>
        <v>-0.98237872197699994</v>
      </c>
      <c r="E1911" s="8">
        <f t="shared" si="89"/>
        <v>-1.592653401715258</v>
      </c>
    </row>
    <row r="1912" spans="1:5" x14ac:dyDescent="0.2">
      <c r="A1912" s="4">
        <v>44405</v>
      </c>
      <c r="B1912" s="3">
        <v>68525.539999999994</v>
      </c>
      <c r="C1912" s="6">
        <f t="shared" si="87"/>
        <v>1.7441416806982416E-2</v>
      </c>
      <c r="D1912" s="7">
        <f t="shared" si="88"/>
        <v>1.5770861855171514</v>
      </c>
      <c r="E1912" s="8">
        <f t="shared" si="89"/>
        <v>-2.6070938606972875</v>
      </c>
    </row>
    <row r="1913" spans="1:5" x14ac:dyDescent="0.2">
      <c r="A1913" s="4">
        <v>44406</v>
      </c>
      <c r="B1913" s="3">
        <v>69565.23</v>
      </c>
      <c r="C1913" s="6">
        <f t="shared" si="87"/>
        <v>1.5058351055262858E-2</v>
      </c>
      <c r="D1913" s="7">
        <f t="shared" si="88"/>
        <v>1.3587404220546841</v>
      </c>
      <c r="E1913" s="8">
        <f t="shared" si="89"/>
        <v>-2.2260536548778025</v>
      </c>
    </row>
    <row r="1914" spans="1:5" x14ac:dyDescent="0.2">
      <c r="A1914" s="4">
        <v>44407</v>
      </c>
      <c r="B1914" s="3">
        <v>68970.78</v>
      </c>
      <c r="C1914" s="6">
        <f t="shared" si="87"/>
        <v>-8.5819369045579963E-3</v>
      </c>
      <c r="D1914" s="7">
        <f t="shared" si="88"/>
        <v>-0.80727481245366606</v>
      </c>
      <c r="E1914" s="8">
        <f t="shared" si="89"/>
        <v>-1.325061541701589</v>
      </c>
    </row>
    <row r="1915" spans="1:5" x14ac:dyDescent="0.2">
      <c r="A1915" s="4">
        <v>44410</v>
      </c>
      <c r="B1915" s="3">
        <v>68822.75</v>
      </c>
      <c r="C1915" s="6">
        <f t="shared" si="87"/>
        <v>-2.1485777590133271E-3</v>
      </c>
      <c r="D1915" s="7">
        <f t="shared" si="88"/>
        <v>-0.21782539703212164</v>
      </c>
      <c r="E1915" s="8">
        <f t="shared" si="89"/>
        <v>-0.71741914696130349</v>
      </c>
    </row>
    <row r="1916" spans="1:5" x14ac:dyDescent="0.2">
      <c r="A1916" s="4">
        <v>44411</v>
      </c>
      <c r="B1916" s="3">
        <v>68705.73</v>
      </c>
      <c r="C1916" s="6">
        <f t="shared" si="87"/>
        <v>-1.7017570213908311E-3</v>
      </c>
      <c r="D1916" s="7">
        <f t="shared" si="88"/>
        <v>-0.17688594120021736</v>
      </c>
      <c r="E1916" s="8">
        <f t="shared" si="89"/>
        <v>-0.69908936074912731</v>
      </c>
    </row>
    <row r="1917" spans="1:5" x14ac:dyDescent="0.2">
      <c r="A1917" s="4">
        <v>44412</v>
      </c>
      <c r="B1917" s="3">
        <v>68898.039999999994</v>
      </c>
      <c r="C1917" s="6">
        <f t="shared" si="87"/>
        <v>2.7951287265708148E-3</v>
      </c>
      <c r="D1917" s="7">
        <f t="shared" si="88"/>
        <v>0.23513624120649027</v>
      </c>
      <c r="E1917" s="8">
        <f t="shared" si="89"/>
        <v>-0.72626799242048667</v>
      </c>
    </row>
    <row r="1918" spans="1:5" x14ac:dyDescent="0.2">
      <c r="A1918" s="4">
        <v>44413</v>
      </c>
      <c r="B1918" s="3">
        <v>68371.23</v>
      </c>
      <c r="C1918" s="6">
        <f t="shared" si="87"/>
        <v>-7.6756084797936514E-3</v>
      </c>
      <c r="D1918" s="7">
        <f t="shared" si="88"/>
        <v>-0.72423347307387265</v>
      </c>
      <c r="E1918" s="8">
        <f t="shared" si="89"/>
        <v>-1.2082449918803291</v>
      </c>
    </row>
    <row r="1919" spans="1:5" x14ac:dyDescent="0.2">
      <c r="A1919" s="4">
        <v>44414</v>
      </c>
      <c r="B1919" s="3">
        <v>68673.95</v>
      </c>
      <c r="C1919" s="6">
        <f t="shared" si="87"/>
        <v>4.4178203473065085E-3</v>
      </c>
      <c r="D1919" s="7">
        <f t="shared" si="88"/>
        <v>0.38381356600880601</v>
      </c>
      <c r="E1919" s="8">
        <f t="shared" si="89"/>
        <v>-0.82796600657828223</v>
      </c>
    </row>
    <row r="1920" spans="1:5" x14ac:dyDescent="0.2">
      <c r="A1920" s="4">
        <v>44418</v>
      </c>
      <c r="B1920" s="3">
        <v>69602.039999999994</v>
      </c>
      <c r="C1920" s="6">
        <f t="shared" si="87"/>
        <v>1.3423934797833789E-2</v>
      </c>
      <c r="D1920" s="7">
        <f t="shared" si="88"/>
        <v>1.2089888403845972</v>
      </c>
      <c r="E1920" s="8">
        <f t="shared" si="89"/>
        <v>-1.9680412481357394</v>
      </c>
    </row>
    <row r="1921" spans="1:5" x14ac:dyDescent="0.2">
      <c r="A1921" s="4">
        <v>44419</v>
      </c>
      <c r="B1921" s="3">
        <v>69617.16</v>
      </c>
      <c r="C1921" s="6">
        <f t="shared" si="87"/>
        <v>2.1721141996865597E-4</v>
      </c>
      <c r="D1921" s="7">
        <f t="shared" si="88"/>
        <v>-1.0625804361765454E-3</v>
      </c>
      <c r="E1921" s="8">
        <f t="shared" si="89"/>
        <v>-0.66323442060254789</v>
      </c>
    </row>
    <row r="1922" spans="1:5" x14ac:dyDescent="0.2">
      <c r="A1922" s="4">
        <v>44420</v>
      </c>
      <c r="B1922" s="3">
        <v>69401.95</v>
      </c>
      <c r="C1922" s="6">
        <f t="shared" si="87"/>
        <v>-3.0961235749036708E-3</v>
      </c>
      <c r="D1922" s="7">
        <f t="shared" si="88"/>
        <v>-0.30464323428103313</v>
      </c>
      <c r="E1922" s="8">
        <f t="shared" si="89"/>
        <v>-0.76820347479790341</v>
      </c>
    </row>
    <row r="1923" spans="1:5" x14ac:dyDescent="0.2">
      <c r="A1923" s="4">
        <v>44421</v>
      </c>
      <c r="B1923" s="3">
        <v>69384.759999999995</v>
      </c>
      <c r="C1923" s="6">
        <f t="shared" ref="C1923:C1986" si="90">LN(B1923/B1922)</f>
        <v>-2.477182446058427E-4</v>
      </c>
      <c r="D1923" s="7">
        <f t="shared" ref="D1923:D1986" si="91">(C1923-$G$4)/$G$5</f>
        <v>-4.3661246668787561E-2</v>
      </c>
      <c r="E1923" s="8">
        <f t="shared" ref="E1923:E1986" si="92">LN((PI()*(G$3-2))^(-1/2)*EXP(GAMMALN((G$3+1)/2))*((1+D1923^2/(G$3-2))^(-(G$3+1)/2))/EXP(GAMMALN(G$3/2)))</f>
        <v>-0.6654316593173597</v>
      </c>
    </row>
    <row r="1924" spans="1:5" x14ac:dyDescent="0.2">
      <c r="A1924" s="4">
        <v>44424</v>
      </c>
      <c r="B1924" s="3">
        <v>68824.7</v>
      </c>
      <c r="C1924" s="6">
        <f t="shared" si="90"/>
        <v>-8.1045547181704935E-3</v>
      </c>
      <c r="D1924" s="7">
        <f t="shared" si="91"/>
        <v>-0.76353519768435119</v>
      </c>
      <c r="E1924" s="8">
        <f t="shared" si="92"/>
        <v>-1.2625937376652996</v>
      </c>
    </row>
    <row r="1925" spans="1:5" x14ac:dyDescent="0.2">
      <c r="A1925" s="4">
        <v>44425</v>
      </c>
      <c r="B1925" s="3">
        <v>68939.839999999997</v>
      </c>
      <c r="C1925" s="6">
        <f t="shared" si="90"/>
        <v>1.6715480893577334E-3</v>
      </c>
      <c r="D1925" s="7">
        <f t="shared" si="91"/>
        <v>0.13218940817558766</v>
      </c>
      <c r="E1925" s="8">
        <f t="shared" si="92"/>
        <v>-0.68331791596647207</v>
      </c>
    </row>
    <row r="1926" spans="1:5" x14ac:dyDescent="0.2">
      <c r="A1926" s="4">
        <v>44426</v>
      </c>
      <c r="B1926" s="3">
        <v>67905.679999999993</v>
      </c>
      <c r="C1926" s="6">
        <f t="shared" si="90"/>
        <v>-1.511455673128327E-2</v>
      </c>
      <c r="D1926" s="7">
        <f t="shared" si="91"/>
        <v>-1.4058188779907368</v>
      </c>
      <c r="E1926" s="8">
        <f t="shared" si="92"/>
        <v>-2.3079825901339537</v>
      </c>
    </row>
    <row r="1927" spans="1:5" x14ac:dyDescent="0.2">
      <c r="A1927" s="4">
        <v>44427</v>
      </c>
      <c r="B1927" s="3">
        <v>66113.48</v>
      </c>
      <c r="C1927" s="6">
        <f t="shared" si="90"/>
        <v>-2.6747023995790094E-2</v>
      </c>
      <c r="D1927" s="7">
        <f t="shared" si="91"/>
        <v>-2.4716308237954947</v>
      </c>
      <c r="E1927" s="8">
        <f t="shared" si="92"/>
        <v>-4.0997316711895291</v>
      </c>
    </row>
    <row r="1928" spans="1:5" x14ac:dyDescent="0.2">
      <c r="A1928" s="4">
        <v>44428</v>
      </c>
      <c r="B1928" s="3">
        <v>66011.06</v>
      </c>
      <c r="C1928" s="6">
        <f t="shared" si="90"/>
        <v>-1.5503557554826005E-3</v>
      </c>
      <c r="D1928" s="7">
        <f t="shared" si="91"/>
        <v>-0.16301396768456303</v>
      </c>
      <c r="E1928" s="8">
        <f t="shared" si="92"/>
        <v>-0.69371693884744801</v>
      </c>
    </row>
    <row r="1929" spans="1:5" x14ac:dyDescent="0.2">
      <c r="A1929" s="4">
        <v>44431</v>
      </c>
      <c r="B1929" s="3">
        <v>66829.210000000006</v>
      </c>
      <c r="C1929" s="6">
        <f t="shared" si="90"/>
        <v>1.2317956669901724E-2</v>
      </c>
      <c r="D1929" s="7">
        <f t="shared" si="91"/>
        <v>1.1076548177954735</v>
      </c>
      <c r="E1929" s="8">
        <f t="shared" si="92"/>
        <v>-1.7971930854922002</v>
      </c>
    </row>
    <row r="1930" spans="1:5" x14ac:dyDescent="0.2">
      <c r="A1930" s="4">
        <v>44432</v>
      </c>
      <c r="B1930" s="3">
        <v>67451.539999999994</v>
      </c>
      <c r="C1930" s="6">
        <f t="shared" si="90"/>
        <v>9.2691537056762315E-3</v>
      </c>
      <c r="D1930" s="7">
        <f t="shared" si="91"/>
        <v>0.82831161864534442</v>
      </c>
      <c r="E1930" s="8">
        <f t="shared" si="92"/>
        <v>-1.3557993524360585</v>
      </c>
    </row>
    <row r="1931" spans="1:5" x14ac:dyDescent="0.2">
      <c r="A1931" s="4">
        <v>44433</v>
      </c>
      <c r="B1931" s="3">
        <v>67452.86</v>
      </c>
      <c r="C1931" s="6">
        <f t="shared" si="90"/>
        <v>1.9569413600202276E-5</v>
      </c>
      <c r="D1931" s="7">
        <f t="shared" si="91"/>
        <v>-1.9171310647097001E-2</v>
      </c>
      <c r="E1931" s="8">
        <f t="shared" si="92"/>
        <v>-0.66365714300364742</v>
      </c>
    </row>
    <row r="1932" spans="1:5" x14ac:dyDescent="0.2">
      <c r="A1932" s="4">
        <v>44434</v>
      </c>
      <c r="B1932" s="3">
        <v>67068.740000000005</v>
      </c>
      <c r="C1932" s="6">
        <f t="shared" si="90"/>
        <v>-5.7109199413771993E-3</v>
      </c>
      <c r="D1932" s="7">
        <f t="shared" si="91"/>
        <v>-0.54422105899047712</v>
      </c>
      <c r="E1932" s="8">
        <f t="shared" si="92"/>
        <v>-0.98463066395706944</v>
      </c>
    </row>
    <row r="1933" spans="1:5" x14ac:dyDescent="0.2">
      <c r="A1933" s="4">
        <v>44435</v>
      </c>
      <c r="B1933" s="3">
        <v>67646.080000000002</v>
      </c>
      <c r="C1933" s="6">
        <f t="shared" si="90"/>
        <v>8.5713440386237603E-3</v>
      </c>
      <c r="D1933" s="7">
        <f t="shared" si="91"/>
        <v>0.76437557978694526</v>
      </c>
      <c r="E1933" s="8">
        <f t="shared" si="92"/>
        <v>-1.2637747918570374</v>
      </c>
    </row>
    <row r="1934" spans="1:5" x14ac:dyDescent="0.2">
      <c r="A1934" s="4">
        <v>44438</v>
      </c>
      <c r="B1934" s="3">
        <v>67064.69</v>
      </c>
      <c r="C1934" s="6">
        <f t="shared" si="90"/>
        <v>-8.6317316690785375E-3</v>
      </c>
      <c r="D1934" s="7">
        <f t="shared" si="91"/>
        <v>-0.8118372026721592</v>
      </c>
      <c r="E1934" s="8">
        <f t="shared" si="92"/>
        <v>-1.3316908602909261</v>
      </c>
    </row>
    <row r="1935" spans="1:5" x14ac:dyDescent="0.2">
      <c r="A1935" s="4">
        <v>44439</v>
      </c>
      <c r="B1935" s="3">
        <v>67427.929999999993</v>
      </c>
      <c r="C1935" s="6">
        <f t="shared" si="90"/>
        <v>5.4016478110328085E-3</v>
      </c>
      <c r="D1935" s="7">
        <f t="shared" si="91"/>
        <v>0.47395566910757997</v>
      </c>
      <c r="E1935" s="8">
        <f t="shared" si="92"/>
        <v>-0.91049517340435393</v>
      </c>
    </row>
    <row r="1936" spans="1:5" x14ac:dyDescent="0.2">
      <c r="A1936" s="4">
        <v>44440</v>
      </c>
      <c r="B1936" s="3">
        <v>66976.05</v>
      </c>
      <c r="C1936" s="6">
        <f t="shared" si="90"/>
        <v>-6.7242309737482082E-3</v>
      </c>
      <c r="D1936" s="7">
        <f t="shared" si="91"/>
        <v>-0.63706456145294132</v>
      </c>
      <c r="E1936" s="8">
        <f t="shared" si="92"/>
        <v>-1.0943961234432276</v>
      </c>
    </row>
    <row r="1937" spans="1:5" x14ac:dyDescent="0.2">
      <c r="A1937" s="4">
        <v>44441</v>
      </c>
      <c r="B1937" s="3">
        <v>66654.240000000005</v>
      </c>
      <c r="C1937" s="6">
        <f t="shared" si="90"/>
        <v>-4.8164322940952506E-3</v>
      </c>
      <c r="D1937" s="7">
        <f t="shared" si="91"/>
        <v>-0.46226461774977939</v>
      </c>
      <c r="E1937" s="8">
        <f t="shared" si="92"/>
        <v>-0.89896770563449169</v>
      </c>
    </row>
    <row r="1938" spans="1:5" x14ac:dyDescent="0.2">
      <c r="A1938" s="4">
        <v>44442</v>
      </c>
      <c r="B1938" s="3">
        <v>66371.850000000006</v>
      </c>
      <c r="C1938" s="6">
        <f t="shared" si="90"/>
        <v>-4.245639696452373E-3</v>
      </c>
      <c r="D1938" s="7">
        <f t="shared" si="91"/>
        <v>-0.40996637737553498</v>
      </c>
      <c r="E1938" s="8">
        <f t="shared" si="92"/>
        <v>-0.85037774377073105</v>
      </c>
    </row>
    <row r="1939" spans="1:5" x14ac:dyDescent="0.2">
      <c r="A1939" s="4">
        <v>44445</v>
      </c>
      <c r="B1939" s="3">
        <v>66253.8</v>
      </c>
      <c r="C1939" s="6">
        <f t="shared" si="90"/>
        <v>-1.7801990968731882E-3</v>
      </c>
      <c r="D1939" s="7">
        <f t="shared" si="91"/>
        <v>-0.18407310959723577</v>
      </c>
      <c r="E1939" s="8">
        <f t="shared" si="92"/>
        <v>-0.70204066393806264</v>
      </c>
    </row>
    <row r="1940" spans="1:5" x14ac:dyDescent="0.2">
      <c r="A1940" s="4">
        <v>44446</v>
      </c>
      <c r="B1940" s="3">
        <v>66514.91</v>
      </c>
      <c r="C1940" s="6">
        <f t="shared" si="90"/>
        <v>3.9333113447383352E-3</v>
      </c>
      <c r="D1940" s="7">
        <f t="shared" si="91"/>
        <v>0.33942096459029675</v>
      </c>
      <c r="E1940" s="8">
        <f t="shared" si="92"/>
        <v>-0.79292653052530604</v>
      </c>
    </row>
    <row r="1941" spans="1:5" x14ac:dyDescent="0.2">
      <c r="A1941" s="4">
        <v>44447</v>
      </c>
      <c r="B1941" s="3">
        <v>65525.35</v>
      </c>
      <c r="C1941" s="6">
        <f t="shared" si="90"/>
        <v>-1.4989042388775936E-2</v>
      </c>
      <c r="D1941" s="7">
        <f t="shared" si="91"/>
        <v>-1.3943187651967537</v>
      </c>
      <c r="E1941" s="8">
        <f t="shared" si="92"/>
        <v>-2.2879466419716405</v>
      </c>
    </row>
    <row r="1942" spans="1:5" x14ac:dyDescent="0.2">
      <c r="A1942" s="4">
        <v>44448</v>
      </c>
      <c r="B1942" s="3">
        <v>64176.53</v>
      </c>
      <c r="C1942" s="6">
        <f t="shared" si="90"/>
        <v>-2.0799523135311582E-2</v>
      </c>
      <c r="D1942" s="7">
        <f t="shared" si="91"/>
        <v>-1.9266976363088224</v>
      </c>
      <c r="E1942" s="8">
        <f t="shared" si="92"/>
        <v>-3.2108604094374624</v>
      </c>
    </row>
    <row r="1943" spans="1:5" x14ac:dyDescent="0.2">
      <c r="A1943" s="4">
        <v>44449</v>
      </c>
      <c r="B1943" s="3">
        <v>64296.06</v>
      </c>
      <c r="C1943" s="6">
        <f t="shared" si="90"/>
        <v>1.8607865613924452E-3</v>
      </c>
      <c r="D1943" s="7">
        <f t="shared" si="91"/>
        <v>0.14952817384878611</v>
      </c>
      <c r="E1943" s="8">
        <f t="shared" si="92"/>
        <v>-0.68890520796018218</v>
      </c>
    </row>
    <row r="1944" spans="1:5" x14ac:dyDescent="0.2">
      <c r="A1944" s="4">
        <v>44452</v>
      </c>
      <c r="B1944" s="3">
        <v>64652.32</v>
      </c>
      <c r="C1944" s="6">
        <f t="shared" si="90"/>
        <v>5.5256360174998961E-3</v>
      </c>
      <c r="D1944" s="7">
        <f t="shared" si="91"/>
        <v>0.48531595137501787</v>
      </c>
      <c r="E1944" s="8">
        <f t="shared" si="92"/>
        <v>-0.92192264201989771</v>
      </c>
    </row>
    <row r="1945" spans="1:5" x14ac:dyDescent="0.2">
      <c r="A1945" s="4">
        <v>44453</v>
      </c>
      <c r="B1945" s="3">
        <v>64300.46</v>
      </c>
      <c r="C1945" s="6">
        <f t="shared" si="90"/>
        <v>-5.4572049277360332E-3</v>
      </c>
      <c r="D1945" s="7">
        <f t="shared" si="91"/>
        <v>-0.52097470151360215</v>
      </c>
      <c r="E1945" s="8">
        <f t="shared" si="92"/>
        <v>-0.95920556210365193</v>
      </c>
    </row>
    <row r="1946" spans="1:5" x14ac:dyDescent="0.2">
      <c r="A1946" s="4">
        <v>44454</v>
      </c>
      <c r="B1946" s="3">
        <v>64385.13</v>
      </c>
      <c r="C1946" s="6">
        <f t="shared" si="90"/>
        <v>1.3159206437677608E-3</v>
      </c>
      <c r="D1946" s="7">
        <f t="shared" si="91"/>
        <v>9.9605436852295587E-2</v>
      </c>
      <c r="E1946" s="8">
        <f t="shared" si="92"/>
        <v>-0.67465536455441966</v>
      </c>
    </row>
    <row r="1947" spans="1:5" x14ac:dyDescent="0.2">
      <c r="A1947" s="4">
        <v>44455</v>
      </c>
      <c r="B1947" s="3">
        <v>63313.75</v>
      </c>
      <c r="C1947" s="6">
        <f t="shared" si="90"/>
        <v>-1.6780180676908299E-2</v>
      </c>
      <c r="D1947" s="7">
        <f t="shared" si="91"/>
        <v>-1.5584298295712546</v>
      </c>
      <c r="E1947" s="8">
        <f t="shared" si="92"/>
        <v>-2.5745086967982158</v>
      </c>
    </row>
    <row r="1948" spans="1:5" x14ac:dyDescent="0.2">
      <c r="A1948" s="4">
        <v>44456</v>
      </c>
      <c r="B1948" s="3">
        <v>62863.64</v>
      </c>
      <c r="C1948" s="6">
        <f t="shared" si="90"/>
        <v>-7.1345889989243754E-3</v>
      </c>
      <c r="D1948" s="7">
        <f t="shared" si="91"/>
        <v>-0.67466316159034312</v>
      </c>
      <c r="E1948" s="8">
        <f t="shared" si="92"/>
        <v>-1.142310449892578</v>
      </c>
    </row>
    <row r="1949" spans="1:5" x14ac:dyDescent="0.2">
      <c r="A1949" s="4">
        <v>44459</v>
      </c>
      <c r="B1949" s="3">
        <v>61453.42</v>
      </c>
      <c r="C1949" s="6">
        <f t="shared" si="90"/>
        <v>-2.2688446684274773E-2</v>
      </c>
      <c r="D1949" s="7">
        <f t="shared" si="91"/>
        <v>-2.0997681670413448</v>
      </c>
      <c r="E1949" s="8">
        <f t="shared" si="92"/>
        <v>-3.5014324176513796</v>
      </c>
    </row>
    <row r="1950" spans="1:5" x14ac:dyDescent="0.2">
      <c r="A1950" s="4">
        <v>44460</v>
      </c>
      <c r="B1950" s="3">
        <v>62362.18</v>
      </c>
      <c r="C1950" s="6">
        <f t="shared" si="90"/>
        <v>1.467951241772533E-2</v>
      </c>
      <c r="D1950" s="7">
        <f t="shared" si="91"/>
        <v>1.324029750944361</v>
      </c>
      <c r="E1950" s="8">
        <f t="shared" si="92"/>
        <v>-2.1658387974249576</v>
      </c>
    </row>
    <row r="1951" spans="1:5" x14ac:dyDescent="0.2">
      <c r="A1951" s="4">
        <v>44461</v>
      </c>
      <c r="B1951" s="3">
        <v>63353.05</v>
      </c>
      <c r="C1951" s="6">
        <f t="shared" si="90"/>
        <v>1.5764048947989575E-2</v>
      </c>
      <c r="D1951" s="7">
        <f t="shared" si="91"/>
        <v>1.4233992108648899</v>
      </c>
      <c r="E1951" s="8">
        <f t="shared" si="92"/>
        <v>-2.3386348576621439</v>
      </c>
    </row>
    <row r="1952" spans="1:5" x14ac:dyDescent="0.2">
      <c r="A1952" s="4">
        <v>44462</v>
      </c>
      <c r="B1952" s="3">
        <v>64049.05</v>
      </c>
      <c r="C1952" s="6">
        <f t="shared" si="90"/>
        <v>1.0926145237227744E-2</v>
      </c>
      <c r="D1952" s="7">
        <f t="shared" si="91"/>
        <v>0.98013163483515986</v>
      </c>
      <c r="E1952" s="8">
        <f t="shared" si="92"/>
        <v>-1.5890693990825955</v>
      </c>
    </row>
    <row r="1953" spans="1:5" x14ac:dyDescent="0.2">
      <c r="A1953" s="4">
        <v>44466</v>
      </c>
      <c r="B1953" s="3">
        <v>64197.36</v>
      </c>
      <c r="C1953" s="6">
        <f t="shared" si="90"/>
        <v>2.3128922847040949E-3</v>
      </c>
      <c r="D1953" s="7">
        <f t="shared" si="91"/>
        <v>0.19095186064844857</v>
      </c>
      <c r="E1953" s="8">
        <f t="shared" si="92"/>
        <v>-0.70497213280300519</v>
      </c>
    </row>
    <row r="1954" spans="1:5" x14ac:dyDescent="0.2">
      <c r="A1954" s="4">
        <v>44467</v>
      </c>
      <c r="B1954" s="3">
        <v>63784.41</v>
      </c>
      <c r="C1954" s="6">
        <f t="shared" si="90"/>
        <v>-6.4532852312292541E-3</v>
      </c>
      <c r="D1954" s="7">
        <f t="shared" si="91"/>
        <v>-0.61223945750248676</v>
      </c>
      <c r="E1954" s="8">
        <f t="shared" si="92"/>
        <v>-1.0638151226422545</v>
      </c>
    </row>
    <row r="1955" spans="1:5" x14ac:dyDescent="0.2">
      <c r="A1955" s="4">
        <v>44468</v>
      </c>
      <c r="B1955" s="3">
        <v>64363.66</v>
      </c>
      <c r="C1955" s="6">
        <f t="shared" si="90"/>
        <v>9.0403850030730676E-3</v>
      </c>
      <c r="D1955" s="7">
        <f t="shared" si="91"/>
        <v>0.80735093932285285</v>
      </c>
      <c r="E1955" s="8">
        <f t="shared" si="92"/>
        <v>-1.325171986245687</v>
      </c>
    </row>
    <row r="1956" spans="1:5" x14ac:dyDescent="0.2">
      <c r="A1956" s="4">
        <v>44469</v>
      </c>
      <c r="B1956" s="3">
        <v>64281.77</v>
      </c>
      <c r="C1956" s="6">
        <f t="shared" si="90"/>
        <v>-1.2731118557528774E-3</v>
      </c>
      <c r="D1956" s="7">
        <f t="shared" si="91"/>
        <v>-0.13761180204640655</v>
      </c>
      <c r="E1956" s="8">
        <f t="shared" si="92"/>
        <v>-0.68499257045930728</v>
      </c>
    </row>
    <row r="1957" spans="1:5" x14ac:dyDescent="0.2">
      <c r="A1957" s="4">
        <v>44470</v>
      </c>
      <c r="B1957" s="3">
        <v>63661.02</v>
      </c>
      <c r="C1957" s="6">
        <f t="shared" si="90"/>
        <v>-9.7036319254118868E-3</v>
      </c>
      <c r="D1957" s="7">
        <f t="shared" si="91"/>
        <v>-0.91004887797144074</v>
      </c>
      <c r="E1957" s="8">
        <f t="shared" si="92"/>
        <v>-1.4790838087578364</v>
      </c>
    </row>
    <row r="1958" spans="1:5" x14ac:dyDescent="0.2">
      <c r="A1958" s="4">
        <v>44473</v>
      </c>
      <c r="B1958" s="3">
        <v>64129</v>
      </c>
      <c r="C1958" s="6">
        <f t="shared" si="90"/>
        <v>7.3242353673823625E-3</v>
      </c>
      <c r="D1958" s="7">
        <f t="shared" si="91"/>
        <v>0.65011062727928548</v>
      </c>
      <c r="E1958" s="8">
        <f t="shared" si="92"/>
        <v>-1.1108079385765095</v>
      </c>
    </row>
    <row r="1959" spans="1:5" x14ac:dyDescent="0.2">
      <c r="A1959" s="4">
        <v>44474</v>
      </c>
      <c r="B1959" s="3">
        <v>64542.87</v>
      </c>
      <c r="C1959" s="6">
        <f t="shared" si="90"/>
        <v>6.432974468619207E-3</v>
      </c>
      <c r="D1959" s="7">
        <f t="shared" si="91"/>
        <v>0.56844983330233978</v>
      </c>
      <c r="E1959" s="8">
        <f t="shared" si="92"/>
        <v>-1.0120364683998855</v>
      </c>
    </row>
    <row r="1960" spans="1:5" x14ac:dyDescent="0.2">
      <c r="A1960" s="4">
        <v>44475</v>
      </c>
      <c r="B1960" s="3">
        <v>63987.02</v>
      </c>
      <c r="C1960" s="6">
        <f t="shared" si="90"/>
        <v>-8.6494038913214836E-3</v>
      </c>
      <c r="D1960" s="7">
        <f t="shared" si="91"/>
        <v>-0.81345640048696144</v>
      </c>
      <c r="E1960" s="8">
        <f t="shared" si="92"/>
        <v>-1.3340485909789879</v>
      </c>
    </row>
    <row r="1961" spans="1:5" x14ac:dyDescent="0.2">
      <c r="A1961" s="4">
        <v>44476</v>
      </c>
      <c r="B1961" s="3">
        <v>65157.75</v>
      </c>
      <c r="C1961" s="6">
        <f t="shared" si="90"/>
        <v>1.813100246048089E-2</v>
      </c>
      <c r="D1961" s="7">
        <f t="shared" si="91"/>
        <v>1.640268708230695</v>
      </c>
      <c r="E1961" s="8">
        <f t="shared" si="92"/>
        <v>-2.7173080660961122</v>
      </c>
    </row>
    <row r="1962" spans="1:5" x14ac:dyDescent="0.2">
      <c r="A1962" s="4">
        <v>44477</v>
      </c>
      <c r="B1962" s="3">
        <v>65242.61</v>
      </c>
      <c r="C1962" s="6">
        <f t="shared" si="90"/>
        <v>1.3015303328806048E-3</v>
      </c>
      <c r="D1962" s="7">
        <f t="shared" si="91"/>
        <v>9.828694053516665E-2</v>
      </c>
      <c r="E1962" s="8">
        <f t="shared" si="92"/>
        <v>-0.67435559922984978</v>
      </c>
    </row>
    <row r="1963" spans="1:5" x14ac:dyDescent="0.2">
      <c r="A1963" s="4">
        <v>44480</v>
      </c>
      <c r="B1963" s="3">
        <v>66101.039999999994</v>
      </c>
      <c r="C1963" s="6">
        <f t="shared" si="90"/>
        <v>1.3071697386832027E-2</v>
      </c>
      <c r="D1963" s="7">
        <f t="shared" si="91"/>
        <v>1.1767154772305479</v>
      </c>
      <c r="E1963" s="8">
        <f t="shared" si="92"/>
        <v>-1.9132126443367812</v>
      </c>
    </row>
    <row r="1964" spans="1:5" x14ac:dyDescent="0.2">
      <c r="A1964" s="4">
        <v>44481</v>
      </c>
      <c r="B1964" s="3">
        <v>65988.12</v>
      </c>
      <c r="C1964" s="6">
        <f t="shared" si="90"/>
        <v>-1.7097546461478331E-3</v>
      </c>
      <c r="D1964" s="7">
        <f t="shared" si="91"/>
        <v>-0.1776187147219693</v>
      </c>
      <c r="E1964" s="8">
        <f t="shared" si="92"/>
        <v>-0.69938503101050464</v>
      </c>
    </row>
    <row r="1965" spans="1:5" x14ac:dyDescent="0.2">
      <c r="A1965" s="4">
        <v>44482</v>
      </c>
      <c r="B1965" s="3">
        <v>66012.78</v>
      </c>
      <c r="C1965" s="6">
        <f t="shared" si="90"/>
        <v>3.7363382047970008E-4</v>
      </c>
      <c r="D1965" s="7">
        <f t="shared" si="91"/>
        <v>1.3269448983310094E-2</v>
      </c>
      <c r="E1965" s="8">
        <f t="shared" si="92"/>
        <v>-0.66343626557382962</v>
      </c>
    </row>
    <row r="1966" spans="1:5" x14ac:dyDescent="0.2">
      <c r="A1966" s="4">
        <v>44483</v>
      </c>
      <c r="B1966" s="3">
        <v>66846.17</v>
      </c>
      <c r="C1966" s="6">
        <f t="shared" si="90"/>
        <v>1.2545649815942155E-2</v>
      </c>
      <c r="D1966" s="7">
        <f t="shared" si="91"/>
        <v>1.1285169504376362</v>
      </c>
      <c r="E1966" s="8">
        <f t="shared" si="92"/>
        <v>-1.83203391955657</v>
      </c>
    </row>
    <row r="1967" spans="1:5" x14ac:dyDescent="0.2">
      <c r="A1967" s="4">
        <v>44484</v>
      </c>
      <c r="B1967" s="3">
        <v>67028.86</v>
      </c>
      <c r="C1967" s="6">
        <f t="shared" si="90"/>
        <v>2.7292634541776118E-3</v>
      </c>
      <c r="D1967" s="7">
        <f t="shared" si="91"/>
        <v>0.2291014084806286</v>
      </c>
      <c r="E1967" s="8">
        <f t="shared" si="92"/>
        <v>-0.72310974671603334</v>
      </c>
    </row>
    <row r="1968" spans="1:5" x14ac:dyDescent="0.2">
      <c r="A1968" s="4">
        <v>44487</v>
      </c>
      <c r="B1968" s="3">
        <v>66792.100000000006</v>
      </c>
      <c r="C1968" s="6">
        <f t="shared" si="90"/>
        <v>-3.5384628392104754E-3</v>
      </c>
      <c r="D1968" s="7">
        <f t="shared" si="91"/>
        <v>-0.34517208007758898</v>
      </c>
      <c r="E1968" s="8">
        <f t="shared" si="92"/>
        <v>-0.79724843639001508</v>
      </c>
    </row>
    <row r="1969" spans="1:5" x14ac:dyDescent="0.2">
      <c r="A1969" s="4">
        <v>44488</v>
      </c>
      <c r="B1969" s="3">
        <v>66776.149999999994</v>
      </c>
      <c r="C1969" s="6">
        <f t="shared" si="90"/>
        <v>-2.3882921391613811E-4</v>
      </c>
      <c r="D1969" s="7">
        <f t="shared" si="91"/>
        <v>-4.2846799064484416E-2</v>
      </c>
      <c r="E1969" s="8">
        <f t="shared" si="92"/>
        <v>-0.66535043457007259</v>
      </c>
    </row>
    <row r="1970" spans="1:5" x14ac:dyDescent="0.2">
      <c r="A1970" s="4">
        <v>44489</v>
      </c>
      <c r="B1970" s="3">
        <v>66894.789999999994</v>
      </c>
      <c r="C1970" s="6">
        <f t="shared" si="90"/>
        <v>1.7751058106255076E-3</v>
      </c>
      <c r="D1970" s="7">
        <f t="shared" si="91"/>
        <v>0.14167776983591104</v>
      </c>
      <c r="E1970" s="8">
        <f t="shared" si="92"/>
        <v>-0.6862917374578531</v>
      </c>
    </row>
    <row r="1971" spans="1:5" x14ac:dyDescent="0.2">
      <c r="A1971" s="4">
        <v>44490</v>
      </c>
      <c r="B1971" s="3">
        <v>66057.58</v>
      </c>
      <c r="C1971" s="6">
        <f t="shared" si="90"/>
        <v>-1.2594300744563067E-2</v>
      </c>
      <c r="D1971" s="7">
        <f t="shared" si="91"/>
        <v>-1.1749032109999276</v>
      </c>
      <c r="E1971" s="8">
        <f t="shared" si="92"/>
        <v>-1.9101443836816239</v>
      </c>
    </row>
    <row r="1972" spans="1:5" x14ac:dyDescent="0.2">
      <c r="A1972" s="4">
        <v>44491</v>
      </c>
      <c r="B1972" s="3">
        <v>67050.52</v>
      </c>
      <c r="C1972" s="6">
        <f t="shared" si="90"/>
        <v>1.4919579176010887E-2</v>
      </c>
      <c r="D1972" s="7">
        <f t="shared" si="91"/>
        <v>1.346025602121357</v>
      </c>
      <c r="E1972" s="8">
        <f t="shared" si="92"/>
        <v>-2.2039747810550301</v>
      </c>
    </row>
    <row r="1973" spans="1:5" x14ac:dyDescent="0.2">
      <c r="A1973" s="4">
        <v>44494</v>
      </c>
      <c r="B1973" s="3">
        <v>66980.45</v>
      </c>
      <c r="C1973" s="6">
        <f t="shared" si="90"/>
        <v>-1.045579337127791E-3</v>
      </c>
      <c r="D1973" s="7">
        <f t="shared" si="91"/>
        <v>-0.1167643867134959</v>
      </c>
      <c r="E1973" s="8">
        <f t="shared" si="92"/>
        <v>-0.67891710089516544</v>
      </c>
    </row>
    <row r="1974" spans="1:5" x14ac:dyDescent="0.2">
      <c r="A1974" s="4">
        <v>44495</v>
      </c>
      <c r="B1974" s="3">
        <v>67615.31</v>
      </c>
      <c r="C1974" s="6">
        <f t="shared" si="90"/>
        <v>9.4336509293964262E-3</v>
      </c>
      <c r="D1974" s="7">
        <f t="shared" si="91"/>
        <v>0.8433834948093677</v>
      </c>
      <c r="E1974" s="8">
        <f t="shared" si="92"/>
        <v>-1.3780834882616904</v>
      </c>
    </row>
    <row r="1975" spans="1:5" x14ac:dyDescent="0.2">
      <c r="A1975" s="4">
        <v>44496</v>
      </c>
      <c r="B1975" s="3">
        <v>67475.09</v>
      </c>
      <c r="C1975" s="6">
        <f t="shared" si="90"/>
        <v>-2.0759439657742395E-3</v>
      </c>
      <c r="D1975" s="7">
        <f t="shared" si="91"/>
        <v>-0.21117040607078544</v>
      </c>
      <c r="E1975" s="8">
        <f t="shared" si="92"/>
        <v>-0.71418992133177706</v>
      </c>
    </row>
    <row r="1976" spans="1:5" x14ac:dyDescent="0.2">
      <c r="A1976" s="4">
        <v>44497</v>
      </c>
      <c r="B1976" s="3">
        <v>67759.759999999995</v>
      </c>
      <c r="C1976" s="6">
        <f t="shared" si="90"/>
        <v>4.2100156943713635E-3</v>
      </c>
      <c r="D1976" s="7">
        <f t="shared" si="91"/>
        <v>0.36477369454766939</v>
      </c>
      <c r="E1976" s="8">
        <f t="shared" si="92"/>
        <v>-0.81246807064867466</v>
      </c>
    </row>
    <row r="1977" spans="1:5" x14ac:dyDescent="0.2">
      <c r="A1977" s="4">
        <v>44498</v>
      </c>
      <c r="B1977" s="3">
        <v>67464.69</v>
      </c>
      <c r="C1977" s="6">
        <f t="shared" si="90"/>
        <v>-4.3641585278719969E-3</v>
      </c>
      <c r="D1977" s="7">
        <f t="shared" si="91"/>
        <v>-0.4208255342042227</v>
      </c>
      <c r="E1977" s="8">
        <f t="shared" si="92"/>
        <v>-0.86005860267133361</v>
      </c>
    </row>
    <row r="1978" spans="1:5" x14ac:dyDescent="0.2">
      <c r="A1978" s="4">
        <v>44502</v>
      </c>
      <c r="B1978" s="3">
        <v>67782.2</v>
      </c>
      <c r="C1978" s="6">
        <f t="shared" si="90"/>
        <v>4.6952737073341251E-3</v>
      </c>
      <c r="D1978" s="7">
        <f t="shared" si="91"/>
        <v>0.4092349232150615</v>
      </c>
      <c r="E1978" s="8">
        <f t="shared" si="92"/>
        <v>-0.84973349962662403</v>
      </c>
    </row>
    <row r="1979" spans="1:5" x14ac:dyDescent="0.2">
      <c r="A1979" s="4">
        <v>44503</v>
      </c>
      <c r="B1979" s="3">
        <v>68587.27</v>
      </c>
      <c r="C1979" s="6">
        <f t="shared" si="90"/>
        <v>1.180732539439765E-2</v>
      </c>
      <c r="D1979" s="7">
        <f t="shared" si="91"/>
        <v>1.0608687920144813</v>
      </c>
      <c r="E1979" s="8">
        <f t="shared" si="92"/>
        <v>-1.7198005389156175</v>
      </c>
    </row>
    <row r="1980" spans="1:5" x14ac:dyDescent="0.2">
      <c r="A1980" s="4">
        <v>44504</v>
      </c>
      <c r="B1980" s="3">
        <v>68156.210000000006</v>
      </c>
      <c r="C1980" s="6">
        <f t="shared" si="90"/>
        <v>-6.3046724837720093E-3</v>
      </c>
      <c r="D1980" s="7">
        <f t="shared" si="91"/>
        <v>-0.59862297890537186</v>
      </c>
      <c r="E1980" s="8">
        <f t="shared" si="92"/>
        <v>-1.0474127054144369</v>
      </c>
    </row>
    <row r="1981" spans="1:5" x14ac:dyDescent="0.2">
      <c r="A1981" s="4">
        <v>44505</v>
      </c>
      <c r="B1981" s="3">
        <v>67825.34</v>
      </c>
      <c r="C1981" s="6">
        <f t="shared" si="90"/>
        <v>-4.8664050817025664E-3</v>
      </c>
      <c r="D1981" s="7">
        <f t="shared" si="91"/>
        <v>-0.46684331913667726</v>
      </c>
      <c r="E1981" s="8">
        <f t="shared" si="92"/>
        <v>-0.90345400931289699</v>
      </c>
    </row>
    <row r="1982" spans="1:5" x14ac:dyDescent="0.2">
      <c r="A1982" s="4">
        <v>44508</v>
      </c>
      <c r="B1982" s="3">
        <v>68049.34</v>
      </c>
      <c r="C1982" s="6">
        <f t="shared" si="90"/>
        <v>3.2971588662448247E-3</v>
      </c>
      <c r="D1982" s="7">
        <f t="shared" si="91"/>
        <v>0.28113419743123758</v>
      </c>
      <c r="E1982" s="8">
        <f t="shared" si="92"/>
        <v>-0.75288820920500843</v>
      </c>
    </row>
    <row r="1983" spans="1:5" x14ac:dyDescent="0.2">
      <c r="A1983" s="4">
        <v>44509</v>
      </c>
      <c r="B1983" s="3">
        <v>67983.199999999997</v>
      </c>
      <c r="C1983" s="6">
        <f t="shared" si="90"/>
        <v>-9.7241447100492777E-4</v>
      </c>
      <c r="D1983" s="7">
        <f t="shared" si="91"/>
        <v>-0.11006073678663238</v>
      </c>
      <c r="E1983" s="8">
        <f t="shared" si="92"/>
        <v>-0.67717250348577107</v>
      </c>
    </row>
    <row r="1984" spans="1:5" x14ac:dyDescent="0.2">
      <c r="A1984" s="4">
        <v>44510</v>
      </c>
      <c r="B1984" s="3">
        <v>68279.399999999994</v>
      </c>
      <c r="C1984" s="6">
        <f t="shared" si="90"/>
        <v>4.34749471289085E-3</v>
      </c>
      <c r="D1984" s="7">
        <f t="shared" si="91"/>
        <v>0.37737005754648628</v>
      </c>
      <c r="E1984" s="8">
        <f t="shared" si="92"/>
        <v>-0.82264314534397509</v>
      </c>
    </row>
    <row r="1985" spans="1:5" x14ac:dyDescent="0.2">
      <c r="A1985" s="4">
        <v>44511</v>
      </c>
      <c r="B1985" s="3">
        <v>69131.56</v>
      </c>
      <c r="C1985" s="6">
        <f t="shared" si="90"/>
        <v>1.2403245340813366E-2</v>
      </c>
      <c r="D1985" s="7">
        <f t="shared" si="91"/>
        <v>1.1154692979253078</v>
      </c>
      <c r="E1985" s="8">
        <f t="shared" si="92"/>
        <v>-1.8102211671792934</v>
      </c>
    </row>
    <row r="1986" spans="1:5" x14ac:dyDescent="0.2">
      <c r="A1986" s="4">
        <v>44512</v>
      </c>
      <c r="B1986" s="3">
        <v>69921.37</v>
      </c>
      <c r="C1986" s="6">
        <f t="shared" si="90"/>
        <v>1.1359969094611141E-2</v>
      </c>
      <c r="D1986" s="7">
        <f t="shared" si="91"/>
        <v>1.0198802658917139</v>
      </c>
      <c r="E1986" s="8">
        <f t="shared" si="92"/>
        <v>-1.6529449995008363</v>
      </c>
    </row>
    <row r="1987" spans="1:5" x14ac:dyDescent="0.2">
      <c r="A1987" s="4">
        <v>44515</v>
      </c>
      <c r="B1987" s="3">
        <v>70090.539999999994</v>
      </c>
      <c r="C1987" s="6">
        <f t="shared" ref="C1987:C2050" si="93">LN(B1987/B1986)</f>
        <v>2.4165098858036139E-3</v>
      </c>
      <c r="D1987" s="7">
        <f t="shared" ref="D1987:D2050" si="94">(C1987-$G$4)/$G$5</f>
        <v>0.2004457087321192</v>
      </c>
      <c r="E1987" s="8">
        <f t="shared" ref="E1987:E2050" si="95">LN((PI()*(G$3-2))^(-1/2)*EXP(GAMMALN((G$3+1)/2))*((1+D1987^2/(G$3-2))^(-(G$3+1)/2))/EXP(GAMMALN(G$3/2)))</f>
        <v>-0.70918899599190888</v>
      </c>
    </row>
    <row r="1988" spans="1:5" x14ac:dyDescent="0.2">
      <c r="A1988" s="4">
        <v>44516</v>
      </c>
      <c r="B1988" s="3">
        <v>70938.41</v>
      </c>
      <c r="C1988" s="6">
        <f t="shared" si="93"/>
        <v>1.2024200924636373E-2</v>
      </c>
      <c r="D1988" s="7">
        <f t="shared" si="94"/>
        <v>1.0807397725747667</v>
      </c>
      <c r="E1988" s="8">
        <f t="shared" si="95"/>
        <v>-1.7525386720401195</v>
      </c>
    </row>
    <row r="1989" spans="1:5" x14ac:dyDescent="0.2">
      <c r="A1989" s="4">
        <v>44517</v>
      </c>
      <c r="B1989" s="3">
        <v>70942.34</v>
      </c>
      <c r="C1989" s="6">
        <f t="shared" si="93"/>
        <v>5.5398635840213374E-5</v>
      </c>
      <c r="D1989" s="7">
        <f t="shared" si="94"/>
        <v>-1.5888497792010379E-2</v>
      </c>
      <c r="E1989" s="8">
        <f t="shared" si="95"/>
        <v>-0.66352436695602102</v>
      </c>
    </row>
    <row r="1990" spans="1:5" x14ac:dyDescent="0.2">
      <c r="A1990" s="4">
        <v>44518</v>
      </c>
      <c r="B1990" s="3">
        <v>70866.570000000007</v>
      </c>
      <c r="C1990" s="6">
        <f t="shared" si="93"/>
        <v>-1.0686212482763858E-3</v>
      </c>
      <c r="D1990" s="7">
        <f t="shared" si="94"/>
        <v>-0.11887557633457285</v>
      </c>
      <c r="E1990" s="8">
        <f t="shared" si="95"/>
        <v>-0.67948763160511372</v>
      </c>
    </row>
    <row r="1991" spans="1:5" x14ac:dyDescent="0.2">
      <c r="A1991" s="4">
        <v>44519</v>
      </c>
      <c r="B1991" s="3">
        <v>70376.42</v>
      </c>
      <c r="C1991" s="6">
        <f t="shared" si="93"/>
        <v>-6.9405492986553277E-3</v>
      </c>
      <c r="D1991" s="7">
        <f t="shared" si="94"/>
        <v>-0.65688448869107374</v>
      </c>
      <c r="E1991" s="8">
        <f t="shared" si="95"/>
        <v>-1.1194198088607497</v>
      </c>
    </row>
    <row r="1992" spans="1:5" x14ac:dyDescent="0.2">
      <c r="A1992" s="4">
        <v>44522</v>
      </c>
      <c r="B1992" s="3">
        <v>70865.850000000006</v>
      </c>
      <c r="C1992" s="6">
        <f t="shared" si="93"/>
        <v>6.9303893084427517E-3</v>
      </c>
      <c r="D1992" s="7">
        <f t="shared" si="94"/>
        <v>0.61402491778352286</v>
      </c>
      <c r="E1992" s="8">
        <f t="shared" si="95"/>
        <v>-1.0659856221713919</v>
      </c>
    </row>
    <row r="1993" spans="1:5" x14ac:dyDescent="0.2">
      <c r="A1993" s="4">
        <v>44523</v>
      </c>
      <c r="B1993" s="3">
        <v>71015.399999999994</v>
      </c>
      <c r="C1993" s="6">
        <f t="shared" si="93"/>
        <v>2.1081017454313835E-3</v>
      </c>
      <c r="D1993" s="7">
        <f t="shared" si="94"/>
        <v>0.17218815401755713</v>
      </c>
      <c r="E1993" s="8">
        <f t="shared" si="95"/>
        <v>-0.69722210283340036</v>
      </c>
    </row>
    <row r="1994" spans="1:5" x14ac:dyDescent="0.2">
      <c r="A1994" s="4">
        <v>44524</v>
      </c>
      <c r="B1994" s="3">
        <v>70558.89</v>
      </c>
      <c r="C1994" s="6">
        <f t="shared" si="93"/>
        <v>-6.4490746477756742E-3</v>
      </c>
      <c r="D1994" s="7">
        <f t="shared" si="94"/>
        <v>-0.61185366745110825</v>
      </c>
      <c r="E1994" s="8">
        <f t="shared" si="95"/>
        <v>-1.0633467329244162</v>
      </c>
    </row>
    <row r="1995" spans="1:5" x14ac:dyDescent="0.2">
      <c r="A1995" s="4">
        <v>44525</v>
      </c>
      <c r="B1995" s="3">
        <v>70554.679999999993</v>
      </c>
      <c r="C1995" s="6">
        <f t="shared" si="93"/>
        <v>-5.9668251625398007E-5</v>
      </c>
      <c r="D1995" s="7">
        <f t="shared" si="94"/>
        <v>-2.6431374074294925E-2</v>
      </c>
      <c r="E1995" s="8">
        <f t="shared" si="95"/>
        <v>-0.66403904566014904</v>
      </c>
    </row>
    <row r="1996" spans="1:5" x14ac:dyDescent="0.2">
      <c r="A1996" s="4">
        <v>44526</v>
      </c>
      <c r="B1996" s="3">
        <v>68614.98</v>
      </c>
      <c r="C1996" s="6">
        <f t="shared" si="93"/>
        <v>-2.7877133790555935E-2</v>
      </c>
      <c r="D1996" s="7">
        <f t="shared" si="94"/>
        <v>-2.5751758836649121</v>
      </c>
      <c r="E1996" s="8">
        <f t="shared" si="95"/>
        <v>-4.2594343539080199</v>
      </c>
    </row>
    <row r="1997" spans="1:5" x14ac:dyDescent="0.2">
      <c r="A1997" s="4">
        <v>44529</v>
      </c>
      <c r="B1997" s="3">
        <v>70008.539999999994</v>
      </c>
      <c r="C1997" s="6">
        <f t="shared" si="93"/>
        <v>2.0106356367864536E-2</v>
      </c>
      <c r="D1997" s="7">
        <f t="shared" si="94"/>
        <v>1.821258324948164</v>
      </c>
      <c r="E1997" s="8">
        <f t="shared" si="95"/>
        <v>-3.0307031851593802</v>
      </c>
    </row>
    <row r="1998" spans="1:5" x14ac:dyDescent="0.2">
      <c r="A1998" s="4">
        <v>44530</v>
      </c>
      <c r="B1998" s="3">
        <v>70475.02</v>
      </c>
      <c r="C1998" s="6">
        <f t="shared" si="93"/>
        <v>6.6410861807494762E-3</v>
      </c>
      <c r="D1998" s="7">
        <f t="shared" si="94"/>
        <v>0.58751783872257479</v>
      </c>
      <c r="E1998" s="8">
        <f t="shared" si="95"/>
        <v>-1.0342351387409228</v>
      </c>
    </row>
    <row r="1999" spans="1:5" x14ac:dyDescent="0.2">
      <c r="A1999" s="4">
        <v>44531</v>
      </c>
      <c r="B1999" s="3">
        <v>71198.080000000002</v>
      </c>
      <c r="C1999" s="6">
        <f t="shared" si="93"/>
        <v>1.0207530973484719E-2</v>
      </c>
      <c r="D1999" s="7">
        <f t="shared" si="94"/>
        <v>0.91428939781808627</v>
      </c>
      <c r="E1999" s="8">
        <f t="shared" si="95"/>
        <v>-1.4856341164380473</v>
      </c>
    </row>
    <row r="2000" spans="1:5" x14ac:dyDescent="0.2">
      <c r="A2000" s="4">
        <v>44532</v>
      </c>
      <c r="B2000" s="3">
        <v>71020.759999999995</v>
      </c>
      <c r="C2000" s="6">
        <f t="shared" si="93"/>
        <v>-2.4936230935876155E-3</v>
      </c>
      <c r="D2000" s="7">
        <f t="shared" si="94"/>
        <v>-0.2494397941390511</v>
      </c>
      <c r="E2000" s="8">
        <f t="shared" si="95"/>
        <v>-0.73406534839525095</v>
      </c>
    </row>
    <row r="2001" spans="1:5" x14ac:dyDescent="0.2">
      <c r="A2001" s="4">
        <v>44533</v>
      </c>
      <c r="B2001" s="3">
        <v>70807.600000000006</v>
      </c>
      <c r="C2001" s="6">
        <f t="shared" si="93"/>
        <v>-3.0058890971909947E-3</v>
      </c>
      <c r="D2001" s="7">
        <f t="shared" si="94"/>
        <v>-0.2963756000738802</v>
      </c>
      <c r="E2001" s="8">
        <f t="shared" si="95"/>
        <v>-0.76268748962523591</v>
      </c>
    </row>
    <row r="2002" spans="1:5" x14ac:dyDescent="0.2">
      <c r="A2002" s="4">
        <v>44536</v>
      </c>
      <c r="B2002" s="3">
        <v>71016.63</v>
      </c>
      <c r="C2002" s="6">
        <f t="shared" si="93"/>
        <v>2.9477353955333122E-3</v>
      </c>
      <c r="D2002" s="7">
        <f t="shared" si="94"/>
        <v>0.24911865844362982</v>
      </c>
      <c r="E2002" s="8">
        <f t="shared" si="95"/>
        <v>-0.73388549383155788</v>
      </c>
    </row>
    <row r="2003" spans="1:5" x14ac:dyDescent="0.2">
      <c r="A2003" s="4">
        <v>44537</v>
      </c>
      <c r="B2003" s="3">
        <v>72939.25</v>
      </c>
      <c r="C2003" s="6">
        <f t="shared" si="93"/>
        <v>2.6712827936806714E-2</v>
      </c>
      <c r="D2003" s="7">
        <f t="shared" si="94"/>
        <v>2.4265689746744239</v>
      </c>
      <c r="E2003" s="8">
        <f t="shared" si="95"/>
        <v>-4.0292713006430416</v>
      </c>
    </row>
    <row r="2004" spans="1:5" x14ac:dyDescent="0.2">
      <c r="A2004" s="4">
        <v>44538</v>
      </c>
      <c r="B2004" s="3">
        <v>72403.88</v>
      </c>
      <c r="C2004" s="6">
        <f t="shared" si="93"/>
        <v>-7.3670137878228178E-3</v>
      </c>
      <c r="D2004" s="7">
        <f t="shared" si="94"/>
        <v>-0.69595882577544343</v>
      </c>
      <c r="E2004" s="8">
        <f t="shared" si="95"/>
        <v>-1.1702641545404948</v>
      </c>
    </row>
    <row r="2005" spans="1:5" x14ac:dyDescent="0.2">
      <c r="A2005" s="4">
        <v>44539</v>
      </c>
      <c r="B2005" s="3">
        <v>72207.64</v>
      </c>
      <c r="C2005" s="6">
        <f t="shared" si="93"/>
        <v>-2.7140316408833564E-3</v>
      </c>
      <c r="D2005" s="7">
        <f t="shared" si="94"/>
        <v>-0.26963448347912322</v>
      </c>
      <c r="E2005" s="8">
        <f t="shared" si="95"/>
        <v>-0.74581444828188626</v>
      </c>
    </row>
    <row r="2006" spans="1:5" x14ac:dyDescent="0.2">
      <c r="A2006" s="4">
        <v>44540</v>
      </c>
      <c r="B2006" s="3">
        <v>71686.33</v>
      </c>
      <c r="C2006" s="6">
        <f t="shared" si="93"/>
        <v>-7.2457835556163095E-3</v>
      </c>
      <c r="D2006" s="7">
        <f t="shared" si="94"/>
        <v>-0.68485123984888552</v>
      </c>
      <c r="E2006" s="8">
        <f t="shared" si="95"/>
        <v>-1.1556122380497782</v>
      </c>
    </row>
    <row r="2007" spans="1:5" x14ac:dyDescent="0.2">
      <c r="A2007" s="4">
        <v>44543</v>
      </c>
      <c r="B2007" s="3">
        <v>71429.88</v>
      </c>
      <c r="C2007" s="6">
        <f t="shared" si="93"/>
        <v>-3.5838047203678065E-3</v>
      </c>
      <c r="D2007" s="7">
        <f t="shared" si="94"/>
        <v>-0.34932647978350484</v>
      </c>
      <c r="E2007" s="8">
        <f t="shared" si="95"/>
        <v>-0.80041112491857436</v>
      </c>
    </row>
    <row r="2008" spans="1:5" x14ac:dyDescent="0.2">
      <c r="A2008" s="4">
        <v>44544</v>
      </c>
      <c r="B2008" s="3">
        <v>71544.820000000007</v>
      </c>
      <c r="C2008" s="6">
        <f t="shared" si="93"/>
        <v>1.6078372573796336E-3</v>
      </c>
      <c r="D2008" s="7">
        <f t="shared" si="94"/>
        <v>0.12635197366961595</v>
      </c>
      <c r="E2008" s="8">
        <f t="shared" si="95"/>
        <v>-0.68158920841904536</v>
      </c>
    </row>
    <row r="2009" spans="1:5" x14ac:dyDescent="0.2">
      <c r="A2009" s="4">
        <v>44545</v>
      </c>
      <c r="B2009" s="3">
        <v>71467.17</v>
      </c>
      <c r="C2009" s="6">
        <f t="shared" si="93"/>
        <v>-1.0859230422652691E-3</v>
      </c>
      <c r="D2009" s="7">
        <f t="shared" si="94"/>
        <v>-0.12046083407034749</v>
      </c>
      <c r="E2009" s="8">
        <f t="shared" si="95"/>
        <v>-0.67992267142050244</v>
      </c>
    </row>
    <row r="2010" spans="1:5" x14ac:dyDescent="0.2">
      <c r="A2010" s="4">
        <v>44547</v>
      </c>
      <c r="B2010" s="3">
        <v>71203.13</v>
      </c>
      <c r="C2010" s="6">
        <f t="shared" si="93"/>
        <v>-3.7014052883384049E-3</v>
      </c>
      <c r="D2010" s="7">
        <f t="shared" si="94"/>
        <v>-0.36010150173941674</v>
      </c>
      <c r="E2010" s="8">
        <f t="shared" si="95"/>
        <v>-0.80877211740757271</v>
      </c>
    </row>
    <row r="2011" spans="1:5" x14ac:dyDescent="0.2">
      <c r="A2011" s="4">
        <v>44550</v>
      </c>
      <c r="B2011" s="3">
        <v>70087.63</v>
      </c>
      <c r="C2011" s="6">
        <f t="shared" si="93"/>
        <v>-1.5790461853447811E-2</v>
      </c>
      <c r="D2011" s="7">
        <f t="shared" si="94"/>
        <v>-1.4677479371535895</v>
      </c>
      <c r="E2011" s="8">
        <f t="shared" si="95"/>
        <v>-2.416052937988872</v>
      </c>
    </row>
    <row r="2012" spans="1:5" x14ac:dyDescent="0.2">
      <c r="A2012" s="4">
        <v>44551</v>
      </c>
      <c r="B2012" s="3">
        <v>71119.360000000001</v>
      </c>
      <c r="C2012" s="6">
        <f t="shared" si="93"/>
        <v>1.4613276017620842E-2</v>
      </c>
      <c r="D2012" s="7">
        <f t="shared" si="94"/>
        <v>1.3179609140524775</v>
      </c>
      <c r="E2012" s="8">
        <f t="shared" si="95"/>
        <v>-2.1553311775525779</v>
      </c>
    </row>
    <row r="2013" spans="1:5" x14ac:dyDescent="0.2">
      <c r="A2013" s="4">
        <v>44552</v>
      </c>
      <c r="B2013" s="3">
        <v>71359.039999999994</v>
      </c>
      <c r="C2013" s="6">
        <f t="shared" si="93"/>
        <v>3.3644429764460001E-3</v>
      </c>
      <c r="D2013" s="7">
        <f t="shared" si="94"/>
        <v>0.28729902960180087</v>
      </c>
      <c r="E2013" s="8">
        <f t="shared" si="95"/>
        <v>-0.75679386771459489</v>
      </c>
    </row>
    <row r="2014" spans="1:5" x14ac:dyDescent="0.2">
      <c r="A2014" s="4">
        <v>44553</v>
      </c>
      <c r="B2014" s="3">
        <v>71684.100000000006</v>
      </c>
      <c r="C2014" s="6">
        <f t="shared" si="93"/>
        <v>4.544930425144071E-3</v>
      </c>
      <c r="D2014" s="7">
        <f t="shared" si="94"/>
        <v>0.39545988628729167</v>
      </c>
      <c r="E2014" s="8">
        <f t="shared" si="95"/>
        <v>-0.8377873176485805</v>
      </c>
    </row>
    <row r="2015" spans="1:5" x14ac:dyDescent="0.2">
      <c r="A2015" s="4">
        <v>44554</v>
      </c>
      <c r="B2015" s="3">
        <v>71570.64</v>
      </c>
      <c r="C2015" s="6">
        <f t="shared" si="93"/>
        <v>-1.5840316868269894E-3</v>
      </c>
      <c r="D2015" s="7">
        <f t="shared" si="94"/>
        <v>-0.16609948764321061</v>
      </c>
      <c r="E2015" s="8">
        <f t="shared" si="95"/>
        <v>-0.69487491760020048</v>
      </c>
    </row>
    <row r="2016" spans="1:5" x14ac:dyDescent="0.2">
      <c r="A2016" s="4">
        <v>44558</v>
      </c>
      <c r="B2016" s="3">
        <v>72444.52</v>
      </c>
      <c r="C2016" s="6">
        <f t="shared" si="93"/>
        <v>1.2136093529893595E-2</v>
      </c>
      <c r="D2016" s="7">
        <f t="shared" si="94"/>
        <v>1.090991808760954</v>
      </c>
      <c r="E2016" s="8">
        <f t="shared" si="95"/>
        <v>-1.7695068582133957</v>
      </c>
    </row>
    <row r="2017" spans="1:5" x14ac:dyDescent="0.2">
      <c r="A2017" s="4">
        <v>44559</v>
      </c>
      <c r="B2017" s="3">
        <v>73238.009999999995</v>
      </c>
      <c r="C2017" s="6">
        <f t="shared" si="93"/>
        <v>1.0893520957659093E-2</v>
      </c>
      <c r="D2017" s="7">
        <f t="shared" si="94"/>
        <v>0.97714247130717491</v>
      </c>
      <c r="E2017" s="8">
        <f t="shared" si="95"/>
        <v>-1.5843070371486148</v>
      </c>
    </row>
    <row r="2018" spans="1:5" x14ac:dyDescent="0.2">
      <c r="A2018" s="4">
        <v>44560</v>
      </c>
      <c r="B2018" s="3">
        <v>73786.45</v>
      </c>
      <c r="C2018" s="6">
        <f t="shared" si="93"/>
        <v>7.4605619207096944E-3</v>
      </c>
      <c r="D2018" s="7">
        <f t="shared" si="94"/>
        <v>0.66260139692967568</v>
      </c>
      <c r="E2018" s="8">
        <f t="shared" si="95"/>
        <v>-1.1267353542540623</v>
      </c>
    </row>
    <row r="2019" spans="1:5" x14ac:dyDescent="0.2">
      <c r="A2019" s="4">
        <v>44561</v>
      </c>
      <c r="B2019" s="3">
        <v>73709.39</v>
      </c>
      <c r="C2019" s="6">
        <f t="shared" si="93"/>
        <v>-1.044910921032414E-3</v>
      </c>
      <c r="D2019" s="7">
        <f t="shared" si="94"/>
        <v>-0.11670314382812844</v>
      </c>
      <c r="E2019" s="8">
        <f t="shared" si="95"/>
        <v>-0.67890070130035507</v>
      </c>
    </row>
    <row r="2020" spans="1:5" x14ac:dyDescent="0.2">
      <c r="A2020" s="4">
        <v>44564</v>
      </c>
      <c r="B2020" s="3">
        <v>73722.600000000006</v>
      </c>
      <c r="C2020" s="6">
        <f t="shared" si="93"/>
        <v>1.7920127151990802E-4</v>
      </c>
      <c r="D2020" s="7">
        <f t="shared" si="94"/>
        <v>-4.5452182426974049E-3</v>
      </c>
      <c r="E2020" s="8">
        <f t="shared" si="95"/>
        <v>-0.66325695372664428</v>
      </c>
    </row>
    <row r="2021" spans="1:5" x14ac:dyDescent="0.2">
      <c r="A2021" s="4">
        <v>44565</v>
      </c>
      <c r="B2021" s="3">
        <v>75052.06</v>
      </c>
      <c r="C2021" s="6">
        <f t="shared" si="93"/>
        <v>1.7872605306994686E-2</v>
      </c>
      <c r="D2021" s="7">
        <f t="shared" si="94"/>
        <v>1.6165933548696885</v>
      </c>
      <c r="E2021" s="8">
        <f t="shared" si="95"/>
        <v>-2.6760405081231737</v>
      </c>
    </row>
    <row r="2022" spans="1:5" x14ac:dyDescent="0.2">
      <c r="A2022" s="4">
        <v>44566</v>
      </c>
      <c r="B2022" s="3">
        <v>75060.92</v>
      </c>
      <c r="C2022" s="6">
        <f t="shared" si="93"/>
        <v>1.1804442241160993E-4</v>
      </c>
      <c r="D2022" s="7">
        <f t="shared" si="94"/>
        <v>-1.0148646893323109E-2</v>
      </c>
      <c r="E2022" s="8">
        <f t="shared" si="95"/>
        <v>-0.66335194876867054</v>
      </c>
    </row>
    <row r="2023" spans="1:5" x14ac:dyDescent="0.2">
      <c r="A2023" s="4">
        <v>44567</v>
      </c>
      <c r="B2023" s="3">
        <v>74165.25</v>
      </c>
      <c r="C2023" s="6">
        <f t="shared" si="93"/>
        <v>-1.2004338860776856E-2</v>
      </c>
      <c r="D2023" s="7">
        <f t="shared" si="94"/>
        <v>-1.1208486059869918</v>
      </c>
      <c r="E2023" s="8">
        <f t="shared" si="95"/>
        <v>-1.8192051975270185</v>
      </c>
    </row>
    <row r="2024" spans="1:5" x14ac:dyDescent="0.2">
      <c r="A2024" s="4">
        <v>44568</v>
      </c>
      <c r="B2024" s="3">
        <v>73939.710000000006</v>
      </c>
      <c r="C2024" s="6">
        <f t="shared" si="93"/>
        <v>-3.0456802303656673E-3</v>
      </c>
      <c r="D2024" s="7">
        <f t="shared" si="94"/>
        <v>-0.30002141863586973</v>
      </c>
      <c r="E2024" s="8">
        <f t="shared" si="95"/>
        <v>-0.76510260952885911</v>
      </c>
    </row>
    <row r="2025" spans="1:5" x14ac:dyDescent="0.2">
      <c r="A2025" s="4">
        <v>44571</v>
      </c>
      <c r="B2025" s="3">
        <v>73830.47</v>
      </c>
      <c r="C2025" s="6">
        <f t="shared" si="93"/>
        <v>-1.4785123750932737E-3</v>
      </c>
      <c r="D2025" s="7">
        <f t="shared" si="94"/>
        <v>-0.15643139742626741</v>
      </c>
      <c r="E2025" s="8">
        <f t="shared" si="95"/>
        <v>-0.69131749555635624</v>
      </c>
    </row>
    <row r="2026" spans="1:5" x14ac:dyDescent="0.2">
      <c r="A2026" s="4">
        <v>44572</v>
      </c>
      <c r="B2026" s="3">
        <v>73971.429999999993</v>
      </c>
      <c r="C2026" s="6">
        <f t="shared" si="93"/>
        <v>1.9074185478975653E-3</v>
      </c>
      <c r="D2026" s="7">
        <f t="shared" si="94"/>
        <v>0.15380077803013736</v>
      </c>
      <c r="E2026" s="8">
        <f t="shared" si="95"/>
        <v>-0.69038566590007266</v>
      </c>
    </row>
    <row r="2027" spans="1:5" x14ac:dyDescent="0.2">
      <c r="A2027" s="4">
        <v>44573</v>
      </c>
      <c r="B2027" s="3">
        <v>75884.75</v>
      </c>
      <c r="C2027" s="6">
        <f t="shared" si="93"/>
        <v>2.5536804373262421E-2</v>
      </c>
      <c r="D2027" s="7">
        <f t="shared" si="94"/>
        <v>2.3188171165284013</v>
      </c>
      <c r="E2027" s="8">
        <f t="shared" si="95"/>
        <v>-3.8584567178947617</v>
      </c>
    </row>
    <row r="2028" spans="1:5" x14ac:dyDescent="0.2">
      <c r="A2028" s="4">
        <v>44574</v>
      </c>
      <c r="B2028" s="3">
        <v>75925.55</v>
      </c>
      <c r="C2028" s="6">
        <f t="shared" si="93"/>
        <v>5.3751294849344478E-4</v>
      </c>
      <c r="D2028" s="7">
        <f t="shared" si="94"/>
        <v>2.8284692811939207E-2</v>
      </c>
      <c r="E2028" s="8">
        <f t="shared" si="95"/>
        <v>-0.66415600796561658</v>
      </c>
    </row>
    <row r="2029" spans="1:5" x14ac:dyDescent="0.2">
      <c r="A2029" s="4">
        <v>44575</v>
      </c>
      <c r="B2029" s="3">
        <v>75160.210000000006</v>
      </c>
      <c r="C2029" s="6">
        <f t="shared" si="93"/>
        <v>-1.0131286315611308E-2</v>
      </c>
      <c r="D2029" s="7">
        <f t="shared" si="94"/>
        <v>-0.94923223842164661</v>
      </c>
      <c r="E2029" s="8">
        <f t="shared" si="95"/>
        <v>-1.5401363363780325</v>
      </c>
    </row>
    <row r="2030" spans="1:5" x14ac:dyDescent="0.2">
      <c r="A2030" s="4">
        <v>44578</v>
      </c>
      <c r="B2030" s="3">
        <v>75593.47</v>
      </c>
      <c r="C2030" s="6">
        <f t="shared" si="93"/>
        <v>5.7479352127755038E-3</v>
      </c>
      <c r="D2030" s="7">
        <f t="shared" si="94"/>
        <v>0.50568386924489661</v>
      </c>
      <c r="E2030" s="8">
        <f t="shared" si="95"/>
        <v>-0.94295924948907439</v>
      </c>
    </row>
    <row r="2031" spans="1:5" x14ac:dyDescent="0.2">
      <c r="A2031" s="4">
        <v>44579</v>
      </c>
      <c r="B2031" s="3">
        <v>74955.66</v>
      </c>
      <c r="C2031" s="6">
        <f t="shared" si="93"/>
        <v>-8.4731650848377058E-3</v>
      </c>
      <c r="D2031" s="7">
        <f t="shared" si="94"/>
        <v>-0.79730871479022913</v>
      </c>
      <c r="E2031" s="8">
        <f t="shared" si="95"/>
        <v>-1.3106532556198949</v>
      </c>
    </row>
    <row r="2032" spans="1:5" x14ac:dyDescent="0.2">
      <c r="A2032" s="4">
        <v>44580</v>
      </c>
      <c r="B2032" s="3">
        <v>76176.149999999994</v>
      </c>
      <c r="C2032" s="6">
        <f t="shared" si="93"/>
        <v>1.6151682865676018E-2</v>
      </c>
      <c r="D2032" s="7">
        <f t="shared" si="94"/>
        <v>1.4589157397899191</v>
      </c>
      <c r="E2032" s="8">
        <f t="shared" si="95"/>
        <v>-2.4006266183277964</v>
      </c>
    </row>
    <row r="2033" spans="1:5" x14ac:dyDescent="0.2">
      <c r="A2033" s="4">
        <v>44581</v>
      </c>
      <c r="B2033" s="3">
        <v>76233.259999999995</v>
      </c>
      <c r="C2033" s="6">
        <f t="shared" si="93"/>
        <v>7.4942882690714845E-4</v>
      </c>
      <c r="D2033" s="7">
        <f t="shared" si="94"/>
        <v>4.7701250759898312E-2</v>
      </c>
      <c r="E2033" s="8">
        <f t="shared" si="95"/>
        <v>-0.66585713713197392</v>
      </c>
    </row>
    <row r="2034" spans="1:5" x14ac:dyDescent="0.2">
      <c r="A2034" s="4">
        <v>44582</v>
      </c>
      <c r="B2034" s="3">
        <v>74834.52</v>
      </c>
      <c r="C2034" s="6">
        <f t="shared" si="93"/>
        <v>-1.8518574551769303E-2</v>
      </c>
      <c r="D2034" s="7">
        <f t="shared" si="94"/>
        <v>-1.7177082454232362</v>
      </c>
      <c r="E2034" s="8">
        <f t="shared" si="95"/>
        <v>-2.8519200253419492</v>
      </c>
    </row>
    <row r="2035" spans="1:5" x14ac:dyDescent="0.2">
      <c r="A2035" s="4">
        <v>44585</v>
      </c>
      <c r="B2035" s="3">
        <v>72164.02</v>
      </c>
      <c r="C2035" s="6">
        <f t="shared" si="93"/>
        <v>-3.6337692112477823E-2</v>
      </c>
      <c r="D2035" s="7">
        <f t="shared" si="94"/>
        <v>-3.3503651812265858</v>
      </c>
      <c r="E2035" s="8">
        <f t="shared" si="95"/>
        <v>-5.3584438246223378</v>
      </c>
    </row>
    <row r="2036" spans="1:5" x14ac:dyDescent="0.2">
      <c r="A2036" s="4">
        <v>44586</v>
      </c>
      <c r="B2036" s="3">
        <v>72314.81</v>
      </c>
      <c r="C2036" s="6">
        <f t="shared" si="93"/>
        <v>2.0873653911857681E-3</v>
      </c>
      <c r="D2036" s="7">
        <f t="shared" si="94"/>
        <v>0.17028820849741358</v>
      </c>
      <c r="E2036" s="8">
        <f t="shared" si="95"/>
        <v>-0.69648082829244684</v>
      </c>
    </row>
    <row r="2037" spans="1:5" x14ac:dyDescent="0.2">
      <c r="A2037" s="4">
        <v>44587</v>
      </c>
      <c r="B2037" s="3">
        <v>73797.33</v>
      </c>
      <c r="C2037" s="6">
        <f t="shared" si="93"/>
        <v>2.0293602961963818E-2</v>
      </c>
      <c r="D2037" s="7">
        <f t="shared" si="94"/>
        <v>1.8384145870088535</v>
      </c>
      <c r="E2037" s="8">
        <f t="shared" si="95"/>
        <v>-3.0601584681292882</v>
      </c>
    </row>
    <row r="2038" spans="1:5" x14ac:dyDescent="0.2">
      <c r="A2038" s="4">
        <v>44588</v>
      </c>
      <c r="B2038" s="3">
        <v>73504.039999999994</v>
      </c>
      <c r="C2038" s="6">
        <f t="shared" si="93"/>
        <v>-3.9821813955563798E-3</v>
      </c>
      <c r="D2038" s="7">
        <f t="shared" si="94"/>
        <v>-0.38582730198151721</v>
      </c>
      <c r="E2038" s="8">
        <f t="shared" si="95"/>
        <v>-0.82964577570819842</v>
      </c>
    </row>
    <row r="2039" spans="1:5" x14ac:dyDescent="0.2">
      <c r="A2039" s="4">
        <v>44589</v>
      </c>
      <c r="B2039" s="3">
        <v>73454.960000000006</v>
      </c>
      <c r="C2039" s="6">
        <f t="shared" si="93"/>
        <v>-6.6794142345449653E-4</v>
      </c>
      <c r="D2039" s="7">
        <f t="shared" si="94"/>
        <v>-8.2163730599047136E-2</v>
      </c>
      <c r="E2039" s="8">
        <f t="shared" si="95"/>
        <v>-0.67101070522833117</v>
      </c>
    </row>
    <row r="2040" spans="1:5" x14ac:dyDescent="0.2">
      <c r="A2040" s="4">
        <v>44592</v>
      </c>
      <c r="B2040" s="3">
        <v>74304.56</v>
      </c>
      <c r="C2040" s="6">
        <f t="shared" si="93"/>
        <v>1.1499893382243425E-2</v>
      </c>
      <c r="D2040" s="7">
        <f t="shared" si="94"/>
        <v>1.0327006739681455</v>
      </c>
      <c r="E2040" s="8">
        <f t="shared" si="95"/>
        <v>-1.6737537097921931</v>
      </c>
    </row>
    <row r="2041" spans="1:5" x14ac:dyDescent="0.2">
      <c r="A2041" s="4">
        <v>44593</v>
      </c>
      <c r="B2041" s="3">
        <v>74889.17</v>
      </c>
      <c r="C2041" s="6">
        <f t="shared" si="93"/>
        <v>7.8369646248413159E-3</v>
      </c>
      <c r="D2041" s="7">
        <f t="shared" si="94"/>
        <v>0.69708887833620126</v>
      </c>
      <c r="E2041" s="8">
        <f t="shared" si="95"/>
        <v>-1.1717634288926517</v>
      </c>
    </row>
    <row r="2042" spans="1:5" x14ac:dyDescent="0.2">
      <c r="A2042" s="4">
        <v>44594</v>
      </c>
      <c r="B2042" s="3">
        <v>75190.740000000005</v>
      </c>
      <c r="C2042" s="6">
        <f t="shared" si="93"/>
        <v>4.0187977975379889E-3</v>
      </c>
      <c r="D2042" s="7">
        <f t="shared" si="94"/>
        <v>0.34725356626684301</v>
      </c>
      <c r="E2042" s="8">
        <f t="shared" si="95"/>
        <v>-0.79882878643080713</v>
      </c>
    </row>
    <row r="2043" spans="1:5" x14ac:dyDescent="0.2">
      <c r="A2043" s="4">
        <v>44595</v>
      </c>
      <c r="B2043" s="3">
        <v>75021.67</v>
      </c>
      <c r="C2043" s="6">
        <f t="shared" si="93"/>
        <v>-2.2510799393324486E-3</v>
      </c>
      <c r="D2043" s="7">
        <f t="shared" si="94"/>
        <v>-0.22721704592061606</v>
      </c>
      <c r="E2043" s="8">
        <f t="shared" si="95"/>
        <v>-0.72213965792229284</v>
      </c>
    </row>
    <row r="2044" spans="1:5" x14ac:dyDescent="0.2">
      <c r="A2044" s="4">
        <v>44596</v>
      </c>
      <c r="B2044" s="3">
        <v>75206</v>
      </c>
      <c r="C2044" s="6">
        <f t="shared" si="93"/>
        <v>2.4540098705579027E-3</v>
      </c>
      <c r="D2044" s="7">
        <f t="shared" si="94"/>
        <v>0.2038816033544551</v>
      </c>
      <c r="E2044" s="8">
        <f t="shared" si="95"/>
        <v>-0.71076380167489184</v>
      </c>
    </row>
    <row r="2045" spans="1:5" x14ac:dyDescent="0.2">
      <c r="A2045" s="4">
        <v>44599</v>
      </c>
      <c r="B2045" s="3">
        <v>75679.56</v>
      </c>
      <c r="C2045" s="6">
        <f t="shared" si="93"/>
        <v>6.2770957662286143E-3</v>
      </c>
      <c r="D2045" s="7">
        <f t="shared" si="94"/>
        <v>0.55416761962172545</v>
      </c>
      <c r="E2045" s="8">
        <f t="shared" si="95"/>
        <v>-0.99577128018027916</v>
      </c>
    </row>
    <row r="2046" spans="1:5" x14ac:dyDescent="0.2">
      <c r="A2046" s="4">
        <v>44600</v>
      </c>
      <c r="B2046" s="3">
        <v>76090.52</v>
      </c>
      <c r="C2046" s="6">
        <f t="shared" si="93"/>
        <v>5.4155734042002374E-3</v>
      </c>
      <c r="D2046" s="7">
        <f t="shared" si="94"/>
        <v>0.47523158617768851</v>
      </c>
      <c r="E2046" s="8">
        <f t="shared" si="95"/>
        <v>-0.91176758323200124</v>
      </c>
    </row>
    <row r="2047" spans="1:5" x14ac:dyDescent="0.2">
      <c r="A2047" s="4">
        <v>44601</v>
      </c>
      <c r="B2047" s="3">
        <v>76690.92</v>
      </c>
      <c r="C2047" s="6">
        <f t="shared" si="93"/>
        <v>7.8596338763161078E-3</v>
      </c>
      <c r="D2047" s="7">
        <f t="shared" si="94"/>
        <v>0.69916592342688511</v>
      </c>
      <c r="E2047" s="8">
        <f t="shared" si="95"/>
        <v>-1.1745232294543069</v>
      </c>
    </row>
    <row r="2048" spans="1:5" x14ac:dyDescent="0.2">
      <c r="A2048" s="4">
        <v>44602</v>
      </c>
      <c r="B2048" s="3">
        <v>76585.19</v>
      </c>
      <c r="C2048" s="6">
        <f t="shared" si="93"/>
        <v>-1.3796020367383896E-3</v>
      </c>
      <c r="D2048" s="7">
        <f t="shared" si="94"/>
        <v>-0.14736884708461423</v>
      </c>
      <c r="E2048" s="8">
        <f t="shared" si="95"/>
        <v>-0.68817256007497907</v>
      </c>
    </row>
    <row r="2049" spans="1:5" x14ac:dyDescent="0.2">
      <c r="A2049" s="4">
        <v>44603</v>
      </c>
      <c r="B2049" s="3">
        <v>76382.95</v>
      </c>
      <c r="C2049" s="6">
        <f t="shared" si="93"/>
        <v>-2.6442122893841516E-3</v>
      </c>
      <c r="D2049" s="7">
        <f t="shared" si="94"/>
        <v>-0.26323736262899644</v>
      </c>
      <c r="E2049" s="8">
        <f t="shared" si="95"/>
        <v>-0.74199944664916662</v>
      </c>
    </row>
    <row r="2050" spans="1:5" x14ac:dyDescent="0.2">
      <c r="A2050" s="4">
        <v>44606</v>
      </c>
      <c r="B2050" s="3">
        <v>75765.16</v>
      </c>
      <c r="C2050" s="6">
        <f t="shared" si="93"/>
        <v>-8.12094734868689E-3</v>
      </c>
      <c r="D2050" s="7">
        <f t="shared" si="94"/>
        <v>-0.76503715432263453</v>
      </c>
      <c r="E2050" s="8">
        <f t="shared" si="95"/>
        <v>-1.2647050967943694</v>
      </c>
    </row>
    <row r="2051" spans="1:5" x14ac:dyDescent="0.2">
      <c r="A2051" s="4">
        <v>44607</v>
      </c>
      <c r="B2051" s="3">
        <v>75853.16</v>
      </c>
      <c r="C2051" s="6">
        <f t="shared" ref="C2051:C2114" si="96">LN(B2051/B2050)</f>
        <v>1.1608097211671345E-3</v>
      </c>
      <c r="D2051" s="7">
        <f t="shared" ref="D2051:D2114" si="97">(C2051-$G$4)/$G$5</f>
        <v>8.5393570145653824E-2</v>
      </c>
      <c r="E2051" s="8">
        <f t="shared" ref="E2051:E2114" si="98">LN((PI()*(G$3-2))^(-1/2)*EXP(GAMMALN((G$3+1)/2))*((1+D2051^2/(G$3-2))^(-(G$3+1)/2))/EXP(GAMMALN(G$3/2)))</f>
        <v>-0.67163320614839128</v>
      </c>
    </row>
    <row r="2052" spans="1:5" x14ac:dyDescent="0.2">
      <c r="A2052" s="4">
        <v>44608</v>
      </c>
      <c r="B2052" s="3">
        <v>76502.59</v>
      </c>
      <c r="C2052" s="6">
        <f t="shared" si="96"/>
        <v>8.5252303684246918E-3</v>
      </c>
      <c r="D2052" s="7">
        <f t="shared" si="97"/>
        <v>0.76015046576379808</v>
      </c>
      <c r="E2052" s="8">
        <f t="shared" si="98"/>
        <v>-1.2578447495799363</v>
      </c>
    </row>
    <row r="2053" spans="1:5" x14ac:dyDescent="0.2">
      <c r="A2053" s="4">
        <v>44609</v>
      </c>
      <c r="B2053" s="3">
        <v>76154.69</v>
      </c>
      <c r="C2053" s="6">
        <f t="shared" si="96"/>
        <v>-4.5579300547438899E-3</v>
      </c>
      <c r="D2053" s="7">
        <f t="shared" si="97"/>
        <v>-0.43857963601261896</v>
      </c>
      <c r="E2053" s="8">
        <f t="shared" si="98"/>
        <v>-0.87635123101431411</v>
      </c>
    </row>
    <row r="2054" spans="1:5" x14ac:dyDescent="0.2">
      <c r="A2054" s="4">
        <v>44610</v>
      </c>
      <c r="B2054" s="3">
        <v>76368.34</v>
      </c>
      <c r="C2054" s="6">
        <f t="shared" si="96"/>
        <v>2.8015459663870671E-3</v>
      </c>
      <c r="D2054" s="7">
        <f t="shared" si="97"/>
        <v>0.23572421370619584</v>
      </c>
      <c r="E2054" s="8">
        <f t="shared" si="98"/>
        <v>-0.72657988491310987</v>
      </c>
    </row>
    <row r="2055" spans="1:5" x14ac:dyDescent="0.2">
      <c r="A2055" s="4">
        <v>44613</v>
      </c>
      <c r="B2055" s="3">
        <v>75528.460000000006</v>
      </c>
      <c r="C2055" s="6">
        <f t="shared" si="96"/>
        <v>-1.1058673511986916E-2</v>
      </c>
      <c r="D2055" s="7">
        <f t="shared" si="97"/>
        <v>-1.0342030644560676</v>
      </c>
      <c r="E2055" s="8">
        <f t="shared" si="98"/>
        <v>-1.6761984894502033</v>
      </c>
    </row>
    <row r="2056" spans="1:5" x14ac:dyDescent="0.2">
      <c r="A2056" s="4">
        <v>44614</v>
      </c>
      <c r="B2056" s="3">
        <v>75653.84</v>
      </c>
      <c r="C2056" s="6">
        <f t="shared" si="96"/>
        <v>1.6586601572400443E-3</v>
      </c>
      <c r="D2056" s="7">
        <f t="shared" si="97"/>
        <v>0.13100856565134816</v>
      </c>
      <c r="E2056" s="8">
        <f t="shared" si="98"/>
        <v>-0.68296201319978811</v>
      </c>
    </row>
    <row r="2057" spans="1:5" x14ac:dyDescent="0.2">
      <c r="A2057" s="4">
        <v>44615</v>
      </c>
      <c r="B2057" s="3">
        <v>74987.05</v>
      </c>
      <c r="C2057" s="6">
        <f t="shared" si="96"/>
        <v>-8.8527670643894912E-3</v>
      </c>
      <c r="D2057" s="7">
        <f t="shared" si="97"/>
        <v>-0.8320893262682344</v>
      </c>
      <c r="E2057" s="8">
        <f t="shared" si="98"/>
        <v>-1.3613646112878306</v>
      </c>
    </row>
    <row r="2058" spans="1:5" x14ac:dyDescent="0.2">
      <c r="A2058" s="4">
        <v>44616</v>
      </c>
      <c r="B2058" s="3">
        <v>73697.11</v>
      </c>
      <c r="C2058" s="6">
        <f t="shared" si="96"/>
        <v>-1.7351846560378796E-2</v>
      </c>
      <c r="D2058" s="7">
        <f t="shared" si="97"/>
        <v>-1.6108080837934657</v>
      </c>
      <c r="E2058" s="8">
        <f t="shared" si="98"/>
        <v>-2.665950148399038</v>
      </c>
    </row>
    <row r="2059" spans="1:5" x14ac:dyDescent="0.2">
      <c r="A2059" s="4">
        <v>44617</v>
      </c>
      <c r="B2059" s="3">
        <v>74205.69</v>
      </c>
      <c r="C2059" s="6">
        <f t="shared" si="96"/>
        <v>6.8772464686770981E-3</v>
      </c>
      <c r="D2059" s="7">
        <f t="shared" si="97"/>
        <v>0.60915576387418469</v>
      </c>
      <c r="E2059" s="8">
        <f t="shared" si="98"/>
        <v>-1.0600771382941452</v>
      </c>
    </row>
    <row r="2060" spans="1:5" x14ac:dyDescent="0.2">
      <c r="A2060" s="4">
        <v>44620</v>
      </c>
      <c r="B2060" s="3">
        <v>76090.509999999995</v>
      </c>
      <c r="C2060" s="6">
        <f t="shared" si="96"/>
        <v>2.5082720885671327E-2</v>
      </c>
      <c r="D2060" s="7">
        <f t="shared" si="97"/>
        <v>2.277212219264348</v>
      </c>
      <c r="E2060" s="8">
        <f t="shared" si="98"/>
        <v>-3.7916357330027708</v>
      </c>
    </row>
    <row r="2061" spans="1:5" x14ac:dyDescent="0.2">
      <c r="A2061" s="4">
        <v>44621</v>
      </c>
      <c r="B2061" s="3">
        <v>77110.69</v>
      </c>
      <c r="C2061" s="6">
        <f t="shared" si="96"/>
        <v>1.3318369305564124E-2</v>
      </c>
      <c r="D2061" s="7">
        <f t="shared" si="97"/>
        <v>1.1993165189271304</v>
      </c>
      <c r="E2061" s="8">
        <f t="shared" si="98"/>
        <v>-1.951572939573337</v>
      </c>
    </row>
    <row r="2062" spans="1:5" x14ac:dyDescent="0.2">
      <c r="A2062" s="4">
        <v>44622</v>
      </c>
      <c r="B2062" s="3">
        <v>77536.12</v>
      </c>
      <c r="C2062" s="6">
        <f t="shared" si="96"/>
        <v>5.5019702405249248E-3</v>
      </c>
      <c r="D2062" s="7">
        <f t="shared" si="97"/>
        <v>0.48314760073769114</v>
      </c>
      <c r="E2062" s="8">
        <f t="shared" si="98"/>
        <v>-0.91972440071149353</v>
      </c>
    </row>
    <row r="2063" spans="1:5" x14ac:dyDescent="0.2">
      <c r="A2063" s="4">
        <v>44623</v>
      </c>
      <c r="B2063" s="3">
        <v>77390.850000000006</v>
      </c>
      <c r="C2063" s="6">
        <f t="shared" si="96"/>
        <v>-1.8753357478662113E-3</v>
      </c>
      <c r="D2063" s="7">
        <f t="shared" si="97"/>
        <v>-0.19278990000863963</v>
      </c>
      <c r="E2063" s="8">
        <f t="shared" si="98"/>
        <v>-0.70577307879212403</v>
      </c>
    </row>
    <row r="2064" spans="1:5" x14ac:dyDescent="0.2">
      <c r="A2064" s="4">
        <v>44624</v>
      </c>
      <c r="B2064" s="3">
        <v>74734.37</v>
      </c>
      <c r="C2064" s="6">
        <f t="shared" si="96"/>
        <v>-3.4928463136225489E-2</v>
      </c>
      <c r="D2064" s="7">
        <f t="shared" si="97"/>
        <v>-3.2212461351023989</v>
      </c>
      <c r="E2064" s="8">
        <f t="shared" si="98"/>
        <v>-5.1868545096892378</v>
      </c>
    </row>
    <row r="2065" spans="1:5" x14ac:dyDescent="0.2">
      <c r="A2065" s="4">
        <v>44627</v>
      </c>
      <c r="B2065" s="3">
        <v>73295.88</v>
      </c>
      <c r="C2065" s="6">
        <f t="shared" si="96"/>
        <v>-1.943569347107816E-2</v>
      </c>
      <c r="D2065" s="7">
        <f t="shared" si="97"/>
        <v>-1.8017382519297167</v>
      </c>
      <c r="E2065" s="8">
        <f t="shared" si="98"/>
        <v>-2.9971280851440296</v>
      </c>
    </row>
    <row r="2066" spans="1:5" x14ac:dyDescent="0.2">
      <c r="A2066" s="4">
        <v>44628</v>
      </c>
      <c r="B2066" s="3">
        <v>72398.62</v>
      </c>
      <c r="C2066" s="6">
        <f t="shared" si="96"/>
        <v>-1.2317161509396482E-2</v>
      </c>
      <c r="D2066" s="7">
        <f t="shared" si="97"/>
        <v>-1.1495106351365934</v>
      </c>
      <c r="E2066" s="8">
        <f t="shared" si="98"/>
        <v>-1.8672809847783622</v>
      </c>
    </row>
    <row r="2067" spans="1:5" x14ac:dyDescent="0.2">
      <c r="A2067" s="4">
        <v>44629</v>
      </c>
      <c r="B2067" s="3">
        <v>72684.820000000007</v>
      </c>
      <c r="C2067" s="6">
        <f t="shared" si="96"/>
        <v>3.9453209992604881E-3</v>
      </c>
      <c r="D2067" s="7">
        <f t="shared" si="97"/>
        <v>0.34052133590135597</v>
      </c>
      <c r="E2067" s="8">
        <f t="shared" si="98"/>
        <v>-0.79374837418137412</v>
      </c>
    </row>
    <row r="2068" spans="1:5" x14ac:dyDescent="0.2">
      <c r="A2068" s="4">
        <v>44630</v>
      </c>
      <c r="B2068" s="3">
        <v>73889.41</v>
      </c>
      <c r="C2068" s="6">
        <f t="shared" si="96"/>
        <v>1.643695649055266E-2</v>
      </c>
      <c r="D2068" s="7">
        <f t="shared" si="97"/>
        <v>1.4850536201125457</v>
      </c>
      <c r="E2068" s="8">
        <f t="shared" si="98"/>
        <v>-2.4462869994573411</v>
      </c>
    </row>
    <row r="2069" spans="1:5" x14ac:dyDescent="0.2">
      <c r="A2069" s="4">
        <v>44631</v>
      </c>
      <c r="B2069" s="3">
        <v>73685.89</v>
      </c>
      <c r="C2069" s="6">
        <f t="shared" si="96"/>
        <v>-2.7581868920448812E-3</v>
      </c>
      <c r="D2069" s="7">
        <f t="shared" si="97"/>
        <v>-0.27368015952426938</v>
      </c>
      <c r="E2069" s="8">
        <f t="shared" si="98"/>
        <v>-0.74827150645020968</v>
      </c>
    </row>
    <row r="2070" spans="1:5" x14ac:dyDescent="0.2">
      <c r="A2070" s="4">
        <v>44634</v>
      </c>
      <c r="B2070" s="3">
        <v>71903.72</v>
      </c>
      <c r="C2070" s="6">
        <f t="shared" si="96"/>
        <v>-2.4483327119959319E-2</v>
      </c>
      <c r="D2070" s="7">
        <f t="shared" si="97"/>
        <v>-2.2642221015459212</v>
      </c>
      <c r="E2070" s="8">
        <f t="shared" si="98"/>
        <v>-3.7706751747088685</v>
      </c>
    </row>
    <row r="2071" spans="1:5" x14ac:dyDescent="0.2">
      <c r="A2071" s="4">
        <v>44635</v>
      </c>
      <c r="B2071" s="3">
        <v>70628.2</v>
      </c>
      <c r="C2071" s="6">
        <f t="shared" si="96"/>
        <v>-1.7898503739676639E-2</v>
      </c>
      <c r="D2071" s="7">
        <f t="shared" si="97"/>
        <v>-1.6608949431593474</v>
      </c>
      <c r="E2071" s="8">
        <f t="shared" si="98"/>
        <v>-2.7532225632599929</v>
      </c>
    </row>
    <row r="2072" spans="1:5" x14ac:dyDescent="0.2">
      <c r="A2072" s="4">
        <v>44636</v>
      </c>
      <c r="B2072" s="3">
        <v>73484.3</v>
      </c>
      <c r="C2072" s="6">
        <f t="shared" si="96"/>
        <v>3.9642279785059249E-2</v>
      </c>
      <c r="D2072" s="7">
        <f t="shared" si="97"/>
        <v>3.6112156982995853</v>
      </c>
      <c r="E2072" s="8">
        <f t="shared" si="98"/>
        <v>-5.6920797080612049</v>
      </c>
    </row>
    <row r="2073" spans="1:5" x14ac:dyDescent="0.2">
      <c r="A2073" s="4">
        <v>44637</v>
      </c>
      <c r="B2073" s="3">
        <v>74124.27</v>
      </c>
      <c r="C2073" s="6">
        <f t="shared" si="96"/>
        <v>8.6712310803307574E-3</v>
      </c>
      <c r="D2073" s="7">
        <f t="shared" si="97"/>
        <v>0.77352761949285098</v>
      </c>
      <c r="E2073" s="8">
        <f t="shared" si="98"/>
        <v>-1.2766865527522244</v>
      </c>
    </row>
    <row r="2074" spans="1:5" x14ac:dyDescent="0.2">
      <c r="A2074" s="4">
        <v>44638</v>
      </c>
      <c r="B2074" s="3">
        <v>74847.63</v>
      </c>
      <c r="C2074" s="6">
        <f t="shared" si="96"/>
        <v>9.711437997637299E-3</v>
      </c>
      <c r="D2074" s="7">
        <f t="shared" si="97"/>
        <v>0.86883542766152999</v>
      </c>
      <c r="E2074" s="8">
        <f t="shared" si="98"/>
        <v>-1.4161896493016377</v>
      </c>
    </row>
    <row r="2075" spans="1:5" x14ac:dyDescent="0.2">
      <c r="A2075" s="4">
        <v>44641</v>
      </c>
      <c r="B2075" s="3">
        <v>74847.63</v>
      </c>
      <c r="C2075" s="6">
        <f t="shared" si="96"/>
        <v>0</v>
      </c>
      <c r="D2075" s="7">
        <f t="shared" si="97"/>
        <v>-2.0964336521421177E-2</v>
      </c>
      <c r="E2075" s="8">
        <f t="shared" si="98"/>
        <v>-0.66374015927016994</v>
      </c>
    </row>
    <row r="2076" spans="1:5" x14ac:dyDescent="0.2">
      <c r="A2076" s="4">
        <v>44642</v>
      </c>
      <c r="B2076" s="3">
        <v>75751.41</v>
      </c>
      <c r="C2076" s="6">
        <f t="shared" si="96"/>
        <v>1.200261103993844E-2</v>
      </c>
      <c r="D2076" s="7">
        <f t="shared" si="97"/>
        <v>1.0787616232710662</v>
      </c>
      <c r="E2076" s="8">
        <f t="shared" si="98"/>
        <v>-1.7492705942026405</v>
      </c>
    </row>
    <row r="2077" spans="1:5" x14ac:dyDescent="0.2">
      <c r="A2077" s="4">
        <v>44643</v>
      </c>
      <c r="B2077" s="3">
        <v>74838.09</v>
      </c>
      <c r="C2077" s="6">
        <f t="shared" si="96"/>
        <v>-1.2130078109114154E-2</v>
      </c>
      <c r="D2077" s="7">
        <f t="shared" si="97"/>
        <v>-1.1323693255288649</v>
      </c>
      <c r="E2077" s="8">
        <f t="shared" si="98"/>
        <v>-1.8384881960048429</v>
      </c>
    </row>
    <row r="2078" spans="1:5" x14ac:dyDescent="0.2">
      <c r="A2078" s="4">
        <v>44644</v>
      </c>
      <c r="B2078" s="3">
        <v>74349.94</v>
      </c>
      <c r="C2078" s="6">
        <f t="shared" si="96"/>
        <v>-6.544114056623751E-3</v>
      </c>
      <c r="D2078" s="7">
        <f t="shared" si="97"/>
        <v>-0.62056154815854625</v>
      </c>
      <c r="E2078" s="8">
        <f t="shared" si="98"/>
        <v>-1.0739704882332699</v>
      </c>
    </row>
    <row r="2079" spans="1:5" x14ac:dyDescent="0.2">
      <c r="A2079" s="4">
        <v>44645</v>
      </c>
      <c r="B2079" s="3">
        <v>74324.67</v>
      </c>
      <c r="C2079" s="6">
        <f t="shared" si="96"/>
        <v>-3.3993699722298192E-4</v>
      </c>
      <c r="D2079" s="7">
        <f t="shared" si="97"/>
        <v>-5.2110687869147368E-2</v>
      </c>
      <c r="E2079" s="8">
        <f t="shared" si="98"/>
        <v>-0.66636438039177681</v>
      </c>
    </row>
    <row r="2080" spans="1:5" x14ac:dyDescent="0.2">
      <c r="A2080" s="4">
        <v>44648</v>
      </c>
      <c r="B2080" s="3">
        <v>74194.350000000006</v>
      </c>
      <c r="C2080" s="6">
        <f t="shared" si="96"/>
        <v>-1.754927193113561E-3</v>
      </c>
      <c r="D2080" s="7">
        <f t="shared" si="97"/>
        <v>-0.18175759936988931</v>
      </c>
      <c r="E2080" s="8">
        <f t="shared" si="98"/>
        <v>-0.70107736323433212</v>
      </c>
    </row>
    <row r="2081" spans="1:5" x14ac:dyDescent="0.2">
      <c r="A2081" s="4">
        <v>44649</v>
      </c>
      <c r="B2081" s="3">
        <v>74776.39</v>
      </c>
      <c r="C2081" s="6">
        <f t="shared" si="96"/>
        <v>7.8141917223172493E-3</v>
      </c>
      <c r="D2081" s="7">
        <f t="shared" si="97"/>
        <v>0.69500233633278163</v>
      </c>
      <c r="E2081" s="8">
        <f t="shared" si="98"/>
        <v>-1.1689963898694997</v>
      </c>
    </row>
    <row r="2082" spans="1:5" x14ac:dyDescent="0.2">
      <c r="A2082" s="4">
        <v>44650</v>
      </c>
      <c r="B2082" s="3">
        <v>75425.31</v>
      </c>
      <c r="C2082" s="6">
        <f t="shared" si="96"/>
        <v>8.6407016358958505E-3</v>
      </c>
      <c r="D2082" s="7">
        <f t="shared" si="97"/>
        <v>0.77073039291678413</v>
      </c>
      <c r="E2082" s="8">
        <f t="shared" si="98"/>
        <v>-1.2727305932600226</v>
      </c>
    </row>
    <row r="2083" spans="1:5" x14ac:dyDescent="0.2">
      <c r="A2083" s="4">
        <v>44651</v>
      </c>
      <c r="B2083" s="3">
        <v>75497.149999999994</v>
      </c>
      <c r="C2083" s="6">
        <f t="shared" si="96"/>
        <v>9.5201211835375921E-4</v>
      </c>
      <c r="D2083" s="7">
        <f t="shared" si="97"/>
        <v>6.6262720750280307E-2</v>
      </c>
      <c r="E2083" s="8">
        <f t="shared" si="98"/>
        <v>-0.66829423104174512</v>
      </c>
    </row>
    <row r="2084" spans="1:5" x14ac:dyDescent="0.2">
      <c r="A2084" s="4">
        <v>44652</v>
      </c>
      <c r="B2084" s="3">
        <v>75907.899999999994</v>
      </c>
      <c r="C2084" s="6">
        <f t="shared" si="96"/>
        <v>5.4258561085412989E-3</v>
      </c>
      <c r="D2084" s="7">
        <f t="shared" si="97"/>
        <v>0.47617372758867887</v>
      </c>
      <c r="E2084" s="8">
        <f t="shared" si="98"/>
        <v>-0.91270893673279918</v>
      </c>
    </row>
    <row r="2085" spans="1:5" x14ac:dyDescent="0.2">
      <c r="A2085" s="4">
        <v>44655</v>
      </c>
      <c r="B2085" s="3">
        <v>75835.070000000007</v>
      </c>
      <c r="C2085" s="6">
        <f t="shared" si="96"/>
        <v>-9.5991274709215522E-4</v>
      </c>
      <c r="D2085" s="7">
        <f t="shared" si="97"/>
        <v>-0.10891528016196239</v>
      </c>
      <c r="E2085" s="8">
        <f t="shared" si="98"/>
        <v>-0.67688460812061746</v>
      </c>
    </row>
    <row r="2086" spans="1:5" x14ac:dyDescent="0.2">
      <c r="A2086" s="4">
        <v>44656</v>
      </c>
      <c r="B2086" s="3">
        <v>75286.61</v>
      </c>
      <c r="C2086" s="6">
        <f t="shared" si="96"/>
        <v>-7.2585536110896199E-3</v>
      </c>
      <c r="D2086" s="7">
        <f t="shared" si="97"/>
        <v>-0.68602128205597368</v>
      </c>
      <c r="E2086" s="8">
        <f t="shared" si="98"/>
        <v>-1.1571483251619896</v>
      </c>
    </row>
    <row r="2087" spans="1:5" x14ac:dyDescent="0.2">
      <c r="A2087" s="4">
        <v>44657</v>
      </c>
      <c r="B2087" s="3">
        <v>74359.03</v>
      </c>
      <c r="C2087" s="6">
        <f t="shared" si="96"/>
        <v>-1.239717882797969E-2</v>
      </c>
      <c r="D2087" s="7">
        <f t="shared" si="97"/>
        <v>-1.156842133440265</v>
      </c>
      <c r="E2087" s="8">
        <f t="shared" si="98"/>
        <v>-1.8796317016566462</v>
      </c>
    </row>
    <row r="2088" spans="1:5" x14ac:dyDescent="0.2">
      <c r="A2088" s="4">
        <v>44658</v>
      </c>
      <c r="B2088" s="3">
        <v>74008.070000000007</v>
      </c>
      <c r="C2088" s="6">
        <f t="shared" si="96"/>
        <v>-4.7309768082382303E-3</v>
      </c>
      <c r="D2088" s="7">
        <f t="shared" si="97"/>
        <v>-0.4544348533850977</v>
      </c>
      <c r="E2088" s="8">
        <f t="shared" si="98"/>
        <v>-0.89138112480557785</v>
      </c>
    </row>
    <row r="2089" spans="1:5" x14ac:dyDescent="0.2">
      <c r="A2089" s="4">
        <v>44659</v>
      </c>
      <c r="B2089" s="3">
        <v>74776.11</v>
      </c>
      <c r="C2089" s="6">
        <f t="shared" si="96"/>
        <v>1.0324307627170692E-2</v>
      </c>
      <c r="D2089" s="7">
        <f t="shared" si="97"/>
        <v>0.92498892953904588</v>
      </c>
      <c r="E2089" s="8">
        <f t="shared" si="98"/>
        <v>-1.502224279196249</v>
      </c>
    </row>
    <row r="2090" spans="1:5" x14ac:dyDescent="0.2">
      <c r="A2090" s="4">
        <v>44662</v>
      </c>
      <c r="B2090" s="3">
        <v>74426.399999999994</v>
      </c>
      <c r="C2090" s="6">
        <f t="shared" si="96"/>
        <v>-4.6877313310762251E-3</v>
      </c>
      <c r="D2090" s="7">
        <f t="shared" si="97"/>
        <v>-0.45047253437630697</v>
      </c>
      <c r="E2090" s="8">
        <f t="shared" si="98"/>
        <v>-0.88758309843295657</v>
      </c>
    </row>
    <row r="2091" spans="1:5" x14ac:dyDescent="0.2">
      <c r="A2091" s="4">
        <v>44663</v>
      </c>
      <c r="B2091" s="3">
        <v>73801.88</v>
      </c>
      <c r="C2091" s="6">
        <f t="shared" si="96"/>
        <v>-8.4265120716512081E-3</v>
      </c>
      <c r="D2091" s="7">
        <f t="shared" si="97"/>
        <v>-0.79303418406245552</v>
      </c>
      <c r="E2091" s="8">
        <f t="shared" si="98"/>
        <v>-1.3045044494318747</v>
      </c>
    </row>
    <row r="2092" spans="1:5" x14ac:dyDescent="0.2">
      <c r="A2092" s="4">
        <v>44664</v>
      </c>
      <c r="B2092" s="3">
        <v>73128.649999999994</v>
      </c>
      <c r="C2092" s="6">
        <f t="shared" si="96"/>
        <v>-9.1639867004597343E-3</v>
      </c>
      <c r="D2092" s="7">
        <f t="shared" si="97"/>
        <v>-0.86060448116617838</v>
      </c>
      <c r="E2092" s="8">
        <f t="shared" si="98"/>
        <v>-1.4038027101485733</v>
      </c>
    </row>
    <row r="2093" spans="1:5" x14ac:dyDescent="0.2">
      <c r="A2093" s="4">
        <v>44665</v>
      </c>
      <c r="B2093" s="3">
        <v>73382.83</v>
      </c>
      <c r="C2093" s="6">
        <f t="shared" si="96"/>
        <v>3.4697657140839154E-3</v>
      </c>
      <c r="D2093" s="7">
        <f t="shared" si="97"/>
        <v>0.2969491089346577</v>
      </c>
      <c r="E2093" s="8">
        <f t="shared" si="98"/>
        <v>-0.76306559065440827</v>
      </c>
    </row>
    <row r="2094" spans="1:5" x14ac:dyDescent="0.2">
      <c r="A2094" s="4">
        <v>44670</v>
      </c>
      <c r="B2094" s="3">
        <v>73830.27</v>
      </c>
      <c r="C2094" s="6">
        <f t="shared" si="96"/>
        <v>6.0788255640365826E-3</v>
      </c>
      <c r="D2094" s="7">
        <f t="shared" si="97"/>
        <v>0.53600133166335129</v>
      </c>
      <c r="E2094" s="8">
        <f t="shared" si="98"/>
        <v>-0.97554178445871997</v>
      </c>
    </row>
    <row r="2095" spans="1:5" x14ac:dyDescent="0.2">
      <c r="A2095" s="4">
        <v>44671</v>
      </c>
      <c r="B2095" s="3">
        <v>73783.429999999993</v>
      </c>
      <c r="C2095" s="6">
        <f t="shared" si="96"/>
        <v>-6.3462946287638159E-4</v>
      </c>
      <c r="D2095" s="7">
        <f t="shared" si="97"/>
        <v>-7.9111559059251504E-2</v>
      </c>
      <c r="E2095" s="8">
        <f t="shared" si="98"/>
        <v>-0.67044437468697737</v>
      </c>
    </row>
    <row r="2096" spans="1:5" x14ac:dyDescent="0.2">
      <c r="A2096" s="4">
        <v>44672</v>
      </c>
      <c r="B2096" s="3">
        <v>73350.94</v>
      </c>
      <c r="C2096" s="6">
        <f t="shared" si="96"/>
        <v>-5.8788608753577122E-3</v>
      </c>
      <c r="D2096" s="7">
        <f t="shared" si="97"/>
        <v>-0.5596084612978266</v>
      </c>
      <c r="E2096" s="8">
        <f t="shared" si="98"/>
        <v>-1.0019304946709082</v>
      </c>
    </row>
    <row r="2097" spans="1:5" x14ac:dyDescent="0.2">
      <c r="A2097" s="4">
        <v>44673</v>
      </c>
      <c r="B2097" s="3">
        <v>72264.899999999994</v>
      </c>
      <c r="C2097" s="6">
        <f t="shared" si="96"/>
        <v>-1.4916785672036815E-2</v>
      </c>
      <c r="D2097" s="7">
        <f t="shared" si="97"/>
        <v>-1.3876983234526221</v>
      </c>
      <c r="E2097" s="8">
        <f t="shared" si="98"/>
        <v>-2.276418346946528</v>
      </c>
    </row>
    <row r="2098" spans="1:5" x14ac:dyDescent="0.2">
      <c r="A2098" s="4">
        <v>44676</v>
      </c>
      <c r="B2098" s="3">
        <v>69750.67</v>
      </c>
      <c r="C2098" s="6">
        <f t="shared" si="96"/>
        <v>-3.5411507713988828E-2</v>
      </c>
      <c r="D2098" s="7">
        <f t="shared" si="97"/>
        <v>-3.2655045602180452</v>
      </c>
      <c r="E2098" s="8">
        <f t="shared" si="98"/>
        <v>-5.2461645761120153</v>
      </c>
    </row>
    <row r="2099" spans="1:5" x14ac:dyDescent="0.2">
      <c r="A2099" s="4">
        <v>44677</v>
      </c>
      <c r="B2099" s="3">
        <v>70264.11</v>
      </c>
      <c r="C2099" s="6">
        <f t="shared" si="96"/>
        <v>7.3341157477919373E-3</v>
      </c>
      <c r="D2099" s="7">
        <f t="shared" si="97"/>
        <v>0.65101590620508576</v>
      </c>
      <c r="E2099" s="8">
        <f t="shared" si="98"/>
        <v>-1.111955303718545</v>
      </c>
    </row>
    <row r="2100" spans="1:5" x14ac:dyDescent="0.2">
      <c r="A2100" s="4">
        <v>44679</v>
      </c>
      <c r="B2100" s="3">
        <v>71534.570000000007</v>
      </c>
      <c r="C2100" s="6">
        <f t="shared" si="96"/>
        <v>1.7919687218786777E-2</v>
      </c>
      <c r="D2100" s="7">
        <f t="shared" si="97"/>
        <v>1.6209071829577715</v>
      </c>
      <c r="E2100" s="8">
        <f t="shared" si="98"/>
        <v>-2.6835629350020649</v>
      </c>
    </row>
    <row r="2101" spans="1:5" x14ac:dyDescent="0.2">
      <c r="A2101" s="4">
        <v>44680</v>
      </c>
      <c r="B2101" s="3">
        <v>72438.25</v>
      </c>
      <c r="C2101" s="6">
        <f t="shared" si="96"/>
        <v>1.2553645442920432E-2</v>
      </c>
      <c r="D2101" s="7">
        <f t="shared" si="97"/>
        <v>1.1292495409151224</v>
      </c>
      <c r="E2101" s="8">
        <f t="shared" si="98"/>
        <v>-1.8332608204305652</v>
      </c>
    </row>
    <row r="2102" spans="1:5" x14ac:dyDescent="0.2">
      <c r="A2102" s="4">
        <v>44684</v>
      </c>
      <c r="B2102" s="3">
        <v>71338.990000000005</v>
      </c>
      <c r="C2102" s="6">
        <f t="shared" si="96"/>
        <v>-1.5291452524448504E-2</v>
      </c>
      <c r="D2102" s="7">
        <f t="shared" si="97"/>
        <v>-1.422026759365429</v>
      </c>
      <c r="E2102" s="8">
        <f t="shared" si="98"/>
        <v>-2.3362410030821024</v>
      </c>
    </row>
    <row r="2103" spans="1:5" x14ac:dyDescent="0.2">
      <c r="A2103" s="4">
        <v>44685</v>
      </c>
      <c r="B2103" s="3">
        <v>70357.58</v>
      </c>
      <c r="C2103" s="6">
        <f t="shared" si="96"/>
        <v>-1.3852497539659772E-2</v>
      </c>
      <c r="D2103" s="7">
        <f t="shared" si="97"/>
        <v>-1.290184100590652</v>
      </c>
      <c r="E2103" s="8">
        <f t="shared" si="98"/>
        <v>-2.1073273595752502</v>
      </c>
    </row>
    <row r="2104" spans="1:5" x14ac:dyDescent="0.2">
      <c r="A2104" s="4">
        <v>44686</v>
      </c>
      <c r="B2104" s="3">
        <v>69682.649999999994</v>
      </c>
      <c r="C2104" s="6">
        <f t="shared" si="96"/>
        <v>-9.639161915558964E-3</v>
      </c>
      <c r="D2104" s="7">
        <f t="shared" si="97"/>
        <v>-0.90414188463245637</v>
      </c>
      <c r="E2104" s="8">
        <f t="shared" si="98"/>
        <v>-1.4699832009190914</v>
      </c>
    </row>
    <row r="2105" spans="1:5" x14ac:dyDescent="0.2">
      <c r="A2105" s="4">
        <v>44687</v>
      </c>
      <c r="B2105" s="3">
        <v>67978.14</v>
      </c>
      <c r="C2105" s="6">
        <f t="shared" si="96"/>
        <v>-2.4765179914813844E-2</v>
      </c>
      <c r="D2105" s="7">
        <f t="shared" si="97"/>
        <v>-2.2900465521017379</v>
      </c>
      <c r="E2105" s="8">
        <f t="shared" si="98"/>
        <v>-3.8122995824686021</v>
      </c>
    </row>
    <row r="2106" spans="1:5" x14ac:dyDescent="0.2">
      <c r="A2106" s="4">
        <v>44690</v>
      </c>
      <c r="B2106" s="3">
        <v>66769.119999999995</v>
      </c>
      <c r="C2106" s="6">
        <f t="shared" si="96"/>
        <v>-1.794548469386311E-2</v>
      </c>
      <c r="D2106" s="7">
        <f t="shared" si="97"/>
        <v>-1.6651995211184902</v>
      </c>
      <c r="E2106" s="8">
        <f t="shared" si="98"/>
        <v>-2.7607127155084568</v>
      </c>
    </row>
    <row r="2107" spans="1:5" x14ac:dyDescent="0.2">
      <c r="A2107" s="4">
        <v>44691</v>
      </c>
      <c r="B2107" s="3">
        <v>66966.73</v>
      </c>
      <c r="C2107" s="6">
        <f t="shared" si="96"/>
        <v>2.9552306852209014E-3</v>
      </c>
      <c r="D2107" s="7">
        <f t="shared" si="97"/>
        <v>0.24980540607030696</v>
      </c>
      <c r="E2107" s="8">
        <f t="shared" si="98"/>
        <v>-0.73427037937305417</v>
      </c>
    </row>
    <row r="2108" spans="1:5" x14ac:dyDescent="0.2">
      <c r="A2108" s="4">
        <v>44692</v>
      </c>
      <c r="B2108" s="3">
        <v>68416.41</v>
      </c>
      <c r="C2108" s="6">
        <f t="shared" si="96"/>
        <v>2.1416779238374449E-2</v>
      </c>
      <c r="D2108" s="7">
        <f t="shared" si="97"/>
        <v>1.9413243709285171</v>
      </c>
      <c r="E2108" s="8">
        <f t="shared" si="98"/>
        <v>-3.235677973121494</v>
      </c>
    </row>
    <row r="2109" spans="1:5" x14ac:dyDescent="0.2">
      <c r="A2109" s="4">
        <v>44693</v>
      </c>
      <c r="B2109" s="3">
        <v>67251.89</v>
      </c>
      <c r="C2109" s="6">
        <f t="shared" si="96"/>
        <v>-1.7167585958602214E-2</v>
      </c>
      <c r="D2109" s="7">
        <f t="shared" si="97"/>
        <v>-1.5939254099763749</v>
      </c>
      <c r="E2109" s="8">
        <f t="shared" si="98"/>
        <v>-2.6364920117184996</v>
      </c>
    </row>
    <row r="2110" spans="1:5" x14ac:dyDescent="0.2">
      <c r="A2110" s="4">
        <v>44694</v>
      </c>
      <c r="B2110" s="3">
        <v>68650.66</v>
      </c>
      <c r="C2110" s="6">
        <f t="shared" si="96"/>
        <v>2.0585623975487445E-2</v>
      </c>
      <c r="D2110" s="7">
        <f t="shared" si="97"/>
        <v>1.8651706893526059</v>
      </c>
      <c r="E2110" s="8">
        <f t="shared" si="98"/>
        <v>-3.1059900143009611</v>
      </c>
    </row>
    <row r="2111" spans="1:5" x14ac:dyDescent="0.2">
      <c r="A2111" s="4">
        <v>44697</v>
      </c>
      <c r="B2111" s="3">
        <v>69211.759999999995</v>
      </c>
      <c r="C2111" s="6">
        <f t="shared" si="96"/>
        <v>8.1400442298734926E-3</v>
      </c>
      <c r="D2111" s="7">
        <f t="shared" si="97"/>
        <v>0.72485821189441402</v>
      </c>
      <c r="E2111" s="8">
        <f t="shared" si="98"/>
        <v>-1.209095019387376</v>
      </c>
    </row>
    <row r="2112" spans="1:5" x14ac:dyDescent="0.2">
      <c r="A2112" s="4">
        <v>44698</v>
      </c>
      <c r="B2112" s="3">
        <v>69696.39</v>
      </c>
      <c r="C2112" s="6">
        <f t="shared" si="96"/>
        <v>6.9777326432505244E-3</v>
      </c>
      <c r="D2112" s="7">
        <f t="shared" si="97"/>
        <v>0.61836269846624348</v>
      </c>
      <c r="E2112" s="8">
        <f t="shared" si="98"/>
        <v>-1.0712777227735244</v>
      </c>
    </row>
    <row r="2113" spans="1:5" x14ac:dyDescent="0.2">
      <c r="A2113" s="4">
        <v>44699</v>
      </c>
      <c r="B2113" s="3">
        <v>69083.44</v>
      </c>
      <c r="C2113" s="6">
        <f t="shared" si="96"/>
        <v>-8.8334736498135776E-3</v>
      </c>
      <c r="D2113" s="7">
        <f t="shared" si="97"/>
        <v>-0.83032158849921311</v>
      </c>
      <c r="E2113" s="8">
        <f t="shared" si="98"/>
        <v>-1.3587587122576859</v>
      </c>
    </row>
    <row r="2114" spans="1:5" x14ac:dyDescent="0.2">
      <c r="A2114" s="4">
        <v>44700</v>
      </c>
      <c r="B2114" s="3">
        <v>68245.84</v>
      </c>
      <c r="C2114" s="6">
        <f t="shared" si="96"/>
        <v>-1.219856954860841E-2</v>
      </c>
      <c r="D2114" s="7">
        <f t="shared" si="97"/>
        <v>-1.1386447779104141</v>
      </c>
      <c r="E2114" s="8">
        <f t="shared" si="98"/>
        <v>-1.8490153744748081</v>
      </c>
    </row>
    <row r="2115" spans="1:5" x14ac:dyDescent="0.2">
      <c r="A2115" s="4">
        <v>44701</v>
      </c>
      <c r="B2115" s="3">
        <v>67575.28</v>
      </c>
      <c r="C2115" s="6">
        <f t="shared" ref="C2115:C2178" si="99">LN(B2115/B2114)</f>
        <v>-9.8742441283078877E-3</v>
      </c>
      <c r="D2115" s="7">
        <f t="shared" ref="D2115:D2178" si="100">(C2115-$G$4)/$G$5</f>
        <v>-0.92568103233833565</v>
      </c>
      <c r="E2115" s="8">
        <f t="shared" ref="E2115:E2178" si="101">LN((PI()*(G$3-2))^(-1/2)*EXP(GAMMALN((G$3+1)/2))*((1+D2115^2/(G$3-2))^(-(G$3+1)/2))/EXP(GAMMALN(G$3/2)))</f>
        <v>-1.5033004706656092</v>
      </c>
    </row>
    <row r="2116" spans="1:5" x14ac:dyDescent="0.2">
      <c r="A2116" s="4">
        <v>44704</v>
      </c>
      <c r="B2116" s="3">
        <v>68367.37</v>
      </c>
      <c r="C2116" s="6">
        <f t="shared" si="99"/>
        <v>1.1653428323724522E-2</v>
      </c>
      <c r="D2116" s="7">
        <f t="shared" si="100"/>
        <v>1.0467681431479887</v>
      </c>
      <c r="E2116" s="8">
        <f t="shared" si="101"/>
        <v>-1.6966952380213565</v>
      </c>
    </row>
    <row r="2117" spans="1:5" x14ac:dyDescent="0.2">
      <c r="A2117" s="4">
        <v>44705</v>
      </c>
      <c r="B2117" s="3">
        <v>67690.720000000001</v>
      </c>
      <c r="C2117" s="6">
        <f t="shared" si="99"/>
        <v>-9.9465688316626114E-3</v>
      </c>
      <c r="D2117" s="7">
        <f t="shared" si="100"/>
        <v>-0.93230770328091817</v>
      </c>
      <c r="E2117" s="8">
        <f t="shared" si="101"/>
        <v>-1.5136231663734252</v>
      </c>
    </row>
    <row r="2118" spans="1:5" x14ac:dyDescent="0.2">
      <c r="A2118" s="4">
        <v>44706</v>
      </c>
      <c r="B2118" s="3">
        <v>67585.25</v>
      </c>
      <c r="C2118" s="6">
        <f t="shared" si="99"/>
        <v>-1.5593312156029463E-3</v>
      </c>
      <c r="D2118" s="7">
        <f t="shared" si="100"/>
        <v>-0.16383633428984434</v>
      </c>
      <c r="E2118" s="8">
        <f t="shared" si="101"/>
        <v>-0.69402349553484322</v>
      </c>
    </row>
    <row r="2119" spans="1:5" x14ac:dyDescent="0.2">
      <c r="A2119" s="4">
        <v>44707</v>
      </c>
      <c r="B2119" s="3">
        <v>69483.759999999995</v>
      </c>
      <c r="C2119" s="6">
        <f t="shared" si="99"/>
        <v>2.7703292226532887E-2</v>
      </c>
      <c r="D2119" s="7">
        <f t="shared" si="100"/>
        <v>2.5173191696140815</v>
      </c>
      <c r="E2119" s="8">
        <f t="shared" si="101"/>
        <v>-4.1705788299090036</v>
      </c>
    </row>
    <row r="2120" spans="1:5" x14ac:dyDescent="0.2">
      <c r="A2120" s="4">
        <v>44708</v>
      </c>
      <c r="B2120" s="3">
        <v>70485.460000000006</v>
      </c>
      <c r="C2120" s="6">
        <f t="shared" si="99"/>
        <v>1.4313391211715147E-2</v>
      </c>
      <c r="D2120" s="7">
        <f t="shared" si="100"/>
        <v>1.2904843004302871</v>
      </c>
      <c r="E2120" s="8">
        <f t="shared" si="101"/>
        <v>-2.1078453306239719</v>
      </c>
    </row>
    <row r="2121" spans="1:5" x14ac:dyDescent="0.2">
      <c r="A2121" s="4">
        <v>44711</v>
      </c>
      <c r="B2121" s="3">
        <v>71958.149999999994</v>
      </c>
      <c r="C2121" s="6">
        <f t="shared" si="99"/>
        <v>2.0678252611942782E-2</v>
      </c>
      <c r="D2121" s="7">
        <f t="shared" si="100"/>
        <v>1.8736576857062457</v>
      </c>
      <c r="E2121" s="8">
        <f t="shared" si="101"/>
        <v>-3.1204998984218402</v>
      </c>
    </row>
    <row r="2122" spans="1:5" x14ac:dyDescent="0.2">
      <c r="A2122" s="4">
        <v>44712</v>
      </c>
      <c r="B2122" s="3">
        <v>72094.87</v>
      </c>
      <c r="C2122" s="6">
        <f t="shared" si="99"/>
        <v>1.8981905558332548E-3</v>
      </c>
      <c r="D2122" s="7">
        <f t="shared" si="100"/>
        <v>0.15295527346482959</v>
      </c>
      <c r="E2122" s="8">
        <f t="shared" si="101"/>
        <v>-0.6900894546794869</v>
      </c>
    </row>
    <row r="2123" spans="1:5" x14ac:dyDescent="0.2">
      <c r="A2123" s="4">
        <v>44713</v>
      </c>
      <c r="B2123" s="3">
        <v>70849.38</v>
      </c>
      <c r="C2123" s="6">
        <f t="shared" si="99"/>
        <v>-1.7426675364365048E-2</v>
      </c>
      <c r="D2123" s="7">
        <f t="shared" si="100"/>
        <v>-1.6176641901864899</v>
      </c>
      <c r="E2123" s="8">
        <f t="shared" si="101"/>
        <v>-2.6779079478444525</v>
      </c>
    </row>
    <row r="2124" spans="1:5" x14ac:dyDescent="0.2">
      <c r="A2124" s="4">
        <v>44714</v>
      </c>
      <c r="B2124" s="3">
        <v>71035</v>
      </c>
      <c r="C2124" s="6">
        <f t="shared" si="99"/>
        <v>2.6164981077854824E-3</v>
      </c>
      <c r="D2124" s="7">
        <f t="shared" si="100"/>
        <v>0.21876940835334191</v>
      </c>
      <c r="E2124" s="8">
        <f t="shared" si="101"/>
        <v>-0.71788500174975345</v>
      </c>
    </row>
    <row r="2125" spans="1:5" x14ac:dyDescent="0.2">
      <c r="A2125" s="4">
        <v>44715</v>
      </c>
      <c r="B2125" s="3">
        <v>70920.45</v>
      </c>
      <c r="C2125" s="6">
        <f t="shared" si="99"/>
        <v>-1.6138869604988397E-3</v>
      </c>
      <c r="D2125" s="7">
        <f t="shared" si="100"/>
        <v>-0.16883494406884941</v>
      </c>
      <c r="E2125" s="8">
        <f t="shared" si="101"/>
        <v>-0.69591924226635182</v>
      </c>
    </row>
    <row r="2126" spans="1:5" x14ac:dyDescent="0.2">
      <c r="A2126" s="4">
        <v>44718</v>
      </c>
      <c r="B2126" s="3">
        <v>71120.09</v>
      </c>
      <c r="C2126" s="6">
        <f t="shared" si="99"/>
        <v>2.8110303081235475E-3</v>
      </c>
      <c r="D2126" s="7">
        <f t="shared" si="100"/>
        <v>0.23659320602665385</v>
      </c>
      <c r="E2126" s="8">
        <f t="shared" si="101"/>
        <v>-0.72704220427539579</v>
      </c>
    </row>
    <row r="2127" spans="1:5" x14ac:dyDescent="0.2">
      <c r="A2127" s="4">
        <v>44719</v>
      </c>
      <c r="B2127" s="3">
        <v>70318.23</v>
      </c>
      <c r="C2127" s="6">
        <f t="shared" si="99"/>
        <v>-1.1338774259993733E-2</v>
      </c>
      <c r="D2127" s="7">
        <f t="shared" si="100"/>
        <v>-1.0598669856574974</v>
      </c>
      <c r="E2127" s="8">
        <f t="shared" si="101"/>
        <v>-1.7181554549429681</v>
      </c>
    </row>
    <row r="2128" spans="1:5" x14ac:dyDescent="0.2">
      <c r="A2128" s="4">
        <v>44720</v>
      </c>
      <c r="B2128" s="3">
        <v>69950.210000000006</v>
      </c>
      <c r="C2128" s="6">
        <f t="shared" si="99"/>
        <v>-5.2473791602985652E-3</v>
      </c>
      <c r="D2128" s="7">
        <f t="shared" si="100"/>
        <v>-0.50174964767185504</v>
      </c>
      <c r="E2128" s="8">
        <f t="shared" si="101"/>
        <v>-0.93884165152990895</v>
      </c>
    </row>
    <row r="2129" spans="1:5" x14ac:dyDescent="0.2">
      <c r="A2129" s="4">
        <v>44721</v>
      </c>
      <c r="B2129" s="3">
        <v>68910.8</v>
      </c>
      <c r="C2129" s="6">
        <f t="shared" si="99"/>
        <v>-1.4970788604120868E-2</v>
      </c>
      <c r="D2129" s="7">
        <f t="shared" si="100"/>
        <v>-1.3926462823692387</v>
      </c>
      <c r="E2129" s="8">
        <f t="shared" si="101"/>
        <v>-2.2850338792955016</v>
      </c>
    </row>
    <row r="2130" spans="1:5" x14ac:dyDescent="0.2">
      <c r="A2130" s="4">
        <v>44722</v>
      </c>
      <c r="B2130" s="3">
        <v>67803.509999999995</v>
      </c>
      <c r="C2130" s="6">
        <f t="shared" si="99"/>
        <v>-1.6198951129413258E-2</v>
      </c>
      <c r="D2130" s="7">
        <f t="shared" si="100"/>
        <v>-1.5051753152116845</v>
      </c>
      <c r="E2130" s="8">
        <f t="shared" si="101"/>
        <v>-2.4814492942592339</v>
      </c>
    </row>
    <row r="2131" spans="1:5" x14ac:dyDescent="0.2">
      <c r="A2131" s="4">
        <v>44725</v>
      </c>
      <c r="B2131" s="3">
        <v>66381.03</v>
      </c>
      <c r="C2131" s="6">
        <f t="shared" si="99"/>
        <v>-2.1202640624488924E-2</v>
      </c>
      <c r="D2131" s="7">
        <f t="shared" si="100"/>
        <v>-1.9636328303444832</v>
      </c>
      <c r="E2131" s="8">
        <f t="shared" si="101"/>
        <v>-3.273441545970869</v>
      </c>
    </row>
    <row r="2132" spans="1:5" x14ac:dyDescent="0.2">
      <c r="A2132" s="4">
        <v>44726</v>
      </c>
      <c r="B2132" s="3">
        <v>65683.520000000004</v>
      </c>
      <c r="C2132" s="6">
        <f t="shared" si="99"/>
        <v>-1.0563266006190007E-2</v>
      </c>
      <c r="D2132" s="7">
        <f t="shared" si="100"/>
        <v>-0.98881189973465367</v>
      </c>
      <c r="E2132" s="8">
        <f t="shared" si="101"/>
        <v>-1.6029324569772938</v>
      </c>
    </row>
    <row r="2133" spans="1:5" x14ac:dyDescent="0.2">
      <c r="A2133" s="4">
        <v>44727</v>
      </c>
      <c r="B2133" s="3">
        <v>67502.09</v>
      </c>
      <c r="C2133" s="6">
        <f t="shared" si="99"/>
        <v>2.7310503474944653E-2</v>
      </c>
      <c r="D2133" s="7">
        <f t="shared" si="100"/>
        <v>2.4813303347348437</v>
      </c>
      <c r="E2133" s="8">
        <f t="shared" si="101"/>
        <v>-4.1148223465597615</v>
      </c>
    </row>
    <row r="2134" spans="1:5" x14ac:dyDescent="0.2">
      <c r="A2134" s="4">
        <v>44729</v>
      </c>
      <c r="B2134" s="3">
        <v>65390.879999999997</v>
      </c>
      <c r="C2134" s="6">
        <f t="shared" si="99"/>
        <v>-3.1775761164227125E-2</v>
      </c>
      <c r="D2134" s="7">
        <f t="shared" si="100"/>
        <v>-2.9323833042934329</v>
      </c>
      <c r="E2134" s="8">
        <f t="shared" si="101"/>
        <v>-4.7867139432964931</v>
      </c>
    </row>
    <row r="2135" spans="1:5" x14ac:dyDescent="0.2">
      <c r="A2135" s="4">
        <v>44732</v>
      </c>
      <c r="B2135" s="3">
        <v>66350.31</v>
      </c>
      <c r="C2135" s="6">
        <f t="shared" si="99"/>
        <v>1.4565633762340957E-2</v>
      </c>
      <c r="D2135" s="7">
        <f t="shared" si="100"/>
        <v>1.3135957451121518</v>
      </c>
      <c r="E2135" s="8">
        <f t="shared" si="101"/>
        <v>-2.1477774190004282</v>
      </c>
    </row>
    <row r="2136" spans="1:5" x14ac:dyDescent="0.2">
      <c r="A2136" s="4">
        <v>44733</v>
      </c>
      <c r="B2136" s="3">
        <v>66747.23</v>
      </c>
      <c r="C2136" s="6">
        <f t="shared" si="99"/>
        <v>5.9643653317287323E-3</v>
      </c>
      <c r="D2136" s="7">
        <f t="shared" si="100"/>
        <v>0.52551403948884223</v>
      </c>
      <c r="E2136" s="8">
        <f t="shared" si="101"/>
        <v>-0.96410212117940031</v>
      </c>
    </row>
    <row r="2137" spans="1:5" x14ac:dyDescent="0.2">
      <c r="A2137" s="4">
        <v>44734</v>
      </c>
      <c r="B2137" s="3">
        <v>65712.679999999993</v>
      </c>
      <c r="C2137" s="6">
        <f t="shared" si="99"/>
        <v>-1.5620892945262518E-2</v>
      </c>
      <c r="D2137" s="7">
        <f t="shared" si="100"/>
        <v>-1.4522113735105182</v>
      </c>
      <c r="E2137" s="8">
        <f t="shared" si="101"/>
        <v>-2.3889190772343425</v>
      </c>
    </row>
    <row r="2138" spans="1:5" x14ac:dyDescent="0.2">
      <c r="A2138" s="4">
        <v>44735</v>
      </c>
      <c r="B2138" s="3">
        <v>65295.42</v>
      </c>
      <c r="C2138" s="6">
        <f t="shared" si="99"/>
        <v>-6.3700093494924517E-3</v>
      </c>
      <c r="D2138" s="7">
        <f t="shared" si="100"/>
        <v>-0.60460939695434124</v>
      </c>
      <c r="E2138" s="8">
        <f t="shared" si="101"/>
        <v>-1.0545910120232487</v>
      </c>
    </row>
    <row r="2139" spans="1:5" x14ac:dyDescent="0.2">
      <c r="A2139" s="4">
        <v>44736</v>
      </c>
      <c r="B2139" s="3">
        <v>66348.75</v>
      </c>
      <c r="C2139" s="6">
        <f t="shared" si="99"/>
        <v>1.6003025115993337E-2</v>
      </c>
      <c r="D2139" s="7">
        <f t="shared" si="100"/>
        <v>1.445295137913678</v>
      </c>
      <c r="E2139" s="8">
        <f t="shared" si="101"/>
        <v>-2.3768439461925182</v>
      </c>
    </row>
    <row r="2140" spans="1:5" x14ac:dyDescent="0.2">
      <c r="A2140" s="4">
        <v>44739</v>
      </c>
      <c r="B2140" s="3">
        <v>67826.78</v>
      </c>
      <c r="C2140" s="6">
        <f t="shared" si="99"/>
        <v>2.2032181097762914E-2</v>
      </c>
      <c r="D2140" s="7">
        <f t="shared" si="100"/>
        <v>1.9977098855654665</v>
      </c>
      <c r="E2140" s="8">
        <f t="shared" si="101"/>
        <v>-3.3309159526707419</v>
      </c>
    </row>
    <row r="2141" spans="1:5" x14ac:dyDescent="0.2">
      <c r="A2141" s="4">
        <v>44740</v>
      </c>
      <c r="B2141" s="3">
        <v>68058.12</v>
      </c>
      <c r="C2141" s="6">
        <f t="shared" si="99"/>
        <v>3.4049437944327688E-3</v>
      </c>
      <c r="D2141" s="7">
        <f t="shared" si="100"/>
        <v>0.29100987224967767</v>
      </c>
      <c r="E2141" s="8">
        <f t="shared" si="101"/>
        <v>-0.7591828319543158</v>
      </c>
    </row>
    <row r="2142" spans="1:5" x14ac:dyDescent="0.2">
      <c r="A2142" s="4">
        <v>44741</v>
      </c>
      <c r="B2142" s="3">
        <v>67747.41</v>
      </c>
      <c r="C2142" s="6">
        <f t="shared" si="99"/>
        <v>-4.5758157585968403E-3</v>
      </c>
      <c r="D2142" s="7">
        <f t="shared" si="100"/>
        <v>-0.44021839384379424</v>
      </c>
      <c r="E2142" s="8">
        <f t="shared" si="101"/>
        <v>-0.87788385922481271</v>
      </c>
    </row>
    <row r="2143" spans="1:5" x14ac:dyDescent="0.2">
      <c r="A2143" s="4">
        <v>44742</v>
      </c>
      <c r="B2143" s="3">
        <v>66223.31</v>
      </c>
      <c r="C2143" s="6">
        <f t="shared" si="99"/>
        <v>-2.2753714478065172E-2</v>
      </c>
      <c r="D2143" s="7">
        <f t="shared" si="100"/>
        <v>-2.1057482564511281</v>
      </c>
      <c r="E2143" s="8">
        <f t="shared" si="101"/>
        <v>-3.51134536245215</v>
      </c>
    </row>
    <row r="2144" spans="1:5" x14ac:dyDescent="0.2">
      <c r="A2144" s="4">
        <v>44743</v>
      </c>
      <c r="B2144" s="3">
        <v>65661.73</v>
      </c>
      <c r="C2144" s="6">
        <f t="shared" si="99"/>
        <v>-8.5162561897969644E-3</v>
      </c>
      <c r="D2144" s="7">
        <f t="shared" si="100"/>
        <v>-0.80125688961670283</v>
      </c>
      <c r="E2144" s="8">
        <f t="shared" si="101"/>
        <v>-1.3163492141231892</v>
      </c>
    </row>
    <row r="2145" spans="1:5" x14ac:dyDescent="0.2">
      <c r="A2145" s="4">
        <v>44746</v>
      </c>
      <c r="B2145" s="3">
        <v>67024.820000000007</v>
      </c>
      <c r="C2145" s="6">
        <f t="shared" si="99"/>
        <v>2.0546738974407511E-2</v>
      </c>
      <c r="D2145" s="7">
        <f t="shared" si="100"/>
        <v>1.8616078941414747</v>
      </c>
      <c r="E2145" s="8">
        <f t="shared" si="101"/>
        <v>-3.0998947922847417</v>
      </c>
    </row>
    <row r="2146" spans="1:5" x14ac:dyDescent="0.2">
      <c r="A2146" s="4">
        <v>44747</v>
      </c>
      <c r="B2146" s="3">
        <v>65005.81</v>
      </c>
      <c r="C2146" s="6">
        <f t="shared" si="99"/>
        <v>-3.0586348036874361E-2</v>
      </c>
      <c r="D2146" s="7">
        <f t="shared" si="100"/>
        <v>-2.8234046421743848</v>
      </c>
      <c r="E2146" s="8">
        <f t="shared" si="101"/>
        <v>-4.6297184026204024</v>
      </c>
    </row>
    <row r="2147" spans="1:5" x14ac:dyDescent="0.2">
      <c r="A2147" s="4">
        <v>44748</v>
      </c>
      <c r="B2147" s="3">
        <v>65756.36</v>
      </c>
      <c r="C2147" s="6">
        <f t="shared" si="99"/>
        <v>1.1479745901393317E-2</v>
      </c>
      <c r="D2147" s="7">
        <f t="shared" si="100"/>
        <v>1.0308546833214802</v>
      </c>
      <c r="E2147" s="8">
        <f t="shared" si="101"/>
        <v>-1.670751582740029</v>
      </c>
    </row>
    <row r="2148" spans="1:5" x14ac:dyDescent="0.2">
      <c r="A2148" s="4">
        <v>44749</v>
      </c>
      <c r="B2148" s="3">
        <v>67909.289999999994</v>
      </c>
      <c r="C2148" s="6">
        <f t="shared" si="99"/>
        <v>3.2216447639208418E-2</v>
      </c>
      <c r="D2148" s="7">
        <f t="shared" si="100"/>
        <v>2.9308320420534359</v>
      </c>
      <c r="E2148" s="8">
        <f t="shared" si="101"/>
        <v>-4.784502739170466</v>
      </c>
    </row>
    <row r="2149" spans="1:5" x14ac:dyDescent="0.2">
      <c r="A2149" s="4">
        <v>44750</v>
      </c>
      <c r="B2149" s="3">
        <v>68327.399999999994</v>
      </c>
      <c r="C2149" s="6">
        <f t="shared" si="99"/>
        <v>6.1380133750698618E-3</v>
      </c>
      <c r="D2149" s="7">
        <f t="shared" si="100"/>
        <v>0.54142434937841366</v>
      </c>
      <c r="E2149" s="8">
        <f t="shared" si="101"/>
        <v>-0.98152621573044552</v>
      </c>
    </row>
    <row r="2150" spans="1:5" x14ac:dyDescent="0.2">
      <c r="A2150" s="4">
        <v>44753</v>
      </c>
      <c r="B2150" s="3">
        <v>67226.75</v>
      </c>
      <c r="C2150" s="6">
        <f t="shared" si="99"/>
        <v>-1.6239623633874923E-2</v>
      </c>
      <c r="D2150" s="7">
        <f t="shared" si="100"/>
        <v>-1.508901888442912</v>
      </c>
      <c r="E2150" s="8">
        <f t="shared" si="101"/>
        <v>-2.4879619292439639</v>
      </c>
    </row>
    <row r="2151" spans="1:5" x14ac:dyDescent="0.2">
      <c r="A2151" s="4">
        <v>44754</v>
      </c>
      <c r="B2151" s="3">
        <v>67163.710000000006</v>
      </c>
      <c r="C2151" s="6">
        <f t="shared" si="99"/>
        <v>-9.3816189964234778E-4</v>
      </c>
      <c r="D2151" s="7">
        <f t="shared" si="100"/>
        <v>-0.10692238282417095</v>
      </c>
      <c r="E2151" s="8">
        <f t="shared" si="101"/>
        <v>-0.67639082555667529</v>
      </c>
    </row>
    <row r="2152" spans="1:5" x14ac:dyDescent="0.2">
      <c r="A2152" s="4">
        <v>44755</v>
      </c>
      <c r="B2152" s="3">
        <v>66142.69</v>
      </c>
      <c r="C2152" s="6">
        <f t="shared" si="99"/>
        <v>-1.5318693868721577E-2</v>
      </c>
      <c r="D2152" s="7">
        <f t="shared" si="100"/>
        <v>-1.4245227174013144</v>
      </c>
      <c r="E2152" s="8">
        <f t="shared" si="101"/>
        <v>-2.3405946047628392</v>
      </c>
    </row>
    <row r="2153" spans="1:5" x14ac:dyDescent="0.2">
      <c r="A2153" s="4">
        <v>44756</v>
      </c>
      <c r="B2153" s="3">
        <v>64712.88</v>
      </c>
      <c r="C2153" s="6">
        <f t="shared" si="99"/>
        <v>-2.1854123692394631E-2</v>
      </c>
      <c r="D2153" s="7">
        <f t="shared" si="100"/>
        <v>-2.0233242458004348</v>
      </c>
      <c r="E2153" s="8">
        <f t="shared" si="101"/>
        <v>-3.3739439226445209</v>
      </c>
    </row>
    <row r="2154" spans="1:5" x14ac:dyDescent="0.2">
      <c r="A2154" s="4">
        <v>44757</v>
      </c>
      <c r="B2154" s="3">
        <v>65088.9</v>
      </c>
      <c r="C2154" s="6">
        <f t="shared" si="99"/>
        <v>5.7937734266318725E-3</v>
      </c>
      <c r="D2154" s="7">
        <f t="shared" si="100"/>
        <v>0.50988374488534116</v>
      </c>
      <c r="E2154" s="8">
        <f t="shared" si="101"/>
        <v>-0.94738323129681246</v>
      </c>
    </row>
    <row r="2155" spans="1:5" x14ac:dyDescent="0.2">
      <c r="A2155" s="4">
        <v>44760</v>
      </c>
      <c r="B2155" s="3">
        <v>67016.14</v>
      </c>
      <c r="C2155" s="6">
        <f t="shared" si="99"/>
        <v>2.9179458138561574E-2</v>
      </c>
      <c r="D2155" s="7">
        <f t="shared" si="100"/>
        <v>2.6525712384361855</v>
      </c>
      <c r="E2155" s="8">
        <f t="shared" si="101"/>
        <v>-4.3767886519752848</v>
      </c>
    </row>
    <row r="2156" spans="1:5" x14ac:dyDescent="0.2">
      <c r="A2156" s="4">
        <v>44761</v>
      </c>
      <c r="B2156" s="3">
        <v>67785.039999999994</v>
      </c>
      <c r="C2156" s="6">
        <f t="shared" si="99"/>
        <v>1.1408035729546533E-2</v>
      </c>
      <c r="D2156" s="7">
        <f t="shared" si="100"/>
        <v>1.0242843181485459</v>
      </c>
      <c r="E2156" s="8">
        <f t="shared" si="101"/>
        <v>-1.660082296934646</v>
      </c>
    </row>
    <row r="2157" spans="1:5" x14ac:dyDescent="0.2">
      <c r="A2157" s="4">
        <v>44762</v>
      </c>
      <c r="B2157" s="3">
        <v>67652.460000000006</v>
      </c>
      <c r="C2157" s="6">
        <f t="shared" si="99"/>
        <v>-1.9578040402135214E-3</v>
      </c>
      <c r="D2157" s="7">
        <f t="shared" si="100"/>
        <v>-0.20034596607229158</v>
      </c>
      <c r="E2157" s="8">
        <f t="shared" si="101"/>
        <v>-0.70914366589976185</v>
      </c>
    </row>
    <row r="2158" spans="1:5" x14ac:dyDescent="0.2">
      <c r="A2158" s="4">
        <v>44763</v>
      </c>
      <c r="B2158" s="3">
        <v>67907.240000000005</v>
      </c>
      <c r="C2158" s="6">
        <f t="shared" si="99"/>
        <v>3.7589386815597048E-3</v>
      </c>
      <c r="D2158" s="7">
        <f t="shared" si="100"/>
        <v>0.32344426220965583</v>
      </c>
      <c r="E2158" s="8">
        <f t="shared" si="101"/>
        <v>-0.78126612010100049</v>
      </c>
    </row>
    <row r="2159" spans="1:5" x14ac:dyDescent="0.2">
      <c r="A2159" s="4">
        <v>44764</v>
      </c>
      <c r="B2159" s="3">
        <v>68069.58</v>
      </c>
      <c r="C2159" s="6">
        <f t="shared" si="99"/>
        <v>2.3877610482502362E-3</v>
      </c>
      <c r="D2159" s="7">
        <f t="shared" si="100"/>
        <v>0.19781162829194618</v>
      </c>
      <c r="E2159" s="8">
        <f t="shared" si="101"/>
        <v>-0.70799919682497792</v>
      </c>
    </row>
    <row r="2160" spans="1:5" x14ac:dyDescent="0.2">
      <c r="A2160" s="4">
        <v>44767</v>
      </c>
      <c r="B2160" s="3">
        <v>67749.789999999994</v>
      </c>
      <c r="C2160" s="6">
        <f t="shared" si="99"/>
        <v>-4.7090571978196209E-3</v>
      </c>
      <c r="D2160" s="7">
        <f t="shared" si="100"/>
        <v>-0.45242649332696772</v>
      </c>
      <c r="E2160" s="8">
        <f t="shared" si="101"/>
        <v>-0.88945256306392917</v>
      </c>
    </row>
    <row r="2161" spans="1:5" x14ac:dyDescent="0.2">
      <c r="A2161" s="4">
        <v>44768</v>
      </c>
      <c r="B2161" s="3">
        <v>68421.8</v>
      </c>
      <c r="C2161" s="6">
        <f t="shared" si="99"/>
        <v>9.870127176444466E-3</v>
      </c>
      <c r="D2161" s="7">
        <f t="shared" si="100"/>
        <v>0.88337514813499196</v>
      </c>
      <c r="E2161" s="8">
        <f t="shared" si="101"/>
        <v>-1.438215231454063</v>
      </c>
    </row>
    <row r="2162" spans="1:5" x14ac:dyDescent="0.2">
      <c r="A2162" s="4">
        <v>44769</v>
      </c>
      <c r="B2162" s="3">
        <v>68424.97</v>
      </c>
      <c r="C2162" s="6">
        <f t="shared" si="99"/>
        <v>4.6329189948203701E-5</v>
      </c>
      <c r="D2162" s="7">
        <f t="shared" si="100"/>
        <v>-1.6719475739657635E-2</v>
      </c>
      <c r="E2162" s="8">
        <f t="shared" si="101"/>
        <v>-0.66355562672099222</v>
      </c>
    </row>
    <row r="2163" spans="1:5" x14ac:dyDescent="0.2">
      <c r="A2163" s="4">
        <v>44770</v>
      </c>
      <c r="B2163" s="3">
        <v>68610.75</v>
      </c>
      <c r="C2163" s="6">
        <f t="shared" si="99"/>
        <v>2.7114115037650457E-3</v>
      </c>
      <c r="D2163" s="7">
        <f t="shared" si="100"/>
        <v>0.22746574327109201</v>
      </c>
      <c r="E2163" s="8">
        <f t="shared" si="101"/>
        <v>-0.72226725119416813</v>
      </c>
    </row>
    <row r="2164" spans="1:5" x14ac:dyDescent="0.2">
      <c r="A2164" s="4">
        <v>44771</v>
      </c>
      <c r="B2164" s="3">
        <v>68934.009999999995</v>
      </c>
      <c r="C2164" s="6">
        <f t="shared" si="99"/>
        <v>4.7004421713997954E-3</v>
      </c>
      <c r="D2164" s="7">
        <f t="shared" si="100"/>
        <v>0.4097084780179589</v>
      </c>
      <c r="E2164" s="8">
        <f t="shared" si="101"/>
        <v>-0.8501504798989501</v>
      </c>
    </row>
    <row r="2165" spans="1:5" x14ac:dyDescent="0.2">
      <c r="A2165" s="4">
        <v>44774</v>
      </c>
      <c r="B2165" s="3">
        <v>68642.59</v>
      </c>
      <c r="C2165" s="6">
        <f t="shared" si="99"/>
        <v>-4.236482597503085E-3</v>
      </c>
      <c r="D2165" s="7">
        <f t="shared" si="100"/>
        <v>-0.40912736831347241</v>
      </c>
      <c r="E2165" s="8">
        <f t="shared" si="101"/>
        <v>-0.84963885212354351</v>
      </c>
    </row>
    <row r="2166" spans="1:5" x14ac:dyDescent="0.2">
      <c r="A2166" s="4">
        <v>44775</v>
      </c>
      <c r="B2166" s="3">
        <v>68002.23</v>
      </c>
      <c r="C2166" s="6">
        <f t="shared" si="99"/>
        <v>-9.3726888120260476E-3</v>
      </c>
      <c r="D2166" s="7">
        <f t="shared" si="100"/>
        <v>-0.87972658128166792</v>
      </c>
      <c r="E2166" s="8">
        <f t="shared" si="101"/>
        <v>-1.4326710948130281</v>
      </c>
    </row>
    <row r="2167" spans="1:5" x14ac:dyDescent="0.2">
      <c r="A2167" s="4">
        <v>44776</v>
      </c>
      <c r="B2167" s="3">
        <v>68610.570000000007</v>
      </c>
      <c r="C2167" s="6">
        <f t="shared" si="99"/>
        <v>8.9061057390987866E-3</v>
      </c>
      <c r="D2167" s="7">
        <f t="shared" si="100"/>
        <v>0.79504775029481767</v>
      </c>
      <c r="E2167" s="8">
        <f t="shared" si="101"/>
        <v>-1.3073985756543405</v>
      </c>
    </row>
    <row r="2168" spans="1:5" x14ac:dyDescent="0.2">
      <c r="A2168" s="4">
        <v>44777</v>
      </c>
      <c r="B2168" s="3">
        <v>68717.02</v>
      </c>
      <c r="C2168" s="6">
        <f t="shared" si="99"/>
        <v>1.5503078634181745E-3</v>
      </c>
      <c r="D2168" s="7">
        <f t="shared" si="100"/>
        <v>0.12108090658429366</v>
      </c>
      <c r="E2168" s="8">
        <f t="shared" si="101"/>
        <v>-0.68009438524163168</v>
      </c>
    </row>
    <row r="2169" spans="1:5" x14ac:dyDescent="0.2">
      <c r="A2169" s="4">
        <v>44778</v>
      </c>
      <c r="B2169" s="3">
        <v>69519.27</v>
      </c>
      <c r="C2169" s="6">
        <f t="shared" si="99"/>
        <v>1.1607067968075844E-2</v>
      </c>
      <c r="D2169" s="7">
        <f t="shared" si="100"/>
        <v>1.0425204268433934</v>
      </c>
      <c r="E2169" s="8">
        <f t="shared" si="101"/>
        <v>-1.6897562451324117</v>
      </c>
    </row>
    <row r="2170" spans="1:5" x14ac:dyDescent="0.2">
      <c r="A2170" s="4">
        <v>44781</v>
      </c>
      <c r="B2170" s="3">
        <v>70266.13</v>
      </c>
      <c r="C2170" s="6">
        <f t="shared" si="99"/>
        <v>1.068591007214254E-2</v>
      </c>
      <c r="D2170" s="7">
        <f t="shared" si="100"/>
        <v>0.95812035357143011</v>
      </c>
      <c r="E2170" s="8">
        <f t="shared" si="101"/>
        <v>-1.5541434792561131</v>
      </c>
    </row>
    <row r="2171" spans="1:5" x14ac:dyDescent="0.2">
      <c r="A2171" s="4">
        <v>44783</v>
      </c>
      <c r="B2171" s="3">
        <v>69744.899999999994</v>
      </c>
      <c r="C2171" s="6">
        <f t="shared" si="99"/>
        <v>-7.4455906501404408E-3</v>
      </c>
      <c r="D2171" s="7">
        <f t="shared" si="100"/>
        <v>-0.70315834386714804</v>
      </c>
      <c r="E2171" s="8">
        <f t="shared" si="101"/>
        <v>-1.1798429522144438</v>
      </c>
    </row>
    <row r="2172" spans="1:5" x14ac:dyDescent="0.2">
      <c r="A2172" s="4">
        <v>44784</v>
      </c>
      <c r="B2172" s="3">
        <v>71264.77</v>
      </c>
      <c r="C2172" s="6">
        <f t="shared" si="99"/>
        <v>2.1557796162428186E-2</v>
      </c>
      <c r="D2172" s="7">
        <f t="shared" si="100"/>
        <v>1.9542448906084395</v>
      </c>
      <c r="E2172" s="8">
        <f t="shared" si="101"/>
        <v>-3.2575627995487508</v>
      </c>
    </row>
    <row r="2173" spans="1:5" x14ac:dyDescent="0.2">
      <c r="A2173" s="4">
        <v>44785</v>
      </c>
      <c r="B2173" s="3">
        <v>70731.320000000007</v>
      </c>
      <c r="C2173" s="6">
        <f t="shared" si="99"/>
        <v>-7.5136225178654122E-3</v>
      </c>
      <c r="D2173" s="7">
        <f t="shared" si="100"/>
        <v>-0.70939168849369383</v>
      </c>
      <c r="E2173" s="8">
        <f t="shared" si="101"/>
        <v>-1.1881876048939031</v>
      </c>
    </row>
    <row r="2174" spans="1:5" x14ac:dyDescent="0.2">
      <c r="A2174" s="4">
        <v>44788</v>
      </c>
      <c r="B2174" s="3">
        <v>70740.63</v>
      </c>
      <c r="C2174" s="6">
        <f t="shared" si="99"/>
        <v>1.3161619689902137E-4</v>
      </c>
      <c r="D2174" s="7">
        <f t="shared" si="100"/>
        <v>-8.9051480683930723E-3</v>
      </c>
      <c r="E2174" s="8">
        <f t="shared" si="101"/>
        <v>-0.66332461293268685</v>
      </c>
    </row>
    <row r="2175" spans="1:5" x14ac:dyDescent="0.2">
      <c r="A2175" s="4">
        <v>44789</v>
      </c>
      <c r="B2175" s="3">
        <v>71504.69</v>
      </c>
      <c r="C2175" s="6">
        <f t="shared" si="99"/>
        <v>1.0742952364242315E-2</v>
      </c>
      <c r="D2175" s="7">
        <f t="shared" si="100"/>
        <v>0.9633467904874855</v>
      </c>
      <c r="E2175" s="8">
        <f t="shared" si="101"/>
        <v>-1.5624061627918395</v>
      </c>
    </row>
    <row r="2176" spans="1:5" x14ac:dyDescent="0.2">
      <c r="A2176" s="4">
        <v>44790</v>
      </c>
      <c r="B2176" s="3">
        <v>70967.350000000006</v>
      </c>
      <c r="C2176" s="6">
        <f t="shared" si="99"/>
        <v>-7.5431298355994767E-3</v>
      </c>
      <c r="D2176" s="7">
        <f t="shared" si="100"/>
        <v>-0.71209526384142607</v>
      </c>
      <c r="E2176" s="8">
        <f t="shared" si="101"/>
        <v>-1.1918215819759341</v>
      </c>
    </row>
    <row r="2177" spans="1:5" x14ac:dyDescent="0.2">
      <c r="A2177" s="4">
        <v>44791</v>
      </c>
      <c r="B2177" s="3">
        <v>71011.38</v>
      </c>
      <c r="C2177" s="6">
        <f t="shared" si="99"/>
        <v>6.2023376898050697E-4</v>
      </c>
      <c r="D2177" s="7">
        <f t="shared" si="100"/>
        <v>3.5863896487060808E-2</v>
      </c>
      <c r="E2177" s="8">
        <f t="shared" si="101"/>
        <v>-0.6647167150329083</v>
      </c>
    </row>
    <row r="2178" spans="1:5" x14ac:dyDescent="0.2">
      <c r="A2178" s="4">
        <v>44792</v>
      </c>
      <c r="B2178" s="3">
        <v>69719.429999999993</v>
      </c>
      <c r="C2178" s="6">
        <f t="shared" si="99"/>
        <v>-1.8361100828698979E-2</v>
      </c>
      <c r="D2178" s="7">
        <f t="shared" si="100"/>
        <v>-1.7032798897371806</v>
      </c>
      <c r="E2178" s="8">
        <f t="shared" si="101"/>
        <v>-2.8268896237819612</v>
      </c>
    </row>
    <row r="2179" spans="1:5" x14ac:dyDescent="0.2">
      <c r="A2179" s="4">
        <v>44795</v>
      </c>
      <c r="B2179" s="3">
        <v>69195.600000000006</v>
      </c>
      <c r="C2179" s="6">
        <f t="shared" ref="C2179:C2242" si="102">LN(B2179/B2178)</f>
        <v>-7.5417682719610048E-3</v>
      </c>
      <c r="D2179" s="7">
        <f t="shared" ref="D2179:D2242" si="103">(C2179-$G$4)/$G$5</f>
        <v>-0.71197051207915074</v>
      </c>
      <c r="E2179" s="8">
        <f t="shared" ref="E2179:E2242" si="104">LN((PI()*(G$3-2))^(-1/2)*EXP(GAMMALN((G$3+1)/2))*((1+D2179^2/(G$3-2))^(-(G$3+1)/2))/EXP(GAMMALN(G$3/2)))</f>
        <v>-1.1916537041725668</v>
      </c>
    </row>
    <row r="2180" spans="1:5" x14ac:dyDescent="0.2">
      <c r="A2180" s="4">
        <v>44796</v>
      </c>
      <c r="B2180" s="3">
        <v>69772.27</v>
      </c>
      <c r="C2180" s="6">
        <f t="shared" si="102"/>
        <v>8.2993761085188821E-3</v>
      </c>
      <c r="D2180" s="7">
        <f t="shared" si="103"/>
        <v>0.73945681902962779</v>
      </c>
      <c r="E2180" s="8">
        <f t="shared" si="104"/>
        <v>-1.2290878276258514</v>
      </c>
    </row>
    <row r="2181" spans="1:5" x14ac:dyDescent="0.2">
      <c r="A2181" s="4">
        <v>44797</v>
      </c>
      <c r="B2181" s="3">
        <v>69808.710000000006</v>
      </c>
      <c r="C2181" s="6">
        <f t="shared" si="102"/>
        <v>5.2213418802284734E-4</v>
      </c>
      <c r="D2181" s="7">
        <f t="shared" si="103"/>
        <v>2.6875630895105376E-2</v>
      </c>
      <c r="E2181" s="8">
        <f t="shared" si="104"/>
        <v>-0.66406636100403826</v>
      </c>
    </row>
    <row r="2182" spans="1:5" x14ac:dyDescent="0.2">
      <c r="A2182" s="4">
        <v>44798</v>
      </c>
      <c r="B2182" s="3">
        <v>70340.7</v>
      </c>
      <c r="C2182" s="6">
        <f t="shared" si="102"/>
        <v>7.5917915760678181E-3</v>
      </c>
      <c r="D2182" s="7">
        <f t="shared" si="103"/>
        <v>0.67462516894159374</v>
      </c>
      <c r="E2182" s="8">
        <f t="shared" si="104"/>
        <v>-1.142261094577673</v>
      </c>
    </row>
    <row r="2183" spans="1:5" x14ac:dyDescent="0.2">
      <c r="A2183" s="4">
        <v>44799</v>
      </c>
      <c r="B2183" s="3">
        <v>70173.09</v>
      </c>
      <c r="C2183" s="6">
        <f t="shared" si="102"/>
        <v>-2.385674452240178E-3</v>
      </c>
      <c r="D2183" s="7">
        <f t="shared" si="103"/>
        <v>-0.23954911928346448</v>
      </c>
      <c r="E2183" s="8">
        <f t="shared" si="104"/>
        <v>-0.72862692497356518</v>
      </c>
    </row>
    <row r="2184" spans="1:5" x14ac:dyDescent="0.2">
      <c r="A2184" s="4">
        <v>44802</v>
      </c>
      <c r="B2184" s="3">
        <v>69207.02</v>
      </c>
      <c r="C2184" s="6">
        <f t="shared" si="102"/>
        <v>-1.3862601642303889E-2</v>
      </c>
      <c r="D2184" s="7">
        <f t="shared" si="103"/>
        <v>-1.2911098778187211</v>
      </c>
      <c r="E2184" s="8">
        <f t="shared" si="104"/>
        <v>-2.1089247763317589</v>
      </c>
    </row>
    <row r="2185" spans="1:5" x14ac:dyDescent="0.2">
      <c r="A2185" s="4">
        <v>44803</v>
      </c>
      <c r="B2185" s="3">
        <v>67900.479999999996</v>
      </c>
      <c r="C2185" s="6">
        <f t="shared" si="102"/>
        <v>-1.9059198806020368E-2</v>
      </c>
      <c r="D2185" s="7">
        <f t="shared" si="103"/>
        <v>-1.7672423447050538</v>
      </c>
      <c r="E2185" s="8">
        <f t="shared" si="104"/>
        <v>-2.9376431242673191</v>
      </c>
    </row>
    <row r="2186" spans="1:5" x14ac:dyDescent="0.2">
      <c r="A2186" s="4">
        <v>44804</v>
      </c>
      <c r="B2186" s="3">
        <v>67257.14</v>
      </c>
      <c r="C2186" s="6">
        <f t="shared" si="102"/>
        <v>-9.5199199091800368E-3</v>
      </c>
      <c r="D2186" s="7">
        <f t="shared" si="103"/>
        <v>-0.89321646769806573</v>
      </c>
      <c r="E2186" s="8">
        <f t="shared" si="104"/>
        <v>-1.4532255051836962</v>
      </c>
    </row>
    <row r="2187" spans="1:5" x14ac:dyDescent="0.2">
      <c r="A2187" s="4">
        <v>44805</v>
      </c>
      <c r="B2187" s="3">
        <v>66021.710000000006</v>
      </c>
      <c r="C2187" s="6">
        <f t="shared" si="102"/>
        <v>-1.8539556518260274E-2</v>
      </c>
      <c r="D2187" s="7">
        <f t="shared" si="103"/>
        <v>-1.7196306948936753</v>
      </c>
      <c r="E2187" s="8">
        <f t="shared" si="104"/>
        <v>-2.8552531506138954</v>
      </c>
    </row>
    <row r="2188" spans="1:5" x14ac:dyDescent="0.2">
      <c r="A2188" s="4">
        <v>44806</v>
      </c>
      <c r="B2188" s="3">
        <v>67378.31</v>
      </c>
      <c r="C2188" s="6">
        <f t="shared" si="102"/>
        <v>2.0339528705598645E-2</v>
      </c>
      <c r="D2188" s="7">
        <f t="shared" si="103"/>
        <v>1.8426224824684276</v>
      </c>
      <c r="E2188" s="8">
        <f t="shared" si="104"/>
        <v>-3.0673749797649039</v>
      </c>
    </row>
    <row r="2189" spans="1:5" x14ac:dyDescent="0.2">
      <c r="A2189" s="4">
        <v>44809</v>
      </c>
      <c r="B2189" s="3">
        <v>67399.39</v>
      </c>
      <c r="C2189" s="6">
        <f t="shared" si="102"/>
        <v>3.1281139493995885E-4</v>
      </c>
      <c r="D2189" s="7">
        <f t="shared" si="103"/>
        <v>7.6966615222292863E-3</v>
      </c>
      <c r="E2189" s="8">
        <f t="shared" si="104"/>
        <v>-0.66330146528397504</v>
      </c>
    </row>
    <row r="2190" spans="1:5" x14ac:dyDescent="0.2">
      <c r="A2190" s="4">
        <v>44810</v>
      </c>
      <c r="B2190" s="3">
        <v>67538.77</v>
      </c>
      <c r="C2190" s="6">
        <f t="shared" si="102"/>
        <v>2.0658359291260229E-3</v>
      </c>
      <c r="D2190" s="7">
        <f t="shared" si="103"/>
        <v>0.16831559535110016</v>
      </c>
      <c r="E2190" s="8">
        <f t="shared" si="104"/>
        <v>-0.69571968866599976</v>
      </c>
    </row>
    <row r="2191" spans="1:5" x14ac:dyDescent="0.2">
      <c r="A2191" s="4">
        <v>44811</v>
      </c>
      <c r="B2191" s="3">
        <v>66715.83</v>
      </c>
      <c r="C2191" s="6">
        <f t="shared" si="102"/>
        <v>-1.2259547264043038E-2</v>
      </c>
      <c r="D2191" s="7">
        <f t="shared" si="103"/>
        <v>-1.1442317936363393</v>
      </c>
      <c r="E2191" s="8">
        <f t="shared" si="104"/>
        <v>-1.8584012768802571</v>
      </c>
    </row>
    <row r="2192" spans="1:5" x14ac:dyDescent="0.2">
      <c r="A2192" s="4">
        <v>44812</v>
      </c>
      <c r="B2192" s="3">
        <v>67260.23</v>
      </c>
      <c r="C2192" s="6">
        <f t="shared" si="102"/>
        <v>8.1268697748555566E-3</v>
      </c>
      <c r="D2192" s="7">
        <f t="shared" si="103"/>
        <v>0.72365111702637797</v>
      </c>
      <c r="E2192" s="8">
        <f t="shared" si="104"/>
        <v>-1.2074530453713483</v>
      </c>
    </row>
    <row r="2193" spans="1:5" x14ac:dyDescent="0.2">
      <c r="A2193" s="4">
        <v>44813</v>
      </c>
      <c r="B2193" s="3">
        <v>68708.479999999996</v>
      </c>
      <c r="C2193" s="6">
        <f t="shared" si="102"/>
        <v>2.1303500964281116E-2</v>
      </c>
      <c r="D2193" s="7">
        <f t="shared" si="103"/>
        <v>1.9309453743679847</v>
      </c>
      <c r="E2193" s="8">
        <f t="shared" si="104"/>
        <v>-3.2180722851961368</v>
      </c>
    </row>
    <row r="2194" spans="1:5" x14ac:dyDescent="0.2">
      <c r="A2194" s="4">
        <v>44816</v>
      </c>
      <c r="B2194" s="3">
        <v>69772.41</v>
      </c>
      <c r="C2194" s="6">
        <f t="shared" si="102"/>
        <v>1.5366032584951134E-2</v>
      </c>
      <c r="D2194" s="7">
        <f t="shared" si="103"/>
        <v>1.3869314018690726</v>
      </c>
      <c r="E2194" s="8">
        <f t="shared" si="104"/>
        <v>-2.2750831976250816</v>
      </c>
    </row>
    <row r="2195" spans="1:5" x14ac:dyDescent="0.2">
      <c r="A2195" s="4">
        <v>44817</v>
      </c>
      <c r="B2195" s="3">
        <v>68273.710000000006</v>
      </c>
      <c r="C2195" s="6">
        <f t="shared" si="102"/>
        <v>-2.1713886418057864E-2</v>
      </c>
      <c r="D2195" s="7">
        <f t="shared" si="103"/>
        <v>-2.0104751606634168</v>
      </c>
      <c r="E2195" s="8">
        <f t="shared" si="104"/>
        <v>-3.3523784438095583</v>
      </c>
    </row>
    <row r="2196" spans="1:5" x14ac:dyDescent="0.2">
      <c r="A2196" s="4">
        <v>44818</v>
      </c>
      <c r="B2196" s="3">
        <v>67964.02</v>
      </c>
      <c r="C2196" s="6">
        <f t="shared" si="102"/>
        <v>-4.5463255064068665E-3</v>
      </c>
      <c r="D2196" s="7">
        <f t="shared" si="103"/>
        <v>-0.43751638210766219</v>
      </c>
      <c r="E2196" s="8">
        <f t="shared" si="104"/>
        <v>-0.87535942043604253</v>
      </c>
    </row>
    <row r="2197" spans="1:5" x14ac:dyDescent="0.2">
      <c r="A2197" s="4">
        <v>44819</v>
      </c>
      <c r="B2197" s="3">
        <v>67568.259999999995</v>
      </c>
      <c r="C2197" s="6">
        <f t="shared" si="102"/>
        <v>-5.8401013373507145E-3</v>
      </c>
      <c r="D2197" s="7">
        <f t="shared" si="103"/>
        <v>-0.55605716150197171</v>
      </c>
      <c r="E2197" s="8">
        <f t="shared" si="104"/>
        <v>-0.99790510656038012</v>
      </c>
    </row>
    <row r="2198" spans="1:5" x14ac:dyDescent="0.2">
      <c r="A2198" s="4">
        <v>44820</v>
      </c>
      <c r="B2198" s="3">
        <v>66584.34</v>
      </c>
      <c r="C2198" s="6">
        <f t="shared" si="102"/>
        <v>-1.4668931396948972E-2</v>
      </c>
      <c r="D2198" s="7">
        <f t="shared" si="103"/>
        <v>-1.3649889496628131</v>
      </c>
      <c r="E2198" s="8">
        <f t="shared" si="104"/>
        <v>-2.2369123525377188</v>
      </c>
    </row>
    <row r="2199" spans="1:5" x14ac:dyDescent="0.2">
      <c r="A2199" s="4">
        <v>44823</v>
      </c>
      <c r="B2199" s="3">
        <v>66474.86</v>
      </c>
      <c r="C2199" s="6">
        <f t="shared" si="102"/>
        <v>-1.6455836906502713E-3</v>
      </c>
      <c r="D2199" s="7">
        <f t="shared" si="103"/>
        <v>-0.17173912190749455</v>
      </c>
      <c r="E2199" s="8">
        <f t="shared" si="104"/>
        <v>-0.69704618698073362</v>
      </c>
    </row>
    <row r="2200" spans="1:5" x14ac:dyDescent="0.2">
      <c r="A2200" s="4">
        <v>44824</v>
      </c>
      <c r="B2200" s="3">
        <v>66602.84</v>
      </c>
      <c r="C2200" s="6">
        <f t="shared" si="102"/>
        <v>1.9233882078563862E-3</v>
      </c>
      <c r="D2200" s="7">
        <f t="shared" si="103"/>
        <v>0.15526398045895354</v>
      </c>
      <c r="E2200" s="8">
        <f t="shared" si="104"/>
        <v>-0.69090205807421123</v>
      </c>
    </row>
    <row r="2201" spans="1:5" x14ac:dyDescent="0.2">
      <c r="A2201" s="4">
        <v>44825</v>
      </c>
      <c r="B2201" s="3">
        <v>66208.710000000006</v>
      </c>
      <c r="C2201" s="6">
        <f t="shared" si="102"/>
        <v>-5.9351939945774491E-3</v>
      </c>
      <c r="D2201" s="7">
        <f t="shared" si="103"/>
        <v>-0.56476992103320323</v>
      </c>
      <c r="E2201" s="8">
        <f t="shared" si="104"/>
        <v>-1.0078156563039264</v>
      </c>
    </row>
    <row r="2202" spans="1:5" x14ac:dyDescent="0.2">
      <c r="A2202" s="4">
        <v>44826</v>
      </c>
      <c r="B2202" s="3">
        <v>65276.97</v>
      </c>
      <c r="C2202" s="6">
        <f t="shared" si="102"/>
        <v>-1.4172731147791799E-2</v>
      </c>
      <c r="D2202" s="7">
        <f t="shared" si="103"/>
        <v>-1.3195251507079115</v>
      </c>
      <c r="E2202" s="8">
        <f t="shared" si="104"/>
        <v>-2.1580388762329683</v>
      </c>
    </row>
    <row r="2203" spans="1:5" x14ac:dyDescent="0.2">
      <c r="A2203" s="4">
        <v>44827</v>
      </c>
      <c r="B2203" s="3">
        <v>63416.66</v>
      </c>
      <c r="C2203" s="6">
        <f t="shared" si="102"/>
        <v>-2.8912691188600872E-2</v>
      </c>
      <c r="D2203" s="7">
        <f t="shared" si="103"/>
        <v>-2.6700576847743331</v>
      </c>
      <c r="E2203" s="8">
        <f t="shared" si="104"/>
        <v>-4.4030640408671902</v>
      </c>
    </row>
    <row r="2204" spans="1:5" x14ac:dyDescent="0.2">
      <c r="A2204" s="4">
        <v>44830</v>
      </c>
      <c r="B2204" s="3">
        <v>63625.66</v>
      </c>
      <c r="C2204" s="6">
        <f t="shared" si="102"/>
        <v>3.2902451489833845E-3</v>
      </c>
      <c r="D2204" s="7">
        <f t="shared" si="103"/>
        <v>0.28050073573479734</v>
      </c>
      <c r="E2204" s="8">
        <f t="shared" si="104"/>
        <v>-0.75249136412665818</v>
      </c>
    </row>
    <row r="2205" spans="1:5" x14ac:dyDescent="0.2">
      <c r="A2205" s="4">
        <v>44831</v>
      </c>
      <c r="B2205" s="3">
        <v>64025.95</v>
      </c>
      <c r="C2205" s="6">
        <f t="shared" si="102"/>
        <v>6.271621831604045E-3</v>
      </c>
      <c r="D2205" s="7">
        <f t="shared" si="103"/>
        <v>0.55366607641676657</v>
      </c>
      <c r="E2205" s="8">
        <f t="shared" si="104"/>
        <v>-0.99520582785489009</v>
      </c>
    </row>
    <row r="2206" spans="1:5" x14ac:dyDescent="0.2">
      <c r="A2206" s="4">
        <v>44832</v>
      </c>
      <c r="B2206" s="3">
        <v>63808.32</v>
      </c>
      <c r="C2206" s="6">
        <f t="shared" si="102"/>
        <v>-3.4048805574985459E-3</v>
      </c>
      <c r="D2206" s="7">
        <f t="shared" si="103"/>
        <v>-0.33293275127837169</v>
      </c>
      <c r="E2206" s="8">
        <f t="shared" si="104"/>
        <v>-0.78812961948500027</v>
      </c>
    </row>
    <row r="2207" spans="1:5" x14ac:dyDescent="0.2">
      <c r="A2207" s="4">
        <v>44833</v>
      </c>
      <c r="B2207" s="3">
        <v>63263.94</v>
      </c>
      <c r="C2207" s="6">
        <f t="shared" si="102"/>
        <v>-8.5680907908533208E-3</v>
      </c>
      <c r="D2207" s="7">
        <f t="shared" si="103"/>
        <v>-0.80600617760141569</v>
      </c>
      <c r="E2207" s="8">
        <f t="shared" si="104"/>
        <v>-1.3232218669984483</v>
      </c>
    </row>
    <row r="2208" spans="1:5" x14ac:dyDescent="0.2">
      <c r="A2208" s="4">
        <v>44834</v>
      </c>
      <c r="B2208" s="3">
        <v>63726.37</v>
      </c>
      <c r="C2208" s="6">
        <f t="shared" si="102"/>
        <v>7.2829500769195079E-3</v>
      </c>
      <c r="D2208" s="7">
        <f t="shared" si="103"/>
        <v>0.64632790820853503</v>
      </c>
      <c r="E2208" s="8">
        <f t="shared" si="104"/>
        <v>-1.1060255805464465</v>
      </c>
    </row>
    <row r="2209" spans="1:5" x14ac:dyDescent="0.2">
      <c r="A2209" s="4">
        <v>44837</v>
      </c>
      <c r="B2209" s="3">
        <v>64227.23</v>
      </c>
      <c r="C2209" s="6">
        <f t="shared" si="102"/>
        <v>7.8288154167523508E-3</v>
      </c>
      <c r="D2209" s="7">
        <f t="shared" si="103"/>
        <v>0.69634221615933278</v>
      </c>
      <c r="E2209" s="8">
        <f t="shared" si="104"/>
        <v>-1.1707726324885259</v>
      </c>
    </row>
    <row r="2210" spans="1:5" x14ac:dyDescent="0.2">
      <c r="A2210" s="4">
        <v>44838</v>
      </c>
      <c r="B2210" s="3">
        <v>66312.83</v>
      </c>
      <c r="C2210" s="6">
        <f t="shared" si="102"/>
        <v>3.1956128724390825E-2</v>
      </c>
      <c r="D2210" s="7">
        <f t="shared" si="103"/>
        <v>2.9069806094362058</v>
      </c>
      <c r="E2210" s="8">
        <f t="shared" si="104"/>
        <v>-4.7504190444003438</v>
      </c>
    </row>
    <row r="2211" spans="1:5" x14ac:dyDescent="0.2">
      <c r="A2211" s="4">
        <v>44839</v>
      </c>
      <c r="B2211" s="3">
        <v>65612.759999999995</v>
      </c>
      <c r="C2211" s="6">
        <f t="shared" si="102"/>
        <v>-1.0613203569021772E-2</v>
      </c>
      <c r="D2211" s="7">
        <f t="shared" si="103"/>
        <v>-0.99338737369045571</v>
      </c>
      <c r="E2211" s="8">
        <f t="shared" si="104"/>
        <v>-1.6102596616330385</v>
      </c>
    </row>
    <row r="2212" spans="1:5" x14ac:dyDescent="0.2">
      <c r="A2212" s="4">
        <v>44840</v>
      </c>
      <c r="B2212" s="3">
        <v>65832.67</v>
      </c>
      <c r="C2212" s="6">
        <f t="shared" si="102"/>
        <v>3.3460304428160055E-3</v>
      </c>
      <c r="D2212" s="7">
        <f t="shared" si="103"/>
        <v>0.28561200157505906</v>
      </c>
      <c r="E2212" s="8">
        <f t="shared" si="104"/>
        <v>-0.75571722648008322</v>
      </c>
    </row>
    <row r="2213" spans="1:5" x14ac:dyDescent="0.2">
      <c r="A2213" s="4">
        <v>44841</v>
      </c>
      <c r="B2213" s="3">
        <v>65675.48</v>
      </c>
      <c r="C2213" s="6">
        <f t="shared" si="102"/>
        <v>-2.3905754108742095E-3</v>
      </c>
      <c r="D2213" s="7">
        <f t="shared" si="103"/>
        <v>-0.2399981641970903</v>
      </c>
      <c r="E2213" s="8">
        <f t="shared" si="104"/>
        <v>-0.7288693043159723</v>
      </c>
    </row>
    <row r="2214" spans="1:5" x14ac:dyDescent="0.2">
      <c r="A2214" s="4">
        <v>44844</v>
      </c>
      <c r="B2214" s="3">
        <v>64769.2</v>
      </c>
      <c r="C2214" s="6">
        <f t="shared" si="102"/>
        <v>-1.3895462540768129E-2</v>
      </c>
      <c r="D2214" s="7">
        <f t="shared" si="103"/>
        <v>-1.2941207212912773</v>
      </c>
      <c r="E2214" s="8">
        <f t="shared" si="104"/>
        <v>-2.1141211979285828</v>
      </c>
    </row>
    <row r="2215" spans="1:5" x14ac:dyDescent="0.2">
      <c r="A2215" s="4">
        <v>44845</v>
      </c>
      <c r="B2215" s="3">
        <v>64588.09</v>
      </c>
      <c r="C2215" s="6">
        <f t="shared" si="102"/>
        <v>-2.8001532551917324E-3</v>
      </c>
      <c r="D2215" s="7">
        <f t="shared" si="103"/>
        <v>-0.27752528112631941</v>
      </c>
      <c r="E2215" s="8">
        <f t="shared" si="104"/>
        <v>-0.75063852020853628</v>
      </c>
    </row>
    <row r="2216" spans="1:5" x14ac:dyDescent="0.2">
      <c r="A2216" s="4">
        <v>44846</v>
      </c>
      <c r="B2216" s="3">
        <v>64528.23</v>
      </c>
      <c r="C2216" s="6">
        <f t="shared" si="102"/>
        <v>-9.2722599728217725E-4</v>
      </c>
      <c r="D2216" s="7">
        <f t="shared" si="103"/>
        <v>-0.10592039286721763</v>
      </c>
      <c r="E2216" s="8">
        <f t="shared" si="104"/>
        <v>-0.67614597197196324</v>
      </c>
    </row>
    <row r="2217" spans="1:5" x14ac:dyDescent="0.2">
      <c r="A2217" s="4">
        <v>44847</v>
      </c>
      <c r="B2217" s="3">
        <v>64392.43</v>
      </c>
      <c r="C2217" s="6">
        <f t="shared" si="102"/>
        <v>-2.1067228515049422E-3</v>
      </c>
      <c r="D2217" s="7">
        <f t="shared" si="103"/>
        <v>-0.21399048742965898</v>
      </c>
      <c r="E2217" s="8">
        <f t="shared" si="104"/>
        <v>-0.71554656707242903</v>
      </c>
    </row>
    <row r="2218" spans="1:5" x14ac:dyDescent="0.2">
      <c r="A2218" s="4">
        <v>44848</v>
      </c>
      <c r="B2218" s="3">
        <v>64271.360000000001</v>
      </c>
      <c r="C2218" s="6">
        <f t="shared" si="102"/>
        <v>-1.8819597298280512E-3</v>
      </c>
      <c r="D2218" s="7">
        <f t="shared" si="103"/>
        <v>-0.19339681502874592</v>
      </c>
      <c r="E2218" s="8">
        <f t="shared" si="104"/>
        <v>-0.70603918012333289</v>
      </c>
    </row>
    <row r="2219" spans="1:5" x14ac:dyDescent="0.2">
      <c r="A2219" s="4">
        <v>44851</v>
      </c>
      <c r="B2219" s="3">
        <v>66190.75</v>
      </c>
      <c r="C2219" s="6">
        <f t="shared" si="102"/>
        <v>2.9426605195918155E-2</v>
      </c>
      <c r="D2219" s="7">
        <f t="shared" si="103"/>
        <v>2.6752158141836597</v>
      </c>
      <c r="E2219" s="8">
        <f t="shared" si="104"/>
        <v>-4.4107978852209211</v>
      </c>
    </row>
    <row r="2220" spans="1:5" x14ac:dyDescent="0.2">
      <c r="A2220" s="4">
        <v>44852</v>
      </c>
      <c r="B2220" s="3">
        <v>66350.98</v>
      </c>
      <c r="C2220" s="6">
        <f t="shared" si="102"/>
        <v>2.4178057439846962E-3</v>
      </c>
      <c r="D2220" s="7">
        <f t="shared" si="103"/>
        <v>0.20056444030454154</v>
      </c>
      <c r="E2220" s="8">
        <f t="shared" si="104"/>
        <v>-0.70924298438499045</v>
      </c>
    </row>
    <row r="2221" spans="1:5" x14ac:dyDescent="0.2">
      <c r="A2221" s="4">
        <v>44853</v>
      </c>
      <c r="B2221" s="3">
        <v>65652.5</v>
      </c>
      <c r="C2221" s="6">
        <f t="shared" si="102"/>
        <v>-1.0582850072487857E-2</v>
      </c>
      <c r="D2221" s="7">
        <f t="shared" si="103"/>
        <v>-0.99060626814619168</v>
      </c>
      <c r="E2221" s="8">
        <f t="shared" si="104"/>
        <v>-1.6058043593588049</v>
      </c>
    </row>
    <row r="2222" spans="1:5" x14ac:dyDescent="0.2">
      <c r="A2222" s="4">
        <v>44854</v>
      </c>
      <c r="B2222" s="3">
        <v>65794.28</v>
      </c>
      <c r="C2222" s="6">
        <f t="shared" si="102"/>
        <v>2.1572237065441845E-3</v>
      </c>
      <c r="D2222" s="7">
        <f t="shared" si="103"/>
        <v>0.17668889936804058</v>
      </c>
      <c r="E2222" s="8">
        <f t="shared" si="104"/>
        <v>-0.69901005832113705</v>
      </c>
    </row>
    <row r="2223" spans="1:5" x14ac:dyDescent="0.2">
      <c r="A2223" s="4">
        <v>44855</v>
      </c>
      <c r="B2223" s="3">
        <v>65539.240000000005</v>
      </c>
      <c r="C2223" s="6">
        <f t="shared" si="102"/>
        <v>-3.883857229937429E-3</v>
      </c>
      <c r="D2223" s="7">
        <f t="shared" si="103"/>
        <v>-0.37681845906839634</v>
      </c>
      <c r="E2223" s="8">
        <f t="shared" si="104"/>
        <v>-0.82219117487408044</v>
      </c>
    </row>
    <row r="2224" spans="1:5" x14ac:dyDescent="0.2">
      <c r="A2224" s="4">
        <v>44858</v>
      </c>
      <c r="B2224" s="3">
        <v>64975.95</v>
      </c>
      <c r="C2224" s="6">
        <f t="shared" si="102"/>
        <v>-8.6318458027612767E-3</v>
      </c>
      <c r="D2224" s="7">
        <f t="shared" si="103"/>
        <v>-0.81184766004459064</v>
      </c>
      <c r="E2224" s="8">
        <f t="shared" si="104"/>
        <v>-1.3317060790397195</v>
      </c>
    </row>
    <row r="2225" spans="1:5" x14ac:dyDescent="0.2">
      <c r="A2225" s="4">
        <v>44859</v>
      </c>
      <c r="B2225" s="3">
        <v>65850.84</v>
      </c>
      <c r="C2225" s="6">
        <f t="shared" si="102"/>
        <v>1.3374982943418431E-2</v>
      </c>
      <c r="D2225" s="7">
        <f t="shared" si="103"/>
        <v>1.2045036808721026</v>
      </c>
      <c r="E2225" s="8">
        <f t="shared" si="104"/>
        <v>-1.9604010089047688</v>
      </c>
    </row>
    <row r="2226" spans="1:5" x14ac:dyDescent="0.2">
      <c r="A2226" s="4">
        <v>44860</v>
      </c>
      <c r="B2226" s="3">
        <v>67103.09</v>
      </c>
      <c r="C2226" s="6">
        <f t="shared" si="102"/>
        <v>1.8837909215810859E-2</v>
      </c>
      <c r="D2226" s="7">
        <f t="shared" si="103"/>
        <v>1.7050382577397349</v>
      </c>
      <c r="E2226" s="8">
        <f t="shared" si="104"/>
        <v>-2.8299414078606207</v>
      </c>
    </row>
    <row r="2227" spans="1:5" x14ac:dyDescent="0.2">
      <c r="A2227" s="4">
        <v>44861</v>
      </c>
      <c r="B2227" s="3">
        <v>67123.41</v>
      </c>
      <c r="C2227" s="6">
        <f t="shared" si="102"/>
        <v>3.0277180966849649E-4</v>
      </c>
      <c r="D2227" s="7">
        <f t="shared" si="103"/>
        <v>6.7767956270636887E-3</v>
      </c>
      <c r="E2227" s="8">
        <f t="shared" si="104"/>
        <v>-0.66328610463409365</v>
      </c>
    </row>
    <row r="2228" spans="1:5" x14ac:dyDescent="0.2">
      <c r="A2228" s="4">
        <v>44862</v>
      </c>
      <c r="B2228" s="3">
        <v>66385.58</v>
      </c>
      <c r="C2228" s="6">
        <f t="shared" si="102"/>
        <v>-1.1053001174487664E-2</v>
      </c>
      <c r="D2228" s="7">
        <f t="shared" si="103"/>
        <v>-1.0336833428071801</v>
      </c>
      <c r="E2228" s="8">
        <f t="shared" si="104"/>
        <v>-1.6753526206843505</v>
      </c>
    </row>
    <row r="2229" spans="1:5" x14ac:dyDescent="0.2">
      <c r="A2229" s="4">
        <v>44865</v>
      </c>
      <c r="B2229" s="3">
        <v>66671.649999999994</v>
      </c>
      <c r="C2229" s="6">
        <f t="shared" si="102"/>
        <v>4.2999608631267465E-3</v>
      </c>
      <c r="D2229" s="7">
        <f t="shared" si="103"/>
        <v>0.37301482114163076</v>
      </c>
      <c r="E2229" s="8">
        <f t="shared" si="104"/>
        <v>-0.81909045617048748</v>
      </c>
    </row>
    <row r="2230" spans="1:5" x14ac:dyDescent="0.2">
      <c r="A2230" s="4">
        <v>44866</v>
      </c>
      <c r="B2230" s="3">
        <v>67414.27</v>
      </c>
      <c r="C2230" s="6">
        <f t="shared" si="102"/>
        <v>1.1076891490483458E-2</v>
      </c>
      <c r="D2230" s="7">
        <f t="shared" si="103"/>
        <v>0.99394359354107242</v>
      </c>
      <c r="E2230" s="8">
        <f t="shared" si="104"/>
        <v>-1.611151318073915</v>
      </c>
    </row>
    <row r="2231" spans="1:5" x14ac:dyDescent="0.2">
      <c r="A2231" s="4">
        <v>44867</v>
      </c>
      <c r="B2231" s="3">
        <v>67123.100000000006</v>
      </c>
      <c r="C2231" s="6">
        <f t="shared" si="102"/>
        <v>-4.3284695487173629E-3</v>
      </c>
      <c r="D2231" s="7">
        <f t="shared" si="103"/>
        <v>-0.4175555709667032</v>
      </c>
      <c r="E2231" s="8">
        <f t="shared" si="104"/>
        <v>-0.85712056753780907</v>
      </c>
    </row>
    <row r="2232" spans="1:5" x14ac:dyDescent="0.2">
      <c r="A2232" s="4">
        <v>44868</v>
      </c>
      <c r="B2232" s="3">
        <v>66046.649999999994</v>
      </c>
      <c r="C2232" s="6">
        <f t="shared" si="102"/>
        <v>-1.6166936498133923E-2</v>
      </c>
      <c r="D2232" s="7">
        <f t="shared" si="103"/>
        <v>-1.5022420100338429</v>
      </c>
      <c r="E2232" s="8">
        <f t="shared" si="104"/>
        <v>-2.4763230602557096</v>
      </c>
    </row>
    <row r="2233" spans="1:5" x14ac:dyDescent="0.2">
      <c r="A2233" s="4">
        <v>44869</v>
      </c>
      <c r="B2233" s="3">
        <v>69305.19</v>
      </c>
      <c r="C2233" s="6">
        <f t="shared" si="102"/>
        <v>4.8158484636583274E-2</v>
      </c>
      <c r="D2233" s="7">
        <f t="shared" si="103"/>
        <v>4.3915035475823974</v>
      </c>
      <c r="E2233" s="8">
        <f t="shared" si="104"/>
        <v>-6.5963501370688764</v>
      </c>
    </row>
    <row r="2234" spans="1:5" x14ac:dyDescent="0.2">
      <c r="A2234" s="4">
        <v>44872</v>
      </c>
      <c r="B2234" s="3">
        <v>69439.320000000007</v>
      </c>
      <c r="C2234" s="6">
        <f t="shared" si="102"/>
        <v>1.9334825109182544E-3</v>
      </c>
      <c r="D2234" s="7">
        <f t="shared" si="103"/>
        <v>0.15618885981113875</v>
      </c>
      <c r="E2234" s="8">
        <f t="shared" si="104"/>
        <v>-0.69123093529564372</v>
      </c>
    </row>
    <row r="2235" spans="1:5" x14ac:dyDescent="0.2">
      <c r="A2235" s="4">
        <v>44873</v>
      </c>
      <c r="B2235" s="3">
        <v>69011.45</v>
      </c>
      <c r="C2235" s="6">
        <f t="shared" si="102"/>
        <v>-6.18084481802934E-3</v>
      </c>
      <c r="D2235" s="7">
        <f t="shared" si="103"/>
        <v>-0.58727740600422595</v>
      </c>
      <c r="E2235" s="8">
        <f t="shared" si="104"/>
        <v>-1.0339518460876791</v>
      </c>
    </row>
    <row r="2236" spans="1:5" x14ac:dyDescent="0.2">
      <c r="A2236" s="4">
        <v>44874</v>
      </c>
      <c r="B2236" s="3">
        <v>69640.23</v>
      </c>
      <c r="C2236" s="6">
        <f t="shared" si="102"/>
        <v>9.0699847347429381E-3</v>
      </c>
      <c r="D2236" s="7">
        <f t="shared" si="103"/>
        <v>0.81006298199522919</v>
      </c>
      <c r="E2236" s="8">
        <f t="shared" si="104"/>
        <v>-1.3291103874205221</v>
      </c>
    </row>
    <row r="2237" spans="1:5" x14ac:dyDescent="0.2">
      <c r="A2237" s="4">
        <v>44875</v>
      </c>
      <c r="B2237" s="3">
        <v>70710.27</v>
      </c>
      <c r="C2237" s="6">
        <f t="shared" si="102"/>
        <v>1.5248406427964253E-2</v>
      </c>
      <c r="D2237" s="7">
        <f t="shared" si="103"/>
        <v>1.3761540353478492</v>
      </c>
      <c r="E2237" s="8">
        <f t="shared" si="104"/>
        <v>-2.2563277283024239</v>
      </c>
    </row>
    <row r="2238" spans="1:5" x14ac:dyDescent="0.2">
      <c r="A2238" s="4">
        <v>44876</v>
      </c>
      <c r="B2238" s="3">
        <v>72982.8</v>
      </c>
      <c r="C2238" s="6">
        <f t="shared" si="102"/>
        <v>3.1632972926024655E-2</v>
      </c>
      <c r="D2238" s="7">
        <f t="shared" si="103"/>
        <v>2.8773718168711371</v>
      </c>
      <c r="E2238" s="8">
        <f t="shared" si="104"/>
        <v>-4.7078845981055659</v>
      </c>
    </row>
    <row r="2239" spans="1:5" x14ac:dyDescent="0.2">
      <c r="A2239" s="4">
        <v>44879</v>
      </c>
      <c r="B2239" s="3">
        <v>72822.47</v>
      </c>
      <c r="C2239" s="6">
        <f t="shared" si="102"/>
        <v>-2.1992355231261126E-3</v>
      </c>
      <c r="D2239" s="7">
        <f t="shared" si="103"/>
        <v>-0.22246685863364335</v>
      </c>
      <c r="E2239" s="8">
        <f t="shared" si="104"/>
        <v>-0.71972822915856183</v>
      </c>
    </row>
    <row r="2240" spans="1:5" x14ac:dyDescent="0.2">
      <c r="A2240" s="4">
        <v>44880</v>
      </c>
      <c r="B2240" s="3">
        <v>72998.69</v>
      </c>
      <c r="C2240" s="6">
        <f t="shared" si="102"/>
        <v>2.4169343568995025E-3</v>
      </c>
      <c r="D2240" s="7">
        <f t="shared" si="103"/>
        <v>0.2004846004267494</v>
      </c>
      <c r="E2240" s="8">
        <f t="shared" si="104"/>
        <v>-0.70920667702153861</v>
      </c>
    </row>
    <row r="2241" spans="1:5" x14ac:dyDescent="0.2">
      <c r="A2241" s="4">
        <v>44881</v>
      </c>
      <c r="B2241" s="3">
        <v>72607.460000000006</v>
      </c>
      <c r="C2241" s="6">
        <f t="shared" si="102"/>
        <v>-5.3738244091224401E-3</v>
      </c>
      <c r="D2241" s="7">
        <f t="shared" si="103"/>
        <v>-0.51333505372736521</v>
      </c>
      <c r="E2241" s="8">
        <f t="shared" si="104"/>
        <v>-0.95104050535396034</v>
      </c>
    </row>
    <row r="2242" spans="1:5" x14ac:dyDescent="0.2">
      <c r="A2242" s="4">
        <v>44882</v>
      </c>
      <c r="B2242" s="3">
        <v>72155.289999999994</v>
      </c>
      <c r="C2242" s="6">
        <f t="shared" si="102"/>
        <v>-6.2470693673140837E-3</v>
      </c>
      <c r="D2242" s="7">
        <f t="shared" si="103"/>
        <v>-0.59334515707785929</v>
      </c>
      <c r="E2242" s="8">
        <f t="shared" si="104"/>
        <v>-1.0411273581699898</v>
      </c>
    </row>
    <row r="2243" spans="1:5" x14ac:dyDescent="0.2">
      <c r="A2243" s="4">
        <v>44883</v>
      </c>
      <c r="B2243" s="3">
        <v>72576.86</v>
      </c>
      <c r="C2243" s="6">
        <f t="shared" ref="C2243:C2306" si="105">LN(B2243/B2242)</f>
        <v>5.8255362368339553E-3</v>
      </c>
      <c r="D2243" s="7">
        <f t="shared" ref="D2243:D2306" si="106">(C2243-$G$4)/$G$5</f>
        <v>0.51279397723553244</v>
      </c>
      <c r="E2243" s="8">
        <f t="shared" ref="E2243:E2306" si="107">LN((PI()*(G$3-2))^(-1/2)*EXP(GAMMALN((G$3+1)/2))*((1+D2243^2/(G$3-2))^(-(G$3+1)/2))/EXP(GAMMALN(G$3/2)))</f>
        <v>-0.95046584269383028</v>
      </c>
    </row>
    <row r="2244" spans="1:5" x14ac:dyDescent="0.2">
      <c r="A2244" s="4">
        <v>44886</v>
      </c>
      <c r="B2244" s="3">
        <v>71938.009999999995</v>
      </c>
      <c r="C2244" s="6">
        <f t="shared" si="105"/>
        <v>-8.8413622979186517E-3</v>
      </c>
      <c r="D2244" s="7">
        <f t="shared" si="106"/>
        <v>-0.83104437715577717</v>
      </c>
      <c r="E2244" s="8">
        <f t="shared" si="107"/>
        <v>-1.3598238466360548</v>
      </c>
    </row>
    <row r="2245" spans="1:5" x14ac:dyDescent="0.2">
      <c r="A2245" s="4">
        <v>44887</v>
      </c>
      <c r="B2245" s="3">
        <v>72242.33</v>
      </c>
      <c r="C2245" s="6">
        <f t="shared" si="105"/>
        <v>4.2213862433345302E-3</v>
      </c>
      <c r="D2245" s="7">
        <f t="shared" si="106"/>
        <v>0.36581550851883593</v>
      </c>
      <c r="E2245" s="8">
        <f t="shared" si="107"/>
        <v>-0.81329798767891825</v>
      </c>
    </row>
    <row r="2246" spans="1:5" x14ac:dyDescent="0.2">
      <c r="A2246" s="4">
        <v>44888</v>
      </c>
      <c r="B2246" s="3">
        <v>72891.45</v>
      </c>
      <c r="C2246" s="6">
        <f t="shared" si="105"/>
        <v>8.9451859979869444E-3</v>
      </c>
      <c r="D2246" s="7">
        <f t="shared" si="106"/>
        <v>0.798628435786642</v>
      </c>
      <c r="E2246" s="8">
        <f t="shared" si="107"/>
        <v>-1.3125554249111993</v>
      </c>
    </row>
    <row r="2247" spans="1:5" x14ac:dyDescent="0.2">
      <c r="A2247" s="4">
        <v>44889</v>
      </c>
      <c r="B2247" s="3">
        <v>73127.34</v>
      </c>
      <c r="C2247" s="6">
        <f t="shared" si="105"/>
        <v>3.2309568543367078E-3</v>
      </c>
      <c r="D2247" s="7">
        <f t="shared" si="106"/>
        <v>0.27506851131980786</v>
      </c>
      <c r="E2247" s="8">
        <f t="shared" si="107"/>
        <v>-0.74912259466928244</v>
      </c>
    </row>
    <row r="2248" spans="1:5" x14ac:dyDescent="0.2">
      <c r="A2248" s="4">
        <v>44890</v>
      </c>
      <c r="B2248" s="3">
        <v>73151.38</v>
      </c>
      <c r="C2248" s="6">
        <f t="shared" si="105"/>
        <v>3.2868759333475132E-4</v>
      </c>
      <c r="D2248" s="7">
        <f t="shared" si="106"/>
        <v>9.1513006386243004E-3</v>
      </c>
      <c r="E2248" s="8">
        <f t="shared" si="107"/>
        <v>-0.66332974088559715</v>
      </c>
    </row>
    <row r="2249" spans="1:5" x14ac:dyDescent="0.2">
      <c r="A2249" s="4">
        <v>44893</v>
      </c>
      <c r="B2249" s="3">
        <v>73368.25</v>
      </c>
      <c r="C2249" s="6">
        <f t="shared" si="105"/>
        <v>2.9602880975717542E-3</v>
      </c>
      <c r="D2249" s="7">
        <f t="shared" si="106"/>
        <v>0.25026878588267459</v>
      </c>
      <c r="E2249" s="8">
        <f t="shared" si="107"/>
        <v>-0.73453064607430951</v>
      </c>
    </row>
    <row r="2250" spans="1:5" x14ac:dyDescent="0.2">
      <c r="A2250" s="4">
        <v>44894</v>
      </c>
      <c r="B2250" s="3">
        <v>73127.92</v>
      </c>
      <c r="C2250" s="6">
        <f t="shared" si="105"/>
        <v>-3.2810443522318417E-3</v>
      </c>
      <c r="D2250" s="7">
        <f t="shared" si="106"/>
        <v>-0.3215863959527821</v>
      </c>
      <c r="E2250" s="8">
        <f t="shared" si="107"/>
        <v>-0.77994341932847533</v>
      </c>
    </row>
    <row r="2251" spans="1:5" x14ac:dyDescent="0.2">
      <c r="A2251" s="4">
        <v>44895</v>
      </c>
      <c r="B2251" s="3">
        <v>74828</v>
      </c>
      <c r="C2251" s="6">
        <f t="shared" si="105"/>
        <v>2.2981910107951975E-2</v>
      </c>
      <c r="D2251" s="7">
        <f t="shared" si="106"/>
        <v>2.084727755577048</v>
      </c>
      <c r="E2251" s="8">
        <f t="shared" si="107"/>
        <v>-3.4764612573637224</v>
      </c>
    </row>
    <row r="2252" spans="1:5" x14ac:dyDescent="0.2">
      <c r="A2252" s="4">
        <v>44896</v>
      </c>
      <c r="B2252" s="3">
        <v>75020.009999999995</v>
      </c>
      <c r="C2252" s="6">
        <f t="shared" si="105"/>
        <v>2.562731464861539E-3</v>
      </c>
      <c r="D2252" s="7">
        <f t="shared" si="106"/>
        <v>0.21384309916964808</v>
      </c>
      <c r="E2252" s="8">
        <f t="shared" si="107"/>
        <v>-0.71547523516378442</v>
      </c>
    </row>
    <row r="2253" spans="1:5" x14ac:dyDescent="0.2">
      <c r="A2253" s="4">
        <v>44897</v>
      </c>
      <c r="B2253" s="3">
        <v>74322.91</v>
      </c>
      <c r="C2253" s="6">
        <f t="shared" si="105"/>
        <v>-9.3356292070914827E-3</v>
      </c>
      <c r="D2253" s="7">
        <f t="shared" si="106"/>
        <v>-0.87633103597318607</v>
      </c>
      <c r="E2253" s="8">
        <f t="shared" si="107"/>
        <v>-1.4275216579341545</v>
      </c>
    </row>
    <row r="2254" spans="1:5" x14ac:dyDescent="0.2">
      <c r="A2254" s="4">
        <v>44900</v>
      </c>
      <c r="B2254" s="3">
        <v>74693.42</v>
      </c>
      <c r="C2254" s="6">
        <f t="shared" si="105"/>
        <v>4.9727538385349792E-3</v>
      </c>
      <c r="D2254" s="7">
        <f t="shared" si="106"/>
        <v>0.4346587333004519</v>
      </c>
      <c r="E2254" s="8">
        <f t="shared" si="107"/>
        <v>-0.87270388705868818</v>
      </c>
    </row>
    <row r="2255" spans="1:5" x14ac:dyDescent="0.2">
      <c r="A2255" s="4">
        <v>44901</v>
      </c>
      <c r="B2255" s="3">
        <v>74557.31</v>
      </c>
      <c r="C2255" s="6">
        <f t="shared" si="105"/>
        <v>-1.82391118264616E-3</v>
      </c>
      <c r="D2255" s="7">
        <f t="shared" si="106"/>
        <v>-0.18807818110386518</v>
      </c>
      <c r="E2255" s="8">
        <f t="shared" si="107"/>
        <v>-0.70373479429957342</v>
      </c>
    </row>
    <row r="2256" spans="1:5" x14ac:dyDescent="0.2">
      <c r="A2256" s="4">
        <v>44902</v>
      </c>
      <c r="B2256" s="3">
        <v>74011.12</v>
      </c>
      <c r="C2256" s="6">
        <f t="shared" si="105"/>
        <v>-7.3527392153231426E-3</v>
      </c>
      <c r="D2256" s="7">
        <f t="shared" si="106"/>
        <v>-0.69465093386004284</v>
      </c>
      <c r="E2256" s="8">
        <f t="shared" si="107"/>
        <v>-1.1685309142826783</v>
      </c>
    </row>
    <row r="2257" spans="1:5" x14ac:dyDescent="0.2">
      <c r="A2257" s="4">
        <v>44903</v>
      </c>
      <c r="B2257" s="3">
        <v>74467.259999999995</v>
      </c>
      <c r="C2257" s="6">
        <f t="shared" si="105"/>
        <v>6.1442135210688035E-3</v>
      </c>
      <c r="D2257" s="7">
        <f t="shared" si="106"/>
        <v>0.54199243089724747</v>
      </c>
      <c r="E2257" s="8">
        <f t="shared" si="107"/>
        <v>-0.98215580642565392</v>
      </c>
    </row>
    <row r="2258" spans="1:5" x14ac:dyDescent="0.2">
      <c r="A2258" s="4">
        <v>44904</v>
      </c>
      <c r="B2258" s="3">
        <v>74548.14</v>
      </c>
      <c r="C2258" s="6">
        <f t="shared" si="105"/>
        <v>1.0855254952466852E-3</v>
      </c>
      <c r="D2258" s="7">
        <f t="shared" si="106"/>
        <v>7.8495736221675799E-2</v>
      </c>
      <c r="E2258" s="8">
        <f t="shared" si="107"/>
        <v>-0.67033269326403266</v>
      </c>
    </row>
    <row r="2259" spans="1:5" x14ac:dyDescent="0.2">
      <c r="A2259" s="4">
        <v>44907</v>
      </c>
      <c r="B2259" s="3">
        <v>74422.179999999993</v>
      </c>
      <c r="C2259" s="6">
        <f t="shared" si="105"/>
        <v>-1.6910755111180275E-3</v>
      </c>
      <c r="D2259" s="7">
        <f t="shared" si="106"/>
        <v>-0.17590725963687209</v>
      </c>
      <c r="E2259" s="8">
        <f t="shared" si="107"/>
        <v>-0.6986963232010226</v>
      </c>
    </row>
    <row r="2260" spans="1:5" x14ac:dyDescent="0.2">
      <c r="A2260" s="4">
        <v>44908</v>
      </c>
      <c r="B2260" s="3">
        <v>75835.45</v>
      </c>
      <c r="C2260" s="6">
        <f t="shared" si="105"/>
        <v>1.8811845731080898E-2</v>
      </c>
      <c r="D2260" s="7">
        <f t="shared" si="106"/>
        <v>1.7026502197815925</v>
      </c>
      <c r="E2260" s="8">
        <f t="shared" si="107"/>
        <v>-2.8257966930995893</v>
      </c>
    </row>
    <row r="2261" spans="1:5" x14ac:dyDescent="0.2">
      <c r="A2261" s="4">
        <v>44909</v>
      </c>
      <c r="B2261" s="3">
        <v>74294.67</v>
      </c>
      <c r="C2261" s="6">
        <f t="shared" si="105"/>
        <v>-2.0526648475299541E-2</v>
      </c>
      <c r="D2261" s="7">
        <f t="shared" si="106"/>
        <v>-1.9016957974267445</v>
      </c>
      <c r="E2261" s="8">
        <f t="shared" si="107"/>
        <v>-3.1683365904728147</v>
      </c>
    </row>
    <row r="2262" spans="1:5" x14ac:dyDescent="0.2">
      <c r="A2262" s="4">
        <v>44910</v>
      </c>
      <c r="B2262" s="3">
        <v>72989.34</v>
      </c>
      <c r="C2262" s="6">
        <f t="shared" si="105"/>
        <v>-1.7725809857880484E-2</v>
      </c>
      <c r="D2262" s="7">
        <f t="shared" si="106"/>
        <v>-1.6450720572658841</v>
      </c>
      <c r="E2262" s="8">
        <f t="shared" si="107"/>
        <v>-2.7256750745590748</v>
      </c>
    </row>
    <row r="2263" spans="1:5" x14ac:dyDescent="0.2">
      <c r="A2263" s="4">
        <v>44914</v>
      </c>
      <c r="B2263" s="3">
        <v>73359.600000000006</v>
      </c>
      <c r="C2263" s="6">
        <f t="shared" si="105"/>
        <v>5.0599722825474197E-3</v>
      </c>
      <c r="D2263" s="7">
        <f t="shared" si="106"/>
        <v>0.44265002675601989</v>
      </c>
      <c r="E2263" s="8">
        <f t="shared" si="107"/>
        <v>-0.88016690148337284</v>
      </c>
    </row>
    <row r="2264" spans="1:5" x14ac:dyDescent="0.2">
      <c r="A2264" s="4">
        <v>44915</v>
      </c>
      <c r="B2264" s="3">
        <v>73040.509999999995</v>
      </c>
      <c r="C2264" s="6">
        <f t="shared" si="105"/>
        <v>-4.3591566329481439E-3</v>
      </c>
      <c r="D2264" s="7">
        <f t="shared" si="106"/>
        <v>-0.42036724111469309</v>
      </c>
      <c r="E2264" s="8">
        <f t="shared" si="107"/>
        <v>-0.85964564611486582</v>
      </c>
    </row>
    <row r="2265" spans="1:5" x14ac:dyDescent="0.2">
      <c r="A2265" s="4">
        <v>44916</v>
      </c>
      <c r="B2265" s="3">
        <v>73836.91</v>
      </c>
      <c r="C2265" s="6">
        <f t="shared" si="105"/>
        <v>1.0844523344015382E-2</v>
      </c>
      <c r="D2265" s="7">
        <f t="shared" si="106"/>
        <v>0.97265311915599928</v>
      </c>
      <c r="E2265" s="8">
        <f t="shared" si="107"/>
        <v>-1.577165853494582</v>
      </c>
    </row>
    <row r="2266" spans="1:5" x14ac:dyDescent="0.2">
      <c r="A2266" s="4">
        <v>44917</v>
      </c>
      <c r="B2266" s="3">
        <v>73225.13</v>
      </c>
      <c r="C2266" s="6">
        <f t="shared" si="105"/>
        <v>-8.3200740195368151E-3</v>
      </c>
      <c r="D2266" s="7">
        <f t="shared" si="106"/>
        <v>-0.7832819152744015</v>
      </c>
      <c r="E2266" s="8">
        <f t="shared" si="107"/>
        <v>-1.2905468903274098</v>
      </c>
    </row>
    <row r="2267" spans="1:5" x14ac:dyDescent="0.2">
      <c r="A2267" s="4">
        <v>44918</v>
      </c>
      <c r="B2267" s="3">
        <v>73493.47</v>
      </c>
      <c r="C2267" s="6">
        <f t="shared" si="105"/>
        <v>3.6578906723851758E-3</v>
      </c>
      <c r="D2267" s="7">
        <f t="shared" si="106"/>
        <v>0.31418585014374684</v>
      </c>
      <c r="E2267" s="8">
        <f t="shared" si="107"/>
        <v>-0.77474385357733533</v>
      </c>
    </row>
    <row r="2268" spans="1:5" x14ac:dyDescent="0.2">
      <c r="A2268" s="4">
        <v>44923</v>
      </c>
      <c r="B2268" s="3">
        <v>74277.56</v>
      </c>
      <c r="C2268" s="6">
        <f t="shared" si="105"/>
        <v>1.061232852975243E-2</v>
      </c>
      <c r="D2268" s="7">
        <f t="shared" si="106"/>
        <v>0.95137852614248841</v>
      </c>
      <c r="E2268" s="8">
        <f t="shared" si="107"/>
        <v>-1.5435135806457008</v>
      </c>
    </row>
    <row r="2269" spans="1:5" x14ac:dyDescent="0.2">
      <c r="A2269" s="4">
        <v>44924</v>
      </c>
      <c r="B2269" s="3">
        <v>73597.14</v>
      </c>
      <c r="C2269" s="6">
        <f t="shared" si="105"/>
        <v>-9.2027209801478164E-3</v>
      </c>
      <c r="D2269" s="7">
        <f t="shared" si="106"/>
        <v>-0.86415346669650217</v>
      </c>
      <c r="E2269" s="8">
        <f t="shared" si="107"/>
        <v>-1.4091363052049048</v>
      </c>
    </row>
    <row r="2270" spans="1:5" x14ac:dyDescent="0.2">
      <c r="A2270" s="4">
        <v>44925</v>
      </c>
      <c r="B2270" s="3">
        <v>73048.570000000007</v>
      </c>
      <c r="C2270" s="6">
        <f t="shared" si="105"/>
        <v>-7.4816039121842872E-3</v>
      </c>
      <c r="D2270" s="7">
        <f t="shared" si="106"/>
        <v>-0.70645801916568463</v>
      </c>
      <c r="E2270" s="8">
        <f t="shared" si="107"/>
        <v>-1.1842543700744455</v>
      </c>
    </row>
    <row r="2271" spans="1:5" x14ac:dyDescent="0.2">
      <c r="A2271" s="4">
        <v>44929</v>
      </c>
      <c r="B2271" s="3">
        <v>74436.479999999996</v>
      </c>
      <c r="C2271" s="6">
        <f t="shared" si="105"/>
        <v>1.8821581878878821E-2</v>
      </c>
      <c r="D2271" s="7">
        <f t="shared" si="106"/>
        <v>1.7035422835538938</v>
      </c>
      <c r="E2271" s="8">
        <f t="shared" si="107"/>
        <v>-2.8273450520335262</v>
      </c>
    </row>
    <row r="2272" spans="1:5" x14ac:dyDescent="0.2">
      <c r="A2272" s="4">
        <v>44930</v>
      </c>
      <c r="B2272" s="3">
        <v>74567.61</v>
      </c>
      <c r="C2272" s="6">
        <f t="shared" si="105"/>
        <v>1.7600863688017694E-3</v>
      </c>
      <c r="D2272" s="7">
        <f t="shared" si="106"/>
        <v>0.14030163009263377</v>
      </c>
      <c r="E2272" s="8">
        <f t="shared" si="107"/>
        <v>-0.68584786715496804</v>
      </c>
    </row>
    <row r="2273" spans="1:5" x14ac:dyDescent="0.2">
      <c r="A2273" s="4">
        <v>44931</v>
      </c>
      <c r="B2273" s="3">
        <v>75439.3</v>
      </c>
      <c r="C2273" s="6">
        <f t="shared" si="105"/>
        <v>1.1622128765360232E-2</v>
      </c>
      <c r="D2273" s="7">
        <f t="shared" si="106"/>
        <v>1.0439003557350073</v>
      </c>
      <c r="E2273" s="8">
        <f t="shared" si="107"/>
        <v>-1.6920093718109317</v>
      </c>
    </row>
    <row r="2274" spans="1:5" x14ac:dyDescent="0.2">
      <c r="A2274" s="4">
        <v>44932</v>
      </c>
      <c r="B2274" s="3">
        <v>76858.94</v>
      </c>
      <c r="C2274" s="6">
        <f t="shared" si="105"/>
        <v>1.8643434347707488E-2</v>
      </c>
      <c r="D2274" s="7">
        <f t="shared" si="106"/>
        <v>1.6872197130690088</v>
      </c>
      <c r="E2274" s="8">
        <f t="shared" si="107"/>
        <v>-2.7989992642840091</v>
      </c>
    </row>
    <row r="2275" spans="1:5" x14ac:dyDescent="0.2">
      <c r="A2275" s="4">
        <v>44935</v>
      </c>
      <c r="B2275" s="3">
        <v>78342.7</v>
      </c>
      <c r="C2275" s="6">
        <f t="shared" si="105"/>
        <v>1.9120999062953847E-2</v>
      </c>
      <c r="D2275" s="7">
        <f t="shared" si="106"/>
        <v>1.730976051843111</v>
      </c>
      <c r="E2275" s="8">
        <f t="shared" si="107"/>
        <v>-2.8749139341506185</v>
      </c>
    </row>
    <row r="2276" spans="1:5" x14ac:dyDescent="0.2">
      <c r="A2276" s="4">
        <v>44936</v>
      </c>
      <c r="B2276" s="3">
        <v>78000.31</v>
      </c>
      <c r="C2276" s="6">
        <f t="shared" si="105"/>
        <v>-4.3799917550092051E-3</v>
      </c>
      <c r="D2276" s="7">
        <f t="shared" si="106"/>
        <v>-0.42227623612667436</v>
      </c>
      <c r="E2276" s="8">
        <f t="shared" si="107"/>
        <v>-0.86136833454032435</v>
      </c>
    </row>
    <row r="2277" spans="1:5" x14ac:dyDescent="0.2">
      <c r="A2277" s="4">
        <v>44937</v>
      </c>
      <c r="B2277" s="3">
        <v>78522.100000000006</v>
      </c>
      <c r="C2277" s="6">
        <f t="shared" si="105"/>
        <v>6.6673127883572977E-3</v>
      </c>
      <c r="D2277" s="7">
        <f t="shared" si="106"/>
        <v>0.58992082263396217</v>
      </c>
      <c r="E2277" s="8">
        <f t="shared" si="107"/>
        <v>-1.0370711818062552</v>
      </c>
    </row>
    <row r="2278" spans="1:5" x14ac:dyDescent="0.2">
      <c r="A2278" s="4">
        <v>44938</v>
      </c>
      <c r="B2278" s="3">
        <v>78627.55</v>
      </c>
      <c r="C2278" s="6">
        <f t="shared" si="105"/>
        <v>1.3420330980916161E-3</v>
      </c>
      <c r="D2278" s="7">
        <f t="shared" si="106"/>
        <v>0.10199796159531072</v>
      </c>
      <c r="E2278" s="8">
        <f t="shared" si="107"/>
        <v>-0.67520942564713005</v>
      </c>
    </row>
    <row r="2279" spans="1:5" x14ac:dyDescent="0.2">
      <c r="A2279" s="4">
        <v>44939</v>
      </c>
      <c r="B2279" s="3">
        <v>79333.72</v>
      </c>
      <c r="C2279" s="6">
        <f t="shared" si="105"/>
        <v>8.9411120139500748E-3</v>
      </c>
      <c r="D2279" s="7">
        <f t="shared" si="106"/>
        <v>0.79825516150571951</v>
      </c>
      <c r="E2279" s="8">
        <f t="shared" si="107"/>
        <v>-1.3120172286144669</v>
      </c>
    </row>
    <row r="2280" spans="1:5" x14ac:dyDescent="0.2">
      <c r="A2280" s="4">
        <v>44942</v>
      </c>
      <c r="B2280" s="3">
        <v>79167.8</v>
      </c>
      <c r="C2280" s="6">
        <f t="shared" si="105"/>
        <v>-2.0936084474771637E-3</v>
      </c>
      <c r="D2280" s="7">
        <f t="shared" si="106"/>
        <v>-0.21278889466717044</v>
      </c>
      <c r="E2280" s="8">
        <f t="shared" si="107"/>
        <v>-0.71496640604722084</v>
      </c>
    </row>
    <row r="2281" spans="1:5" x14ac:dyDescent="0.2">
      <c r="A2281" s="4">
        <v>44943</v>
      </c>
      <c r="B2281" s="3">
        <v>79385.11</v>
      </c>
      <c r="C2281" s="6">
        <f t="shared" si="105"/>
        <v>2.7411686871260613E-3</v>
      </c>
      <c r="D2281" s="7">
        <f t="shared" si="106"/>
        <v>0.23019221228050363</v>
      </c>
      <c r="E2281" s="8">
        <f t="shared" si="107"/>
        <v>-0.72367480092980863</v>
      </c>
    </row>
    <row r="2282" spans="1:5" x14ac:dyDescent="0.2">
      <c r="A2282" s="4">
        <v>44944</v>
      </c>
      <c r="B2282" s="3">
        <v>79865.48</v>
      </c>
      <c r="C2282" s="6">
        <f t="shared" si="105"/>
        <v>6.0329001852578584E-3</v>
      </c>
      <c r="D2282" s="7">
        <f t="shared" si="106"/>
        <v>0.53179346963331375</v>
      </c>
      <c r="E2282" s="8">
        <f t="shared" si="107"/>
        <v>-0.97093059437620155</v>
      </c>
    </row>
    <row r="2283" spans="1:5" x14ac:dyDescent="0.2">
      <c r="A2283" s="4">
        <v>44945</v>
      </c>
      <c r="B2283" s="3">
        <v>79505.06</v>
      </c>
      <c r="C2283" s="6">
        <f t="shared" si="105"/>
        <v>-4.5230519323807977E-3</v>
      </c>
      <c r="D2283" s="7">
        <f t="shared" si="106"/>
        <v>-0.43538396663169165</v>
      </c>
      <c r="E2283" s="8">
        <f t="shared" si="107"/>
        <v>-0.87337643031561185</v>
      </c>
    </row>
    <row r="2284" spans="1:5" x14ac:dyDescent="0.2">
      <c r="A2284" s="4">
        <v>44946</v>
      </c>
      <c r="B2284" s="3">
        <v>79269.77</v>
      </c>
      <c r="C2284" s="6">
        <f t="shared" si="105"/>
        <v>-2.9638220647060405E-3</v>
      </c>
      <c r="D2284" s="7">
        <f t="shared" si="106"/>
        <v>-0.29252125475508239</v>
      </c>
      <c r="E2284" s="8">
        <f t="shared" si="107"/>
        <v>-0.76016399054857708</v>
      </c>
    </row>
    <row r="2285" spans="1:5" x14ac:dyDescent="0.2">
      <c r="A2285" s="4">
        <v>44949</v>
      </c>
      <c r="B2285" s="3">
        <v>80128.63</v>
      </c>
      <c r="C2285" s="6">
        <f t="shared" si="105"/>
        <v>1.0776373057910769E-2</v>
      </c>
      <c r="D2285" s="7">
        <f t="shared" si="106"/>
        <v>0.96640892457640781</v>
      </c>
      <c r="E2285" s="8">
        <f t="shared" si="107"/>
        <v>-1.5672560705282521</v>
      </c>
    </row>
    <row r="2286" spans="1:5" x14ac:dyDescent="0.2">
      <c r="A2286" s="4">
        <v>44950</v>
      </c>
      <c r="B2286" s="3">
        <v>80037.009999999995</v>
      </c>
      <c r="C2286" s="6">
        <f t="shared" si="105"/>
        <v>-1.1440657308690832E-3</v>
      </c>
      <c r="D2286" s="7">
        <f t="shared" si="106"/>
        <v>-0.12578809359887697</v>
      </c>
      <c r="E2286" s="8">
        <f t="shared" si="107"/>
        <v>-0.68142629636173535</v>
      </c>
    </row>
    <row r="2287" spans="1:5" x14ac:dyDescent="0.2">
      <c r="A2287" s="4">
        <v>44951</v>
      </c>
      <c r="B2287" s="3">
        <v>79725.460000000006</v>
      </c>
      <c r="C2287" s="6">
        <f t="shared" si="105"/>
        <v>-3.9001699826491047E-3</v>
      </c>
      <c r="D2287" s="7">
        <f t="shared" si="106"/>
        <v>-0.37831309699117921</v>
      </c>
      <c r="E2287" s="8">
        <f t="shared" si="107"/>
        <v>-0.82341720799526652</v>
      </c>
    </row>
    <row r="2288" spans="1:5" x14ac:dyDescent="0.2">
      <c r="A2288" s="4">
        <v>44952</v>
      </c>
      <c r="B2288" s="3">
        <v>80508.97</v>
      </c>
      <c r="C2288" s="6">
        <f t="shared" si="105"/>
        <v>9.7796240749644069E-3</v>
      </c>
      <c r="D2288" s="7">
        <f t="shared" si="106"/>
        <v>0.87508290157229185</v>
      </c>
      <c r="E2288" s="8">
        <f t="shared" si="107"/>
        <v>-1.4256313213785228</v>
      </c>
    </row>
    <row r="2289" spans="1:5" x14ac:dyDescent="0.2">
      <c r="A2289" s="4">
        <v>44953</v>
      </c>
      <c r="B2289" s="3">
        <v>80791.360000000001</v>
      </c>
      <c r="C2289" s="6">
        <f t="shared" si="105"/>
        <v>3.5014223282421931E-3</v>
      </c>
      <c r="D2289" s="7">
        <f t="shared" si="106"/>
        <v>0.29984961118980458</v>
      </c>
      <c r="E2289" s="8">
        <f t="shared" si="107"/>
        <v>-0.764988184944983</v>
      </c>
    </row>
    <row r="2290" spans="1:5" x14ac:dyDescent="0.2">
      <c r="A2290" s="4">
        <v>44956</v>
      </c>
      <c r="B2290" s="3">
        <v>80324.86</v>
      </c>
      <c r="C2290" s="6">
        <f t="shared" si="105"/>
        <v>-5.7908670354729942E-3</v>
      </c>
      <c r="D2290" s="7">
        <f t="shared" si="106"/>
        <v>-0.55154612305316875</v>
      </c>
      <c r="E2290" s="8">
        <f t="shared" si="107"/>
        <v>-0.9928200658177524</v>
      </c>
    </row>
    <row r="2291" spans="1:5" x14ac:dyDescent="0.2">
      <c r="A2291" s="4">
        <v>44957</v>
      </c>
      <c r="B2291" s="3">
        <v>79476.600000000006</v>
      </c>
      <c r="C2291" s="6">
        <f t="shared" si="105"/>
        <v>-1.0616523369777192E-2</v>
      </c>
      <c r="D2291" s="7">
        <f t="shared" si="106"/>
        <v>-0.99369154676245863</v>
      </c>
      <c r="E2291" s="8">
        <f t="shared" si="107"/>
        <v>-1.6107472461368493</v>
      </c>
    </row>
    <row r="2292" spans="1:5" x14ac:dyDescent="0.2">
      <c r="A2292" s="4">
        <v>44958</v>
      </c>
      <c r="B2292" s="3">
        <v>79816.87</v>
      </c>
      <c r="C2292" s="6">
        <f t="shared" si="105"/>
        <v>4.2722469107260045E-3</v>
      </c>
      <c r="D2292" s="7">
        <f t="shared" si="106"/>
        <v>0.37047556090882511</v>
      </c>
      <c r="E2292" s="8">
        <f t="shared" si="107"/>
        <v>-0.81703596656537003</v>
      </c>
    </row>
    <row r="2293" spans="1:5" x14ac:dyDescent="0.2">
      <c r="A2293" s="4">
        <v>44959</v>
      </c>
      <c r="B2293" s="3">
        <v>79802.09</v>
      </c>
      <c r="C2293" s="6">
        <f t="shared" si="105"/>
        <v>-1.8519103297297114E-4</v>
      </c>
      <c r="D2293" s="7">
        <f t="shared" si="106"/>
        <v>-3.793226006768044E-2</v>
      </c>
      <c r="E2293" s="8">
        <f t="shared" si="107"/>
        <v>-0.66489272024789747</v>
      </c>
    </row>
    <row r="2294" spans="1:5" x14ac:dyDescent="0.2">
      <c r="A2294" s="4">
        <v>44960</v>
      </c>
      <c r="B2294" s="3">
        <v>80240.92</v>
      </c>
      <c r="C2294" s="6">
        <f t="shared" si="105"/>
        <v>5.483914602151977E-3</v>
      </c>
      <c r="D2294" s="7">
        <f t="shared" si="106"/>
        <v>0.48149327284409493</v>
      </c>
      <c r="E2294" s="8">
        <f t="shared" si="107"/>
        <v>-0.91805266629830629</v>
      </c>
    </row>
    <row r="2295" spans="1:5" x14ac:dyDescent="0.2">
      <c r="A2295" s="4">
        <v>44963</v>
      </c>
      <c r="B2295" s="3">
        <v>79582.83</v>
      </c>
      <c r="C2295" s="6">
        <f t="shared" si="105"/>
        <v>-8.2352431257412626E-3</v>
      </c>
      <c r="D2295" s="7">
        <f t="shared" si="106"/>
        <v>-0.77550937846645651</v>
      </c>
      <c r="E2295" s="8">
        <f t="shared" si="107"/>
        <v>-1.2794943267224221</v>
      </c>
    </row>
    <row r="2296" spans="1:5" x14ac:dyDescent="0.2">
      <c r="A2296" s="4">
        <v>44964</v>
      </c>
      <c r="B2296" s="3">
        <v>79534.22</v>
      </c>
      <c r="C2296" s="6">
        <f t="shared" si="105"/>
        <v>-6.1099676637098961E-4</v>
      </c>
      <c r="D2296" s="7">
        <f t="shared" si="106"/>
        <v>-7.6946239383357873E-2</v>
      </c>
      <c r="E2296" s="8">
        <f t="shared" si="107"/>
        <v>-0.67005552740668795</v>
      </c>
    </row>
    <row r="2297" spans="1:5" x14ac:dyDescent="0.2">
      <c r="A2297" s="4">
        <v>44965</v>
      </c>
      <c r="B2297" s="3">
        <v>79975.59</v>
      </c>
      <c r="C2297" s="6">
        <f t="shared" si="105"/>
        <v>5.5340938147487757E-3</v>
      </c>
      <c r="D2297" s="7">
        <f t="shared" si="106"/>
        <v>0.48609088769231623</v>
      </c>
      <c r="E2297" s="8">
        <f t="shared" si="107"/>
        <v>-0.92271020415791682</v>
      </c>
    </row>
    <row r="2298" spans="1:5" x14ac:dyDescent="0.2">
      <c r="A2298" s="4">
        <v>44966</v>
      </c>
      <c r="B2298" s="3">
        <v>80021.09</v>
      </c>
      <c r="C2298" s="6">
        <f t="shared" si="105"/>
        <v>5.6876181713977087E-4</v>
      </c>
      <c r="D2298" s="7">
        <f t="shared" si="106"/>
        <v>3.1147835835583049E-2</v>
      </c>
      <c r="E2298" s="8">
        <f t="shared" si="107"/>
        <v>-0.6643522637608632</v>
      </c>
    </row>
    <row r="2299" spans="1:5" x14ac:dyDescent="0.2">
      <c r="A2299" s="4">
        <v>44967</v>
      </c>
      <c r="B2299" s="3">
        <v>78985.350000000006</v>
      </c>
      <c r="C2299" s="6">
        <f t="shared" si="105"/>
        <v>-1.3027832698556539E-2</v>
      </c>
      <c r="D2299" s="7">
        <f t="shared" si="106"/>
        <v>-1.2146250967312699</v>
      </c>
      <c r="E2299" s="8">
        <f t="shared" si="107"/>
        <v>-1.9776512211217483</v>
      </c>
    </row>
    <row r="2300" spans="1:5" x14ac:dyDescent="0.2">
      <c r="A2300" s="4">
        <v>44970</v>
      </c>
      <c r="B2300" s="3">
        <v>79770.210000000006</v>
      </c>
      <c r="C2300" s="6">
        <f t="shared" si="105"/>
        <v>9.8877342558471686E-3</v>
      </c>
      <c r="D2300" s="7">
        <f t="shared" si="106"/>
        <v>0.88498837730911495</v>
      </c>
      <c r="E2300" s="8">
        <f t="shared" si="107"/>
        <v>-1.4406701990303221</v>
      </c>
    </row>
    <row r="2301" spans="1:5" x14ac:dyDescent="0.2">
      <c r="A2301" s="4">
        <v>44971</v>
      </c>
      <c r="B2301" s="3">
        <v>79858.02</v>
      </c>
      <c r="C2301" s="6">
        <f t="shared" si="105"/>
        <v>1.1001814510764932E-3</v>
      </c>
      <c r="D2301" s="7">
        <f t="shared" si="106"/>
        <v>7.9838571962830882E-2</v>
      </c>
      <c r="E2301" s="8">
        <f t="shared" si="107"/>
        <v>-0.67057733798329711</v>
      </c>
    </row>
    <row r="2302" spans="1:5" x14ac:dyDescent="0.2">
      <c r="A2302" s="4">
        <v>44972</v>
      </c>
      <c r="B2302" s="3">
        <v>79471.759999999995</v>
      </c>
      <c r="C2302" s="6">
        <f t="shared" si="105"/>
        <v>-4.8485695103980021E-3</v>
      </c>
      <c r="D2302" s="7">
        <f t="shared" si="106"/>
        <v>-0.46520915464479351</v>
      </c>
      <c r="E2302" s="8">
        <f t="shared" si="107"/>
        <v>-0.90184862123096809</v>
      </c>
    </row>
    <row r="2303" spans="1:5" x14ac:dyDescent="0.2">
      <c r="A2303" s="4">
        <v>44973</v>
      </c>
      <c r="B2303" s="3">
        <v>80227.19</v>
      </c>
      <c r="C2303" s="6">
        <f t="shared" si="105"/>
        <v>9.4607464181901899E-3</v>
      </c>
      <c r="D2303" s="7">
        <f t="shared" si="106"/>
        <v>0.84586608899830018</v>
      </c>
      <c r="E2303" s="8">
        <f t="shared" si="107"/>
        <v>-1.3817744664303651</v>
      </c>
    </row>
    <row r="2304" spans="1:5" x14ac:dyDescent="0.2">
      <c r="A2304" s="4">
        <v>44974</v>
      </c>
      <c r="B2304" s="3">
        <v>79271.78</v>
      </c>
      <c r="C2304" s="6">
        <f t="shared" si="105"/>
        <v>-1.1980283349148231E-2</v>
      </c>
      <c r="D2304" s="7">
        <f t="shared" si="106"/>
        <v>-1.1186445463431307</v>
      </c>
      <c r="E2304" s="8">
        <f t="shared" si="107"/>
        <v>-1.8155226392370458</v>
      </c>
    </row>
    <row r="2305" spans="1:5" x14ac:dyDescent="0.2">
      <c r="A2305" s="4">
        <v>44977</v>
      </c>
      <c r="B2305" s="3">
        <v>79829.39</v>
      </c>
      <c r="C2305" s="6">
        <f t="shared" si="105"/>
        <v>7.00953089295475E-3</v>
      </c>
      <c r="D2305" s="7">
        <f t="shared" si="106"/>
        <v>0.62127617792161705</v>
      </c>
      <c r="E2305" s="8">
        <f t="shared" si="107"/>
        <v>-1.0748471082887587</v>
      </c>
    </row>
    <row r="2306" spans="1:5" x14ac:dyDescent="0.2">
      <c r="A2306" s="4">
        <v>44978</v>
      </c>
      <c r="B2306" s="3">
        <v>78811.05</v>
      </c>
      <c r="C2306" s="6">
        <f t="shared" si="105"/>
        <v>-1.2838516931740464E-2</v>
      </c>
      <c r="D2306" s="7">
        <f t="shared" si="106"/>
        <v>-1.197279249009229</v>
      </c>
      <c r="E2306" s="8">
        <f t="shared" si="107"/>
        <v>-1.9481080781881546</v>
      </c>
    </row>
    <row r="2307" spans="1:5" x14ac:dyDescent="0.2">
      <c r="A2307" s="4">
        <v>44979</v>
      </c>
      <c r="B2307" s="3">
        <v>78170.14</v>
      </c>
      <c r="C2307" s="6">
        <f t="shared" ref="C2307:C2370" si="108">LN(B2307/B2306)</f>
        <v>-8.165482260105229E-3</v>
      </c>
      <c r="D2307" s="7">
        <f t="shared" ref="D2307:D2370" si="109">(C2307-$G$4)/$G$5</f>
        <v>-0.76911761631884845</v>
      </c>
      <c r="E2307" s="8">
        <f t="shared" ref="E2307:E2370" si="110">LN((PI()*(G$3-2))^(-1/2)*EXP(GAMMALN((G$3+1)/2))*((1+D2307^2/(G$3-2))^(-(G$3+1)/2))/EXP(GAMMALN(G$3/2)))</f>
        <v>-1.2704535687104426</v>
      </c>
    </row>
    <row r="2308" spans="1:5" x14ac:dyDescent="0.2">
      <c r="A2308" s="4">
        <v>44980</v>
      </c>
      <c r="B2308" s="3">
        <v>79010.83</v>
      </c>
      <c r="C2308" s="6">
        <f t="shared" si="108"/>
        <v>1.0697198479794447E-2</v>
      </c>
      <c r="D2308" s="7">
        <f t="shared" si="109"/>
        <v>0.95915464143581342</v>
      </c>
      <c r="E2308" s="8">
        <f t="shared" si="110"/>
        <v>-1.555777103728903</v>
      </c>
    </row>
    <row r="2309" spans="1:5" x14ac:dyDescent="0.2">
      <c r="A2309" s="4">
        <v>44981</v>
      </c>
      <c r="B2309" s="3">
        <v>76937.77</v>
      </c>
      <c r="C2309" s="6">
        <f t="shared" si="108"/>
        <v>-2.6588018398319008E-2</v>
      </c>
      <c r="D2309" s="7">
        <f t="shared" si="109"/>
        <v>-2.4570621118119589</v>
      </c>
      <c r="E2309" s="8">
        <f t="shared" si="110"/>
        <v>-4.0770148566849649</v>
      </c>
    </row>
    <row r="2310" spans="1:5" x14ac:dyDescent="0.2">
      <c r="A2310" s="4">
        <v>44984</v>
      </c>
      <c r="B2310" s="3">
        <v>77513.78</v>
      </c>
      <c r="C2310" s="6">
        <f t="shared" si="108"/>
        <v>7.4588137247076081E-3</v>
      </c>
      <c r="D2310" s="7">
        <f t="shared" si="109"/>
        <v>0.66244122040475939</v>
      </c>
      <c r="E2310" s="8">
        <f t="shared" si="110"/>
        <v>-1.1265298000516006</v>
      </c>
    </row>
    <row r="2311" spans="1:5" x14ac:dyDescent="0.2">
      <c r="A2311" s="4">
        <v>44985</v>
      </c>
      <c r="B2311" s="3">
        <v>77733.87</v>
      </c>
      <c r="C2311" s="6">
        <f t="shared" si="108"/>
        <v>2.8353427242862089E-3</v>
      </c>
      <c r="D2311" s="7">
        <f t="shared" si="109"/>
        <v>0.23882080426426985</v>
      </c>
      <c r="E2311" s="8">
        <f t="shared" si="110"/>
        <v>-0.72823472318209503</v>
      </c>
    </row>
    <row r="2312" spans="1:5" x14ac:dyDescent="0.2">
      <c r="A2312" s="4">
        <v>44986</v>
      </c>
      <c r="B2312" s="3">
        <v>78631.45</v>
      </c>
      <c r="C2312" s="6">
        <f t="shared" si="108"/>
        <v>1.1480676902565686E-2</v>
      </c>
      <c r="D2312" s="7">
        <f t="shared" si="109"/>
        <v>1.0309399852740675</v>
      </c>
      <c r="E2312" s="8">
        <f t="shared" si="110"/>
        <v>-1.6708902655853903</v>
      </c>
    </row>
    <row r="2313" spans="1:5" x14ac:dyDescent="0.2">
      <c r="A2313" s="4">
        <v>44987</v>
      </c>
      <c r="B2313" s="3">
        <v>77547.009999999995</v>
      </c>
      <c r="C2313" s="6">
        <f t="shared" si="108"/>
        <v>-1.3887413523288253E-2</v>
      </c>
      <c r="D2313" s="7">
        <f t="shared" si="109"/>
        <v>-1.2933832389681401</v>
      </c>
      <c r="E2313" s="8">
        <f t="shared" si="110"/>
        <v>-2.1128481997575923</v>
      </c>
    </row>
    <row r="2314" spans="1:5" x14ac:dyDescent="0.2">
      <c r="A2314" s="4">
        <v>44988</v>
      </c>
      <c r="B2314" s="3">
        <v>78293.009999999995</v>
      </c>
      <c r="C2314" s="6">
        <f t="shared" si="108"/>
        <v>9.5739938723368723E-3</v>
      </c>
      <c r="D2314" s="7">
        <f t="shared" si="109"/>
        <v>0.85624226171531215</v>
      </c>
      <c r="E2314" s="8">
        <f t="shared" si="110"/>
        <v>-1.3972623648983475</v>
      </c>
    </row>
    <row r="2315" spans="1:5" x14ac:dyDescent="0.2">
      <c r="A2315" s="4">
        <v>44991</v>
      </c>
      <c r="B2315" s="3">
        <v>78697.83</v>
      </c>
      <c r="C2315" s="6">
        <f t="shared" si="108"/>
        <v>5.157254999830818E-3</v>
      </c>
      <c r="D2315" s="7">
        <f t="shared" si="109"/>
        <v>0.45156344811739851</v>
      </c>
      <c r="E2315" s="8">
        <f t="shared" si="110"/>
        <v>-0.88862600334949926</v>
      </c>
    </row>
    <row r="2316" spans="1:5" x14ac:dyDescent="0.2">
      <c r="A2316" s="4">
        <v>44992</v>
      </c>
      <c r="B2316" s="3">
        <v>78556.539999999994</v>
      </c>
      <c r="C2316" s="6">
        <f t="shared" si="108"/>
        <v>-1.7969616745103017E-3</v>
      </c>
      <c r="D2316" s="7">
        <f t="shared" si="109"/>
        <v>-0.18560896223123607</v>
      </c>
      <c r="E2316" s="8">
        <f t="shared" si="110"/>
        <v>-0.70268614125523632</v>
      </c>
    </row>
    <row r="2317" spans="1:5" x14ac:dyDescent="0.2">
      <c r="A2317" s="4">
        <v>44993</v>
      </c>
      <c r="B2317" s="3">
        <v>77741.83</v>
      </c>
      <c r="C2317" s="6">
        <f t="shared" si="108"/>
        <v>-1.0425155154280743E-2</v>
      </c>
      <c r="D2317" s="7">
        <f t="shared" si="109"/>
        <v>-0.97615764570040375</v>
      </c>
      <c r="E2317" s="8">
        <f t="shared" si="110"/>
        <v>-1.5827393164629517</v>
      </c>
    </row>
    <row r="2318" spans="1:5" x14ac:dyDescent="0.2">
      <c r="A2318" s="4">
        <v>44994</v>
      </c>
      <c r="B2318" s="3">
        <v>77664.05</v>
      </c>
      <c r="C2318" s="6">
        <f t="shared" si="108"/>
        <v>-1.0009918092484767E-3</v>
      </c>
      <c r="D2318" s="7">
        <f t="shared" si="109"/>
        <v>-0.11267910379224708</v>
      </c>
      <c r="E2318" s="8">
        <f t="shared" si="110"/>
        <v>-0.67784178584663923</v>
      </c>
    </row>
    <row r="2319" spans="1:5" x14ac:dyDescent="0.2">
      <c r="A2319" s="4">
        <v>44995</v>
      </c>
      <c r="B2319" s="3">
        <v>76454.36</v>
      </c>
      <c r="C2319" s="6">
        <f t="shared" si="108"/>
        <v>-1.5698511854986722E-2</v>
      </c>
      <c r="D2319" s="7">
        <f t="shared" si="109"/>
        <v>-1.4593231202554944</v>
      </c>
      <c r="E2319" s="8">
        <f t="shared" si="110"/>
        <v>-2.4013380766275194</v>
      </c>
    </row>
    <row r="2320" spans="1:5" x14ac:dyDescent="0.2">
      <c r="A2320" s="4">
        <v>44998</v>
      </c>
      <c r="B2320" s="3">
        <v>75502.28</v>
      </c>
      <c r="C2320" s="6">
        <f t="shared" si="108"/>
        <v>-1.2531107013420804E-2</v>
      </c>
      <c r="D2320" s="7">
        <f t="shared" si="109"/>
        <v>-1.1691131552860459</v>
      </c>
      <c r="E2320" s="8">
        <f t="shared" si="110"/>
        <v>-1.9003494460656793</v>
      </c>
    </row>
    <row r="2321" spans="1:5" x14ac:dyDescent="0.2">
      <c r="A2321" s="4">
        <v>44999</v>
      </c>
      <c r="B2321" s="3">
        <v>75008.679999999993</v>
      </c>
      <c r="C2321" s="6">
        <f t="shared" si="108"/>
        <v>-6.5590143014467662E-3</v>
      </c>
      <c r="D2321" s="7">
        <f t="shared" si="109"/>
        <v>-0.62192676660848256</v>
      </c>
      <c r="E2321" s="8">
        <f t="shared" si="110"/>
        <v>-1.0756457951968652</v>
      </c>
    </row>
    <row r="2322" spans="1:5" x14ac:dyDescent="0.2">
      <c r="A2322" s="4">
        <v>45000</v>
      </c>
      <c r="B2322" s="3">
        <v>72895.539999999994</v>
      </c>
      <c r="C2322" s="6">
        <f t="shared" si="108"/>
        <v>-2.8576382728216575E-2</v>
      </c>
      <c r="D2322" s="7">
        <f t="shared" si="109"/>
        <v>-2.6392437941007292</v>
      </c>
      <c r="E2322" s="8">
        <f t="shared" si="110"/>
        <v>-4.3567034303762702</v>
      </c>
    </row>
    <row r="2323" spans="1:5" x14ac:dyDescent="0.2">
      <c r="A2323" s="4">
        <v>45001</v>
      </c>
      <c r="B2323" s="3">
        <v>72905.5</v>
      </c>
      <c r="C2323" s="6">
        <f t="shared" si="108"/>
        <v>1.3662454006508232E-4</v>
      </c>
      <c r="D2323" s="7">
        <f t="shared" si="109"/>
        <v>-8.4462641658039263E-3</v>
      </c>
      <c r="E2323" s="8">
        <f t="shared" si="110"/>
        <v>-0.66331542651600939</v>
      </c>
    </row>
    <row r="2324" spans="1:5" x14ac:dyDescent="0.2">
      <c r="A2324" s="4">
        <v>45002</v>
      </c>
      <c r="B2324" s="3">
        <v>72527.92</v>
      </c>
      <c r="C2324" s="6">
        <f t="shared" si="108"/>
        <v>-5.1924908093025756E-3</v>
      </c>
      <c r="D2324" s="7">
        <f t="shared" si="109"/>
        <v>-0.49672056322684238</v>
      </c>
      <c r="E2324" s="8">
        <f t="shared" si="110"/>
        <v>-0.93361577450538602</v>
      </c>
    </row>
    <row r="2325" spans="1:5" x14ac:dyDescent="0.2">
      <c r="A2325" s="4">
        <v>45005</v>
      </c>
      <c r="B2325" s="3">
        <v>74271.06</v>
      </c>
      <c r="C2325" s="6">
        <f t="shared" si="108"/>
        <v>2.3749782653652376E-2</v>
      </c>
      <c r="D2325" s="7">
        <f t="shared" si="109"/>
        <v>2.1550832281911969</v>
      </c>
      <c r="E2325" s="8">
        <f t="shared" si="110"/>
        <v>-3.5927810450883242</v>
      </c>
    </row>
    <row r="2326" spans="1:5" x14ac:dyDescent="0.2">
      <c r="A2326" s="4">
        <v>45007</v>
      </c>
      <c r="B2326" s="3">
        <v>75243.44</v>
      </c>
      <c r="C2326" s="6">
        <f t="shared" si="108"/>
        <v>1.3007349919939142E-2</v>
      </c>
      <c r="D2326" s="7">
        <f t="shared" si="109"/>
        <v>1.1708197117547257</v>
      </c>
      <c r="E2326" s="8">
        <f t="shared" si="110"/>
        <v>-1.9032351338654603</v>
      </c>
    </row>
    <row r="2327" spans="1:5" x14ac:dyDescent="0.2">
      <c r="A2327" s="4">
        <v>45008</v>
      </c>
      <c r="B2327" s="3">
        <v>75585.23</v>
      </c>
      <c r="C2327" s="6">
        <f t="shared" si="108"/>
        <v>4.5321699786443938E-3</v>
      </c>
      <c r="D2327" s="7">
        <f t="shared" si="109"/>
        <v>0.39429072449178371</v>
      </c>
      <c r="E2327" s="8">
        <f t="shared" si="110"/>
        <v>-0.83678977407047561</v>
      </c>
    </row>
    <row r="2328" spans="1:5" x14ac:dyDescent="0.2">
      <c r="A2328" s="4">
        <v>45009</v>
      </c>
      <c r="B2328" s="3">
        <v>74695.039999999994</v>
      </c>
      <c r="C2328" s="6">
        <f t="shared" si="108"/>
        <v>-1.1847202722624432E-2</v>
      </c>
      <c r="D2328" s="7">
        <f t="shared" si="109"/>
        <v>-1.1064511811456177</v>
      </c>
      <c r="E2328" s="8">
        <f t="shared" si="110"/>
        <v>-1.7951888718801268</v>
      </c>
    </row>
    <row r="2329" spans="1:5" x14ac:dyDescent="0.2">
      <c r="A2329" s="4">
        <v>45012</v>
      </c>
      <c r="B2329" s="3">
        <v>75283.679999999993</v>
      </c>
      <c r="C2329" s="6">
        <f t="shared" si="108"/>
        <v>7.8496872428978261E-3</v>
      </c>
      <c r="D2329" s="7">
        <f t="shared" si="109"/>
        <v>0.69825457414244818</v>
      </c>
      <c r="E2329" s="8">
        <f t="shared" si="110"/>
        <v>-1.1733116495087736</v>
      </c>
    </row>
    <row r="2330" spans="1:5" x14ac:dyDescent="0.2">
      <c r="A2330" s="4">
        <v>45013</v>
      </c>
      <c r="B2330" s="3">
        <v>76047.34</v>
      </c>
      <c r="C2330" s="6">
        <f t="shared" si="108"/>
        <v>1.0092662856656233E-2</v>
      </c>
      <c r="D2330" s="7">
        <f t="shared" si="109"/>
        <v>0.90376473367555732</v>
      </c>
      <c r="E2330" s="8">
        <f t="shared" si="110"/>
        <v>-1.46940309606967</v>
      </c>
    </row>
    <row r="2331" spans="1:5" x14ac:dyDescent="0.2">
      <c r="A2331" s="4">
        <v>45014</v>
      </c>
      <c r="B2331" s="3">
        <v>76480.11</v>
      </c>
      <c r="C2331" s="6">
        <f t="shared" si="108"/>
        <v>5.6746659218608895E-3</v>
      </c>
      <c r="D2331" s="7">
        <f t="shared" si="109"/>
        <v>0.49897065151199882</v>
      </c>
      <c r="E2331" s="8">
        <f t="shared" si="110"/>
        <v>-0.93594867784871572</v>
      </c>
    </row>
    <row r="2332" spans="1:5" x14ac:dyDescent="0.2">
      <c r="A2332" s="4">
        <v>45015</v>
      </c>
      <c r="B2332" s="3">
        <v>76704.63</v>
      </c>
      <c r="C2332" s="6">
        <f t="shared" si="108"/>
        <v>2.9313645833534898E-3</v>
      </c>
      <c r="D2332" s="7">
        <f t="shared" si="109"/>
        <v>0.24761870088630067</v>
      </c>
      <c r="E2332" s="8">
        <f t="shared" si="110"/>
        <v>-0.73304833856269824</v>
      </c>
    </row>
    <row r="2333" spans="1:5" x14ac:dyDescent="0.2">
      <c r="A2333" s="4">
        <v>45016</v>
      </c>
      <c r="B2333" s="3">
        <v>76100.17</v>
      </c>
      <c r="C2333" s="6">
        <f t="shared" si="108"/>
        <v>-7.9115728420793303E-3</v>
      </c>
      <c r="D2333" s="7">
        <f t="shared" si="109"/>
        <v>-0.74585344675526355</v>
      </c>
      <c r="E2333" s="8">
        <f t="shared" si="110"/>
        <v>-1.2379253799942918</v>
      </c>
    </row>
    <row r="2334" spans="1:5" x14ac:dyDescent="0.2">
      <c r="A2334" s="4">
        <v>45019</v>
      </c>
      <c r="B2334" s="3">
        <v>76614.960000000006</v>
      </c>
      <c r="C2334" s="6">
        <f t="shared" si="108"/>
        <v>6.7418591711245097E-3</v>
      </c>
      <c r="D2334" s="7">
        <f t="shared" si="109"/>
        <v>0.59675105249519333</v>
      </c>
      <c r="E2334" s="8">
        <f t="shared" si="110"/>
        <v>-1.0451787718863579</v>
      </c>
    </row>
    <row r="2335" spans="1:5" x14ac:dyDescent="0.2">
      <c r="A2335" s="4">
        <v>45020</v>
      </c>
      <c r="B2335" s="3">
        <v>77458.58</v>
      </c>
      <c r="C2335" s="6">
        <f t="shared" si="108"/>
        <v>1.0950983937198811E-2</v>
      </c>
      <c r="D2335" s="7">
        <f t="shared" si="109"/>
        <v>0.98240745324456979</v>
      </c>
      <c r="E2335" s="8">
        <f t="shared" si="110"/>
        <v>-1.5926992484917688</v>
      </c>
    </row>
    <row r="2336" spans="1:5" x14ac:dyDescent="0.2">
      <c r="A2336" s="4">
        <v>45021</v>
      </c>
      <c r="B2336" s="3">
        <v>76656.42</v>
      </c>
      <c r="C2336" s="6">
        <f t="shared" si="108"/>
        <v>-1.0409982727302876E-2</v>
      </c>
      <c r="D2336" s="7">
        <f t="shared" si="109"/>
        <v>-0.97476748886160458</v>
      </c>
      <c r="E2336" s="8">
        <f t="shared" si="110"/>
        <v>-1.5805274708212125</v>
      </c>
    </row>
    <row r="2337" spans="1:5" x14ac:dyDescent="0.2">
      <c r="A2337" s="4">
        <v>45022</v>
      </c>
      <c r="B2337" s="3">
        <v>77113.7</v>
      </c>
      <c r="C2337" s="6">
        <f t="shared" si="108"/>
        <v>5.9475969451148686E-3</v>
      </c>
      <c r="D2337" s="7">
        <f t="shared" si="109"/>
        <v>0.52397765461377288</v>
      </c>
      <c r="E2337" s="8">
        <f t="shared" si="110"/>
        <v>-0.96244109073262396</v>
      </c>
    </row>
    <row r="2338" spans="1:5" x14ac:dyDescent="0.2">
      <c r="A2338" s="4">
        <v>45027</v>
      </c>
      <c r="B2338" s="3">
        <v>77990.539999999994</v>
      </c>
      <c r="C2338" s="6">
        <f t="shared" si="108"/>
        <v>1.130658118900711E-2</v>
      </c>
      <c r="D2338" s="7">
        <f t="shared" si="109"/>
        <v>1.014988658096015</v>
      </c>
      <c r="E2338" s="8">
        <f t="shared" si="110"/>
        <v>-1.6450311433357343</v>
      </c>
    </row>
    <row r="2339" spans="1:5" x14ac:dyDescent="0.2">
      <c r="A2339" s="4">
        <v>45028</v>
      </c>
      <c r="B2339" s="3">
        <v>77740.69</v>
      </c>
      <c r="C2339" s="6">
        <f t="shared" si="108"/>
        <v>-3.2087361587139476E-3</v>
      </c>
      <c r="D2339" s="7">
        <f t="shared" si="109"/>
        <v>-0.31496123770573664</v>
      </c>
      <c r="E2339" s="8">
        <f t="shared" si="110"/>
        <v>-0.77528343265999022</v>
      </c>
    </row>
    <row r="2340" spans="1:5" x14ac:dyDescent="0.2">
      <c r="A2340" s="4">
        <v>45029</v>
      </c>
      <c r="B2340" s="3">
        <v>78462.77</v>
      </c>
      <c r="C2340" s="6">
        <f t="shared" si="108"/>
        <v>9.2454436476962654E-3</v>
      </c>
      <c r="D2340" s="7">
        <f t="shared" si="109"/>
        <v>0.8261392108099167</v>
      </c>
      <c r="E2340" s="8">
        <f t="shared" si="110"/>
        <v>-1.3526051836079056</v>
      </c>
    </row>
    <row r="2341" spans="1:5" x14ac:dyDescent="0.2">
      <c r="A2341" s="4">
        <v>45030</v>
      </c>
      <c r="B2341" s="3">
        <v>78870.36</v>
      </c>
      <c r="C2341" s="6">
        <f t="shared" si="108"/>
        <v>5.1812471006368625E-3</v>
      </c>
      <c r="D2341" s="7">
        <f t="shared" si="109"/>
        <v>0.45376169781478276</v>
      </c>
      <c r="E2341" s="8">
        <f t="shared" si="110"/>
        <v>-0.89073392068822477</v>
      </c>
    </row>
    <row r="2342" spans="1:5" x14ac:dyDescent="0.2">
      <c r="A2342" s="4">
        <v>45033</v>
      </c>
      <c r="B2342" s="3">
        <v>78723.7</v>
      </c>
      <c r="C2342" s="6">
        <f t="shared" si="108"/>
        <v>-1.8612382007087132E-3</v>
      </c>
      <c r="D2342" s="7">
        <f t="shared" si="109"/>
        <v>-0.19149822784439866</v>
      </c>
      <c r="E2342" s="8">
        <f t="shared" si="110"/>
        <v>-0.70520944222327975</v>
      </c>
    </row>
    <row r="2343" spans="1:5" x14ac:dyDescent="0.2">
      <c r="A2343" s="4">
        <v>45034</v>
      </c>
      <c r="B2343" s="3">
        <v>79294.759999999995</v>
      </c>
      <c r="C2343" s="6">
        <f t="shared" si="108"/>
        <v>7.2277946014745872E-3</v>
      </c>
      <c r="D2343" s="7">
        <f t="shared" si="109"/>
        <v>0.64127434878137002</v>
      </c>
      <c r="E2343" s="8">
        <f t="shared" si="110"/>
        <v>-1.0996667238454099</v>
      </c>
    </row>
    <row r="2344" spans="1:5" x14ac:dyDescent="0.2">
      <c r="A2344" s="4">
        <v>45035</v>
      </c>
      <c r="B2344" s="3">
        <v>78796.86</v>
      </c>
      <c r="C2344" s="6">
        <f t="shared" si="108"/>
        <v>-6.298899919275746E-3</v>
      </c>
      <c r="D2344" s="7">
        <f t="shared" si="109"/>
        <v>-0.59809407406874981</v>
      </c>
      <c r="E2344" s="8">
        <f t="shared" si="110"/>
        <v>-1.0467809990425956</v>
      </c>
    </row>
    <row r="2345" spans="1:5" x14ac:dyDescent="0.2">
      <c r="A2345" s="4">
        <v>45036</v>
      </c>
      <c r="B2345" s="3">
        <v>78883.259999999995</v>
      </c>
      <c r="C2345" s="6">
        <f t="shared" si="108"/>
        <v>1.0958896866263546E-3</v>
      </c>
      <c r="D2345" s="7">
        <f t="shared" si="109"/>
        <v>7.9445343792441364E-2</v>
      </c>
      <c r="E2345" s="8">
        <f t="shared" si="110"/>
        <v>-0.67050527034089724</v>
      </c>
    </row>
    <row r="2346" spans="1:5" x14ac:dyDescent="0.2">
      <c r="A2346" s="4">
        <v>45037</v>
      </c>
      <c r="B2346" s="3">
        <v>77910.960000000006</v>
      </c>
      <c r="C2346" s="6">
        <f t="shared" si="108"/>
        <v>-1.2402401864033756E-2</v>
      </c>
      <c r="D2346" s="7">
        <f t="shared" si="109"/>
        <v>-1.1573206883412341</v>
      </c>
      <c r="E2346" s="8">
        <f t="shared" si="110"/>
        <v>-1.8804386030186024</v>
      </c>
    </row>
    <row r="2347" spans="1:5" x14ac:dyDescent="0.2">
      <c r="A2347" s="4">
        <v>45040</v>
      </c>
      <c r="B2347" s="3">
        <v>78121.37</v>
      </c>
      <c r="C2347" s="6">
        <f t="shared" si="108"/>
        <v>2.6970068003316192E-3</v>
      </c>
      <c r="D2347" s="7">
        <f t="shared" si="109"/>
        <v>0.22614592825283142</v>
      </c>
      <c r="E2347" s="8">
        <f t="shared" si="110"/>
        <v>-0.72159165010895454</v>
      </c>
    </row>
    <row r="2348" spans="1:5" x14ac:dyDescent="0.2">
      <c r="A2348" s="4">
        <v>45041</v>
      </c>
      <c r="B2348" s="3">
        <v>77891.13</v>
      </c>
      <c r="C2348" s="6">
        <f t="shared" si="108"/>
        <v>-2.9515605114799502E-3</v>
      </c>
      <c r="D2348" s="7">
        <f t="shared" si="109"/>
        <v>-0.29139780350391375</v>
      </c>
      <c r="E2348" s="8">
        <f t="shared" si="110"/>
        <v>-0.75943421878347417</v>
      </c>
    </row>
    <row r="2349" spans="1:5" x14ac:dyDescent="0.2">
      <c r="A2349" s="4">
        <v>45042</v>
      </c>
      <c r="B2349" s="3">
        <v>78122.12</v>
      </c>
      <c r="C2349" s="6">
        <f t="shared" si="108"/>
        <v>2.9611609114710692E-3</v>
      </c>
      <c r="D2349" s="7">
        <f t="shared" si="109"/>
        <v>0.25034875649073229</v>
      </c>
      <c r="E2349" s="8">
        <f t="shared" si="110"/>
        <v>-0.73457560940564814</v>
      </c>
    </row>
    <row r="2350" spans="1:5" x14ac:dyDescent="0.2">
      <c r="A2350" s="4">
        <v>45044</v>
      </c>
      <c r="B2350" s="3">
        <v>78218.37</v>
      </c>
      <c r="C2350" s="6">
        <f t="shared" si="108"/>
        <v>1.2312870729793127E-3</v>
      </c>
      <c r="D2350" s="7">
        <f t="shared" si="109"/>
        <v>9.1850979546606801E-2</v>
      </c>
      <c r="E2350" s="8">
        <f t="shared" si="110"/>
        <v>-0.67294924249583932</v>
      </c>
    </row>
    <row r="2351" spans="1:5" x14ac:dyDescent="0.2">
      <c r="A2351" s="4">
        <v>45048</v>
      </c>
      <c r="B2351" s="3">
        <v>77532.899999999994</v>
      </c>
      <c r="C2351" s="6">
        <f t="shared" si="108"/>
        <v>-8.802168043196161E-3</v>
      </c>
      <c r="D2351" s="7">
        <f t="shared" si="109"/>
        <v>-0.82745324692172906</v>
      </c>
      <c r="E2351" s="8">
        <f t="shared" si="110"/>
        <v>-1.3545367160896797</v>
      </c>
    </row>
    <row r="2352" spans="1:5" x14ac:dyDescent="0.2">
      <c r="A2352" s="4">
        <v>45049</v>
      </c>
      <c r="B2352" s="3">
        <v>78218.600000000006</v>
      </c>
      <c r="C2352" s="6">
        <f t="shared" si="108"/>
        <v>8.8051085245926999E-3</v>
      </c>
      <c r="D2352" s="7">
        <f t="shared" si="109"/>
        <v>0.78579399223421786</v>
      </c>
      <c r="E2352" s="8">
        <f t="shared" si="110"/>
        <v>-1.2941327117481214</v>
      </c>
    </row>
    <row r="2353" spans="1:5" x14ac:dyDescent="0.2">
      <c r="A2353" s="4">
        <v>45050</v>
      </c>
      <c r="B2353" s="3">
        <v>77271.13</v>
      </c>
      <c r="C2353" s="6">
        <f t="shared" si="108"/>
        <v>-1.2187065047330645E-2</v>
      </c>
      <c r="D2353" s="7">
        <f t="shared" si="109"/>
        <v>-1.1375906907065942</v>
      </c>
      <c r="E2353" s="8">
        <f t="shared" si="110"/>
        <v>-1.8472459879237975</v>
      </c>
    </row>
    <row r="2354" spans="1:5" x14ac:dyDescent="0.2">
      <c r="A2354" s="4">
        <v>45051</v>
      </c>
      <c r="B2354" s="3">
        <v>78132.77</v>
      </c>
      <c r="C2354" s="6">
        <f t="shared" si="108"/>
        <v>1.1089153227028786E-2</v>
      </c>
      <c r="D2354" s="7">
        <f t="shared" si="109"/>
        <v>0.99506706158866343</v>
      </c>
      <c r="E2354" s="8">
        <f t="shared" si="110"/>
        <v>-1.6129529155658655</v>
      </c>
    </row>
    <row r="2355" spans="1:5" x14ac:dyDescent="0.2">
      <c r="A2355" s="4">
        <v>45054</v>
      </c>
      <c r="B2355" s="3">
        <v>78572.33</v>
      </c>
      <c r="C2355" s="6">
        <f t="shared" si="108"/>
        <v>5.6100427215193694E-3</v>
      </c>
      <c r="D2355" s="7">
        <f t="shared" si="109"/>
        <v>0.49304962226394905</v>
      </c>
      <c r="E2355" s="8">
        <f t="shared" si="110"/>
        <v>-0.9298279806449985</v>
      </c>
    </row>
    <row r="2356" spans="1:5" x14ac:dyDescent="0.2">
      <c r="A2356" s="4">
        <v>45055</v>
      </c>
      <c r="B2356" s="3">
        <v>77776.87</v>
      </c>
      <c r="C2356" s="6">
        <f t="shared" si="108"/>
        <v>-1.0175515622162684E-2</v>
      </c>
      <c r="D2356" s="7">
        <f t="shared" si="109"/>
        <v>-0.95328469970997132</v>
      </c>
      <c r="E2356" s="8">
        <f t="shared" si="110"/>
        <v>-1.5465157742106732</v>
      </c>
    </row>
    <row r="2357" spans="1:5" x14ac:dyDescent="0.2">
      <c r="A2357" s="4">
        <v>45056</v>
      </c>
      <c r="B2357" s="3">
        <v>77775.02</v>
      </c>
      <c r="C2357" s="6">
        <f t="shared" si="108"/>
        <v>-2.378627479330568E-5</v>
      </c>
      <c r="D2357" s="7">
        <f t="shared" si="109"/>
        <v>-2.3143727638063584E-2</v>
      </c>
      <c r="E2357" s="8">
        <f t="shared" si="110"/>
        <v>-0.66385104703748654</v>
      </c>
    </row>
    <row r="2358" spans="1:5" x14ac:dyDescent="0.2">
      <c r="A2358" s="4">
        <v>45057</v>
      </c>
      <c r="B2358" s="3">
        <v>76997.16</v>
      </c>
      <c r="C2358" s="6">
        <f t="shared" si="108"/>
        <v>-1.0051761879106984E-2</v>
      </c>
      <c r="D2358" s="7">
        <f t="shared" si="109"/>
        <v>-0.94194589989324906</v>
      </c>
      <c r="E2358" s="8">
        <f t="shared" si="110"/>
        <v>-1.5286960128952056</v>
      </c>
    </row>
    <row r="2359" spans="1:5" x14ac:dyDescent="0.2">
      <c r="A2359" s="4">
        <v>45058</v>
      </c>
      <c r="B2359" s="3">
        <v>78330.2</v>
      </c>
      <c r="C2359" s="6">
        <f t="shared" si="108"/>
        <v>1.7164686619425936E-2</v>
      </c>
      <c r="D2359" s="7">
        <f t="shared" si="109"/>
        <v>1.5517310881886235</v>
      </c>
      <c r="E2359" s="8">
        <f t="shared" si="110"/>
        <v>-2.5628057435357343</v>
      </c>
    </row>
    <row r="2360" spans="1:5" x14ac:dyDescent="0.2">
      <c r="A2360" s="4">
        <v>45061</v>
      </c>
      <c r="B2360" s="3">
        <v>78261.649999999994</v>
      </c>
      <c r="C2360" s="6">
        <f t="shared" si="108"/>
        <v>-8.7552454842166824E-4</v>
      </c>
      <c r="D2360" s="7">
        <f t="shared" si="109"/>
        <v>-0.10118330480516234</v>
      </c>
      <c r="E2360" s="8">
        <f t="shared" si="110"/>
        <v>-0.67501930387268927</v>
      </c>
    </row>
    <row r="2361" spans="1:5" x14ac:dyDescent="0.2">
      <c r="A2361" s="4">
        <v>45062</v>
      </c>
      <c r="B2361" s="3">
        <v>77973.02</v>
      </c>
      <c r="C2361" s="6">
        <f t="shared" si="108"/>
        <v>-3.6948307102285462E-3</v>
      </c>
      <c r="D2361" s="7">
        <f t="shared" si="109"/>
        <v>-0.35949911329259998</v>
      </c>
      <c r="E2361" s="8">
        <f t="shared" si="110"/>
        <v>-0.80829869078098215</v>
      </c>
    </row>
    <row r="2362" spans="1:5" x14ac:dyDescent="0.2">
      <c r="A2362" s="4">
        <v>45063</v>
      </c>
      <c r="B2362" s="3">
        <v>78390.740000000005</v>
      </c>
      <c r="C2362" s="6">
        <f t="shared" si="108"/>
        <v>5.3429387182861061E-3</v>
      </c>
      <c r="D2362" s="7">
        <f t="shared" si="109"/>
        <v>0.46857651342598883</v>
      </c>
      <c r="E2362" s="8">
        <f t="shared" si="110"/>
        <v>-0.90516176581274244</v>
      </c>
    </row>
    <row r="2363" spans="1:5" x14ac:dyDescent="0.2">
      <c r="A2363" s="4">
        <v>45064</v>
      </c>
      <c r="B2363" s="3">
        <v>77667.960000000006</v>
      </c>
      <c r="C2363" s="6">
        <f t="shared" si="108"/>
        <v>-9.2629910162068275E-3</v>
      </c>
      <c r="D2363" s="7">
        <f t="shared" si="109"/>
        <v>-0.86967564208243919</v>
      </c>
      <c r="E2363" s="8">
        <f t="shared" si="110"/>
        <v>-1.4174574664923463</v>
      </c>
    </row>
    <row r="2364" spans="1:5" x14ac:dyDescent="0.2">
      <c r="A2364" s="4">
        <v>45065</v>
      </c>
      <c r="B2364" s="3">
        <v>78175.820000000007</v>
      </c>
      <c r="C2364" s="6">
        <f t="shared" si="108"/>
        <v>6.5175754562924425E-3</v>
      </c>
      <c r="D2364" s="7">
        <f t="shared" si="109"/>
        <v>0.57620130521613921</v>
      </c>
      <c r="E2364" s="8">
        <f t="shared" si="110"/>
        <v>-1.0209946633031672</v>
      </c>
    </row>
    <row r="2365" spans="1:5" x14ac:dyDescent="0.2">
      <c r="A2365" s="4">
        <v>45068</v>
      </c>
      <c r="B2365" s="3">
        <v>77962.73</v>
      </c>
      <c r="C2365" s="6">
        <f t="shared" si="108"/>
        <v>-2.729500591576537E-3</v>
      </c>
      <c r="D2365" s="7">
        <f t="shared" si="109"/>
        <v>-0.27105180897533693</v>
      </c>
      <c r="E2365" s="8">
        <f t="shared" si="110"/>
        <v>-0.74667132661078262</v>
      </c>
    </row>
    <row r="2366" spans="1:5" x14ac:dyDescent="0.2">
      <c r="A2366" s="4">
        <v>45069</v>
      </c>
      <c r="B2366" s="3">
        <v>76748.27</v>
      </c>
      <c r="C2366" s="6">
        <f t="shared" si="108"/>
        <v>-1.5700046487524287E-2</v>
      </c>
      <c r="D2366" s="7">
        <f t="shared" si="109"/>
        <v>-1.4594637292642081</v>
      </c>
      <c r="E2366" s="8">
        <f t="shared" si="110"/>
        <v>-2.4015836410452547</v>
      </c>
    </row>
    <row r="2367" spans="1:5" x14ac:dyDescent="0.2">
      <c r="A2367" s="4">
        <v>45070</v>
      </c>
      <c r="B2367" s="3">
        <v>75621.899999999994</v>
      </c>
      <c r="C2367" s="6">
        <f t="shared" si="108"/>
        <v>-1.4784921721364365E-2</v>
      </c>
      <c r="D2367" s="7">
        <f t="shared" si="109"/>
        <v>-1.3756164348341575</v>
      </c>
      <c r="E2367" s="8">
        <f t="shared" si="110"/>
        <v>-2.2553925186551869</v>
      </c>
    </row>
    <row r="2368" spans="1:5" x14ac:dyDescent="0.2">
      <c r="A2368" s="4">
        <v>45071</v>
      </c>
      <c r="B2368" s="3">
        <v>76174.61</v>
      </c>
      <c r="C2368" s="6">
        <f t="shared" si="108"/>
        <v>7.2822812934250653E-3</v>
      </c>
      <c r="D2368" s="7">
        <f t="shared" si="109"/>
        <v>0.64626663166063458</v>
      </c>
      <c r="E2368" s="8">
        <f t="shared" si="110"/>
        <v>-1.1059482695323191</v>
      </c>
    </row>
    <row r="2369" spans="1:5" x14ac:dyDescent="0.2">
      <c r="A2369" s="4">
        <v>45072</v>
      </c>
      <c r="B2369" s="3">
        <v>76589.539999999994</v>
      </c>
      <c r="C2369" s="6">
        <f t="shared" si="108"/>
        <v>5.4323088287507853E-3</v>
      </c>
      <c r="D2369" s="7">
        <f t="shared" si="109"/>
        <v>0.47676495094016774</v>
      </c>
      <c r="E2369" s="8">
        <f t="shared" si="110"/>
        <v>-0.9133004464327098</v>
      </c>
    </row>
    <row r="2370" spans="1:5" x14ac:dyDescent="0.2">
      <c r="A2370" s="4">
        <v>45075</v>
      </c>
      <c r="B2370" s="3">
        <v>76613.350000000006</v>
      </c>
      <c r="C2370" s="6">
        <f t="shared" si="108"/>
        <v>3.1082964807920357E-4</v>
      </c>
      <c r="D2370" s="7">
        <f t="shared" si="109"/>
        <v>7.5150861582307356E-3</v>
      </c>
      <c r="E2370" s="8">
        <f t="shared" si="110"/>
        <v>-0.66329827853517265</v>
      </c>
    </row>
    <row r="2371" spans="1:5" x14ac:dyDescent="0.2">
      <c r="A2371" s="4">
        <v>45076</v>
      </c>
      <c r="B2371" s="3">
        <v>75939.460000000006</v>
      </c>
      <c r="C2371" s="6">
        <f t="shared" ref="C2371:C2434" si="111">LN(B2371/B2370)</f>
        <v>-8.8348996441734648E-3</v>
      </c>
      <c r="D2371" s="7">
        <f t="shared" ref="D2371:D2434" si="112">(C2371-$G$4)/$G$5</f>
        <v>-0.83045224365506776</v>
      </c>
      <c r="E2371" s="8">
        <f t="shared" ref="E2371:E2434" si="113">LN((PI()*(G$3-2))^(-1/2)*EXP(GAMMALN((G$3+1)/2))*((1+D2371^2/(G$3-2))^(-(G$3+1)/2))/EXP(GAMMALN(G$3/2)))</f>
        <v>-1.3589512147669933</v>
      </c>
    </row>
    <row r="2372" spans="1:5" x14ac:dyDescent="0.2">
      <c r="A2372" s="4">
        <v>45077</v>
      </c>
      <c r="B2372" s="3">
        <v>75067.47</v>
      </c>
      <c r="C2372" s="6">
        <f t="shared" si="111"/>
        <v>-1.1549134762622842E-2</v>
      </c>
      <c r="D2372" s="7">
        <f t="shared" si="112"/>
        <v>-1.079141034019679</v>
      </c>
      <c r="E2372" s="8">
        <f t="shared" si="113"/>
        <v>-1.7498972629203116</v>
      </c>
    </row>
    <row r="2373" spans="1:5" x14ac:dyDescent="0.2">
      <c r="A2373" s="4">
        <v>45078</v>
      </c>
      <c r="B2373" s="3">
        <v>75783.25</v>
      </c>
      <c r="C2373" s="6">
        <f t="shared" si="111"/>
        <v>9.4899828374351344E-3</v>
      </c>
      <c r="D2373" s="7">
        <f t="shared" si="112"/>
        <v>0.8485448435716223</v>
      </c>
      <c r="E2373" s="8">
        <f t="shared" si="113"/>
        <v>-1.3857634624169215</v>
      </c>
    </row>
    <row r="2374" spans="1:5" x14ac:dyDescent="0.2">
      <c r="A2374" s="4">
        <v>45079</v>
      </c>
      <c r="B2374" s="3">
        <v>77126.06</v>
      </c>
      <c r="C2374" s="6">
        <f t="shared" si="111"/>
        <v>1.75639340771311E-2</v>
      </c>
      <c r="D2374" s="7">
        <f t="shared" si="112"/>
        <v>1.5883116948714984</v>
      </c>
      <c r="E2374" s="8">
        <f t="shared" si="113"/>
        <v>-2.6266931130633937</v>
      </c>
    </row>
    <row r="2375" spans="1:5" x14ac:dyDescent="0.2">
      <c r="A2375" s="4">
        <v>45082</v>
      </c>
      <c r="B2375" s="3">
        <v>76602.84</v>
      </c>
      <c r="C2375" s="6">
        <f t="shared" si="111"/>
        <v>-6.8070742760354816E-3</v>
      </c>
      <c r="D2375" s="7">
        <f t="shared" si="112"/>
        <v>-0.64465498738752347</v>
      </c>
      <c r="E2375" s="8">
        <f t="shared" si="113"/>
        <v>-1.103916722860244</v>
      </c>
    </row>
    <row r="2376" spans="1:5" x14ac:dyDescent="0.2">
      <c r="A2376" s="4">
        <v>45083</v>
      </c>
      <c r="B2376" s="3">
        <v>76840.11</v>
      </c>
      <c r="C2376" s="6">
        <f t="shared" si="111"/>
        <v>3.0926176681272369E-3</v>
      </c>
      <c r="D2376" s="7">
        <f t="shared" si="112"/>
        <v>0.26239333640787449</v>
      </c>
      <c r="E2376" s="8">
        <f t="shared" si="113"/>
        <v>-0.74150253657603171</v>
      </c>
    </row>
    <row r="2377" spans="1:5" x14ac:dyDescent="0.2">
      <c r="A2377" s="4">
        <v>45084</v>
      </c>
      <c r="B2377" s="3">
        <v>77125.850000000006</v>
      </c>
      <c r="C2377" s="6">
        <f t="shared" si="111"/>
        <v>3.7117337891114295E-3</v>
      </c>
      <c r="D2377" s="7">
        <f t="shared" si="112"/>
        <v>0.31911916615498548</v>
      </c>
      <c r="E2377" s="8">
        <f t="shared" si="113"/>
        <v>-0.77819765103593308</v>
      </c>
    </row>
    <row r="2378" spans="1:5" x14ac:dyDescent="0.2">
      <c r="A2378" s="4">
        <v>45085</v>
      </c>
      <c r="B2378" s="3">
        <v>77015.210000000006</v>
      </c>
      <c r="C2378" s="6">
        <f t="shared" si="111"/>
        <v>-1.4355684202651889E-3</v>
      </c>
      <c r="D2378" s="7">
        <f t="shared" si="112"/>
        <v>-0.15249670506779181</v>
      </c>
      <c r="E2378" s="8">
        <f t="shared" si="113"/>
        <v>-0.68992947055259346</v>
      </c>
    </row>
    <row r="2379" spans="1:5" x14ac:dyDescent="0.2">
      <c r="A2379" s="4">
        <v>45086</v>
      </c>
      <c r="B2379" s="3">
        <v>76936.11</v>
      </c>
      <c r="C2379" s="6">
        <f t="shared" si="111"/>
        <v>-1.0275976452884009E-3</v>
      </c>
      <c r="D2379" s="7">
        <f t="shared" si="112"/>
        <v>-0.11511683408924062</v>
      </c>
      <c r="E2379" s="8">
        <f t="shared" si="113"/>
        <v>-0.67847888264615663</v>
      </c>
    </row>
    <row r="2380" spans="1:5" x14ac:dyDescent="0.2">
      <c r="A2380" s="4">
        <v>45089</v>
      </c>
      <c r="B2380" s="3">
        <v>76282.13</v>
      </c>
      <c r="C2380" s="6">
        <f t="shared" si="111"/>
        <v>-8.5366333866345231E-3</v>
      </c>
      <c r="D2380" s="7">
        <f t="shared" si="112"/>
        <v>-0.80312392773661678</v>
      </c>
      <c r="E2380" s="8">
        <f t="shared" si="113"/>
        <v>-1.3190482710656466</v>
      </c>
    </row>
    <row r="2381" spans="1:5" x14ac:dyDescent="0.2">
      <c r="A2381" s="4">
        <v>45090</v>
      </c>
      <c r="B2381" s="3">
        <v>77827.73</v>
      </c>
      <c r="C2381" s="6">
        <f t="shared" si="111"/>
        <v>2.005909063232059E-2</v>
      </c>
      <c r="D2381" s="7">
        <f t="shared" si="112"/>
        <v>1.8169276542121546</v>
      </c>
      <c r="E2381" s="8">
        <f t="shared" si="113"/>
        <v>-3.0232598564363338</v>
      </c>
    </row>
    <row r="2382" spans="1:5" x14ac:dyDescent="0.2">
      <c r="A2382" s="4">
        <v>45091</v>
      </c>
      <c r="B2382" s="3">
        <v>78060.22</v>
      </c>
      <c r="C2382" s="6">
        <f t="shared" si="111"/>
        <v>2.9827856787152831E-3</v>
      </c>
      <c r="D2382" s="7">
        <f t="shared" si="112"/>
        <v>0.25233010186915045</v>
      </c>
      <c r="E2382" s="8">
        <f t="shared" si="113"/>
        <v>-0.7356939585130845</v>
      </c>
    </row>
    <row r="2383" spans="1:5" x14ac:dyDescent="0.2">
      <c r="A2383" s="4">
        <v>45092</v>
      </c>
      <c r="B2383" s="3">
        <v>78531.81</v>
      </c>
      <c r="C2383" s="6">
        <f t="shared" si="111"/>
        <v>6.0231855443004991E-3</v>
      </c>
      <c r="D2383" s="7">
        <f t="shared" si="112"/>
        <v>0.53090337640148921</v>
      </c>
      <c r="E2383" s="8">
        <f t="shared" si="113"/>
        <v>-0.96995881731385336</v>
      </c>
    </row>
    <row r="2384" spans="1:5" x14ac:dyDescent="0.2">
      <c r="A2384" s="4">
        <v>45096</v>
      </c>
      <c r="B2384" s="3">
        <v>78014.350000000006</v>
      </c>
      <c r="C2384" s="6">
        <f t="shared" si="111"/>
        <v>-6.6109815103016483E-3</v>
      </c>
      <c r="D2384" s="7">
        <f t="shared" si="112"/>
        <v>-0.62668820463605068</v>
      </c>
      <c r="E2384" s="8">
        <f t="shared" si="113"/>
        <v>-1.0815091763616427</v>
      </c>
    </row>
    <row r="2385" spans="1:5" x14ac:dyDescent="0.2">
      <c r="A2385" s="4">
        <v>45097</v>
      </c>
      <c r="B2385" s="3">
        <v>76769.22</v>
      </c>
      <c r="C2385" s="6">
        <f t="shared" si="111"/>
        <v>-1.608900555800288E-2</v>
      </c>
      <c r="D2385" s="7">
        <f t="shared" si="112"/>
        <v>-1.4951016738479941</v>
      </c>
      <c r="E2385" s="8">
        <f t="shared" si="113"/>
        <v>-2.4638450187881182</v>
      </c>
    </row>
    <row r="2386" spans="1:5" x14ac:dyDescent="0.2">
      <c r="A2386" s="4">
        <v>45098</v>
      </c>
      <c r="B2386" s="3">
        <v>75629.88</v>
      </c>
      <c r="C2386" s="6">
        <f t="shared" si="111"/>
        <v>-1.4952335374632445E-2</v>
      </c>
      <c r="D2386" s="7">
        <f t="shared" si="112"/>
        <v>-1.3909555256294841</v>
      </c>
      <c r="E2386" s="8">
        <f t="shared" si="113"/>
        <v>-2.2820895891797415</v>
      </c>
    </row>
    <row r="2387" spans="1:5" x14ac:dyDescent="0.2">
      <c r="A2387" s="4">
        <v>45099</v>
      </c>
      <c r="B2387" s="3">
        <v>75105.789999999994</v>
      </c>
      <c r="C2387" s="6">
        <f t="shared" si="111"/>
        <v>-6.9537901927432142E-3</v>
      </c>
      <c r="D2387" s="7">
        <f t="shared" si="112"/>
        <v>-0.65809767096540217</v>
      </c>
      <c r="E2387" s="8">
        <f t="shared" si="113"/>
        <v>-1.1209686248789414</v>
      </c>
    </row>
    <row r="2388" spans="1:5" x14ac:dyDescent="0.2">
      <c r="A2388" s="4">
        <v>45100</v>
      </c>
      <c r="B2388" s="3">
        <v>74402.899999999994</v>
      </c>
      <c r="C2388" s="6">
        <f t="shared" si="111"/>
        <v>-9.402733427952727E-3</v>
      </c>
      <c r="D2388" s="7">
        <f t="shared" si="112"/>
        <v>-0.88247938598196363</v>
      </c>
      <c r="E2388" s="8">
        <f t="shared" si="113"/>
        <v>-1.4368530376194835</v>
      </c>
    </row>
    <row r="2389" spans="1:5" x14ac:dyDescent="0.2">
      <c r="A2389" s="4">
        <v>45103</v>
      </c>
      <c r="B2389" s="3">
        <v>74265.039999999994</v>
      </c>
      <c r="C2389" s="6">
        <f t="shared" si="111"/>
        <v>-1.8546034809487737E-3</v>
      </c>
      <c r="D2389" s="7">
        <f t="shared" si="112"/>
        <v>-0.19089032898541916</v>
      </c>
      <c r="E2389" s="8">
        <f t="shared" si="113"/>
        <v>-0.70494544825710526</v>
      </c>
    </row>
    <row r="2390" spans="1:5" x14ac:dyDescent="0.2">
      <c r="A2390" s="4">
        <v>45104</v>
      </c>
      <c r="B2390" s="3">
        <v>74543.48</v>
      </c>
      <c r="C2390" s="6">
        <f t="shared" si="111"/>
        <v>3.7422632111629244E-3</v>
      </c>
      <c r="D2390" s="7">
        <f t="shared" si="112"/>
        <v>0.32191639068019701</v>
      </c>
      <c r="E2390" s="8">
        <f t="shared" si="113"/>
        <v>-0.78017784950300828</v>
      </c>
    </row>
    <row r="2391" spans="1:5" x14ac:dyDescent="0.2">
      <c r="A2391" s="4">
        <v>45105</v>
      </c>
      <c r="B2391" s="3">
        <v>74831.11</v>
      </c>
      <c r="C2391" s="6">
        <f t="shared" si="111"/>
        <v>3.8511283008865263E-3</v>
      </c>
      <c r="D2391" s="7">
        <f t="shared" si="112"/>
        <v>0.3318910341045162</v>
      </c>
      <c r="E2391" s="8">
        <f t="shared" si="113"/>
        <v>-0.78736727512687477</v>
      </c>
    </row>
    <row r="2392" spans="1:5" x14ac:dyDescent="0.2">
      <c r="A2392" s="4">
        <v>45106</v>
      </c>
      <c r="B2392" s="3">
        <v>74892.509999999995</v>
      </c>
      <c r="C2392" s="6">
        <f t="shared" si="111"/>
        <v>8.20177917711789E-4</v>
      </c>
      <c r="D2392" s="7">
        <f t="shared" si="112"/>
        <v>5.4183557945450336E-2</v>
      </c>
      <c r="E2392" s="8">
        <f t="shared" si="113"/>
        <v>-0.66661828468362727</v>
      </c>
    </row>
    <row r="2393" spans="1:5" x14ac:dyDescent="0.2">
      <c r="A2393" s="4">
        <v>45107</v>
      </c>
      <c r="B2393" s="3">
        <v>76027.83</v>
      </c>
      <c r="C2393" s="6">
        <f t="shared" si="111"/>
        <v>1.5045571944941884E-2</v>
      </c>
      <c r="D2393" s="7">
        <f t="shared" si="112"/>
        <v>1.3575695502071949</v>
      </c>
      <c r="E2393" s="8">
        <f t="shared" si="113"/>
        <v>-2.2240195062737578</v>
      </c>
    </row>
    <row r="2394" spans="1:5" x14ac:dyDescent="0.2">
      <c r="A2394" s="4">
        <v>45110</v>
      </c>
      <c r="B2394" s="3">
        <v>76233.929999999993</v>
      </c>
      <c r="C2394" s="6">
        <f t="shared" si="111"/>
        <v>2.7071817096121164E-3</v>
      </c>
      <c r="D2394" s="7">
        <f t="shared" si="112"/>
        <v>0.22707819306063559</v>
      </c>
      <c r="E2394" s="8">
        <f t="shared" si="113"/>
        <v>-0.72206847801460183</v>
      </c>
    </row>
    <row r="2395" spans="1:5" x14ac:dyDescent="0.2">
      <c r="A2395" s="4">
        <v>45111</v>
      </c>
      <c r="B2395" s="3">
        <v>76223.7</v>
      </c>
      <c r="C2395" s="6">
        <f t="shared" si="111"/>
        <v>-1.3420122056663893E-4</v>
      </c>
      <c r="D2395" s="7">
        <f t="shared" si="112"/>
        <v>-3.3260374908559251E-2</v>
      </c>
      <c r="E2395" s="8">
        <f t="shared" si="113"/>
        <v>-0.66450918157606598</v>
      </c>
    </row>
    <row r="2396" spans="1:5" x14ac:dyDescent="0.2">
      <c r="A2396" s="4">
        <v>45112</v>
      </c>
      <c r="B2396" s="3">
        <v>75909.490000000005</v>
      </c>
      <c r="C2396" s="6">
        <f t="shared" si="111"/>
        <v>-4.1307284331332907E-3</v>
      </c>
      <c r="D2396" s="7">
        <f t="shared" si="112"/>
        <v>-0.39943775998353181</v>
      </c>
      <c r="E2396" s="8">
        <f t="shared" si="113"/>
        <v>-0.84120056410481148</v>
      </c>
    </row>
    <row r="2397" spans="1:5" x14ac:dyDescent="0.2">
      <c r="A2397" s="4">
        <v>45113</v>
      </c>
      <c r="B2397" s="3">
        <v>74113.22</v>
      </c>
      <c r="C2397" s="6">
        <f t="shared" si="111"/>
        <v>-2.3947785577033968E-2</v>
      </c>
      <c r="D2397" s="7">
        <f t="shared" si="112"/>
        <v>-2.2151537000670585</v>
      </c>
      <c r="E2397" s="8">
        <f t="shared" si="113"/>
        <v>-3.6910869342496335</v>
      </c>
    </row>
    <row r="2398" spans="1:5" x14ac:dyDescent="0.2">
      <c r="A2398" s="4">
        <v>45114</v>
      </c>
      <c r="B2398" s="3">
        <v>74823.02</v>
      </c>
      <c r="C2398" s="6">
        <f t="shared" si="111"/>
        <v>9.5316676979146243E-3</v>
      </c>
      <c r="D2398" s="7">
        <f t="shared" si="112"/>
        <v>0.85236417280316079</v>
      </c>
      <c r="E2398" s="8">
        <f t="shared" si="113"/>
        <v>-1.3914622881475056</v>
      </c>
    </row>
    <row r="2399" spans="1:5" x14ac:dyDescent="0.2">
      <c r="A2399" s="4">
        <v>45117</v>
      </c>
      <c r="B2399" s="3">
        <v>74345.98</v>
      </c>
      <c r="C2399" s="6">
        <f t="shared" si="111"/>
        <v>-6.3959887946557561E-3</v>
      </c>
      <c r="D2399" s="7">
        <f t="shared" si="112"/>
        <v>-0.60698973488014951</v>
      </c>
      <c r="E2399" s="8">
        <f t="shared" si="113"/>
        <v>-1.057459671410792</v>
      </c>
    </row>
    <row r="2400" spans="1:5" x14ac:dyDescent="0.2">
      <c r="A2400" s="4">
        <v>45118</v>
      </c>
      <c r="B2400" s="3">
        <v>74876.59</v>
      </c>
      <c r="C2400" s="6">
        <f t="shared" si="111"/>
        <v>7.1116887525467694E-3</v>
      </c>
      <c r="D2400" s="7">
        <f t="shared" si="112"/>
        <v>0.63063627880436268</v>
      </c>
      <c r="E2400" s="8">
        <f t="shared" si="113"/>
        <v>-1.0863949394714203</v>
      </c>
    </row>
    <row r="2401" spans="1:5" x14ac:dyDescent="0.2">
      <c r="A2401" s="4">
        <v>45119</v>
      </c>
      <c r="B2401" s="3">
        <v>76544.789999999994</v>
      </c>
      <c r="C2401" s="6">
        <f t="shared" si="111"/>
        <v>2.2034768093589868E-2</v>
      </c>
      <c r="D2401" s="7">
        <f t="shared" si="112"/>
        <v>1.9979469161964942</v>
      </c>
      <c r="E2401" s="8">
        <f t="shared" si="113"/>
        <v>-3.3313148157811354</v>
      </c>
    </row>
    <row r="2402" spans="1:5" x14ac:dyDescent="0.2">
      <c r="A2402" s="4">
        <v>45120</v>
      </c>
      <c r="B2402" s="3">
        <v>77317.259999999995</v>
      </c>
      <c r="C2402" s="6">
        <f t="shared" si="111"/>
        <v>1.0041156871828324E-2</v>
      </c>
      <c r="D2402" s="7">
        <f t="shared" si="112"/>
        <v>0.89904555478927561</v>
      </c>
      <c r="E2402" s="8">
        <f t="shared" si="113"/>
        <v>-1.4621541672635316</v>
      </c>
    </row>
    <row r="2403" spans="1:5" x14ac:dyDescent="0.2">
      <c r="A2403" s="4">
        <v>45121</v>
      </c>
      <c r="B2403" s="3">
        <v>77750.509999999995</v>
      </c>
      <c r="C2403" s="6">
        <f t="shared" si="111"/>
        <v>5.5878939554763083E-3</v>
      </c>
      <c r="D2403" s="7">
        <f t="shared" si="112"/>
        <v>0.49102026607521015</v>
      </c>
      <c r="E2403" s="8">
        <f t="shared" si="113"/>
        <v>-0.927743775345236</v>
      </c>
    </row>
    <row r="2404" spans="1:5" x14ac:dyDescent="0.2">
      <c r="A2404" s="4">
        <v>45124</v>
      </c>
      <c r="B2404" s="3">
        <v>77253.509999999995</v>
      </c>
      <c r="C2404" s="6">
        <f t="shared" si="111"/>
        <v>-6.412758884526415E-3</v>
      </c>
      <c r="D2404" s="7">
        <f t="shared" si="112"/>
        <v>-0.60852627581423879</v>
      </c>
      <c r="E2404" s="8">
        <f t="shared" si="113"/>
        <v>-1.0593157598936545</v>
      </c>
    </row>
    <row r="2405" spans="1:5" x14ac:dyDescent="0.2">
      <c r="A2405" s="4">
        <v>45125</v>
      </c>
      <c r="B2405" s="3">
        <v>77098.55</v>
      </c>
      <c r="C2405" s="6">
        <f t="shared" si="111"/>
        <v>-2.0078779908871986E-3</v>
      </c>
      <c r="D2405" s="7">
        <f t="shared" si="112"/>
        <v>-0.20493393641324278</v>
      </c>
      <c r="E2405" s="8">
        <f t="shared" si="113"/>
        <v>-0.71125129144296395</v>
      </c>
    </row>
    <row r="2406" spans="1:5" x14ac:dyDescent="0.2">
      <c r="A2406" s="4">
        <v>45126</v>
      </c>
      <c r="B2406" s="3">
        <v>77080.97</v>
      </c>
      <c r="C2406" s="6">
        <f t="shared" si="111"/>
        <v>-2.280458529924791E-4</v>
      </c>
      <c r="D2406" s="7">
        <f t="shared" si="112"/>
        <v>-4.1858785547917061E-2</v>
      </c>
      <c r="E2406" s="8">
        <f t="shared" si="113"/>
        <v>-0.66525394992021725</v>
      </c>
    </row>
    <row r="2407" spans="1:5" x14ac:dyDescent="0.2">
      <c r="A2407" s="4">
        <v>45127</v>
      </c>
      <c r="B2407" s="3">
        <v>77016.83</v>
      </c>
      <c r="C2407" s="6">
        <f t="shared" si="111"/>
        <v>-8.3245839595393284E-4</v>
      </c>
      <c r="D2407" s="7">
        <f t="shared" si="112"/>
        <v>-9.7237416223123194E-2</v>
      </c>
      <c r="E2407" s="8">
        <f t="shared" si="113"/>
        <v>-0.67411981719718439</v>
      </c>
    </row>
    <row r="2408" spans="1:5" x14ac:dyDescent="0.2">
      <c r="A2408" s="4">
        <v>45128</v>
      </c>
      <c r="B2408" s="3">
        <v>76826.63</v>
      </c>
      <c r="C2408" s="6">
        <f t="shared" si="111"/>
        <v>-2.472644555789784E-3</v>
      </c>
      <c r="D2408" s="7">
        <f t="shared" si="112"/>
        <v>-0.24751765881882817</v>
      </c>
      <c r="E2408" s="8">
        <f t="shared" si="113"/>
        <v>-0.7329921173060332</v>
      </c>
    </row>
    <row r="2409" spans="1:5" x14ac:dyDescent="0.2">
      <c r="A2409" s="4">
        <v>45131</v>
      </c>
      <c r="B2409" s="3">
        <v>76766.070000000007</v>
      </c>
      <c r="C2409" s="6">
        <f t="shared" si="111"/>
        <v>-7.885791855771696E-4</v>
      </c>
      <c r="D2409" s="7">
        <f t="shared" si="112"/>
        <v>-9.3217032109537037E-2</v>
      </c>
      <c r="E2409" s="8">
        <f t="shared" si="113"/>
        <v>-0.67323984787864954</v>
      </c>
    </row>
    <row r="2410" spans="1:5" x14ac:dyDescent="0.2">
      <c r="A2410" s="4">
        <v>45132</v>
      </c>
      <c r="B2410" s="3">
        <v>77525.62</v>
      </c>
      <c r="C2410" s="6">
        <f t="shared" si="111"/>
        <v>9.8457167170867502E-3</v>
      </c>
      <c r="D2410" s="7">
        <f t="shared" si="112"/>
        <v>0.88113856679808</v>
      </c>
      <c r="E2410" s="8">
        <f t="shared" si="113"/>
        <v>-1.4348153158230597</v>
      </c>
    </row>
    <row r="2411" spans="1:5" x14ac:dyDescent="0.2">
      <c r="A2411" s="4">
        <v>45133</v>
      </c>
      <c r="B2411" s="3">
        <v>77546.38</v>
      </c>
      <c r="C2411" s="6">
        <f t="shared" si="111"/>
        <v>2.677465967296116E-4</v>
      </c>
      <c r="D2411" s="7">
        <f t="shared" si="112"/>
        <v>3.5676492348342696E-3</v>
      </c>
      <c r="E2411" s="8">
        <f t="shared" si="113"/>
        <v>-0.66324780329896493</v>
      </c>
    </row>
    <row r="2412" spans="1:5" x14ac:dyDescent="0.2">
      <c r="A2412" s="4">
        <v>45134</v>
      </c>
      <c r="B2412" s="3">
        <v>78267.25</v>
      </c>
      <c r="C2412" s="6">
        <f t="shared" si="111"/>
        <v>9.2530434382253161E-3</v>
      </c>
      <c r="D2412" s="7">
        <f t="shared" si="112"/>
        <v>0.82683553321059866</v>
      </c>
      <c r="E2412" s="8">
        <f t="shared" si="113"/>
        <v>-1.3536285174190696</v>
      </c>
    </row>
    <row r="2413" spans="1:5" x14ac:dyDescent="0.2">
      <c r="A2413" s="4">
        <v>45135</v>
      </c>
      <c r="B2413" s="3">
        <v>78506.899999999994</v>
      </c>
      <c r="C2413" s="6">
        <f t="shared" si="111"/>
        <v>3.0572666050483819E-3</v>
      </c>
      <c r="D2413" s="7">
        <f t="shared" si="112"/>
        <v>0.25915433435701091</v>
      </c>
      <c r="E2413" s="8">
        <f t="shared" si="113"/>
        <v>-0.73960957235599833</v>
      </c>
    </row>
    <row r="2414" spans="1:5" x14ac:dyDescent="0.2">
      <c r="A2414" s="4">
        <v>45138</v>
      </c>
      <c r="B2414" s="3">
        <v>78977.89</v>
      </c>
      <c r="C2414" s="6">
        <f t="shared" si="111"/>
        <v>5.9814208627020048E-3</v>
      </c>
      <c r="D2414" s="7">
        <f t="shared" si="112"/>
        <v>0.5270767336482165</v>
      </c>
      <c r="E2414" s="8">
        <f t="shared" si="113"/>
        <v>-0.96579551101769556</v>
      </c>
    </row>
    <row r="2415" spans="1:5" x14ac:dyDescent="0.2">
      <c r="A2415" s="4">
        <v>45139</v>
      </c>
      <c r="B2415" s="3">
        <v>78641.91</v>
      </c>
      <c r="C2415" s="6">
        <f t="shared" si="111"/>
        <v>-4.2631764392595953E-3</v>
      </c>
      <c r="D2415" s="7">
        <f t="shared" si="112"/>
        <v>-0.41157316203690025</v>
      </c>
      <c r="E2415" s="8">
        <f t="shared" si="113"/>
        <v>-0.85179644077859629</v>
      </c>
    </row>
    <row r="2416" spans="1:5" x14ac:dyDescent="0.2">
      <c r="A2416" s="4">
        <v>45140</v>
      </c>
      <c r="B2416" s="3">
        <v>76477.22</v>
      </c>
      <c r="C2416" s="6">
        <f t="shared" si="111"/>
        <v>-2.791184472806001E-2</v>
      </c>
      <c r="D2416" s="7">
        <f t="shared" si="112"/>
        <v>-2.578356234918064</v>
      </c>
      <c r="E2416" s="8">
        <f t="shared" si="113"/>
        <v>-4.2642907409097619</v>
      </c>
    </row>
    <row r="2417" spans="1:5" x14ac:dyDescent="0.2">
      <c r="A2417" s="4">
        <v>45141</v>
      </c>
      <c r="B2417" s="3">
        <v>76747.199999999997</v>
      </c>
      <c r="C2417" s="6">
        <f t="shared" si="111"/>
        <v>3.5239850070220183E-3</v>
      </c>
      <c r="D2417" s="7">
        <f t="shared" si="112"/>
        <v>0.30191689167519803</v>
      </c>
      <c r="E2417" s="8">
        <f t="shared" si="113"/>
        <v>-0.76636902379268101</v>
      </c>
    </row>
    <row r="2418" spans="1:5" x14ac:dyDescent="0.2">
      <c r="A2418" s="4">
        <v>45142</v>
      </c>
      <c r="B2418" s="3">
        <v>76960.61</v>
      </c>
      <c r="C2418" s="6">
        <f t="shared" si="111"/>
        <v>2.7768288043367242E-3</v>
      </c>
      <c r="D2418" s="7">
        <f t="shared" si="112"/>
        <v>0.23345953107433251</v>
      </c>
      <c r="E2418" s="8">
        <f t="shared" si="113"/>
        <v>-0.7253826520844382</v>
      </c>
    </row>
    <row r="2419" spans="1:5" x14ac:dyDescent="0.2">
      <c r="A2419" s="4">
        <v>45145</v>
      </c>
      <c r="B2419" s="3">
        <v>77013.740000000005</v>
      </c>
      <c r="C2419" s="6">
        <f t="shared" si="111"/>
        <v>6.901149718592396E-4</v>
      </c>
      <c r="D2419" s="7">
        <f t="shared" si="112"/>
        <v>4.2266684401419639E-2</v>
      </c>
      <c r="E2419" s="8">
        <f t="shared" si="113"/>
        <v>-0.665293510983202</v>
      </c>
    </row>
    <row r="2420" spans="1:5" x14ac:dyDescent="0.2">
      <c r="A2420" s="4">
        <v>45146</v>
      </c>
      <c r="B2420" s="3">
        <v>76837.440000000002</v>
      </c>
      <c r="C2420" s="6">
        <f t="shared" si="111"/>
        <v>-2.2918261292177713E-3</v>
      </c>
      <c r="D2420" s="7">
        <f t="shared" si="112"/>
        <v>-0.23095037049727862</v>
      </c>
      <c r="E2420" s="8">
        <f t="shared" si="113"/>
        <v>-0.7240690488811049</v>
      </c>
    </row>
    <row r="2421" spans="1:5" x14ac:dyDescent="0.2">
      <c r="A2421" s="4">
        <v>45148</v>
      </c>
      <c r="B2421" s="3">
        <v>77749.679999999993</v>
      </c>
      <c r="C2421" s="6">
        <f t="shared" si="111"/>
        <v>1.1802413931140159E-2</v>
      </c>
      <c r="D2421" s="7">
        <f t="shared" si="112"/>
        <v>1.0604187846263509</v>
      </c>
      <c r="E2421" s="8">
        <f t="shared" si="113"/>
        <v>-1.7190615080115896</v>
      </c>
    </row>
    <row r="2422" spans="1:5" x14ac:dyDescent="0.2">
      <c r="A2422" s="4">
        <v>45149</v>
      </c>
      <c r="B2422" s="3">
        <v>76974.259999999995</v>
      </c>
      <c r="C2422" s="6">
        <f t="shared" si="111"/>
        <v>-1.0023355041772862E-2</v>
      </c>
      <c r="D2422" s="7">
        <f t="shared" si="112"/>
        <v>-0.93934315484486031</v>
      </c>
      <c r="E2422" s="8">
        <f t="shared" si="113"/>
        <v>-1.5246188612169198</v>
      </c>
    </row>
    <row r="2423" spans="1:5" x14ac:dyDescent="0.2">
      <c r="A2423" s="4">
        <v>45152</v>
      </c>
      <c r="B2423" s="3">
        <v>76160.87</v>
      </c>
      <c r="C2423" s="6">
        <f t="shared" si="111"/>
        <v>-1.0623266516281838E-2</v>
      </c>
      <c r="D2423" s="7">
        <f t="shared" si="112"/>
        <v>-0.99430938010198511</v>
      </c>
      <c r="E2423" s="8">
        <f t="shared" si="113"/>
        <v>-1.611737805900842</v>
      </c>
    </row>
    <row r="2424" spans="1:5" x14ac:dyDescent="0.2">
      <c r="A2424" s="4">
        <v>45153</v>
      </c>
      <c r="B2424" s="3">
        <v>75590.77</v>
      </c>
      <c r="C2424" s="6">
        <f t="shared" si="111"/>
        <v>-7.5136279523787819E-3</v>
      </c>
      <c r="D2424" s="7">
        <f t="shared" si="112"/>
        <v>-0.70939218642496993</v>
      </c>
      <c r="E2424" s="8">
        <f t="shared" si="113"/>
        <v>-1.1881882733679519</v>
      </c>
    </row>
    <row r="2425" spans="1:5" x14ac:dyDescent="0.2">
      <c r="A2425" s="4">
        <v>45154</v>
      </c>
      <c r="B2425" s="3">
        <v>74914.52</v>
      </c>
      <c r="C2425" s="6">
        <f t="shared" si="111"/>
        <v>-8.9864555717953185E-3</v>
      </c>
      <c r="D2425" s="7">
        <f t="shared" si="112"/>
        <v>-0.84433838787915305</v>
      </c>
      <c r="E2425" s="8">
        <f t="shared" si="113"/>
        <v>-1.3795024933200468</v>
      </c>
    </row>
    <row r="2426" spans="1:5" x14ac:dyDescent="0.2">
      <c r="A2426" s="4">
        <v>45155</v>
      </c>
      <c r="B2426" s="3">
        <v>74375.22</v>
      </c>
      <c r="C2426" s="6">
        <f t="shared" si="111"/>
        <v>-7.224908368405533E-3</v>
      </c>
      <c r="D2426" s="7">
        <f t="shared" si="112"/>
        <v>-0.68293857391187984</v>
      </c>
      <c r="E2426" s="8">
        <f t="shared" si="113"/>
        <v>-1.1531049316871811</v>
      </c>
    </row>
    <row r="2427" spans="1:5" x14ac:dyDescent="0.2">
      <c r="A2427" s="4">
        <v>45156</v>
      </c>
      <c r="B2427" s="3">
        <v>73080.87</v>
      </c>
      <c r="C2427" s="6">
        <f t="shared" si="111"/>
        <v>-1.7556185643762767E-2</v>
      </c>
      <c r="D2427" s="7">
        <f t="shared" si="112"/>
        <v>-1.6295304262779313</v>
      </c>
      <c r="E2427" s="8">
        <f t="shared" si="113"/>
        <v>-2.6985959852400581</v>
      </c>
    </row>
    <row r="2428" spans="1:5" x14ac:dyDescent="0.2">
      <c r="A2428" s="4">
        <v>45159</v>
      </c>
      <c r="B2428" s="3">
        <v>73760.210000000006</v>
      </c>
      <c r="C2428" s="6">
        <f t="shared" si="111"/>
        <v>9.2527901150196434E-3</v>
      </c>
      <c r="D2428" s="7">
        <f t="shared" si="112"/>
        <v>0.82681232275209349</v>
      </c>
      <c r="E2428" s="8">
        <f t="shared" si="113"/>
        <v>-1.3535943992004027</v>
      </c>
    </row>
    <row r="2429" spans="1:5" x14ac:dyDescent="0.2">
      <c r="A2429" s="4">
        <v>45160</v>
      </c>
      <c r="B2429" s="3">
        <v>73277.88</v>
      </c>
      <c r="C2429" s="6">
        <f t="shared" si="111"/>
        <v>-6.5606364994828612E-3</v>
      </c>
      <c r="D2429" s="7">
        <f t="shared" si="112"/>
        <v>-0.62207539870913819</v>
      </c>
      <c r="E2429" s="8">
        <f t="shared" si="113"/>
        <v>-1.0758283449674861</v>
      </c>
    </row>
    <row r="2430" spans="1:5" x14ac:dyDescent="0.2">
      <c r="A2430" s="4">
        <v>45161</v>
      </c>
      <c r="B2430" s="3">
        <v>74022.58</v>
      </c>
      <c r="C2430" s="6">
        <f t="shared" si="111"/>
        <v>1.0111391978661365E-2</v>
      </c>
      <c r="D2430" s="7">
        <f t="shared" si="112"/>
        <v>0.90548076876197547</v>
      </c>
      <c r="E2430" s="8">
        <f t="shared" si="113"/>
        <v>-1.4720434973195089</v>
      </c>
    </row>
    <row r="2431" spans="1:5" x14ac:dyDescent="0.2">
      <c r="A2431" s="4">
        <v>45162</v>
      </c>
      <c r="B2431" s="3">
        <v>74301.56</v>
      </c>
      <c r="C2431" s="6">
        <f t="shared" si="111"/>
        <v>3.761765670568793E-3</v>
      </c>
      <c r="D2431" s="7">
        <f t="shared" si="112"/>
        <v>0.32370328195052706</v>
      </c>
      <c r="E2431" s="8">
        <f t="shared" si="113"/>
        <v>-0.78145108073544245</v>
      </c>
    </row>
    <row r="2432" spans="1:5" x14ac:dyDescent="0.2">
      <c r="A2432" s="4">
        <v>45163</v>
      </c>
      <c r="B2432" s="3">
        <v>73836.009999999995</v>
      </c>
      <c r="C2432" s="6">
        <f t="shared" si="111"/>
        <v>-6.2853944839828691E-3</v>
      </c>
      <c r="D2432" s="7">
        <f t="shared" si="112"/>
        <v>-0.59685665349913752</v>
      </c>
      <c r="E2432" s="8">
        <f t="shared" si="113"/>
        <v>-1.0453046587038028</v>
      </c>
    </row>
    <row r="2433" spans="1:5" x14ac:dyDescent="0.2">
      <c r="A2433" s="4">
        <v>45166</v>
      </c>
      <c r="B2433" s="3">
        <v>75079.61</v>
      </c>
      <c r="C2433" s="6">
        <f t="shared" si="111"/>
        <v>1.6702464263939971E-2</v>
      </c>
      <c r="D2433" s="7">
        <f t="shared" si="112"/>
        <v>1.5093804761565472</v>
      </c>
      <c r="E2433" s="8">
        <f t="shared" si="113"/>
        <v>-2.4887983241620781</v>
      </c>
    </row>
    <row r="2434" spans="1:5" x14ac:dyDescent="0.2">
      <c r="A2434" s="4">
        <v>45167</v>
      </c>
      <c r="B2434" s="3">
        <v>74776.179999999993</v>
      </c>
      <c r="C2434" s="6">
        <f t="shared" si="111"/>
        <v>-4.0496321787159197E-3</v>
      </c>
      <c r="D2434" s="7">
        <f t="shared" si="112"/>
        <v>-0.39200740537752465</v>
      </c>
      <c r="E2434" s="8">
        <f t="shared" si="113"/>
        <v>-0.83484905727770164</v>
      </c>
    </row>
    <row r="2435" spans="1:5" x14ac:dyDescent="0.2">
      <c r="A2435" s="4">
        <v>45168</v>
      </c>
      <c r="B2435" s="3">
        <v>75256.19</v>
      </c>
      <c r="C2435" s="6">
        <f t="shared" ref="C2435:C2498" si="114">LN(B2435/B2434)</f>
        <v>6.3987743152431088E-3</v>
      </c>
      <c r="D2435" s="7">
        <f t="shared" ref="D2435:D2498" si="115">(C2435-$G$4)/$G$5</f>
        <v>0.56531628207990747</v>
      </c>
      <c r="E2435" s="8">
        <f t="shared" ref="E2435:E2498" si="116">LN((PI()*(G$3-2))^(-1/2)*EXP(GAMMALN((G$3+1)/2))*((1+D2435^2/(G$3-2))^(-(G$3+1)/2))/EXP(GAMMALN(G$3/2)))</f>
        <v>-1.0084410171651943</v>
      </c>
    </row>
    <row r="2436" spans="1:5" x14ac:dyDescent="0.2">
      <c r="A2436" s="4">
        <v>45169</v>
      </c>
      <c r="B2436" s="3">
        <v>74953.73</v>
      </c>
      <c r="C2436" s="6">
        <f t="shared" si="114"/>
        <v>-4.0271695607982921E-3</v>
      </c>
      <c r="D2436" s="7">
        <f t="shared" si="115"/>
        <v>-0.38994929285794727</v>
      </c>
      <c r="E2436" s="8">
        <f t="shared" si="116"/>
        <v>-0.83310820416788778</v>
      </c>
    </row>
    <row r="2437" spans="1:5" x14ac:dyDescent="0.2">
      <c r="A2437" s="4">
        <v>45170</v>
      </c>
      <c r="B2437" s="3">
        <v>74786.789999999994</v>
      </c>
      <c r="C2437" s="6">
        <f t="shared" si="114"/>
        <v>-2.2297247153175047E-3</v>
      </c>
      <c r="D2437" s="7">
        <f t="shared" si="115"/>
        <v>-0.22526039714242335</v>
      </c>
      <c r="E2437" s="8">
        <f t="shared" si="116"/>
        <v>-0.72114046272577892</v>
      </c>
    </row>
    <row r="2438" spans="1:5" x14ac:dyDescent="0.2">
      <c r="A2438" s="4">
        <v>45173</v>
      </c>
      <c r="B2438" s="3">
        <v>75375.22</v>
      </c>
      <c r="C2438" s="6">
        <f t="shared" si="114"/>
        <v>7.8373086767404582E-3</v>
      </c>
      <c r="D2438" s="7">
        <f t="shared" si="115"/>
        <v>0.69712040171088563</v>
      </c>
      <c r="E2438" s="8">
        <f t="shared" si="116"/>
        <v>-1.171805274583313</v>
      </c>
    </row>
    <row r="2439" spans="1:5" x14ac:dyDescent="0.2">
      <c r="A2439" s="4">
        <v>45174</v>
      </c>
      <c r="B2439" s="3">
        <v>75016</v>
      </c>
      <c r="C2439" s="6">
        <f t="shared" si="114"/>
        <v>-4.7771496654011193E-3</v>
      </c>
      <c r="D2439" s="7">
        <f t="shared" si="115"/>
        <v>-0.45866539034833503</v>
      </c>
      <c r="E2439" s="8">
        <f t="shared" si="116"/>
        <v>-0.89546687346442644</v>
      </c>
    </row>
    <row r="2440" spans="1:5" x14ac:dyDescent="0.2">
      <c r="A2440" s="4">
        <v>45175</v>
      </c>
      <c r="B2440" s="3">
        <v>74411.02</v>
      </c>
      <c r="C2440" s="6">
        <f t="shared" si="114"/>
        <v>-8.0973749671371734E-3</v>
      </c>
      <c r="D2440" s="7">
        <f t="shared" si="115"/>
        <v>-0.76287736093783698</v>
      </c>
      <c r="E2440" s="8">
        <f t="shared" si="116"/>
        <v>-1.2616697678745177</v>
      </c>
    </row>
    <row r="2441" spans="1:5" x14ac:dyDescent="0.2">
      <c r="A2441" s="4">
        <v>45176</v>
      </c>
      <c r="B2441" s="3">
        <v>73185.119999999995</v>
      </c>
      <c r="C2441" s="6">
        <f t="shared" si="114"/>
        <v>-1.6611927535358607E-2</v>
      </c>
      <c r="D2441" s="7">
        <f t="shared" si="115"/>
        <v>-1.543013821590729</v>
      </c>
      <c r="E2441" s="8">
        <f t="shared" si="116"/>
        <v>-2.5475745568664885</v>
      </c>
    </row>
    <row r="2442" spans="1:5" x14ac:dyDescent="0.2">
      <c r="A2442" s="4">
        <v>45177</v>
      </c>
      <c r="B2442" s="3">
        <v>73652.67</v>
      </c>
      <c r="C2442" s="6">
        <f t="shared" si="114"/>
        <v>6.3682731825282692E-3</v>
      </c>
      <c r="D2442" s="7">
        <f t="shared" si="115"/>
        <v>0.56252164953387462</v>
      </c>
      <c r="E2442" s="8">
        <f t="shared" si="116"/>
        <v>-1.0052471159721674</v>
      </c>
    </row>
    <row r="2443" spans="1:5" x14ac:dyDescent="0.2">
      <c r="A2443" s="4">
        <v>45180</v>
      </c>
      <c r="B2443" s="3">
        <v>74106.179999999993</v>
      </c>
      <c r="C2443" s="6">
        <f t="shared" si="114"/>
        <v>6.1385348367470711E-3</v>
      </c>
      <c r="D2443" s="7">
        <f t="shared" si="115"/>
        <v>0.54147212772777076</v>
      </c>
      <c r="E2443" s="8">
        <f t="shared" si="116"/>
        <v>-0.98157914762871001</v>
      </c>
    </row>
    <row r="2444" spans="1:5" x14ac:dyDescent="0.2">
      <c r="A2444" s="4">
        <v>45181</v>
      </c>
      <c r="B2444" s="3">
        <v>74086.62</v>
      </c>
      <c r="C2444" s="6">
        <f t="shared" si="114"/>
        <v>-2.6398043782946125E-4</v>
      </c>
      <c r="D2444" s="7">
        <f t="shared" si="115"/>
        <v>-4.5151252134403852E-2</v>
      </c>
      <c r="E2444" s="8">
        <f t="shared" si="116"/>
        <v>-0.66558420906441673</v>
      </c>
    </row>
    <row r="2445" spans="1:5" x14ac:dyDescent="0.2">
      <c r="A2445" s="4">
        <v>45182</v>
      </c>
      <c r="B2445" s="3">
        <v>73302.559999999998</v>
      </c>
      <c r="C2445" s="6">
        <f t="shared" si="114"/>
        <v>-1.0639415947637145E-2</v>
      </c>
      <c r="D2445" s="7">
        <f t="shared" si="115"/>
        <v>-0.99578905388614947</v>
      </c>
      <c r="E2445" s="8">
        <f t="shared" si="116"/>
        <v>-1.6141111316287298</v>
      </c>
    </row>
    <row r="2446" spans="1:5" x14ac:dyDescent="0.2">
      <c r="A2446" s="4">
        <v>45183</v>
      </c>
      <c r="B2446" s="3">
        <v>74354.37</v>
      </c>
      <c r="C2446" s="6">
        <f t="shared" si="114"/>
        <v>1.4246913989461799E-2</v>
      </c>
      <c r="D2446" s="7">
        <f t="shared" si="115"/>
        <v>1.2843933984754008</v>
      </c>
      <c r="E2446" s="8">
        <f t="shared" si="116"/>
        <v>-2.0973397505436813</v>
      </c>
    </row>
    <row r="2447" spans="1:5" x14ac:dyDescent="0.2">
      <c r="A2447" s="4">
        <v>45184</v>
      </c>
      <c r="B2447" s="3">
        <v>74589.81</v>
      </c>
      <c r="C2447" s="6">
        <f t="shared" si="114"/>
        <v>3.1614554673831635E-3</v>
      </c>
      <c r="D2447" s="7">
        <f t="shared" si="115"/>
        <v>0.26870052361945929</v>
      </c>
      <c r="E2447" s="8">
        <f t="shared" si="116"/>
        <v>-0.74525210507506878</v>
      </c>
    </row>
    <row r="2448" spans="1:5" x14ac:dyDescent="0.2">
      <c r="A2448" s="4">
        <v>45187</v>
      </c>
      <c r="B2448" s="3">
        <v>73908.03</v>
      </c>
      <c r="C2448" s="6">
        <f t="shared" si="114"/>
        <v>-9.1824203026075017E-3</v>
      </c>
      <c r="D2448" s="7">
        <f t="shared" si="115"/>
        <v>-0.86229343957255611</v>
      </c>
      <c r="E2448" s="8">
        <f t="shared" si="116"/>
        <v>-1.4063395650626651</v>
      </c>
    </row>
    <row r="2449" spans="1:5" x14ac:dyDescent="0.2">
      <c r="A2449" s="4">
        <v>45188</v>
      </c>
      <c r="B2449" s="3">
        <v>73806.42</v>
      </c>
      <c r="C2449" s="6">
        <f t="shared" si="114"/>
        <v>-1.3757627101023098E-3</v>
      </c>
      <c r="D2449" s="7">
        <f t="shared" si="115"/>
        <v>-0.14701707302847175</v>
      </c>
      <c r="E2449" s="8">
        <f t="shared" si="116"/>
        <v>-0.68805419549983615</v>
      </c>
    </row>
    <row r="2450" spans="1:5" x14ac:dyDescent="0.2">
      <c r="A2450" s="4">
        <v>45189</v>
      </c>
      <c r="B2450" s="3">
        <v>74824.09</v>
      </c>
      <c r="C2450" s="6">
        <f t="shared" si="114"/>
        <v>1.3694172261377952E-2</v>
      </c>
      <c r="D2450" s="7">
        <f t="shared" si="115"/>
        <v>1.2337490490574523</v>
      </c>
      <c r="E2450" s="8">
        <f t="shared" si="116"/>
        <v>-2.0103289642752782</v>
      </c>
    </row>
    <row r="2451" spans="1:5" x14ac:dyDescent="0.2">
      <c r="A2451" s="4">
        <v>45190</v>
      </c>
      <c r="B2451" s="3">
        <v>73238.11</v>
      </c>
      <c r="C2451" s="6">
        <f t="shared" si="114"/>
        <v>-2.1423978051536022E-2</v>
      </c>
      <c r="D2451" s="7">
        <f t="shared" si="115"/>
        <v>-1.9839126272642889</v>
      </c>
      <c r="E2451" s="8">
        <f t="shared" si="116"/>
        <v>-3.3076767227976811</v>
      </c>
    </row>
    <row r="2452" spans="1:5" x14ac:dyDescent="0.2">
      <c r="A2452" s="4">
        <v>45191</v>
      </c>
      <c r="B2452" s="3">
        <v>73398.78</v>
      </c>
      <c r="C2452" s="6">
        <f t="shared" si="114"/>
        <v>2.1914003263152808E-3</v>
      </c>
      <c r="D2452" s="7">
        <f t="shared" si="115"/>
        <v>0.17982029434994651</v>
      </c>
      <c r="E2452" s="8">
        <f t="shared" si="116"/>
        <v>-0.70028050828287369</v>
      </c>
    </row>
    <row r="2453" spans="1:5" x14ac:dyDescent="0.2">
      <c r="A2453" s="4">
        <v>45195</v>
      </c>
      <c r="B2453" s="3">
        <v>72652.100000000006</v>
      </c>
      <c r="C2453" s="6">
        <f t="shared" si="114"/>
        <v>-1.0225018918080088E-2</v>
      </c>
      <c r="D2453" s="7">
        <f t="shared" si="115"/>
        <v>-0.95782038444011131</v>
      </c>
      <c r="E2453" s="8">
        <f t="shared" si="116"/>
        <v>-1.5536698288692736</v>
      </c>
    </row>
    <row r="2454" spans="1:5" x14ac:dyDescent="0.2">
      <c r="A2454" s="4">
        <v>45196</v>
      </c>
      <c r="B2454" s="3">
        <v>72174.14</v>
      </c>
      <c r="C2454" s="6">
        <f t="shared" si="114"/>
        <v>-6.6004853160410021E-3</v>
      </c>
      <c r="D2454" s="7">
        <f t="shared" si="115"/>
        <v>-0.62572650244733119</v>
      </c>
      <c r="E2454" s="8">
        <f t="shared" si="116"/>
        <v>-1.0803223513639204</v>
      </c>
    </row>
    <row r="2455" spans="1:5" x14ac:dyDescent="0.2">
      <c r="A2455" s="4">
        <v>45197</v>
      </c>
      <c r="B2455" s="3">
        <v>72505.990000000005</v>
      </c>
      <c r="C2455" s="6">
        <f t="shared" si="114"/>
        <v>4.587369142574938E-3</v>
      </c>
      <c r="D2455" s="7">
        <f t="shared" si="115"/>
        <v>0.39934828682811779</v>
      </c>
      <c r="E2455" s="8">
        <f t="shared" si="116"/>
        <v>-0.84112346398765503</v>
      </c>
    </row>
    <row r="2456" spans="1:5" x14ac:dyDescent="0.2">
      <c r="A2456" s="4">
        <v>45198</v>
      </c>
      <c r="B2456" s="3">
        <v>72382.89</v>
      </c>
      <c r="C2456" s="6">
        <f t="shared" si="114"/>
        <v>-1.6992336419449524E-3</v>
      </c>
      <c r="D2456" s="7">
        <f t="shared" si="115"/>
        <v>-0.17665473934973619</v>
      </c>
      <c r="E2456" s="8">
        <f t="shared" si="116"/>
        <v>-0.69899631886009572</v>
      </c>
    </row>
    <row r="2457" spans="1:5" x14ac:dyDescent="0.2">
      <c r="A2457" s="4">
        <v>45201</v>
      </c>
      <c r="B2457" s="3">
        <v>71238.06</v>
      </c>
      <c r="C2457" s="6">
        <f t="shared" si="114"/>
        <v>-1.5942719336967361E-2</v>
      </c>
      <c r="D2457" s="7">
        <f t="shared" si="115"/>
        <v>-1.4816983606607721</v>
      </c>
      <c r="E2457" s="8">
        <f t="shared" si="116"/>
        <v>-2.4404244851429695</v>
      </c>
    </row>
    <row r="2458" spans="1:5" x14ac:dyDescent="0.2">
      <c r="A2458" s="4">
        <v>45202</v>
      </c>
      <c r="B2458" s="3">
        <v>70773.210000000006</v>
      </c>
      <c r="C2458" s="6">
        <f t="shared" si="114"/>
        <v>-6.5466868968012629E-3</v>
      </c>
      <c r="D2458" s="7">
        <f t="shared" si="115"/>
        <v>-0.62079728179385207</v>
      </c>
      <c r="E2458" s="8">
        <f t="shared" si="116"/>
        <v>-1.0742595778819677</v>
      </c>
    </row>
    <row r="2459" spans="1:5" x14ac:dyDescent="0.2">
      <c r="A2459" s="4">
        <v>45203</v>
      </c>
      <c r="B2459" s="3">
        <v>70564.69</v>
      </c>
      <c r="C2459" s="6">
        <f t="shared" si="114"/>
        <v>-2.9506615180818975E-3</v>
      </c>
      <c r="D2459" s="7">
        <f t="shared" si="115"/>
        <v>-0.29131543422824274</v>
      </c>
      <c r="E2459" s="8">
        <f t="shared" si="116"/>
        <v>-0.75938081591931172</v>
      </c>
    </row>
    <row r="2460" spans="1:5" x14ac:dyDescent="0.2">
      <c r="A2460" s="4">
        <v>45204</v>
      </c>
      <c r="B2460" s="3">
        <v>71249.59</v>
      </c>
      <c r="C2460" s="6">
        <f t="shared" si="114"/>
        <v>9.6591870026507508E-3</v>
      </c>
      <c r="D2460" s="7">
        <f t="shared" si="115"/>
        <v>0.8640479880435592</v>
      </c>
      <c r="E2460" s="8">
        <f t="shared" si="116"/>
        <v>-1.4089776252115871</v>
      </c>
    </row>
    <row r="2461" spans="1:5" x14ac:dyDescent="0.2">
      <c r="A2461" s="4">
        <v>45205</v>
      </c>
      <c r="B2461" s="3">
        <v>71657.25</v>
      </c>
      <c r="C2461" s="6">
        <f t="shared" si="114"/>
        <v>5.705270731352444E-3</v>
      </c>
      <c r="D2461" s="7">
        <f t="shared" si="115"/>
        <v>0.50177478332801562</v>
      </c>
      <c r="E2461" s="8">
        <f t="shared" si="116"/>
        <v>-0.93886787695665508</v>
      </c>
    </row>
    <row r="2462" spans="1:5" x14ac:dyDescent="0.2">
      <c r="A2462" s="4">
        <v>45208</v>
      </c>
      <c r="B2462" s="3">
        <v>71648.39</v>
      </c>
      <c r="C2462" s="6">
        <f t="shared" si="114"/>
        <v>-1.2365179781185587E-4</v>
      </c>
      <c r="D2462" s="7">
        <f t="shared" si="115"/>
        <v>-3.2293795717943406E-2</v>
      </c>
      <c r="E2462" s="8">
        <f t="shared" si="116"/>
        <v>-0.66443610853893575</v>
      </c>
    </row>
    <row r="2463" spans="1:5" x14ac:dyDescent="0.2">
      <c r="A2463" s="4">
        <v>45209</v>
      </c>
      <c r="B2463" s="3">
        <v>73840.5</v>
      </c>
      <c r="C2463" s="6">
        <f t="shared" si="114"/>
        <v>3.0136677889508395E-2</v>
      </c>
      <c r="D2463" s="7">
        <f t="shared" si="115"/>
        <v>2.7402754392837805</v>
      </c>
      <c r="E2463" s="8">
        <f t="shared" si="116"/>
        <v>-4.5076873079474558</v>
      </c>
    </row>
    <row r="2464" spans="1:5" x14ac:dyDescent="0.2">
      <c r="A2464" s="4">
        <v>45210</v>
      </c>
      <c r="B2464" s="3">
        <v>73849.53</v>
      </c>
      <c r="C2464" s="6">
        <f t="shared" si="114"/>
        <v>1.2228313598761727E-4</v>
      </c>
      <c r="D2464" s="7">
        <f t="shared" si="115"/>
        <v>-9.7602794505934135E-3</v>
      </c>
      <c r="E2464" s="8">
        <f t="shared" si="116"/>
        <v>-0.66334302815692192</v>
      </c>
    </row>
    <row r="2465" spans="1:5" x14ac:dyDescent="0.2">
      <c r="A2465" s="4">
        <v>45211</v>
      </c>
      <c r="B2465" s="3">
        <v>73390.81</v>
      </c>
      <c r="C2465" s="6">
        <f t="shared" si="114"/>
        <v>-6.2309212831982673E-3</v>
      </c>
      <c r="D2465" s="7">
        <f t="shared" si="115"/>
        <v>-0.59186560673302302</v>
      </c>
      <c r="E2465" s="8">
        <f t="shared" si="116"/>
        <v>-1.0393726905802392</v>
      </c>
    </row>
    <row r="2466" spans="1:5" x14ac:dyDescent="0.2">
      <c r="A2466" s="4">
        <v>45212</v>
      </c>
      <c r="B2466" s="3">
        <v>72919.72</v>
      </c>
      <c r="C2466" s="6">
        <f t="shared" si="114"/>
        <v>-6.4396134434516967E-3</v>
      </c>
      <c r="D2466" s="7">
        <f t="shared" si="115"/>
        <v>-0.61098679507047726</v>
      </c>
      <c r="E2466" s="8">
        <f t="shared" si="116"/>
        <v>-1.0622950337643475</v>
      </c>
    </row>
    <row r="2467" spans="1:5" x14ac:dyDescent="0.2">
      <c r="A2467" s="4">
        <v>45215</v>
      </c>
      <c r="B2467" s="3">
        <v>73146.75</v>
      </c>
      <c r="C2467" s="6">
        <f t="shared" si="114"/>
        <v>3.108587245544104E-3</v>
      </c>
      <c r="D2467" s="7">
        <f t="shared" si="115"/>
        <v>0.26385653127387548</v>
      </c>
      <c r="E2467" s="8">
        <f t="shared" si="116"/>
        <v>-0.74236492978174962</v>
      </c>
    </row>
    <row r="2468" spans="1:5" x14ac:dyDescent="0.2">
      <c r="A2468" s="4">
        <v>45216</v>
      </c>
      <c r="B2468" s="3">
        <v>72831.8</v>
      </c>
      <c r="C2468" s="6">
        <f t="shared" si="114"/>
        <v>-4.3150242098226451E-3</v>
      </c>
      <c r="D2468" s="7">
        <f t="shared" si="115"/>
        <v>-0.41632365666309645</v>
      </c>
      <c r="E2468" s="8">
        <f t="shared" si="116"/>
        <v>-0.85601880579301626</v>
      </c>
    </row>
    <row r="2469" spans="1:5" x14ac:dyDescent="0.2">
      <c r="A2469" s="4">
        <v>45217</v>
      </c>
      <c r="B2469" s="3">
        <v>71968.67</v>
      </c>
      <c r="C2469" s="6">
        <f t="shared" si="114"/>
        <v>-1.192178758757933E-2</v>
      </c>
      <c r="D2469" s="7">
        <f t="shared" si="115"/>
        <v>-1.1132849368947284</v>
      </c>
      <c r="E2469" s="8">
        <f t="shared" si="116"/>
        <v>-1.8065767008551203</v>
      </c>
    </row>
    <row r="2470" spans="1:5" x14ac:dyDescent="0.2">
      <c r="A2470" s="4">
        <v>45218</v>
      </c>
      <c r="B2470" s="3">
        <v>70961.33</v>
      </c>
      <c r="C2470" s="6">
        <f t="shared" si="114"/>
        <v>-1.4095804647313345E-2</v>
      </c>
      <c r="D2470" s="7">
        <f t="shared" si="115"/>
        <v>-1.3124768451941657</v>
      </c>
      <c r="E2470" s="8">
        <f t="shared" si="116"/>
        <v>-2.1458417734323536</v>
      </c>
    </row>
    <row r="2471" spans="1:5" x14ac:dyDescent="0.2">
      <c r="A2471" s="4">
        <v>45219</v>
      </c>
      <c r="B2471" s="3">
        <v>70198.009999999995</v>
      </c>
      <c r="C2471" s="6">
        <f t="shared" si="114"/>
        <v>-1.081511772783628E-2</v>
      </c>
      <c r="D2471" s="7">
        <f t="shared" si="115"/>
        <v>-1.0118875351435854</v>
      </c>
      <c r="E2471" s="8">
        <f t="shared" si="116"/>
        <v>-1.6400215035410355</v>
      </c>
    </row>
    <row r="2472" spans="1:5" x14ac:dyDescent="0.2">
      <c r="A2472" s="4">
        <v>45222</v>
      </c>
      <c r="B2472" s="3">
        <v>70100.28</v>
      </c>
      <c r="C2472" s="6">
        <f t="shared" si="114"/>
        <v>-1.3931747251844683E-3</v>
      </c>
      <c r="D2472" s="7">
        <f t="shared" si="115"/>
        <v>-0.14861242964999616</v>
      </c>
      <c r="E2472" s="8">
        <f t="shared" si="116"/>
        <v>-0.68859322427104785</v>
      </c>
    </row>
    <row r="2473" spans="1:5" x14ac:dyDescent="0.2">
      <c r="A2473" s="4">
        <v>45223</v>
      </c>
      <c r="B2473" s="3">
        <v>70578.25</v>
      </c>
      <c r="C2473" s="6">
        <f t="shared" si="114"/>
        <v>6.7952350539355229E-3</v>
      </c>
      <c r="D2473" s="7">
        <f t="shared" si="115"/>
        <v>0.60164155871578096</v>
      </c>
      <c r="E2473" s="8">
        <f t="shared" si="116"/>
        <v>-1.0510257859791823</v>
      </c>
    </row>
    <row r="2474" spans="1:5" x14ac:dyDescent="0.2">
      <c r="A2474" s="4">
        <v>45224</v>
      </c>
      <c r="B2474" s="3">
        <v>70274.34</v>
      </c>
      <c r="C2474" s="6">
        <f t="shared" si="114"/>
        <v>-4.315298307435469E-3</v>
      </c>
      <c r="D2474" s="7">
        <f t="shared" si="115"/>
        <v>-0.41634877055367714</v>
      </c>
      <c r="E2474" s="8">
        <f t="shared" si="116"/>
        <v>-0.85604123845215518</v>
      </c>
    </row>
    <row r="2475" spans="1:5" x14ac:dyDescent="0.2">
      <c r="A2475" s="4">
        <v>45225</v>
      </c>
      <c r="B2475" s="3">
        <v>69930.52</v>
      </c>
      <c r="C2475" s="6">
        <f t="shared" si="114"/>
        <v>-4.9045473773686316E-3</v>
      </c>
      <c r="D2475" s="7">
        <f t="shared" si="115"/>
        <v>-0.47033806478580958</v>
      </c>
      <c r="E2475" s="8">
        <f t="shared" si="116"/>
        <v>-0.90690281327888733</v>
      </c>
    </row>
    <row r="2476" spans="1:5" x14ac:dyDescent="0.2">
      <c r="A2476" s="4">
        <v>45226</v>
      </c>
      <c r="B2476" s="3">
        <v>69451.97</v>
      </c>
      <c r="C2476" s="6">
        <f t="shared" si="114"/>
        <v>-6.8667431667699345E-3</v>
      </c>
      <c r="D2476" s="7">
        <f t="shared" si="115"/>
        <v>-0.65012208349805745</v>
      </c>
      <c r="E2476" s="8">
        <f t="shared" si="116"/>
        <v>-1.1108224515039786</v>
      </c>
    </row>
    <row r="2477" spans="1:5" x14ac:dyDescent="0.2">
      <c r="A2477" s="4">
        <v>45229</v>
      </c>
      <c r="B2477" s="3">
        <v>69871.16</v>
      </c>
      <c r="C2477" s="6">
        <f t="shared" si="114"/>
        <v>6.017540159091281E-3</v>
      </c>
      <c r="D2477" s="7">
        <f t="shared" si="115"/>
        <v>0.53038612422636278</v>
      </c>
      <c r="E2477" s="8">
        <f t="shared" si="116"/>
        <v>-0.96939468115248739</v>
      </c>
    </row>
    <row r="2478" spans="1:5" x14ac:dyDescent="0.2">
      <c r="A2478" s="4">
        <v>45230</v>
      </c>
      <c r="B2478" s="3">
        <v>69653.440000000002</v>
      </c>
      <c r="C2478" s="6">
        <f t="shared" si="114"/>
        <v>-3.1208858755336975E-3</v>
      </c>
      <c r="D2478" s="7">
        <f t="shared" si="115"/>
        <v>-0.30691205268532978</v>
      </c>
      <c r="E2478" s="8">
        <f t="shared" si="116"/>
        <v>-0.76974166710912018</v>
      </c>
    </row>
    <row r="2479" spans="1:5" x14ac:dyDescent="0.2">
      <c r="A2479" s="4">
        <v>45231</v>
      </c>
      <c r="B2479" s="3">
        <v>69740.3</v>
      </c>
      <c r="C2479" s="6">
        <f t="shared" si="114"/>
        <v>1.2462541178995023E-3</v>
      </c>
      <c r="D2479" s="7">
        <f t="shared" si="115"/>
        <v>9.3222318481555502E-2</v>
      </c>
      <c r="E2479" s="8">
        <f t="shared" si="116"/>
        <v>-0.67324098073868976</v>
      </c>
    </row>
    <row r="2480" spans="1:5" x14ac:dyDescent="0.2">
      <c r="A2480" s="4">
        <v>45232</v>
      </c>
      <c r="B2480" s="3">
        <v>71383.92</v>
      </c>
      <c r="C2480" s="6">
        <f t="shared" si="114"/>
        <v>2.3294290967654133E-2</v>
      </c>
      <c r="D2480" s="7">
        <f t="shared" si="115"/>
        <v>2.1133493063057731</v>
      </c>
      <c r="E2480" s="8">
        <f t="shared" si="116"/>
        <v>-3.5239323848210251</v>
      </c>
    </row>
    <row r="2481" spans="1:5" x14ac:dyDescent="0.2">
      <c r="A2481" s="4">
        <v>45233</v>
      </c>
      <c r="B2481" s="3">
        <v>72856.179999999993</v>
      </c>
      <c r="C2481" s="6">
        <f t="shared" si="114"/>
        <v>2.0414726991549684E-2</v>
      </c>
      <c r="D2481" s="7">
        <f t="shared" si="115"/>
        <v>1.8495124422377713</v>
      </c>
      <c r="E2481" s="8">
        <f t="shared" si="116"/>
        <v>-3.0791843169073569</v>
      </c>
    </row>
    <row r="2482" spans="1:5" x14ac:dyDescent="0.2">
      <c r="A2482" s="4">
        <v>45236</v>
      </c>
      <c r="B2482" s="3">
        <v>73293.69</v>
      </c>
      <c r="C2482" s="6">
        <f t="shared" si="114"/>
        <v>5.9871597137579119E-3</v>
      </c>
      <c r="D2482" s="7">
        <f t="shared" si="115"/>
        <v>0.52760254952815822</v>
      </c>
      <c r="E2482" s="8">
        <f t="shared" si="116"/>
        <v>-0.9663661898979371</v>
      </c>
    </row>
    <row r="2483" spans="1:5" x14ac:dyDescent="0.2">
      <c r="A2483" s="4">
        <v>45237</v>
      </c>
      <c r="B2483" s="3">
        <v>71572.990000000005</v>
      </c>
      <c r="C2483" s="6">
        <f t="shared" si="114"/>
        <v>-2.3756752444370029E-2</v>
      </c>
      <c r="D2483" s="7">
        <f t="shared" si="115"/>
        <v>-2.1976505005988791</v>
      </c>
      <c r="E2483" s="8">
        <f t="shared" si="116"/>
        <v>-3.6625408806084057</v>
      </c>
    </row>
    <row r="2484" spans="1:5" x14ac:dyDescent="0.2">
      <c r="A2484" s="4">
        <v>45238</v>
      </c>
      <c r="B2484" s="3">
        <v>72465.63</v>
      </c>
      <c r="C2484" s="6">
        <f t="shared" si="114"/>
        <v>1.2394612330049347E-2</v>
      </c>
      <c r="D2484" s="7">
        <f t="shared" si="115"/>
        <v>1.1146783078634981</v>
      </c>
      <c r="E2484" s="8">
        <f t="shared" si="116"/>
        <v>-1.8089012054887155</v>
      </c>
    </row>
    <row r="2485" spans="1:5" x14ac:dyDescent="0.2">
      <c r="A2485" s="4">
        <v>45239</v>
      </c>
      <c r="B2485" s="3">
        <v>72226.67</v>
      </c>
      <c r="C2485" s="6">
        <f t="shared" si="114"/>
        <v>-3.303012216299524E-3</v>
      </c>
      <c r="D2485" s="7">
        <f t="shared" si="115"/>
        <v>-0.32359917719813241</v>
      </c>
      <c r="E2485" s="8">
        <f t="shared" si="116"/>
        <v>-0.78137672544504944</v>
      </c>
    </row>
    <row r="2486" spans="1:5" x14ac:dyDescent="0.2">
      <c r="A2486" s="4">
        <v>45240</v>
      </c>
      <c r="B2486" s="3">
        <v>71393.3</v>
      </c>
      <c r="C2486" s="6">
        <f t="shared" si="114"/>
        <v>-1.1605340865085622E-2</v>
      </c>
      <c r="D2486" s="7">
        <f t="shared" si="115"/>
        <v>-1.0842908559851994</v>
      </c>
      <c r="E2486" s="8">
        <f t="shared" si="116"/>
        <v>-1.7584102518422966</v>
      </c>
    </row>
    <row r="2487" spans="1:5" x14ac:dyDescent="0.2">
      <c r="A2487" s="4">
        <v>45243</v>
      </c>
      <c r="B2487" s="3">
        <v>71633.17</v>
      </c>
      <c r="C2487" s="6">
        <f t="shared" si="114"/>
        <v>3.3542074399546123E-3</v>
      </c>
      <c r="D2487" s="7">
        <f t="shared" si="115"/>
        <v>0.28636120989286196</v>
      </c>
      <c r="E2487" s="8">
        <f t="shared" si="116"/>
        <v>-0.7561946336789972</v>
      </c>
    </row>
    <row r="2488" spans="1:5" x14ac:dyDescent="0.2">
      <c r="A2488" s="4">
        <v>45244</v>
      </c>
      <c r="B2488" s="3">
        <v>73443.5</v>
      </c>
      <c r="C2488" s="6">
        <f t="shared" si="114"/>
        <v>2.4958168281238129E-2</v>
      </c>
      <c r="D2488" s="7">
        <f t="shared" si="115"/>
        <v>2.2658002246575766</v>
      </c>
      <c r="E2488" s="8">
        <f t="shared" si="116"/>
        <v>-3.7732240545802642</v>
      </c>
    </row>
    <row r="2489" spans="1:5" x14ac:dyDescent="0.2">
      <c r="A2489" s="4">
        <v>45245</v>
      </c>
      <c r="B2489" s="3">
        <v>74800.289999999994</v>
      </c>
      <c r="C2489" s="6">
        <f t="shared" si="114"/>
        <v>1.8305358849562942E-2</v>
      </c>
      <c r="D2489" s="7">
        <f t="shared" si="115"/>
        <v>1.6562439195152385</v>
      </c>
      <c r="E2489" s="8">
        <f t="shared" si="116"/>
        <v>-2.7451275771280317</v>
      </c>
    </row>
    <row r="2490" spans="1:5" x14ac:dyDescent="0.2">
      <c r="A2490" s="4">
        <v>45246</v>
      </c>
      <c r="B2490" s="3">
        <v>73736.61</v>
      </c>
      <c r="C2490" s="6">
        <f t="shared" si="114"/>
        <v>-1.4322342564257103E-2</v>
      </c>
      <c r="D2490" s="7">
        <f t="shared" si="115"/>
        <v>-1.3332331312482077</v>
      </c>
      <c r="E2490" s="8">
        <f t="shared" si="116"/>
        <v>-2.1817857998569257</v>
      </c>
    </row>
    <row r="2491" spans="1:5" x14ac:dyDescent="0.2">
      <c r="A2491" s="4">
        <v>45247</v>
      </c>
      <c r="B2491" s="3">
        <v>73920.75</v>
      </c>
      <c r="C2491" s="6">
        <f t="shared" si="114"/>
        <v>2.4941539718471043E-3</v>
      </c>
      <c r="D2491" s="7">
        <f t="shared" si="115"/>
        <v>0.20755976222950104</v>
      </c>
      <c r="E2491" s="8">
        <f t="shared" si="116"/>
        <v>-0.71247824320607123</v>
      </c>
    </row>
    <row r="2492" spans="1:5" x14ac:dyDescent="0.2">
      <c r="A2492" s="4">
        <v>45250</v>
      </c>
      <c r="B2492" s="3">
        <v>74321.48</v>
      </c>
      <c r="C2492" s="6">
        <f t="shared" si="114"/>
        <v>5.4064348073496896E-3</v>
      </c>
      <c r="D2492" s="7">
        <f t="shared" si="115"/>
        <v>0.47439427234995685</v>
      </c>
      <c r="E2492" s="8">
        <f t="shared" si="116"/>
        <v>-0.91093225412840539</v>
      </c>
    </row>
    <row r="2493" spans="1:5" x14ac:dyDescent="0.2">
      <c r="A2493" s="4">
        <v>45251</v>
      </c>
      <c r="B2493" s="3">
        <v>74270.740000000005</v>
      </c>
      <c r="C2493" s="6">
        <f t="shared" si="114"/>
        <v>-6.8294291547879918E-4</v>
      </c>
      <c r="D2493" s="7">
        <f t="shared" si="115"/>
        <v>-8.3538225711806371E-2</v>
      </c>
      <c r="E2493" s="8">
        <f t="shared" si="116"/>
        <v>-0.67127270209838152</v>
      </c>
    </row>
    <row r="2494" spans="1:5" x14ac:dyDescent="0.2">
      <c r="A2494" s="4">
        <v>45252</v>
      </c>
      <c r="B2494" s="3">
        <v>74763.960000000006</v>
      </c>
      <c r="C2494" s="6">
        <f t="shared" si="114"/>
        <v>6.6188854092111629E-3</v>
      </c>
      <c r="D2494" s="7">
        <f t="shared" si="115"/>
        <v>0.58548371758785955</v>
      </c>
      <c r="E2494" s="8">
        <f t="shared" si="116"/>
        <v>-1.0318411169788946</v>
      </c>
    </row>
    <row r="2495" spans="1:5" x14ac:dyDescent="0.2">
      <c r="A2495" s="4">
        <v>45253</v>
      </c>
      <c r="B2495" s="3">
        <v>75438.710000000006</v>
      </c>
      <c r="C2495" s="6">
        <f t="shared" si="114"/>
        <v>8.9845878101991287E-3</v>
      </c>
      <c r="D2495" s="7">
        <f t="shared" si="115"/>
        <v>0.80223858324609265</v>
      </c>
      <c r="E2495" s="8">
        <f t="shared" si="116"/>
        <v>-1.3177679454236717</v>
      </c>
    </row>
    <row r="2496" spans="1:5" x14ac:dyDescent="0.2">
      <c r="A2496" s="4">
        <v>45254</v>
      </c>
      <c r="B2496" s="3">
        <v>75712.399999999994</v>
      </c>
      <c r="C2496" s="6">
        <f t="shared" si="114"/>
        <v>3.6214130231910519E-3</v>
      </c>
      <c r="D2496" s="7">
        <f t="shared" si="115"/>
        <v>0.31084362588624997</v>
      </c>
      <c r="E2496" s="8">
        <f t="shared" si="116"/>
        <v>-0.77243203336237176</v>
      </c>
    </row>
    <row r="2497" spans="1:5" x14ac:dyDescent="0.2">
      <c r="A2497" s="4">
        <v>45257</v>
      </c>
      <c r="B2497" s="3">
        <v>75369.88</v>
      </c>
      <c r="C2497" s="6">
        <f t="shared" si="114"/>
        <v>-4.534225811630533E-3</v>
      </c>
      <c r="D2497" s="7">
        <f t="shared" si="115"/>
        <v>-0.43640776095791217</v>
      </c>
      <c r="E2497" s="8">
        <f t="shared" si="116"/>
        <v>-0.87432746023291974</v>
      </c>
    </row>
    <row r="2498" spans="1:5" x14ac:dyDescent="0.2">
      <c r="A2498" s="4">
        <v>45258</v>
      </c>
      <c r="B2498" s="3">
        <v>75589.179999999993</v>
      </c>
      <c r="C2498" s="6">
        <f t="shared" si="114"/>
        <v>2.9054255407834702E-3</v>
      </c>
      <c r="D2498" s="7">
        <f t="shared" si="115"/>
        <v>0.24524206480341057</v>
      </c>
      <c r="E2498" s="8">
        <f t="shared" si="116"/>
        <v>-0.73173170832185508</v>
      </c>
    </row>
    <row r="2499" spans="1:5" x14ac:dyDescent="0.2">
      <c r="A2499" s="4">
        <v>45259</v>
      </c>
      <c r="B2499" s="3">
        <v>75241.41</v>
      </c>
      <c r="C2499" s="6">
        <f t="shared" ref="C2499:C2562" si="117">LN(B2499/B2498)</f>
        <v>-4.611406960343286E-3</v>
      </c>
      <c r="D2499" s="7">
        <f t="shared" ref="D2499:D2562" si="118">(C2499-$G$4)/$G$5</f>
        <v>-0.44347939833444538</v>
      </c>
      <c r="E2499" s="8">
        <f t="shared" ref="E2499:E2562" si="119">LN((PI()*(G$3-2))^(-1/2)*EXP(GAMMALN((G$3+1)/2))*((1+D2499^2/(G$3-2))^(-(G$3+1)/2))/EXP(GAMMALN(G$3/2)))</f>
        <v>-0.88094801638117348</v>
      </c>
    </row>
    <row r="2500" spans="1:5" x14ac:dyDescent="0.2">
      <c r="A2500" s="4">
        <v>45260</v>
      </c>
      <c r="B2500" s="3">
        <v>75534.36</v>
      </c>
      <c r="C2500" s="6">
        <f t="shared" si="117"/>
        <v>3.8859077772970957E-3</v>
      </c>
      <c r="D2500" s="7">
        <f t="shared" si="118"/>
        <v>0.33507766515916132</v>
      </c>
      <c r="E2500" s="8">
        <f t="shared" si="119"/>
        <v>-0.78970612702309306</v>
      </c>
    </row>
    <row r="2501" spans="1:5" x14ac:dyDescent="0.2">
      <c r="A2501" s="4">
        <v>45261</v>
      </c>
      <c r="B2501" s="3">
        <v>75705.850000000006</v>
      </c>
      <c r="C2501" s="6">
        <f t="shared" si="117"/>
        <v>2.2677841229596829E-3</v>
      </c>
      <c r="D2501" s="7">
        <f t="shared" si="118"/>
        <v>0.18681887522521162</v>
      </c>
      <c r="E2501" s="8">
        <f t="shared" si="119"/>
        <v>-0.70319829973169423</v>
      </c>
    </row>
    <row r="2502" spans="1:5" x14ac:dyDescent="0.2">
      <c r="A2502" s="4">
        <v>45264</v>
      </c>
      <c r="B2502" s="3">
        <v>75941.06</v>
      </c>
      <c r="C2502" s="6">
        <f t="shared" si="117"/>
        <v>3.1020769050480838E-3</v>
      </c>
      <c r="D2502" s="7">
        <f t="shared" si="118"/>
        <v>0.26326002852736985</v>
      </c>
      <c r="E2502" s="8">
        <f t="shared" si="119"/>
        <v>-0.74201281163317545</v>
      </c>
    </row>
    <row r="2503" spans="1:5" x14ac:dyDescent="0.2">
      <c r="A2503" s="4">
        <v>45265</v>
      </c>
      <c r="B2503" s="3">
        <v>75215.490000000005</v>
      </c>
      <c r="C2503" s="6">
        <f t="shared" si="117"/>
        <v>-9.6003193078927247E-3</v>
      </c>
      <c r="D2503" s="7">
        <f t="shared" si="118"/>
        <v>-0.9005829736709613</v>
      </c>
      <c r="E2503" s="8">
        <f t="shared" si="119"/>
        <v>-1.4645137414699696</v>
      </c>
    </row>
    <row r="2504" spans="1:5" x14ac:dyDescent="0.2">
      <c r="A2504" s="4">
        <v>45266</v>
      </c>
      <c r="B2504" s="3">
        <v>75400.62</v>
      </c>
      <c r="C2504" s="6">
        <f t="shared" si="117"/>
        <v>2.4583040052269193E-3</v>
      </c>
      <c r="D2504" s="7">
        <f t="shared" si="118"/>
        <v>0.20427504869352747</v>
      </c>
      <c r="E2504" s="8">
        <f t="shared" si="119"/>
        <v>-0.71094578066073799</v>
      </c>
    </row>
    <row r="2505" spans="1:5" x14ac:dyDescent="0.2">
      <c r="A2505" s="4">
        <v>45267</v>
      </c>
      <c r="B2505" s="3">
        <v>74787.039999999994</v>
      </c>
      <c r="C2505" s="6">
        <f t="shared" si="117"/>
        <v>-8.1708898550282745E-3</v>
      </c>
      <c r="D2505" s="7">
        <f t="shared" si="118"/>
        <v>-0.76961308122203709</v>
      </c>
      <c r="E2505" s="8">
        <f t="shared" si="119"/>
        <v>-1.2711527995851089</v>
      </c>
    </row>
    <row r="2506" spans="1:5" x14ac:dyDescent="0.2">
      <c r="A2506" s="4">
        <v>45268</v>
      </c>
      <c r="B2506" s="3">
        <v>73790.850000000006</v>
      </c>
      <c r="C2506" s="6">
        <f t="shared" si="117"/>
        <v>-1.3409867756775733E-2</v>
      </c>
      <c r="D2506" s="7">
        <f t="shared" si="118"/>
        <v>-1.2496286363508156</v>
      </c>
      <c r="E2506" s="8">
        <f t="shared" si="119"/>
        <v>-2.037541353537744</v>
      </c>
    </row>
    <row r="2507" spans="1:5" x14ac:dyDescent="0.2">
      <c r="A2507" s="4">
        <v>45271</v>
      </c>
      <c r="B2507" s="3">
        <v>73892.3</v>
      </c>
      <c r="C2507" s="6">
        <f t="shared" si="117"/>
        <v>1.3738874876083836E-3</v>
      </c>
      <c r="D2507" s="7">
        <f t="shared" si="118"/>
        <v>0.10491658479890914</v>
      </c>
      <c r="E2507" s="8">
        <f t="shared" si="119"/>
        <v>-0.67590296335855904</v>
      </c>
    </row>
    <row r="2508" spans="1:5" x14ac:dyDescent="0.2">
      <c r="A2508" s="4">
        <v>45272</v>
      </c>
      <c r="B2508" s="3">
        <v>72621.84</v>
      </c>
      <c r="C2508" s="6">
        <f t="shared" si="117"/>
        <v>-1.7342924629750248E-2</v>
      </c>
      <c r="D2508" s="7">
        <f t="shared" si="118"/>
        <v>-1.6099906217686584</v>
      </c>
      <c r="E2508" s="8">
        <f t="shared" si="119"/>
        <v>-2.6645241926259868</v>
      </c>
    </row>
    <row r="2509" spans="1:5" x14ac:dyDescent="0.2">
      <c r="A2509" s="4">
        <v>45273</v>
      </c>
      <c r="B2509" s="3">
        <v>72640.509999999995</v>
      </c>
      <c r="C2509" s="6">
        <f t="shared" si="117"/>
        <v>2.570521556728409E-4</v>
      </c>
      <c r="D2509" s="7">
        <f t="shared" si="118"/>
        <v>2.5877829027114501E-3</v>
      </c>
      <c r="E2509" s="8">
        <f t="shared" si="119"/>
        <v>-0.66324084430770103</v>
      </c>
    </row>
    <row r="2510" spans="1:5" x14ac:dyDescent="0.2">
      <c r="A2510" s="4">
        <v>45274</v>
      </c>
      <c r="B2510" s="3">
        <v>75289.86</v>
      </c>
      <c r="C2510" s="6">
        <f t="shared" si="117"/>
        <v>3.5822709190110595E-2</v>
      </c>
      <c r="D2510" s="7">
        <f t="shared" si="118"/>
        <v>3.2612517675725079</v>
      </c>
      <c r="E2510" s="8">
        <f t="shared" si="119"/>
        <v>-5.240488002003052</v>
      </c>
    </row>
    <row r="2511" spans="1:5" x14ac:dyDescent="0.2">
      <c r="A2511" s="4">
        <v>45278</v>
      </c>
      <c r="B2511" s="3">
        <v>74301.59</v>
      </c>
      <c r="C2511" s="6">
        <f t="shared" si="117"/>
        <v>-1.3213113158048564E-2</v>
      </c>
      <c r="D2511" s="7">
        <f t="shared" si="118"/>
        <v>-1.231601213883418</v>
      </c>
      <c r="E2511" s="8">
        <f t="shared" si="119"/>
        <v>-2.0066536044659</v>
      </c>
    </row>
    <row r="2512" spans="1:5" x14ac:dyDescent="0.2">
      <c r="A2512" s="4">
        <v>45279</v>
      </c>
      <c r="B2512" s="3">
        <v>74842.59</v>
      </c>
      <c r="C2512" s="6">
        <f t="shared" si="117"/>
        <v>7.2547567434568692E-3</v>
      </c>
      <c r="D2512" s="7">
        <f t="shared" si="118"/>
        <v>0.64374472521620263</v>
      </c>
      <c r="E2512" s="8">
        <f t="shared" si="119"/>
        <v>-1.1027708524498563</v>
      </c>
    </row>
    <row r="2513" spans="1:5" x14ac:dyDescent="0.2">
      <c r="A2513" s="4">
        <v>45280</v>
      </c>
      <c r="B2513" s="3">
        <v>74893.5</v>
      </c>
      <c r="C2513" s="6">
        <f t="shared" si="117"/>
        <v>6.7999641184327225E-4</v>
      </c>
      <c r="D2513" s="7">
        <f t="shared" si="118"/>
        <v>4.1339582532647037E-2</v>
      </c>
      <c r="E2513" s="8">
        <f t="shared" si="119"/>
        <v>-0.66520414786006044</v>
      </c>
    </row>
    <row r="2514" spans="1:5" x14ac:dyDescent="0.2">
      <c r="A2514" s="4">
        <v>45281</v>
      </c>
      <c r="B2514" s="3">
        <v>75412.929999999993</v>
      </c>
      <c r="C2514" s="6">
        <f t="shared" si="117"/>
        <v>6.911641342244969E-3</v>
      </c>
      <c r="D2514" s="7">
        <f t="shared" si="118"/>
        <v>0.6123071561187976</v>
      </c>
      <c r="E2514" s="8">
        <f t="shared" si="119"/>
        <v>-1.0638973377856282</v>
      </c>
    </row>
    <row r="2515" spans="1:5" x14ac:dyDescent="0.2">
      <c r="A2515" s="4">
        <v>45282</v>
      </c>
      <c r="B2515" s="3">
        <v>74379.570000000007</v>
      </c>
      <c r="C2515" s="6">
        <f t="shared" si="117"/>
        <v>-1.3797438366853276E-2</v>
      </c>
      <c r="D2515" s="7">
        <f t="shared" si="118"/>
        <v>-1.2851393647862071</v>
      </c>
      <c r="E2515" s="8">
        <f t="shared" si="119"/>
        <v>-2.098625960125398</v>
      </c>
    </row>
    <row r="2516" spans="1:5" x14ac:dyDescent="0.2">
      <c r="A2516" s="4">
        <v>45287</v>
      </c>
      <c r="B2516" s="3">
        <v>76657.94</v>
      </c>
      <c r="C2516" s="6">
        <f t="shared" si="117"/>
        <v>3.0171880333193263E-2</v>
      </c>
      <c r="D2516" s="7">
        <f t="shared" si="118"/>
        <v>2.7435008242470658</v>
      </c>
      <c r="E2516" s="8">
        <f t="shared" si="119"/>
        <v>-4.5124590084994809</v>
      </c>
    </row>
    <row r="2517" spans="1:5" x14ac:dyDescent="0.2">
      <c r="A2517" s="4">
        <v>45288</v>
      </c>
      <c r="B2517" s="3">
        <v>76485.73</v>
      </c>
      <c r="C2517" s="6">
        <f t="shared" si="117"/>
        <v>-2.249000204664535E-3</v>
      </c>
      <c r="D2517" s="7">
        <f t="shared" si="118"/>
        <v>-0.22702649253217627</v>
      </c>
      <c r="E2517" s="8">
        <f t="shared" si="119"/>
        <v>-0.72204198548775911</v>
      </c>
    </row>
    <row r="2518" spans="1:5" x14ac:dyDescent="0.2">
      <c r="A2518" s="4">
        <v>45289</v>
      </c>
      <c r="B2518" s="3">
        <v>76893.149999999994</v>
      </c>
      <c r="C2518" s="6">
        <f t="shared" si="117"/>
        <v>5.3126083362305026E-3</v>
      </c>
      <c r="D2518" s="7">
        <f t="shared" si="118"/>
        <v>0.46579752572023192</v>
      </c>
      <c r="E2518" s="8">
        <f t="shared" si="119"/>
        <v>-0.90242609510203942</v>
      </c>
    </row>
    <row r="2519" spans="1:5" x14ac:dyDescent="0.2">
      <c r="A2519" s="4">
        <v>45293</v>
      </c>
      <c r="B2519" s="3">
        <v>75709.14</v>
      </c>
      <c r="C2519" s="6">
        <f t="shared" si="117"/>
        <v>-1.5517902903850488E-2</v>
      </c>
      <c r="D2519" s="7">
        <f t="shared" si="118"/>
        <v>-1.4427750248890356</v>
      </c>
      <c r="E2519" s="8">
        <f t="shared" si="119"/>
        <v>-2.3724447115488743</v>
      </c>
    </row>
    <row r="2520" spans="1:5" x14ac:dyDescent="0.2">
      <c r="A2520" s="4">
        <v>45294</v>
      </c>
      <c r="B2520" s="3">
        <v>74510.720000000001</v>
      </c>
      <c r="C2520" s="6">
        <f t="shared" si="117"/>
        <v>-1.5955885265750088E-2</v>
      </c>
      <c r="D2520" s="7">
        <f t="shared" si="118"/>
        <v>-1.4829046743219385</v>
      </c>
      <c r="E2520" s="8">
        <f t="shared" si="119"/>
        <v>-2.4425321979986707</v>
      </c>
    </row>
    <row r="2521" spans="1:5" x14ac:dyDescent="0.2">
      <c r="A2521" s="4">
        <v>45295</v>
      </c>
      <c r="B2521" s="3">
        <v>74522.490000000005</v>
      </c>
      <c r="C2521" s="6">
        <f t="shared" si="117"/>
        <v>1.579513723750736E-4</v>
      </c>
      <c r="D2521" s="7">
        <f t="shared" si="118"/>
        <v>-6.4922167461718997E-3</v>
      </c>
      <c r="E2521" s="8">
        <f t="shared" si="119"/>
        <v>-0.6632817479539439</v>
      </c>
    </row>
    <row r="2522" spans="1:5" x14ac:dyDescent="0.2">
      <c r="A2522" s="4">
        <v>45296</v>
      </c>
      <c r="B2522" s="3">
        <v>74488.2</v>
      </c>
      <c r="C2522" s="6">
        <f t="shared" si="117"/>
        <v>-4.6023544492380264E-4</v>
      </c>
      <c r="D2522" s="7">
        <f t="shared" si="118"/>
        <v>-6.3132900071069226E-2</v>
      </c>
      <c r="E2522" s="8">
        <f t="shared" si="119"/>
        <v>-0.6678278190414364</v>
      </c>
    </row>
    <row r="2523" spans="1:5" x14ac:dyDescent="0.2">
      <c r="A2523" s="4">
        <v>45299</v>
      </c>
      <c r="B2523" s="3">
        <v>74103.23</v>
      </c>
      <c r="C2523" s="6">
        <f t="shared" si="117"/>
        <v>-5.1816024832394437E-3</v>
      </c>
      <c r="D2523" s="7">
        <f t="shared" si="118"/>
        <v>-0.49572293239547849</v>
      </c>
      <c r="E2523" s="8">
        <f t="shared" si="119"/>
        <v>-0.93258414402068524</v>
      </c>
    </row>
    <row r="2524" spans="1:5" x14ac:dyDescent="0.2">
      <c r="A2524" s="4">
        <v>45300</v>
      </c>
      <c r="B2524" s="3">
        <v>73826.149999999994</v>
      </c>
      <c r="C2524" s="6">
        <f t="shared" si="117"/>
        <v>-3.7461162080287356E-3</v>
      </c>
      <c r="D2524" s="7">
        <f t="shared" si="118"/>
        <v>-0.36419809029885958</v>
      </c>
      <c r="E2524" s="8">
        <f t="shared" si="119"/>
        <v>-0.81201044371402564</v>
      </c>
    </row>
    <row r="2525" spans="1:5" x14ac:dyDescent="0.2">
      <c r="A2525" s="4">
        <v>45301</v>
      </c>
      <c r="B2525" s="3">
        <v>73586.98</v>
      </c>
      <c r="C2525" s="6">
        <f t="shared" si="117"/>
        <v>-3.2448969757145805E-3</v>
      </c>
      <c r="D2525" s="7">
        <f t="shared" si="118"/>
        <v>-0.3182744325639702</v>
      </c>
      <c r="E2525" s="8">
        <f t="shared" si="119"/>
        <v>-0.77760275924191857</v>
      </c>
    </row>
    <row r="2526" spans="1:5" x14ac:dyDescent="0.2">
      <c r="A2526" s="4">
        <v>45302</v>
      </c>
      <c r="B2526" s="3">
        <v>73834.28</v>
      </c>
      <c r="C2526" s="6">
        <f t="shared" si="117"/>
        <v>3.3550144934303477E-3</v>
      </c>
      <c r="D2526" s="7">
        <f t="shared" si="118"/>
        <v>0.28643515527485036</v>
      </c>
      <c r="E2526" s="8">
        <f t="shared" si="119"/>
        <v>-0.75624181596328421</v>
      </c>
    </row>
    <row r="2527" spans="1:5" x14ac:dyDescent="0.2">
      <c r="A2527" s="4">
        <v>45303</v>
      </c>
      <c r="B2527" s="3">
        <v>74240.759999999995</v>
      </c>
      <c r="C2527" s="6">
        <f t="shared" si="117"/>
        <v>5.4902030891996441E-3</v>
      </c>
      <c r="D2527" s="7">
        <f t="shared" si="118"/>
        <v>0.4820694485137994</v>
      </c>
      <c r="E2527" s="8">
        <f t="shared" si="119"/>
        <v>-0.91863437338708898</v>
      </c>
    </row>
    <row r="2528" spans="1:5" x14ac:dyDescent="0.2">
      <c r="A2528" s="4">
        <v>45306</v>
      </c>
      <c r="B2528" s="3">
        <v>73675.740000000005</v>
      </c>
      <c r="C2528" s="6">
        <f t="shared" si="117"/>
        <v>-7.6397528085384763E-3</v>
      </c>
      <c r="D2528" s="7">
        <f t="shared" si="118"/>
        <v>-0.72094823685702825</v>
      </c>
      <c r="E2528" s="8">
        <f t="shared" si="119"/>
        <v>-1.2037826442120252</v>
      </c>
    </row>
    <row r="2529" spans="1:5" x14ac:dyDescent="0.2">
      <c r="A2529" s="4">
        <v>45307</v>
      </c>
      <c r="B2529" s="3">
        <v>73007.62</v>
      </c>
      <c r="C2529" s="6">
        <f t="shared" si="117"/>
        <v>-9.1097534235236501E-3</v>
      </c>
      <c r="D2529" s="7">
        <f t="shared" si="118"/>
        <v>-0.85563541715729141</v>
      </c>
      <c r="E2529" s="8">
        <f t="shared" si="119"/>
        <v>-1.3963538690196737</v>
      </c>
    </row>
    <row r="2530" spans="1:5" x14ac:dyDescent="0.2">
      <c r="A2530" s="4">
        <v>45308</v>
      </c>
      <c r="B2530" s="3">
        <v>71693.09</v>
      </c>
      <c r="C2530" s="6">
        <f t="shared" si="117"/>
        <v>-1.8169450080763816E-2</v>
      </c>
      <c r="D2530" s="7">
        <f t="shared" si="118"/>
        <v>-1.6857201019529531</v>
      </c>
      <c r="E2530" s="8">
        <f t="shared" si="119"/>
        <v>-2.7963935252544645</v>
      </c>
    </row>
    <row r="2531" spans="1:5" x14ac:dyDescent="0.2">
      <c r="A2531" s="4">
        <v>45309</v>
      </c>
      <c r="B2531" s="3">
        <v>72344.399999999994</v>
      </c>
      <c r="C2531" s="6">
        <f t="shared" si="117"/>
        <v>9.0436793797674091E-3</v>
      </c>
      <c r="D2531" s="7">
        <f t="shared" si="118"/>
        <v>0.80765278294338239</v>
      </c>
      <c r="E2531" s="8">
        <f t="shared" si="119"/>
        <v>-1.3256099568525292</v>
      </c>
    </row>
    <row r="2532" spans="1:5" x14ac:dyDescent="0.2">
      <c r="A2532" s="4">
        <v>45310</v>
      </c>
      <c r="B2532" s="3">
        <v>72660.91</v>
      </c>
      <c r="C2532" s="6">
        <f t="shared" si="117"/>
        <v>4.3655022379551333E-3</v>
      </c>
      <c r="D2532" s="7">
        <f t="shared" si="118"/>
        <v>0.37901997711139684</v>
      </c>
      <c r="E2532" s="8">
        <f t="shared" si="119"/>
        <v>-0.82399854507250558</v>
      </c>
    </row>
    <row r="2533" spans="1:5" x14ac:dyDescent="0.2">
      <c r="A2533" s="4">
        <v>45313</v>
      </c>
      <c r="B2533" s="3">
        <v>72351.5</v>
      </c>
      <c r="C2533" s="6">
        <f t="shared" si="117"/>
        <v>-4.2673653867285151E-3</v>
      </c>
      <c r="D2533" s="7">
        <f t="shared" si="118"/>
        <v>-0.41195696971511703</v>
      </c>
      <c r="E2533" s="8">
        <f t="shared" si="119"/>
        <v>-0.85213602885368944</v>
      </c>
    </row>
    <row r="2534" spans="1:5" x14ac:dyDescent="0.2">
      <c r="A2534" s="4">
        <v>45314</v>
      </c>
      <c r="B2534" s="3">
        <v>73337.19</v>
      </c>
      <c r="C2534" s="6">
        <f t="shared" si="117"/>
        <v>1.3531661797809281E-2</v>
      </c>
      <c r="D2534" s="7">
        <f t="shared" si="118"/>
        <v>1.2188592075946489</v>
      </c>
      <c r="E2534" s="8">
        <f t="shared" si="119"/>
        <v>-1.9848768864587716</v>
      </c>
    </row>
    <row r="2535" spans="1:5" x14ac:dyDescent="0.2">
      <c r="A2535" s="4">
        <v>45315</v>
      </c>
      <c r="B2535" s="3">
        <v>74320.11</v>
      </c>
      <c r="C2535" s="6">
        <f t="shared" si="117"/>
        <v>1.3313727380112364E-2</v>
      </c>
      <c r="D2535" s="7">
        <f t="shared" si="118"/>
        <v>1.1988912076422995</v>
      </c>
      <c r="E2535" s="8">
        <f t="shared" si="119"/>
        <v>-1.9508494848423883</v>
      </c>
    </row>
    <row r="2536" spans="1:5" x14ac:dyDescent="0.2">
      <c r="A2536" s="4">
        <v>45316</v>
      </c>
      <c r="B2536" s="3">
        <v>74040.539999999994</v>
      </c>
      <c r="C2536" s="6">
        <f t="shared" si="117"/>
        <v>-3.7687935569583526E-3</v>
      </c>
      <c r="D2536" s="7">
        <f t="shared" si="118"/>
        <v>-0.36627587730988481</v>
      </c>
      <c r="E2536" s="8">
        <f t="shared" si="119"/>
        <v>-0.8136653919548601</v>
      </c>
    </row>
    <row r="2537" spans="1:5" x14ac:dyDescent="0.2">
      <c r="A2537" s="4">
        <v>45317</v>
      </c>
      <c r="B2537" s="3">
        <v>75084.38</v>
      </c>
      <c r="C2537" s="6">
        <f t="shared" si="117"/>
        <v>1.3999766756125055E-2</v>
      </c>
      <c r="D2537" s="7">
        <f t="shared" si="118"/>
        <v>1.2617488066039388</v>
      </c>
      <c r="E2537" s="8">
        <f t="shared" si="119"/>
        <v>-2.0583558809839002</v>
      </c>
    </row>
    <row r="2538" spans="1:5" x14ac:dyDescent="0.2">
      <c r="A2538" s="4">
        <v>45320</v>
      </c>
      <c r="B2538" s="3">
        <v>74370.53</v>
      </c>
      <c r="C2538" s="6">
        <f t="shared" si="117"/>
        <v>-9.5527865704387264E-3</v>
      </c>
      <c r="D2538" s="7">
        <f t="shared" si="118"/>
        <v>-0.89622783918028881</v>
      </c>
      <c r="E2538" s="8">
        <f t="shared" si="119"/>
        <v>-1.4578346604588346</v>
      </c>
    </row>
    <row r="2539" spans="1:5" x14ac:dyDescent="0.2">
      <c r="A2539" s="4">
        <v>45321</v>
      </c>
      <c r="B2539" s="3">
        <v>74611.45</v>
      </c>
      <c r="C2539" s="6">
        <f t="shared" si="117"/>
        <v>3.2342194674204812E-3</v>
      </c>
      <c r="D2539" s="7">
        <f t="shared" si="118"/>
        <v>0.27536744463465451</v>
      </c>
      <c r="E2539" s="8">
        <f t="shared" si="119"/>
        <v>-0.74930637447861226</v>
      </c>
    </row>
    <row r="2540" spans="1:5" x14ac:dyDescent="0.2">
      <c r="A2540" s="4">
        <v>45322</v>
      </c>
      <c r="B2540" s="3">
        <v>74555.87</v>
      </c>
      <c r="C2540" s="6">
        <f t="shared" si="117"/>
        <v>-7.4520347448889886E-4</v>
      </c>
      <c r="D2540" s="7">
        <f t="shared" si="118"/>
        <v>-8.9242780561311005E-2</v>
      </c>
      <c r="E2540" s="8">
        <f t="shared" si="119"/>
        <v>-0.67240622043390375</v>
      </c>
    </row>
    <row r="2541" spans="1:5" x14ac:dyDescent="0.2">
      <c r="A2541" s="4">
        <v>45323</v>
      </c>
      <c r="B2541" s="3">
        <v>74469.95</v>
      </c>
      <c r="C2541" s="6">
        <f t="shared" si="117"/>
        <v>-1.1530889012391857E-3</v>
      </c>
      <c r="D2541" s="7">
        <f t="shared" si="118"/>
        <v>-0.12661483160301737</v>
      </c>
      <c r="E2541" s="8">
        <f t="shared" si="119"/>
        <v>-0.68166539695533224</v>
      </c>
    </row>
    <row r="2542" spans="1:5" x14ac:dyDescent="0.2">
      <c r="A2542" s="4">
        <v>45324</v>
      </c>
      <c r="B2542" s="3">
        <v>74381.960000000006</v>
      </c>
      <c r="C2542" s="6">
        <f t="shared" si="117"/>
        <v>-1.1822489916148177E-3</v>
      </c>
      <c r="D2542" s="7">
        <f t="shared" si="118"/>
        <v>-0.12928659262812028</v>
      </c>
      <c r="E2542" s="8">
        <f t="shared" si="119"/>
        <v>-0.68244865491378737</v>
      </c>
    </row>
    <row r="2543" spans="1:5" x14ac:dyDescent="0.2">
      <c r="A2543" s="4">
        <v>45327</v>
      </c>
      <c r="B2543" s="3">
        <v>74033.919999999998</v>
      </c>
      <c r="C2543" s="6">
        <f t="shared" si="117"/>
        <v>-4.6900727601357503E-3</v>
      </c>
      <c r="D2543" s="7">
        <f t="shared" si="118"/>
        <v>-0.45068706522390373</v>
      </c>
      <c r="E2543" s="8">
        <f t="shared" si="119"/>
        <v>-0.88778802140450053</v>
      </c>
    </row>
    <row r="2544" spans="1:5" x14ac:dyDescent="0.2">
      <c r="A2544" s="4">
        <v>45328</v>
      </c>
      <c r="B2544" s="3">
        <v>74558.52</v>
      </c>
      <c r="C2544" s="6">
        <f t="shared" si="117"/>
        <v>7.0609538356468703E-3</v>
      </c>
      <c r="D2544" s="7">
        <f t="shared" si="118"/>
        <v>0.62598774816406455</v>
      </c>
      <c r="E2544" s="8">
        <f t="shared" si="119"/>
        <v>-1.0806446238427467</v>
      </c>
    </row>
    <row r="2545" spans="1:5" x14ac:dyDescent="0.2">
      <c r="A2545" s="4">
        <v>45329</v>
      </c>
      <c r="B2545" s="3">
        <v>74313.440000000002</v>
      </c>
      <c r="C2545" s="6">
        <f t="shared" si="117"/>
        <v>-3.2924967388058284E-3</v>
      </c>
      <c r="D2545" s="7">
        <f t="shared" si="118"/>
        <v>-0.32263570820451498</v>
      </c>
      <c r="E2545" s="8">
        <f t="shared" si="119"/>
        <v>-0.78068961798405234</v>
      </c>
    </row>
    <row r="2546" spans="1:5" x14ac:dyDescent="0.2">
      <c r="A2546" s="4">
        <v>45330</v>
      </c>
      <c r="B2546" s="3">
        <v>73725.38</v>
      </c>
      <c r="C2546" s="6">
        <f t="shared" si="117"/>
        <v>-7.9447146784662383E-3</v>
      </c>
      <c r="D2546" s="7">
        <f t="shared" si="118"/>
        <v>-0.74889003085422345</v>
      </c>
      <c r="E2546" s="8">
        <f t="shared" si="119"/>
        <v>-1.2421369639277675</v>
      </c>
    </row>
    <row r="2547" spans="1:5" x14ac:dyDescent="0.2">
      <c r="A2547" s="4">
        <v>45331</v>
      </c>
      <c r="B2547" s="3">
        <v>73423.3</v>
      </c>
      <c r="C2547" s="6">
        <f t="shared" si="117"/>
        <v>-4.1057850380800476E-3</v>
      </c>
      <c r="D2547" s="7">
        <f t="shared" si="118"/>
        <v>-0.39715234900302637</v>
      </c>
      <c r="E2547" s="8">
        <f t="shared" si="119"/>
        <v>-0.83923591108954032</v>
      </c>
    </row>
    <row r="2548" spans="1:5" x14ac:dyDescent="0.2">
      <c r="A2548" s="4">
        <v>45334</v>
      </c>
      <c r="B2548" s="3">
        <v>73722.100000000006</v>
      </c>
      <c r="C2548" s="6">
        <f t="shared" si="117"/>
        <v>4.061294620196429E-3</v>
      </c>
      <c r="D2548" s="7">
        <f t="shared" si="118"/>
        <v>0.35114729063487216</v>
      </c>
      <c r="E2548" s="8">
        <f t="shared" si="119"/>
        <v>-0.80180800622611625</v>
      </c>
    </row>
    <row r="2549" spans="1:5" x14ac:dyDescent="0.2">
      <c r="A2549" s="4">
        <v>45335</v>
      </c>
      <c r="B2549" s="3">
        <v>73062.59</v>
      </c>
      <c r="C2549" s="6">
        <f t="shared" si="117"/>
        <v>-8.986147506164199E-3</v>
      </c>
      <c r="D2549" s="7">
        <f t="shared" si="118"/>
        <v>-0.84431016170647</v>
      </c>
      <c r="E2549" s="8">
        <f t="shared" si="119"/>
        <v>-1.37946053610705</v>
      </c>
    </row>
    <row r="2550" spans="1:5" x14ac:dyDescent="0.2">
      <c r="A2550" s="4">
        <v>45336</v>
      </c>
      <c r="B2550" s="3">
        <v>73009.740000000005</v>
      </c>
      <c r="C2550" s="6">
        <f t="shared" si="117"/>
        <v>-7.2361414795112892E-4</v>
      </c>
      <c r="D2550" s="7">
        <f t="shared" si="118"/>
        <v>-8.726468239841792E-2</v>
      </c>
      <c r="E2550" s="8">
        <f t="shared" si="119"/>
        <v>-0.67200474252232134</v>
      </c>
    </row>
    <row r="2551" spans="1:5" x14ac:dyDescent="0.2">
      <c r="A2551" s="4">
        <v>45337</v>
      </c>
      <c r="B2551" s="3">
        <v>73218.44</v>
      </c>
      <c r="C2551" s="6">
        <f t="shared" si="117"/>
        <v>2.8544449052812157E-3</v>
      </c>
      <c r="D2551" s="7">
        <f t="shared" si="118"/>
        <v>0.24057102046797441</v>
      </c>
      <c r="E2551" s="8">
        <f t="shared" si="119"/>
        <v>-0.72917913946107782</v>
      </c>
    </row>
    <row r="2552" spans="1:5" x14ac:dyDescent="0.2">
      <c r="A2552" s="4">
        <v>45338</v>
      </c>
      <c r="B2552" s="3">
        <v>73616.06</v>
      </c>
      <c r="C2552" s="6">
        <f t="shared" si="117"/>
        <v>5.4159066420605686E-3</v>
      </c>
      <c r="D2552" s="7">
        <f t="shared" si="118"/>
        <v>0.47526211872802882</v>
      </c>
      <c r="E2552" s="8">
        <f t="shared" si="119"/>
        <v>-0.91179806626130522</v>
      </c>
    </row>
    <row r="2553" spans="1:5" x14ac:dyDescent="0.2">
      <c r="A2553" s="4">
        <v>45341</v>
      </c>
      <c r="B2553" s="3">
        <v>73580.88</v>
      </c>
      <c r="C2553" s="6">
        <f t="shared" si="117"/>
        <v>-4.7799907620131544E-4</v>
      </c>
      <c r="D2553" s="7">
        <f t="shared" si="118"/>
        <v>-6.4760473137551164E-2</v>
      </c>
      <c r="E2553" s="8">
        <f t="shared" si="119"/>
        <v>-0.66806755755732283</v>
      </c>
    </row>
    <row r="2554" spans="1:5" x14ac:dyDescent="0.2">
      <c r="A2554" s="4">
        <v>45342</v>
      </c>
      <c r="B2554" s="3">
        <v>72946.009999999995</v>
      </c>
      <c r="C2554" s="6">
        <f t="shared" si="117"/>
        <v>-8.6656309003922752E-3</v>
      </c>
      <c r="D2554" s="7">
        <f t="shared" si="118"/>
        <v>-0.81494318224349416</v>
      </c>
      <c r="E2554" s="8">
        <f t="shared" si="119"/>
        <v>-1.336215793464274</v>
      </c>
    </row>
    <row r="2555" spans="1:5" x14ac:dyDescent="0.2">
      <c r="A2555" s="4">
        <v>45343</v>
      </c>
      <c r="B2555" s="3">
        <v>73029.61</v>
      </c>
      <c r="C2555" s="6">
        <f t="shared" si="117"/>
        <v>1.1453968702418561E-3</v>
      </c>
      <c r="D2555" s="7">
        <f t="shared" si="118"/>
        <v>8.3981384728619157E-2</v>
      </c>
      <c r="E2555" s="8">
        <f t="shared" si="119"/>
        <v>-0.67135809504811628</v>
      </c>
    </row>
    <row r="2556" spans="1:5" x14ac:dyDescent="0.2">
      <c r="A2556" s="4">
        <v>45344</v>
      </c>
      <c r="B2556" s="3">
        <v>74112.740000000005</v>
      </c>
      <c r="C2556" s="6">
        <f t="shared" si="117"/>
        <v>1.4722472001726557E-2</v>
      </c>
      <c r="D2556" s="7">
        <f t="shared" si="118"/>
        <v>1.3279658753085375</v>
      </c>
      <c r="E2556" s="8">
        <f t="shared" si="119"/>
        <v>-2.1726572862435205</v>
      </c>
    </row>
    <row r="2557" spans="1:5" x14ac:dyDescent="0.2">
      <c r="A2557" s="4">
        <v>45345</v>
      </c>
      <c r="B2557" s="3">
        <v>74213.39</v>
      </c>
      <c r="C2557" s="6">
        <f t="shared" si="117"/>
        <v>1.3571447653686053E-3</v>
      </c>
      <c r="D2557" s="7">
        <f t="shared" si="118"/>
        <v>0.10338255139372651</v>
      </c>
      <c r="E2557" s="8">
        <f t="shared" si="119"/>
        <v>-0.67553602211958974</v>
      </c>
    </row>
    <row r="2558" spans="1:5" x14ac:dyDescent="0.2">
      <c r="A2558" s="4">
        <v>45348</v>
      </c>
      <c r="B2558" s="3">
        <v>73621.240000000005</v>
      </c>
      <c r="C2558" s="6">
        <f t="shared" si="117"/>
        <v>-8.0110210555866031E-3</v>
      </c>
      <c r="D2558" s="7">
        <f t="shared" si="118"/>
        <v>-0.75496527931278135</v>
      </c>
      <c r="E2558" s="8">
        <f t="shared" si="119"/>
        <v>-1.2505941176523847</v>
      </c>
    </row>
    <row r="2559" spans="1:5" x14ac:dyDescent="0.2">
      <c r="A2559" s="4">
        <v>45349</v>
      </c>
      <c r="B2559" s="3">
        <v>73142.11</v>
      </c>
      <c r="C2559" s="6">
        <f t="shared" si="117"/>
        <v>-6.5293099698736428E-3</v>
      </c>
      <c r="D2559" s="7">
        <f t="shared" si="118"/>
        <v>-0.61920514008567429</v>
      </c>
      <c r="E2559" s="8">
        <f t="shared" si="119"/>
        <v>-1.072308591589191</v>
      </c>
    </row>
    <row r="2560" spans="1:5" x14ac:dyDescent="0.2">
      <c r="A2560" s="4">
        <v>45350</v>
      </c>
      <c r="B2560" s="3">
        <v>72204.53</v>
      </c>
      <c r="C2560" s="6">
        <f t="shared" si="117"/>
        <v>-1.2901474775441603E-2</v>
      </c>
      <c r="D2560" s="7">
        <f t="shared" si="118"/>
        <v>-1.2030476917972455</v>
      </c>
      <c r="E2560" s="8">
        <f t="shared" si="119"/>
        <v>-1.9579221775214</v>
      </c>
    </row>
    <row r="2561" spans="1:5" x14ac:dyDescent="0.2">
      <c r="A2561" s="4">
        <v>45351</v>
      </c>
      <c r="B2561" s="3">
        <v>72729.73</v>
      </c>
      <c r="C2561" s="6">
        <f t="shared" si="117"/>
        <v>7.2474554859410043E-3</v>
      </c>
      <c r="D2561" s="7">
        <f t="shared" si="118"/>
        <v>0.64307575557263019</v>
      </c>
      <c r="E2561" s="8">
        <f t="shared" si="119"/>
        <v>-1.1019294461031022</v>
      </c>
    </row>
    <row r="2562" spans="1:5" x14ac:dyDescent="0.2">
      <c r="A2562" s="4">
        <v>45352</v>
      </c>
      <c r="B2562" s="3">
        <v>72775.490000000005</v>
      </c>
      <c r="C2562" s="6">
        <f t="shared" si="117"/>
        <v>6.289808916633469E-4</v>
      </c>
      <c r="D2562" s="7">
        <f t="shared" si="118"/>
        <v>3.6665341927207148E-2</v>
      </c>
      <c r="E2562" s="8">
        <f t="shared" si="119"/>
        <v>-0.6647837437534001</v>
      </c>
    </row>
    <row r="2563" spans="1:5" x14ac:dyDescent="0.2">
      <c r="A2563" s="4">
        <v>45355</v>
      </c>
      <c r="B2563" s="3">
        <v>72633.149999999994</v>
      </c>
      <c r="C2563" s="6">
        <f t="shared" ref="C2563:C2626" si="120">LN(B2563/B2562)</f>
        <v>-1.9577935047772064E-3</v>
      </c>
      <c r="D2563" s="7">
        <f t="shared" ref="D2563:D2626" si="121">(C2563-$G$4)/$G$5</f>
        <v>-0.20034500077459302</v>
      </c>
      <c r="E2563" s="8">
        <f t="shared" ref="E2563:E2626" si="122">LN((PI()*(G$3-2))^(-1/2)*EXP(GAMMALN((G$3+1)/2))*((1+D2563^2/(G$3-2))^(-(G$3+1)/2))/EXP(GAMMALN(G$3/2)))</f>
        <v>-0.70914322730691726</v>
      </c>
    </row>
    <row r="2564" spans="1:5" x14ac:dyDescent="0.2">
      <c r="A2564" s="4">
        <v>45356</v>
      </c>
      <c r="B2564" s="3">
        <v>72241.72</v>
      </c>
      <c r="C2564" s="6">
        <f t="shared" si="120"/>
        <v>-5.4037108365606445E-3</v>
      </c>
      <c r="D2564" s="7">
        <f t="shared" si="121"/>
        <v>-0.51607336458238529</v>
      </c>
      <c r="E2564" s="8">
        <f t="shared" si="122"/>
        <v>-0.95395616261569882</v>
      </c>
    </row>
    <row r="2565" spans="1:5" x14ac:dyDescent="0.2">
      <c r="A2565" s="4">
        <v>45357</v>
      </c>
      <c r="B2565" s="3">
        <v>73578.179999999993</v>
      </c>
      <c r="C2565" s="6">
        <f t="shared" si="120"/>
        <v>1.833079603928392E-2</v>
      </c>
      <c r="D2565" s="7">
        <f t="shared" si="121"/>
        <v>1.6585745738859621</v>
      </c>
      <c r="E2565" s="8">
        <f t="shared" si="122"/>
        <v>-2.7491842774124473</v>
      </c>
    </row>
    <row r="2566" spans="1:5" x14ac:dyDescent="0.2">
      <c r="A2566" s="4">
        <v>45358</v>
      </c>
      <c r="B2566" s="3">
        <v>73604.11</v>
      </c>
      <c r="C2566" s="6">
        <f t="shared" si="120"/>
        <v>3.52352178625358E-4</v>
      </c>
      <c r="D2566" s="7">
        <f t="shared" si="121"/>
        <v>1.13195420891893E-2</v>
      </c>
      <c r="E2566" s="8">
        <f t="shared" si="122"/>
        <v>-0.66338094985765339</v>
      </c>
    </row>
    <row r="2567" spans="1:5" x14ac:dyDescent="0.2">
      <c r="A2567" s="4">
        <v>45359</v>
      </c>
      <c r="B2567" s="3">
        <v>73717.78</v>
      </c>
      <c r="C2567" s="6">
        <f t="shared" si="120"/>
        <v>1.5431518365265826E-3</v>
      </c>
      <c r="D2567" s="7">
        <f t="shared" si="121"/>
        <v>0.12042524353602269</v>
      </c>
      <c r="E2567" s="8">
        <f t="shared" si="122"/>
        <v>-0.67991284191476731</v>
      </c>
    </row>
    <row r="2568" spans="1:5" x14ac:dyDescent="0.2">
      <c r="A2568" s="4">
        <v>45362</v>
      </c>
      <c r="B2568" s="3">
        <v>73481.740000000005</v>
      </c>
      <c r="C2568" s="6">
        <f t="shared" si="120"/>
        <v>-3.2070784240713535E-3</v>
      </c>
      <c r="D2568" s="7">
        <f t="shared" si="121"/>
        <v>-0.31480934960281953</v>
      </c>
      <c r="E2568" s="8">
        <f t="shared" si="122"/>
        <v>-0.77517764022014146</v>
      </c>
    </row>
    <row r="2569" spans="1:5" x14ac:dyDescent="0.2">
      <c r="A2569" s="4">
        <v>45363</v>
      </c>
      <c r="B2569" s="3">
        <v>73484.56</v>
      </c>
      <c r="C2569" s="6">
        <f t="shared" si="120"/>
        <v>3.8376144739748846E-5</v>
      </c>
      <c r="D2569" s="7">
        <f t="shared" si="121"/>
        <v>-1.7448164709585795E-2</v>
      </c>
      <c r="E2569" s="8">
        <f t="shared" si="122"/>
        <v>-0.6635843493814042</v>
      </c>
    </row>
    <row r="2570" spans="1:5" x14ac:dyDescent="0.2">
      <c r="A2570" s="4">
        <v>45364</v>
      </c>
      <c r="B2570" s="3">
        <v>74258.63</v>
      </c>
      <c r="C2570" s="6">
        <f t="shared" si="120"/>
        <v>1.0478683760774736E-2</v>
      </c>
      <c r="D2570" s="7">
        <f t="shared" si="121"/>
        <v>0.93913347201666597</v>
      </c>
      <c r="E2570" s="8">
        <f t="shared" si="122"/>
        <v>-1.5242906149554065</v>
      </c>
    </row>
    <row r="2571" spans="1:5" x14ac:dyDescent="0.2">
      <c r="A2571" s="4">
        <v>45365</v>
      </c>
      <c r="B2571" s="3">
        <v>73340.7</v>
      </c>
      <c r="C2571" s="6">
        <f t="shared" si="120"/>
        <v>-1.2438292700489855E-2</v>
      </c>
      <c r="D2571" s="7">
        <f t="shared" si="121"/>
        <v>-1.1606091465307151</v>
      </c>
      <c r="E2571" s="8">
        <f t="shared" si="122"/>
        <v>-1.8859857041392472</v>
      </c>
    </row>
    <row r="2572" spans="1:5" x14ac:dyDescent="0.2">
      <c r="A2572" s="4">
        <v>45366</v>
      </c>
      <c r="B2572" s="3">
        <v>72990.7</v>
      </c>
      <c r="C2572" s="6">
        <f t="shared" si="120"/>
        <v>-4.7836714120895593E-3</v>
      </c>
      <c r="D2572" s="7">
        <f t="shared" si="121"/>
        <v>-0.45926293817460406</v>
      </c>
      <c r="E2572" s="8">
        <f t="shared" si="122"/>
        <v>-0.89604651097121091</v>
      </c>
    </row>
    <row r="2573" spans="1:5" x14ac:dyDescent="0.2">
      <c r="A2573" s="4">
        <v>45369</v>
      </c>
      <c r="B2573" s="3">
        <v>72430.460000000006</v>
      </c>
      <c r="C2573" s="6">
        <f t="shared" si="120"/>
        <v>-7.7051066257821793E-3</v>
      </c>
      <c r="D2573" s="7">
        <f t="shared" si="121"/>
        <v>-0.72693620807056547</v>
      </c>
      <c r="E2573" s="8">
        <f t="shared" si="122"/>
        <v>-1.2119256718060105</v>
      </c>
    </row>
    <row r="2574" spans="1:5" x14ac:dyDescent="0.2">
      <c r="A2574" s="4">
        <v>45370</v>
      </c>
      <c r="B2574" s="3">
        <v>71868.070000000007</v>
      </c>
      <c r="C2574" s="6">
        <f t="shared" si="120"/>
        <v>-7.7948520688598697E-3</v>
      </c>
      <c r="D2574" s="7">
        <f t="shared" si="121"/>
        <v>-0.73515903502023561</v>
      </c>
      <c r="E2574" s="8">
        <f t="shared" si="122"/>
        <v>-1.2231763343737341</v>
      </c>
    </row>
    <row r="2575" spans="1:5" x14ac:dyDescent="0.2">
      <c r="A2575" s="4">
        <v>45371</v>
      </c>
      <c r="B2575" s="3">
        <v>72419.7</v>
      </c>
      <c r="C2575" s="6">
        <f t="shared" si="120"/>
        <v>7.646284749088874E-3</v>
      </c>
      <c r="D2575" s="7">
        <f t="shared" si="121"/>
        <v>0.67961804564178097</v>
      </c>
      <c r="E2575" s="8">
        <f t="shared" si="122"/>
        <v>-1.1487631052925662</v>
      </c>
    </row>
    <row r="2576" spans="1:5" x14ac:dyDescent="0.2">
      <c r="A2576" s="4">
        <v>45373</v>
      </c>
      <c r="B2576" s="3">
        <v>73254.19</v>
      </c>
      <c r="C2576" s="6">
        <f t="shared" si="120"/>
        <v>1.1457085799584961E-2</v>
      </c>
      <c r="D2576" s="7">
        <f t="shared" si="121"/>
        <v>1.0287784765588626</v>
      </c>
      <c r="E2576" s="8">
        <f t="shared" si="122"/>
        <v>-1.6673774127026624</v>
      </c>
    </row>
    <row r="2577" spans="1:5" x14ac:dyDescent="0.2">
      <c r="A2577" s="4">
        <v>45376</v>
      </c>
      <c r="B2577" s="3">
        <v>73282.899999999994</v>
      </c>
      <c r="C2577" s="6">
        <f t="shared" si="120"/>
        <v>3.918461922144502E-4</v>
      </c>
      <c r="D2577" s="7">
        <f t="shared" si="121"/>
        <v>1.4938137397810141E-2</v>
      </c>
      <c r="E2577" s="8">
        <f t="shared" si="122"/>
        <v>-0.66349056886365443</v>
      </c>
    </row>
    <row r="2578" spans="1:5" x14ac:dyDescent="0.2">
      <c r="A2578" s="4">
        <v>45377</v>
      </c>
      <c r="B2578" s="3">
        <v>73608.070000000007</v>
      </c>
      <c r="C2578" s="6">
        <f t="shared" si="120"/>
        <v>4.4273726445536168E-3</v>
      </c>
      <c r="D2578" s="7">
        <f t="shared" si="121"/>
        <v>0.38468878467775597</v>
      </c>
      <c r="E2578" s="8">
        <f t="shared" si="122"/>
        <v>-0.82869512606812601</v>
      </c>
    </row>
    <row r="2579" spans="1:5" x14ac:dyDescent="0.2">
      <c r="A2579" s="4">
        <v>45378</v>
      </c>
      <c r="B2579" s="3">
        <v>73909.47</v>
      </c>
      <c r="C2579" s="6">
        <f t="shared" si="120"/>
        <v>4.0862994243806719E-3</v>
      </c>
      <c r="D2579" s="7">
        <f t="shared" si="121"/>
        <v>0.3534383281590775</v>
      </c>
      <c r="E2579" s="8">
        <f t="shared" si="122"/>
        <v>-0.80357489514072777</v>
      </c>
    </row>
    <row r="2580" spans="1:5" x14ac:dyDescent="0.2">
      <c r="A2580" s="4">
        <v>45379</v>
      </c>
      <c r="B2580" s="3">
        <v>74535.990000000005</v>
      </c>
      <c r="C2580" s="6">
        <f t="shared" si="120"/>
        <v>8.4411300971800555E-3</v>
      </c>
      <c r="D2580" s="7">
        <f t="shared" si="121"/>
        <v>0.75244487143889938</v>
      </c>
      <c r="E2580" s="8">
        <f t="shared" si="122"/>
        <v>-1.2470805281269006</v>
      </c>
    </row>
    <row r="2581" spans="1:5" x14ac:dyDescent="0.2">
      <c r="A2581" s="4">
        <v>45384</v>
      </c>
      <c r="B2581" s="3">
        <v>74429.48</v>
      </c>
      <c r="C2581" s="6">
        <f t="shared" si="120"/>
        <v>-1.4299960675464398E-3</v>
      </c>
      <c r="D2581" s="7">
        <f t="shared" si="121"/>
        <v>-0.1519861444138193</v>
      </c>
      <c r="E2581" s="8">
        <f t="shared" si="122"/>
        <v>-0.68975190132751596</v>
      </c>
    </row>
    <row r="2582" spans="1:5" x14ac:dyDescent="0.2">
      <c r="A2582" s="4">
        <v>45385</v>
      </c>
      <c r="B2582" s="3">
        <v>74097.929999999993</v>
      </c>
      <c r="C2582" s="6">
        <f t="shared" si="120"/>
        <v>-4.4645032280376919E-3</v>
      </c>
      <c r="D2582" s="7">
        <f t="shared" si="121"/>
        <v>-0.43001950636016567</v>
      </c>
      <c r="E2582" s="8">
        <f t="shared" si="122"/>
        <v>-0.8684242373025155</v>
      </c>
    </row>
    <row r="2583" spans="1:5" x14ac:dyDescent="0.2">
      <c r="A2583" s="4">
        <v>45386</v>
      </c>
      <c r="B2583" s="3">
        <v>75372.98</v>
      </c>
      <c r="C2583" s="6">
        <f t="shared" si="120"/>
        <v>1.7061258662417277E-2</v>
      </c>
      <c r="D2583" s="7">
        <f t="shared" si="121"/>
        <v>1.5422546160350021</v>
      </c>
      <c r="E2583" s="8">
        <f t="shared" si="122"/>
        <v>-2.5462479577153303</v>
      </c>
    </row>
    <row r="2584" spans="1:5" x14ac:dyDescent="0.2">
      <c r="A2584" s="4">
        <v>45387</v>
      </c>
      <c r="B2584" s="3">
        <v>74774.720000000001</v>
      </c>
      <c r="C2584" s="6">
        <f t="shared" si="120"/>
        <v>-7.9689954096243184E-3</v>
      </c>
      <c r="D2584" s="7">
        <f t="shared" si="121"/>
        <v>-0.75111472598834328</v>
      </c>
      <c r="E2584" s="8">
        <f t="shared" si="122"/>
        <v>-1.245229092332014</v>
      </c>
    </row>
    <row r="2585" spans="1:5" x14ac:dyDescent="0.2">
      <c r="A2585" s="4">
        <v>45390</v>
      </c>
      <c r="B2585" s="3">
        <v>75334.92</v>
      </c>
      <c r="C2585" s="6">
        <f t="shared" si="120"/>
        <v>7.4639123873126876E-3</v>
      </c>
      <c r="D2585" s="7">
        <f t="shared" si="121"/>
        <v>0.66290837972604133</v>
      </c>
      <c r="E2585" s="8">
        <f t="shared" si="122"/>
        <v>-1.1271293989029012</v>
      </c>
    </row>
    <row r="2586" spans="1:5" x14ac:dyDescent="0.2">
      <c r="A2586" s="4">
        <v>45391</v>
      </c>
      <c r="B2586" s="3">
        <v>75486.92</v>
      </c>
      <c r="C2586" s="6">
        <f t="shared" si="120"/>
        <v>2.0156238839329562E-3</v>
      </c>
      <c r="D2586" s="7">
        <f t="shared" si="121"/>
        <v>0.16371497225256373</v>
      </c>
      <c r="E2586" s="8">
        <f t="shared" si="122"/>
        <v>-0.69397816016067393</v>
      </c>
    </row>
    <row r="2587" spans="1:5" x14ac:dyDescent="0.2">
      <c r="A2587" s="4">
        <v>45392</v>
      </c>
      <c r="B2587" s="3">
        <v>75520.37</v>
      </c>
      <c r="C2587" s="6">
        <f t="shared" si="120"/>
        <v>4.4302497643787731E-4</v>
      </c>
      <c r="D2587" s="7">
        <f t="shared" si="121"/>
        <v>1.9627336890640633E-2</v>
      </c>
      <c r="E2587" s="8">
        <f t="shared" si="122"/>
        <v>-0.66367755370508408</v>
      </c>
    </row>
    <row r="2588" spans="1:5" x14ac:dyDescent="0.2">
      <c r="A2588" s="4">
        <v>45393</v>
      </c>
      <c r="B2588" s="3">
        <v>75303.25</v>
      </c>
      <c r="C2588" s="6">
        <f t="shared" si="120"/>
        <v>-2.8791266246269809E-3</v>
      </c>
      <c r="D2588" s="7">
        <f t="shared" si="121"/>
        <v>-0.28476112874407827</v>
      </c>
      <c r="E2588" s="8">
        <f t="shared" si="122"/>
        <v>-0.75517644984370191</v>
      </c>
    </row>
    <row r="2589" spans="1:5" x14ac:dyDescent="0.2">
      <c r="A2589" s="4">
        <v>45394</v>
      </c>
      <c r="B2589" s="3">
        <v>75311.759999999995</v>
      </c>
      <c r="C2589" s="6">
        <f t="shared" si="120"/>
        <v>1.1300334553708208E-4</v>
      </c>
      <c r="D2589" s="7">
        <f t="shared" si="121"/>
        <v>-1.0610529985741999E-2</v>
      </c>
      <c r="E2589" s="8">
        <f t="shared" si="122"/>
        <v>-0.66336301104589268</v>
      </c>
    </row>
    <row r="2590" spans="1:5" x14ac:dyDescent="0.2">
      <c r="A2590" s="4">
        <v>45397</v>
      </c>
      <c r="B2590" s="3">
        <v>74518.63</v>
      </c>
      <c r="C2590" s="6">
        <f t="shared" si="120"/>
        <v>-1.058713667252161E-2</v>
      </c>
      <c r="D2590" s="7">
        <f t="shared" si="121"/>
        <v>-0.99099902313264243</v>
      </c>
      <c r="E2590" s="8">
        <f t="shared" si="122"/>
        <v>-1.6064332457815262</v>
      </c>
    </row>
    <row r="2591" spans="1:5" x14ac:dyDescent="0.2">
      <c r="A2591" s="4">
        <v>45398</v>
      </c>
      <c r="B2591" s="3">
        <v>72999.600000000006</v>
      </c>
      <c r="C2591" s="6">
        <f t="shared" si="120"/>
        <v>-2.0595199556714419E-2</v>
      </c>
      <c r="D2591" s="7">
        <f t="shared" si="121"/>
        <v>-1.9079767144332975</v>
      </c>
      <c r="E2591" s="8">
        <f t="shared" si="122"/>
        <v>-3.1790313186799071</v>
      </c>
    </row>
    <row r="2592" spans="1:5" x14ac:dyDescent="0.2">
      <c r="A2592" s="4">
        <v>45399</v>
      </c>
      <c r="B2592" s="3">
        <v>72995.179999999993</v>
      </c>
      <c r="C2592" s="6">
        <f t="shared" si="120"/>
        <v>-6.0550110097908188E-5</v>
      </c>
      <c r="D2592" s="7">
        <f t="shared" si="121"/>
        <v>-2.6512173381366976E-2</v>
      </c>
      <c r="E2592" s="8">
        <f t="shared" si="122"/>
        <v>-0.6640439797925084</v>
      </c>
    </row>
    <row r="2593" spans="1:5" x14ac:dyDescent="0.2">
      <c r="A2593" s="4">
        <v>45400</v>
      </c>
      <c r="B2593" s="3">
        <v>73271.429999999993</v>
      </c>
      <c r="C2593" s="6">
        <f t="shared" si="120"/>
        <v>3.7773532656609253E-3</v>
      </c>
      <c r="D2593" s="7">
        <f t="shared" si="121"/>
        <v>0.32513147810855564</v>
      </c>
      <c r="E2593" s="8">
        <f t="shared" si="122"/>
        <v>-0.78247335180806366</v>
      </c>
    </row>
    <row r="2594" spans="1:5" x14ac:dyDescent="0.2">
      <c r="A2594" s="4">
        <v>45401</v>
      </c>
      <c r="B2594" s="3">
        <v>73363.56</v>
      </c>
      <c r="C2594" s="6">
        <f t="shared" si="120"/>
        <v>1.2565897419559912E-3</v>
      </c>
      <c r="D2594" s="7">
        <f t="shared" si="121"/>
        <v>9.4169308602934543E-2</v>
      </c>
      <c r="E2594" s="8">
        <f t="shared" si="122"/>
        <v>-0.6734449476692117</v>
      </c>
    </row>
    <row r="2595" spans="1:5" x14ac:dyDescent="0.2">
      <c r="A2595" s="4">
        <v>45404</v>
      </c>
      <c r="B2595" s="3">
        <v>73551.12</v>
      </c>
      <c r="C2595" s="6">
        <f t="shared" si="120"/>
        <v>2.5533200888964397E-3</v>
      </c>
      <c r="D2595" s="7">
        <f t="shared" si="121"/>
        <v>0.21298079225728145</v>
      </c>
      <c r="E2595" s="8">
        <f t="shared" si="122"/>
        <v>-0.71505884863259728</v>
      </c>
    </row>
    <row r="2596" spans="1:5" x14ac:dyDescent="0.2">
      <c r="A2596" s="4">
        <v>45405</v>
      </c>
      <c r="B2596" s="3">
        <v>74010.83</v>
      </c>
      <c r="C2596" s="6">
        <f t="shared" si="120"/>
        <v>6.2307591794673461E-3</v>
      </c>
      <c r="D2596" s="7">
        <f t="shared" si="121"/>
        <v>0.54992208111514684</v>
      </c>
      <c r="E2596" s="8">
        <f t="shared" si="122"/>
        <v>-0.99099713748289575</v>
      </c>
    </row>
    <row r="2597" spans="1:5" x14ac:dyDescent="0.2">
      <c r="A2597" s="4">
        <v>45406</v>
      </c>
      <c r="B2597" s="3">
        <v>74513.929999999993</v>
      </c>
      <c r="C2597" s="6">
        <f t="shared" si="120"/>
        <v>6.774653925522311E-3</v>
      </c>
      <c r="D2597" s="7">
        <f t="shared" si="121"/>
        <v>0.59975583559082768</v>
      </c>
      <c r="E2597" s="8">
        <f t="shared" si="122"/>
        <v>-1.0487671224547468</v>
      </c>
    </row>
    <row r="2598" spans="1:5" x14ac:dyDescent="0.2">
      <c r="A2598" s="4">
        <v>45407</v>
      </c>
      <c r="B2598" s="3">
        <v>74329.37</v>
      </c>
      <c r="C2598" s="6">
        <f t="shared" si="120"/>
        <v>-2.4799247878460814E-3</v>
      </c>
      <c r="D2598" s="7">
        <f t="shared" si="121"/>
        <v>-0.2481847020279252</v>
      </c>
      <c r="E2598" s="8">
        <f t="shared" si="122"/>
        <v>-0.73336367186361839</v>
      </c>
    </row>
    <row r="2599" spans="1:5" x14ac:dyDescent="0.2">
      <c r="A2599" s="4">
        <v>45408</v>
      </c>
      <c r="B2599" s="3">
        <v>75370.990000000005</v>
      </c>
      <c r="C2599" s="6">
        <f t="shared" si="120"/>
        <v>1.3916289983911015E-2</v>
      </c>
      <c r="D2599" s="7">
        <f t="shared" si="121"/>
        <v>1.2541003396880324</v>
      </c>
      <c r="E2599" s="8">
        <f t="shared" si="122"/>
        <v>-2.0452164693034067</v>
      </c>
    </row>
    <row r="2600" spans="1:5" x14ac:dyDescent="0.2">
      <c r="A2600" s="4">
        <v>45411</v>
      </c>
      <c r="B2600" s="3">
        <v>76456.149999999994</v>
      </c>
      <c r="C2600" s="6">
        <f t="shared" si="120"/>
        <v>1.4294920905893961E-2</v>
      </c>
      <c r="D2600" s="7">
        <f t="shared" si="121"/>
        <v>1.2887919790904323</v>
      </c>
      <c r="E2600" s="8">
        <f t="shared" si="122"/>
        <v>-2.1049256152660489</v>
      </c>
    </row>
    <row r="2601" spans="1:5" x14ac:dyDescent="0.2">
      <c r="A2601" s="4">
        <v>45412</v>
      </c>
      <c r="B2601" s="3">
        <v>76076.17</v>
      </c>
      <c r="C2601" s="6">
        <f t="shared" si="120"/>
        <v>-4.9822986502724318E-3</v>
      </c>
      <c r="D2601" s="7">
        <f t="shared" si="121"/>
        <v>-0.47746193916070206</v>
      </c>
      <c r="E2601" s="8">
        <f t="shared" si="122"/>
        <v>-0.91399854482788123</v>
      </c>
    </row>
    <row r="2602" spans="1:5" x14ac:dyDescent="0.2">
      <c r="A2602" s="4">
        <v>45414</v>
      </c>
      <c r="B2602" s="3">
        <v>76046.850000000006</v>
      </c>
      <c r="C2602" s="6">
        <f t="shared" si="120"/>
        <v>-3.8547749529371767E-4</v>
      </c>
      <c r="D2602" s="7">
        <f t="shared" si="121"/>
        <v>-5.6283285630052957E-2</v>
      </c>
      <c r="E2602" s="8">
        <f t="shared" si="122"/>
        <v>-0.66688554862758476</v>
      </c>
    </row>
    <row r="2603" spans="1:5" x14ac:dyDescent="0.2">
      <c r="A2603" s="4">
        <v>45415</v>
      </c>
      <c r="B2603" s="3">
        <v>76428.33</v>
      </c>
      <c r="C2603" s="6">
        <f t="shared" si="120"/>
        <v>5.0038412280774183E-3</v>
      </c>
      <c r="D2603" s="7">
        <f t="shared" si="121"/>
        <v>0.43750708097982288</v>
      </c>
      <c r="E2603" s="8">
        <f t="shared" si="122"/>
        <v>-0.87535075326381384</v>
      </c>
    </row>
    <row r="2604" spans="1:5" x14ac:dyDescent="0.2">
      <c r="A2604" s="4">
        <v>45418</v>
      </c>
      <c r="B2604" s="3">
        <v>76776.45</v>
      </c>
      <c r="C2604" s="6">
        <f t="shared" si="120"/>
        <v>4.5445135475773854E-3</v>
      </c>
      <c r="D2604" s="7">
        <f t="shared" si="121"/>
        <v>0.39542169034137509</v>
      </c>
      <c r="E2604" s="8">
        <f t="shared" si="122"/>
        <v>-0.83775468766384287</v>
      </c>
    </row>
    <row r="2605" spans="1:5" x14ac:dyDescent="0.2">
      <c r="A2605" s="4">
        <v>45419</v>
      </c>
      <c r="B2605" s="3">
        <v>76929.48</v>
      </c>
      <c r="C2605" s="6">
        <f t="shared" si="120"/>
        <v>1.9912055515669829E-3</v>
      </c>
      <c r="D2605" s="7">
        <f t="shared" si="121"/>
        <v>0.16147766955997897</v>
      </c>
      <c r="E2605" s="8">
        <f t="shared" si="122"/>
        <v>-0.69314828597198341</v>
      </c>
    </row>
    <row r="2606" spans="1:5" x14ac:dyDescent="0.2">
      <c r="A2606" s="4">
        <v>45420</v>
      </c>
      <c r="B2606" s="3">
        <v>77177.429999999993</v>
      </c>
      <c r="C2606" s="6">
        <f t="shared" si="120"/>
        <v>3.2178987166443128E-3</v>
      </c>
      <c r="D2606" s="7">
        <f t="shared" si="121"/>
        <v>0.27387207389805956</v>
      </c>
      <c r="E2606" s="8">
        <f t="shared" si="122"/>
        <v>-0.74838891367293192</v>
      </c>
    </row>
    <row r="2607" spans="1:5" x14ac:dyDescent="0.2">
      <c r="A2607" s="4">
        <v>45421</v>
      </c>
      <c r="B2607" s="3">
        <v>77539.149999999994</v>
      </c>
      <c r="C2607" s="6">
        <f t="shared" si="120"/>
        <v>4.675913325625375E-3</v>
      </c>
      <c r="D2607" s="7">
        <f t="shared" si="121"/>
        <v>0.4074610496565701</v>
      </c>
      <c r="E2607" s="8">
        <f t="shared" si="122"/>
        <v>-0.84817525201114974</v>
      </c>
    </row>
    <row r="2608" spans="1:5" x14ac:dyDescent="0.2">
      <c r="A2608" s="4">
        <v>45422</v>
      </c>
      <c r="B2608" s="3">
        <v>78464.22</v>
      </c>
      <c r="C2608" s="6">
        <f t="shared" si="120"/>
        <v>1.1859754604752824E-2</v>
      </c>
      <c r="D2608" s="7">
        <f t="shared" si="121"/>
        <v>1.0656725604184687</v>
      </c>
      <c r="E2608" s="8">
        <f t="shared" si="122"/>
        <v>-1.7276962425006466</v>
      </c>
    </row>
    <row r="2609" spans="1:5" x14ac:dyDescent="0.2">
      <c r="A2609" s="4">
        <v>45425</v>
      </c>
      <c r="B2609" s="3">
        <v>78686.89</v>
      </c>
      <c r="C2609" s="6">
        <f t="shared" si="120"/>
        <v>2.8338348868783619E-3</v>
      </c>
      <c r="D2609" s="7">
        <f t="shared" si="121"/>
        <v>0.23868265032967695</v>
      </c>
      <c r="E2609" s="8">
        <f t="shared" si="122"/>
        <v>-0.72816045471137725</v>
      </c>
    </row>
    <row r="2610" spans="1:5" x14ac:dyDescent="0.2">
      <c r="A2610" s="4">
        <v>45426</v>
      </c>
      <c r="B2610" s="3">
        <v>78632.58</v>
      </c>
      <c r="C2610" s="6">
        <f t="shared" si="120"/>
        <v>-6.9044222126489745E-4</v>
      </c>
      <c r="D2610" s="7">
        <f t="shared" si="121"/>
        <v>-8.4225341309067003E-2</v>
      </c>
      <c r="E2610" s="8">
        <f t="shared" si="122"/>
        <v>-0.67140529502539525</v>
      </c>
    </row>
    <row r="2611" spans="1:5" x14ac:dyDescent="0.2">
      <c r="A2611" s="4">
        <v>45427</v>
      </c>
      <c r="B2611" s="3">
        <v>79361.570000000007</v>
      </c>
      <c r="C2611" s="6">
        <f t="shared" si="120"/>
        <v>9.2281286780808627E-3</v>
      </c>
      <c r="D2611" s="7">
        <f t="shared" si="121"/>
        <v>0.8245527458719365</v>
      </c>
      <c r="E2611" s="8">
        <f t="shared" si="122"/>
        <v>-1.3502754176506941</v>
      </c>
    </row>
    <row r="2612" spans="1:5" x14ac:dyDescent="0.2">
      <c r="A2612" s="4">
        <v>45428</v>
      </c>
      <c r="B2612" s="3">
        <v>79508.98</v>
      </c>
      <c r="C2612" s="6">
        <f t="shared" si="120"/>
        <v>1.8557252090229714E-3</v>
      </c>
      <c r="D2612" s="7">
        <f t="shared" si="121"/>
        <v>0.14906443303657063</v>
      </c>
      <c r="E2612" s="8">
        <f t="shared" si="122"/>
        <v>-0.68874698178020488</v>
      </c>
    </row>
    <row r="2613" spans="1:5" x14ac:dyDescent="0.2">
      <c r="A2613" s="4">
        <v>45429</v>
      </c>
      <c r="B2613" s="3">
        <v>79530.63</v>
      </c>
      <c r="C2613" s="6">
        <f t="shared" si="120"/>
        <v>2.7225922062731488E-4</v>
      </c>
      <c r="D2613" s="7">
        <f t="shared" si="121"/>
        <v>3.9811134078022292E-3</v>
      </c>
      <c r="E2613" s="8">
        <f t="shared" si="122"/>
        <v>-0.66325140438663921</v>
      </c>
    </row>
    <row r="2614" spans="1:5" x14ac:dyDescent="0.2">
      <c r="A2614" s="4">
        <v>45432</v>
      </c>
      <c r="B2614" s="3">
        <v>80072.990000000005</v>
      </c>
      <c r="C2614" s="6">
        <f t="shared" si="120"/>
        <v>6.7963632360898835E-3</v>
      </c>
      <c r="D2614" s="7">
        <f t="shared" si="121"/>
        <v>0.60174492715773054</v>
      </c>
      <c r="E2614" s="8">
        <f t="shared" si="122"/>
        <v>-1.0511497468427682</v>
      </c>
    </row>
    <row r="2615" spans="1:5" x14ac:dyDescent="0.2">
      <c r="A2615" s="4">
        <v>45433</v>
      </c>
      <c r="B2615" s="3">
        <v>79808.070000000007</v>
      </c>
      <c r="C2615" s="6">
        <f t="shared" si="120"/>
        <v>-3.3139665505616815E-3</v>
      </c>
      <c r="D2615" s="7">
        <f t="shared" si="121"/>
        <v>-0.32460285595771676</v>
      </c>
      <c r="E2615" s="8">
        <f t="shared" si="122"/>
        <v>-0.78209449726435731</v>
      </c>
    </row>
    <row r="2616" spans="1:5" x14ac:dyDescent="0.2">
      <c r="A2616" s="4">
        <v>45434</v>
      </c>
      <c r="B2616" s="3">
        <v>79492.570000000007</v>
      </c>
      <c r="C2616" s="6">
        <f t="shared" si="120"/>
        <v>-3.9610689890250085E-3</v>
      </c>
      <c r="D2616" s="7">
        <f t="shared" si="121"/>
        <v>-0.38389290108666319</v>
      </c>
      <c r="E2616" s="8">
        <f t="shared" si="122"/>
        <v>-0.82803203817208104</v>
      </c>
    </row>
    <row r="2617" spans="1:5" x14ac:dyDescent="0.2">
      <c r="A2617" s="4">
        <v>45435</v>
      </c>
      <c r="B2617" s="3">
        <v>78956.070000000007</v>
      </c>
      <c r="C2617" s="6">
        <f t="shared" si="120"/>
        <v>-6.7719363231306335E-3</v>
      </c>
      <c r="D2617" s="7">
        <f t="shared" si="121"/>
        <v>-0.64143551132062049</v>
      </c>
      <c r="E2617" s="8">
        <f t="shared" si="122"/>
        <v>-1.0998689780670021</v>
      </c>
    </row>
    <row r="2618" spans="1:5" x14ac:dyDescent="0.2">
      <c r="A2618" s="4">
        <v>45436</v>
      </c>
      <c r="B2618" s="3">
        <v>79150.84</v>
      </c>
      <c r="C2618" s="6">
        <f t="shared" si="120"/>
        <v>2.4637771812041497E-3</v>
      </c>
      <c r="D2618" s="7">
        <f t="shared" si="121"/>
        <v>0.20477652238826313</v>
      </c>
      <c r="E2618" s="8">
        <f t="shared" si="122"/>
        <v>-0.71117821601363274</v>
      </c>
    </row>
    <row r="2619" spans="1:5" x14ac:dyDescent="0.2">
      <c r="A2619" s="4">
        <v>45439</v>
      </c>
      <c r="B2619" s="3">
        <v>78920.88</v>
      </c>
      <c r="C2619" s="6">
        <f t="shared" si="120"/>
        <v>-2.9095674068548866E-3</v>
      </c>
      <c r="D2619" s="7">
        <f t="shared" si="121"/>
        <v>-0.2875502317435028</v>
      </c>
      <c r="E2619" s="8">
        <f t="shared" si="122"/>
        <v>-0.75695468670694321</v>
      </c>
    </row>
    <row r="2620" spans="1:5" x14ac:dyDescent="0.2">
      <c r="A2620" s="4">
        <v>45440</v>
      </c>
      <c r="B2620" s="3">
        <v>78576.14</v>
      </c>
      <c r="C2620" s="6">
        <f t="shared" si="120"/>
        <v>-4.3777406146125091E-3</v>
      </c>
      <c r="D2620" s="7">
        <f t="shared" si="121"/>
        <v>-0.4220699778779361</v>
      </c>
      <c r="E2620" s="8">
        <f t="shared" si="122"/>
        <v>-0.8611818838672356</v>
      </c>
    </row>
    <row r="2621" spans="1:5" x14ac:dyDescent="0.2">
      <c r="A2621" s="4">
        <v>45442</v>
      </c>
      <c r="B2621" s="3">
        <v>77161.710000000006</v>
      </c>
      <c r="C2621" s="6">
        <f t="shared" si="120"/>
        <v>-1.8164741476024183E-2</v>
      </c>
      <c r="D2621" s="7">
        <f t="shared" si="121"/>
        <v>-1.6852886812521286</v>
      </c>
      <c r="E2621" s="8">
        <f t="shared" si="122"/>
        <v>-2.7956438385651872</v>
      </c>
    </row>
    <row r="2622" spans="1:5" x14ac:dyDescent="0.2">
      <c r="A2622" s="4">
        <v>45443</v>
      </c>
      <c r="B2622" s="3">
        <v>76704.259999999995</v>
      </c>
      <c r="C2622" s="6">
        <f t="shared" si="120"/>
        <v>-5.94610163383301E-3</v>
      </c>
      <c r="D2622" s="7">
        <f t="shared" si="121"/>
        <v>-0.56576932141446012</v>
      </c>
      <c r="E2622" s="8">
        <f t="shared" si="122"/>
        <v>-1.0089599090980843</v>
      </c>
    </row>
    <row r="2623" spans="1:5" x14ac:dyDescent="0.2">
      <c r="A2623" s="4">
        <v>45446</v>
      </c>
      <c r="B2623" s="3">
        <v>77746.23</v>
      </c>
      <c r="C2623" s="6">
        <f t="shared" si="120"/>
        <v>1.3492813237782649E-2</v>
      </c>
      <c r="D2623" s="7">
        <f t="shared" si="121"/>
        <v>1.2152997512547172</v>
      </c>
      <c r="E2623" s="8">
        <f t="shared" si="122"/>
        <v>-1.9788021799413977</v>
      </c>
    </row>
    <row r="2624" spans="1:5" x14ac:dyDescent="0.2">
      <c r="A2624" s="4">
        <v>45447</v>
      </c>
      <c r="B2624" s="3">
        <v>76832.740000000005</v>
      </c>
      <c r="C2624" s="6">
        <f t="shared" si="120"/>
        <v>-1.1819209741702539E-2</v>
      </c>
      <c r="D2624" s="7">
        <f t="shared" si="121"/>
        <v>-1.1038863552332103</v>
      </c>
      <c r="E2624" s="8">
        <f t="shared" si="122"/>
        <v>-1.7909203137055003</v>
      </c>
    </row>
    <row r="2625" spans="1:5" x14ac:dyDescent="0.2">
      <c r="A2625" s="4">
        <v>45448</v>
      </c>
      <c r="B2625" s="3">
        <v>76829.13</v>
      </c>
      <c r="C2625" s="6">
        <f t="shared" si="120"/>
        <v>-4.6986282291991026E-5</v>
      </c>
      <c r="D2625" s="7">
        <f t="shared" si="121"/>
        <v>-2.5269402662338594E-2</v>
      </c>
      <c r="E2625" s="8">
        <f t="shared" si="122"/>
        <v>-0.66396975276273151</v>
      </c>
    </row>
    <row r="2626" spans="1:5" x14ac:dyDescent="0.2">
      <c r="A2626" s="4">
        <v>45449</v>
      </c>
      <c r="B2626" s="3">
        <v>77123.64</v>
      </c>
      <c r="C2626" s="6">
        <f t="shared" si="120"/>
        <v>3.8259832448178043E-3</v>
      </c>
      <c r="D2626" s="7">
        <f t="shared" si="121"/>
        <v>0.32958714615653578</v>
      </c>
      <c r="E2626" s="8">
        <f t="shared" si="122"/>
        <v>-0.78568896624070439</v>
      </c>
    </row>
    <row r="2627" spans="1:5" x14ac:dyDescent="0.2">
      <c r="A2627" s="4">
        <v>45450</v>
      </c>
      <c r="B2627" s="3">
        <v>76851.78</v>
      </c>
      <c r="C2627" s="6">
        <f t="shared" ref="C2627:C2690" si="123">LN(B2627/B2626)</f>
        <v>-3.5312166382953278E-3</v>
      </c>
      <c r="D2627" s="7">
        <f t="shared" ref="D2627:D2690" si="124">(C2627-$G$4)/$G$5</f>
        <v>-0.3445081549341561</v>
      </c>
      <c r="E2627" s="8">
        <f t="shared" ref="E2627:E2690" si="125">LN((PI()*(G$3-2))^(-1/2)*EXP(GAMMALN((G$3+1)/2))*((1+D2627^2/(G$3-2))^(-(G$3+1)/2))/EXP(GAMMALN(G$3/2)))</f>
        <v>-0.79674615816285954</v>
      </c>
    </row>
    <row r="2628" spans="1:5" x14ac:dyDescent="0.2">
      <c r="A2628" s="4">
        <v>45453</v>
      </c>
      <c r="B2628" s="3">
        <v>76188.160000000003</v>
      </c>
      <c r="C2628" s="6">
        <f t="shared" si="123"/>
        <v>-8.6725616779132434E-3</v>
      </c>
      <c r="D2628" s="7">
        <f t="shared" si="124"/>
        <v>-0.8155782070673423</v>
      </c>
      <c r="E2628" s="8">
        <f t="shared" si="125"/>
        <v>-1.3371421000190442</v>
      </c>
    </row>
    <row r="2629" spans="1:5" x14ac:dyDescent="0.2">
      <c r="A2629" s="4">
        <v>45454</v>
      </c>
      <c r="B2629" s="3">
        <v>76077.3</v>
      </c>
      <c r="C2629" s="6">
        <f t="shared" si="123"/>
        <v>-1.4561413939639107E-3</v>
      </c>
      <c r="D2629" s="7">
        <f t="shared" si="124"/>
        <v>-0.15438168102605035</v>
      </c>
      <c r="E2629" s="8">
        <f t="shared" si="125"/>
        <v>-0.69059010448876867</v>
      </c>
    </row>
    <row r="2630" spans="1:5" x14ac:dyDescent="0.2">
      <c r="A2630" s="4">
        <v>45455</v>
      </c>
      <c r="B2630" s="3">
        <v>77050.8</v>
      </c>
      <c r="C2630" s="6">
        <f t="shared" si="123"/>
        <v>1.2715015932094228E-2</v>
      </c>
      <c r="D2630" s="7">
        <f t="shared" si="124"/>
        <v>1.1440349334849833</v>
      </c>
      <c r="E2630" s="8">
        <f t="shared" si="125"/>
        <v>-1.8580703472763345</v>
      </c>
    </row>
    <row r="2631" spans="1:5" x14ac:dyDescent="0.2">
      <c r="A2631" s="4">
        <v>45456</v>
      </c>
      <c r="B2631" s="3">
        <v>76382.02</v>
      </c>
      <c r="C2631" s="6">
        <f t="shared" si="123"/>
        <v>-8.7176164190291144E-3</v>
      </c>
      <c r="D2631" s="7">
        <f t="shared" si="124"/>
        <v>-0.8197062978845806</v>
      </c>
      <c r="E2631" s="8">
        <f t="shared" si="125"/>
        <v>-1.3431733770668326</v>
      </c>
    </row>
    <row r="2632" spans="1:5" x14ac:dyDescent="0.2">
      <c r="A2632" s="4">
        <v>45457</v>
      </c>
      <c r="B2632" s="3">
        <v>77053.78</v>
      </c>
      <c r="C2632" s="6">
        <f t="shared" si="123"/>
        <v>8.7562914538706089E-3</v>
      </c>
      <c r="D2632" s="7">
        <f t="shared" si="124"/>
        <v>0.78132118212852741</v>
      </c>
      <c r="E2632" s="8">
        <f t="shared" si="125"/>
        <v>-1.2877526882960322</v>
      </c>
    </row>
    <row r="2633" spans="1:5" x14ac:dyDescent="0.2">
      <c r="A2633" s="4">
        <v>45461</v>
      </c>
      <c r="B2633" s="3">
        <v>79748.83</v>
      </c>
      <c r="C2633" s="6">
        <f t="shared" si="123"/>
        <v>3.437845109560906E-2</v>
      </c>
      <c r="D2633" s="7">
        <f t="shared" si="124"/>
        <v>3.1289232172363541</v>
      </c>
      <c r="E2633" s="8">
        <f t="shared" si="125"/>
        <v>-5.0614477849997446</v>
      </c>
    </row>
    <row r="2634" spans="1:5" x14ac:dyDescent="0.2">
      <c r="A2634" s="4">
        <v>45462</v>
      </c>
      <c r="B2634" s="3">
        <v>80713.72</v>
      </c>
      <c r="C2634" s="6">
        <f t="shared" si="123"/>
        <v>1.2026502506066964E-2</v>
      </c>
      <c r="D2634" s="7">
        <f t="shared" si="124"/>
        <v>1.0809506524274402</v>
      </c>
      <c r="E2634" s="8">
        <f t="shared" si="125"/>
        <v>-1.7528871792628851</v>
      </c>
    </row>
    <row r="2635" spans="1:5" x14ac:dyDescent="0.2">
      <c r="A2635" s="4">
        <v>45463</v>
      </c>
      <c r="B2635" s="3">
        <v>80073.05</v>
      </c>
      <c r="C2635" s="6">
        <f t="shared" si="123"/>
        <v>-7.9692301881457827E-3</v>
      </c>
      <c r="D2635" s="7">
        <f t="shared" si="124"/>
        <v>-0.75113623731067103</v>
      </c>
      <c r="E2635" s="8">
        <f t="shared" si="125"/>
        <v>-1.2452590182789334</v>
      </c>
    </row>
    <row r="2636" spans="1:5" x14ac:dyDescent="0.2">
      <c r="A2636" s="4">
        <v>45464</v>
      </c>
      <c r="B2636" s="3">
        <v>79767.56</v>
      </c>
      <c r="C2636" s="6">
        <f t="shared" si="123"/>
        <v>-3.8224375139731229E-3</v>
      </c>
      <c r="D2636" s="7">
        <f t="shared" si="124"/>
        <v>-0.37119094553286025</v>
      </c>
      <c r="E2636" s="8">
        <f t="shared" si="125"/>
        <v>-0.81761351819473838</v>
      </c>
    </row>
    <row r="2637" spans="1:5" x14ac:dyDescent="0.2">
      <c r="A2637" s="4">
        <v>45467</v>
      </c>
      <c r="B2637" s="3">
        <v>80263.14</v>
      </c>
      <c r="C2637" s="6">
        <f t="shared" si="123"/>
        <v>6.1935814093379664E-3</v>
      </c>
      <c r="D2637" s="7">
        <f t="shared" si="124"/>
        <v>0.54651570905139912</v>
      </c>
      <c r="E2637" s="8">
        <f t="shared" si="125"/>
        <v>-0.98718701868295944</v>
      </c>
    </row>
    <row r="2638" spans="1:5" x14ac:dyDescent="0.2">
      <c r="A2638" s="4">
        <v>45468</v>
      </c>
      <c r="B2638" s="3">
        <v>79577.570000000007</v>
      </c>
      <c r="C2638" s="6">
        <f t="shared" si="123"/>
        <v>-8.5782177020359285E-3</v>
      </c>
      <c r="D2638" s="7">
        <f t="shared" si="124"/>
        <v>-0.80693404463659413</v>
      </c>
      <c r="E2638" s="8">
        <f t="shared" si="125"/>
        <v>-1.3245672283643419</v>
      </c>
    </row>
    <row r="2639" spans="1:5" x14ac:dyDescent="0.2">
      <c r="A2639" s="4">
        <v>45469</v>
      </c>
      <c r="B2639" s="3">
        <v>79252.39</v>
      </c>
      <c r="C2639" s="6">
        <f t="shared" si="123"/>
        <v>-4.0946991908296154E-3</v>
      </c>
      <c r="D2639" s="7">
        <f t="shared" si="124"/>
        <v>-0.39613662051136506</v>
      </c>
      <c r="E2639" s="8">
        <f t="shared" si="125"/>
        <v>-0.83836589311421394</v>
      </c>
    </row>
    <row r="2640" spans="1:5" x14ac:dyDescent="0.2">
      <c r="A2640" s="4">
        <v>45470</v>
      </c>
      <c r="B2640" s="3">
        <v>78969.33</v>
      </c>
      <c r="C2640" s="6">
        <f t="shared" si="123"/>
        <v>-3.5780207923826134E-3</v>
      </c>
      <c r="D2640" s="7">
        <f t="shared" si="124"/>
        <v>-0.34879653377977932</v>
      </c>
      <c r="E2640" s="8">
        <f t="shared" si="125"/>
        <v>-0.80000578981999171</v>
      </c>
    </row>
    <row r="2641" spans="1:5" x14ac:dyDescent="0.2">
      <c r="A2641" s="4">
        <v>45471</v>
      </c>
      <c r="B2641" s="3">
        <v>79707.11</v>
      </c>
      <c r="C2641" s="6">
        <f t="shared" si="123"/>
        <v>9.2992421140157006E-3</v>
      </c>
      <c r="D2641" s="7">
        <f t="shared" si="124"/>
        <v>0.83106843577702083</v>
      </c>
      <c r="E2641" s="8">
        <f t="shared" si="125"/>
        <v>-1.3598593090845832</v>
      </c>
    </row>
    <row r="2642" spans="1:5" x14ac:dyDescent="0.2">
      <c r="A2642" s="4">
        <v>45474</v>
      </c>
      <c r="B2642" s="3">
        <v>79853.83</v>
      </c>
      <c r="C2642" s="6">
        <f t="shared" si="123"/>
        <v>1.8390470919980269E-3</v>
      </c>
      <c r="D2642" s="7">
        <f t="shared" si="124"/>
        <v>0.14753631901273381</v>
      </c>
      <c r="E2642" s="8">
        <f t="shared" si="125"/>
        <v>-0.68822900838749523</v>
      </c>
    </row>
    <row r="2643" spans="1:5" x14ac:dyDescent="0.2">
      <c r="A2643" s="4">
        <v>45475</v>
      </c>
      <c r="B2643" s="3">
        <v>79435.12</v>
      </c>
      <c r="C2643" s="6">
        <f t="shared" si="123"/>
        <v>-5.2572506050462013E-3</v>
      </c>
      <c r="D2643" s="7">
        <f t="shared" si="124"/>
        <v>-0.50265410787751452</v>
      </c>
      <c r="E2643" s="8">
        <f t="shared" si="125"/>
        <v>-0.93978598822050174</v>
      </c>
    </row>
    <row r="2644" spans="1:5" x14ac:dyDescent="0.2">
      <c r="A2644" s="4">
        <v>45476</v>
      </c>
      <c r="B2644" s="3">
        <v>80772.78</v>
      </c>
      <c r="C2644" s="6">
        <f t="shared" si="123"/>
        <v>1.6699439741769802E-2</v>
      </c>
      <c r="D2644" s="7">
        <f t="shared" si="124"/>
        <v>1.5091033576582942</v>
      </c>
      <c r="E2644" s="8">
        <f t="shared" si="125"/>
        <v>-2.488314023052407</v>
      </c>
    </row>
    <row r="2645" spans="1:5" x14ac:dyDescent="0.2">
      <c r="A2645" s="4">
        <v>45477</v>
      </c>
      <c r="B2645" s="3">
        <v>81155.28</v>
      </c>
      <c r="C2645" s="6">
        <f t="shared" si="123"/>
        <v>4.7243289572779608E-3</v>
      </c>
      <c r="D2645" s="7">
        <f t="shared" si="124"/>
        <v>0.4118970783515708</v>
      </c>
      <c r="E2645" s="8">
        <f t="shared" si="125"/>
        <v>-0.852083019775558</v>
      </c>
    </row>
    <row r="2646" spans="1:5" x14ac:dyDescent="0.2">
      <c r="A2646" s="4">
        <v>45478</v>
      </c>
      <c r="B2646" s="3">
        <v>80797.38</v>
      </c>
      <c r="C2646" s="6">
        <f t="shared" si="123"/>
        <v>-4.4198172802442865E-3</v>
      </c>
      <c r="D2646" s="7">
        <f t="shared" si="124"/>
        <v>-0.42592520582315591</v>
      </c>
      <c r="E2646" s="8">
        <f t="shared" si="125"/>
        <v>-0.86467975535612962</v>
      </c>
    </row>
    <row r="2647" spans="1:5" x14ac:dyDescent="0.2">
      <c r="A2647" s="4">
        <v>45481</v>
      </c>
      <c r="B2647" s="3">
        <v>80783.509999999995</v>
      </c>
      <c r="C2647" s="6">
        <f t="shared" si="123"/>
        <v>-1.7167871812166384E-4</v>
      </c>
      <c r="D2647" s="7">
        <f t="shared" si="124"/>
        <v>-3.6694209166136901E-2</v>
      </c>
      <c r="E2647" s="8">
        <f t="shared" si="125"/>
        <v>-0.66478618566570347</v>
      </c>
    </row>
    <row r="2648" spans="1:5" x14ac:dyDescent="0.2">
      <c r="A2648" s="4">
        <v>45482</v>
      </c>
      <c r="B2648" s="3">
        <v>80620.02</v>
      </c>
      <c r="C2648" s="6">
        <f t="shared" si="123"/>
        <v>-2.0258547742389929E-3</v>
      </c>
      <c r="D2648" s="7">
        <f t="shared" si="124"/>
        <v>-0.20658103930275165</v>
      </c>
      <c r="E2648" s="8">
        <f t="shared" si="125"/>
        <v>-0.7120191624869644</v>
      </c>
    </row>
    <row r="2649" spans="1:5" x14ac:dyDescent="0.2">
      <c r="A2649" s="4">
        <v>45483</v>
      </c>
      <c r="B2649" s="3">
        <v>80445.31</v>
      </c>
      <c r="C2649" s="6">
        <f t="shared" si="123"/>
        <v>-2.1694311062687107E-3</v>
      </c>
      <c r="D2649" s="7">
        <f t="shared" si="124"/>
        <v>-0.21973606190737288</v>
      </c>
      <c r="E2649" s="8">
        <f t="shared" si="125"/>
        <v>-0.71836403223855827</v>
      </c>
    </row>
    <row r="2650" spans="1:5" x14ac:dyDescent="0.2">
      <c r="A2650" s="4">
        <v>45484</v>
      </c>
      <c r="B2650" s="3">
        <v>81093.990000000005</v>
      </c>
      <c r="C2650" s="6">
        <f t="shared" si="123"/>
        <v>8.0312776733349883E-3</v>
      </c>
      <c r="D2650" s="7">
        <f t="shared" si="124"/>
        <v>0.71489259646418646</v>
      </c>
      <c r="E2650" s="8">
        <f t="shared" si="125"/>
        <v>-1.1955908578748056</v>
      </c>
    </row>
    <row r="2651" spans="1:5" x14ac:dyDescent="0.2">
      <c r="A2651" s="4">
        <v>45485</v>
      </c>
      <c r="B2651" s="3">
        <v>81686.490000000005</v>
      </c>
      <c r="C2651" s="6">
        <f t="shared" si="123"/>
        <v>7.2797747817402083E-3</v>
      </c>
      <c r="D2651" s="7">
        <f t="shared" si="124"/>
        <v>0.64603697530009874</v>
      </c>
      <c r="E2651" s="8">
        <f t="shared" si="125"/>
        <v>-1.1056585632566305</v>
      </c>
    </row>
    <row r="2652" spans="1:5" x14ac:dyDescent="0.2">
      <c r="A2652" s="4">
        <v>45488</v>
      </c>
      <c r="B2652" s="3">
        <v>82154.070000000007</v>
      </c>
      <c r="C2652" s="6">
        <f t="shared" si="123"/>
        <v>5.7077596587971043E-3</v>
      </c>
      <c r="D2652" s="7">
        <f t="shared" si="124"/>
        <v>0.50200282855199441</v>
      </c>
      <c r="E2652" s="8">
        <f t="shared" si="125"/>
        <v>-0.93910585736220764</v>
      </c>
    </row>
    <row r="2653" spans="1:5" x14ac:dyDescent="0.2">
      <c r="A2653" s="4">
        <v>45489</v>
      </c>
      <c r="B2653" s="3">
        <v>81124.08</v>
      </c>
      <c r="C2653" s="6">
        <f t="shared" si="123"/>
        <v>-1.2616552337925638E-2</v>
      </c>
      <c r="D2653" s="7">
        <f t="shared" si="124"/>
        <v>-1.1769419886280736</v>
      </c>
      <c r="E2653" s="8">
        <f t="shared" si="125"/>
        <v>-1.9135962222033391</v>
      </c>
    </row>
    <row r="2654" spans="1:5" x14ac:dyDescent="0.2">
      <c r="A2654" s="4">
        <v>45490</v>
      </c>
      <c r="B2654" s="3">
        <v>80452.58</v>
      </c>
      <c r="C2654" s="6">
        <f t="shared" si="123"/>
        <v>-8.3118919034412073E-3</v>
      </c>
      <c r="D2654" s="7">
        <f t="shared" si="124"/>
        <v>-0.78253223793782578</v>
      </c>
      <c r="E2654" s="8">
        <f t="shared" si="125"/>
        <v>-1.2894780613754384</v>
      </c>
    </row>
    <row r="2655" spans="1:5" x14ac:dyDescent="0.2">
      <c r="A2655" s="4">
        <v>45491</v>
      </c>
      <c r="B2655" s="3">
        <v>80334.259999999995</v>
      </c>
      <c r="C2655" s="6">
        <f t="shared" si="123"/>
        <v>-1.471762506901741E-3</v>
      </c>
      <c r="D2655" s="7">
        <f t="shared" si="124"/>
        <v>-0.15581294821961511</v>
      </c>
      <c r="E2655" s="8">
        <f t="shared" si="125"/>
        <v>-0.69109703447161341</v>
      </c>
    </row>
    <row r="2656" spans="1:5" x14ac:dyDescent="0.2">
      <c r="A2656" s="4">
        <v>45492</v>
      </c>
      <c r="B2656" s="3">
        <v>79922.67</v>
      </c>
      <c r="C2656" s="6">
        <f t="shared" si="123"/>
        <v>-5.1366378350660175E-3</v>
      </c>
      <c r="D2656" s="7">
        <f t="shared" si="124"/>
        <v>-0.49160309624443499</v>
      </c>
      <c r="E2656" s="8">
        <f t="shared" si="125"/>
        <v>-0.92834164610846281</v>
      </c>
    </row>
    <row r="2657" spans="1:5" x14ac:dyDescent="0.2">
      <c r="A2657" s="4">
        <v>45495</v>
      </c>
      <c r="B2657" s="3">
        <v>80492.09</v>
      </c>
      <c r="C2657" s="6">
        <f t="shared" si="123"/>
        <v>7.0993765363789483E-3</v>
      </c>
      <c r="D2657" s="7">
        <f t="shared" si="124"/>
        <v>0.62950818561719901</v>
      </c>
      <c r="E2657" s="8">
        <f t="shared" si="125"/>
        <v>-1.0849967081758276</v>
      </c>
    </row>
    <row r="2658" spans="1:5" x14ac:dyDescent="0.2">
      <c r="A2658" s="4">
        <v>45496</v>
      </c>
      <c r="B2658" s="3">
        <v>80706.44</v>
      </c>
      <c r="C2658" s="6">
        <f t="shared" si="123"/>
        <v>2.6594550996975491E-3</v>
      </c>
      <c r="D2658" s="7">
        <f t="shared" si="124"/>
        <v>0.22270529522021631</v>
      </c>
      <c r="E2658" s="8">
        <f t="shared" si="125"/>
        <v>-0.71984810874542149</v>
      </c>
    </row>
    <row r="2659" spans="1:5" x14ac:dyDescent="0.2">
      <c r="A2659" s="4">
        <v>45497</v>
      </c>
      <c r="B2659" s="3">
        <v>80595.14</v>
      </c>
      <c r="C2659" s="6">
        <f t="shared" si="123"/>
        <v>-1.3800238988845876E-3</v>
      </c>
      <c r="D2659" s="7">
        <f t="shared" si="124"/>
        <v>-0.14740749973711492</v>
      </c>
      <c r="E2659" s="8">
        <f t="shared" si="125"/>
        <v>-0.68818558280566811</v>
      </c>
    </row>
    <row r="2660" spans="1:5" x14ac:dyDescent="0.2">
      <c r="A2660" s="4">
        <v>45498</v>
      </c>
      <c r="B2660" s="3">
        <v>80678.2</v>
      </c>
      <c r="C2660" s="6">
        <f t="shared" si="123"/>
        <v>1.030052547357656E-3</v>
      </c>
      <c r="D2660" s="7">
        <f t="shared" si="124"/>
        <v>7.3413088732992848E-2</v>
      </c>
      <c r="E2660" s="8">
        <f t="shared" si="125"/>
        <v>-0.66944409824033024</v>
      </c>
    </row>
    <row r="2661" spans="1:5" x14ac:dyDescent="0.2">
      <c r="A2661" s="4">
        <v>45499</v>
      </c>
      <c r="B2661" s="3">
        <v>81120.509999999995</v>
      </c>
      <c r="C2661" s="6">
        <f t="shared" si="123"/>
        <v>5.4674243301509502E-3</v>
      </c>
      <c r="D2661" s="7">
        <f t="shared" si="124"/>
        <v>0.47998236991278898</v>
      </c>
      <c r="E2661" s="8">
        <f t="shared" si="125"/>
        <v>-0.91652995727431663</v>
      </c>
    </row>
    <row r="2662" spans="1:5" x14ac:dyDescent="0.2">
      <c r="A2662" s="4">
        <v>45502</v>
      </c>
      <c r="B2662" s="3">
        <v>81011.649999999994</v>
      </c>
      <c r="C2662" s="6">
        <f t="shared" si="123"/>
        <v>-1.34285531456042E-3</v>
      </c>
      <c r="D2662" s="7">
        <f t="shared" si="124"/>
        <v>-0.14400196931260881</v>
      </c>
      <c r="E2662" s="8">
        <f t="shared" si="125"/>
        <v>-0.6870510670241704</v>
      </c>
    </row>
    <row r="2663" spans="1:5" x14ac:dyDescent="0.2">
      <c r="A2663" s="4">
        <v>45503</v>
      </c>
      <c r="B2663" s="3">
        <v>81198.64</v>
      </c>
      <c r="C2663" s="6">
        <f t="shared" si="123"/>
        <v>2.3055267680989677E-3</v>
      </c>
      <c r="D2663" s="7">
        <f t="shared" si="124"/>
        <v>0.19027700333690289</v>
      </c>
      <c r="E2663" s="8">
        <f t="shared" si="125"/>
        <v>-0.70467992166529791</v>
      </c>
    </row>
    <row r="2664" spans="1:5" x14ac:dyDescent="0.2">
      <c r="A2664" s="4">
        <v>45504</v>
      </c>
      <c r="B2664" s="3">
        <v>82765.119999999995</v>
      </c>
      <c r="C2664" s="6">
        <f t="shared" si="123"/>
        <v>1.9108218340418214E-2</v>
      </c>
      <c r="D2664" s="7">
        <f t="shared" si="124"/>
        <v>1.729805032278237</v>
      </c>
      <c r="E2664" s="8">
        <f t="shared" si="125"/>
        <v>-2.8728854104458197</v>
      </c>
    </row>
    <row r="2665" spans="1:5" x14ac:dyDescent="0.2">
      <c r="A2665" s="4">
        <v>45505</v>
      </c>
      <c r="B2665" s="3">
        <v>81868.820000000007</v>
      </c>
      <c r="C2665" s="6">
        <f t="shared" si="123"/>
        <v>-1.0888506408757659E-2</v>
      </c>
      <c r="D2665" s="7">
        <f t="shared" si="124"/>
        <v>-1.0186116918537891</v>
      </c>
      <c r="E2665" s="8">
        <f t="shared" si="125"/>
        <v>-1.6508912647454606</v>
      </c>
    </row>
    <row r="2666" spans="1:5" x14ac:dyDescent="0.2">
      <c r="A2666" s="4">
        <v>45506</v>
      </c>
      <c r="B2666" s="3">
        <v>80538.570000000007</v>
      </c>
      <c r="C2666" s="6">
        <f t="shared" si="123"/>
        <v>-1.638201007759334E-2</v>
      </c>
      <c r="D2666" s="7">
        <f t="shared" si="124"/>
        <v>-1.5219478888472104</v>
      </c>
      <c r="E2666" s="8">
        <f t="shared" si="125"/>
        <v>-2.5107616112129829</v>
      </c>
    </row>
    <row r="2667" spans="1:5" x14ac:dyDescent="0.2">
      <c r="A2667" s="4">
        <v>45509</v>
      </c>
      <c r="B2667" s="3">
        <v>79577.61</v>
      </c>
      <c r="C2667" s="6">
        <f t="shared" si="123"/>
        <v>-1.2003428236697087E-2</v>
      </c>
      <c r="D2667" s="7">
        <f t="shared" si="124"/>
        <v>-1.1207651710629738</v>
      </c>
      <c r="E2667" s="8">
        <f t="shared" si="125"/>
        <v>-1.819065755205616</v>
      </c>
    </row>
    <row r="2668" spans="1:5" x14ac:dyDescent="0.2">
      <c r="A2668" s="4">
        <v>45510</v>
      </c>
      <c r="B2668" s="3">
        <v>79430.05</v>
      </c>
      <c r="C2668" s="6">
        <f t="shared" si="123"/>
        <v>-1.8560117463436174E-3</v>
      </c>
      <c r="D2668" s="7">
        <f t="shared" si="124"/>
        <v>-0.19101935974446266</v>
      </c>
      <c r="E2668" s="8">
        <f t="shared" si="125"/>
        <v>-0.70500141483829737</v>
      </c>
    </row>
    <row r="2669" spans="1:5" x14ac:dyDescent="0.2">
      <c r="A2669" s="4">
        <v>45511</v>
      </c>
      <c r="B2669" s="3">
        <v>80364.86</v>
      </c>
      <c r="C2669" s="6">
        <f t="shared" si="123"/>
        <v>1.1700255837775007E-2</v>
      </c>
      <c r="D2669" s="7">
        <f t="shared" si="124"/>
        <v>1.0510586623244005</v>
      </c>
      <c r="E2669" s="8">
        <f t="shared" si="125"/>
        <v>-1.7037142666250404</v>
      </c>
    </row>
    <row r="2670" spans="1:5" x14ac:dyDescent="0.2">
      <c r="A2670" s="4">
        <v>45512</v>
      </c>
      <c r="B2670" s="3">
        <v>80739.31</v>
      </c>
      <c r="C2670" s="6">
        <f t="shared" si="123"/>
        <v>4.6485534706162913E-3</v>
      </c>
      <c r="D2670" s="7">
        <f t="shared" si="124"/>
        <v>0.40495423320558877</v>
      </c>
      <c r="E2670" s="8">
        <f t="shared" si="125"/>
        <v>-0.84598314550024589</v>
      </c>
    </row>
    <row r="2671" spans="1:5" x14ac:dyDescent="0.2">
      <c r="A2671" s="4">
        <v>45516</v>
      </c>
      <c r="B2671" s="3">
        <v>80560.78</v>
      </c>
      <c r="C2671" s="6">
        <f t="shared" si="123"/>
        <v>-2.2136388504516596E-3</v>
      </c>
      <c r="D2671" s="7">
        <f t="shared" si="124"/>
        <v>-0.22378654756754165</v>
      </c>
      <c r="E2671" s="8">
        <f t="shared" si="125"/>
        <v>-0.72039327678655884</v>
      </c>
    </row>
    <row r="2672" spans="1:5" x14ac:dyDescent="0.2">
      <c r="A2672" s="4">
        <v>45517</v>
      </c>
      <c r="B2672" s="3">
        <v>80956.22</v>
      </c>
      <c r="C2672" s="6">
        <f t="shared" si="123"/>
        <v>4.8965841379728387E-3</v>
      </c>
      <c r="D2672" s="7">
        <f t="shared" si="124"/>
        <v>0.42767976874190061</v>
      </c>
      <c r="E2672" s="8">
        <f t="shared" si="125"/>
        <v>-0.8662806695655364</v>
      </c>
    </row>
    <row r="2673" spans="1:5" x14ac:dyDescent="0.2">
      <c r="A2673" s="4">
        <v>45518</v>
      </c>
      <c r="B2673" s="3">
        <v>81402.320000000007</v>
      </c>
      <c r="C2673" s="6">
        <f t="shared" si="123"/>
        <v>5.4952591050073342E-3</v>
      </c>
      <c r="D2673" s="7">
        <f t="shared" si="124"/>
        <v>0.48253270036944451</v>
      </c>
      <c r="E2673" s="8">
        <f t="shared" si="125"/>
        <v>-0.91910248425938779</v>
      </c>
    </row>
    <row r="2674" spans="1:5" x14ac:dyDescent="0.2">
      <c r="A2674" s="4">
        <v>45519</v>
      </c>
      <c r="B2674" s="3">
        <v>82226.429999999993</v>
      </c>
      <c r="C2674" s="6">
        <f t="shared" si="123"/>
        <v>1.0073009397397751E-2</v>
      </c>
      <c r="D2674" s="7">
        <f t="shared" si="124"/>
        <v>0.90196400721076075</v>
      </c>
      <c r="E2674" s="8">
        <f t="shared" si="125"/>
        <v>-1.466634942478777</v>
      </c>
    </row>
    <row r="2675" spans="1:5" x14ac:dyDescent="0.2">
      <c r="A2675" s="4">
        <v>45520</v>
      </c>
      <c r="B2675" s="3">
        <v>82824.44</v>
      </c>
      <c r="C2675" s="6">
        <f t="shared" si="123"/>
        <v>7.2464036912750001E-3</v>
      </c>
      <c r="D2675" s="7">
        <f t="shared" si="124"/>
        <v>0.64297938604980498</v>
      </c>
      <c r="E2675" s="8">
        <f t="shared" si="125"/>
        <v>-1.1018082859906293</v>
      </c>
    </row>
    <row r="2676" spans="1:5" x14ac:dyDescent="0.2">
      <c r="A2676" s="4">
        <v>45523</v>
      </c>
      <c r="B2676" s="3">
        <v>83799.3</v>
      </c>
      <c r="C2676" s="6">
        <f t="shared" si="123"/>
        <v>1.1701467311675522E-2</v>
      </c>
      <c r="D2676" s="7">
        <f t="shared" si="124"/>
        <v>1.0511696622804578</v>
      </c>
      <c r="E2676" s="8">
        <f t="shared" si="125"/>
        <v>-1.7038959895321291</v>
      </c>
    </row>
    <row r="2677" spans="1:5" x14ac:dyDescent="0.2">
      <c r="A2677" s="4">
        <v>45524</v>
      </c>
      <c r="B2677" s="3">
        <v>83783.3</v>
      </c>
      <c r="C2677" s="6">
        <f t="shared" si="123"/>
        <v>-1.9095061239784839E-4</v>
      </c>
      <c r="D2677" s="7">
        <f t="shared" si="124"/>
        <v>-3.8459975161500286E-2</v>
      </c>
      <c r="E2677" s="8">
        <f t="shared" si="125"/>
        <v>-0.66493920338104151</v>
      </c>
    </row>
    <row r="2678" spans="1:5" x14ac:dyDescent="0.2">
      <c r="A2678" s="4">
        <v>45525</v>
      </c>
      <c r="B2678" s="3">
        <v>84026.18</v>
      </c>
      <c r="C2678" s="6">
        <f t="shared" si="123"/>
        <v>2.8947133332194938E-3</v>
      </c>
      <c r="D2678" s="7">
        <f t="shared" si="124"/>
        <v>0.24426057063471751</v>
      </c>
      <c r="E2678" s="8">
        <f t="shared" si="125"/>
        <v>-0.73119148668939804</v>
      </c>
    </row>
    <row r="2679" spans="1:5" x14ac:dyDescent="0.2">
      <c r="A2679" s="4">
        <v>45526</v>
      </c>
      <c r="B2679" s="3">
        <v>83620.81</v>
      </c>
      <c r="C2679" s="6">
        <f t="shared" si="123"/>
        <v>-4.836004392682009E-3</v>
      </c>
      <c r="D2679" s="7">
        <f t="shared" si="124"/>
        <v>-0.4640578896330268</v>
      </c>
      <c r="E2679" s="8">
        <f t="shared" si="125"/>
        <v>-0.90072042672205721</v>
      </c>
    </row>
    <row r="2680" spans="1:5" x14ac:dyDescent="0.2">
      <c r="A2680" s="4">
        <v>45527</v>
      </c>
      <c r="B2680" s="3">
        <v>84351.57</v>
      </c>
      <c r="C2680" s="6">
        <f t="shared" si="123"/>
        <v>8.7010091817747385E-3</v>
      </c>
      <c r="D2680" s="7">
        <f t="shared" si="124"/>
        <v>0.7762560050984757</v>
      </c>
      <c r="E2680" s="8">
        <f t="shared" si="125"/>
        <v>-1.2805532436469225</v>
      </c>
    </row>
    <row r="2681" spans="1:5" x14ac:dyDescent="0.2">
      <c r="A2681" s="4">
        <v>45530</v>
      </c>
      <c r="B2681" s="3">
        <v>84193.95</v>
      </c>
      <c r="C2681" s="6">
        <f t="shared" si="123"/>
        <v>-1.8703558059480856E-3</v>
      </c>
      <c r="D2681" s="7">
        <f t="shared" si="124"/>
        <v>-0.19233361833897636</v>
      </c>
      <c r="E2681" s="8">
        <f t="shared" si="125"/>
        <v>-0.70557355573550062</v>
      </c>
    </row>
    <row r="2682" spans="1:5" x14ac:dyDescent="0.2">
      <c r="A2682" s="4">
        <v>45531</v>
      </c>
      <c r="B2682" s="3">
        <v>84553.54</v>
      </c>
      <c r="C2682" s="6">
        <f t="shared" si="123"/>
        <v>4.2618772496963424E-3</v>
      </c>
      <c r="D2682" s="7">
        <f t="shared" si="124"/>
        <v>0.36952545218742927</v>
      </c>
      <c r="E2682" s="8">
        <f t="shared" si="125"/>
        <v>-0.81627044340315769</v>
      </c>
    </row>
    <row r="2683" spans="1:5" x14ac:dyDescent="0.2">
      <c r="A2683" s="4">
        <v>45532</v>
      </c>
      <c r="B2683" s="3">
        <v>84018.65</v>
      </c>
      <c r="C2683" s="6">
        <f t="shared" si="123"/>
        <v>-6.3461451756556611E-3</v>
      </c>
      <c r="D2683" s="7">
        <f t="shared" si="124"/>
        <v>-0.60242286842400794</v>
      </c>
      <c r="E2683" s="8">
        <f t="shared" si="125"/>
        <v>-1.0519631271990622</v>
      </c>
    </row>
    <row r="2684" spans="1:5" x14ac:dyDescent="0.2">
      <c r="A2684" s="4">
        <v>45533</v>
      </c>
      <c r="B2684" s="3">
        <v>84239.42</v>
      </c>
      <c r="C2684" s="6">
        <f t="shared" si="123"/>
        <v>2.6241847026002548E-3</v>
      </c>
      <c r="D2684" s="7">
        <f t="shared" si="124"/>
        <v>0.21947368410068419</v>
      </c>
      <c r="E2684" s="8">
        <f t="shared" si="125"/>
        <v>-0.71823380922479008</v>
      </c>
    </row>
    <row r="2685" spans="1:5" x14ac:dyDescent="0.2">
      <c r="A2685" s="4">
        <v>45534</v>
      </c>
      <c r="B2685" s="3">
        <v>83749.86</v>
      </c>
      <c r="C2685" s="6">
        <f t="shared" si="123"/>
        <v>-5.8284836498116825E-3</v>
      </c>
      <c r="D2685" s="7">
        <f t="shared" si="124"/>
        <v>-0.55499270373216492</v>
      </c>
      <c r="E2685" s="8">
        <f t="shared" si="125"/>
        <v>-0.99670235131187956</v>
      </c>
    </row>
    <row r="2686" spans="1:5" x14ac:dyDescent="0.2">
      <c r="A2686" s="4">
        <v>45537</v>
      </c>
      <c r="B2686" s="3">
        <v>83483.360000000001</v>
      </c>
      <c r="C2686" s="6">
        <f t="shared" si="123"/>
        <v>-3.1871685014875882E-3</v>
      </c>
      <c r="D2686" s="7">
        <f t="shared" si="124"/>
        <v>-0.3129851249695319</v>
      </c>
      <c r="E2686" s="8">
        <f t="shared" si="125"/>
        <v>-0.77391069771191245</v>
      </c>
    </row>
    <row r="2687" spans="1:5" x14ac:dyDescent="0.2">
      <c r="A2687" s="4">
        <v>45538</v>
      </c>
      <c r="B2687" s="3">
        <v>82156.759999999995</v>
      </c>
      <c r="C2687" s="6">
        <f t="shared" si="123"/>
        <v>-1.6018200966083144E-2</v>
      </c>
      <c r="D2687" s="7">
        <f t="shared" si="124"/>
        <v>-1.4886142814341643</v>
      </c>
      <c r="E2687" s="8">
        <f t="shared" si="125"/>
        <v>-2.4525086902400073</v>
      </c>
    </row>
    <row r="2688" spans="1:5" x14ac:dyDescent="0.2">
      <c r="A2688" s="4">
        <v>45539</v>
      </c>
      <c r="B2688" s="3">
        <v>81915.38</v>
      </c>
      <c r="C2688" s="6">
        <f t="shared" si="123"/>
        <v>-2.9423663779357062E-3</v>
      </c>
      <c r="D2688" s="7">
        <f t="shared" si="124"/>
        <v>-0.29055540118805434</v>
      </c>
      <c r="E2688" s="8">
        <f t="shared" si="125"/>
        <v>-0.75888872174034172</v>
      </c>
    </row>
    <row r="2689" spans="1:5" x14ac:dyDescent="0.2">
      <c r="A2689" s="4">
        <v>45540</v>
      </c>
      <c r="B2689" s="3">
        <v>82146.83</v>
      </c>
      <c r="C2689" s="6">
        <f t="shared" si="123"/>
        <v>2.8214925733877744E-3</v>
      </c>
      <c r="D2689" s="7">
        <f t="shared" si="124"/>
        <v>0.23755179950860714</v>
      </c>
      <c r="E2689" s="8">
        <f t="shared" si="125"/>
        <v>-0.727554072204735</v>
      </c>
    </row>
    <row r="2690" spans="1:5" x14ac:dyDescent="0.2">
      <c r="A2690" s="4">
        <v>45541</v>
      </c>
      <c r="B2690" s="3">
        <v>81364.89</v>
      </c>
      <c r="C2690" s="6">
        <f t="shared" si="123"/>
        <v>-9.5644026108544326E-3</v>
      </c>
      <c r="D2690" s="7">
        <f t="shared" si="124"/>
        <v>-0.8972921460342429</v>
      </c>
      <c r="E2690" s="8">
        <f t="shared" si="125"/>
        <v>-1.4594654581385142</v>
      </c>
    </row>
    <row r="2691" spans="1:5" x14ac:dyDescent="0.2">
      <c r="A2691" s="4">
        <v>45544</v>
      </c>
      <c r="B2691" s="3">
        <v>81441.63</v>
      </c>
      <c r="C2691" s="6">
        <f t="shared" ref="C2691:C2754" si="126">LN(B2691/B2690)</f>
        <v>9.4271415767992086E-4</v>
      </c>
      <c r="D2691" s="7">
        <f t="shared" ref="D2691:D2754" si="127">(C2691-$G$4)/$G$5</f>
        <v>6.5410805388520649E-2</v>
      </c>
      <c r="E2691" s="8">
        <f t="shared" ref="E2691:E2754" si="128">LN((PI()*(G$3-2))^(-1/2)*EXP(GAMMALN((G$3+1)/2))*((1+D2691^2/(G$3-2))^(-(G$3+1)/2))/EXP(GAMMALN(G$3/2)))</f>
        <v>-0.66816505025223427</v>
      </c>
    </row>
    <row r="2692" spans="1:5" x14ac:dyDescent="0.2">
      <c r="A2692" s="4">
        <v>45545</v>
      </c>
      <c r="B2692" s="3">
        <v>81641.899999999994</v>
      </c>
      <c r="C2692" s="6">
        <f t="shared" si="126"/>
        <v>2.4560432395779831E-3</v>
      </c>
      <c r="D2692" s="7">
        <f t="shared" si="127"/>
        <v>0.20406790854169973</v>
      </c>
      <c r="E2692" s="8">
        <f t="shared" si="128"/>
        <v>-0.71084993063111235</v>
      </c>
    </row>
    <row r="2693" spans="1:5" x14ac:dyDescent="0.2">
      <c r="A2693" s="4">
        <v>45546</v>
      </c>
      <c r="B2693" s="3">
        <v>80827.789999999994</v>
      </c>
      <c r="C2693" s="6">
        <f t="shared" si="126"/>
        <v>-1.0021768537964033E-2</v>
      </c>
      <c r="D2693" s="7">
        <f t="shared" si="127"/>
        <v>-0.93919779318829455</v>
      </c>
      <c r="E2693" s="8">
        <f t="shared" si="128"/>
        <v>-1.5243913025412468</v>
      </c>
    </row>
    <row r="2694" spans="1:5" x14ac:dyDescent="0.2">
      <c r="A2694" s="4">
        <v>45547</v>
      </c>
      <c r="B2694" s="3">
        <v>81668.39</v>
      </c>
      <c r="C2694" s="6">
        <f t="shared" si="126"/>
        <v>1.0346181656480104E-2</v>
      </c>
      <c r="D2694" s="7">
        <f t="shared" si="127"/>
        <v>0.92699311327846545</v>
      </c>
      <c r="E2694" s="8">
        <f t="shared" si="128"/>
        <v>-1.5053417098715203</v>
      </c>
    </row>
    <row r="2695" spans="1:5" x14ac:dyDescent="0.2">
      <c r="A2695" s="4">
        <v>45548</v>
      </c>
      <c r="B2695" s="3">
        <v>81978.59</v>
      </c>
      <c r="C2695" s="6">
        <f t="shared" si="126"/>
        <v>3.7910919165862218E-3</v>
      </c>
      <c r="D2695" s="7">
        <f t="shared" si="127"/>
        <v>0.32639026680251576</v>
      </c>
      <c r="E2695" s="8">
        <f t="shared" si="128"/>
        <v>-0.78337776691200711</v>
      </c>
    </row>
    <row r="2696" spans="1:5" x14ac:dyDescent="0.2">
      <c r="A2696" s="4">
        <v>45551</v>
      </c>
      <c r="B2696" s="3">
        <v>82007.34</v>
      </c>
      <c r="C2696" s="6">
        <f t="shared" si="126"/>
        <v>3.5063984202255073E-4</v>
      </c>
      <c r="D2696" s="7">
        <f t="shared" si="127"/>
        <v>1.1162651142065874E-2</v>
      </c>
      <c r="E2696" s="8">
        <f t="shared" si="128"/>
        <v>-0.66337688041073528</v>
      </c>
    </row>
    <row r="2697" spans="1:5" x14ac:dyDescent="0.2">
      <c r="A2697" s="4">
        <v>45552</v>
      </c>
      <c r="B2697" s="3">
        <v>83032.710000000006</v>
      </c>
      <c r="C2697" s="6">
        <f t="shared" si="126"/>
        <v>1.24258710931586E-2</v>
      </c>
      <c r="D2697" s="7">
        <f t="shared" si="127"/>
        <v>1.1175423574563628</v>
      </c>
      <c r="E2697" s="8">
        <f t="shared" si="128"/>
        <v>-1.8136818936102288</v>
      </c>
    </row>
    <row r="2698" spans="1:5" x14ac:dyDescent="0.2">
      <c r="A2698" s="4">
        <v>45553</v>
      </c>
      <c r="B2698" s="3">
        <v>82718.58</v>
      </c>
      <c r="C2698" s="6">
        <f t="shared" si="126"/>
        <v>-3.7903822780745696E-3</v>
      </c>
      <c r="D2698" s="7">
        <f t="shared" si="127"/>
        <v>-0.36825392000169777</v>
      </c>
      <c r="E2698" s="8">
        <f t="shared" si="128"/>
        <v>-0.81524867329585482</v>
      </c>
    </row>
    <row r="2699" spans="1:5" x14ac:dyDescent="0.2">
      <c r="A2699" s="4">
        <v>45554</v>
      </c>
      <c r="B2699" s="3">
        <v>83760.08</v>
      </c>
      <c r="C2699" s="6">
        <f t="shared" si="126"/>
        <v>1.2512277403181383E-2</v>
      </c>
      <c r="D2699" s="7">
        <f t="shared" si="127"/>
        <v>1.1254592400334742</v>
      </c>
      <c r="E2699" s="8">
        <f t="shared" si="128"/>
        <v>-1.8269155068676712</v>
      </c>
    </row>
    <row r="2700" spans="1:5" x14ac:dyDescent="0.2">
      <c r="A2700" s="4">
        <v>45555</v>
      </c>
      <c r="B2700" s="3">
        <v>83829.990000000005</v>
      </c>
      <c r="C2700" s="6">
        <f t="shared" si="126"/>
        <v>8.3429768905870811E-4</v>
      </c>
      <c r="D2700" s="7">
        <f t="shared" si="127"/>
        <v>5.5477266376463594E-2</v>
      </c>
      <c r="E2700" s="8">
        <f t="shared" si="128"/>
        <v>-0.6667817561214241</v>
      </c>
    </row>
    <row r="2701" spans="1:5" x14ac:dyDescent="0.2">
      <c r="A2701" s="4">
        <v>45558</v>
      </c>
      <c r="B2701" s="3">
        <v>84777.53</v>
      </c>
      <c r="C2701" s="6">
        <f t="shared" si="126"/>
        <v>1.1239711909588264E-2</v>
      </c>
      <c r="D2701" s="7">
        <f t="shared" si="127"/>
        <v>1.0088618343370157</v>
      </c>
      <c r="E2701" s="8">
        <f t="shared" si="128"/>
        <v>-1.6351393644334429</v>
      </c>
    </row>
    <row r="2702" spans="1:5" x14ac:dyDescent="0.2">
      <c r="A2702" s="4">
        <v>45560</v>
      </c>
      <c r="B2702" s="3">
        <v>85960.320000000007</v>
      </c>
      <c r="C2702" s="6">
        <f t="shared" si="126"/>
        <v>1.385526315877374E-2</v>
      </c>
      <c r="D2702" s="7">
        <f t="shared" si="127"/>
        <v>1.2485088243399252</v>
      </c>
      <c r="E2702" s="8">
        <f t="shared" si="128"/>
        <v>-2.035620149834342</v>
      </c>
    </row>
    <row r="2703" spans="1:5" x14ac:dyDescent="0.2">
      <c r="A2703" s="4">
        <v>45561</v>
      </c>
      <c r="B2703" s="3">
        <v>87327.21</v>
      </c>
      <c r="C2703" s="6">
        <f t="shared" si="126"/>
        <v>1.5776303701949976E-2</v>
      </c>
      <c r="D2703" s="7">
        <f t="shared" si="127"/>
        <v>1.4245220391408608</v>
      </c>
      <c r="E2703" s="8">
        <f t="shared" si="128"/>
        <v>-2.3405934216355688</v>
      </c>
    </row>
    <row r="2704" spans="1:5" x14ac:dyDescent="0.2">
      <c r="A2704" s="4">
        <v>45562</v>
      </c>
      <c r="B2704" s="3">
        <v>87579.71</v>
      </c>
      <c r="C2704" s="6">
        <f t="shared" si="126"/>
        <v>2.8872519784581803E-3</v>
      </c>
      <c r="D2704" s="7">
        <f t="shared" si="127"/>
        <v>0.2435769322581231</v>
      </c>
      <c r="E2704" s="8">
        <f t="shared" si="128"/>
        <v>-0.73081642223063947</v>
      </c>
    </row>
    <row r="2705" spans="1:5" x14ac:dyDescent="0.2">
      <c r="A2705" s="4">
        <v>45565</v>
      </c>
      <c r="B2705" s="3">
        <v>86548.42</v>
      </c>
      <c r="C2705" s="6">
        <f t="shared" si="126"/>
        <v>-1.1845323997636494E-2</v>
      </c>
      <c r="D2705" s="7">
        <f t="shared" si="127"/>
        <v>-1.1062790450467579</v>
      </c>
      <c r="E2705" s="8">
        <f t="shared" si="128"/>
        <v>-1.7949022967202941</v>
      </c>
    </row>
    <row r="2706" spans="1:5" x14ac:dyDescent="0.2">
      <c r="A2706" s="4">
        <v>45566</v>
      </c>
      <c r="B2706" s="3">
        <v>86619.39</v>
      </c>
      <c r="C2706" s="6">
        <f t="shared" si="126"/>
        <v>8.1966739630710752E-4</v>
      </c>
      <c r="D2706" s="7">
        <f t="shared" si="127"/>
        <v>5.4136781986461942E-2</v>
      </c>
      <c r="E2706" s="8">
        <f t="shared" si="128"/>
        <v>-0.66661244619322435</v>
      </c>
    </row>
    <row r="2707" spans="1:5" x14ac:dyDescent="0.2">
      <c r="A2707" s="4">
        <v>45567</v>
      </c>
      <c r="B2707" s="3">
        <v>87115.22</v>
      </c>
      <c r="C2707" s="6">
        <f t="shared" si="126"/>
        <v>5.7079167609802618E-3</v>
      </c>
      <c r="D2707" s="7">
        <f t="shared" si="127"/>
        <v>0.5020172228657469</v>
      </c>
      <c r="E2707" s="8">
        <f t="shared" si="128"/>
        <v>-0.93912088169903551</v>
      </c>
    </row>
    <row r="2708" spans="1:5" x14ac:dyDescent="0.2">
      <c r="A2708" s="4">
        <v>45568</v>
      </c>
      <c r="B2708" s="3">
        <v>86461.05</v>
      </c>
      <c r="C2708" s="6">
        <f t="shared" si="126"/>
        <v>-7.5375867591937927E-3</v>
      </c>
      <c r="D2708" s="7">
        <f t="shared" si="127"/>
        <v>-0.71158738559725399</v>
      </c>
      <c r="E2708" s="8">
        <f t="shared" si="128"/>
        <v>-1.1911382501905161</v>
      </c>
    </row>
    <row r="2709" spans="1:5" x14ac:dyDescent="0.2">
      <c r="A2709" s="4">
        <v>45569</v>
      </c>
      <c r="B2709" s="3">
        <v>86332.42</v>
      </c>
      <c r="C2709" s="6">
        <f t="shared" si="126"/>
        <v>-1.4888296850598989E-3</v>
      </c>
      <c r="D2709" s="7">
        <f t="shared" si="127"/>
        <v>-0.1573767095394209</v>
      </c>
      <c r="E2709" s="8">
        <f t="shared" si="128"/>
        <v>-0.69165612665546561</v>
      </c>
    </row>
    <row r="2710" spans="1:5" x14ac:dyDescent="0.2">
      <c r="A2710" s="4">
        <v>45572</v>
      </c>
      <c r="B2710" s="3">
        <v>86308.92</v>
      </c>
      <c r="C2710" s="6">
        <f t="shared" si="126"/>
        <v>-2.7224070602256743E-4</v>
      </c>
      <c r="D2710" s="7">
        <f t="shared" si="127"/>
        <v>-4.5908090070464619E-2</v>
      </c>
      <c r="E2710" s="8">
        <f t="shared" si="128"/>
        <v>-0.66566365248076542</v>
      </c>
    </row>
    <row r="2711" spans="1:5" x14ac:dyDescent="0.2">
      <c r="A2711" s="4">
        <v>45573</v>
      </c>
      <c r="B2711" s="3">
        <v>85491.22</v>
      </c>
      <c r="C2711" s="6">
        <f t="shared" si="126"/>
        <v>-9.519272507616713E-3</v>
      </c>
      <c r="D2711" s="7">
        <f t="shared" si="127"/>
        <v>-0.89315715024595232</v>
      </c>
      <c r="E2711" s="8">
        <f t="shared" si="128"/>
        <v>-1.4531347901663192</v>
      </c>
    </row>
    <row r="2712" spans="1:5" x14ac:dyDescent="0.2">
      <c r="A2712" s="4">
        <v>45574</v>
      </c>
      <c r="B2712" s="3">
        <v>85336.85</v>
      </c>
      <c r="C2712" s="6">
        <f t="shared" si="126"/>
        <v>-1.8073147114444602E-3</v>
      </c>
      <c r="D2712" s="7">
        <f t="shared" si="127"/>
        <v>-0.18655754778827027</v>
      </c>
      <c r="E2712" s="8">
        <f t="shared" si="128"/>
        <v>-0.70308740598077057</v>
      </c>
    </row>
    <row r="2713" spans="1:5" x14ac:dyDescent="0.2">
      <c r="A2713" s="4">
        <v>45575</v>
      </c>
      <c r="B2713" s="3">
        <v>85392.82</v>
      </c>
      <c r="C2713" s="6">
        <f t="shared" si="126"/>
        <v>6.5565641877076092E-4</v>
      </c>
      <c r="D2713" s="7">
        <f t="shared" si="127"/>
        <v>3.9109457591170363E-2</v>
      </c>
      <c r="E2713" s="8">
        <f t="shared" si="128"/>
        <v>-0.66499729267580365</v>
      </c>
    </row>
    <row r="2714" spans="1:5" x14ac:dyDescent="0.2">
      <c r="A2714" s="4">
        <v>45576</v>
      </c>
      <c r="B2714" s="3">
        <v>86149.45</v>
      </c>
      <c r="C2714" s="6">
        <f t="shared" si="126"/>
        <v>8.8215564214021002E-3</v>
      </c>
      <c r="D2714" s="7">
        <f t="shared" si="127"/>
        <v>0.78730101258546459</v>
      </c>
      <c r="E2714" s="8">
        <f t="shared" si="128"/>
        <v>-1.2962870554377004</v>
      </c>
    </row>
    <row r="2715" spans="1:5" x14ac:dyDescent="0.2">
      <c r="A2715" s="4">
        <v>45579</v>
      </c>
      <c r="B2715" s="3">
        <v>86398.66</v>
      </c>
      <c r="C2715" s="6">
        <f t="shared" si="126"/>
        <v>2.8885876905024219E-3</v>
      </c>
      <c r="D2715" s="7">
        <f t="shared" si="127"/>
        <v>0.24369931539667289</v>
      </c>
      <c r="E2715" s="8">
        <f t="shared" si="128"/>
        <v>-0.73088349193436009</v>
      </c>
    </row>
    <row r="2716" spans="1:5" x14ac:dyDescent="0.2">
      <c r="A2716" s="4">
        <v>45580</v>
      </c>
      <c r="B2716" s="3">
        <v>85949.77</v>
      </c>
      <c r="C2716" s="6">
        <f t="shared" si="126"/>
        <v>-5.2091105796067648E-3</v>
      </c>
      <c r="D2716" s="7">
        <f t="shared" si="127"/>
        <v>-0.49824333129693049</v>
      </c>
      <c r="E2716" s="8">
        <f t="shared" si="128"/>
        <v>-0.93519366019098238</v>
      </c>
    </row>
    <row r="2717" spans="1:5" x14ac:dyDescent="0.2">
      <c r="A2717" s="4">
        <v>45581</v>
      </c>
      <c r="B2717" s="3">
        <v>86393.01</v>
      </c>
      <c r="C2717" s="6">
        <f t="shared" si="126"/>
        <v>5.1437139085517966E-3</v>
      </c>
      <c r="D2717" s="7">
        <f t="shared" si="127"/>
        <v>0.45032276060749687</v>
      </c>
      <c r="E2717" s="8">
        <f t="shared" si="128"/>
        <v>-0.88744008079807213</v>
      </c>
    </row>
    <row r="2718" spans="1:5" x14ac:dyDescent="0.2">
      <c r="A2718" s="4">
        <v>45582</v>
      </c>
      <c r="B2718" s="3">
        <v>86582.35</v>
      </c>
      <c r="C2718" s="6">
        <f t="shared" si="126"/>
        <v>2.18921441319944E-3</v>
      </c>
      <c r="D2718" s="7">
        <f t="shared" si="127"/>
        <v>0.17962001247866516</v>
      </c>
      <c r="E2718" s="8">
        <f t="shared" si="128"/>
        <v>-0.70019860149318491</v>
      </c>
    </row>
    <row r="2719" spans="1:5" x14ac:dyDescent="0.2">
      <c r="A2719" s="4">
        <v>45583</v>
      </c>
      <c r="B2719" s="3">
        <v>87201.49</v>
      </c>
      <c r="C2719" s="6">
        <f t="shared" si="126"/>
        <v>7.12543375228822E-3</v>
      </c>
      <c r="D2719" s="7">
        <f t="shared" si="127"/>
        <v>0.63189564920158015</v>
      </c>
      <c r="E2719" s="8">
        <f t="shared" si="128"/>
        <v>-1.0879579670597936</v>
      </c>
    </row>
    <row r="2720" spans="1:5" x14ac:dyDescent="0.2">
      <c r="A2720" s="4">
        <v>45586</v>
      </c>
      <c r="B2720" s="3">
        <v>87076.55</v>
      </c>
      <c r="C2720" s="6">
        <f t="shared" si="126"/>
        <v>-1.4338010847970673E-3</v>
      </c>
      <c r="D2720" s="7">
        <f t="shared" si="127"/>
        <v>-0.1523347749104712</v>
      </c>
      <c r="E2720" s="8">
        <f t="shared" si="128"/>
        <v>-0.68987308924646873</v>
      </c>
    </row>
    <row r="2721" spans="1:5" x14ac:dyDescent="0.2">
      <c r="A2721" s="4">
        <v>45587</v>
      </c>
      <c r="B2721" s="3">
        <v>86752.88</v>
      </c>
      <c r="C2721" s="6">
        <f t="shared" si="126"/>
        <v>-3.7239997169551341E-3</v>
      </c>
      <c r="D2721" s="7">
        <f t="shared" si="127"/>
        <v>-0.36217169126849635</v>
      </c>
      <c r="E2721" s="8">
        <f t="shared" si="128"/>
        <v>-0.81040450535082365</v>
      </c>
    </row>
    <row r="2722" spans="1:5" x14ac:dyDescent="0.2">
      <c r="A2722" s="4">
        <v>45588</v>
      </c>
      <c r="B2722" s="3">
        <v>86464.19</v>
      </c>
      <c r="C2722" s="6">
        <f t="shared" si="126"/>
        <v>-3.3332773415060179E-3</v>
      </c>
      <c r="D2722" s="7">
        <f t="shared" si="127"/>
        <v>-0.32637218581727384</v>
      </c>
      <c r="E2722" s="8">
        <f t="shared" si="128"/>
        <v>-0.78336475352948842</v>
      </c>
    </row>
    <row r="2723" spans="1:5" x14ac:dyDescent="0.2">
      <c r="A2723" s="4">
        <v>45589</v>
      </c>
      <c r="B2723" s="3">
        <v>86937.24</v>
      </c>
      <c r="C2723" s="6">
        <f t="shared" si="126"/>
        <v>5.4561392433287075E-3</v>
      </c>
      <c r="D2723" s="7">
        <f t="shared" si="127"/>
        <v>0.47894838631575026</v>
      </c>
      <c r="E2723" s="8">
        <f t="shared" si="128"/>
        <v>-0.91549014922667948</v>
      </c>
    </row>
    <row r="2724" spans="1:5" x14ac:dyDescent="0.2">
      <c r="A2724" s="4">
        <v>45590</v>
      </c>
      <c r="B2724" s="3">
        <v>87015.81</v>
      </c>
      <c r="C2724" s="6">
        <f t="shared" si="126"/>
        <v>9.0334725769968124E-4</v>
      </c>
      <c r="D2724" s="7">
        <f t="shared" si="127"/>
        <v>6.180385672370365E-2</v>
      </c>
      <c r="E2724" s="8">
        <f t="shared" si="128"/>
        <v>-0.6676365635101329</v>
      </c>
    </row>
    <row r="2725" spans="1:5" x14ac:dyDescent="0.2">
      <c r="A2725" s="4">
        <v>45593</v>
      </c>
      <c r="B2725" s="3">
        <v>87643.65</v>
      </c>
      <c r="C2725" s="6">
        <f t="shared" si="126"/>
        <v>7.1893352268178109E-3</v>
      </c>
      <c r="D2725" s="7">
        <f t="shared" si="127"/>
        <v>0.63775055112045209</v>
      </c>
      <c r="E2725" s="8">
        <f t="shared" si="128"/>
        <v>-1.0952533207619883</v>
      </c>
    </row>
    <row r="2726" spans="1:5" x14ac:dyDescent="0.2">
      <c r="A2726" s="4">
        <v>45594</v>
      </c>
      <c r="B2726" s="3">
        <v>87300.97</v>
      </c>
      <c r="C2726" s="6">
        <f t="shared" si="126"/>
        <v>-3.9175876145618503E-3</v>
      </c>
      <c r="D2726" s="7">
        <f t="shared" si="127"/>
        <v>-0.3799089682485931</v>
      </c>
      <c r="E2726" s="8">
        <f t="shared" si="128"/>
        <v>-0.82473100877532124</v>
      </c>
    </row>
    <row r="2727" spans="1:5" x14ac:dyDescent="0.2">
      <c r="A2727" s="4">
        <v>45595</v>
      </c>
      <c r="B2727" s="3">
        <v>86759.039999999994</v>
      </c>
      <c r="C2727" s="6">
        <f t="shared" si="126"/>
        <v>-6.2269530043994777E-3</v>
      </c>
      <c r="D2727" s="7">
        <f t="shared" si="127"/>
        <v>-0.59150201757761334</v>
      </c>
      <c r="E2727" s="8">
        <f t="shared" si="128"/>
        <v>-1.0389419860920437</v>
      </c>
    </row>
    <row r="2728" spans="1:5" x14ac:dyDescent="0.2">
      <c r="A2728" s="4">
        <v>45596</v>
      </c>
      <c r="B2728" s="3">
        <v>85384.82</v>
      </c>
      <c r="C2728" s="6">
        <f t="shared" si="126"/>
        <v>-1.5966287652172118E-2</v>
      </c>
      <c r="D2728" s="7">
        <f t="shared" si="127"/>
        <v>-1.4838577814712108</v>
      </c>
      <c r="E2728" s="8">
        <f t="shared" si="128"/>
        <v>-2.444197525498776</v>
      </c>
    </row>
    <row r="2729" spans="1:5" x14ac:dyDescent="0.2">
      <c r="A2729" s="4">
        <v>45597</v>
      </c>
      <c r="B2729" s="3">
        <v>86198.57</v>
      </c>
      <c r="C2729" s="6">
        <f t="shared" si="126"/>
        <v>9.4852549665286594E-3</v>
      </c>
      <c r="D2729" s="7">
        <f t="shared" si="127"/>
        <v>0.84811165762957208</v>
      </c>
      <c r="E2729" s="8">
        <f t="shared" si="128"/>
        <v>-1.3851179479442204</v>
      </c>
    </row>
    <row r="2730" spans="1:5" x14ac:dyDescent="0.2">
      <c r="A2730" s="4">
        <v>45600</v>
      </c>
      <c r="B2730" s="3">
        <v>86223.6</v>
      </c>
      <c r="C2730" s="6">
        <f t="shared" si="126"/>
        <v>2.9033389587683386E-4</v>
      </c>
      <c r="D2730" s="7">
        <f t="shared" si="127"/>
        <v>5.6371855341565569E-3</v>
      </c>
      <c r="E2730" s="8">
        <f t="shared" si="128"/>
        <v>-0.66326978228127653</v>
      </c>
    </row>
    <row r="2731" spans="1:5" x14ac:dyDescent="0.2">
      <c r="A2731" s="4">
        <v>45601</v>
      </c>
      <c r="B2731" s="3">
        <v>86642.86</v>
      </c>
      <c r="C2731" s="6">
        <f t="shared" si="126"/>
        <v>4.8506902041094866E-3</v>
      </c>
      <c r="D2731" s="7">
        <f t="shared" si="127"/>
        <v>0.42347478781745118</v>
      </c>
      <c r="E2731" s="8">
        <f t="shared" si="128"/>
        <v>-0.86245332787712015</v>
      </c>
    </row>
    <row r="2732" spans="1:5" x14ac:dyDescent="0.2">
      <c r="A2732" s="4">
        <v>45602</v>
      </c>
      <c r="B2732" s="3">
        <v>85329.75</v>
      </c>
      <c r="C2732" s="6">
        <f t="shared" si="126"/>
        <v>-1.5271449562627068E-2</v>
      </c>
      <c r="D2732" s="7">
        <f t="shared" si="127"/>
        <v>-1.4201940101149055</v>
      </c>
      <c r="E2732" s="8">
        <f t="shared" si="128"/>
        <v>-2.3330445164702649</v>
      </c>
    </row>
    <row r="2733" spans="1:5" x14ac:dyDescent="0.2">
      <c r="A2733" s="4">
        <v>45603</v>
      </c>
      <c r="B2733" s="3">
        <v>85998.22</v>
      </c>
      <c r="C2733" s="6">
        <f t="shared" si="126"/>
        <v>7.8034356226331881E-3</v>
      </c>
      <c r="D2733" s="7">
        <f t="shared" si="127"/>
        <v>0.69401682059713721</v>
      </c>
      <c r="E2733" s="8">
        <f t="shared" si="128"/>
        <v>-1.1676913424097299</v>
      </c>
    </row>
    <row r="2734" spans="1:5" x14ac:dyDescent="0.2">
      <c r="A2734" s="4">
        <v>45604</v>
      </c>
      <c r="B2734" s="3">
        <v>85124.52</v>
      </c>
      <c r="C2734" s="6">
        <f t="shared" si="126"/>
        <v>-1.0211472677630571E-2</v>
      </c>
      <c r="D2734" s="7">
        <f t="shared" si="127"/>
        <v>-0.95657922514315874</v>
      </c>
      <c r="E2734" s="8">
        <f t="shared" si="128"/>
        <v>-1.5517107183777985</v>
      </c>
    </row>
    <row r="2735" spans="1:5" x14ac:dyDescent="0.2">
      <c r="A2735" s="4">
        <v>45607</v>
      </c>
      <c r="B2735" s="3">
        <v>84771.53</v>
      </c>
      <c r="C2735" s="6">
        <f t="shared" si="126"/>
        <v>-4.1553703917906071E-3</v>
      </c>
      <c r="D2735" s="7">
        <f t="shared" si="127"/>
        <v>-0.40169555218769565</v>
      </c>
      <c r="E2735" s="8">
        <f t="shared" si="128"/>
        <v>-0.84315110130563098</v>
      </c>
    </row>
    <row r="2736" spans="1:5" x14ac:dyDescent="0.2">
      <c r="A2736" s="4">
        <v>45608</v>
      </c>
      <c r="B2736" s="3">
        <v>84201.75</v>
      </c>
      <c r="C2736" s="6">
        <f t="shared" si="126"/>
        <v>-6.7440504151873382E-3</v>
      </c>
      <c r="D2736" s="7">
        <f t="shared" si="127"/>
        <v>-0.6388804958514378</v>
      </c>
      <c r="E2736" s="8">
        <f t="shared" si="128"/>
        <v>-1.0966666793861322</v>
      </c>
    </row>
    <row r="2737" spans="1:5" x14ac:dyDescent="0.2">
      <c r="A2737" s="4">
        <v>45609</v>
      </c>
      <c r="B2737" s="3">
        <v>83803.11</v>
      </c>
      <c r="C2737" s="6">
        <f t="shared" si="126"/>
        <v>-4.7455859090454414E-3</v>
      </c>
      <c r="D2737" s="7">
        <f t="shared" si="127"/>
        <v>-0.45577339608663625</v>
      </c>
      <c r="E2737" s="8">
        <f t="shared" si="128"/>
        <v>-0.8926704430294492</v>
      </c>
    </row>
    <row r="2738" spans="1:5" x14ac:dyDescent="0.2">
      <c r="A2738" s="4">
        <v>45610</v>
      </c>
      <c r="B2738" s="3">
        <v>83834.31</v>
      </c>
      <c r="C2738" s="6">
        <f t="shared" si="126"/>
        <v>3.7223193199049405E-4</v>
      </c>
      <c r="D2738" s="7">
        <f t="shared" si="127"/>
        <v>1.3141002501191813E-2</v>
      </c>
      <c r="E2738" s="8">
        <f t="shared" si="128"/>
        <v>-0.6634323518716071</v>
      </c>
    </row>
    <row r="2739" spans="1:5" x14ac:dyDescent="0.2">
      <c r="A2739" s="4">
        <v>45611</v>
      </c>
      <c r="B2739" s="3">
        <v>83872.740000000005</v>
      </c>
      <c r="C2739" s="6">
        <f t="shared" si="126"/>
        <v>4.582991671805016E-4</v>
      </c>
      <c r="D2739" s="7">
        <f t="shared" si="127"/>
        <v>2.1026817721819194E-2</v>
      </c>
      <c r="E2739" s="8">
        <f t="shared" si="128"/>
        <v>-0.66374318581067338</v>
      </c>
    </row>
    <row r="2740" spans="1:5" x14ac:dyDescent="0.2">
      <c r="A2740" s="4">
        <v>45614</v>
      </c>
      <c r="B2740" s="3">
        <v>84425</v>
      </c>
      <c r="C2740" s="6">
        <f t="shared" si="126"/>
        <v>6.5629162012250048E-3</v>
      </c>
      <c r="D2740" s="7">
        <f t="shared" si="127"/>
        <v>0.58035560081671744</v>
      </c>
      <c r="E2740" s="8">
        <f t="shared" si="128"/>
        <v>-1.0258329991077386</v>
      </c>
    </row>
    <row r="2741" spans="1:5" x14ac:dyDescent="0.2">
      <c r="A2741" s="4">
        <v>45615</v>
      </c>
      <c r="B2741" s="3">
        <v>84526.75</v>
      </c>
      <c r="C2741" s="6">
        <f t="shared" si="126"/>
        <v>1.2044860417421892E-3</v>
      </c>
      <c r="D2741" s="7">
        <f t="shared" si="127"/>
        <v>8.93953647055859E-2</v>
      </c>
      <c r="E2741" s="8">
        <f t="shared" si="128"/>
        <v>-0.67243756042349934</v>
      </c>
    </row>
    <row r="2742" spans="1:5" x14ac:dyDescent="0.2">
      <c r="A2742" s="4">
        <v>45616</v>
      </c>
      <c r="B2742" s="3">
        <v>85274.83</v>
      </c>
      <c r="C2742" s="6">
        <f t="shared" si="126"/>
        <v>8.8112824390700895E-3</v>
      </c>
      <c r="D2742" s="7">
        <f t="shared" si="127"/>
        <v>0.78635967031890563</v>
      </c>
      <c r="E2742" s="8">
        <f t="shared" si="128"/>
        <v>-1.2949410919798385</v>
      </c>
    </row>
    <row r="2743" spans="1:5" x14ac:dyDescent="0.2">
      <c r="A2743" s="4">
        <v>45617</v>
      </c>
      <c r="B2743" s="3">
        <v>85522.57</v>
      </c>
      <c r="C2743" s="6">
        <f t="shared" si="126"/>
        <v>2.9009829627635359E-3</v>
      </c>
      <c r="D2743" s="7">
        <f t="shared" si="127"/>
        <v>0.24483501850651163</v>
      </c>
      <c r="E2743" s="8">
        <f t="shared" si="128"/>
        <v>-0.73150741750083736</v>
      </c>
    </row>
    <row r="2744" spans="1:5" x14ac:dyDescent="0.2">
      <c r="A2744" s="4">
        <v>45618</v>
      </c>
      <c r="B2744" s="3">
        <v>85608.47</v>
      </c>
      <c r="C2744" s="6">
        <f t="shared" si="126"/>
        <v>1.0039091355302462E-3</v>
      </c>
      <c r="D2744" s="7">
        <f t="shared" si="127"/>
        <v>7.101772754295832E-2</v>
      </c>
      <c r="E2744" s="8">
        <f t="shared" si="128"/>
        <v>-0.66904583766286663</v>
      </c>
    </row>
    <row r="2745" spans="1:5" x14ac:dyDescent="0.2">
      <c r="A2745" s="4">
        <v>45621</v>
      </c>
      <c r="B2745" s="3">
        <v>84875.24</v>
      </c>
      <c r="C2745" s="6">
        <f t="shared" si="126"/>
        <v>-8.6018132880991867E-3</v>
      </c>
      <c r="D2745" s="7">
        <f t="shared" si="127"/>
        <v>-0.80909596410927709</v>
      </c>
      <c r="E2745" s="8">
        <f t="shared" si="128"/>
        <v>-1.327705251036714</v>
      </c>
    </row>
    <row r="2746" spans="1:5" x14ac:dyDescent="0.2">
      <c r="A2746" s="4">
        <v>45622</v>
      </c>
      <c r="B2746" s="3">
        <v>85397.5</v>
      </c>
      <c r="C2746" s="6">
        <f t="shared" si="126"/>
        <v>6.1344127987097465E-3</v>
      </c>
      <c r="D2746" s="7">
        <f t="shared" si="127"/>
        <v>0.54109445055221173</v>
      </c>
      <c r="E2746" s="8">
        <f t="shared" si="128"/>
        <v>-0.98116083140027355</v>
      </c>
    </row>
    <row r="2747" spans="1:5" x14ac:dyDescent="0.2">
      <c r="A2747" s="4">
        <v>45623</v>
      </c>
      <c r="B2747" s="3">
        <v>85102.34</v>
      </c>
      <c r="C2747" s="6">
        <f t="shared" si="126"/>
        <v>-3.4622940977775008E-3</v>
      </c>
      <c r="D2747" s="7">
        <f t="shared" si="127"/>
        <v>-0.33819320339818659</v>
      </c>
      <c r="E2747" s="8">
        <f t="shared" si="128"/>
        <v>-0.79201238219526149</v>
      </c>
    </row>
    <row r="2748" spans="1:5" x14ac:dyDescent="0.2">
      <c r="A2748" s="4">
        <v>45624</v>
      </c>
      <c r="B2748" s="3">
        <v>84787.41</v>
      </c>
      <c r="C2748" s="6">
        <f t="shared" si="126"/>
        <v>-3.7074674691587135E-3</v>
      </c>
      <c r="D2748" s="7">
        <f t="shared" si="127"/>
        <v>-0.36065694235136908</v>
      </c>
      <c r="E2748" s="8">
        <f t="shared" si="128"/>
        <v>-0.80920927416417421</v>
      </c>
    </row>
    <row r="2749" spans="1:5" x14ac:dyDescent="0.2">
      <c r="A2749" s="4">
        <v>45625</v>
      </c>
      <c r="B2749" s="3">
        <v>84510.44</v>
      </c>
      <c r="C2749" s="6">
        <f t="shared" si="126"/>
        <v>-3.2719877671351372E-3</v>
      </c>
      <c r="D2749" s="7">
        <f t="shared" si="127"/>
        <v>-0.32075659636127862</v>
      </c>
      <c r="E2749" s="8">
        <f t="shared" si="128"/>
        <v>-0.77935489585264572</v>
      </c>
    </row>
    <row r="2750" spans="1:5" x14ac:dyDescent="0.2">
      <c r="A2750" s="4">
        <v>45628</v>
      </c>
      <c r="B2750" s="3">
        <v>85731.51</v>
      </c>
      <c r="C2750" s="6">
        <f t="shared" si="126"/>
        <v>1.4345358945809241E-2</v>
      </c>
      <c r="D2750" s="7">
        <f t="shared" si="127"/>
        <v>1.2934133087054065</v>
      </c>
      <c r="E2750" s="8">
        <f t="shared" si="128"/>
        <v>-2.1129001021310119</v>
      </c>
    </row>
    <row r="2751" spans="1:5" x14ac:dyDescent="0.2">
      <c r="A2751" s="4">
        <v>45629</v>
      </c>
      <c r="B2751" s="3">
        <v>85818.8</v>
      </c>
      <c r="C2751" s="6">
        <f t="shared" si="126"/>
        <v>1.0176607379302554E-3</v>
      </c>
      <c r="D2751" s="7">
        <f t="shared" si="127"/>
        <v>7.2277702901462682E-2</v>
      </c>
      <c r="E2751" s="8">
        <f t="shared" si="128"/>
        <v>-0.66925368595360735</v>
      </c>
    </row>
    <row r="2752" spans="1:5" x14ac:dyDescent="0.2">
      <c r="A2752" s="4">
        <v>45630</v>
      </c>
      <c r="B2752" s="3">
        <v>86314.51</v>
      </c>
      <c r="C2752" s="6">
        <f t="shared" si="126"/>
        <v>5.7596216601911773E-3</v>
      </c>
      <c r="D2752" s="7">
        <f t="shared" si="127"/>
        <v>0.50675462706234153</v>
      </c>
      <c r="E2752" s="8">
        <f t="shared" si="128"/>
        <v>-0.94408436889263825</v>
      </c>
    </row>
    <row r="2753" spans="1:5" x14ac:dyDescent="0.2">
      <c r="A2753" s="4">
        <v>45631</v>
      </c>
      <c r="B2753" s="3">
        <v>86846.42</v>
      </c>
      <c r="C2753" s="6">
        <f t="shared" si="126"/>
        <v>6.1435529712118566E-3</v>
      </c>
      <c r="D2753" s="7">
        <f t="shared" si="127"/>
        <v>0.54193190874727493</v>
      </c>
      <c r="E2753" s="8">
        <f t="shared" si="128"/>
        <v>-0.98208870692962968</v>
      </c>
    </row>
    <row r="2754" spans="1:5" x14ac:dyDescent="0.2">
      <c r="A2754" s="4">
        <v>45632</v>
      </c>
      <c r="B2754" s="3">
        <v>86938.44</v>
      </c>
      <c r="C2754" s="6">
        <f t="shared" si="126"/>
        <v>1.0590106479938584E-3</v>
      </c>
      <c r="D2754" s="7">
        <f t="shared" si="127"/>
        <v>7.6066342671652395E-2</v>
      </c>
      <c r="E2754" s="8">
        <f t="shared" si="128"/>
        <v>-0.6699005833174726</v>
      </c>
    </row>
    <row r="2755" spans="1:5" x14ac:dyDescent="0.2">
      <c r="A2755" s="4">
        <v>45635</v>
      </c>
      <c r="B2755" s="3">
        <v>87642.76</v>
      </c>
      <c r="C2755" s="6">
        <f t="shared" ref="C2755:C2768" si="129">LN(B2755/B2754)</f>
        <v>8.0687247101670547E-3</v>
      </c>
      <c r="D2755" s="7">
        <f t="shared" ref="D2755:D2818" si="130">(C2755-$G$4)/$G$5</f>
        <v>0.71832363979171721</v>
      </c>
      <c r="E2755" s="8">
        <f t="shared" ref="E2755:E2818" si="131">LN((PI()*(G$3-2))^(-1/2)*EXP(GAMMALN((G$3+1)/2))*((1+D2755^2/(G$3-2))^(-(G$3+1)/2))/EXP(GAMMALN(G$3/2)))</f>
        <v>-1.2002268422163245</v>
      </c>
    </row>
    <row r="2756" spans="1:5" x14ac:dyDescent="0.2">
      <c r="A2756" s="4">
        <v>45636</v>
      </c>
      <c r="B2756" s="3">
        <v>87271.05</v>
      </c>
      <c r="C2756" s="6">
        <f t="shared" si="129"/>
        <v>-4.2502139717515422E-3</v>
      </c>
      <c r="D2756" s="7">
        <f t="shared" si="130"/>
        <v>-0.41038549028996629</v>
      </c>
      <c r="E2756" s="8">
        <f t="shared" si="131"/>
        <v>-0.85074733425633275</v>
      </c>
    </row>
    <row r="2757" spans="1:5" x14ac:dyDescent="0.2">
      <c r="A2757" s="4">
        <v>45637</v>
      </c>
      <c r="B2757" s="3">
        <v>87115.95</v>
      </c>
      <c r="C2757" s="6">
        <f t="shared" si="129"/>
        <v>-1.7788027880118319E-3</v>
      </c>
      <c r="D2757" s="7">
        <f t="shared" si="130"/>
        <v>-0.18394517434234731</v>
      </c>
      <c r="E2757" s="8">
        <f t="shared" si="131"/>
        <v>-0.70198713113007916</v>
      </c>
    </row>
    <row r="2758" spans="1:5" x14ac:dyDescent="0.2">
      <c r="A2758" s="4">
        <v>45638</v>
      </c>
      <c r="B2758" s="3">
        <v>86965.35</v>
      </c>
      <c r="C2758" s="6">
        <f t="shared" si="129"/>
        <v>-1.7302264811983482E-3</v>
      </c>
      <c r="D2758" s="7">
        <f t="shared" si="130"/>
        <v>-0.17949442396346085</v>
      </c>
      <c r="E2758" s="8">
        <f t="shared" si="131"/>
        <v>-0.7001472863900946</v>
      </c>
    </row>
    <row r="2759" spans="1:5" x14ac:dyDescent="0.2">
      <c r="A2759" s="4">
        <v>45639</v>
      </c>
      <c r="B2759" s="3">
        <v>87129.65</v>
      </c>
      <c r="C2759" s="6">
        <f t="shared" si="129"/>
        <v>1.8874757893958915E-3</v>
      </c>
      <c r="D2759" s="7">
        <f t="shared" si="130"/>
        <v>0.151973544842193</v>
      </c>
      <c r="E2759" s="8">
        <f t="shared" si="131"/>
        <v>-0.68974752666839922</v>
      </c>
    </row>
    <row r="2760" spans="1:5" x14ac:dyDescent="0.2">
      <c r="A2760" s="4">
        <v>45643</v>
      </c>
      <c r="B2760" s="3">
        <v>85746.04</v>
      </c>
      <c r="C2760" s="6">
        <f t="shared" si="129"/>
        <v>-1.6007335027346862E-2</v>
      </c>
      <c r="D2760" s="7">
        <f t="shared" si="130"/>
        <v>-1.4876187018168592</v>
      </c>
      <c r="E2760" s="8">
        <f t="shared" si="131"/>
        <v>-2.4507690451971973</v>
      </c>
    </row>
    <row r="2761" spans="1:5" x14ac:dyDescent="0.2">
      <c r="A2761" s="4">
        <v>45644</v>
      </c>
      <c r="B2761" s="3">
        <v>85599.84</v>
      </c>
      <c r="C2761" s="6">
        <f t="shared" si="129"/>
        <v>-1.706490234596696E-3</v>
      </c>
      <c r="D2761" s="7">
        <f t="shared" si="130"/>
        <v>-0.17731961662453979</v>
      </c>
      <c r="E2761" s="8">
        <f t="shared" si="131"/>
        <v>-0.69926420285510649</v>
      </c>
    </row>
    <row r="2762" spans="1:5" x14ac:dyDescent="0.2">
      <c r="A2762" s="4">
        <v>45645</v>
      </c>
      <c r="B2762" s="3">
        <v>84465.35</v>
      </c>
      <c r="C2762" s="6">
        <f t="shared" si="129"/>
        <v>-1.3342022892793138E-2</v>
      </c>
      <c r="D2762" s="7">
        <f t="shared" si="130"/>
        <v>-1.2434124257353101</v>
      </c>
      <c r="E2762" s="8">
        <f t="shared" si="131"/>
        <v>-2.0268807025583091</v>
      </c>
    </row>
    <row r="2763" spans="1:5" x14ac:dyDescent="0.2">
      <c r="A2763" s="4">
        <v>45646</v>
      </c>
      <c r="B2763" s="3">
        <v>84603.29</v>
      </c>
      <c r="C2763" s="6">
        <f t="shared" si="129"/>
        <v>1.6317636506353729E-3</v>
      </c>
      <c r="D2763" s="7">
        <f t="shared" si="130"/>
        <v>0.12854420298538619</v>
      </c>
      <c r="E2763" s="8">
        <f t="shared" si="131"/>
        <v>-0.68222939717401487</v>
      </c>
    </row>
    <row r="2764" spans="1:5" x14ac:dyDescent="0.2">
      <c r="A2764" s="4">
        <v>45649</v>
      </c>
      <c r="B2764" s="3">
        <v>84712.320000000007</v>
      </c>
      <c r="C2764" s="6">
        <f t="shared" si="129"/>
        <v>1.287890881063345E-3</v>
      </c>
      <c r="D2764" s="7">
        <f t="shared" si="130"/>
        <v>9.7037240849750836E-2</v>
      </c>
      <c r="E2764" s="8">
        <f t="shared" si="131"/>
        <v>-0.67407513164351984</v>
      </c>
    </row>
    <row r="2765" spans="1:5" x14ac:dyDescent="0.2">
      <c r="A2765" s="4">
        <v>45650</v>
      </c>
      <c r="B2765" s="3">
        <v>84935.27</v>
      </c>
      <c r="C2765" s="6">
        <f t="shared" si="129"/>
        <v>2.6283913417581304E-3</v>
      </c>
      <c r="D2765" s="7">
        <f t="shared" si="130"/>
        <v>0.21985911276033182</v>
      </c>
      <c r="E2765" s="8">
        <f t="shared" si="131"/>
        <v>-0.71842515606378443</v>
      </c>
    </row>
    <row r="2766" spans="1:5" x14ac:dyDescent="0.2">
      <c r="A2766" s="4">
        <v>45653</v>
      </c>
      <c r="B2766" s="3">
        <v>84736.18</v>
      </c>
      <c r="C2766" s="6">
        <f t="shared" si="129"/>
        <v>-2.3467718507896233E-3</v>
      </c>
      <c r="D2766" s="7">
        <f t="shared" si="130"/>
        <v>-0.23598471145784394</v>
      </c>
      <c r="E2766" s="8">
        <f t="shared" si="131"/>
        <v>-0.72671830426882222</v>
      </c>
    </row>
    <row r="2767" spans="1:5" x14ac:dyDescent="0.2">
      <c r="A2767" s="4">
        <v>45656</v>
      </c>
      <c r="B2767" s="3">
        <v>83945.55</v>
      </c>
      <c r="C2767" s="6">
        <f t="shared" si="129"/>
        <v>-9.3742907410591676E-3</v>
      </c>
      <c r="D2767" s="7">
        <f t="shared" si="130"/>
        <v>-0.87987335625734653</v>
      </c>
      <c r="E2767" s="8">
        <f t="shared" si="131"/>
        <v>-1.4328939058946777</v>
      </c>
    </row>
    <row r="2768" spans="1:5" x14ac:dyDescent="0.2">
      <c r="A2768" s="4">
        <v>45657</v>
      </c>
      <c r="B2768" s="3">
        <v>84095.14</v>
      </c>
      <c r="C2768" s="6">
        <f t="shared" si="129"/>
        <v>1.7804025859998527E-3</v>
      </c>
      <c r="D2768" s="7">
        <f t="shared" si="130"/>
        <v>0.14216308102053365</v>
      </c>
      <c r="E2768" s="8">
        <f t="shared" si="131"/>
        <v>-0.68644928877427647</v>
      </c>
    </row>
    <row r="2769" spans="1:1" x14ac:dyDescent="0.2">
      <c r="A2769" s="4"/>
    </row>
    <row r="2770" spans="1:1" x14ac:dyDescent="0.2">
      <c r="A2770" s="4"/>
    </row>
    <row r="2771" spans="1:1" x14ac:dyDescent="0.2">
      <c r="A2771" s="4"/>
    </row>
    <row r="2772" spans="1:1" x14ac:dyDescent="0.2">
      <c r="A2772" s="4"/>
    </row>
    <row r="2773" spans="1:1" x14ac:dyDescent="0.2">
      <c r="A2773" s="4"/>
    </row>
    <row r="2774" spans="1:1" x14ac:dyDescent="0.2">
      <c r="A2774" s="4"/>
    </row>
    <row r="2775" spans="1:1" x14ac:dyDescent="0.2">
      <c r="A2775" s="4"/>
    </row>
    <row r="2776" spans="1:1" x14ac:dyDescent="0.2">
      <c r="A2776" s="4"/>
    </row>
    <row r="2777" spans="1:1" x14ac:dyDescent="0.2">
      <c r="A2777" s="4"/>
    </row>
    <row r="2778" spans="1:1" x14ac:dyDescent="0.2">
      <c r="A2778" s="4"/>
    </row>
    <row r="2779" spans="1:1" x14ac:dyDescent="0.2">
      <c r="A2779" s="4"/>
    </row>
    <row r="2780" spans="1:1" x14ac:dyDescent="0.2">
      <c r="A2780" s="4"/>
    </row>
    <row r="2781" spans="1:1" x14ac:dyDescent="0.2">
      <c r="A2781" s="4"/>
    </row>
    <row r="2782" spans="1:1" x14ac:dyDescent="0.2">
      <c r="A2782" s="4"/>
    </row>
    <row r="2783" spans="1:1" x14ac:dyDescent="0.2">
      <c r="A2783" s="4"/>
    </row>
    <row r="2784" spans="1:1" x14ac:dyDescent="0.2">
      <c r="A2784" s="4"/>
    </row>
    <row r="2785" spans="1:1" x14ac:dyDescent="0.2">
      <c r="A2785" s="4"/>
    </row>
    <row r="2786" spans="1:1" x14ac:dyDescent="0.2">
      <c r="A2786" s="4"/>
    </row>
    <row r="2787" spans="1:1" x14ac:dyDescent="0.2">
      <c r="A2787" s="4"/>
    </row>
    <row r="2788" spans="1:1" x14ac:dyDescent="0.2">
      <c r="A2788" s="4"/>
    </row>
    <row r="2789" spans="1:1" x14ac:dyDescent="0.2">
      <c r="A2789" s="4"/>
    </row>
    <row r="2790" spans="1:1" x14ac:dyDescent="0.2">
      <c r="A2790" s="4"/>
    </row>
    <row r="2791" spans="1:1" x14ac:dyDescent="0.2">
      <c r="A2791" s="4"/>
    </row>
    <row r="2792" spans="1:1" x14ac:dyDescent="0.2">
      <c r="A2792" s="4"/>
    </row>
    <row r="2793" spans="1:1" x14ac:dyDescent="0.2">
      <c r="A2793" s="4"/>
    </row>
    <row r="2794" spans="1:1" x14ac:dyDescent="0.2">
      <c r="A2794" s="4"/>
    </row>
    <row r="2795" spans="1:1" x14ac:dyDescent="0.2">
      <c r="A2795" s="4"/>
    </row>
    <row r="2796" spans="1:1" x14ac:dyDescent="0.2">
      <c r="A2796" s="4"/>
    </row>
    <row r="2797" spans="1:1" x14ac:dyDescent="0.2">
      <c r="A2797" s="4"/>
    </row>
    <row r="2798" spans="1:1" x14ac:dyDescent="0.2">
      <c r="A2798" s="4"/>
    </row>
    <row r="2799" spans="1:1" x14ac:dyDescent="0.2">
      <c r="A2799" s="4"/>
    </row>
    <row r="2800" spans="1:1" x14ac:dyDescent="0.2">
      <c r="A2800" s="4"/>
    </row>
    <row r="2801" spans="1:1" x14ac:dyDescent="0.2">
      <c r="A2801" s="4"/>
    </row>
    <row r="2802" spans="1:1" x14ac:dyDescent="0.2">
      <c r="A2802" s="4"/>
    </row>
    <row r="2803" spans="1:1" x14ac:dyDescent="0.2">
      <c r="A2803" s="4"/>
    </row>
    <row r="2804" spans="1:1" x14ac:dyDescent="0.2">
      <c r="A2804" s="4"/>
    </row>
    <row r="2805" spans="1:1" x14ac:dyDescent="0.2">
      <c r="A2805" s="4"/>
    </row>
    <row r="2806" spans="1:1" x14ac:dyDescent="0.2">
      <c r="A2806" s="4"/>
    </row>
    <row r="2807" spans="1:1" x14ac:dyDescent="0.2">
      <c r="A2807" s="4"/>
    </row>
    <row r="2808" spans="1:1" x14ac:dyDescent="0.2">
      <c r="A2808" s="4"/>
    </row>
    <row r="2809" spans="1:1" x14ac:dyDescent="0.2">
      <c r="A2809" s="4"/>
    </row>
    <row r="2810" spans="1:1" x14ac:dyDescent="0.2">
      <c r="A2810" s="4"/>
    </row>
    <row r="2811" spans="1:1" x14ac:dyDescent="0.2">
      <c r="A2811" s="4"/>
    </row>
    <row r="2812" spans="1:1" x14ac:dyDescent="0.2">
      <c r="A2812" s="4"/>
    </row>
    <row r="2813" spans="1:1" x14ac:dyDescent="0.2">
      <c r="A2813" s="4"/>
    </row>
    <row r="2814" spans="1:1" x14ac:dyDescent="0.2">
      <c r="A2814" s="4"/>
    </row>
    <row r="2815" spans="1:1" x14ac:dyDescent="0.2">
      <c r="A2815" s="4"/>
    </row>
    <row r="2816" spans="1:1" x14ac:dyDescent="0.2">
      <c r="A2816" s="4"/>
    </row>
    <row r="2817" spans="1:1" x14ac:dyDescent="0.2">
      <c r="A2817" s="4"/>
    </row>
    <row r="2818" spans="1:1" x14ac:dyDescent="0.2">
      <c r="A2818" s="4"/>
    </row>
    <row r="2819" spans="1:1" x14ac:dyDescent="0.2">
      <c r="A2819" s="4"/>
    </row>
    <row r="2820" spans="1:1" x14ac:dyDescent="0.2">
      <c r="A2820" s="4"/>
    </row>
    <row r="2821" spans="1:1" x14ac:dyDescent="0.2">
      <c r="A2821" s="4"/>
    </row>
    <row r="2822" spans="1:1" x14ac:dyDescent="0.2">
      <c r="A2822" s="4"/>
    </row>
    <row r="2823" spans="1:1" x14ac:dyDescent="0.2">
      <c r="A2823" s="4"/>
    </row>
    <row r="2824" spans="1:1" x14ac:dyDescent="0.2">
      <c r="A2824" s="4"/>
    </row>
    <row r="2825" spans="1:1" x14ac:dyDescent="0.2">
      <c r="A2825" s="4"/>
    </row>
    <row r="2826" spans="1:1" x14ac:dyDescent="0.2">
      <c r="A2826" s="4"/>
    </row>
    <row r="2827" spans="1:1" x14ac:dyDescent="0.2">
      <c r="A2827" s="4"/>
    </row>
    <row r="2828" spans="1:1" x14ac:dyDescent="0.2">
      <c r="A2828" s="4"/>
    </row>
    <row r="2829" spans="1:1" x14ac:dyDescent="0.2">
      <c r="A2829" s="4"/>
    </row>
    <row r="2830" spans="1:1" x14ac:dyDescent="0.2">
      <c r="A2830" s="4"/>
    </row>
    <row r="2831" spans="1:1" x14ac:dyDescent="0.2">
      <c r="A2831" s="4"/>
    </row>
    <row r="2832" spans="1:1" x14ac:dyDescent="0.2">
      <c r="A2832" s="4"/>
    </row>
    <row r="2833" spans="1:1" x14ac:dyDescent="0.2">
      <c r="A2833" s="4"/>
    </row>
    <row r="2834" spans="1:1" x14ac:dyDescent="0.2">
      <c r="A2834" s="4"/>
    </row>
    <row r="2835" spans="1:1" x14ac:dyDescent="0.2">
      <c r="A2835" s="4"/>
    </row>
    <row r="2836" spans="1:1" x14ac:dyDescent="0.2">
      <c r="A2836" s="4"/>
    </row>
    <row r="2837" spans="1:1" x14ac:dyDescent="0.2">
      <c r="A2837" s="4"/>
    </row>
    <row r="2838" spans="1:1" x14ac:dyDescent="0.2">
      <c r="A2838" s="4"/>
    </row>
    <row r="2839" spans="1:1" x14ac:dyDescent="0.2">
      <c r="A2839" s="4"/>
    </row>
    <row r="2840" spans="1:1" x14ac:dyDescent="0.2">
      <c r="A2840" s="4"/>
    </row>
    <row r="2841" spans="1:1" x14ac:dyDescent="0.2">
      <c r="A2841" s="4"/>
    </row>
    <row r="2842" spans="1:1" x14ac:dyDescent="0.2">
      <c r="A2842" s="4"/>
    </row>
    <row r="2843" spans="1:1" x14ac:dyDescent="0.2">
      <c r="A2843" s="4"/>
    </row>
    <row r="2844" spans="1:1" x14ac:dyDescent="0.2">
      <c r="A2844" s="4"/>
    </row>
    <row r="2845" spans="1:1" x14ac:dyDescent="0.2">
      <c r="A2845" s="4"/>
    </row>
    <row r="2846" spans="1:1" x14ac:dyDescent="0.2">
      <c r="A2846" s="4"/>
    </row>
    <row r="2847" spans="1:1" x14ac:dyDescent="0.2">
      <c r="A2847" s="4"/>
    </row>
    <row r="2848" spans="1:1" x14ac:dyDescent="0.2">
      <c r="A2848" s="4"/>
    </row>
    <row r="2849" spans="1:1" x14ac:dyDescent="0.2">
      <c r="A2849" s="4"/>
    </row>
    <row r="2850" spans="1:1" x14ac:dyDescent="0.2">
      <c r="A2850" s="4"/>
    </row>
    <row r="2851" spans="1:1" x14ac:dyDescent="0.2">
      <c r="A2851" s="4"/>
    </row>
    <row r="2852" spans="1:1" x14ac:dyDescent="0.2">
      <c r="A2852" s="4"/>
    </row>
    <row r="2853" spans="1:1" x14ac:dyDescent="0.2">
      <c r="A2853" s="4"/>
    </row>
    <row r="2854" spans="1:1" x14ac:dyDescent="0.2">
      <c r="A2854" s="4"/>
    </row>
    <row r="2855" spans="1:1" x14ac:dyDescent="0.2">
      <c r="A2855" s="4"/>
    </row>
    <row r="2856" spans="1:1" x14ac:dyDescent="0.2">
      <c r="A2856" s="4"/>
    </row>
    <row r="2857" spans="1:1" x14ac:dyDescent="0.2">
      <c r="A2857" s="4"/>
    </row>
    <row r="2858" spans="1:1" x14ac:dyDescent="0.2">
      <c r="A2858" s="4"/>
    </row>
    <row r="2859" spans="1:1" x14ac:dyDescent="0.2">
      <c r="A2859" s="4"/>
    </row>
    <row r="2860" spans="1:1" x14ac:dyDescent="0.2">
      <c r="A2860" s="4"/>
    </row>
    <row r="2861" spans="1:1" x14ac:dyDescent="0.2">
      <c r="A2861" s="4"/>
    </row>
    <row r="2862" spans="1:1" x14ac:dyDescent="0.2">
      <c r="A2862" s="4"/>
    </row>
    <row r="2863" spans="1:1" x14ac:dyDescent="0.2">
      <c r="A2863" s="4"/>
    </row>
    <row r="2864" spans="1:1" x14ac:dyDescent="0.2">
      <c r="A2864" s="4"/>
    </row>
    <row r="2865" spans="1:1" x14ac:dyDescent="0.2">
      <c r="A2865" s="4"/>
    </row>
    <row r="2866" spans="1:1" x14ac:dyDescent="0.2">
      <c r="A2866" s="4"/>
    </row>
    <row r="2867" spans="1:1" x14ac:dyDescent="0.2">
      <c r="A2867" s="4"/>
    </row>
    <row r="2868" spans="1:1" x14ac:dyDescent="0.2">
      <c r="A2868" s="4"/>
    </row>
    <row r="2869" spans="1:1" x14ac:dyDescent="0.2">
      <c r="A2869" s="4"/>
    </row>
    <row r="2870" spans="1:1" x14ac:dyDescent="0.2">
      <c r="A2870" s="4"/>
    </row>
    <row r="2871" spans="1:1" x14ac:dyDescent="0.2">
      <c r="A2871" s="4"/>
    </row>
    <row r="2872" spans="1:1" x14ac:dyDescent="0.2">
      <c r="A2872" s="4"/>
    </row>
    <row r="2873" spans="1:1" x14ac:dyDescent="0.2">
      <c r="A2873" s="4"/>
    </row>
    <row r="2874" spans="1:1" x14ac:dyDescent="0.2">
      <c r="A2874" s="4"/>
    </row>
    <row r="2875" spans="1:1" x14ac:dyDescent="0.2">
      <c r="A2875" s="4"/>
    </row>
    <row r="2876" spans="1:1" x14ac:dyDescent="0.2">
      <c r="A2876" s="4"/>
    </row>
    <row r="2877" spans="1:1" x14ac:dyDescent="0.2">
      <c r="A2877" s="4"/>
    </row>
    <row r="2878" spans="1:1" x14ac:dyDescent="0.2">
      <c r="A2878" s="4"/>
    </row>
    <row r="2879" spans="1:1" x14ac:dyDescent="0.2">
      <c r="A2879" s="4"/>
    </row>
    <row r="2880" spans="1:1" x14ac:dyDescent="0.2">
      <c r="A2880" s="4"/>
    </row>
    <row r="2881" spans="1:1" x14ac:dyDescent="0.2">
      <c r="A2881" s="4"/>
    </row>
    <row r="2882" spans="1:1" x14ac:dyDescent="0.2">
      <c r="A2882" s="4"/>
    </row>
    <row r="2883" spans="1:1" x14ac:dyDescent="0.2">
      <c r="A2883" s="4"/>
    </row>
    <row r="2884" spans="1:1" x14ac:dyDescent="0.2">
      <c r="A2884" s="4"/>
    </row>
    <row r="2885" spans="1:1" x14ac:dyDescent="0.2">
      <c r="A2885" s="4"/>
    </row>
    <row r="2886" spans="1:1" x14ac:dyDescent="0.2">
      <c r="A2886" s="4"/>
    </row>
    <row r="2887" spans="1:1" x14ac:dyDescent="0.2">
      <c r="A2887" s="4"/>
    </row>
    <row r="2888" spans="1:1" x14ac:dyDescent="0.2">
      <c r="A2888" s="4"/>
    </row>
    <row r="2889" spans="1:1" x14ac:dyDescent="0.2">
      <c r="A2889" s="4"/>
    </row>
    <row r="2890" spans="1:1" x14ac:dyDescent="0.2">
      <c r="A2890" s="4"/>
    </row>
    <row r="2891" spans="1:1" x14ac:dyDescent="0.2">
      <c r="A2891" s="4"/>
    </row>
    <row r="2892" spans="1:1" x14ac:dyDescent="0.2">
      <c r="A2892" s="4"/>
    </row>
    <row r="2893" spans="1:1" x14ac:dyDescent="0.2">
      <c r="A2893" s="4"/>
    </row>
    <row r="2894" spans="1:1" x14ac:dyDescent="0.2">
      <c r="A2894" s="4"/>
    </row>
    <row r="2895" spans="1:1" x14ac:dyDescent="0.2">
      <c r="A2895" s="4"/>
    </row>
    <row r="2896" spans="1:1" x14ac:dyDescent="0.2">
      <c r="A2896" s="4"/>
    </row>
    <row r="2897" spans="1:1" x14ac:dyDescent="0.2">
      <c r="A2897" s="4"/>
    </row>
    <row r="2898" spans="1:1" x14ac:dyDescent="0.2">
      <c r="A2898" s="4"/>
    </row>
    <row r="2899" spans="1:1" x14ac:dyDescent="0.2">
      <c r="A2899" s="4"/>
    </row>
    <row r="2900" spans="1:1" x14ac:dyDescent="0.2">
      <c r="A2900" s="4"/>
    </row>
    <row r="2901" spans="1:1" x14ac:dyDescent="0.2">
      <c r="A2901" s="4"/>
    </row>
    <row r="2902" spans="1:1" x14ac:dyDescent="0.2">
      <c r="A2902" s="4"/>
    </row>
    <row r="2903" spans="1:1" x14ac:dyDescent="0.2">
      <c r="A2903" s="4"/>
    </row>
    <row r="2904" spans="1:1" x14ac:dyDescent="0.2">
      <c r="A2904" s="4"/>
    </row>
    <row r="2905" spans="1:1" x14ac:dyDescent="0.2">
      <c r="A2905" s="4"/>
    </row>
    <row r="2906" spans="1:1" x14ac:dyDescent="0.2">
      <c r="A2906" s="4"/>
    </row>
    <row r="2907" spans="1:1" x14ac:dyDescent="0.2">
      <c r="A2907" s="4"/>
    </row>
    <row r="2908" spans="1:1" x14ac:dyDescent="0.2">
      <c r="A2908" s="4"/>
    </row>
    <row r="2909" spans="1:1" x14ac:dyDescent="0.2">
      <c r="A2909" s="4"/>
    </row>
    <row r="2910" spans="1:1" x14ac:dyDescent="0.2">
      <c r="A2910" s="4"/>
    </row>
    <row r="2911" spans="1:1" x14ac:dyDescent="0.2">
      <c r="A2911" s="4"/>
    </row>
    <row r="2912" spans="1:1" x14ac:dyDescent="0.2">
      <c r="A2912" s="4"/>
    </row>
    <row r="2913" spans="1:1" x14ac:dyDescent="0.2">
      <c r="A2913" s="4"/>
    </row>
    <row r="2914" spans="1:1" x14ac:dyDescent="0.2">
      <c r="A2914" s="4"/>
    </row>
    <row r="2915" spans="1:1" x14ac:dyDescent="0.2">
      <c r="A2915" s="4"/>
    </row>
    <row r="2916" spans="1:1" x14ac:dyDescent="0.2">
      <c r="A2916" s="4"/>
    </row>
    <row r="2917" spans="1:1" x14ac:dyDescent="0.2">
      <c r="A2917" s="4"/>
    </row>
    <row r="2918" spans="1:1" x14ac:dyDescent="0.2">
      <c r="A2918" s="4"/>
    </row>
    <row r="2919" spans="1:1" x14ac:dyDescent="0.2">
      <c r="A2919" s="4"/>
    </row>
    <row r="2920" spans="1:1" x14ac:dyDescent="0.2">
      <c r="A2920" s="4"/>
    </row>
    <row r="2921" spans="1:1" x14ac:dyDescent="0.2">
      <c r="A2921" s="4"/>
    </row>
    <row r="2922" spans="1:1" x14ac:dyDescent="0.2">
      <c r="A2922" s="4"/>
    </row>
    <row r="2923" spans="1:1" x14ac:dyDescent="0.2">
      <c r="A2923" s="4"/>
    </row>
    <row r="2924" spans="1:1" x14ac:dyDescent="0.2">
      <c r="A2924" s="4"/>
    </row>
    <row r="2925" spans="1:1" x14ac:dyDescent="0.2">
      <c r="A2925" s="4"/>
    </row>
    <row r="2926" spans="1:1" x14ac:dyDescent="0.2">
      <c r="A2926" s="4"/>
    </row>
    <row r="2927" spans="1:1" x14ac:dyDescent="0.2">
      <c r="A2927" s="4"/>
    </row>
    <row r="2928" spans="1:1" x14ac:dyDescent="0.2">
      <c r="A2928" s="4"/>
    </row>
    <row r="2929" spans="1:1" x14ac:dyDescent="0.2">
      <c r="A2929" s="4"/>
    </row>
    <row r="2930" spans="1:1" x14ac:dyDescent="0.2">
      <c r="A2930" s="4"/>
    </row>
    <row r="2931" spans="1:1" x14ac:dyDescent="0.2">
      <c r="A2931" s="4"/>
    </row>
    <row r="2932" spans="1:1" x14ac:dyDescent="0.2">
      <c r="A2932" s="4"/>
    </row>
    <row r="2933" spans="1:1" x14ac:dyDescent="0.2">
      <c r="A2933" s="4"/>
    </row>
    <row r="2934" spans="1:1" x14ac:dyDescent="0.2">
      <c r="A2934" s="4"/>
    </row>
    <row r="2935" spans="1:1" x14ac:dyDescent="0.2">
      <c r="A2935" s="4"/>
    </row>
    <row r="2936" spans="1:1" x14ac:dyDescent="0.2">
      <c r="A2936" s="4"/>
    </row>
    <row r="2937" spans="1:1" x14ac:dyDescent="0.2">
      <c r="A2937" s="4"/>
    </row>
    <row r="2938" spans="1:1" x14ac:dyDescent="0.2">
      <c r="A2938" s="4"/>
    </row>
    <row r="2939" spans="1:1" x14ac:dyDescent="0.2">
      <c r="A2939" s="4"/>
    </row>
    <row r="2940" spans="1:1" x14ac:dyDescent="0.2">
      <c r="A2940" s="4"/>
    </row>
    <row r="2941" spans="1:1" x14ac:dyDescent="0.2">
      <c r="A2941" s="4"/>
    </row>
    <row r="2942" spans="1:1" x14ac:dyDescent="0.2">
      <c r="A2942" s="4"/>
    </row>
    <row r="2943" spans="1:1" x14ac:dyDescent="0.2">
      <c r="A2943" s="4"/>
    </row>
    <row r="2944" spans="1:1" x14ac:dyDescent="0.2">
      <c r="A2944" s="4"/>
    </row>
    <row r="2945" spans="1:1" x14ac:dyDescent="0.2">
      <c r="A2945" s="4"/>
    </row>
    <row r="2946" spans="1:1" x14ac:dyDescent="0.2">
      <c r="A2946" s="4"/>
    </row>
    <row r="2947" spans="1:1" x14ac:dyDescent="0.2">
      <c r="A2947" s="4"/>
    </row>
    <row r="2948" spans="1:1" x14ac:dyDescent="0.2">
      <c r="A2948" s="4"/>
    </row>
    <row r="2949" spans="1:1" x14ac:dyDescent="0.2">
      <c r="A2949" s="4"/>
    </row>
    <row r="2950" spans="1:1" x14ac:dyDescent="0.2">
      <c r="A2950" s="4"/>
    </row>
    <row r="2951" spans="1:1" x14ac:dyDescent="0.2">
      <c r="A2951" s="4"/>
    </row>
    <row r="2952" spans="1:1" x14ac:dyDescent="0.2">
      <c r="A2952" s="4"/>
    </row>
    <row r="2953" spans="1:1" x14ac:dyDescent="0.2">
      <c r="A2953" s="4"/>
    </row>
    <row r="2954" spans="1:1" x14ac:dyDescent="0.2">
      <c r="A2954" s="4"/>
    </row>
    <row r="2955" spans="1:1" x14ac:dyDescent="0.2">
      <c r="A2955" s="4"/>
    </row>
    <row r="2956" spans="1:1" x14ac:dyDescent="0.2">
      <c r="A2956" s="4"/>
    </row>
    <row r="2957" spans="1:1" x14ac:dyDescent="0.2">
      <c r="A2957" s="4"/>
    </row>
    <row r="2958" spans="1:1" x14ac:dyDescent="0.2">
      <c r="A2958" s="4"/>
    </row>
    <row r="2959" spans="1:1" x14ac:dyDescent="0.2">
      <c r="A2959" s="4"/>
    </row>
    <row r="2960" spans="1:1" x14ac:dyDescent="0.2">
      <c r="A2960" s="4"/>
    </row>
    <row r="2961" spans="1:1" x14ac:dyDescent="0.2">
      <c r="A2961" s="4"/>
    </row>
    <row r="2962" spans="1:1" x14ac:dyDescent="0.2">
      <c r="A2962" s="4"/>
    </row>
    <row r="2963" spans="1:1" x14ac:dyDescent="0.2">
      <c r="A2963" s="4"/>
    </row>
    <row r="2964" spans="1:1" x14ac:dyDescent="0.2">
      <c r="A2964" s="4"/>
    </row>
    <row r="2965" spans="1:1" x14ac:dyDescent="0.2">
      <c r="A2965" s="4"/>
    </row>
    <row r="2966" spans="1:1" x14ac:dyDescent="0.2">
      <c r="A2966" s="4"/>
    </row>
    <row r="2967" spans="1:1" x14ac:dyDescent="0.2">
      <c r="A2967" s="4"/>
    </row>
    <row r="2968" spans="1:1" x14ac:dyDescent="0.2">
      <c r="A2968" s="4"/>
    </row>
    <row r="2969" spans="1:1" x14ac:dyDescent="0.2">
      <c r="A2969" s="4"/>
    </row>
    <row r="2970" spans="1:1" x14ac:dyDescent="0.2">
      <c r="A2970" s="4"/>
    </row>
    <row r="2971" spans="1:1" x14ac:dyDescent="0.2">
      <c r="A2971" s="4"/>
    </row>
    <row r="2972" spans="1:1" x14ac:dyDescent="0.2">
      <c r="A2972" s="4"/>
    </row>
    <row r="2973" spans="1:1" x14ac:dyDescent="0.2">
      <c r="A2973" s="4"/>
    </row>
    <row r="2974" spans="1:1" x14ac:dyDescent="0.2">
      <c r="A2974" s="4"/>
    </row>
    <row r="2975" spans="1:1" x14ac:dyDescent="0.2">
      <c r="A2975" s="4"/>
    </row>
    <row r="2976" spans="1:1" x14ac:dyDescent="0.2">
      <c r="A2976" s="4"/>
    </row>
    <row r="2977" spans="1:1" x14ac:dyDescent="0.2">
      <c r="A2977" s="4"/>
    </row>
    <row r="2978" spans="1:1" x14ac:dyDescent="0.2">
      <c r="A2978" s="4"/>
    </row>
    <row r="2979" spans="1:1" x14ac:dyDescent="0.2">
      <c r="A2979" s="4"/>
    </row>
    <row r="2980" spans="1:1" x14ac:dyDescent="0.2">
      <c r="A2980" s="4"/>
    </row>
    <row r="2981" spans="1:1" x14ac:dyDescent="0.2">
      <c r="A2981" s="4"/>
    </row>
    <row r="2982" spans="1:1" x14ac:dyDescent="0.2">
      <c r="A2982" s="4"/>
    </row>
    <row r="2983" spans="1:1" x14ac:dyDescent="0.2">
      <c r="A2983" s="4"/>
    </row>
    <row r="2984" spans="1:1" x14ac:dyDescent="0.2">
      <c r="A2984" s="4"/>
    </row>
    <row r="2985" spans="1:1" x14ac:dyDescent="0.2">
      <c r="A2985" s="4"/>
    </row>
    <row r="2986" spans="1:1" x14ac:dyDescent="0.2">
      <c r="A2986" s="4"/>
    </row>
    <row r="2987" spans="1:1" x14ac:dyDescent="0.2">
      <c r="A2987" s="4"/>
    </row>
    <row r="2988" spans="1:1" x14ac:dyDescent="0.2">
      <c r="A2988" s="4"/>
    </row>
    <row r="2989" spans="1:1" x14ac:dyDescent="0.2">
      <c r="A2989" s="4"/>
    </row>
    <row r="2990" spans="1:1" x14ac:dyDescent="0.2">
      <c r="A2990" s="4"/>
    </row>
    <row r="2991" spans="1:1" x14ac:dyDescent="0.2">
      <c r="A2991" s="4"/>
    </row>
    <row r="2992" spans="1:1" x14ac:dyDescent="0.2">
      <c r="A2992" s="4"/>
    </row>
    <row r="2993" spans="1:1" x14ac:dyDescent="0.2">
      <c r="A2993" s="4"/>
    </row>
    <row r="2994" spans="1:1" x14ac:dyDescent="0.2">
      <c r="A2994" s="4"/>
    </row>
    <row r="2995" spans="1:1" x14ac:dyDescent="0.2">
      <c r="A2995" s="4"/>
    </row>
    <row r="2996" spans="1:1" x14ac:dyDescent="0.2">
      <c r="A2996" s="4"/>
    </row>
    <row r="2997" spans="1:1" x14ac:dyDescent="0.2">
      <c r="A2997" s="4"/>
    </row>
    <row r="2998" spans="1:1" x14ac:dyDescent="0.2">
      <c r="A2998" s="4"/>
    </row>
    <row r="2999" spans="1:1" x14ac:dyDescent="0.2">
      <c r="A2999" s="4"/>
    </row>
    <row r="3000" spans="1:1" x14ac:dyDescent="0.2">
      <c r="A3000" s="4"/>
    </row>
    <row r="3001" spans="1:1" x14ac:dyDescent="0.2">
      <c r="A3001" s="4"/>
    </row>
    <row r="3002" spans="1:1" x14ac:dyDescent="0.2">
      <c r="A3002" s="4"/>
    </row>
    <row r="3003" spans="1:1" x14ac:dyDescent="0.2">
      <c r="A3003" s="4"/>
    </row>
    <row r="3004" spans="1:1" x14ac:dyDescent="0.2">
      <c r="A3004" s="4"/>
    </row>
    <row r="3005" spans="1:1" x14ac:dyDescent="0.2">
      <c r="A3005" s="4"/>
    </row>
    <row r="3006" spans="1:1" x14ac:dyDescent="0.2">
      <c r="A3006" s="4"/>
    </row>
    <row r="3007" spans="1:1" x14ac:dyDescent="0.2">
      <c r="A3007" s="4"/>
    </row>
    <row r="3008" spans="1:1" x14ac:dyDescent="0.2">
      <c r="A3008" s="4"/>
    </row>
    <row r="3009" spans="1:1" x14ac:dyDescent="0.2">
      <c r="A3009" s="4"/>
    </row>
    <row r="3010" spans="1:1" x14ac:dyDescent="0.2">
      <c r="A3010" s="4"/>
    </row>
    <row r="3011" spans="1:1" x14ac:dyDescent="0.2">
      <c r="A3011" s="4"/>
    </row>
    <row r="3012" spans="1:1" x14ac:dyDescent="0.2">
      <c r="A3012" s="4"/>
    </row>
    <row r="3013" spans="1:1" x14ac:dyDescent="0.2">
      <c r="A3013" s="4"/>
    </row>
    <row r="3014" spans="1:1" x14ac:dyDescent="0.2">
      <c r="A3014" s="4"/>
    </row>
    <row r="3015" spans="1:1" x14ac:dyDescent="0.2">
      <c r="A3015" s="4"/>
    </row>
    <row r="3016" spans="1:1" x14ac:dyDescent="0.2">
      <c r="A3016" s="4"/>
    </row>
    <row r="3017" spans="1:1" x14ac:dyDescent="0.2">
      <c r="A3017" s="4"/>
    </row>
    <row r="3018" spans="1:1" x14ac:dyDescent="0.2">
      <c r="A3018" s="4"/>
    </row>
    <row r="3019" spans="1:1" x14ac:dyDescent="0.2">
      <c r="A3019" s="4"/>
    </row>
    <row r="3020" spans="1:1" x14ac:dyDescent="0.2">
      <c r="A3020" s="4"/>
    </row>
    <row r="3021" spans="1:1" x14ac:dyDescent="0.2">
      <c r="A3021" s="4"/>
    </row>
    <row r="3022" spans="1:1" x14ac:dyDescent="0.2">
      <c r="A3022" s="4"/>
    </row>
    <row r="3023" spans="1:1" x14ac:dyDescent="0.2">
      <c r="A3023" s="4"/>
    </row>
    <row r="3024" spans="1:1" x14ac:dyDescent="0.2">
      <c r="A3024" s="4"/>
    </row>
    <row r="3025" spans="1:1" x14ac:dyDescent="0.2">
      <c r="A3025" s="4"/>
    </row>
    <row r="3026" spans="1:1" x14ac:dyDescent="0.2">
      <c r="A3026" s="4"/>
    </row>
    <row r="3027" spans="1:1" x14ac:dyDescent="0.2">
      <c r="A3027" s="4"/>
    </row>
    <row r="3028" spans="1:1" x14ac:dyDescent="0.2">
      <c r="A3028" s="4"/>
    </row>
    <row r="3029" spans="1:1" x14ac:dyDescent="0.2">
      <c r="A3029" s="4"/>
    </row>
    <row r="3030" spans="1:1" x14ac:dyDescent="0.2">
      <c r="A3030" s="4"/>
    </row>
    <row r="3031" spans="1:1" x14ac:dyDescent="0.2">
      <c r="A3031" s="4"/>
    </row>
    <row r="3032" spans="1:1" x14ac:dyDescent="0.2">
      <c r="A3032" s="4"/>
    </row>
    <row r="3033" spans="1:1" x14ac:dyDescent="0.2">
      <c r="A3033" s="4"/>
    </row>
    <row r="3034" spans="1:1" x14ac:dyDescent="0.2">
      <c r="A3034" s="4"/>
    </row>
    <row r="3035" spans="1:1" x14ac:dyDescent="0.2">
      <c r="A3035" s="4"/>
    </row>
    <row r="3036" spans="1:1" x14ac:dyDescent="0.2">
      <c r="A3036" s="4"/>
    </row>
    <row r="3037" spans="1:1" x14ac:dyDescent="0.2">
      <c r="A3037" s="4"/>
    </row>
    <row r="3038" spans="1:1" x14ac:dyDescent="0.2">
      <c r="A3038" s="4"/>
    </row>
  </sheetData>
  <sortState xmlns:xlrd2="http://schemas.microsoft.com/office/spreadsheetml/2017/richdata2" ref="M2:N268">
    <sortCondition ref="M1:M268"/>
  </sortState>
  <mergeCells count="2">
    <mergeCell ref="F1:G1"/>
    <mergeCell ref="F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D01D-F90F-0842-859E-EBA56EFEC87B}">
  <dimension ref="A1:G3038"/>
  <sheetViews>
    <sheetView workbookViewId="0">
      <selection activeCell="F2" sqref="F2:G2"/>
    </sheetView>
  </sheetViews>
  <sheetFormatPr baseColWidth="10" defaultRowHeight="15" x14ac:dyDescent="0.2"/>
  <cols>
    <col min="1" max="1" width="10.6640625" bestFit="1" customWidth="1"/>
    <col min="2" max="2" width="14.5" customWidth="1"/>
    <col min="3" max="4" width="14.6640625" style="9" customWidth="1"/>
    <col min="5" max="5" width="16" style="15" customWidth="1"/>
    <col min="6" max="6" width="22.83203125" style="9" customWidth="1"/>
    <col min="7" max="7" width="14.6640625" style="9" customWidth="1"/>
  </cols>
  <sheetData>
    <row r="1" spans="1:7" x14ac:dyDescent="0.2">
      <c r="A1" s="2" t="s">
        <v>0</v>
      </c>
      <c r="B1" s="2" t="s">
        <v>2</v>
      </c>
      <c r="C1" s="9" t="s">
        <v>8</v>
      </c>
      <c r="D1" s="9" t="s">
        <v>9</v>
      </c>
      <c r="E1" s="15" t="s">
        <v>4</v>
      </c>
      <c r="F1" s="22" t="s">
        <v>11</v>
      </c>
      <c r="G1" s="23"/>
    </row>
    <row r="2" spans="1:7" x14ac:dyDescent="0.2">
      <c r="A2" s="1">
        <v>41610</v>
      </c>
      <c r="B2">
        <v>39871.53</v>
      </c>
      <c r="C2" s="6"/>
      <c r="D2" s="7"/>
      <c r="E2" s="8">
        <f>SUM(E3:E573)</f>
        <v>-758.09154777121091</v>
      </c>
      <c r="F2" s="24" t="s">
        <v>10</v>
      </c>
      <c r="G2" s="24"/>
    </row>
    <row r="3" spans="1:7" x14ac:dyDescent="0.2">
      <c r="A3" s="1">
        <v>41611</v>
      </c>
      <c r="B3">
        <v>39194.660000000003</v>
      </c>
      <c r="C3" s="6">
        <f t="shared" ref="C3:C66" si="0">LN(B3/B2)</f>
        <v>-1.7122022347583449E-2</v>
      </c>
      <c r="D3" s="7">
        <f t="shared" ref="D3:D66" si="1">(C3-$G$4)/$G$5</f>
        <v>-1.4973197546216985</v>
      </c>
      <c r="E3" s="8">
        <f t="shared" ref="E3:E66" si="2">LN((PI()*(G$3-2))^(-1/2)*EXP(GAMMALN((G$3+1)/2))*((1+D3^2/(G$3-2))^(-(G$3+1)/2))/EXP(GAMMALN(G$3/2)))</f>
        <v>-2.4311710377700342</v>
      </c>
      <c r="F3" s="9" t="s">
        <v>5</v>
      </c>
      <c r="G3" s="9">
        <v>4.5785571211368765</v>
      </c>
    </row>
    <row r="4" spans="1:7" x14ac:dyDescent="0.2">
      <c r="A4" s="1">
        <v>41612</v>
      </c>
      <c r="B4">
        <v>39258.76</v>
      </c>
      <c r="C4" s="6">
        <f t="shared" si="0"/>
        <v>1.6340910125676612E-3</v>
      </c>
      <c r="D4" s="7">
        <f t="shared" si="1"/>
        <v>0.12113595364352622</v>
      </c>
      <c r="E4" s="8">
        <f t="shared" si="2"/>
        <v>-0.70187985554014087</v>
      </c>
      <c r="F4" s="9" t="s">
        <v>6</v>
      </c>
      <c r="G4" s="10">
        <f>AVERAGE(C3:C2768)</f>
        <v>2.3025915796391657E-4</v>
      </c>
    </row>
    <row r="5" spans="1:7" x14ac:dyDescent="0.2">
      <c r="A5" s="1">
        <v>41613</v>
      </c>
      <c r="B5">
        <v>39587.660000000003</v>
      </c>
      <c r="C5" s="6">
        <f t="shared" si="0"/>
        <v>8.3428494966236288E-3</v>
      </c>
      <c r="D5" s="7">
        <f t="shared" si="1"/>
        <v>0.70003139191494756</v>
      </c>
      <c r="E5" s="8">
        <f t="shared" si="2"/>
        <v>-1.171363346810204</v>
      </c>
      <c r="F5" s="9" t="s">
        <v>7</v>
      </c>
      <c r="G5" s="10">
        <f>STDEV(C3:C2768)</f>
        <v>1.158889505864528E-2</v>
      </c>
    </row>
    <row r="6" spans="1:7" x14ac:dyDescent="0.2">
      <c r="A6" s="1">
        <v>41614</v>
      </c>
      <c r="B6">
        <v>39905.22</v>
      </c>
      <c r="C6" s="6">
        <f t="shared" si="0"/>
        <v>7.9896888699585132E-3</v>
      </c>
      <c r="D6" s="7">
        <f t="shared" si="1"/>
        <v>0.66955733680633223</v>
      </c>
      <c r="E6" s="8">
        <f t="shared" si="2"/>
        <v>-1.1331652050626766</v>
      </c>
    </row>
    <row r="7" spans="1:7" x14ac:dyDescent="0.2">
      <c r="A7" s="1">
        <v>41617</v>
      </c>
      <c r="B7">
        <v>40028.410000000003</v>
      </c>
      <c r="C7" s="6">
        <f t="shared" si="0"/>
        <v>3.0823095993988848E-3</v>
      </c>
      <c r="D7" s="7">
        <f t="shared" si="1"/>
        <v>0.24610201637017562</v>
      </c>
      <c r="E7" s="8">
        <f t="shared" si="2"/>
        <v>-0.75080989173044688</v>
      </c>
    </row>
    <row r="8" spans="1:7" x14ac:dyDescent="0.2">
      <c r="A8" s="1">
        <v>41618</v>
      </c>
      <c r="B8">
        <v>39934.74</v>
      </c>
      <c r="C8" s="6">
        <f t="shared" si="0"/>
        <v>-2.3428302373049627E-3</v>
      </c>
      <c r="D8" s="7">
        <f t="shared" si="1"/>
        <v>-0.22203060621809348</v>
      </c>
      <c r="E8" s="8">
        <f t="shared" si="2"/>
        <v>-0.73887464285566917</v>
      </c>
    </row>
    <row r="9" spans="1:7" x14ac:dyDescent="0.2">
      <c r="A9" s="1">
        <v>41619</v>
      </c>
      <c r="B9">
        <v>39736.78</v>
      </c>
      <c r="C9" s="6">
        <f t="shared" si="0"/>
        <v>-4.9694146010107743E-3</v>
      </c>
      <c r="D9" s="7">
        <f t="shared" si="1"/>
        <v>-0.44867726669901548</v>
      </c>
      <c r="E9" s="8">
        <f t="shared" si="2"/>
        <v>-0.89573189320899604</v>
      </c>
    </row>
    <row r="10" spans="1:7" x14ac:dyDescent="0.2">
      <c r="A10" s="1">
        <v>41620</v>
      </c>
      <c r="B10">
        <v>38575.26</v>
      </c>
      <c r="C10" s="6">
        <f t="shared" si="0"/>
        <v>-2.9666068824289606E-2</v>
      </c>
      <c r="D10" s="7">
        <f t="shared" si="1"/>
        <v>-2.5797392961938121</v>
      </c>
      <c r="E10" s="8">
        <f t="shared" si="2"/>
        <v>-4.2441121579192842</v>
      </c>
    </row>
    <row r="11" spans="1:7" x14ac:dyDescent="0.2">
      <c r="A11" s="1">
        <v>41621</v>
      </c>
      <c r="B11">
        <v>38537.550000000003</v>
      </c>
      <c r="C11" s="6">
        <f t="shared" si="0"/>
        <v>-9.7804769417804589E-4</v>
      </c>
      <c r="D11" s="7">
        <f t="shared" si="1"/>
        <v>-0.10426419827147966</v>
      </c>
      <c r="E11" s="8">
        <f t="shared" si="2"/>
        <v>-0.69778645930031613</v>
      </c>
    </row>
    <row r="12" spans="1:7" x14ac:dyDescent="0.2">
      <c r="A12" s="1">
        <v>41625</v>
      </c>
      <c r="B12">
        <v>39149.01</v>
      </c>
      <c r="C12" s="6">
        <f t="shared" si="0"/>
        <v>1.5742044111771672E-2</v>
      </c>
      <c r="D12" s="7">
        <f t="shared" si="1"/>
        <v>1.3385042210936247</v>
      </c>
      <c r="E12" s="8">
        <f t="shared" si="2"/>
        <v>-2.1575844845555809</v>
      </c>
      <c r="F12" s="13"/>
      <c r="G12" s="13"/>
    </row>
    <row r="13" spans="1:7" x14ac:dyDescent="0.2">
      <c r="A13" s="1">
        <v>41626</v>
      </c>
      <c r="B13">
        <v>39205.040000000001</v>
      </c>
      <c r="C13" s="6">
        <f t="shared" si="0"/>
        <v>1.4301751996307775E-3</v>
      </c>
      <c r="D13" s="7">
        <f t="shared" si="1"/>
        <v>0.10354015940214485</v>
      </c>
      <c r="E13" s="8">
        <f t="shared" si="2"/>
        <v>-0.69762438387335923</v>
      </c>
      <c r="F13" s="13"/>
      <c r="G13" s="20"/>
    </row>
    <row r="14" spans="1:7" x14ac:dyDescent="0.2">
      <c r="A14" s="1">
        <v>41627</v>
      </c>
      <c r="B14">
        <v>39607.300000000003</v>
      </c>
      <c r="C14" s="6">
        <f t="shared" si="0"/>
        <v>1.0208134745224803E-2</v>
      </c>
      <c r="D14" s="7">
        <f t="shared" si="1"/>
        <v>0.86098592978606892</v>
      </c>
      <c r="E14" s="8">
        <f t="shared" si="2"/>
        <v>-1.3908767611999246</v>
      </c>
      <c r="F14" s="15"/>
      <c r="G14" s="13"/>
    </row>
    <row r="15" spans="1:7" x14ac:dyDescent="0.2">
      <c r="A15" s="1">
        <v>41628</v>
      </c>
      <c r="B15">
        <v>39833.69</v>
      </c>
      <c r="C15" s="6">
        <f t="shared" si="0"/>
        <v>5.6995919326492872E-3</v>
      </c>
      <c r="D15" s="7">
        <f t="shared" si="1"/>
        <v>0.47194600926213975</v>
      </c>
      <c r="E15" s="8">
        <f t="shared" si="2"/>
        <v>-0.91714375942323767</v>
      </c>
      <c r="F15" s="13"/>
      <c r="G15" s="16"/>
    </row>
    <row r="16" spans="1:7" x14ac:dyDescent="0.2">
      <c r="A16" s="1">
        <v>41631</v>
      </c>
      <c r="B16">
        <v>39997.51</v>
      </c>
      <c r="C16" s="6">
        <f t="shared" si="0"/>
        <v>4.1041655380601614E-3</v>
      </c>
      <c r="D16" s="7">
        <f t="shared" si="1"/>
        <v>0.33427745790193542</v>
      </c>
      <c r="E16" s="8">
        <f t="shared" si="2"/>
        <v>-0.80437904990701403</v>
      </c>
      <c r="F16" s="13"/>
      <c r="G16" s="21"/>
    </row>
    <row r="17" spans="1:7" x14ac:dyDescent="0.2">
      <c r="A17" s="1">
        <v>41632</v>
      </c>
      <c r="B17">
        <v>40163.56</v>
      </c>
      <c r="C17" s="6">
        <f t="shared" si="0"/>
        <v>4.1429146967026991E-3</v>
      </c>
      <c r="D17" s="7">
        <f t="shared" si="1"/>
        <v>0.33762110355982161</v>
      </c>
      <c r="E17" s="8">
        <f t="shared" si="2"/>
        <v>-0.80670732397261746</v>
      </c>
      <c r="F17" s="13"/>
      <c r="G17" s="21"/>
    </row>
    <row r="18" spans="1:7" x14ac:dyDescent="0.2">
      <c r="A18" s="1">
        <v>41635</v>
      </c>
      <c r="B18">
        <v>40974.730000000003</v>
      </c>
      <c r="C18" s="6">
        <f t="shared" si="0"/>
        <v>1.9995418351385373E-2</v>
      </c>
      <c r="D18" s="7">
        <f t="shared" si="1"/>
        <v>1.7055257721638191</v>
      </c>
      <c r="E18" s="8">
        <f t="shared" si="2"/>
        <v>-2.7925708984471873</v>
      </c>
      <c r="F18" s="13"/>
      <c r="G18" s="21"/>
    </row>
    <row r="19" spans="1:7" x14ac:dyDescent="0.2">
      <c r="A19" s="1">
        <v>41638</v>
      </c>
      <c r="B19">
        <v>41348.03</v>
      </c>
      <c r="C19" s="6">
        <f t="shared" si="0"/>
        <v>9.0692430305610739E-3</v>
      </c>
      <c r="D19" s="7">
        <f t="shared" si="1"/>
        <v>0.76271152925863306</v>
      </c>
      <c r="E19" s="8">
        <f t="shared" si="2"/>
        <v>-1.2534817960109148</v>
      </c>
    </row>
    <row r="20" spans="1:7" x14ac:dyDescent="0.2">
      <c r="A20" s="1">
        <v>41639</v>
      </c>
      <c r="B20">
        <v>41482.39</v>
      </c>
      <c r="C20" s="6">
        <f t="shared" si="0"/>
        <v>3.2442215757109809E-3</v>
      </c>
      <c r="D20" s="7">
        <f t="shared" si="1"/>
        <v>0.26007332040673348</v>
      </c>
      <c r="E20" s="8">
        <f t="shared" si="2"/>
        <v>-0.75827418849664607</v>
      </c>
      <c r="F20" s="17"/>
    </row>
    <row r="21" spans="1:7" x14ac:dyDescent="0.2">
      <c r="A21" s="1">
        <v>41641</v>
      </c>
      <c r="B21">
        <v>41785.980000000003</v>
      </c>
      <c r="C21" s="6">
        <f t="shared" si="0"/>
        <v>7.2918767400538638E-3</v>
      </c>
      <c r="D21" s="7">
        <f t="shared" si="1"/>
        <v>0.6093434746241837</v>
      </c>
      <c r="E21" s="8">
        <f t="shared" si="2"/>
        <v>-1.0612838423218993</v>
      </c>
    </row>
    <row r="22" spans="1:7" x14ac:dyDescent="0.2">
      <c r="A22" s="1">
        <v>41642</v>
      </c>
      <c r="B22">
        <v>41418.25</v>
      </c>
      <c r="C22" s="6">
        <f t="shared" si="0"/>
        <v>-8.8392716165767264E-3</v>
      </c>
      <c r="D22" s="7">
        <f t="shared" si="1"/>
        <v>-0.78260530694639441</v>
      </c>
      <c r="E22" s="8">
        <f t="shared" si="2"/>
        <v>-1.2804838297634125</v>
      </c>
    </row>
    <row r="23" spans="1:7" x14ac:dyDescent="0.2">
      <c r="A23" s="1">
        <v>41645</v>
      </c>
      <c r="B23">
        <v>41164.449999999997</v>
      </c>
      <c r="C23" s="6">
        <f t="shared" si="0"/>
        <v>-6.1465851578421651E-3</v>
      </c>
      <c r="D23" s="7">
        <f t="shared" si="1"/>
        <v>-0.55025472950926202</v>
      </c>
      <c r="E23" s="8">
        <f t="shared" si="2"/>
        <v>-0.99573022133908085</v>
      </c>
    </row>
    <row r="24" spans="1:7" x14ac:dyDescent="0.2">
      <c r="A24" s="1">
        <v>41646</v>
      </c>
      <c r="B24">
        <v>41132.699999999997</v>
      </c>
      <c r="C24" s="6">
        <f t="shared" si="0"/>
        <v>-7.7159419433646978E-4</v>
      </c>
      <c r="D24" s="7">
        <f t="shared" si="1"/>
        <v>-8.6449428287212499E-2</v>
      </c>
      <c r="E24" s="8">
        <f t="shared" si="2"/>
        <v>-0.69412431850158862</v>
      </c>
    </row>
    <row r="25" spans="1:7" x14ac:dyDescent="0.2">
      <c r="A25" s="1">
        <v>41647</v>
      </c>
      <c r="B25">
        <v>40962.550000000003</v>
      </c>
      <c r="C25" s="6">
        <f t="shared" si="0"/>
        <v>-4.1451909491715799E-3</v>
      </c>
      <c r="D25" s="7">
        <f t="shared" si="1"/>
        <v>-0.37755541706035417</v>
      </c>
      <c r="E25" s="8">
        <f t="shared" si="2"/>
        <v>-0.83613765738801782</v>
      </c>
    </row>
    <row r="26" spans="1:7" x14ac:dyDescent="0.2">
      <c r="A26" s="1">
        <v>41648</v>
      </c>
      <c r="B26">
        <v>40719.11</v>
      </c>
      <c r="C26" s="6">
        <f t="shared" si="0"/>
        <v>-5.9607192309354311E-3</v>
      </c>
      <c r="D26" s="7">
        <f t="shared" si="1"/>
        <v>-0.53421645097052606</v>
      </c>
      <c r="E26" s="8">
        <f t="shared" si="2"/>
        <v>-0.97884185471447815</v>
      </c>
    </row>
    <row r="27" spans="1:7" x14ac:dyDescent="0.2">
      <c r="A27" s="1">
        <v>41649</v>
      </c>
      <c r="B27">
        <v>40834.33</v>
      </c>
      <c r="C27" s="6">
        <f t="shared" si="0"/>
        <v>2.8256337601865722E-3</v>
      </c>
      <c r="D27" s="7">
        <f t="shared" si="1"/>
        <v>0.22395358566013712</v>
      </c>
      <c r="E27" s="8">
        <f t="shared" si="2"/>
        <v>-0.73978479456092328</v>
      </c>
    </row>
    <row r="28" spans="1:7" x14ac:dyDescent="0.2">
      <c r="A28" s="1">
        <v>41652</v>
      </c>
      <c r="B28">
        <v>41269.29</v>
      </c>
      <c r="C28" s="6">
        <f t="shared" si="0"/>
        <v>1.0595490654455425E-2</v>
      </c>
      <c r="D28" s="7">
        <f t="shared" si="1"/>
        <v>0.89441067884716741</v>
      </c>
      <c r="E28" s="8">
        <f t="shared" si="2"/>
        <v>-1.439742731343749</v>
      </c>
    </row>
    <row r="29" spans="1:7" x14ac:dyDescent="0.2">
      <c r="A29" s="1">
        <v>41653</v>
      </c>
      <c r="B29">
        <v>41203.32</v>
      </c>
      <c r="C29" s="6">
        <f t="shared" si="0"/>
        <v>-1.5998042033628969E-3</v>
      </c>
      <c r="D29" s="7">
        <f t="shared" si="1"/>
        <v>-0.15791525870808468</v>
      </c>
      <c r="E29" s="8">
        <f t="shared" si="2"/>
        <v>-0.71289728081681669</v>
      </c>
    </row>
    <row r="30" spans="1:7" x14ac:dyDescent="0.2">
      <c r="A30" s="1">
        <v>41654</v>
      </c>
      <c r="B30">
        <v>41657.519999999997</v>
      </c>
      <c r="C30" s="6">
        <f t="shared" si="0"/>
        <v>1.0963068902994111E-2</v>
      </c>
      <c r="D30" s="7">
        <f t="shared" si="1"/>
        <v>0.92612882338800295</v>
      </c>
      <c r="E30" s="8">
        <f t="shared" si="2"/>
        <v>-1.487012893137917</v>
      </c>
    </row>
    <row r="31" spans="1:7" x14ac:dyDescent="0.2">
      <c r="A31" s="1">
        <v>41655</v>
      </c>
      <c r="B31">
        <v>41951.93</v>
      </c>
      <c r="C31" s="6">
        <f t="shared" si="0"/>
        <v>7.0425344701398494E-3</v>
      </c>
      <c r="D31" s="7">
        <f t="shared" si="1"/>
        <v>0.58782785396731996</v>
      </c>
      <c r="E31" s="8">
        <f t="shared" si="2"/>
        <v>-1.0368211520419621</v>
      </c>
    </row>
    <row r="32" spans="1:7" x14ac:dyDescent="0.2">
      <c r="A32" s="1">
        <v>41656</v>
      </c>
      <c r="B32">
        <v>41976.36</v>
      </c>
      <c r="C32" s="6">
        <f t="shared" si="0"/>
        <v>5.8216367067586696E-4</v>
      </c>
      <c r="D32" s="7">
        <f t="shared" si="1"/>
        <v>3.0365665659335718E-2</v>
      </c>
      <c r="E32" s="8">
        <f t="shared" si="2"/>
        <v>-0.68704901570384191</v>
      </c>
    </row>
    <row r="33" spans="1:5" x14ac:dyDescent="0.2">
      <c r="A33" s="1">
        <v>41659</v>
      </c>
      <c r="B33">
        <v>42240.94</v>
      </c>
      <c r="C33" s="6">
        <f t="shared" si="0"/>
        <v>6.2832902613078421E-3</v>
      </c>
      <c r="D33" s="7">
        <f t="shared" si="1"/>
        <v>0.52231304819939528</v>
      </c>
      <c r="E33" s="8">
        <f t="shared" si="2"/>
        <v>-0.96656646272745173</v>
      </c>
    </row>
    <row r="34" spans="1:5" x14ac:dyDescent="0.2">
      <c r="A34" s="1">
        <v>41660</v>
      </c>
      <c r="B34">
        <v>42195.76</v>
      </c>
      <c r="C34" s="6">
        <f t="shared" si="0"/>
        <v>-1.0701508777999364E-3</v>
      </c>
      <c r="D34" s="7">
        <f t="shared" si="1"/>
        <v>-0.11221173625122709</v>
      </c>
      <c r="E34" s="8">
        <f t="shared" si="2"/>
        <v>-0.69963907791855984</v>
      </c>
    </row>
    <row r="35" spans="1:5" x14ac:dyDescent="0.2">
      <c r="A35" s="1">
        <v>41661</v>
      </c>
      <c r="B35">
        <v>42262.16</v>
      </c>
      <c r="C35" s="6">
        <f t="shared" si="0"/>
        <v>1.5723809840572861E-3</v>
      </c>
      <c r="D35" s="7">
        <f t="shared" si="1"/>
        <v>0.11581102592625092</v>
      </c>
      <c r="E35" s="8">
        <f t="shared" si="2"/>
        <v>-0.70052241365798074</v>
      </c>
    </row>
    <row r="36" spans="1:5" x14ac:dyDescent="0.2">
      <c r="A36" s="1">
        <v>41662</v>
      </c>
      <c r="B36">
        <v>42313.97</v>
      </c>
      <c r="C36" s="6">
        <f t="shared" si="0"/>
        <v>1.2251685311382007E-3</v>
      </c>
      <c r="D36" s="7">
        <f t="shared" si="1"/>
        <v>8.5850235776540662E-2</v>
      </c>
      <c r="E36" s="8">
        <f t="shared" si="2"/>
        <v>-0.69401296145568603</v>
      </c>
    </row>
    <row r="37" spans="1:5" x14ac:dyDescent="0.2">
      <c r="A37" s="1">
        <v>41663</v>
      </c>
      <c r="B37">
        <v>41739.019999999997</v>
      </c>
      <c r="C37" s="6">
        <f t="shared" si="0"/>
        <v>-1.3680868879769994E-2</v>
      </c>
      <c r="D37" s="7">
        <f t="shared" si="1"/>
        <v>-1.2003843306317845</v>
      </c>
      <c r="E37" s="8">
        <f t="shared" si="2"/>
        <v>-1.9242751957403501</v>
      </c>
    </row>
    <row r="38" spans="1:5" x14ac:dyDescent="0.2">
      <c r="A38" s="1">
        <v>41666</v>
      </c>
      <c r="B38">
        <v>41090.639999999999</v>
      </c>
      <c r="C38" s="6">
        <f t="shared" si="0"/>
        <v>-1.5656064356046946E-2</v>
      </c>
      <c r="D38" s="7">
        <f t="shared" si="1"/>
        <v>-1.3708229674717534</v>
      </c>
      <c r="E38" s="8">
        <f t="shared" si="2"/>
        <v>-2.2129190475780693</v>
      </c>
    </row>
    <row r="39" spans="1:5" x14ac:dyDescent="0.2">
      <c r="A39" s="1">
        <v>41667</v>
      </c>
      <c r="B39">
        <v>41085.1</v>
      </c>
      <c r="C39" s="6">
        <f t="shared" si="0"/>
        <v>-1.3483298132500857E-4</v>
      </c>
      <c r="D39" s="7">
        <f t="shared" si="1"/>
        <v>-3.1503619408182276E-2</v>
      </c>
      <c r="E39" s="8">
        <f t="shared" si="2"/>
        <v>-0.68712514532016078</v>
      </c>
    </row>
    <row r="40" spans="1:5" x14ac:dyDescent="0.2">
      <c r="A40" s="1">
        <v>41668</v>
      </c>
      <c r="B40">
        <v>40974.519999999997</v>
      </c>
      <c r="C40" s="6">
        <f t="shared" si="0"/>
        <v>-2.6951152572847734E-3</v>
      </c>
      <c r="D40" s="7">
        <f t="shared" si="1"/>
        <v>-0.25242910566062721</v>
      </c>
      <c r="E40" s="8">
        <f t="shared" si="2"/>
        <v>-0.75414161590378892</v>
      </c>
    </row>
    <row r="41" spans="1:5" x14ac:dyDescent="0.2">
      <c r="A41" s="1">
        <v>41669</v>
      </c>
      <c r="B41">
        <v>40687.21</v>
      </c>
      <c r="C41" s="6">
        <f t="shared" si="0"/>
        <v>-7.0366176540143143E-3</v>
      </c>
      <c r="D41" s="7">
        <f t="shared" si="1"/>
        <v>-0.6270551916472108</v>
      </c>
      <c r="E41" s="8">
        <f t="shared" si="2"/>
        <v>-1.0819140269480856</v>
      </c>
    </row>
    <row r="42" spans="1:5" x14ac:dyDescent="0.2">
      <c r="A42" s="1">
        <v>41670</v>
      </c>
      <c r="B42">
        <v>40586.730000000003</v>
      </c>
      <c r="C42" s="6">
        <f t="shared" si="0"/>
        <v>-2.4726265563984034E-3</v>
      </c>
      <c r="D42" s="7">
        <f t="shared" si="1"/>
        <v>-0.23323066614068402</v>
      </c>
      <c r="E42" s="8">
        <f t="shared" si="2"/>
        <v>-0.74428157091767755</v>
      </c>
    </row>
    <row r="43" spans="1:5" x14ac:dyDescent="0.2">
      <c r="A43" s="1">
        <v>41673</v>
      </c>
      <c r="B43">
        <v>40431.550000000003</v>
      </c>
      <c r="C43" s="6">
        <f t="shared" si="0"/>
        <v>-3.8307451051070376E-3</v>
      </c>
      <c r="D43" s="7">
        <f t="shared" si="1"/>
        <v>-0.35042204131803378</v>
      </c>
      <c r="E43" s="8">
        <f t="shared" si="2"/>
        <v>-0.81581645628370658</v>
      </c>
    </row>
    <row r="44" spans="1:5" x14ac:dyDescent="0.2">
      <c r="A44" s="1">
        <v>41674</v>
      </c>
      <c r="B44">
        <v>39945.440000000002</v>
      </c>
      <c r="C44" s="6">
        <f t="shared" si="0"/>
        <v>-1.2095897766557633E-2</v>
      </c>
      <c r="D44" s="7">
        <f t="shared" si="1"/>
        <v>-1.0636179603098808</v>
      </c>
      <c r="E44" s="8">
        <f t="shared" si="2"/>
        <v>-1.7006764991154004</v>
      </c>
    </row>
    <row r="45" spans="1:5" x14ac:dyDescent="0.2">
      <c r="A45" s="1">
        <v>41675</v>
      </c>
      <c r="B45">
        <v>39967.589999999997</v>
      </c>
      <c r="C45" s="6">
        <f t="shared" si="0"/>
        <v>5.5435266482160525E-4</v>
      </c>
      <c r="D45" s="7">
        <f t="shared" si="1"/>
        <v>2.7965867774073585E-2</v>
      </c>
      <c r="E45" s="8">
        <f t="shared" si="2"/>
        <v>-0.68689764225581418</v>
      </c>
    </row>
    <row r="46" spans="1:5" x14ac:dyDescent="0.2">
      <c r="A46" s="1">
        <v>41676</v>
      </c>
      <c r="B46">
        <v>40465</v>
      </c>
      <c r="C46" s="6">
        <f t="shared" si="0"/>
        <v>1.2368527263679065E-2</v>
      </c>
      <c r="D46" s="7">
        <f t="shared" si="1"/>
        <v>1.0474051274336149</v>
      </c>
      <c r="E46" s="8">
        <f t="shared" si="2"/>
        <v>-1.6748241726578039</v>
      </c>
    </row>
    <row r="47" spans="1:5" x14ac:dyDescent="0.2">
      <c r="A47" s="1">
        <v>41677</v>
      </c>
      <c r="B47">
        <v>40777.599999999999</v>
      </c>
      <c r="C47" s="6">
        <f t="shared" si="0"/>
        <v>7.6955080881577756E-3</v>
      </c>
      <c r="D47" s="7">
        <f t="shared" si="1"/>
        <v>0.64417262322388591</v>
      </c>
      <c r="E47" s="8">
        <f t="shared" si="2"/>
        <v>-1.1022636154946914</v>
      </c>
    </row>
    <row r="48" spans="1:5" x14ac:dyDescent="0.2">
      <c r="A48" s="1">
        <v>41680</v>
      </c>
      <c r="B48">
        <v>41321.019999999997</v>
      </c>
      <c r="C48" s="6">
        <f t="shared" si="0"/>
        <v>1.3238418293317062E-2</v>
      </c>
      <c r="D48" s="7">
        <f t="shared" si="1"/>
        <v>1.1224675924258283</v>
      </c>
      <c r="E48" s="8">
        <f t="shared" si="2"/>
        <v>-1.795764105947786</v>
      </c>
    </row>
    <row r="49" spans="1:5" x14ac:dyDescent="0.2">
      <c r="A49" s="1">
        <v>41681</v>
      </c>
      <c r="B49">
        <v>41299.94</v>
      </c>
      <c r="C49" s="6">
        <f t="shared" si="0"/>
        <v>-5.1028214771194102E-4</v>
      </c>
      <c r="D49" s="7">
        <f t="shared" si="1"/>
        <v>-6.3900941541740516E-2</v>
      </c>
      <c r="E49" s="8">
        <f t="shared" si="2"/>
        <v>-0.69046529707106385</v>
      </c>
    </row>
    <row r="50" spans="1:5" x14ac:dyDescent="0.2">
      <c r="A50" s="1">
        <v>41682</v>
      </c>
      <c r="B50">
        <v>41848.910000000003</v>
      </c>
      <c r="C50" s="6">
        <f t="shared" si="0"/>
        <v>1.3204704014629977E-2</v>
      </c>
      <c r="D50" s="7">
        <f t="shared" si="1"/>
        <v>1.1195584040591657</v>
      </c>
      <c r="E50" s="8">
        <f t="shared" si="2"/>
        <v>-1.7910204505086573</v>
      </c>
    </row>
    <row r="51" spans="1:5" x14ac:dyDescent="0.2">
      <c r="A51" s="1">
        <v>41683</v>
      </c>
      <c r="B51">
        <v>41730.089999999997</v>
      </c>
      <c r="C51" s="6">
        <f t="shared" si="0"/>
        <v>-2.8432998731398344E-3</v>
      </c>
      <c r="D51" s="7">
        <f t="shared" si="1"/>
        <v>-0.26521588257983969</v>
      </c>
      <c r="E51" s="8">
        <f t="shared" si="2"/>
        <v>-0.76112013315269822</v>
      </c>
    </row>
    <row r="52" spans="1:5" x14ac:dyDescent="0.2">
      <c r="A52" s="1">
        <v>41684</v>
      </c>
      <c r="B52">
        <v>42093.15</v>
      </c>
      <c r="C52" s="6">
        <f t="shared" si="0"/>
        <v>8.6625682885813418E-3</v>
      </c>
      <c r="D52" s="7">
        <f t="shared" si="1"/>
        <v>0.72761976771262149</v>
      </c>
      <c r="E52" s="8">
        <f t="shared" si="2"/>
        <v>-1.2069369062908388</v>
      </c>
    </row>
    <row r="53" spans="1:5" x14ac:dyDescent="0.2">
      <c r="A53" s="1">
        <v>41687</v>
      </c>
      <c r="B53">
        <v>42478.879999999997</v>
      </c>
      <c r="C53" s="6">
        <f t="shared" si="0"/>
        <v>9.1219916262125725E-3</v>
      </c>
      <c r="D53" s="7">
        <f t="shared" si="1"/>
        <v>0.76726317938442734</v>
      </c>
      <c r="E53" s="8">
        <f t="shared" si="2"/>
        <v>-1.2596214028998913</v>
      </c>
    </row>
    <row r="54" spans="1:5" x14ac:dyDescent="0.2">
      <c r="A54" s="1">
        <v>41688</v>
      </c>
      <c r="B54">
        <v>42575.61</v>
      </c>
      <c r="C54" s="6">
        <f t="shared" si="0"/>
        <v>2.2745428654756955E-3</v>
      </c>
      <c r="D54" s="7">
        <f t="shared" si="1"/>
        <v>0.17640022600659841</v>
      </c>
      <c r="E54" s="8">
        <f t="shared" si="2"/>
        <v>-0.71951023484553533</v>
      </c>
    </row>
    <row r="55" spans="1:5" x14ac:dyDescent="0.2">
      <c r="A55" s="1">
        <v>41689</v>
      </c>
      <c r="B55">
        <v>42909.69</v>
      </c>
      <c r="C55" s="6">
        <f t="shared" si="0"/>
        <v>7.8161204509378645E-3</v>
      </c>
      <c r="D55" s="7">
        <f t="shared" si="1"/>
        <v>0.65458020411660556</v>
      </c>
      <c r="E55" s="8">
        <f t="shared" si="2"/>
        <v>-1.1148299326496982</v>
      </c>
    </row>
    <row r="56" spans="1:5" x14ac:dyDescent="0.2">
      <c r="A56" s="1">
        <v>41690</v>
      </c>
      <c r="B56">
        <v>42660.52</v>
      </c>
      <c r="C56" s="6">
        <f t="shared" si="0"/>
        <v>-5.8237721806170045E-3</v>
      </c>
      <c r="D56" s="7">
        <f t="shared" si="1"/>
        <v>-0.52239935800131632</v>
      </c>
      <c r="E56" s="8">
        <f t="shared" si="2"/>
        <v>-0.96665466679562861</v>
      </c>
    </row>
    <row r="57" spans="1:5" x14ac:dyDescent="0.2">
      <c r="A57" s="1">
        <v>41691</v>
      </c>
      <c r="B57">
        <v>42952.99</v>
      </c>
      <c r="C57" s="6">
        <f t="shared" si="0"/>
        <v>6.8323594660493273E-3</v>
      </c>
      <c r="D57" s="7">
        <f t="shared" si="1"/>
        <v>0.5696919572293706</v>
      </c>
      <c r="E57" s="8">
        <f t="shared" si="2"/>
        <v>-1.0167241650298047</v>
      </c>
    </row>
    <row r="58" spans="1:5" x14ac:dyDescent="0.2">
      <c r="A58" s="1">
        <v>41694</v>
      </c>
      <c r="B58">
        <v>42880.77</v>
      </c>
      <c r="C58" s="6">
        <f t="shared" si="0"/>
        <v>-1.6827881486857848E-3</v>
      </c>
      <c r="D58" s="7">
        <f t="shared" si="1"/>
        <v>-0.16507590214328274</v>
      </c>
      <c r="E58" s="8">
        <f t="shared" si="2"/>
        <v>-0.71537404753295453</v>
      </c>
    </row>
    <row r="59" spans="1:5" x14ac:dyDescent="0.2">
      <c r="A59" s="1">
        <v>41695</v>
      </c>
      <c r="B59">
        <v>42442.55</v>
      </c>
      <c r="C59" s="6">
        <f t="shared" si="0"/>
        <v>-1.0272076924474266E-2</v>
      </c>
      <c r="D59" s="7">
        <f t="shared" si="1"/>
        <v>-0.90624136548751233</v>
      </c>
      <c r="E59" s="8">
        <f t="shared" si="2"/>
        <v>-1.4572750176450591</v>
      </c>
    </row>
    <row r="60" spans="1:5" x14ac:dyDescent="0.2">
      <c r="A60" s="1">
        <v>41696</v>
      </c>
      <c r="B60">
        <v>42535.95</v>
      </c>
      <c r="C60" s="6">
        <f t="shared" si="0"/>
        <v>2.198203960056678E-3</v>
      </c>
      <c r="D60" s="7">
        <f t="shared" si="1"/>
        <v>0.16981297976502777</v>
      </c>
      <c r="E60" s="8">
        <f t="shared" si="2"/>
        <v>-0.71707162139562075</v>
      </c>
    </row>
    <row r="61" spans="1:5" x14ac:dyDescent="0.2">
      <c r="A61" s="1">
        <v>41697</v>
      </c>
      <c r="B61">
        <v>42544.63</v>
      </c>
      <c r="C61" s="6">
        <f t="shared" si="0"/>
        <v>2.0404186314000613E-4</v>
      </c>
      <c r="D61" s="7">
        <f t="shared" si="1"/>
        <v>-2.2622773518302264E-3</v>
      </c>
      <c r="E61" s="8">
        <f t="shared" si="2"/>
        <v>-0.68605730399305764</v>
      </c>
    </row>
    <row r="62" spans="1:5" x14ac:dyDescent="0.2">
      <c r="A62" s="1">
        <v>41698</v>
      </c>
      <c r="B62">
        <v>42771.61</v>
      </c>
      <c r="C62" s="6">
        <f t="shared" si="0"/>
        <v>5.3209221485908311E-3</v>
      </c>
      <c r="D62" s="7">
        <f t="shared" si="1"/>
        <v>0.43927078162894367</v>
      </c>
      <c r="E62" s="8">
        <f t="shared" si="2"/>
        <v>-0.88733853336590585</v>
      </c>
    </row>
    <row r="63" spans="1:5" x14ac:dyDescent="0.2">
      <c r="A63" s="1">
        <v>41701</v>
      </c>
      <c r="B63">
        <v>42577.64</v>
      </c>
      <c r="C63" s="6">
        <f t="shared" si="0"/>
        <v>-4.5453318910768951E-3</v>
      </c>
      <c r="D63" s="7">
        <f t="shared" si="1"/>
        <v>-0.41208338024238433</v>
      </c>
      <c r="E63" s="8">
        <f t="shared" si="2"/>
        <v>-0.86394626694930843</v>
      </c>
    </row>
    <row r="64" spans="1:5" x14ac:dyDescent="0.2">
      <c r="A64" s="1">
        <v>41702</v>
      </c>
      <c r="B64">
        <v>43064.97</v>
      </c>
      <c r="C64" s="6">
        <f t="shared" si="0"/>
        <v>1.1380672772399495E-2</v>
      </c>
      <c r="D64" s="7">
        <f t="shared" si="1"/>
        <v>0.96216365391257941</v>
      </c>
      <c r="E64" s="8">
        <f t="shared" si="2"/>
        <v>-1.5417058366564482</v>
      </c>
    </row>
    <row r="65" spans="1:5" x14ac:dyDescent="0.2">
      <c r="A65" s="1">
        <v>41703</v>
      </c>
      <c r="B65">
        <v>42952.98</v>
      </c>
      <c r="C65" s="6">
        <f t="shared" si="0"/>
        <v>-2.6038765926404491E-3</v>
      </c>
      <c r="D65" s="7">
        <f t="shared" si="1"/>
        <v>-0.24455616659416632</v>
      </c>
      <c r="E65" s="8">
        <f t="shared" si="2"/>
        <v>-0.75000813806705291</v>
      </c>
    </row>
    <row r="66" spans="1:5" x14ac:dyDescent="0.2">
      <c r="A66" s="1">
        <v>41704</v>
      </c>
      <c r="B66">
        <v>43236.13</v>
      </c>
      <c r="C66" s="6">
        <f t="shared" si="0"/>
        <v>6.5704592761998103E-3</v>
      </c>
      <c r="D66" s="7">
        <f t="shared" si="1"/>
        <v>0.54709271989706421</v>
      </c>
      <c r="E66" s="8">
        <f t="shared" si="2"/>
        <v>-0.99236923500091756</v>
      </c>
    </row>
    <row r="67" spans="1:5" x14ac:dyDescent="0.2">
      <c r="A67" s="1">
        <v>41705</v>
      </c>
      <c r="B67">
        <v>43206.26</v>
      </c>
      <c r="C67" s="6">
        <f t="shared" ref="C67:C130" si="3">LN(B67/B66)</f>
        <v>-6.9109614365946322E-4</v>
      </c>
      <c r="D67" s="7">
        <f t="shared" ref="D67:D130" si="4">(C67-$G$4)/$G$5</f>
        <v>-7.9503291466605494E-2</v>
      </c>
      <c r="E67" s="8">
        <f t="shared" ref="E67:E130" si="5">LN((PI()*(G$3-2))^(-1/2)*EXP(GAMMALN((G$3+1)/2))*((1+D67^2/(G$3-2))^(-(G$3+1)/2))/EXP(GAMMALN(G$3/2)))</f>
        <v>-0.69288071268444207</v>
      </c>
    </row>
    <row r="68" spans="1:5" x14ac:dyDescent="0.2">
      <c r="A68" s="1">
        <v>41708</v>
      </c>
      <c r="B68">
        <v>42735.38</v>
      </c>
      <c r="C68" s="6">
        <f t="shared" si="3"/>
        <v>-1.0958243572068279E-2</v>
      </c>
      <c r="D68" s="7">
        <f t="shared" si="4"/>
        <v>-0.96545034478378566</v>
      </c>
      <c r="E68" s="8">
        <f t="shared" si="5"/>
        <v>-1.5467440350929611</v>
      </c>
    </row>
    <row r="69" spans="1:5" x14ac:dyDescent="0.2">
      <c r="A69" s="1">
        <v>41709</v>
      </c>
      <c r="B69">
        <v>43055.99</v>
      </c>
      <c r="C69" s="6">
        <f t="shared" si="3"/>
        <v>7.4742131415162678E-3</v>
      </c>
      <c r="D69" s="7">
        <f t="shared" si="4"/>
        <v>0.62507719216495838</v>
      </c>
      <c r="E69" s="8">
        <f t="shared" si="5"/>
        <v>-1.0795884201052333</v>
      </c>
    </row>
    <row r="70" spans="1:5" x14ac:dyDescent="0.2">
      <c r="A70" s="1">
        <v>41710</v>
      </c>
      <c r="B70">
        <v>42607.46</v>
      </c>
      <c r="C70" s="6">
        <f t="shared" si="3"/>
        <v>-1.0472006413896165E-2</v>
      </c>
      <c r="D70" s="7">
        <f t="shared" si="4"/>
        <v>-0.92349318185224427</v>
      </c>
      <c r="E70" s="8">
        <f t="shared" si="5"/>
        <v>-1.4830530137287596</v>
      </c>
    </row>
    <row r="71" spans="1:5" x14ac:dyDescent="0.2">
      <c r="A71" s="1">
        <v>41711</v>
      </c>
      <c r="B71">
        <v>42213.03</v>
      </c>
      <c r="C71" s="6">
        <f t="shared" si="3"/>
        <v>-9.3004141594403636E-3</v>
      </c>
      <c r="D71" s="7">
        <f t="shared" si="4"/>
        <v>-0.8223970679840118</v>
      </c>
      <c r="E71" s="8">
        <f t="shared" si="5"/>
        <v>-1.3357576997722189</v>
      </c>
    </row>
    <row r="72" spans="1:5" x14ac:dyDescent="0.2">
      <c r="A72" s="1">
        <v>41712</v>
      </c>
      <c r="B72">
        <v>41761.01</v>
      </c>
      <c r="C72" s="6">
        <f t="shared" si="3"/>
        <v>-1.076581204985361E-2</v>
      </c>
      <c r="D72" s="7">
        <f t="shared" si="4"/>
        <v>-0.94884552428615632</v>
      </c>
      <c r="E72" s="8">
        <f t="shared" si="5"/>
        <v>-1.5213740042616628</v>
      </c>
    </row>
    <row r="73" spans="1:5" x14ac:dyDescent="0.2">
      <c r="A73" s="1">
        <v>41715</v>
      </c>
      <c r="B73">
        <v>42156.24</v>
      </c>
      <c r="C73" s="6">
        <f t="shared" si="3"/>
        <v>9.4195870895851901E-3</v>
      </c>
      <c r="D73" s="7">
        <f t="shared" si="4"/>
        <v>0.79294254414410836</v>
      </c>
      <c r="E73" s="8">
        <f t="shared" si="5"/>
        <v>-1.294683928729977</v>
      </c>
    </row>
    <row r="74" spans="1:5" x14ac:dyDescent="0.2">
      <c r="A74" s="1">
        <v>41716</v>
      </c>
      <c r="B74">
        <v>42393.08</v>
      </c>
      <c r="C74" s="6">
        <f t="shared" si="3"/>
        <v>5.6024251756904E-3</v>
      </c>
      <c r="D74" s="7">
        <f t="shared" si="4"/>
        <v>0.46356153805352346</v>
      </c>
      <c r="E74" s="8">
        <f t="shared" si="5"/>
        <v>-0.90932270155626627</v>
      </c>
    </row>
    <row r="75" spans="1:5" x14ac:dyDescent="0.2">
      <c r="A75" s="1">
        <v>41717</v>
      </c>
      <c r="B75">
        <v>42006.91</v>
      </c>
      <c r="C75" s="6">
        <f t="shared" si="3"/>
        <v>-9.1510128106067883E-3</v>
      </c>
      <c r="D75" s="7">
        <f t="shared" si="4"/>
        <v>-0.8095052997802672</v>
      </c>
      <c r="E75" s="8">
        <f t="shared" si="5"/>
        <v>-1.3176705962472146</v>
      </c>
    </row>
    <row r="76" spans="1:5" x14ac:dyDescent="0.2">
      <c r="A76" s="1">
        <v>41718</v>
      </c>
      <c r="B76">
        <v>41885.370000000003</v>
      </c>
      <c r="C76" s="6">
        <f t="shared" si="3"/>
        <v>-2.8975272822260936E-3</v>
      </c>
      <c r="D76" s="7">
        <f t="shared" si="4"/>
        <v>-0.26989513878259613</v>
      </c>
      <c r="E76" s="8">
        <f t="shared" si="5"/>
        <v>-0.76375550816605808</v>
      </c>
    </row>
    <row r="77" spans="1:5" x14ac:dyDescent="0.2">
      <c r="A77" s="1">
        <v>41722</v>
      </c>
      <c r="B77">
        <v>42226.83</v>
      </c>
      <c r="C77" s="6">
        <f t="shared" si="3"/>
        <v>8.1191997306334571E-3</v>
      </c>
      <c r="D77" s="7">
        <f t="shared" si="4"/>
        <v>0.68073276466373867</v>
      </c>
      <c r="E77" s="8">
        <f t="shared" si="5"/>
        <v>-1.1470362724957048</v>
      </c>
    </row>
    <row r="78" spans="1:5" x14ac:dyDescent="0.2">
      <c r="A78" s="1">
        <v>41723</v>
      </c>
      <c r="B78">
        <v>42721.29</v>
      </c>
      <c r="C78" s="6">
        <f t="shared" si="3"/>
        <v>1.1641589816501874E-2</v>
      </c>
      <c r="D78" s="7">
        <f t="shared" si="4"/>
        <v>0.98467805608655856</v>
      </c>
      <c r="E78" s="8">
        <f t="shared" si="5"/>
        <v>-1.5763777380976216</v>
      </c>
    </row>
    <row r="79" spans="1:5" x14ac:dyDescent="0.2">
      <c r="A79" s="1">
        <v>41724</v>
      </c>
      <c r="B79">
        <v>42943.040000000001</v>
      </c>
      <c r="C79" s="6">
        <f t="shared" si="3"/>
        <v>5.1771955796169307E-3</v>
      </c>
      <c r="D79" s="7">
        <f t="shared" si="4"/>
        <v>0.42686868736140771</v>
      </c>
      <c r="E79" s="8">
        <f t="shared" si="5"/>
        <v>-0.8765067402909732</v>
      </c>
    </row>
    <row r="80" spans="1:5" x14ac:dyDescent="0.2">
      <c r="A80" s="1">
        <v>41725</v>
      </c>
      <c r="B80">
        <v>42663.18</v>
      </c>
      <c r="C80" s="6">
        <f t="shared" si="3"/>
        <v>-6.5383332425123951E-3</v>
      </c>
      <c r="D80" s="7">
        <f t="shared" si="4"/>
        <v>-0.5840584772080547</v>
      </c>
      <c r="E80" s="8">
        <f t="shared" si="5"/>
        <v>-1.0326043507462379</v>
      </c>
    </row>
    <row r="81" spans="1:5" x14ac:dyDescent="0.2">
      <c r="A81" s="1">
        <v>41726</v>
      </c>
      <c r="B81">
        <v>43167.6</v>
      </c>
      <c r="C81" s="6">
        <f t="shared" si="3"/>
        <v>1.1753960697011826E-2</v>
      </c>
      <c r="D81" s="7">
        <f t="shared" si="4"/>
        <v>0.99437448356659885</v>
      </c>
      <c r="E81" s="8">
        <f t="shared" si="5"/>
        <v>-1.5914225742690162</v>
      </c>
    </row>
    <row r="82" spans="1:5" x14ac:dyDescent="0.2">
      <c r="A82" s="1">
        <v>41729</v>
      </c>
      <c r="B82">
        <v>42996.63</v>
      </c>
      <c r="C82" s="6">
        <f t="shared" si="3"/>
        <v>-3.9684733300743187E-3</v>
      </c>
      <c r="D82" s="7">
        <f t="shared" si="4"/>
        <v>-0.36230654145979119</v>
      </c>
      <c r="E82" s="8">
        <f t="shared" si="5"/>
        <v>-0.8245488977857458</v>
      </c>
    </row>
    <row r="83" spans="1:5" x14ac:dyDescent="0.2">
      <c r="A83" s="1">
        <v>41730</v>
      </c>
      <c r="B83">
        <v>43320.65</v>
      </c>
      <c r="C83" s="6">
        <f t="shared" si="3"/>
        <v>7.5076861077408696E-3</v>
      </c>
      <c r="D83" s="7">
        <f t="shared" si="4"/>
        <v>0.62796555779906005</v>
      </c>
      <c r="E83" s="8">
        <f t="shared" si="5"/>
        <v>-1.0829861937954059</v>
      </c>
    </row>
    <row r="84" spans="1:5" x14ac:dyDescent="0.2">
      <c r="A84" s="1">
        <v>41731</v>
      </c>
      <c r="B84">
        <v>43631.7</v>
      </c>
      <c r="C84" s="6">
        <f t="shared" si="3"/>
        <v>7.154523754999322E-3</v>
      </c>
      <c r="D84" s="7">
        <f t="shared" si="4"/>
        <v>0.59749135374816653</v>
      </c>
      <c r="E84" s="8">
        <f t="shared" si="5"/>
        <v>-1.0477260195955751</v>
      </c>
    </row>
    <row r="85" spans="1:5" x14ac:dyDescent="0.2">
      <c r="A85" s="1">
        <v>41732</v>
      </c>
      <c r="B85">
        <v>43439.95</v>
      </c>
      <c r="C85" s="6">
        <f t="shared" si="3"/>
        <v>-4.4044257799000985E-3</v>
      </c>
      <c r="D85" s="7">
        <f t="shared" si="4"/>
        <v>-0.39992466187762693</v>
      </c>
      <c r="E85" s="8">
        <f t="shared" si="5"/>
        <v>-0.85390829277717961</v>
      </c>
    </row>
    <row r="86" spans="1:5" x14ac:dyDescent="0.2">
      <c r="A86" s="1">
        <v>41733</v>
      </c>
      <c r="B86">
        <v>43537.43</v>
      </c>
      <c r="C86" s="6">
        <f t="shared" si="3"/>
        <v>2.2415032693411893E-3</v>
      </c>
      <c r="D86" s="7">
        <f t="shared" si="4"/>
        <v>0.17354925566237575</v>
      </c>
      <c r="E86" s="8">
        <f t="shared" si="5"/>
        <v>-0.71844367141804999</v>
      </c>
    </row>
    <row r="87" spans="1:5" x14ac:dyDescent="0.2">
      <c r="A87" s="1">
        <v>41736</v>
      </c>
      <c r="B87">
        <v>43020.05</v>
      </c>
      <c r="C87" s="6">
        <f t="shared" si="3"/>
        <v>-1.195474179244249E-2</v>
      </c>
      <c r="D87" s="7">
        <f t="shared" si="4"/>
        <v>-1.051437681396246</v>
      </c>
      <c r="E87" s="8">
        <f t="shared" si="5"/>
        <v>-1.6812395540772338</v>
      </c>
    </row>
    <row r="88" spans="1:5" x14ac:dyDescent="0.2">
      <c r="A88" s="1">
        <v>41737</v>
      </c>
      <c r="B88">
        <v>43230.33</v>
      </c>
      <c r="C88" s="6">
        <f t="shared" si="3"/>
        <v>4.8760461491661753E-3</v>
      </c>
      <c r="D88" s="7">
        <f t="shared" si="4"/>
        <v>0.40088265254732086</v>
      </c>
      <c r="E88" s="8">
        <f t="shared" si="5"/>
        <v>-0.85468957533315648</v>
      </c>
    </row>
    <row r="89" spans="1:5" x14ac:dyDescent="0.2">
      <c r="A89" s="1">
        <v>41738</v>
      </c>
      <c r="B89">
        <v>43436.29</v>
      </c>
      <c r="C89" s="6">
        <f t="shared" si="3"/>
        <v>4.7529345837231144E-3</v>
      </c>
      <c r="D89" s="7">
        <f t="shared" si="4"/>
        <v>0.39025941669782371</v>
      </c>
      <c r="E89" s="8">
        <f t="shared" si="5"/>
        <v>-0.84611847868137813</v>
      </c>
    </row>
    <row r="90" spans="1:5" x14ac:dyDescent="0.2">
      <c r="A90" s="1">
        <v>41739</v>
      </c>
      <c r="B90">
        <v>43609.39</v>
      </c>
      <c r="C90" s="6">
        <f t="shared" si="3"/>
        <v>3.9772273174143386E-3</v>
      </c>
      <c r="D90" s="7">
        <f t="shared" si="4"/>
        <v>0.32332402187516535</v>
      </c>
      <c r="E90" s="8">
        <f t="shared" si="5"/>
        <v>-0.79690103012730884</v>
      </c>
    </row>
    <row r="91" spans="1:5" x14ac:dyDescent="0.2">
      <c r="A91" s="1">
        <v>41740</v>
      </c>
      <c r="B91">
        <v>43116.91</v>
      </c>
      <c r="C91" s="6">
        <f t="shared" si="3"/>
        <v>-1.1357230588696567E-2</v>
      </c>
      <c r="D91" s="7">
        <f t="shared" si="4"/>
        <v>-0.99987873632665714</v>
      </c>
      <c r="E91" s="8">
        <f t="shared" si="5"/>
        <v>-1.5999921439422322</v>
      </c>
    </row>
    <row r="92" spans="1:5" x14ac:dyDescent="0.2">
      <c r="A92" s="1">
        <v>41743</v>
      </c>
      <c r="B92">
        <v>43265.04</v>
      </c>
      <c r="C92" s="6">
        <f t="shared" si="3"/>
        <v>3.4296550424863016E-3</v>
      </c>
      <c r="D92" s="7">
        <f t="shared" si="4"/>
        <v>0.27607428217547325</v>
      </c>
      <c r="E92" s="8">
        <f t="shared" si="5"/>
        <v>-0.76730231058593179</v>
      </c>
    </row>
    <row r="93" spans="1:5" x14ac:dyDescent="0.2">
      <c r="A93" s="1">
        <v>41744</v>
      </c>
      <c r="B93">
        <v>42905.65</v>
      </c>
      <c r="C93" s="6">
        <f t="shared" si="3"/>
        <v>-8.3413996993437749E-3</v>
      </c>
      <c r="D93" s="7">
        <f t="shared" si="4"/>
        <v>-0.73964418643287833</v>
      </c>
      <c r="E93" s="8">
        <f t="shared" si="5"/>
        <v>-1.2227259264177475</v>
      </c>
    </row>
    <row r="94" spans="1:5" x14ac:dyDescent="0.2">
      <c r="A94" s="1">
        <v>41745</v>
      </c>
      <c r="B94">
        <v>43242.25</v>
      </c>
      <c r="C94" s="6">
        <f t="shared" si="3"/>
        <v>7.8145076760878784E-3</v>
      </c>
      <c r="D94" s="7">
        <f t="shared" si="4"/>
        <v>0.65444103857564373</v>
      </c>
      <c r="E94" s="8">
        <f t="shared" si="5"/>
        <v>-1.1146609487422701</v>
      </c>
    </row>
    <row r="95" spans="1:5" x14ac:dyDescent="0.2">
      <c r="A95" s="1">
        <v>41746</v>
      </c>
      <c r="B95">
        <v>43446.52</v>
      </c>
      <c r="C95" s="6">
        <f t="shared" si="3"/>
        <v>4.7127298741594598E-3</v>
      </c>
      <c r="D95" s="7">
        <f t="shared" si="4"/>
        <v>0.38679017227372631</v>
      </c>
      <c r="E95" s="8">
        <f t="shared" si="5"/>
        <v>-0.84336367530657008</v>
      </c>
    </row>
    <row r="96" spans="1:5" x14ac:dyDescent="0.2">
      <c r="A96" s="1">
        <v>41751</v>
      </c>
      <c r="B96">
        <v>43711.360000000001</v>
      </c>
      <c r="C96" s="6">
        <f t="shared" si="3"/>
        <v>6.0772661086850978E-3</v>
      </c>
      <c r="D96" s="7">
        <f t="shared" si="4"/>
        <v>0.50453532637344334</v>
      </c>
      <c r="E96" s="8">
        <f t="shared" si="5"/>
        <v>-0.94865153831935767</v>
      </c>
    </row>
    <row r="97" spans="1:5" x14ac:dyDescent="0.2">
      <c r="A97" s="1">
        <v>41752</v>
      </c>
      <c r="B97">
        <v>43648.41</v>
      </c>
      <c r="C97" s="6">
        <f t="shared" si="3"/>
        <v>-1.4411670473810816E-3</v>
      </c>
      <c r="D97" s="7">
        <f t="shared" si="4"/>
        <v>-0.14422653729167384</v>
      </c>
      <c r="E97" s="8">
        <f t="shared" si="5"/>
        <v>-0.70846268409782653</v>
      </c>
    </row>
    <row r="98" spans="1:5" x14ac:dyDescent="0.2">
      <c r="A98" s="1">
        <v>41753</v>
      </c>
      <c r="B98">
        <v>43900.89</v>
      </c>
      <c r="C98" s="6">
        <f t="shared" si="3"/>
        <v>5.7677377188178518E-3</v>
      </c>
      <c r="D98" s="7">
        <f t="shared" si="4"/>
        <v>0.47782627531198446</v>
      </c>
      <c r="E98" s="8">
        <f t="shared" si="5"/>
        <v>-0.92269918962911024</v>
      </c>
    </row>
    <row r="99" spans="1:5" x14ac:dyDescent="0.2">
      <c r="A99" s="1">
        <v>41754</v>
      </c>
      <c r="B99">
        <v>43851.17</v>
      </c>
      <c r="C99" s="6">
        <f t="shared" si="3"/>
        <v>-1.1331928918947801E-3</v>
      </c>
      <c r="D99" s="7">
        <f t="shared" si="4"/>
        <v>-0.11765160034317211</v>
      </c>
      <c r="E99" s="8">
        <f t="shared" si="5"/>
        <v>-0.70098479125530688</v>
      </c>
    </row>
    <row r="100" spans="1:5" x14ac:dyDescent="0.2">
      <c r="A100" s="1">
        <v>41758</v>
      </c>
      <c r="B100">
        <v>43875.77</v>
      </c>
      <c r="C100" s="6">
        <f t="shared" si="3"/>
        <v>5.608311573340036E-4</v>
      </c>
      <c r="D100" s="7">
        <f t="shared" si="4"/>
        <v>2.8524893675992116E-2</v>
      </c>
      <c r="E100" s="8">
        <f t="shared" si="5"/>
        <v>-0.68693179221032152</v>
      </c>
    </row>
    <row r="101" spans="1:5" x14ac:dyDescent="0.2">
      <c r="A101" s="1">
        <v>41759</v>
      </c>
      <c r="B101">
        <v>43804.68</v>
      </c>
      <c r="C101" s="6">
        <f t="shared" si="3"/>
        <v>-1.6215705000952045E-3</v>
      </c>
      <c r="D101" s="7">
        <f t="shared" si="4"/>
        <v>-0.15979346164478916</v>
      </c>
      <c r="E101" s="8">
        <f t="shared" si="5"/>
        <v>-0.71353651079542357</v>
      </c>
    </row>
    <row r="102" spans="1:5" x14ac:dyDescent="0.2">
      <c r="A102" s="1">
        <v>41761</v>
      </c>
      <c r="B102">
        <v>44015.07</v>
      </c>
      <c r="C102" s="6">
        <f t="shared" si="3"/>
        <v>4.7914142890377893E-3</v>
      </c>
      <c r="D102" s="7">
        <f t="shared" si="4"/>
        <v>0.393579811361849</v>
      </c>
      <c r="E102" s="8">
        <f t="shared" si="5"/>
        <v>-0.84877554477528872</v>
      </c>
    </row>
    <row r="103" spans="1:5" x14ac:dyDescent="0.2">
      <c r="A103" s="1">
        <v>41764</v>
      </c>
      <c r="B103">
        <v>43776.73</v>
      </c>
      <c r="C103" s="6">
        <f t="shared" si="3"/>
        <v>-5.4296776133859852E-3</v>
      </c>
      <c r="D103" s="7">
        <f t="shared" si="4"/>
        <v>-0.48839313348752833</v>
      </c>
      <c r="E103" s="8">
        <f t="shared" si="5"/>
        <v>-0.93282667840399069</v>
      </c>
    </row>
    <row r="104" spans="1:5" x14ac:dyDescent="0.2">
      <c r="A104" s="1">
        <v>41765</v>
      </c>
      <c r="B104">
        <v>43847.58</v>
      </c>
      <c r="C104" s="6">
        <f t="shared" si="3"/>
        <v>1.6171314887401672E-3</v>
      </c>
      <c r="D104" s="7">
        <f t="shared" si="4"/>
        <v>0.11967252475391502</v>
      </c>
      <c r="E104" s="8">
        <f t="shared" si="5"/>
        <v>-0.70150078189985998</v>
      </c>
    </row>
    <row r="105" spans="1:5" x14ac:dyDescent="0.2">
      <c r="A105" s="1">
        <v>41767</v>
      </c>
      <c r="B105">
        <v>43900.72</v>
      </c>
      <c r="C105" s="6">
        <f t="shared" si="3"/>
        <v>1.2111917039144325E-3</v>
      </c>
      <c r="D105" s="7">
        <f t="shared" si="4"/>
        <v>8.4644182295769727E-2</v>
      </c>
      <c r="E105" s="8">
        <f t="shared" si="5"/>
        <v>-0.69379115735948238</v>
      </c>
    </row>
    <row r="106" spans="1:5" x14ac:dyDescent="0.2">
      <c r="A106" s="1">
        <v>41768</v>
      </c>
      <c r="B106">
        <v>43741.1</v>
      </c>
      <c r="C106" s="6">
        <f t="shared" si="3"/>
        <v>-3.6425573199975257E-3</v>
      </c>
      <c r="D106" s="7">
        <f t="shared" si="4"/>
        <v>-0.33418341078792785</v>
      </c>
      <c r="E106" s="8">
        <f t="shared" si="5"/>
        <v>-0.80431386936776561</v>
      </c>
    </row>
    <row r="107" spans="1:5" x14ac:dyDescent="0.2">
      <c r="A107" s="1">
        <v>41771</v>
      </c>
      <c r="B107">
        <v>44135.65</v>
      </c>
      <c r="C107" s="6">
        <f t="shared" si="3"/>
        <v>8.9796823664513251E-3</v>
      </c>
      <c r="D107" s="7">
        <f t="shared" si="4"/>
        <v>0.75498338402506859</v>
      </c>
      <c r="E107" s="8">
        <f t="shared" si="5"/>
        <v>-1.2431105146452541</v>
      </c>
    </row>
    <row r="108" spans="1:5" x14ac:dyDescent="0.2">
      <c r="A108" s="1">
        <v>41772</v>
      </c>
      <c r="B108">
        <v>44086.05</v>
      </c>
      <c r="C108" s="6">
        <f t="shared" si="3"/>
        <v>-1.124440023849945E-3</v>
      </c>
      <c r="D108" s="7">
        <f t="shared" si="4"/>
        <v>-0.11689631970592917</v>
      </c>
      <c r="E108" s="8">
        <f t="shared" si="5"/>
        <v>-0.70079418163505469</v>
      </c>
    </row>
    <row r="109" spans="1:5" x14ac:dyDescent="0.2">
      <c r="A109" s="1">
        <v>41773</v>
      </c>
      <c r="B109">
        <v>44526.2</v>
      </c>
      <c r="C109" s="6">
        <f t="shared" si="3"/>
        <v>9.9343740831905093E-3</v>
      </c>
      <c r="D109" s="7">
        <f t="shared" si="4"/>
        <v>0.83736325819840374</v>
      </c>
      <c r="E109" s="8">
        <f t="shared" si="5"/>
        <v>-1.3569637467839666</v>
      </c>
    </row>
    <row r="110" spans="1:5" x14ac:dyDescent="0.2">
      <c r="A110" s="1">
        <v>41774</v>
      </c>
      <c r="B110">
        <v>44388.19</v>
      </c>
      <c r="C110" s="6">
        <f t="shared" si="3"/>
        <v>-3.1043368982780935E-3</v>
      </c>
      <c r="D110" s="7">
        <f t="shared" si="4"/>
        <v>-0.28774063785782683</v>
      </c>
      <c r="E110" s="8">
        <f t="shared" si="5"/>
        <v>-0.77420468674676735</v>
      </c>
    </row>
    <row r="111" spans="1:5" x14ac:dyDescent="0.2">
      <c r="A111" s="1">
        <v>41775</v>
      </c>
      <c r="B111">
        <v>44078.03</v>
      </c>
      <c r="C111" s="6">
        <f t="shared" si="3"/>
        <v>-7.0119706893990589E-3</v>
      </c>
      <c r="D111" s="7">
        <f t="shared" si="4"/>
        <v>-0.62492841730931836</v>
      </c>
      <c r="E111" s="8">
        <f t="shared" si="5"/>
        <v>-1.0794137188449788</v>
      </c>
    </row>
    <row r="112" spans="1:5" x14ac:dyDescent="0.2">
      <c r="A112" s="1">
        <v>41778</v>
      </c>
      <c r="B112">
        <v>44413.84</v>
      </c>
      <c r="C112" s="6">
        <f t="shared" si="3"/>
        <v>7.5896602019773201E-3</v>
      </c>
      <c r="D112" s="7">
        <f t="shared" si="4"/>
        <v>0.63503906168546354</v>
      </c>
      <c r="E112" s="8">
        <f t="shared" si="5"/>
        <v>-1.0913556974024636</v>
      </c>
    </row>
    <row r="113" spans="1:5" x14ac:dyDescent="0.2">
      <c r="A113" s="1">
        <v>41779</v>
      </c>
      <c r="B113">
        <v>44559.13</v>
      </c>
      <c r="C113" s="6">
        <f t="shared" si="3"/>
        <v>3.2659386135557174E-3</v>
      </c>
      <c r="D113" s="7">
        <f t="shared" si="4"/>
        <v>0.26194727281848956</v>
      </c>
      <c r="E113" s="8">
        <f t="shared" si="5"/>
        <v>-0.75930513453511206</v>
      </c>
    </row>
    <row r="114" spans="1:5" x14ac:dyDescent="0.2">
      <c r="A114" s="1">
        <v>41780</v>
      </c>
      <c r="B114">
        <v>44629.81</v>
      </c>
      <c r="C114" s="6">
        <f t="shared" si="3"/>
        <v>1.5849502145909751E-3</v>
      </c>
      <c r="D114" s="7">
        <f t="shared" si="4"/>
        <v>0.11689561858759462</v>
      </c>
      <c r="E114" s="8">
        <f t="shared" si="5"/>
        <v>-0.70079400525860847</v>
      </c>
    </row>
    <row r="115" spans="1:5" x14ac:dyDescent="0.2">
      <c r="A115" s="1">
        <v>41781</v>
      </c>
      <c r="B115">
        <v>44840.03</v>
      </c>
      <c r="C115" s="6">
        <f t="shared" si="3"/>
        <v>4.699245843195139E-3</v>
      </c>
      <c r="D115" s="7">
        <f t="shared" si="4"/>
        <v>0.38562664193747898</v>
      </c>
      <c r="E115" s="8">
        <f t="shared" si="5"/>
        <v>-0.84244466067186297</v>
      </c>
    </row>
    <row r="116" spans="1:5" x14ac:dyDescent="0.2">
      <c r="A116" s="1">
        <v>41782</v>
      </c>
      <c r="B116">
        <v>44894.82</v>
      </c>
      <c r="C116" s="6">
        <f t="shared" si="3"/>
        <v>1.2211533603420201E-3</v>
      </c>
      <c r="D116" s="7">
        <f t="shared" si="4"/>
        <v>8.5503768682321415E-2</v>
      </c>
      <c r="E116" s="8">
        <f t="shared" si="5"/>
        <v>-0.69394892359711047</v>
      </c>
    </row>
    <row r="117" spans="1:5" x14ac:dyDescent="0.2">
      <c r="A117" s="1">
        <v>41785</v>
      </c>
      <c r="B117">
        <v>45005.88</v>
      </c>
      <c r="C117" s="6">
        <f t="shared" si="3"/>
        <v>2.4707272912685625E-3</v>
      </c>
      <c r="D117" s="7">
        <f t="shared" si="4"/>
        <v>0.19332888269043938</v>
      </c>
      <c r="E117" s="8">
        <f t="shared" si="5"/>
        <v>-0.7261920038936992</v>
      </c>
    </row>
    <row r="118" spans="1:5" x14ac:dyDescent="0.2">
      <c r="A118" s="1">
        <v>41786</v>
      </c>
      <c r="B118">
        <v>44859.43</v>
      </c>
      <c r="C118" s="6">
        <f t="shared" si="3"/>
        <v>-3.259325086560726E-3</v>
      </c>
      <c r="D118" s="7">
        <f t="shared" si="4"/>
        <v>-0.30111449166341564</v>
      </c>
      <c r="E118" s="8">
        <f t="shared" si="5"/>
        <v>-0.78244631197947812</v>
      </c>
    </row>
    <row r="119" spans="1:5" x14ac:dyDescent="0.2">
      <c r="A119" s="1">
        <v>41787</v>
      </c>
      <c r="B119">
        <v>44732.26</v>
      </c>
      <c r="C119" s="6">
        <f t="shared" si="3"/>
        <v>-2.8388812714182647E-3</v>
      </c>
      <c r="D119" s="7">
        <f t="shared" si="4"/>
        <v>-0.26483460363139733</v>
      </c>
      <c r="E119" s="8">
        <f t="shared" si="5"/>
        <v>-0.76090731752450524</v>
      </c>
    </row>
    <row r="120" spans="1:5" x14ac:dyDescent="0.2">
      <c r="A120" s="1">
        <v>41788</v>
      </c>
      <c r="B120">
        <v>44744.800000000003</v>
      </c>
      <c r="C120" s="6">
        <f t="shared" si="3"/>
        <v>2.8029530881101253E-4</v>
      </c>
      <c r="D120" s="7">
        <f t="shared" si="4"/>
        <v>4.3175946105206246E-3</v>
      </c>
      <c r="E120" s="8">
        <f t="shared" si="5"/>
        <v>-0.6860719328180096</v>
      </c>
    </row>
    <row r="121" spans="1:5" x14ac:dyDescent="0.2">
      <c r="A121" s="1">
        <v>41789</v>
      </c>
      <c r="B121">
        <v>44641.55</v>
      </c>
      <c r="C121" s="6">
        <f t="shared" si="3"/>
        <v>-2.3101971591977903E-3</v>
      </c>
      <c r="D121" s="7">
        <f t="shared" si="4"/>
        <v>-0.21921471411258786</v>
      </c>
      <c r="E121" s="8">
        <f t="shared" si="5"/>
        <v>-0.73755550752390087</v>
      </c>
    </row>
    <row r="122" spans="1:5" x14ac:dyDescent="0.2">
      <c r="A122" s="1">
        <v>41792</v>
      </c>
      <c r="B122">
        <v>44852.57</v>
      </c>
      <c r="C122" s="6">
        <f t="shared" si="3"/>
        <v>4.7158492887977325E-3</v>
      </c>
      <c r="D122" s="7">
        <f t="shared" si="4"/>
        <v>0.38705934501387862</v>
      </c>
      <c r="E122" s="8">
        <f t="shared" si="5"/>
        <v>-0.84357663257423776</v>
      </c>
    </row>
    <row r="123" spans="1:5" x14ac:dyDescent="0.2">
      <c r="A123" s="1">
        <v>41793</v>
      </c>
      <c r="B123">
        <v>44975.7</v>
      </c>
      <c r="C123" s="6">
        <f t="shared" si="3"/>
        <v>2.7414549365373637E-3</v>
      </c>
      <c r="D123" s="7">
        <f t="shared" si="4"/>
        <v>0.21668983676749257</v>
      </c>
      <c r="E123" s="8">
        <f t="shared" si="5"/>
        <v>-0.73638649645488041</v>
      </c>
    </row>
    <row r="124" spans="1:5" x14ac:dyDescent="0.2">
      <c r="A124" s="1">
        <v>41794</v>
      </c>
      <c r="B124">
        <v>44985.86</v>
      </c>
      <c r="C124" s="6">
        <f t="shared" si="3"/>
        <v>2.258742521405209E-4</v>
      </c>
      <c r="D124" s="7">
        <f t="shared" si="4"/>
        <v>-3.7837134612109024E-4</v>
      </c>
      <c r="E124" s="8">
        <f t="shared" si="5"/>
        <v>-0.68605192272596982</v>
      </c>
    </row>
    <row r="125" spans="1:5" x14ac:dyDescent="0.2">
      <c r="A125" s="1">
        <v>41795</v>
      </c>
      <c r="B125">
        <v>44984.76</v>
      </c>
      <c r="C125" s="6">
        <f t="shared" si="3"/>
        <v>-2.4452426804559826E-5</v>
      </c>
      <c r="D125" s="7">
        <f t="shared" si="4"/>
        <v>-2.1978936169454941E-2</v>
      </c>
      <c r="E125" s="8">
        <f t="shared" si="5"/>
        <v>-0.68657426966040258</v>
      </c>
    </row>
    <row r="126" spans="1:5" x14ac:dyDescent="0.2">
      <c r="A126" s="1">
        <v>41796</v>
      </c>
      <c r="B126">
        <v>44929.1</v>
      </c>
      <c r="C126" s="6">
        <f t="shared" si="3"/>
        <v>-1.2380740212858297E-3</v>
      </c>
      <c r="D126" s="7">
        <f t="shared" si="4"/>
        <v>-0.12670174091829178</v>
      </c>
      <c r="E126" s="8">
        <f t="shared" si="5"/>
        <v>-0.70336315609879474</v>
      </c>
    </row>
    <row r="127" spans="1:5" x14ac:dyDescent="0.2">
      <c r="A127" s="1">
        <v>41799</v>
      </c>
      <c r="B127">
        <v>45137.07</v>
      </c>
      <c r="C127" s="6">
        <f t="shared" si="3"/>
        <v>4.6181683893710846E-3</v>
      </c>
      <c r="D127" s="7">
        <f t="shared" si="4"/>
        <v>0.37863050870702308</v>
      </c>
      <c r="E127" s="8">
        <f t="shared" si="5"/>
        <v>-0.83697086986333646</v>
      </c>
    </row>
    <row r="128" spans="1:5" x14ac:dyDescent="0.2">
      <c r="A128" s="1">
        <v>41800</v>
      </c>
      <c r="B128">
        <v>45730.62</v>
      </c>
      <c r="C128" s="6">
        <f t="shared" si="3"/>
        <v>1.306423530631823E-2</v>
      </c>
      <c r="D128" s="7">
        <f t="shared" si="4"/>
        <v>1.1074374289704356</v>
      </c>
      <c r="E128" s="8">
        <f t="shared" si="5"/>
        <v>-1.7713025300056595</v>
      </c>
    </row>
    <row r="129" spans="1:5" x14ac:dyDescent="0.2">
      <c r="A129" s="1">
        <v>41801</v>
      </c>
      <c r="B129">
        <v>45644.26</v>
      </c>
      <c r="C129" s="6">
        <f t="shared" si="3"/>
        <v>-1.890235603343564E-3</v>
      </c>
      <c r="D129" s="7">
        <f t="shared" si="4"/>
        <v>-0.18297643999507945</v>
      </c>
      <c r="E129" s="8">
        <f t="shared" si="5"/>
        <v>-0.72203508052787124</v>
      </c>
    </row>
    <row r="130" spans="1:5" x14ac:dyDescent="0.2">
      <c r="A130" s="1">
        <v>41802</v>
      </c>
      <c r="B130">
        <v>45587.81</v>
      </c>
      <c r="C130" s="6">
        <f t="shared" si="3"/>
        <v>-1.2375035928492086E-3</v>
      </c>
      <c r="D130" s="7">
        <f t="shared" si="4"/>
        <v>-0.12665251893174911</v>
      </c>
      <c r="E130" s="8">
        <f t="shared" si="5"/>
        <v>-0.70334974982399501</v>
      </c>
    </row>
    <row r="131" spans="1:5" x14ac:dyDescent="0.2">
      <c r="A131" s="1">
        <v>41803</v>
      </c>
      <c r="B131">
        <v>45803.040000000001</v>
      </c>
      <c r="C131" s="6">
        <f t="shared" ref="C131:C194" si="6">LN(B131/B130)</f>
        <v>4.7101082418746359E-3</v>
      </c>
      <c r="D131" s="7">
        <f t="shared" ref="D131:D194" si="7">(C131-$G$4)/$G$5</f>
        <v>0.38656395292567314</v>
      </c>
      <c r="E131" s="8">
        <f t="shared" ref="E131:E194" si="8">LN((PI()*(G$3-2))^(-1/2)*EXP(GAMMALN((G$3+1)/2))*((1+D131^2/(G$3-2))^(-(G$3+1)/2))/EXP(GAMMALN(G$3/2)))</f>
        <v>-0.84318480282527242</v>
      </c>
    </row>
    <row r="132" spans="1:5" x14ac:dyDescent="0.2">
      <c r="A132" s="1">
        <v>41807</v>
      </c>
      <c r="B132">
        <v>45902.25</v>
      </c>
      <c r="C132" s="6">
        <f t="shared" si="6"/>
        <v>2.1636710096892323E-3</v>
      </c>
      <c r="D132" s="7">
        <f t="shared" si="7"/>
        <v>0.16683314862558848</v>
      </c>
      <c r="E132" s="8">
        <f t="shared" si="8"/>
        <v>-0.71599828925580722</v>
      </c>
    </row>
    <row r="133" spans="1:5" x14ac:dyDescent="0.2">
      <c r="A133" s="1">
        <v>41808</v>
      </c>
      <c r="B133">
        <v>45723.15</v>
      </c>
      <c r="C133" s="6">
        <f t="shared" si="6"/>
        <v>-3.9094012818489234E-3</v>
      </c>
      <c r="D133" s="7">
        <f t="shared" si="7"/>
        <v>-0.35720924375138474</v>
      </c>
      <c r="E133" s="8">
        <f t="shared" si="8"/>
        <v>-0.82077121639007555</v>
      </c>
    </row>
    <row r="134" spans="1:5" x14ac:dyDescent="0.2">
      <c r="A134" s="1">
        <v>41809</v>
      </c>
      <c r="B134">
        <v>46273.97</v>
      </c>
      <c r="C134" s="6">
        <f t="shared" si="6"/>
        <v>1.1974865781981077E-2</v>
      </c>
      <c r="D134" s="7">
        <f t="shared" si="7"/>
        <v>1.0134362736554181</v>
      </c>
      <c r="E134" s="8">
        <f t="shared" si="8"/>
        <v>-1.6211881842299449</v>
      </c>
    </row>
    <row r="135" spans="1:5" x14ac:dyDescent="0.2">
      <c r="A135" s="1">
        <v>41810</v>
      </c>
      <c r="B135">
        <v>46336.08</v>
      </c>
      <c r="C135" s="6">
        <f t="shared" si="6"/>
        <v>1.3413233080445705E-3</v>
      </c>
      <c r="D135" s="7">
        <f t="shared" si="7"/>
        <v>9.5873173797686909E-2</v>
      </c>
      <c r="E135" s="8">
        <f t="shared" si="8"/>
        <v>-0.69597690311156601</v>
      </c>
    </row>
    <row r="136" spans="1:5" x14ac:dyDescent="0.2">
      <c r="A136" s="1">
        <v>41813</v>
      </c>
      <c r="B136">
        <v>46054.04</v>
      </c>
      <c r="C136" s="6">
        <f t="shared" si="6"/>
        <v>-6.1054337004270024E-3</v>
      </c>
      <c r="D136" s="7">
        <f t="shared" si="7"/>
        <v>-0.54670379068317743</v>
      </c>
      <c r="E136" s="8">
        <f t="shared" si="8"/>
        <v>-0.99195689042660973</v>
      </c>
    </row>
    <row r="137" spans="1:5" x14ac:dyDescent="0.2">
      <c r="A137" s="1">
        <v>41814</v>
      </c>
      <c r="B137">
        <v>45871.57</v>
      </c>
      <c r="C137" s="6">
        <f t="shared" si="6"/>
        <v>-3.9699543936026283E-3</v>
      </c>
      <c r="D137" s="7">
        <f t="shared" si="7"/>
        <v>-0.36243434169620842</v>
      </c>
      <c r="E137" s="8">
        <f t="shared" si="8"/>
        <v>-0.82464423400738041</v>
      </c>
    </row>
    <row r="138" spans="1:5" x14ac:dyDescent="0.2">
      <c r="A138" s="1">
        <v>41815</v>
      </c>
      <c r="B138">
        <v>45383.07</v>
      </c>
      <c r="C138" s="6">
        <f t="shared" si="6"/>
        <v>-1.0706407176040661E-2</v>
      </c>
      <c r="D138" s="7">
        <f t="shared" si="7"/>
        <v>-0.94371950722306852</v>
      </c>
      <c r="E138" s="8">
        <f t="shared" si="8"/>
        <v>-1.5135848298338119</v>
      </c>
    </row>
    <row r="139" spans="1:5" x14ac:dyDescent="0.2">
      <c r="A139" s="1">
        <v>41816</v>
      </c>
      <c r="B139">
        <v>45787.33</v>
      </c>
      <c r="C139" s="6">
        <f t="shared" si="6"/>
        <v>8.8682872833000387E-3</v>
      </c>
      <c r="D139" s="7">
        <f t="shared" si="7"/>
        <v>0.74537115761456307</v>
      </c>
      <c r="E139" s="8">
        <f t="shared" si="8"/>
        <v>-1.2303050675902631</v>
      </c>
    </row>
    <row r="140" spans="1:5" x14ac:dyDescent="0.2">
      <c r="A140" s="1">
        <v>41817</v>
      </c>
      <c r="B140">
        <v>45651.85</v>
      </c>
      <c r="C140" s="6">
        <f t="shared" si="6"/>
        <v>-2.963283335174767E-3</v>
      </c>
      <c r="D140" s="7">
        <f t="shared" si="7"/>
        <v>-0.27556919593954826</v>
      </c>
      <c r="E140" s="8">
        <f t="shared" si="8"/>
        <v>-0.76700955099960844</v>
      </c>
    </row>
    <row r="141" spans="1:5" x14ac:dyDescent="0.2">
      <c r="A141" s="1">
        <v>41820</v>
      </c>
      <c r="B141">
        <v>45969.81</v>
      </c>
      <c r="C141" s="6">
        <f t="shared" si="6"/>
        <v>6.9407447201399802E-3</v>
      </c>
      <c r="D141" s="7">
        <f t="shared" si="7"/>
        <v>0.57904446698480216</v>
      </c>
      <c r="E141" s="8">
        <f t="shared" si="8"/>
        <v>-1.0270274375346076</v>
      </c>
    </row>
    <row r="142" spans="1:5" x14ac:dyDescent="0.2">
      <c r="A142" s="1">
        <v>41821</v>
      </c>
      <c r="B142">
        <v>46481.440000000002</v>
      </c>
      <c r="C142" s="6">
        <f t="shared" si="6"/>
        <v>1.1068216451585232E-2</v>
      </c>
      <c r="D142" s="7">
        <f t="shared" si="7"/>
        <v>0.93520195314360299</v>
      </c>
      <c r="E142" s="8">
        <f t="shared" si="8"/>
        <v>-1.5006876636211555</v>
      </c>
    </row>
    <row r="143" spans="1:5" x14ac:dyDescent="0.2">
      <c r="A143" s="1">
        <v>41822</v>
      </c>
      <c r="B143">
        <v>46888.12</v>
      </c>
      <c r="C143" s="6">
        <f t="shared" si="6"/>
        <v>8.7112453301984843E-3</v>
      </c>
      <c r="D143" s="7">
        <f t="shared" si="7"/>
        <v>0.73182008546257205</v>
      </c>
      <c r="E143" s="8">
        <f t="shared" si="8"/>
        <v>-1.2124329858130847</v>
      </c>
    </row>
    <row r="144" spans="1:5" x14ac:dyDescent="0.2">
      <c r="A144" s="1">
        <v>41823</v>
      </c>
      <c r="B144">
        <v>46951.4</v>
      </c>
      <c r="C144" s="6">
        <f t="shared" si="6"/>
        <v>1.3486857049554365E-3</v>
      </c>
      <c r="D144" s="7">
        <f t="shared" si="7"/>
        <v>9.6508471371235457E-2</v>
      </c>
      <c r="E144" s="8">
        <f t="shared" si="8"/>
        <v>-0.69610863786117827</v>
      </c>
    </row>
    <row r="145" spans="1:5" x14ac:dyDescent="0.2">
      <c r="A145" s="1">
        <v>41824</v>
      </c>
      <c r="B145">
        <v>47080.38</v>
      </c>
      <c r="C145" s="6">
        <f t="shared" si="6"/>
        <v>2.743329561354924E-3</v>
      </c>
      <c r="D145" s="7">
        <f t="shared" si="7"/>
        <v>0.21685159721213151</v>
      </c>
      <c r="E145" s="8">
        <f t="shared" si="8"/>
        <v>-0.73646099968253631</v>
      </c>
    </row>
    <row r="146" spans="1:5" x14ac:dyDescent="0.2">
      <c r="A146" s="1">
        <v>41827</v>
      </c>
      <c r="B146">
        <v>46873.42</v>
      </c>
      <c r="C146" s="6">
        <f t="shared" si="6"/>
        <v>-4.4055766715612819E-3</v>
      </c>
      <c r="D146" s="7">
        <f t="shared" si="7"/>
        <v>-0.40002397174758081</v>
      </c>
      <c r="E146" s="8">
        <f t="shared" si="8"/>
        <v>-0.85398920755702068</v>
      </c>
    </row>
    <row r="147" spans="1:5" x14ac:dyDescent="0.2">
      <c r="A147" s="1">
        <v>41828</v>
      </c>
      <c r="B147">
        <v>46573.52</v>
      </c>
      <c r="C147" s="6">
        <f t="shared" si="6"/>
        <v>-6.4186377773043212E-3</v>
      </c>
      <c r="D147" s="7">
        <f t="shared" si="7"/>
        <v>-0.57373001495152731</v>
      </c>
      <c r="E147" s="8">
        <f t="shared" si="8"/>
        <v>-1.0211568096542256</v>
      </c>
    </row>
    <row r="148" spans="1:5" x14ac:dyDescent="0.2">
      <c r="A148" s="1">
        <v>41829</v>
      </c>
      <c r="B148">
        <v>46343.02</v>
      </c>
      <c r="C148" s="6">
        <f t="shared" si="6"/>
        <v>-4.9614519187270705E-3</v>
      </c>
      <c r="D148" s="7">
        <f t="shared" si="7"/>
        <v>-0.44799017079872394</v>
      </c>
      <c r="E148" s="8">
        <f t="shared" si="8"/>
        <v>-0.89511364262328519</v>
      </c>
    </row>
    <row r="149" spans="1:5" x14ac:dyDescent="0.2">
      <c r="A149" s="1">
        <v>41830</v>
      </c>
      <c r="B149">
        <v>45937.86</v>
      </c>
      <c r="C149" s="6">
        <f t="shared" si="6"/>
        <v>-8.7810736827521642E-3</v>
      </c>
      <c r="D149" s="7">
        <f t="shared" si="7"/>
        <v>-0.77758343613558345</v>
      </c>
      <c r="E149" s="8">
        <f t="shared" si="8"/>
        <v>-1.2736267746278707</v>
      </c>
    </row>
    <row r="150" spans="1:5" x14ac:dyDescent="0.2">
      <c r="A150" s="1">
        <v>41831</v>
      </c>
      <c r="B150">
        <v>46071.09</v>
      </c>
      <c r="C150" s="6">
        <f t="shared" si="6"/>
        <v>2.8960246392594172E-3</v>
      </c>
      <c r="D150" s="7">
        <f t="shared" si="7"/>
        <v>0.23002757966186324</v>
      </c>
      <c r="E150" s="8">
        <f t="shared" si="8"/>
        <v>-0.74270917140183301</v>
      </c>
    </row>
    <row r="151" spans="1:5" x14ac:dyDescent="0.2">
      <c r="A151" s="1">
        <v>41834</v>
      </c>
      <c r="B151">
        <v>46433.66</v>
      </c>
      <c r="C151" s="6">
        <f t="shared" si="6"/>
        <v>7.8389889524813194E-3</v>
      </c>
      <c r="D151" s="7">
        <f t="shared" si="7"/>
        <v>0.65655351575915033</v>
      </c>
      <c r="E151" s="8">
        <f t="shared" si="8"/>
        <v>-1.1172288190530479</v>
      </c>
    </row>
    <row r="152" spans="1:5" x14ac:dyDescent="0.2">
      <c r="A152" s="1">
        <v>41835</v>
      </c>
      <c r="B152">
        <v>46627.33</v>
      </c>
      <c r="C152" s="6">
        <f t="shared" si="6"/>
        <v>4.162222636926869E-3</v>
      </c>
      <c r="D152" s="7">
        <f t="shared" si="7"/>
        <v>0.33928717613416648</v>
      </c>
      <c r="E152" s="8">
        <f t="shared" si="8"/>
        <v>-0.8078753746947458</v>
      </c>
    </row>
    <row r="153" spans="1:5" x14ac:dyDescent="0.2">
      <c r="A153" s="1">
        <v>41836</v>
      </c>
      <c r="B153">
        <v>46946.26</v>
      </c>
      <c r="C153" s="6">
        <f t="shared" si="6"/>
        <v>6.8166933636709158E-3</v>
      </c>
      <c r="D153" s="7">
        <f t="shared" si="7"/>
        <v>0.56834013703433617</v>
      </c>
      <c r="E153" s="8">
        <f t="shared" si="8"/>
        <v>-1.0152456779809924</v>
      </c>
    </row>
    <row r="154" spans="1:5" x14ac:dyDescent="0.2">
      <c r="A154" s="1">
        <v>41837</v>
      </c>
      <c r="B154">
        <v>46642.080000000002</v>
      </c>
      <c r="C154" s="6">
        <f t="shared" si="6"/>
        <v>-6.5004053090352114E-3</v>
      </c>
      <c r="D154" s="7">
        <f t="shared" si="7"/>
        <v>-0.58078569466189733</v>
      </c>
      <c r="E154" s="8">
        <f t="shared" si="8"/>
        <v>-1.0289599586955207</v>
      </c>
    </row>
    <row r="155" spans="1:5" x14ac:dyDescent="0.2">
      <c r="A155" s="1">
        <v>41838</v>
      </c>
      <c r="B155">
        <v>46558.12</v>
      </c>
      <c r="C155" s="6">
        <f t="shared" si="6"/>
        <v>-1.8017133592497499E-3</v>
      </c>
      <c r="D155" s="7">
        <f t="shared" si="7"/>
        <v>-0.17533789950904949</v>
      </c>
      <c r="E155" s="8">
        <f t="shared" si="8"/>
        <v>-0.71911082923995262</v>
      </c>
    </row>
    <row r="156" spans="1:5" x14ac:dyDescent="0.2">
      <c r="A156" s="1">
        <v>41841</v>
      </c>
      <c r="B156">
        <v>46279.7</v>
      </c>
      <c r="C156" s="6">
        <f t="shared" si="6"/>
        <v>-5.9980045783934316E-3</v>
      </c>
      <c r="D156" s="7">
        <f t="shared" si="7"/>
        <v>-0.53743378508817219</v>
      </c>
      <c r="E156" s="8">
        <f t="shared" si="8"/>
        <v>-0.98219780296295756</v>
      </c>
    </row>
    <row r="157" spans="1:5" x14ac:dyDescent="0.2">
      <c r="A157" s="1">
        <v>41842</v>
      </c>
      <c r="B157">
        <v>46789.06</v>
      </c>
      <c r="C157" s="6">
        <f t="shared" si="6"/>
        <v>1.0945994890850536E-2</v>
      </c>
      <c r="D157" s="7">
        <f t="shared" si="7"/>
        <v>0.92465551535844781</v>
      </c>
      <c r="E157" s="8">
        <f t="shared" si="8"/>
        <v>-1.4847986457969797</v>
      </c>
    </row>
    <row r="158" spans="1:5" x14ac:dyDescent="0.2">
      <c r="A158" s="1">
        <v>41843</v>
      </c>
      <c r="B158">
        <v>46743.31</v>
      </c>
      <c r="C158" s="6">
        <f t="shared" si="6"/>
        <v>-9.7827102314664818E-4</v>
      </c>
      <c r="D158" s="7">
        <f t="shared" si="7"/>
        <v>-0.10428346921728357</v>
      </c>
      <c r="E158" s="8">
        <f t="shared" si="8"/>
        <v>-0.6977907883847323</v>
      </c>
    </row>
    <row r="159" spans="1:5" x14ac:dyDescent="0.2">
      <c r="A159" s="1">
        <v>41844</v>
      </c>
      <c r="B159">
        <v>46448.36</v>
      </c>
      <c r="C159" s="6">
        <f t="shared" si="6"/>
        <v>-6.3299860353433846E-3</v>
      </c>
      <c r="D159" s="7">
        <f t="shared" si="7"/>
        <v>-0.56608030015884714</v>
      </c>
      <c r="E159" s="8">
        <f t="shared" si="8"/>
        <v>-1.0127801936359146</v>
      </c>
    </row>
    <row r="160" spans="1:5" x14ac:dyDescent="0.2">
      <c r="A160" s="1">
        <v>41845</v>
      </c>
      <c r="B160">
        <v>46384.92</v>
      </c>
      <c r="C160" s="6">
        <f t="shared" si="6"/>
        <v>-1.3667514467989772E-3</v>
      </c>
      <c r="D160" s="7">
        <f t="shared" si="7"/>
        <v>-0.13780525206943942</v>
      </c>
      <c r="E160" s="8">
        <f t="shared" si="8"/>
        <v>-0.70651868043488386</v>
      </c>
    </row>
    <row r="161" spans="1:5" x14ac:dyDescent="0.2">
      <c r="A161" s="1">
        <v>41848</v>
      </c>
      <c r="B161">
        <v>46738.7</v>
      </c>
      <c r="C161" s="6">
        <f t="shared" si="6"/>
        <v>7.5981088796178214E-3</v>
      </c>
      <c r="D161" s="7">
        <f t="shared" si="7"/>
        <v>0.63576809388376609</v>
      </c>
      <c r="E161" s="8">
        <f t="shared" si="8"/>
        <v>-1.0922221955903038</v>
      </c>
    </row>
    <row r="162" spans="1:5" x14ac:dyDescent="0.2">
      <c r="A162" s="1">
        <v>41849</v>
      </c>
      <c r="B162">
        <v>47056.26</v>
      </c>
      <c r="C162" s="6">
        <f t="shared" si="6"/>
        <v>6.7713918400126383E-3</v>
      </c>
      <c r="D162" s="7">
        <f t="shared" si="7"/>
        <v>0.56443109105290046</v>
      </c>
      <c r="E162" s="8">
        <f t="shared" si="8"/>
        <v>-1.0109857350939802</v>
      </c>
    </row>
    <row r="163" spans="1:5" x14ac:dyDescent="0.2">
      <c r="A163" s="1">
        <v>41850</v>
      </c>
      <c r="B163">
        <v>46591.35</v>
      </c>
      <c r="C163" s="6">
        <f t="shared" si="6"/>
        <v>-9.9290055438455687E-3</v>
      </c>
      <c r="D163" s="7">
        <f t="shared" si="7"/>
        <v>-0.87663790640943851</v>
      </c>
      <c r="E163" s="8">
        <f t="shared" si="8"/>
        <v>-1.4136342836999118</v>
      </c>
    </row>
    <row r="164" spans="1:5" x14ac:dyDescent="0.2">
      <c r="A164" s="1">
        <v>41851</v>
      </c>
      <c r="B164">
        <v>46222.43</v>
      </c>
      <c r="C164" s="6">
        <f t="shared" si="6"/>
        <v>-7.949723476800721E-3</v>
      </c>
      <c r="D164" s="7">
        <f t="shared" si="7"/>
        <v>-0.70584663968135564</v>
      </c>
      <c r="E164" s="8">
        <f t="shared" si="8"/>
        <v>-1.178784808164673</v>
      </c>
    </row>
    <row r="165" spans="1:5" x14ac:dyDescent="0.2">
      <c r="A165" s="1">
        <v>41852</v>
      </c>
      <c r="B165">
        <v>45733.69</v>
      </c>
      <c r="C165" s="6">
        <f t="shared" si="6"/>
        <v>-1.0629952680164492E-2</v>
      </c>
      <c r="D165" s="7">
        <f t="shared" si="7"/>
        <v>-0.93712228673834819</v>
      </c>
      <c r="E165" s="8">
        <f t="shared" si="8"/>
        <v>-1.5035903956884031</v>
      </c>
    </row>
    <row r="166" spans="1:5" x14ac:dyDescent="0.2">
      <c r="A166" s="1">
        <v>41855</v>
      </c>
      <c r="B166">
        <v>45998.59</v>
      </c>
      <c r="C166" s="6">
        <f t="shared" si="6"/>
        <v>5.7755184183107015E-3</v>
      </c>
      <c r="D166" s="7">
        <f t="shared" si="7"/>
        <v>0.478497668007619</v>
      </c>
      <c r="E166" s="8">
        <f t="shared" si="8"/>
        <v>-0.92333716039655278</v>
      </c>
    </row>
    <row r="167" spans="1:5" x14ac:dyDescent="0.2">
      <c r="A167" s="1">
        <v>41856</v>
      </c>
      <c r="B167">
        <v>46110.16</v>
      </c>
      <c r="C167" s="6">
        <f t="shared" si="6"/>
        <v>2.4225723303311678E-3</v>
      </c>
      <c r="D167" s="7">
        <f t="shared" si="7"/>
        <v>0.18917361502309854</v>
      </c>
      <c r="E167" s="8">
        <f t="shared" si="8"/>
        <v>-0.72449676662526907</v>
      </c>
    </row>
    <row r="168" spans="1:5" x14ac:dyDescent="0.2">
      <c r="A168" s="1">
        <v>41857</v>
      </c>
      <c r="B168">
        <v>45916.68</v>
      </c>
      <c r="C168" s="6">
        <f t="shared" si="6"/>
        <v>-4.2048664297283751E-3</v>
      </c>
      <c r="D168" s="7">
        <f t="shared" si="7"/>
        <v>-0.38270478464499524</v>
      </c>
      <c r="E168" s="8">
        <f t="shared" si="8"/>
        <v>-0.84014771380290776</v>
      </c>
    </row>
    <row r="169" spans="1:5" x14ac:dyDescent="0.2">
      <c r="A169" s="1">
        <v>41858</v>
      </c>
      <c r="B169">
        <v>45533.2</v>
      </c>
      <c r="C169" s="6">
        <f t="shared" si="6"/>
        <v>-8.3867195393913536E-3</v>
      </c>
      <c r="D169" s="7">
        <f t="shared" si="7"/>
        <v>-0.74355481292645154</v>
      </c>
      <c r="E169" s="8">
        <f t="shared" si="8"/>
        <v>-1.2278971979877995</v>
      </c>
    </row>
    <row r="170" spans="1:5" x14ac:dyDescent="0.2">
      <c r="A170" s="1">
        <v>41859</v>
      </c>
      <c r="B170">
        <v>45560.82</v>
      </c>
      <c r="C170" s="6">
        <f t="shared" si="6"/>
        <v>6.064064544827587E-4</v>
      </c>
      <c r="D170" s="7">
        <f t="shared" si="7"/>
        <v>3.2457563435975494E-2</v>
      </c>
      <c r="E170" s="8">
        <f t="shared" si="8"/>
        <v>-0.68719112075323241</v>
      </c>
    </row>
    <row r="171" spans="1:5" x14ac:dyDescent="0.2">
      <c r="A171" s="1">
        <v>41862</v>
      </c>
      <c r="B171">
        <v>46377.49</v>
      </c>
      <c r="C171" s="6">
        <f t="shared" si="6"/>
        <v>1.7766075547479804E-2</v>
      </c>
      <c r="D171" s="7">
        <f t="shared" si="7"/>
        <v>1.5131568886228046</v>
      </c>
      <c r="E171" s="8">
        <f t="shared" si="8"/>
        <v>-2.458622825897121</v>
      </c>
    </row>
    <row r="172" spans="1:5" x14ac:dyDescent="0.2">
      <c r="A172" s="1">
        <v>41863</v>
      </c>
      <c r="B172">
        <v>46288.21</v>
      </c>
      <c r="C172" s="6">
        <f t="shared" si="6"/>
        <v>-1.9269271720836986E-3</v>
      </c>
      <c r="D172" s="7">
        <f t="shared" si="7"/>
        <v>-0.18614253724200919</v>
      </c>
      <c r="E172" s="8">
        <f t="shared" si="8"/>
        <v>-0.72328276844190897</v>
      </c>
    </row>
    <row r="173" spans="1:5" x14ac:dyDescent="0.2">
      <c r="A173" s="1">
        <v>41864</v>
      </c>
      <c r="B173">
        <v>46114.26</v>
      </c>
      <c r="C173" s="6">
        <f t="shared" si="6"/>
        <v>-3.7650553169777373E-3</v>
      </c>
      <c r="D173" s="7">
        <f t="shared" si="7"/>
        <v>-0.34475370211944073</v>
      </c>
      <c r="E173" s="8">
        <f t="shared" si="8"/>
        <v>-0.81174473556802551</v>
      </c>
    </row>
    <row r="174" spans="1:5" x14ac:dyDescent="0.2">
      <c r="A174" s="1">
        <v>41865</v>
      </c>
      <c r="B174">
        <v>45920.9</v>
      </c>
      <c r="C174" s="6">
        <f t="shared" si="6"/>
        <v>-4.2018785971240716E-3</v>
      </c>
      <c r="D174" s="7">
        <f t="shared" si="7"/>
        <v>-0.38244696605321549</v>
      </c>
      <c r="E174" s="8">
        <f t="shared" si="8"/>
        <v>-0.83994578433012512</v>
      </c>
    </row>
    <row r="175" spans="1:5" x14ac:dyDescent="0.2">
      <c r="A175" s="1">
        <v>41866</v>
      </c>
      <c r="B175">
        <v>46112.03</v>
      </c>
      <c r="C175" s="6">
        <f t="shared" si="6"/>
        <v>4.1535192843850204E-3</v>
      </c>
      <c r="D175" s="7">
        <f t="shared" si="7"/>
        <v>0.33853616816508869</v>
      </c>
      <c r="E175" s="8">
        <f t="shared" si="8"/>
        <v>-0.80734820657664508</v>
      </c>
    </row>
    <row r="176" spans="1:5" x14ac:dyDescent="0.2">
      <c r="A176" s="1">
        <v>41869</v>
      </c>
      <c r="B176">
        <v>46424.77</v>
      </c>
      <c r="C176" s="6">
        <f t="shared" si="6"/>
        <v>6.7592825924808518E-3</v>
      </c>
      <c r="D176" s="7">
        <f t="shared" si="7"/>
        <v>0.56338619009638058</v>
      </c>
      <c r="E176" s="8">
        <f t="shared" si="8"/>
        <v>-1.0098509210957736</v>
      </c>
    </row>
    <row r="177" spans="1:5" x14ac:dyDescent="0.2">
      <c r="A177" s="1">
        <v>41870</v>
      </c>
      <c r="B177">
        <v>46195.61</v>
      </c>
      <c r="C177" s="6">
        <f t="shared" si="6"/>
        <v>-4.9483810714199489E-3</v>
      </c>
      <c r="D177" s="7">
        <f t="shared" si="7"/>
        <v>-0.4468622938750848</v>
      </c>
      <c r="E177" s="8">
        <f t="shared" si="8"/>
        <v>-0.89410053418837898</v>
      </c>
    </row>
    <row r="178" spans="1:5" x14ac:dyDescent="0.2">
      <c r="A178" s="1">
        <v>41871</v>
      </c>
      <c r="B178">
        <v>46313.2</v>
      </c>
      <c r="C178" s="6">
        <f t="shared" si="6"/>
        <v>2.542245724101951E-3</v>
      </c>
      <c r="D178" s="7">
        <f t="shared" si="7"/>
        <v>0.19950017274626192</v>
      </c>
      <c r="E178" s="8">
        <f t="shared" si="8"/>
        <v>-0.7287757131753908</v>
      </c>
    </row>
    <row r="179" spans="1:5" x14ac:dyDescent="0.2">
      <c r="A179" s="1">
        <v>41872</v>
      </c>
      <c r="B179">
        <v>46283.21</v>
      </c>
      <c r="C179" s="6">
        <f t="shared" si="6"/>
        <v>-6.4775731691156903E-4</v>
      </c>
      <c r="D179" s="7">
        <f t="shared" si="7"/>
        <v>-7.5763605626965103E-2</v>
      </c>
      <c r="E179" s="8">
        <f t="shared" si="8"/>
        <v>-0.69225407770631664</v>
      </c>
    </row>
    <row r="180" spans="1:5" x14ac:dyDescent="0.2">
      <c r="A180" s="1">
        <v>41873</v>
      </c>
      <c r="B180">
        <v>45982.92</v>
      </c>
      <c r="C180" s="6">
        <f t="shared" si="6"/>
        <v>-6.5092371442782579E-3</v>
      </c>
      <c r="D180" s="7">
        <f t="shared" si="7"/>
        <v>-0.58154778933946172</v>
      </c>
      <c r="E180" s="8">
        <f t="shared" si="8"/>
        <v>-1.0298071813837246</v>
      </c>
    </row>
    <row r="181" spans="1:5" x14ac:dyDescent="0.2">
      <c r="A181" s="1">
        <v>41876</v>
      </c>
      <c r="B181">
        <v>46209.07</v>
      </c>
      <c r="C181" s="6">
        <f t="shared" si="6"/>
        <v>4.9060759749549564E-3</v>
      </c>
      <c r="D181" s="7">
        <f t="shared" si="7"/>
        <v>0.40347391130294991</v>
      </c>
      <c r="E181" s="8">
        <f t="shared" si="8"/>
        <v>-0.85681112016585959</v>
      </c>
    </row>
    <row r="182" spans="1:5" x14ac:dyDescent="0.2">
      <c r="A182" s="1">
        <v>41877</v>
      </c>
      <c r="B182">
        <v>46478.78</v>
      </c>
      <c r="C182" s="6">
        <f t="shared" si="6"/>
        <v>5.8197651849417695E-3</v>
      </c>
      <c r="D182" s="7">
        <f t="shared" si="7"/>
        <v>0.48231569952892955</v>
      </c>
      <c r="E182" s="8">
        <f t="shared" si="8"/>
        <v>-0.92697936584450247</v>
      </c>
    </row>
    <row r="183" spans="1:5" x14ac:dyDescent="0.2">
      <c r="A183" s="1">
        <v>41878</v>
      </c>
      <c r="B183">
        <v>46351.64</v>
      </c>
      <c r="C183" s="6">
        <f t="shared" si="6"/>
        <v>-2.7391900089645568E-3</v>
      </c>
      <c r="D183" s="7">
        <f t="shared" si="7"/>
        <v>-0.2562322940972076</v>
      </c>
      <c r="E183" s="8">
        <f t="shared" si="8"/>
        <v>-0.7561830301472916</v>
      </c>
    </row>
    <row r="184" spans="1:5" x14ac:dyDescent="0.2">
      <c r="A184" s="1">
        <v>41879</v>
      </c>
      <c r="B184">
        <v>45840.07</v>
      </c>
      <c r="C184" s="6">
        <f t="shared" si="6"/>
        <v>-1.1098074885744486E-2</v>
      </c>
      <c r="D184" s="7">
        <f t="shared" si="7"/>
        <v>-0.97751631940592132</v>
      </c>
      <c r="E184" s="8">
        <f t="shared" si="8"/>
        <v>-1.5653086462931609</v>
      </c>
    </row>
    <row r="185" spans="1:5" x14ac:dyDescent="0.2">
      <c r="A185" s="1">
        <v>41880</v>
      </c>
      <c r="B185">
        <v>45630.44</v>
      </c>
      <c r="C185" s="6">
        <f t="shared" si="6"/>
        <v>-4.583561784235547E-3</v>
      </c>
      <c r="D185" s="7">
        <f t="shared" si="7"/>
        <v>-0.41538221873951375</v>
      </c>
      <c r="E185" s="8">
        <f t="shared" si="8"/>
        <v>-0.86671519796670415</v>
      </c>
    </row>
    <row r="186" spans="1:5" x14ac:dyDescent="0.2">
      <c r="A186" s="1">
        <v>41883</v>
      </c>
      <c r="B186">
        <v>45752.53</v>
      </c>
      <c r="C186" s="6">
        <f t="shared" si="6"/>
        <v>2.6720530672661139E-3</v>
      </c>
      <c r="D186" s="7">
        <f t="shared" si="7"/>
        <v>0.21070118393044093</v>
      </c>
      <c r="E186" s="8">
        <f t="shared" si="8"/>
        <v>-0.73366602451431573</v>
      </c>
    </row>
    <row r="187" spans="1:5" x14ac:dyDescent="0.2">
      <c r="A187" s="1">
        <v>41884</v>
      </c>
      <c r="B187">
        <v>46076.97</v>
      </c>
      <c r="C187" s="6">
        <f t="shared" si="6"/>
        <v>7.0661682783744626E-3</v>
      </c>
      <c r="D187" s="7">
        <f t="shared" si="7"/>
        <v>0.58986720354422217</v>
      </c>
      <c r="E187" s="8">
        <f t="shared" si="8"/>
        <v>-1.0391112080017642</v>
      </c>
    </row>
    <row r="188" spans="1:5" x14ac:dyDescent="0.2">
      <c r="A188" s="1">
        <v>41885</v>
      </c>
      <c r="B188">
        <v>46387.06</v>
      </c>
      <c r="C188" s="6">
        <f t="shared" si="6"/>
        <v>6.7072820104645756E-3</v>
      </c>
      <c r="D188" s="7">
        <f t="shared" si="7"/>
        <v>0.55889908569573421</v>
      </c>
      <c r="E188" s="8">
        <f t="shared" si="8"/>
        <v>-1.0049963990893505</v>
      </c>
    </row>
    <row r="189" spans="1:5" x14ac:dyDescent="0.2">
      <c r="A189" s="1">
        <v>41886</v>
      </c>
      <c r="B189">
        <v>46674.59</v>
      </c>
      <c r="C189" s="6">
        <f t="shared" si="6"/>
        <v>6.1793642157185703E-3</v>
      </c>
      <c r="D189" s="7">
        <f t="shared" si="7"/>
        <v>0.5133453213312722</v>
      </c>
      <c r="E189" s="8">
        <f t="shared" si="8"/>
        <v>-0.95746637124289269</v>
      </c>
    </row>
    <row r="190" spans="1:5" x14ac:dyDescent="0.2">
      <c r="A190" s="1">
        <v>41887</v>
      </c>
      <c r="B190">
        <v>46388.800000000003</v>
      </c>
      <c r="C190" s="6">
        <f t="shared" si="6"/>
        <v>-6.1418544583267641E-3</v>
      </c>
      <c r="D190" s="7">
        <f t="shared" si="7"/>
        <v>-0.54984651979716592</v>
      </c>
      <c r="E190" s="8">
        <f t="shared" si="8"/>
        <v>-0.99529546331043406</v>
      </c>
    </row>
    <row r="191" spans="1:5" x14ac:dyDescent="0.2">
      <c r="A191" s="1">
        <v>41890</v>
      </c>
      <c r="B191">
        <v>46204.85</v>
      </c>
      <c r="C191" s="6">
        <f t="shared" si="6"/>
        <v>-3.9732798523607381E-3</v>
      </c>
      <c r="D191" s="7">
        <f t="shared" si="7"/>
        <v>-0.36272129388114766</v>
      </c>
      <c r="E191" s="8">
        <f t="shared" si="8"/>
        <v>-0.82485840477085859</v>
      </c>
    </row>
    <row r="192" spans="1:5" x14ac:dyDescent="0.2">
      <c r="A192" s="1">
        <v>41891</v>
      </c>
      <c r="B192">
        <v>46344.02</v>
      </c>
      <c r="C192" s="6">
        <f t="shared" si="6"/>
        <v>3.0074944167257085E-3</v>
      </c>
      <c r="D192" s="7">
        <f t="shared" si="7"/>
        <v>0.23964625140772008</v>
      </c>
      <c r="E192" s="8">
        <f t="shared" si="8"/>
        <v>-0.74749362600151315</v>
      </c>
    </row>
    <row r="193" spans="1:5" x14ac:dyDescent="0.2">
      <c r="A193" s="1">
        <v>41892</v>
      </c>
      <c r="B193">
        <v>45879.83</v>
      </c>
      <c r="C193" s="6">
        <f t="shared" si="6"/>
        <v>-1.0066678413471438E-2</v>
      </c>
      <c r="D193" s="7">
        <f t="shared" si="7"/>
        <v>-0.88851762996627281</v>
      </c>
      <c r="E193" s="8">
        <f t="shared" si="8"/>
        <v>-1.4310548370798606</v>
      </c>
    </row>
    <row r="194" spans="1:5" x14ac:dyDescent="0.2">
      <c r="A194" s="1">
        <v>41893</v>
      </c>
      <c r="B194">
        <v>45830.54</v>
      </c>
      <c r="C194" s="6">
        <f t="shared" si="6"/>
        <v>-1.0749058093626621E-3</v>
      </c>
      <c r="D194" s="7">
        <f t="shared" si="7"/>
        <v>-0.11262203693465406</v>
      </c>
      <c r="E194" s="8">
        <f t="shared" si="8"/>
        <v>-0.69973837937722971</v>
      </c>
    </row>
    <row r="195" spans="1:5" x14ac:dyDescent="0.2">
      <c r="A195" s="1">
        <v>41894</v>
      </c>
      <c r="B195">
        <v>45865.2</v>
      </c>
      <c r="C195" s="6">
        <f t="shared" ref="C195:C258" si="9">LN(B195/B194)</f>
        <v>7.5597844895930022E-4</v>
      </c>
      <c r="D195" s="7">
        <f t="shared" ref="D195:D258" si="10">(C195-$G$4)/$G$5</f>
        <v>4.5364056567515354E-2</v>
      </c>
      <c r="E195" s="8">
        <f t="shared" ref="E195:E258" si="11">LN((PI()*(G$3-2))^(-1/2)*EXP(GAMMALN((G$3+1)/2))*((1+D195^2/(G$3-2))^(-(G$3+1)/2))/EXP(GAMMALN(G$3/2)))</f>
        <v>-0.68827695046184734</v>
      </c>
    </row>
    <row r="196" spans="1:5" x14ac:dyDescent="0.2">
      <c r="A196" s="1">
        <v>41897</v>
      </c>
      <c r="B196">
        <v>46032.07</v>
      </c>
      <c r="C196" s="6">
        <f t="shared" si="9"/>
        <v>3.6316679136205736E-3</v>
      </c>
      <c r="D196" s="7">
        <f t="shared" si="10"/>
        <v>0.2935058725136368</v>
      </c>
      <c r="E196" s="8">
        <f t="shared" si="11"/>
        <v>-0.77771457810009703</v>
      </c>
    </row>
    <row r="197" spans="1:5" x14ac:dyDescent="0.2">
      <c r="A197" s="1">
        <v>41898</v>
      </c>
      <c r="B197">
        <v>45884.73</v>
      </c>
      <c r="C197" s="6">
        <f t="shared" si="9"/>
        <v>-3.2059455115441512E-3</v>
      </c>
      <c r="D197" s="7">
        <f t="shared" si="10"/>
        <v>-0.29650839464152967</v>
      </c>
      <c r="E197" s="8">
        <f t="shared" si="11"/>
        <v>-0.77956831252517</v>
      </c>
    </row>
    <row r="198" spans="1:5" x14ac:dyDescent="0.2">
      <c r="A198" s="1">
        <v>41899</v>
      </c>
      <c r="B198">
        <v>45814.29</v>
      </c>
      <c r="C198" s="6">
        <f t="shared" si="9"/>
        <v>-1.5363307885958492E-3</v>
      </c>
      <c r="D198" s="7">
        <f t="shared" si="10"/>
        <v>-0.15243816926635254</v>
      </c>
      <c r="E198" s="8">
        <f t="shared" si="11"/>
        <v>-0.71107555319238003</v>
      </c>
    </row>
    <row r="199" spans="1:5" x14ac:dyDescent="0.2">
      <c r="A199" s="1">
        <v>41900</v>
      </c>
      <c r="B199">
        <v>46226.2</v>
      </c>
      <c r="C199" s="6">
        <f t="shared" si="9"/>
        <v>8.9506857254397117E-3</v>
      </c>
      <c r="D199" s="7">
        <f t="shared" si="10"/>
        <v>0.75248127827082045</v>
      </c>
      <c r="E199" s="8">
        <f t="shared" si="11"/>
        <v>-1.2397670757582391</v>
      </c>
    </row>
    <row r="200" spans="1:5" x14ac:dyDescent="0.2">
      <c r="A200" s="1">
        <v>41901</v>
      </c>
      <c r="B200">
        <v>46162.81</v>
      </c>
      <c r="C200" s="6">
        <f t="shared" si="9"/>
        <v>-1.3722413509396621E-3</v>
      </c>
      <c r="D200" s="7">
        <f t="shared" si="10"/>
        <v>-0.13827897317165869</v>
      </c>
      <c r="E200" s="8">
        <f t="shared" si="11"/>
        <v>-0.70665911751675659</v>
      </c>
    </row>
    <row r="201" spans="1:5" x14ac:dyDescent="0.2">
      <c r="A201" s="1">
        <v>41904</v>
      </c>
      <c r="B201">
        <v>45244.57</v>
      </c>
      <c r="C201" s="6">
        <f t="shared" si="9"/>
        <v>-2.0091832618301934E-2</v>
      </c>
      <c r="D201" s="7">
        <f t="shared" si="10"/>
        <v>-1.7535832081856357</v>
      </c>
      <c r="E201" s="8">
        <f t="shared" si="11"/>
        <v>-2.8758153530595605</v>
      </c>
    </row>
    <row r="202" spans="1:5" x14ac:dyDescent="0.2">
      <c r="A202" s="1">
        <v>41905</v>
      </c>
      <c r="B202">
        <v>44873.06</v>
      </c>
      <c r="C202" s="6">
        <f t="shared" si="9"/>
        <v>-8.2450482691829637E-3</v>
      </c>
      <c r="D202" s="7">
        <f t="shared" si="10"/>
        <v>-0.73133006936880729</v>
      </c>
      <c r="E202" s="8">
        <f t="shared" si="11"/>
        <v>-1.2117907328775555</v>
      </c>
    </row>
    <row r="203" spans="1:5" x14ac:dyDescent="0.2">
      <c r="A203" s="1">
        <v>41907</v>
      </c>
      <c r="B203">
        <v>44345.760000000002</v>
      </c>
      <c r="C203" s="6">
        <f t="shared" si="9"/>
        <v>-1.18205136475687E-2</v>
      </c>
      <c r="D203" s="7">
        <f t="shared" si="10"/>
        <v>-1.0398552014277476</v>
      </c>
      <c r="E203" s="8">
        <f t="shared" si="11"/>
        <v>-1.6628398391382089</v>
      </c>
    </row>
    <row r="204" spans="1:5" x14ac:dyDescent="0.2">
      <c r="A204" s="1">
        <v>41908</v>
      </c>
      <c r="B204">
        <v>44507.63</v>
      </c>
      <c r="C204" s="6">
        <f t="shared" si="9"/>
        <v>3.6435341200428909E-3</v>
      </c>
      <c r="D204" s="7">
        <f t="shared" si="10"/>
        <v>0.29452980157350561</v>
      </c>
      <c r="E204" s="8">
        <f t="shared" si="11"/>
        <v>-0.77834476241428374</v>
      </c>
    </row>
    <row r="205" spans="1:5" x14ac:dyDescent="0.2">
      <c r="A205" s="1">
        <v>41911</v>
      </c>
      <c r="B205">
        <v>44209.56</v>
      </c>
      <c r="C205" s="6">
        <f t="shared" si="9"/>
        <v>-6.719579859459545E-3</v>
      </c>
      <c r="D205" s="7">
        <f t="shared" si="10"/>
        <v>-0.59969815778415414</v>
      </c>
      <c r="E205" s="8">
        <f t="shared" si="11"/>
        <v>-1.0502352080088744</v>
      </c>
    </row>
    <row r="206" spans="1:5" x14ac:dyDescent="0.2">
      <c r="A206" s="1">
        <v>41912</v>
      </c>
      <c r="B206">
        <v>44160.31</v>
      </c>
      <c r="C206" s="6">
        <f t="shared" si="9"/>
        <v>-1.1146334174543687E-3</v>
      </c>
      <c r="D206" s="7">
        <f t="shared" si="10"/>
        <v>-0.11605011250964771</v>
      </c>
      <c r="E206" s="8">
        <f t="shared" si="11"/>
        <v>-0.70058206779378451</v>
      </c>
    </row>
    <row r="207" spans="1:5" x14ac:dyDescent="0.2">
      <c r="A207" s="1">
        <v>41913</v>
      </c>
      <c r="B207">
        <v>43679.72</v>
      </c>
      <c r="C207" s="6">
        <f t="shared" si="9"/>
        <v>-1.0942500712042856E-2</v>
      </c>
      <c r="D207" s="7">
        <f t="shared" si="10"/>
        <v>-0.96409190120950561</v>
      </c>
      <c r="E207" s="8">
        <f t="shared" si="11"/>
        <v>-1.5446606850493305</v>
      </c>
    </row>
    <row r="208" spans="1:5" x14ac:dyDescent="0.2">
      <c r="A208" s="1">
        <v>41914</v>
      </c>
      <c r="B208">
        <v>42956.68</v>
      </c>
      <c r="C208" s="6">
        <f t="shared" si="9"/>
        <v>-1.6691755137235788E-2</v>
      </c>
      <c r="D208" s="7">
        <f t="shared" si="10"/>
        <v>-1.4601922106953531</v>
      </c>
      <c r="E208" s="8">
        <f t="shared" si="11"/>
        <v>-2.3669001447459057</v>
      </c>
    </row>
    <row r="209" spans="1:5" x14ac:dyDescent="0.2">
      <c r="A209" s="1">
        <v>41915</v>
      </c>
      <c r="B209">
        <v>43383.519999999997</v>
      </c>
      <c r="C209" s="6">
        <f t="shared" si="9"/>
        <v>9.8874794683720523E-3</v>
      </c>
      <c r="D209" s="7">
        <f t="shared" si="10"/>
        <v>0.83331674517182552</v>
      </c>
      <c r="E209" s="8">
        <f t="shared" si="11"/>
        <v>-1.3512083479742152</v>
      </c>
    </row>
    <row r="210" spans="1:5" x14ac:dyDescent="0.2">
      <c r="A210" s="1">
        <v>41918</v>
      </c>
      <c r="B210">
        <v>43932.97</v>
      </c>
      <c r="C210" s="6">
        <f t="shared" si="9"/>
        <v>1.2585417769048203E-2</v>
      </c>
      <c r="D210" s="7">
        <f t="shared" si="10"/>
        <v>1.0661205014422299</v>
      </c>
      <c r="E210" s="8">
        <f t="shared" si="11"/>
        <v>-1.7046808524821626</v>
      </c>
    </row>
    <row r="211" spans="1:5" x14ac:dyDescent="0.2">
      <c r="A211" s="1">
        <v>41919</v>
      </c>
      <c r="B211">
        <v>43500.25</v>
      </c>
      <c r="C211" s="6">
        <f t="shared" si="9"/>
        <v>-9.8983780553175745E-3</v>
      </c>
      <c r="D211" s="7">
        <f t="shared" si="10"/>
        <v>-0.87399507563281964</v>
      </c>
      <c r="E211" s="8">
        <f t="shared" si="11"/>
        <v>-1.40977599840108</v>
      </c>
    </row>
    <row r="212" spans="1:5" x14ac:dyDescent="0.2">
      <c r="A212" s="1">
        <v>41920</v>
      </c>
      <c r="B212">
        <v>42846.54</v>
      </c>
      <c r="C212" s="6">
        <f t="shared" si="9"/>
        <v>-1.514179021210121E-2</v>
      </c>
      <c r="D212" s="7">
        <f t="shared" si="10"/>
        <v>-1.3264465069599216</v>
      </c>
      <c r="E212" s="8">
        <f t="shared" si="11"/>
        <v>-2.1369994681566347</v>
      </c>
    </row>
    <row r="213" spans="1:5" x14ac:dyDescent="0.2">
      <c r="A213" s="1">
        <v>41921</v>
      </c>
      <c r="B213">
        <v>42913.11</v>
      </c>
      <c r="C213" s="6">
        <f t="shared" si="9"/>
        <v>1.5524786626468455E-3</v>
      </c>
      <c r="D213" s="7">
        <f t="shared" si="10"/>
        <v>0.11409366449449013</v>
      </c>
      <c r="E213" s="8">
        <f t="shared" si="11"/>
        <v>-0.70009749612672689</v>
      </c>
    </row>
    <row r="214" spans="1:5" x14ac:dyDescent="0.2">
      <c r="A214" s="1">
        <v>41922</v>
      </c>
      <c r="B214">
        <v>41911.800000000003</v>
      </c>
      <c r="C214" s="6">
        <f t="shared" si="9"/>
        <v>-2.360996346360798E-2</v>
      </c>
      <c r="D214" s="7">
        <f t="shared" si="10"/>
        <v>-2.0571609718553074</v>
      </c>
      <c r="E214" s="8">
        <f t="shared" si="11"/>
        <v>-3.3950853216980277</v>
      </c>
    </row>
    <row r="215" spans="1:5" x14ac:dyDescent="0.2">
      <c r="A215" s="1">
        <v>41925</v>
      </c>
      <c r="B215">
        <v>42181.15</v>
      </c>
      <c r="C215" s="6">
        <f t="shared" si="9"/>
        <v>6.4060285936829693E-3</v>
      </c>
      <c r="D215" s="7">
        <f t="shared" si="10"/>
        <v>0.53290407795279393</v>
      </c>
      <c r="E215" s="8">
        <f t="shared" si="11"/>
        <v>-0.97747757227442056</v>
      </c>
    </row>
    <row r="216" spans="1:5" x14ac:dyDescent="0.2">
      <c r="A216" s="1">
        <v>41926</v>
      </c>
      <c r="B216">
        <v>42500.95</v>
      </c>
      <c r="C216" s="6">
        <f t="shared" si="9"/>
        <v>7.5529898365432006E-3</v>
      </c>
      <c r="D216" s="7">
        <f t="shared" si="10"/>
        <v>0.63187479406128111</v>
      </c>
      <c r="E216" s="8">
        <f t="shared" si="11"/>
        <v>-1.087603193500114</v>
      </c>
    </row>
    <row r="217" spans="1:5" x14ac:dyDescent="0.2">
      <c r="A217" s="1">
        <v>41927</v>
      </c>
      <c r="B217">
        <v>41572.080000000002</v>
      </c>
      <c r="C217" s="6">
        <f t="shared" si="9"/>
        <v>-2.2097640525226985E-2</v>
      </c>
      <c r="D217" s="7">
        <f t="shared" si="10"/>
        <v>-1.9266633764652443</v>
      </c>
      <c r="E217" s="8">
        <f t="shared" si="11"/>
        <v>-3.1735992889395206</v>
      </c>
    </row>
    <row r="218" spans="1:5" x14ac:dyDescent="0.2">
      <c r="A218" s="1">
        <v>41928</v>
      </c>
      <c r="B218">
        <v>41793.53</v>
      </c>
      <c r="C218" s="6">
        <f t="shared" si="9"/>
        <v>5.3127547648318422E-3</v>
      </c>
      <c r="D218" s="7">
        <f t="shared" si="10"/>
        <v>0.43856602213999685</v>
      </c>
      <c r="E218" s="8">
        <f t="shared" si="11"/>
        <v>-0.88671583503543927</v>
      </c>
    </row>
    <row r="219" spans="1:5" x14ac:dyDescent="0.2">
      <c r="A219" s="1">
        <v>41929</v>
      </c>
      <c r="B219">
        <v>42735.98</v>
      </c>
      <c r="C219" s="6">
        <f t="shared" si="9"/>
        <v>2.2299645516649383E-2</v>
      </c>
      <c r="D219" s="7">
        <f t="shared" si="10"/>
        <v>1.9043563900616887</v>
      </c>
      <c r="E219" s="8">
        <f t="shared" si="11"/>
        <v>-3.1354468161652536</v>
      </c>
    </row>
    <row r="220" spans="1:5" x14ac:dyDescent="0.2">
      <c r="A220" s="1">
        <v>41932</v>
      </c>
      <c r="B220">
        <v>42479.53</v>
      </c>
      <c r="C220" s="6">
        <f t="shared" si="9"/>
        <v>-6.0188755356339156E-3</v>
      </c>
      <c r="D220" s="7">
        <f t="shared" si="10"/>
        <v>-0.53923472962471919</v>
      </c>
      <c r="E220" s="8">
        <f t="shared" si="11"/>
        <v>-0.98408336289448073</v>
      </c>
    </row>
    <row r="221" spans="1:5" x14ac:dyDescent="0.2">
      <c r="A221" s="1">
        <v>41933</v>
      </c>
      <c r="B221">
        <v>43385.89</v>
      </c>
      <c r="C221" s="6">
        <f t="shared" si="9"/>
        <v>2.1111960195234432E-2</v>
      </c>
      <c r="D221" s="7">
        <f t="shared" si="10"/>
        <v>1.8018716134367643</v>
      </c>
      <c r="E221" s="8">
        <f t="shared" si="11"/>
        <v>-2.9592586899014597</v>
      </c>
    </row>
    <row r="222" spans="1:5" x14ac:dyDescent="0.2">
      <c r="A222" s="1">
        <v>41934</v>
      </c>
      <c r="B222">
        <v>43035.34</v>
      </c>
      <c r="C222" s="6">
        <f t="shared" si="9"/>
        <v>-8.1126344212834548E-3</v>
      </c>
      <c r="D222" s="7">
        <f t="shared" si="10"/>
        <v>-0.71990414418530768</v>
      </c>
      <c r="E222" s="8">
        <f t="shared" si="11"/>
        <v>-1.1968955848647178</v>
      </c>
    </row>
    <row r="223" spans="1:5" x14ac:dyDescent="0.2">
      <c r="A223" s="1">
        <v>41935</v>
      </c>
      <c r="B223">
        <v>42921.33</v>
      </c>
      <c r="C223" s="6">
        <f t="shared" si="9"/>
        <v>-2.6527334494763706E-3</v>
      </c>
      <c r="D223" s="7">
        <f t="shared" si="10"/>
        <v>-0.24877200051005585</v>
      </c>
      <c r="E223" s="8">
        <f t="shared" si="11"/>
        <v>-0.75220602489270072</v>
      </c>
    </row>
    <row r="224" spans="1:5" x14ac:dyDescent="0.2">
      <c r="A224" s="1">
        <v>41936</v>
      </c>
      <c r="B224">
        <v>42676.13</v>
      </c>
      <c r="C224" s="6">
        <f t="shared" si="9"/>
        <v>-5.7291576336024278E-3</v>
      </c>
      <c r="D224" s="7">
        <f t="shared" si="10"/>
        <v>-0.51423511572146285</v>
      </c>
      <c r="E224" s="8">
        <f t="shared" si="11"/>
        <v>-0.95836357513497683</v>
      </c>
    </row>
    <row r="225" spans="1:5" x14ac:dyDescent="0.2">
      <c r="A225" s="1">
        <v>41939</v>
      </c>
      <c r="B225">
        <v>42816.160000000003</v>
      </c>
      <c r="C225" s="6">
        <f t="shared" si="9"/>
        <v>3.275853886341335E-3</v>
      </c>
      <c r="D225" s="7">
        <f t="shared" si="10"/>
        <v>0.26280285678360804</v>
      </c>
      <c r="E225" s="8">
        <f t="shared" si="11"/>
        <v>-0.75977816362346029</v>
      </c>
    </row>
    <row r="226" spans="1:5" x14ac:dyDescent="0.2">
      <c r="A226" s="1">
        <v>41940</v>
      </c>
      <c r="B226">
        <v>43181.63</v>
      </c>
      <c r="C226" s="6">
        <f t="shared" si="9"/>
        <v>8.4995719124796604E-3</v>
      </c>
      <c r="D226" s="7">
        <f t="shared" si="10"/>
        <v>0.71355489135669259</v>
      </c>
      <c r="E226" s="8">
        <f t="shared" si="11"/>
        <v>-1.1886859672854575</v>
      </c>
    </row>
    <row r="227" spans="1:5" x14ac:dyDescent="0.2">
      <c r="A227" s="1">
        <v>41941</v>
      </c>
      <c r="B227">
        <v>43797.39</v>
      </c>
      <c r="C227" s="6">
        <f t="shared" si="9"/>
        <v>1.4159053233768931E-2</v>
      </c>
      <c r="D227" s="7">
        <f t="shared" si="10"/>
        <v>1.2019087242846485</v>
      </c>
      <c r="E227" s="8">
        <f t="shared" si="11"/>
        <v>-1.9268152758206782</v>
      </c>
    </row>
    <row r="228" spans="1:5" x14ac:dyDescent="0.2">
      <c r="A228" s="1">
        <v>41942</v>
      </c>
      <c r="B228">
        <v>43335.67</v>
      </c>
      <c r="C228" s="6">
        <f t="shared" si="9"/>
        <v>-1.0598143155208205E-2</v>
      </c>
      <c r="D228" s="7">
        <f t="shared" si="10"/>
        <v>-0.93437745862528687</v>
      </c>
      <c r="E228" s="8">
        <f t="shared" si="11"/>
        <v>-1.4994422779907366</v>
      </c>
    </row>
    <row r="229" spans="1:5" x14ac:dyDescent="0.2">
      <c r="A229" s="1">
        <v>41943</v>
      </c>
      <c r="B229">
        <v>44384.99</v>
      </c>
      <c r="C229" s="6">
        <f t="shared" si="9"/>
        <v>2.3925265808317761E-2</v>
      </c>
      <c r="D229" s="7">
        <f t="shared" si="10"/>
        <v>2.044630357807705</v>
      </c>
      <c r="E229" s="8">
        <f t="shared" si="11"/>
        <v>-3.3739550641616414</v>
      </c>
    </row>
    <row r="230" spans="1:5" x14ac:dyDescent="0.2">
      <c r="A230" s="1">
        <v>41946</v>
      </c>
      <c r="B230">
        <v>44705.91</v>
      </c>
      <c r="C230" s="6">
        <f t="shared" si="9"/>
        <v>7.2043584261053837E-3</v>
      </c>
      <c r="D230" s="7">
        <f t="shared" si="10"/>
        <v>0.60179156277188062</v>
      </c>
      <c r="E230" s="8">
        <f t="shared" si="11"/>
        <v>-1.0526219131429229</v>
      </c>
    </row>
    <row r="231" spans="1:5" x14ac:dyDescent="0.2">
      <c r="A231" s="1">
        <v>41947</v>
      </c>
      <c r="B231">
        <v>44451.72</v>
      </c>
      <c r="C231" s="6">
        <f t="shared" si="9"/>
        <v>-5.7020512706424066E-3</v>
      </c>
      <c r="D231" s="7">
        <f t="shared" si="10"/>
        <v>-0.51189612112164551</v>
      </c>
      <c r="E231" s="8">
        <f t="shared" si="11"/>
        <v>-0.95600781361239773</v>
      </c>
    </row>
    <row r="232" spans="1:5" x14ac:dyDescent="0.2">
      <c r="A232" s="1">
        <v>41948</v>
      </c>
      <c r="B232">
        <v>44395.88</v>
      </c>
      <c r="C232" s="6">
        <f t="shared" si="9"/>
        <v>-1.2569840345110785E-3</v>
      </c>
      <c r="D232" s="7">
        <f t="shared" si="10"/>
        <v>-0.1283334765694954</v>
      </c>
      <c r="E232" s="8">
        <f t="shared" si="11"/>
        <v>-0.70381049313657462</v>
      </c>
    </row>
    <row r="233" spans="1:5" x14ac:dyDescent="0.2">
      <c r="A233" s="1">
        <v>41949</v>
      </c>
      <c r="B233">
        <v>44306.55</v>
      </c>
      <c r="C233" s="6">
        <f t="shared" si="9"/>
        <v>-2.0141506878561992E-3</v>
      </c>
      <c r="D233" s="7">
        <f t="shared" si="10"/>
        <v>-0.19366901110609275</v>
      </c>
      <c r="E233" s="8">
        <f t="shared" si="11"/>
        <v>-0.72633235176628075</v>
      </c>
    </row>
    <row r="234" spans="1:5" x14ac:dyDescent="0.2">
      <c r="A234" s="1">
        <v>41950</v>
      </c>
      <c r="B234">
        <v>44814.63</v>
      </c>
      <c r="C234" s="6">
        <f t="shared" si="9"/>
        <v>1.1402126958999507E-2</v>
      </c>
      <c r="D234" s="7">
        <f t="shared" si="10"/>
        <v>0.96401492502095032</v>
      </c>
      <c r="E234" s="8">
        <f t="shared" si="11"/>
        <v>-1.5445426733038878</v>
      </c>
    </row>
    <row r="235" spans="1:5" x14ac:dyDescent="0.2">
      <c r="A235" s="1">
        <v>41953</v>
      </c>
      <c r="B235">
        <v>45161.14</v>
      </c>
      <c r="C235" s="6">
        <f t="shared" si="9"/>
        <v>7.7023339302235132E-3</v>
      </c>
      <c r="D235" s="7">
        <f t="shared" si="10"/>
        <v>0.64476162174628138</v>
      </c>
      <c r="E235" s="8">
        <f t="shared" si="11"/>
        <v>-1.1029709099965628</v>
      </c>
    </row>
    <row r="236" spans="1:5" x14ac:dyDescent="0.2">
      <c r="A236" s="1">
        <v>41954</v>
      </c>
      <c r="B236">
        <v>44980.97</v>
      </c>
      <c r="C236" s="6">
        <f t="shared" si="9"/>
        <v>-3.9974711025278732E-3</v>
      </c>
      <c r="D236" s="7">
        <f t="shared" si="10"/>
        <v>-0.3648087448456025</v>
      </c>
      <c r="E236" s="8">
        <f t="shared" si="11"/>
        <v>-0.82642100651891515</v>
      </c>
    </row>
    <row r="237" spans="1:5" x14ac:dyDescent="0.2">
      <c r="A237" s="1">
        <v>41955</v>
      </c>
      <c r="B237">
        <v>44935.48</v>
      </c>
      <c r="C237" s="6">
        <f t="shared" si="9"/>
        <v>-1.0118282890625755E-3</v>
      </c>
      <c r="D237" s="7">
        <f t="shared" si="10"/>
        <v>-0.10717910902988967</v>
      </c>
      <c r="E237" s="8">
        <f t="shared" si="11"/>
        <v>-0.69845028727547243</v>
      </c>
    </row>
    <row r="238" spans="1:5" x14ac:dyDescent="0.2">
      <c r="A238" s="1">
        <v>41956</v>
      </c>
      <c r="B238">
        <v>45120.73</v>
      </c>
      <c r="C238" s="6">
        <f t="shared" si="9"/>
        <v>4.1141029872926874E-3</v>
      </c>
      <c r="D238" s="7">
        <f t="shared" si="10"/>
        <v>0.33513495546164562</v>
      </c>
      <c r="E238" s="8">
        <f t="shared" si="11"/>
        <v>-0.8049741249535286</v>
      </c>
    </row>
    <row r="239" spans="1:5" x14ac:dyDescent="0.2">
      <c r="A239" s="1">
        <v>41957</v>
      </c>
      <c r="B239">
        <v>45134.15</v>
      </c>
      <c r="C239" s="6">
        <f t="shared" si="9"/>
        <v>2.9738004413490675E-4</v>
      </c>
      <c r="D239" s="7">
        <f t="shared" si="10"/>
        <v>5.7918279379808695E-3</v>
      </c>
      <c r="E239" s="8">
        <f t="shared" si="11"/>
        <v>-0.68608805423872166</v>
      </c>
    </row>
    <row r="240" spans="1:5" x14ac:dyDescent="0.2">
      <c r="A240" s="1">
        <v>41960</v>
      </c>
      <c r="B240">
        <v>45031.48</v>
      </c>
      <c r="C240" s="6">
        <f t="shared" si="9"/>
        <v>-2.2773654301292408E-3</v>
      </c>
      <c r="D240" s="7">
        <f t="shared" si="10"/>
        <v>-0.21638168051426759</v>
      </c>
      <c r="E240" s="8">
        <f t="shared" si="11"/>
        <v>-0.73624471494712551</v>
      </c>
    </row>
    <row r="241" spans="1:5" x14ac:dyDescent="0.2">
      <c r="A241" s="1">
        <v>41961</v>
      </c>
      <c r="B241">
        <v>44802.6</v>
      </c>
      <c r="C241" s="6">
        <f t="shared" si="9"/>
        <v>-5.0956272997252907E-3</v>
      </c>
      <c r="D241" s="7">
        <f t="shared" si="10"/>
        <v>-0.45956809779860008</v>
      </c>
      <c r="E241" s="8">
        <f t="shared" si="11"/>
        <v>-0.90563930777051083</v>
      </c>
    </row>
    <row r="242" spans="1:5" x14ac:dyDescent="0.2">
      <c r="A242" s="1">
        <v>41962</v>
      </c>
      <c r="B242">
        <v>44523.09</v>
      </c>
      <c r="C242" s="6">
        <f t="shared" si="9"/>
        <v>-6.258242444342952E-3</v>
      </c>
      <c r="D242" s="7">
        <f t="shared" si="10"/>
        <v>-0.5598895813165955</v>
      </c>
      <c r="E242" s="8">
        <f t="shared" si="11"/>
        <v>-1.0060653860595776</v>
      </c>
    </row>
    <row r="243" spans="1:5" x14ac:dyDescent="0.2">
      <c r="A243" s="1">
        <v>41963</v>
      </c>
      <c r="B243">
        <v>43676.11</v>
      </c>
      <c r="C243" s="6">
        <f t="shared" si="9"/>
        <v>-1.9206660312572628E-2</v>
      </c>
      <c r="D243" s="7">
        <f t="shared" si="10"/>
        <v>-1.6772021294676116</v>
      </c>
      <c r="E243" s="8">
        <f t="shared" si="11"/>
        <v>-2.7434390923729861</v>
      </c>
    </row>
    <row r="244" spans="1:5" x14ac:dyDescent="0.2">
      <c r="A244" s="1">
        <v>41964</v>
      </c>
      <c r="B244">
        <v>45250.63</v>
      </c>
      <c r="C244" s="6">
        <f t="shared" si="9"/>
        <v>3.5415322006646877E-2</v>
      </c>
      <c r="D244" s="7">
        <f t="shared" si="10"/>
        <v>3.0361016016306932</v>
      </c>
      <c r="E244" s="8">
        <f t="shared" si="11"/>
        <v>-4.9273460501137842</v>
      </c>
    </row>
    <row r="245" spans="1:5" x14ac:dyDescent="0.2">
      <c r="A245" s="1">
        <v>41967</v>
      </c>
      <c r="B245">
        <v>45082.77</v>
      </c>
      <c r="C245" s="6">
        <f t="shared" si="9"/>
        <v>-3.7164590994642529E-3</v>
      </c>
      <c r="D245" s="7">
        <f t="shared" si="10"/>
        <v>-0.34056035864126061</v>
      </c>
      <c r="E245" s="8">
        <f t="shared" si="11"/>
        <v>-0.80877152210220149</v>
      </c>
    </row>
    <row r="246" spans="1:5" x14ac:dyDescent="0.2">
      <c r="A246" s="1">
        <v>41968</v>
      </c>
      <c r="B246">
        <v>44909.52</v>
      </c>
      <c r="C246" s="6">
        <f t="shared" si="9"/>
        <v>-3.8503346017084539E-3</v>
      </c>
      <c r="D246" s="7">
        <f t="shared" si="10"/>
        <v>-0.35211240925236098</v>
      </c>
      <c r="E246" s="8">
        <f t="shared" si="11"/>
        <v>-0.81704238162324416</v>
      </c>
    </row>
    <row r="247" spans="1:5" x14ac:dyDescent="0.2">
      <c r="A247" s="1">
        <v>41969</v>
      </c>
      <c r="B247">
        <v>44751.51</v>
      </c>
      <c r="C247" s="6">
        <f t="shared" si="9"/>
        <v>-3.5246118314354825E-3</v>
      </c>
      <c r="D247" s="7">
        <f t="shared" si="10"/>
        <v>-0.32400595314721375</v>
      </c>
      <c r="E247" s="8">
        <f t="shared" si="11"/>
        <v>-0.79735989662614337</v>
      </c>
    </row>
    <row r="248" spans="1:5" x14ac:dyDescent="0.2">
      <c r="A248" s="1">
        <v>41970</v>
      </c>
      <c r="B248">
        <v>44910.17</v>
      </c>
      <c r="C248" s="6">
        <f t="shared" si="9"/>
        <v>3.5390852726156371E-3</v>
      </c>
      <c r="D248" s="7">
        <f t="shared" si="10"/>
        <v>0.2855169623943869</v>
      </c>
      <c r="E248" s="8">
        <f t="shared" si="11"/>
        <v>-0.77286835323985981</v>
      </c>
    </row>
    <row r="249" spans="1:5" x14ac:dyDescent="0.2">
      <c r="A249" s="1">
        <v>41971</v>
      </c>
      <c r="B249">
        <v>44205.760000000002</v>
      </c>
      <c r="C249" s="6">
        <f t="shared" si="9"/>
        <v>-1.5809175105711996E-2</v>
      </c>
      <c r="D249" s="7">
        <f t="shared" si="10"/>
        <v>-1.3840348180312967</v>
      </c>
      <c r="E249" s="8">
        <f t="shared" si="11"/>
        <v>-2.235600750884831</v>
      </c>
    </row>
    <row r="250" spans="1:5" x14ac:dyDescent="0.2">
      <c r="A250" s="1">
        <v>41974</v>
      </c>
      <c r="B250">
        <v>43236.37</v>
      </c>
      <c r="C250" s="6">
        <f t="shared" si="9"/>
        <v>-2.2173058134493159E-2</v>
      </c>
      <c r="D250" s="7">
        <f t="shared" si="10"/>
        <v>-1.9331711245192673</v>
      </c>
      <c r="E250" s="8">
        <f t="shared" si="11"/>
        <v>-3.184714925862083</v>
      </c>
    </row>
    <row r="251" spans="1:5" x14ac:dyDescent="0.2">
      <c r="A251" s="1">
        <v>41975</v>
      </c>
      <c r="B251">
        <v>43973.78</v>
      </c>
      <c r="C251" s="6">
        <f t="shared" si="9"/>
        <v>1.6911508002209145E-2</v>
      </c>
      <c r="D251" s="7">
        <f t="shared" si="10"/>
        <v>1.4394166794875813</v>
      </c>
      <c r="E251" s="8">
        <f t="shared" si="11"/>
        <v>-2.3310006691389322</v>
      </c>
    </row>
    <row r="252" spans="1:5" x14ac:dyDescent="0.2">
      <c r="A252" s="1">
        <v>41976</v>
      </c>
      <c r="B252">
        <v>44230.75</v>
      </c>
      <c r="C252" s="6">
        <f t="shared" si="9"/>
        <v>5.8267013501495431E-3</v>
      </c>
      <c r="D252" s="7">
        <f t="shared" si="10"/>
        <v>0.48291421778046895</v>
      </c>
      <c r="E252" s="8">
        <f t="shared" si="11"/>
        <v>-0.92755251271896333</v>
      </c>
    </row>
    <row r="253" spans="1:5" x14ac:dyDescent="0.2">
      <c r="A253" s="1">
        <v>41977</v>
      </c>
      <c r="B253">
        <v>43767.55</v>
      </c>
      <c r="C253" s="6">
        <f t="shared" si="9"/>
        <v>-1.0527573328629797E-2</v>
      </c>
      <c r="D253" s="7">
        <f t="shared" si="10"/>
        <v>-0.92828802333216431</v>
      </c>
      <c r="E253" s="8">
        <f t="shared" si="11"/>
        <v>-1.4902611600698981</v>
      </c>
    </row>
    <row r="254" spans="1:5" x14ac:dyDescent="0.2">
      <c r="A254" s="1">
        <v>41978</v>
      </c>
      <c r="B254">
        <v>43876.25</v>
      </c>
      <c r="C254" s="6">
        <f t="shared" si="9"/>
        <v>2.4804961842061317E-3</v>
      </c>
      <c r="D254" s="7">
        <f t="shared" si="10"/>
        <v>0.1941718356111565</v>
      </c>
      <c r="E254" s="8">
        <f t="shared" si="11"/>
        <v>-0.72654027220577488</v>
      </c>
    </row>
    <row r="255" spans="1:5" x14ac:dyDescent="0.2">
      <c r="A255" s="1">
        <v>41981</v>
      </c>
      <c r="B255">
        <v>43972.33</v>
      </c>
      <c r="C255" s="6">
        <f t="shared" si="9"/>
        <v>2.187401055536236E-3</v>
      </c>
      <c r="D255" s="7">
        <f t="shared" si="10"/>
        <v>0.16888080249827592</v>
      </c>
      <c r="E255" s="8">
        <f t="shared" si="11"/>
        <v>-0.71673385431111747</v>
      </c>
    </row>
    <row r="256" spans="1:5" x14ac:dyDescent="0.2">
      <c r="A256" s="1">
        <v>41982</v>
      </c>
      <c r="B256">
        <v>42911.27</v>
      </c>
      <c r="C256" s="6">
        <f t="shared" si="9"/>
        <v>-2.4426077068191714E-2</v>
      </c>
      <c r="D256" s="7">
        <f t="shared" si="10"/>
        <v>-2.1275830095434403</v>
      </c>
      <c r="E256" s="8">
        <f t="shared" si="11"/>
        <v>-3.5132428166239293</v>
      </c>
    </row>
    <row r="257" spans="1:5" x14ac:dyDescent="0.2">
      <c r="A257" s="1">
        <v>41983</v>
      </c>
      <c r="B257">
        <v>43062.01</v>
      </c>
      <c r="C257" s="6">
        <f t="shared" si="9"/>
        <v>3.5066745032376152E-3</v>
      </c>
      <c r="D257" s="7">
        <f t="shared" si="10"/>
        <v>0.28272025319872951</v>
      </c>
      <c r="E257" s="8">
        <f t="shared" si="11"/>
        <v>-0.77120147292974406</v>
      </c>
    </row>
    <row r="258" spans="1:5" x14ac:dyDescent="0.2">
      <c r="A258" s="1">
        <v>41984</v>
      </c>
      <c r="B258">
        <v>42438.05</v>
      </c>
      <c r="C258" s="6">
        <f t="shared" si="9"/>
        <v>-1.4595804428696398E-2</v>
      </c>
      <c r="D258" s="7">
        <f t="shared" si="10"/>
        <v>-1.2793336648259763</v>
      </c>
      <c r="E258" s="8">
        <f t="shared" si="11"/>
        <v>-2.0569245232793865</v>
      </c>
    </row>
    <row r="259" spans="1:5" x14ac:dyDescent="0.2">
      <c r="A259" s="1">
        <v>41985</v>
      </c>
      <c r="B259">
        <v>42400</v>
      </c>
      <c r="C259" s="6">
        <f t="shared" ref="C259:C322" si="12">LN(B259/B258)</f>
        <v>-8.9700323266035176E-4</v>
      </c>
      <c r="D259" s="7">
        <f t="shared" ref="D259:D322" si="13">(C259-$G$4)/$G$5</f>
        <v>-9.7270911930756862E-2</v>
      </c>
      <c r="E259" s="8">
        <f t="shared" ref="E259:E322" si="14">LN((PI()*(G$3-2))^(-1/2)*EXP(GAMMALN((G$3+1)/2))*((1+D259^2/(G$3-2))^(-(G$3+1)/2))/EXP(GAMMALN(G$3/2)))</f>
        <v>-0.6962678772227322</v>
      </c>
    </row>
    <row r="260" spans="1:5" x14ac:dyDescent="0.2">
      <c r="A260" s="1">
        <v>41988</v>
      </c>
      <c r="B260">
        <v>41755.14</v>
      </c>
      <c r="C260" s="6">
        <f t="shared" si="12"/>
        <v>-1.5325804746471001E-2</v>
      </c>
      <c r="D260" s="7">
        <f t="shared" si="13"/>
        <v>-1.3423250297559768</v>
      </c>
      <c r="E260" s="8">
        <f t="shared" si="14"/>
        <v>-2.1641144586635779</v>
      </c>
    </row>
    <row r="261" spans="1:5" x14ac:dyDescent="0.2">
      <c r="A261" s="1">
        <v>41990</v>
      </c>
      <c r="B261">
        <v>41616.58</v>
      </c>
      <c r="C261" s="6">
        <f t="shared" si="12"/>
        <v>-3.3239119349356226E-3</v>
      </c>
      <c r="D261" s="7">
        <f t="shared" si="13"/>
        <v>-0.30668765873827969</v>
      </c>
      <c r="E261" s="8">
        <f t="shared" si="14"/>
        <v>-0.78598380213450958</v>
      </c>
    </row>
    <row r="262" spans="1:5" x14ac:dyDescent="0.2">
      <c r="A262" s="1">
        <v>41991</v>
      </c>
      <c r="B262">
        <v>43609.9</v>
      </c>
      <c r="C262" s="6">
        <f t="shared" si="12"/>
        <v>4.6785543243488319E-2</v>
      </c>
      <c r="D262" s="7">
        <f t="shared" si="13"/>
        <v>4.0172323461324559</v>
      </c>
      <c r="E262" s="8">
        <f t="shared" si="14"/>
        <v>-6.2149231145590749</v>
      </c>
    </row>
    <row r="263" spans="1:5" x14ac:dyDescent="0.2">
      <c r="A263" s="1">
        <v>41992</v>
      </c>
      <c r="B263">
        <v>43655.86</v>
      </c>
      <c r="C263" s="6">
        <f t="shared" si="12"/>
        <v>1.0533341885622576E-3</v>
      </c>
      <c r="D263" s="7">
        <f t="shared" si="13"/>
        <v>7.1022735682150256E-2</v>
      </c>
      <c r="E263" s="8">
        <f t="shared" si="14"/>
        <v>-0.69150288460487319</v>
      </c>
    </row>
    <row r="264" spans="1:5" x14ac:dyDescent="0.2">
      <c r="A264" s="1">
        <v>41995</v>
      </c>
      <c r="B264">
        <v>43583.199999999997</v>
      </c>
      <c r="C264" s="6">
        <f t="shared" si="12"/>
        <v>-1.6657679897356932E-3</v>
      </c>
      <c r="D264" s="7">
        <f t="shared" si="13"/>
        <v>-0.16360724107905172</v>
      </c>
      <c r="E264" s="8">
        <f t="shared" si="14"/>
        <v>-0.71485728757334321</v>
      </c>
    </row>
    <row r="265" spans="1:5" x14ac:dyDescent="0.2">
      <c r="A265" s="1">
        <v>41996</v>
      </c>
      <c r="B265">
        <v>43820.45</v>
      </c>
      <c r="C265" s="6">
        <f t="shared" si="12"/>
        <v>5.4288483992035235E-3</v>
      </c>
      <c r="D265" s="7">
        <f t="shared" si="13"/>
        <v>0.44858368420218592</v>
      </c>
      <c r="E265" s="8">
        <f t="shared" si="14"/>
        <v>-0.89564763977610251</v>
      </c>
    </row>
    <row r="266" spans="1:5" x14ac:dyDescent="0.2">
      <c r="A266" s="1">
        <v>41997</v>
      </c>
      <c r="B266">
        <v>43746.86</v>
      </c>
      <c r="C266" s="6">
        <f t="shared" si="12"/>
        <v>-1.6807645986640701E-3</v>
      </c>
      <c r="D266" s="7">
        <f t="shared" si="13"/>
        <v>-0.16490129101672801</v>
      </c>
      <c r="E266" s="8">
        <f t="shared" si="14"/>
        <v>-0.71531237237747314</v>
      </c>
    </row>
    <row r="267" spans="1:5" x14ac:dyDescent="0.2">
      <c r="A267" s="1">
        <v>42002</v>
      </c>
      <c r="B267">
        <v>44477.47</v>
      </c>
      <c r="C267" s="6">
        <f t="shared" si="12"/>
        <v>1.6562930028864338E-2</v>
      </c>
      <c r="D267" s="7">
        <f t="shared" si="13"/>
        <v>1.4093380592584019</v>
      </c>
      <c r="E267" s="8">
        <f t="shared" si="14"/>
        <v>-2.279127905824458</v>
      </c>
    </row>
    <row r="268" spans="1:5" x14ac:dyDescent="0.2">
      <c r="A268" s="1">
        <v>42003</v>
      </c>
      <c r="B268">
        <v>43949.89</v>
      </c>
      <c r="C268" s="6">
        <f t="shared" si="12"/>
        <v>-1.1932647544311337E-2</v>
      </c>
      <c r="D268" s="7">
        <f t="shared" si="13"/>
        <v>-1.0495311796961835</v>
      </c>
      <c r="E268" s="8">
        <f t="shared" si="14"/>
        <v>-1.6782052713376343</v>
      </c>
    </row>
    <row r="269" spans="1:5" x14ac:dyDescent="0.2">
      <c r="A269" s="1">
        <v>42004</v>
      </c>
      <c r="B269">
        <v>43969.96</v>
      </c>
      <c r="C269" s="6">
        <f t="shared" si="12"/>
        <v>4.565521972253349E-4</v>
      </c>
      <c r="D269" s="7">
        <f t="shared" si="13"/>
        <v>1.9526713989234411E-2</v>
      </c>
      <c r="E269" s="8">
        <f t="shared" si="14"/>
        <v>-0.68646418941597687</v>
      </c>
    </row>
    <row r="270" spans="1:5" x14ac:dyDescent="0.2">
      <c r="A270" s="1">
        <v>42006</v>
      </c>
      <c r="B270">
        <v>43696.74</v>
      </c>
      <c r="C270" s="6">
        <f t="shared" si="12"/>
        <v>-6.2331737046121515E-3</v>
      </c>
      <c r="D270" s="7">
        <f t="shared" si="13"/>
        <v>-0.55772641221342034</v>
      </c>
      <c r="E270" s="8">
        <f t="shared" si="14"/>
        <v>-1.0037327163965548</v>
      </c>
    </row>
    <row r="271" spans="1:5" x14ac:dyDescent="0.2">
      <c r="A271" s="1">
        <v>42009</v>
      </c>
      <c r="B271">
        <v>41990.239999999998</v>
      </c>
      <c r="C271" s="6">
        <f t="shared" si="12"/>
        <v>-3.9836289450175991E-2</v>
      </c>
      <c r="D271" s="7">
        <f t="shared" si="13"/>
        <v>-3.4573225838515453</v>
      </c>
      <c r="E271" s="8">
        <f t="shared" si="14"/>
        <v>-5.5089880774573547</v>
      </c>
    </row>
    <row r="272" spans="1:5" x14ac:dyDescent="0.2">
      <c r="A272" s="1">
        <v>42010</v>
      </c>
      <c r="B272">
        <v>42747.37</v>
      </c>
      <c r="C272" s="6">
        <f t="shared" si="12"/>
        <v>1.7870462696121293E-2</v>
      </c>
      <c r="D272" s="7">
        <f t="shared" si="13"/>
        <v>1.5221644038443372</v>
      </c>
      <c r="E272" s="8">
        <f t="shared" si="14"/>
        <v>-2.4742440972378854</v>
      </c>
    </row>
    <row r="273" spans="1:5" x14ac:dyDescent="0.2">
      <c r="A273" s="1">
        <v>42011</v>
      </c>
      <c r="B273">
        <v>43086.35</v>
      </c>
      <c r="C273" s="6">
        <f t="shared" si="12"/>
        <v>7.8985685890774395E-3</v>
      </c>
      <c r="D273" s="7">
        <f t="shared" si="13"/>
        <v>0.66169461301601729</v>
      </c>
      <c r="E273" s="8">
        <f t="shared" si="14"/>
        <v>-1.1235028222062102</v>
      </c>
    </row>
    <row r="274" spans="1:5" x14ac:dyDescent="0.2">
      <c r="A274" s="1">
        <v>42012</v>
      </c>
      <c r="B274">
        <v>43670.79</v>
      </c>
      <c r="C274" s="6">
        <f t="shared" si="12"/>
        <v>1.347321594441523E-2</v>
      </c>
      <c r="D274" s="7">
        <f t="shared" si="13"/>
        <v>1.1427281651473846</v>
      </c>
      <c r="E274" s="8">
        <f t="shared" si="14"/>
        <v>-1.8289157771317925</v>
      </c>
    </row>
    <row r="275" spans="1:5" x14ac:dyDescent="0.2">
      <c r="A275" s="1">
        <v>42013</v>
      </c>
      <c r="B275">
        <v>42994.58</v>
      </c>
      <c r="C275" s="6">
        <f t="shared" si="12"/>
        <v>-1.5605396318558513E-2</v>
      </c>
      <c r="D275" s="7">
        <f t="shared" si="13"/>
        <v>-1.366450847676723</v>
      </c>
      <c r="E275" s="8">
        <f t="shared" si="14"/>
        <v>-2.2054205589226217</v>
      </c>
    </row>
    <row r="276" spans="1:5" x14ac:dyDescent="0.2">
      <c r="A276" s="1">
        <v>42016</v>
      </c>
      <c r="B276">
        <v>42478.59</v>
      </c>
      <c r="C276" s="6">
        <f t="shared" si="12"/>
        <v>-1.2073876944987252E-2</v>
      </c>
      <c r="D276" s="7">
        <f t="shared" si="13"/>
        <v>-1.0617177945512866</v>
      </c>
      <c r="E276" s="8">
        <f t="shared" si="14"/>
        <v>-1.6976384681008405</v>
      </c>
    </row>
    <row r="277" spans="1:5" x14ac:dyDescent="0.2">
      <c r="A277" s="1">
        <v>42017</v>
      </c>
      <c r="B277">
        <v>43428.83</v>
      </c>
      <c r="C277" s="6">
        <f t="shared" si="12"/>
        <v>2.2123321988133916E-2</v>
      </c>
      <c r="D277" s="7">
        <f t="shared" si="13"/>
        <v>1.8891415203417381</v>
      </c>
      <c r="E277" s="8">
        <f t="shared" si="14"/>
        <v>-3.1093806745031616</v>
      </c>
    </row>
    <row r="278" spans="1:5" x14ac:dyDescent="0.2">
      <c r="A278" s="1">
        <v>42018</v>
      </c>
      <c r="B278">
        <v>42038.080000000002</v>
      </c>
      <c r="C278" s="6">
        <f t="shared" si="12"/>
        <v>-3.2547632104468059E-2</v>
      </c>
      <c r="D278" s="7">
        <f t="shared" si="13"/>
        <v>-2.8283879607641946</v>
      </c>
      <c r="E278" s="8">
        <f t="shared" si="14"/>
        <v>-4.6233363242567567</v>
      </c>
    </row>
    <row r="279" spans="1:5" x14ac:dyDescent="0.2">
      <c r="A279" s="1">
        <v>42019</v>
      </c>
      <c r="B279">
        <v>42533.81</v>
      </c>
      <c r="C279" s="6">
        <f t="shared" si="12"/>
        <v>1.172341490025053E-2</v>
      </c>
      <c r="D279" s="7">
        <f t="shared" si="13"/>
        <v>0.99173870193196334</v>
      </c>
      <c r="E279" s="8">
        <f t="shared" si="14"/>
        <v>-1.5873263857569246</v>
      </c>
    </row>
    <row r="280" spans="1:5" x14ac:dyDescent="0.2">
      <c r="A280" s="1">
        <v>42020</v>
      </c>
      <c r="B280">
        <v>42455.42</v>
      </c>
      <c r="C280" s="6">
        <f t="shared" si="12"/>
        <v>-1.8447048462417576E-3</v>
      </c>
      <c r="D280" s="7">
        <f t="shared" si="13"/>
        <v>-0.17904761357363036</v>
      </c>
      <c r="E280" s="8">
        <f t="shared" si="14"/>
        <v>-0.7205158243198595</v>
      </c>
    </row>
    <row r="281" spans="1:5" x14ac:dyDescent="0.2">
      <c r="A281" s="1">
        <v>42023</v>
      </c>
      <c r="B281">
        <v>42989.54</v>
      </c>
      <c r="C281" s="6">
        <f t="shared" si="12"/>
        <v>1.2502246058021594E-2</v>
      </c>
      <c r="D281" s="7">
        <f t="shared" si="13"/>
        <v>1.0589436557976952</v>
      </c>
      <c r="E281" s="8">
        <f t="shared" si="14"/>
        <v>-1.6932069331932407</v>
      </c>
    </row>
    <row r="282" spans="1:5" x14ac:dyDescent="0.2">
      <c r="A282" s="1">
        <v>42024</v>
      </c>
      <c r="B282">
        <v>43074.85</v>
      </c>
      <c r="C282" s="6">
        <f t="shared" si="12"/>
        <v>1.9824698214986319E-3</v>
      </c>
      <c r="D282" s="7">
        <f t="shared" si="13"/>
        <v>0.15119738807433342</v>
      </c>
      <c r="E282" s="8">
        <f t="shared" si="14"/>
        <v>-0.71067163057670557</v>
      </c>
    </row>
    <row r="283" spans="1:5" x14ac:dyDescent="0.2">
      <c r="A283" s="1">
        <v>42025</v>
      </c>
      <c r="B283">
        <v>43480.800000000003</v>
      </c>
      <c r="C283" s="6">
        <f t="shared" si="12"/>
        <v>9.3801612381605396E-3</v>
      </c>
      <c r="D283" s="7">
        <f t="shared" si="13"/>
        <v>0.7895405070020739</v>
      </c>
      <c r="E283" s="8">
        <f t="shared" si="14"/>
        <v>-1.2899980273841825</v>
      </c>
    </row>
    <row r="284" spans="1:5" x14ac:dyDescent="0.2">
      <c r="A284" s="1">
        <v>42026</v>
      </c>
      <c r="B284">
        <v>43725.2</v>
      </c>
      <c r="C284" s="6">
        <f t="shared" si="12"/>
        <v>5.6051335887408495E-3</v>
      </c>
      <c r="D284" s="7">
        <f t="shared" si="13"/>
        <v>0.46379524567075042</v>
      </c>
      <c r="E284" s="8">
        <f t="shared" si="14"/>
        <v>-0.90953910014131789</v>
      </c>
    </row>
    <row r="285" spans="1:5" x14ac:dyDescent="0.2">
      <c r="A285" s="1">
        <v>42027</v>
      </c>
      <c r="B285">
        <v>43647.44</v>
      </c>
      <c r="C285" s="6">
        <f t="shared" si="12"/>
        <v>-1.7799627098452019E-3</v>
      </c>
      <c r="D285" s="7">
        <f t="shared" si="13"/>
        <v>-0.17346104677248753</v>
      </c>
      <c r="E285" s="8">
        <f t="shared" si="14"/>
        <v>-0.71841094270398986</v>
      </c>
    </row>
    <row r="286" spans="1:5" x14ac:dyDescent="0.2">
      <c r="A286" s="1">
        <v>42030</v>
      </c>
      <c r="B286">
        <v>44197.55</v>
      </c>
      <c r="C286" s="6">
        <f t="shared" si="12"/>
        <v>1.2524725456438046E-2</v>
      </c>
      <c r="D286" s="7">
        <f t="shared" si="13"/>
        <v>1.060883391924625</v>
      </c>
      <c r="E286" s="8">
        <f t="shared" si="14"/>
        <v>-1.6963050769527395</v>
      </c>
    </row>
    <row r="287" spans="1:5" x14ac:dyDescent="0.2">
      <c r="A287" s="1">
        <v>42031</v>
      </c>
      <c r="B287">
        <v>44531.76</v>
      </c>
      <c r="C287" s="6">
        <f t="shared" si="12"/>
        <v>7.5332847859150009E-3</v>
      </c>
      <c r="D287" s="7">
        <f t="shared" si="13"/>
        <v>0.63017445502736258</v>
      </c>
      <c r="E287" s="8">
        <f t="shared" si="14"/>
        <v>-1.0855924281889293</v>
      </c>
    </row>
    <row r="288" spans="1:5" x14ac:dyDescent="0.2">
      <c r="A288" s="1">
        <v>42032</v>
      </c>
      <c r="B288">
        <v>45002.400000000001</v>
      </c>
      <c r="C288" s="6">
        <f t="shared" si="12"/>
        <v>1.0513179212459088E-2</v>
      </c>
      <c r="D288" s="7">
        <f t="shared" si="13"/>
        <v>0.88730806539007745</v>
      </c>
      <c r="E288" s="8">
        <f t="shared" si="14"/>
        <v>-1.429275390086608</v>
      </c>
    </row>
    <row r="289" spans="1:5" x14ac:dyDescent="0.2">
      <c r="A289" s="1">
        <v>42033</v>
      </c>
      <c r="B289">
        <v>44768.68</v>
      </c>
      <c r="C289" s="6">
        <f t="shared" si="12"/>
        <v>-5.2070338927538698E-3</v>
      </c>
      <c r="D289" s="7">
        <f t="shared" si="13"/>
        <v>-0.46918131739070174</v>
      </c>
      <c r="E289" s="8">
        <f t="shared" si="14"/>
        <v>-0.9145517851641235</v>
      </c>
    </row>
    <row r="290" spans="1:5" x14ac:dyDescent="0.2">
      <c r="A290" s="1">
        <v>42034</v>
      </c>
      <c r="B290">
        <v>45111.03</v>
      </c>
      <c r="C290" s="6">
        <f t="shared" si="12"/>
        <v>7.6179964456125262E-3</v>
      </c>
      <c r="D290" s="7">
        <f t="shared" si="13"/>
        <v>0.63748418207803004</v>
      </c>
      <c r="E290" s="8">
        <f t="shared" si="14"/>
        <v>-1.0942647276611621</v>
      </c>
    </row>
    <row r="291" spans="1:5" x14ac:dyDescent="0.2">
      <c r="A291" s="1">
        <v>42037</v>
      </c>
      <c r="B291">
        <v>45188.36</v>
      </c>
      <c r="C291" s="6">
        <f t="shared" si="12"/>
        <v>1.7127473154356085E-3</v>
      </c>
      <c r="D291" s="7">
        <f t="shared" si="13"/>
        <v>0.12792316696023237</v>
      </c>
      <c r="E291" s="8">
        <f t="shared" si="14"/>
        <v>-0.70369747563707219</v>
      </c>
    </row>
    <row r="292" spans="1:5" x14ac:dyDescent="0.2">
      <c r="A292" s="1">
        <v>42038</v>
      </c>
      <c r="B292">
        <v>45708.71</v>
      </c>
      <c r="C292" s="6">
        <f t="shared" si="12"/>
        <v>1.1449338999890434E-2</v>
      </c>
      <c r="D292" s="7">
        <f t="shared" si="13"/>
        <v>0.96808882858570022</v>
      </c>
      <c r="E292" s="8">
        <f t="shared" si="14"/>
        <v>-1.5507944192418852</v>
      </c>
    </row>
    <row r="293" spans="1:5" x14ac:dyDescent="0.2">
      <c r="A293" s="1">
        <v>42039</v>
      </c>
      <c r="B293">
        <v>45412.12</v>
      </c>
      <c r="C293" s="6">
        <f t="shared" si="12"/>
        <v>-6.5098407775150795E-3</v>
      </c>
      <c r="D293" s="7">
        <f t="shared" si="13"/>
        <v>-0.5815998765517254</v>
      </c>
      <c r="E293" s="8">
        <f t="shared" si="14"/>
        <v>-1.0298651180367018</v>
      </c>
    </row>
    <row r="294" spans="1:5" x14ac:dyDescent="0.2">
      <c r="A294" s="1">
        <v>42040</v>
      </c>
      <c r="B294">
        <v>45450.89</v>
      </c>
      <c r="C294" s="6">
        <f t="shared" si="12"/>
        <v>8.5337261780851683E-4</v>
      </c>
      <c r="D294" s="7">
        <f t="shared" si="13"/>
        <v>5.3768151035223977E-2</v>
      </c>
      <c r="E294" s="8">
        <f t="shared" si="14"/>
        <v>-0.68917728576128168</v>
      </c>
    </row>
    <row r="295" spans="1:5" x14ac:dyDescent="0.2">
      <c r="A295" s="1">
        <v>42041</v>
      </c>
      <c r="B295">
        <v>45744.27</v>
      </c>
      <c r="C295" s="6">
        <f t="shared" si="12"/>
        <v>6.4341355860083431E-3</v>
      </c>
      <c r="D295" s="7">
        <f t="shared" si="13"/>
        <v>0.53532941636367259</v>
      </c>
      <c r="E295" s="8">
        <f t="shared" si="14"/>
        <v>-0.98000094736178445</v>
      </c>
    </row>
    <row r="296" spans="1:5" x14ac:dyDescent="0.2">
      <c r="A296" s="1">
        <v>42044</v>
      </c>
      <c r="B296">
        <v>45875.33</v>
      </c>
      <c r="C296" s="6">
        <f t="shared" si="12"/>
        <v>2.8609618333840479E-3</v>
      </c>
      <c r="D296" s="7">
        <f t="shared" si="13"/>
        <v>0.22700202755375157</v>
      </c>
      <c r="E296" s="8">
        <f t="shared" si="14"/>
        <v>-0.74124309501282526</v>
      </c>
    </row>
    <row r="297" spans="1:5" x14ac:dyDescent="0.2">
      <c r="A297" s="1">
        <v>42045</v>
      </c>
      <c r="B297">
        <v>45916.4</v>
      </c>
      <c r="C297" s="6">
        <f t="shared" si="12"/>
        <v>8.9485191619332889E-4</v>
      </c>
      <c r="D297" s="7">
        <f t="shared" si="13"/>
        <v>5.7347379095786029E-2</v>
      </c>
      <c r="E297" s="8">
        <f t="shared" si="14"/>
        <v>-0.68960697963967632</v>
      </c>
    </row>
    <row r="298" spans="1:5" x14ac:dyDescent="0.2">
      <c r="A298" s="1">
        <v>42046</v>
      </c>
      <c r="B298">
        <v>45891.46</v>
      </c>
      <c r="C298" s="6">
        <f t="shared" si="12"/>
        <v>-5.4330861461088806E-4</v>
      </c>
      <c r="D298" s="7">
        <f t="shared" si="13"/>
        <v>-6.6750778970746272E-2</v>
      </c>
      <c r="E298" s="8">
        <f t="shared" si="14"/>
        <v>-0.69086739501736061</v>
      </c>
    </row>
    <row r="299" spans="1:5" x14ac:dyDescent="0.2">
      <c r="A299" s="1">
        <v>42047</v>
      </c>
      <c r="B299">
        <v>46289.79</v>
      </c>
      <c r="C299" s="6">
        <f t="shared" si="12"/>
        <v>8.6423753049742671E-3</v>
      </c>
      <c r="D299" s="7">
        <f t="shared" si="13"/>
        <v>0.72587732518424508</v>
      </c>
      <c r="E299" s="8">
        <f t="shared" si="14"/>
        <v>-1.2046630540313812</v>
      </c>
    </row>
    <row r="300" spans="1:5" x14ac:dyDescent="0.2">
      <c r="A300" s="1">
        <v>42048</v>
      </c>
      <c r="B300">
        <v>46739.97</v>
      </c>
      <c r="C300" s="6">
        <f t="shared" si="12"/>
        <v>9.6782688460733141E-3</v>
      </c>
      <c r="D300" s="7">
        <f t="shared" si="13"/>
        <v>0.81526406445981336</v>
      </c>
      <c r="E300" s="8">
        <f t="shared" si="14"/>
        <v>-1.3257292917412196</v>
      </c>
    </row>
    <row r="301" spans="1:5" x14ac:dyDescent="0.2">
      <c r="A301" s="1">
        <v>42051</v>
      </c>
      <c r="B301">
        <v>46822.44</v>
      </c>
      <c r="C301" s="6">
        <f t="shared" si="12"/>
        <v>1.7628879238612177E-3</v>
      </c>
      <c r="D301" s="7">
        <f t="shared" si="13"/>
        <v>0.13224977516333319</v>
      </c>
      <c r="E301" s="8">
        <f t="shared" si="14"/>
        <v>-0.70490719097840049</v>
      </c>
    </row>
    <row r="302" spans="1:5" x14ac:dyDescent="0.2">
      <c r="A302" s="1">
        <v>42052</v>
      </c>
      <c r="B302">
        <v>46714.3</v>
      </c>
      <c r="C302" s="6">
        <f t="shared" si="12"/>
        <v>-2.3122475335524799E-3</v>
      </c>
      <c r="D302" s="7">
        <f t="shared" si="13"/>
        <v>-0.21939163989751503</v>
      </c>
      <c r="E302" s="8">
        <f t="shared" si="14"/>
        <v>-0.73763791290348146</v>
      </c>
    </row>
    <row r="303" spans="1:5" x14ac:dyDescent="0.2">
      <c r="A303" s="1">
        <v>42053</v>
      </c>
      <c r="B303">
        <v>46465.08</v>
      </c>
      <c r="C303" s="6">
        <f t="shared" si="12"/>
        <v>-5.3492649184400942E-3</v>
      </c>
      <c r="D303" s="7">
        <f t="shared" si="13"/>
        <v>-0.48145436197057484</v>
      </c>
      <c r="E303" s="8">
        <f t="shared" si="14"/>
        <v>-0.92615558190093938</v>
      </c>
    </row>
    <row r="304" spans="1:5" x14ac:dyDescent="0.2">
      <c r="A304" s="1">
        <v>42054</v>
      </c>
      <c r="B304">
        <v>46716.65</v>
      </c>
      <c r="C304" s="6">
        <f t="shared" si="12"/>
        <v>5.3995694481594834E-3</v>
      </c>
      <c r="D304" s="7">
        <f t="shared" si="13"/>
        <v>0.44605721805542431</v>
      </c>
      <c r="E304" s="8">
        <f t="shared" si="14"/>
        <v>-0.89337871745819009</v>
      </c>
    </row>
    <row r="305" spans="1:5" x14ac:dyDescent="0.2">
      <c r="A305" s="1">
        <v>42055</v>
      </c>
      <c r="B305">
        <v>46880.639999999999</v>
      </c>
      <c r="C305" s="6">
        <f t="shared" si="12"/>
        <v>3.5041648706938093E-3</v>
      </c>
      <c r="D305" s="7">
        <f t="shared" si="13"/>
        <v>0.28250369825271382</v>
      </c>
      <c r="E305" s="8">
        <f t="shared" si="14"/>
        <v>-0.77107304606835292</v>
      </c>
    </row>
    <row r="306" spans="1:5" x14ac:dyDescent="0.2">
      <c r="A306" s="1">
        <v>42058</v>
      </c>
      <c r="B306">
        <v>47163.1</v>
      </c>
      <c r="C306" s="6">
        <f t="shared" si="12"/>
        <v>6.0070101287066869E-3</v>
      </c>
      <c r="D306" s="7">
        <f t="shared" si="13"/>
        <v>0.49847297274759017</v>
      </c>
      <c r="E306" s="8">
        <f t="shared" si="14"/>
        <v>-0.94265859386019857</v>
      </c>
    </row>
    <row r="307" spans="1:5" x14ac:dyDescent="0.2">
      <c r="A307" s="1">
        <v>42059</v>
      </c>
      <c r="B307">
        <v>47178.36</v>
      </c>
      <c r="C307" s="6">
        <f t="shared" si="12"/>
        <v>3.2350570222444903E-4</v>
      </c>
      <c r="D307" s="7">
        <f t="shared" si="13"/>
        <v>8.0461980015058311E-3</v>
      </c>
      <c r="E307" s="8">
        <f t="shared" si="14"/>
        <v>-0.68612179898789327</v>
      </c>
    </row>
    <row r="308" spans="1:5" x14ac:dyDescent="0.2">
      <c r="A308" s="1">
        <v>42060</v>
      </c>
      <c r="B308">
        <v>47029.95</v>
      </c>
      <c r="C308" s="6">
        <f t="shared" si="12"/>
        <v>-3.1506800784239755E-3</v>
      </c>
      <c r="D308" s="7">
        <f t="shared" si="13"/>
        <v>-0.2917395678603304</v>
      </c>
      <c r="E308" s="8">
        <f t="shared" si="14"/>
        <v>-0.77663231958579715</v>
      </c>
    </row>
    <row r="309" spans="1:5" x14ac:dyDescent="0.2">
      <c r="A309" s="1">
        <v>42061</v>
      </c>
      <c r="B309">
        <v>47161.17</v>
      </c>
      <c r="C309" s="6">
        <f t="shared" si="12"/>
        <v>2.7862517165220028E-3</v>
      </c>
      <c r="D309" s="7">
        <f t="shared" si="13"/>
        <v>0.22055532866796679</v>
      </c>
      <c r="E309" s="8">
        <f t="shared" si="14"/>
        <v>-0.73818151103057572</v>
      </c>
    </row>
    <row r="310" spans="1:5" x14ac:dyDescent="0.2">
      <c r="A310" s="1">
        <v>42062</v>
      </c>
      <c r="B310">
        <v>47161.83</v>
      </c>
      <c r="C310" s="6">
        <f t="shared" si="12"/>
        <v>1.3994465825071745E-5</v>
      </c>
      <c r="D310" s="7">
        <f t="shared" si="13"/>
        <v>-1.8661372895728487E-2</v>
      </c>
      <c r="E310" s="8">
        <f t="shared" si="14"/>
        <v>-0.68642844823240201</v>
      </c>
    </row>
    <row r="311" spans="1:5" x14ac:dyDescent="0.2">
      <c r="A311" s="1">
        <v>42065</v>
      </c>
      <c r="B311">
        <v>46773.81</v>
      </c>
      <c r="C311" s="6">
        <f t="shared" si="12"/>
        <v>-8.2614480917049243E-3</v>
      </c>
      <c r="D311" s="7">
        <f t="shared" si="13"/>
        <v>-0.73274520191069059</v>
      </c>
      <c r="E311" s="8">
        <f t="shared" si="14"/>
        <v>-1.2136462839676241</v>
      </c>
    </row>
    <row r="312" spans="1:5" x14ac:dyDescent="0.2">
      <c r="A312" s="1">
        <v>42066</v>
      </c>
      <c r="B312">
        <v>46976.08</v>
      </c>
      <c r="C312" s="6">
        <f t="shared" si="12"/>
        <v>4.3151050920220303E-3</v>
      </c>
      <c r="D312" s="7">
        <f t="shared" si="13"/>
        <v>0.35247932726863651</v>
      </c>
      <c r="E312" s="8">
        <f t="shared" si="14"/>
        <v>-0.81730919372587074</v>
      </c>
    </row>
    <row r="313" spans="1:5" x14ac:dyDescent="0.2">
      <c r="A313" s="1">
        <v>42067</v>
      </c>
      <c r="B313">
        <v>46744.23</v>
      </c>
      <c r="C313" s="6">
        <f t="shared" si="12"/>
        <v>-4.9477103302510905E-3</v>
      </c>
      <c r="D313" s="7">
        <f t="shared" si="13"/>
        <v>-0.44680441595268894</v>
      </c>
      <c r="E313" s="8">
        <f t="shared" si="14"/>
        <v>-0.89404860467998604</v>
      </c>
    </row>
    <row r="314" spans="1:5" x14ac:dyDescent="0.2">
      <c r="A314" s="1">
        <v>42068</v>
      </c>
      <c r="B314">
        <v>47105.87</v>
      </c>
      <c r="C314" s="6">
        <f t="shared" si="12"/>
        <v>7.7067960493736373E-3</v>
      </c>
      <c r="D314" s="7">
        <f t="shared" si="13"/>
        <v>0.64514665579202457</v>
      </c>
      <c r="E314" s="8">
        <f t="shared" si="14"/>
        <v>-1.1034335276475318</v>
      </c>
    </row>
    <row r="315" spans="1:5" x14ac:dyDescent="0.2">
      <c r="A315" s="1">
        <v>42069</v>
      </c>
      <c r="B315">
        <v>47236.4</v>
      </c>
      <c r="C315" s="6">
        <f t="shared" si="12"/>
        <v>2.7671601137201057E-3</v>
      </c>
      <c r="D315" s="7">
        <f t="shared" si="13"/>
        <v>0.21890792374236479</v>
      </c>
      <c r="E315" s="8">
        <f t="shared" si="14"/>
        <v>-0.73741276792921451</v>
      </c>
    </row>
    <row r="316" spans="1:5" x14ac:dyDescent="0.2">
      <c r="A316" s="1">
        <v>42072</v>
      </c>
      <c r="B316">
        <v>46644.35</v>
      </c>
      <c r="C316" s="6">
        <f t="shared" si="12"/>
        <v>-1.2612976546156838E-2</v>
      </c>
      <c r="D316" s="7">
        <f t="shared" si="13"/>
        <v>-1.1082364314395738</v>
      </c>
      <c r="E316" s="8">
        <f t="shared" si="14"/>
        <v>-1.7725999872336389</v>
      </c>
    </row>
    <row r="317" spans="1:5" x14ac:dyDescent="0.2">
      <c r="A317" s="1">
        <v>42073</v>
      </c>
      <c r="B317">
        <v>46148.91</v>
      </c>
      <c r="C317" s="6">
        <f t="shared" si="12"/>
        <v>-1.0678463239510919E-2</v>
      </c>
      <c r="D317" s="7">
        <f t="shared" si="13"/>
        <v>-0.94130823881582759</v>
      </c>
      <c r="E317" s="8">
        <f t="shared" si="14"/>
        <v>-1.5099279131194034</v>
      </c>
    </row>
    <row r="318" spans="1:5" x14ac:dyDescent="0.2">
      <c r="A318" s="1">
        <v>42074</v>
      </c>
      <c r="B318">
        <v>45825.87</v>
      </c>
      <c r="C318" s="6">
        <f t="shared" si="12"/>
        <v>-7.0245632194507841E-3</v>
      </c>
      <c r="D318" s="7">
        <f t="shared" si="13"/>
        <v>-0.62601502047450375</v>
      </c>
      <c r="E318" s="8">
        <f t="shared" si="14"/>
        <v>-1.0806903851169301</v>
      </c>
    </row>
    <row r="319" spans="1:5" x14ac:dyDescent="0.2">
      <c r="A319" s="1">
        <v>42075</v>
      </c>
      <c r="B319">
        <v>46303.16</v>
      </c>
      <c r="C319" s="6">
        <f t="shared" si="12"/>
        <v>1.0361430487583163E-2</v>
      </c>
      <c r="D319" s="7">
        <f t="shared" si="13"/>
        <v>0.8742137432732574</v>
      </c>
      <c r="E319" s="8">
        <f t="shared" si="14"/>
        <v>-1.4100949929576152</v>
      </c>
    </row>
    <row r="320" spans="1:5" x14ac:dyDescent="0.2">
      <c r="A320" s="1">
        <v>42076</v>
      </c>
      <c r="B320">
        <v>45872.93</v>
      </c>
      <c r="C320" s="6">
        <f t="shared" si="12"/>
        <v>-9.3350265623084565E-3</v>
      </c>
      <c r="D320" s="7">
        <f t="shared" si="13"/>
        <v>-0.82538375504027883</v>
      </c>
      <c r="E320" s="8">
        <f t="shared" si="14"/>
        <v>-1.3399719088160802</v>
      </c>
    </row>
    <row r="321" spans="1:5" x14ac:dyDescent="0.2">
      <c r="A321" s="1">
        <v>42079</v>
      </c>
      <c r="B321">
        <v>46202.57</v>
      </c>
      <c r="C321" s="6">
        <f t="shared" si="12"/>
        <v>7.1602415052826841E-3</v>
      </c>
      <c r="D321" s="7">
        <f t="shared" si="13"/>
        <v>0.5979847355808976</v>
      </c>
      <c r="E321" s="8">
        <f t="shared" si="14"/>
        <v>-1.0482863992752236</v>
      </c>
    </row>
    <row r="322" spans="1:5" x14ac:dyDescent="0.2">
      <c r="A322" s="1">
        <v>42080</v>
      </c>
      <c r="B322">
        <v>46269.27</v>
      </c>
      <c r="C322" s="6">
        <f t="shared" si="12"/>
        <v>1.442601586979231E-3</v>
      </c>
      <c r="D322" s="7">
        <f t="shared" si="13"/>
        <v>0.10461242619596516</v>
      </c>
      <c r="E322" s="8">
        <f t="shared" si="14"/>
        <v>-0.6978648086434901</v>
      </c>
    </row>
    <row r="323" spans="1:5" x14ac:dyDescent="0.2">
      <c r="A323" s="1">
        <v>42081</v>
      </c>
      <c r="B323">
        <v>46181.04</v>
      </c>
      <c r="C323" s="6">
        <f t="shared" ref="C323:C386" si="15">LN(B323/B322)</f>
        <v>-1.9087015886954841E-3</v>
      </c>
      <c r="D323" s="7">
        <f t="shared" ref="D323:D386" si="16">(C323-$G$4)/$G$5</f>
        <v>-0.18456986070158107</v>
      </c>
      <c r="E323" s="8">
        <f t="shared" ref="E323:E386" si="17">LN((PI()*(G$3-2))^(-1/2)*EXP(GAMMALN((G$3+1)/2))*((1+D323^2/(G$3-2))^(-(G$3+1)/2))/EXP(GAMMALN(G$3/2)))</f>
        <v>-0.72266040627523531</v>
      </c>
    </row>
    <row r="324" spans="1:5" x14ac:dyDescent="0.2">
      <c r="A324" s="1">
        <v>42082</v>
      </c>
      <c r="B324">
        <v>46699.35</v>
      </c>
      <c r="C324" s="6">
        <f t="shared" si="15"/>
        <v>1.1160921703995101E-2</v>
      </c>
      <c r="D324" s="7">
        <f t="shared" si="16"/>
        <v>0.94320144334010037</v>
      </c>
      <c r="E324" s="8">
        <f t="shared" si="17"/>
        <v>-1.5127987524124762</v>
      </c>
    </row>
    <row r="325" spans="1:5" x14ac:dyDescent="0.2">
      <c r="A325" s="1">
        <v>42083</v>
      </c>
      <c r="B325">
        <v>46592.78</v>
      </c>
      <c r="C325" s="6">
        <f t="shared" si="15"/>
        <v>-2.2846524429171295E-3</v>
      </c>
      <c r="D325" s="7">
        <f t="shared" si="16"/>
        <v>-0.21701047322927736</v>
      </c>
      <c r="E325" s="8">
        <f t="shared" si="17"/>
        <v>-0.73653422658667489</v>
      </c>
    </row>
    <row r="326" spans="1:5" x14ac:dyDescent="0.2">
      <c r="A326" s="1">
        <v>42086</v>
      </c>
      <c r="B326">
        <v>46480.63</v>
      </c>
      <c r="C326" s="6">
        <f t="shared" si="15"/>
        <v>-2.409926836853532E-3</v>
      </c>
      <c r="D326" s="7">
        <f t="shared" si="16"/>
        <v>-0.22782033847548547</v>
      </c>
      <c r="E326" s="8">
        <f t="shared" si="17"/>
        <v>-0.74163778053958707</v>
      </c>
    </row>
    <row r="327" spans="1:5" x14ac:dyDescent="0.2">
      <c r="A327" s="1">
        <v>42087</v>
      </c>
      <c r="B327">
        <v>46735.06</v>
      </c>
      <c r="C327" s="6">
        <f t="shared" si="15"/>
        <v>5.458965799442223E-3</v>
      </c>
      <c r="D327" s="7">
        <f t="shared" si="16"/>
        <v>0.4511824997136123</v>
      </c>
      <c r="E327" s="8">
        <f t="shared" si="17"/>
        <v>-0.89799296615240154</v>
      </c>
    </row>
    <row r="328" spans="1:5" x14ac:dyDescent="0.2">
      <c r="A328" s="1">
        <v>42088</v>
      </c>
      <c r="B328">
        <v>46182.11</v>
      </c>
      <c r="C328" s="6">
        <f t="shared" si="15"/>
        <v>-1.1902138810322925E-2</v>
      </c>
      <c r="D328" s="7">
        <f t="shared" si="16"/>
        <v>-1.0468985961898163</v>
      </c>
      <c r="E328" s="8">
        <f t="shared" si="17"/>
        <v>-1.6740190343310424</v>
      </c>
    </row>
    <row r="329" spans="1:5" x14ac:dyDescent="0.2">
      <c r="A329" s="1">
        <v>42089</v>
      </c>
      <c r="B329">
        <v>45467.39</v>
      </c>
      <c r="C329" s="6">
        <f t="shared" si="15"/>
        <v>-1.5597127952172095E-2</v>
      </c>
      <c r="D329" s="7">
        <f t="shared" si="16"/>
        <v>-1.3657373744469998</v>
      </c>
      <c r="E329" s="8">
        <f t="shared" si="17"/>
        <v>-2.2041972648701225</v>
      </c>
    </row>
    <row r="330" spans="1:5" x14ac:dyDescent="0.2">
      <c r="A330" s="1">
        <v>42090</v>
      </c>
      <c r="B330">
        <v>45678.97</v>
      </c>
      <c r="C330" s="6">
        <f t="shared" si="15"/>
        <v>4.6426512268075981E-3</v>
      </c>
      <c r="D330" s="7">
        <f t="shared" si="16"/>
        <v>0.38074312059216131</v>
      </c>
      <c r="E330" s="8">
        <f t="shared" si="17"/>
        <v>-0.8386143486384573</v>
      </c>
    </row>
    <row r="331" spans="1:5" x14ac:dyDescent="0.2">
      <c r="A331" s="1">
        <v>42093</v>
      </c>
      <c r="B331">
        <v>46293.05</v>
      </c>
      <c r="C331" s="6">
        <f t="shared" si="15"/>
        <v>1.3353824901075284E-2</v>
      </c>
      <c r="D331" s="7">
        <f t="shared" si="16"/>
        <v>1.1324259713026936</v>
      </c>
      <c r="E331" s="8">
        <f t="shared" si="17"/>
        <v>-1.8120337809156353</v>
      </c>
    </row>
    <row r="332" spans="1:5" x14ac:dyDescent="0.2">
      <c r="A332" s="1">
        <v>42094</v>
      </c>
      <c r="B332">
        <v>46016.98</v>
      </c>
      <c r="C332" s="6">
        <f t="shared" si="15"/>
        <v>-5.9813830214959845E-3</v>
      </c>
      <c r="D332" s="7">
        <f t="shared" si="16"/>
        <v>-0.53599951919713307</v>
      </c>
      <c r="E332" s="8">
        <f t="shared" si="17"/>
        <v>-0.98069975352879746</v>
      </c>
    </row>
    <row r="333" spans="1:5" x14ac:dyDescent="0.2">
      <c r="A333" s="1">
        <v>42095</v>
      </c>
      <c r="B333">
        <v>46128.41</v>
      </c>
      <c r="C333" s="6">
        <f t="shared" si="15"/>
        <v>2.41857035533337E-3</v>
      </c>
      <c r="D333" s="7">
        <f t="shared" si="16"/>
        <v>0.18882828658776921</v>
      </c>
      <c r="E333" s="8">
        <f t="shared" si="17"/>
        <v>-0.72435749380782299</v>
      </c>
    </row>
    <row r="334" spans="1:5" x14ac:dyDescent="0.2">
      <c r="A334" s="1">
        <v>42096</v>
      </c>
      <c r="B334">
        <v>46048.959999999999</v>
      </c>
      <c r="C334" s="6">
        <f t="shared" si="15"/>
        <v>-1.7238508687085106E-3</v>
      </c>
      <c r="D334" s="7">
        <f t="shared" si="16"/>
        <v>-0.16861918386383756</v>
      </c>
      <c r="E334" s="8">
        <f t="shared" si="17"/>
        <v>-0.71663938566790553</v>
      </c>
    </row>
    <row r="335" spans="1:5" x14ac:dyDescent="0.2">
      <c r="A335" s="1">
        <v>42101</v>
      </c>
      <c r="B335">
        <v>46418.9</v>
      </c>
      <c r="C335" s="6">
        <f t="shared" si="15"/>
        <v>8.0015255844312488E-3</v>
      </c>
      <c r="D335" s="7">
        <f t="shared" si="16"/>
        <v>0.6705787210205163</v>
      </c>
      <c r="E335" s="8">
        <f t="shared" si="17"/>
        <v>-1.1344262739598454</v>
      </c>
    </row>
    <row r="336" spans="1:5" x14ac:dyDescent="0.2">
      <c r="A336" s="1">
        <v>42102</v>
      </c>
      <c r="B336">
        <v>46630.69</v>
      </c>
      <c r="C336" s="6">
        <f t="shared" si="15"/>
        <v>4.5522041684619603E-3</v>
      </c>
      <c r="D336" s="7">
        <f t="shared" si="16"/>
        <v>0.37293848884013203</v>
      </c>
      <c r="E336" s="8">
        <f t="shared" si="17"/>
        <v>-0.83258360763923955</v>
      </c>
    </row>
    <row r="337" spans="1:5" x14ac:dyDescent="0.2">
      <c r="A337" s="1">
        <v>42103</v>
      </c>
      <c r="B337">
        <v>46779.77</v>
      </c>
      <c r="C337" s="6">
        <f t="shared" si="15"/>
        <v>3.1919364613897019E-3</v>
      </c>
      <c r="D337" s="7">
        <f t="shared" si="16"/>
        <v>0.25556166385477647</v>
      </c>
      <c r="E337" s="8">
        <f t="shared" si="17"/>
        <v>-0.75582095219932044</v>
      </c>
    </row>
    <row r="338" spans="1:5" x14ac:dyDescent="0.2">
      <c r="A338" s="1">
        <v>42104</v>
      </c>
      <c r="B338">
        <v>47134.400000000001</v>
      </c>
      <c r="C338" s="6">
        <f t="shared" si="15"/>
        <v>7.5522508598939112E-3</v>
      </c>
      <c r="D338" s="7">
        <f t="shared" si="16"/>
        <v>0.63181102813316203</v>
      </c>
      <c r="E338" s="8">
        <f t="shared" si="17"/>
        <v>-1.0875277144022004</v>
      </c>
    </row>
    <row r="339" spans="1:5" x14ac:dyDescent="0.2">
      <c r="A339" s="1">
        <v>42107</v>
      </c>
      <c r="B339">
        <v>47307.74</v>
      </c>
      <c r="C339" s="6">
        <f t="shared" si="15"/>
        <v>3.6708231017530293E-3</v>
      </c>
      <c r="D339" s="7">
        <f t="shared" si="16"/>
        <v>0.29688455425458898</v>
      </c>
      <c r="E339" s="8">
        <f t="shared" si="17"/>
        <v>-0.77980179315069065</v>
      </c>
    </row>
    <row r="340" spans="1:5" x14ac:dyDescent="0.2">
      <c r="A340" s="1">
        <v>42108</v>
      </c>
      <c r="B340">
        <v>47039.79</v>
      </c>
      <c r="C340" s="6">
        <f t="shared" si="15"/>
        <v>-5.6800791798619302E-3</v>
      </c>
      <c r="D340" s="7">
        <f t="shared" si="16"/>
        <v>-0.51000016031871409</v>
      </c>
      <c r="E340" s="8">
        <f t="shared" si="17"/>
        <v>-0.95410469029012257</v>
      </c>
    </row>
    <row r="341" spans="1:5" x14ac:dyDescent="0.2">
      <c r="A341" s="1">
        <v>42109</v>
      </c>
      <c r="B341">
        <v>47452.93</v>
      </c>
      <c r="C341" s="6">
        <f t="shared" si="15"/>
        <v>8.7444330645351318E-3</v>
      </c>
      <c r="D341" s="7">
        <f t="shared" si="16"/>
        <v>0.73468383857869768</v>
      </c>
      <c r="E341" s="8">
        <f t="shared" si="17"/>
        <v>-1.2161920780396698</v>
      </c>
    </row>
    <row r="342" spans="1:5" x14ac:dyDescent="0.2">
      <c r="A342" s="1">
        <v>42110</v>
      </c>
      <c r="B342">
        <v>48003.519999999997</v>
      </c>
      <c r="C342" s="6">
        <f t="shared" si="15"/>
        <v>1.1536069193239542E-2</v>
      </c>
      <c r="D342" s="7">
        <f t="shared" si="16"/>
        <v>0.9755727339028345</v>
      </c>
      <c r="E342" s="8">
        <f t="shared" si="17"/>
        <v>-1.5623110532241269</v>
      </c>
    </row>
    <row r="343" spans="1:5" x14ac:dyDescent="0.2">
      <c r="A343" s="1">
        <v>42111</v>
      </c>
      <c r="B343">
        <v>47491.87</v>
      </c>
      <c r="C343" s="6">
        <f t="shared" si="15"/>
        <v>-1.0715803055792077E-2</v>
      </c>
      <c r="D343" s="7">
        <f t="shared" si="16"/>
        <v>-0.94453027302117687</v>
      </c>
      <c r="E343" s="8">
        <f t="shared" si="17"/>
        <v>-1.5148154560370815</v>
      </c>
    </row>
    <row r="344" spans="1:5" x14ac:dyDescent="0.2">
      <c r="A344" s="1">
        <v>42114</v>
      </c>
      <c r="B344">
        <v>47572.87</v>
      </c>
      <c r="C344" s="6">
        <f t="shared" si="15"/>
        <v>1.704102269711268E-3</v>
      </c>
      <c r="D344" s="7">
        <f t="shared" si="16"/>
        <v>0.12717719025748439</v>
      </c>
      <c r="E344" s="8">
        <f t="shared" si="17"/>
        <v>-0.70349291600796438</v>
      </c>
    </row>
    <row r="345" spans="1:5" x14ac:dyDescent="0.2">
      <c r="A345" s="1">
        <v>42115</v>
      </c>
      <c r="B345">
        <v>47827.43</v>
      </c>
      <c r="C345" s="6">
        <f t="shared" si="15"/>
        <v>5.3366835148210843E-3</v>
      </c>
      <c r="D345" s="7">
        <f t="shared" si="16"/>
        <v>0.44063082209444904</v>
      </c>
      <c r="E345" s="8">
        <f t="shared" si="17"/>
        <v>-0.88854264486269197</v>
      </c>
    </row>
    <row r="346" spans="1:5" x14ac:dyDescent="0.2">
      <c r="A346" s="1">
        <v>42116</v>
      </c>
      <c r="B346">
        <v>47997.8</v>
      </c>
      <c r="C346" s="6">
        <f t="shared" si="15"/>
        <v>3.5558522429711362E-3</v>
      </c>
      <c r="D346" s="7">
        <f t="shared" si="16"/>
        <v>0.28696377594051448</v>
      </c>
      <c r="E346" s="8">
        <f t="shared" si="17"/>
        <v>-0.77373672064161603</v>
      </c>
    </row>
    <row r="347" spans="1:5" x14ac:dyDescent="0.2">
      <c r="A347" s="1">
        <v>42117</v>
      </c>
      <c r="B347">
        <v>48411.02</v>
      </c>
      <c r="C347" s="6">
        <f t="shared" si="15"/>
        <v>8.5722972323086805E-3</v>
      </c>
      <c r="D347" s="7">
        <f t="shared" si="16"/>
        <v>0.7198303230920734</v>
      </c>
      <c r="E347" s="8">
        <f t="shared" si="17"/>
        <v>-1.1967998552350212</v>
      </c>
    </row>
    <row r="348" spans="1:5" x14ac:dyDescent="0.2">
      <c r="A348" s="1">
        <v>42118</v>
      </c>
      <c r="B348">
        <v>48965.36</v>
      </c>
      <c r="C348" s="6">
        <f t="shared" si="15"/>
        <v>1.1385635579583619E-2</v>
      </c>
      <c r="D348" s="7">
        <f t="shared" si="16"/>
        <v>0.96259189208015361</v>
      </c>
      <c r="E348" s="8">
        <f t="shared" si="17"/>
        <v>-1.5423618286007519</v>
      </c>
    </row>
    <row r="349" spans="1:5" x14ac:dyDescent="0.2">
      <c r="A349" s="1">
        <v>42122</v>
      </c>
      <c r="B349">
        <v>48758.27</v>
      </c>
      <c r="C349" s="6">
        <f t="shared" si="15"/>
        <v>-4.2382852539851554E-3</v>
      </c>
      <c r="D349" s="7">
        <f t="shared" si="16"/>
        <v>-0.38558847839557847</v>
      </c>
      <c r="E349" s="8">
        <f t="shared" si="17"/>
        <v>-0.84241455896664796</v>
      </c>
    </row>
    <row r="350" spans="1:5" x14ac:dyDescent="0.2">
      <c r="A350" s="1">
        <v>42123</v>
      </c>
      <c r="B350">
        <v>48296.08</v>
      </c>
      <c r="C350" s="6">
        <f t="shared" si="15"/>
        <v>-9.5244261374522535E-3</v>
      </c>
      <c r="D350" s="7">
        <f t="shared" si="16"/>
        <v>-0.84172695033071376</v>
      </c>
      <c r="E350" s="8">
        <f t="shared" si="17"/>
        <v>-1.3631881352506003</v>
      </c>
    </row>
    <row r="351" spans="1:5" x14ac:dyDescent="0.2">
      <c r="A351" s="1">
        <v>42124</v>
      </c>
      <c r="B351">
        <v>48195.48</v>
      </c>
      <c r="C351" s="6">
        <f t="shared" si="15"/>
        <v>-2.0851572189262281E-3</v>
      </c>
      <c r="D351" s="7">
        <f t="shared" si="16"/>
        <v>-0.19979612941294617</v>
      </c>
      <c r="E351" s="8">
        <f t="shared" si="17"/>
        <v>-0.72890159892512629</v>
      </c>
    </row>
    <row r="352" spans="1:5" x14ac:dyDescent="0.2">
      <c r="A352" s="1">
        <v>42128</v>
      </c>
      <c r="B352">
        <v>48443.21</v>
      </c>
      <c r="C352" s="6">
        <f t="shared" si="15"/>
        <v>5.1269433110689459E-3</v>
      </c>
      <c r="D352" s="7">
        <f t="shared" si="16"/>
        <v>0.4225324440617933</v>
      </c>
      <c r="E352" s="8">
        <f t="shared" si="17"/>
        <v>-0.87278301725119767</v>
      </c>
    </row>
    <row r="353" spans="1:5" x14ac:dyDescent="0.2">
      <c r="A353" s="1">
        <v>42129</v>
      </c>
      <c r="B353">
        <v>48312.41</v>
      </c>
      <c r="C353" s="6">
        <f t="shared" si="15"/>
        <v>-2.7037205627979178E-3</v>
      </c>
      <c r="D353" s="7">
        <f t="shared" si="16"/>
        <v>-0.25317165320028462</v>
      </c>
      <c r="E353" s="8">
        <f t="shared" si="17"/>
        <v>-0.75453790724060865</v>
      </c>
    </row>
    <row r="354" spans="1:5" x14ac:dyDescent="0.2">
      <c r="A354" s="1">
        <v>42130</v>
      </c>
      <c r="B354">
        <v>47707.62</v>
      </c>
      <c r="C354" s="6">
        <f t="shared" si="15"/>
        <v>-1.2597329910430928E-2</v>
      </c>
      <c r="D354" s="7">
        <f t="shared" si="16"/>
        <v>-1.1068862910123172</v>
      </c>
      <c r="E354" s="8">
        <f t="shared" si="17"/>
        <v>-1.7704077604521675</v>
      </c>
    </row>
    <row r="355" spans="1:5" x14ac:dyDescent="0.2">
      <c r="A355" s="1">
        <v>42131</v>
      </c>
      <c r="B355">
        <v>47198.02</v>
      </c>
      <c r="C355" s="6">
        <f t="shared" si="15"/>
        <v>-1.0739191004470291E-2</v>
      </c>
      <c r="D355" s="7">
        <f t="shared" si="16"/>
        <v>-0.94654840749904201</v>
      </c>
      <c r="E355" s="8">
        <f t="shared" si="17"/>
        <v>-1.5178809221804719</v>
      </c>
    </row>
    <row r="356" spans="1:5" x14ac:dyDescent="0.2">
      <c r="A356" s="1">
        <v>42132</v>
      </c>
      <c r="B356">
        <v>47716.53</v>
      </c>
      <c r="C356" s="6">
        <f t="shared" si="15"/>
        <v>1.0925936184299365E-2</v>
      </c>
      <c r="D356" s="7">
        <f t="shared" si="16"/>
        <v>0.92292465953054825</v>
      </c>
      <c r="E356" s="8">
        <f t="shared" si="17"/>
        <v>-1.4821995896414366</v>
      </c>
    </row>
    <row r="357" spans="1:5" x14ac:dyDescent="0.2">
      <c r="A357" s="1">
        <v>42135</v>
      </c>
      <c r="B357">
        <v>48098.25</v>
      </c>
      <c r="C357" s="6">
        <f t="shared" si="15"/>
        <v>7.9679151700962174E-3</v>
      </c>
      <c r="D357" s="7">
        <f t="shared" si="16"/>
        <v>0.66767849505721721</v>
      </c>
      <c r="E357" s="8">
        <f t="shared" si="17"/>
        <v>-1.1308489975161056</v>
      </c>
    </row>
    <row r="358" spans="1:5" x14ac:dyDescent="0.2">
      <c r="A358" s="1">
        <v>42136</v>
      </c>
      <c r="B358">
        <v>47868.91</v>
      </c>
      <c r="C358" s="6">
        <f t="shared" si="15"/>
        <v>-4.7795607703841735E-3</v>
      </c>
      <c r="D358" s="7">
        <f t="shared" si="16"/>
        <v>-0.43229487392853555</v>
      </c>
      <c r="E358" s="8">
        <f t="shared" si="17"/>
        <v>-0.88121288390673114</v>
      </c>
    </row>
    <row r="359" spans="1:5" x14ac:dyDescent="0.2">
      <c r="A359" s="1">
        <v>42137</v>
      </c>
      <c r="B359">
        <v>47993.01</v>
      </c>
      <c r="C359" s="6">
        <f t="shared" si="15"/>
        <v>2.589142160452747E-3</v>
      </c>
      <c r="D359" s="7">
        <f t="shared" si="16"/>
        <v>0.20354684295196124</v>
      </c>
      <c r="E359" s="8">
        <f t="shared" si="17"/>
        <v>-0.7305126389081732</v>
      </c>
    </row>
    <row r="360" spans="1:5" x14ac:dyDescent="0.2">
      <c r="A360" s="1">
        <v>42138</v>
      </c>
      <c r="B360">
        <v>47821.65</v>
      </c>
      <c r="C360" s="6">
        <f t="shared" si="15"/>
        <v>-3.5769094771572869E-3</v>
      </c>
      <c r="D360" s="7">
        <f t="shared" si="16"/>
        <v>-0.32851869102749942</v>
      </c>
      <c r="E360" s="8">
        <f t="shared" si="17"/>
        <v>-0.80041892258555525</v>
      </c>
    </row>
    <row r="361" spans="1:5" x14ac:dyDescent="0.2">
      <c r="A361" s="1">
        <v>42139</v>
      </c>
      <c r="B361">
        <v>47935.39</v>
      </c>
      <c r="C361" s="6">
        <f t="shared" si="15"/>
        <v>2.375596687002577E-3</v>
      </c>
      <c r="D361" s="7">
        <f t="shared" si="16"/>
        <v>0.18512011008661652</v>
      </c>
      <c r="E361" s="8">
        <f t="shared" si="17"/>
        <v>-0.72287757408191955</v>
      </c>
    </row>
    <row r="362" spans="1:5" x14ac:dyDescent="0.2">
      <c r="A362" s="1">
        <v>42142</v>
      </c>
      <c r="B362">
        <v>48262</v>
      </c>
      <c r="C362" s="6">
        <f t="shared" si="15"/>
        <v>6.7904390129429953E-3</v>
      </c>
      <c r="D362" s="7">
        <f t="shared" si="16"/>
        <v>0.56607466214694946</v>
      </c>
      <c r="E362" s="8">
        <f t="shared" si="17"/>
        <v>-1.0127740521224182</v>
      </c>
    </row>
    <row r="363" spans="1:5" x14ac:dyDescent="0.2">
      <c r="A363" s="1">
        <v>42143</v>
      </c>
      <c r="B363">
        <v>48143.09</v>
      </c>
      <c r="C363" s="6">
        <f t="shared" si="15"/>
        <v>-2.4668834457261765E-3</v>
      </c>
      <c r="D363" s="7">
        <f t="shared" si="16"/>
        <v>-0.23273509597259087</v>
      </c>
      <c r="E363" s="8">
        <f t="shared" si="17"/>
        <v>-0.74403693124902659</v>
      </c>
    </row>
    <row r="364" spans="1:5" x14ac:dyDescent="0.2">
      <c r="A364" s="1">
        <v>42144</v>
      </c>
      <c r="B364">
        <v>47994.239999999998</v>
      </c>
      <c r="C364" s="6">
        <f t="shared" si="15"/>
        <v>-3.0966143732884606E-3</v>
      </c>
      <c r="D364" s="7">
        <f t="shared" si="16"/>
        <v>-0.2870742650111876</v>
      </c>
      <c r="E364" s="8">
        <f t="shared" si="17"/>
        <v>-0.77380320466350261</v>
      </c>
    </row>
    <row r="365" spans="1:5" x14ac:dyDescent="0.2">
      <c r="A365" s="1">
        <v>42145</v>
      </c>
      <c r="B365">
        <v>47915.05</v>
      </c>
      <c r="C365" s="6">
        <f t="shared" si="15"/>
        <v>-1.6513523975766747E-3</v>
      </c>
      <c r="D365" s="7">
        <f t="shared" si="16"/>
        <v>-0.16236332678989226</v>
      </c>
      <c r="E365" s="8">
        <f t="shared" si="17"/>
        <v>-0.7144231446592163</v>
      </c>
    </row>
    <row r="366" spans="1:5" x14ac:dyDescent="0.2">
      <c r="A366" s="1">
        <v>42146</v>
      </c>
      <c r="B366">
        <v>47885.27</v>
      </c>
      <c r="C366" s="6">
        <f t="shared" si="15"/>
        <v>-6.2170984312423841E-4</v>
      </c>
      <c r="D366" s="7">
        <f t="shared" si="16"/>
        <v>-7.3515982048054596E-2</v>
      </c>
      <c r="E366" s="8">
        <f t="shared" si="17"/>
        <v>-0.69189191675311357</v>
      </c>
    </row>
    <row r="367" spans="1:5" x14ac:dyDescent="0.2">
      <c r="A367" s="1">
        <v>42149</v>
      </c>
      <c r="B367">
        <v>47844.77</v>
      </c>
      <c r="C367" s="6">
        <f t="shared" si="15"/>
        <v>-8.4612943682634023E-4</v>
      </c>
      <c r="D367" s="7">
        <f t="shared" si="16"/>
        <v>-9.288103735025835E-2</v>
      </c>
      <c r="E367" s="8">
        <f t="shared" si="17"/>
        <v>-0.69536807427255365</v>
      </c>
    </row>
    <row r="368" spans="1:5" x14ac:dyDescent="0.2">
      <c r="A368" s="1">
        <v>42150</v>
      </c>
      <c r="B368">
        <v>46916.480000000003</v>
      </c>
      <c r="C368" s="6">
        <f t="shared" si="15"/>
        <v>-1.9592812371625239E-2</v>
      </c>
      <c r="D368" s="7">
        <f t="shared" si="16"/>
        <v>-1.7105229988946362</v>
      </c>
      <c r="E368" s="8">
        <f t="shared" si="17"/>
        <v>-2.8012346440208198</v>
      </c>
    </row>
    <row r="369" spans="1:5" x14ac:dyDescent="0.2">
      <c r="A369" s="1">
        <v>42151</v>
      </c>
      <c r="B369">
        <v>46885.86</v>
      </c>
      <c r="C369" s="6">
        <f t="shared" si="15"/>
        <v>-6.528622012541578E-4</v>
      </c>
      <c r="D369" s="7">
        <f t="shared" si="16"/>
        <v>-7.6204103561993045E-2</v>
      </c>
      <c r="E369" s="8">
        <f t="shared" si="17"/>
        <v>-0.69232632789623449</v>
      </c>
    </row>
    <row r="370" spans="1:5" x14ac:dyDescent="0.2">
      <c r="A370" s="1">
        <v>42152</v>
      </c>
      <c r="B370">
        <v>46815.09</v>
      </c>
      <c r="C370" s="6">
        <f t="shared" si="15"/>
        <v>-1.5105506071540194E-3</v>
      </c>
      <c r="D370" s="7">
        <f t="shared" si="16"/>
        <v>-0.15021361021120794</v>
      </c>
      <c r="E370" s="8">
        <f t="shared" si="17"/>
        <v>-0.7103536777577204</v>
      </c>
    </row>
    <row r="371" spans="1:5" x14ac:dyDescent="0.2">
      <c r="A371" s="1">
        <v>42153</v>
      </c>
      <c r="B371">
        <v>46285.65</v>
      </c>
      <c r="C371" s="6">
        <f t="shared" si="15"/>
        <v>-1.1373609002591536E-2</v>
      </c>
      <c r="D371" s="7">
        <f t="shared" si="16"/>
        <v>-1.0012920215287482</v>
      </c>
      <c r="E371" s="8">
        <f t="shared" si="17"/>
        <v>-1.6021958606020554</v>
      </c>
    </row>
    <row r="372" spans="1:5" x14ac:dyDescent="0.2">
      <c r="A372" s="1">
        <v>42156</v>
      </c>
      <c r="B372">
        <v>46180.49</v>
      </c>
      <c r="C372" s="6">
        <f t="shared" si="15"/>
        <v>-2.2745633231433132E-3</v>
      </c>
      <c r="D372" s="7">
        <f t="shared" si="16"/>
        <v>-0.21613988809387311</v>
      </c>
      <c r="E372" s="8">
        <f t="shared" si="17"/>
        <v>-0.73613360341814338</v>
      </c>
    </row>
    <row r="373" spans="1:5" x14ac:dyDescent="0.2">
      <c r="A373" s="1">
        <v>42157</v>
      </c>
      <c r="B373">
        <v>46377.77</v>
      </c>
      <c r="C373" s="6">
        <f t="shared" si="15"/>
        <v>4.262835078007972E-3</v>
      </c>
      <c r="D373" s="7">
        <f t="shared" si="16"/>
        <v>0.34796897371469132</v>
      </c>
      <c r="E373" s="8">
        <f t="shared" si="17"/>
        <v>-0.81404693209060119</v>
      </c>
    </row>
    <row r="374" spans="1:5" x14ac:dyDescent="0.2">
      <c r="A374" s="1">
        <v>42158</v>
      </c>
      <c r="B374">
        <v>46083.96</v>
      </c>
      <c r="C374" s="6">
        <f t="shared" si="15"/>
        <v>-6.3552994068069536E-3</v>
      </c>
      <c r="D374" s="7">
        <f t="shared" si="16"/>
        <v>-0.56826457841276801</v>
      </c>
      <c r="E374" s="8">
        <f t="shared" si="17"/>
        <v>-1.0151631199934772</v>
      </c>
    </row>
    <row r="375" spans="1:5" x14ac:dyDescent="0.2">
      <c r="A375" s="1">
        <v>42159</v>
      </c>
      <c r="B375">
        <v>45585.39</v>
      </c>
      <c r="C375" s="6">
        <f t="shared" si="15"/>
        <v>-1.0877679749081567E-2</v>
      </c>
      <c r="D375" s="7">
        <f t="shared" si="16"/>
        <v>-0.95849853250323425</v>
      </c>
      <c r="E375" s="8">
        <f t="shared" si="17"/>
        <v>-1.5360971064892648</v>
      </c>
    </row>
    <row r="376" spans="1:5" x14ac:dyDescent="0.2">
      <c r="A376" s="1">
        <v>42160</v>
      </c>
      <c r="B376">
        <v>45993.24</v>
      </c>
      <c r="C376" s="6">
        <f t="shared" si="15"/>
        <v>8.9071587220494464E-3</v>
      </c>
      <c r="D376" s="7">
        <f t="shared" si="16"/>
        <v>0.74872535476215141</v>
      </c>
      <c r="E376" s="8">
        <f t="shared" si="17"/>
        <v>-1.234761572600545</v>
      </c>
    </row>
    <row r="377" spans="1:5" x14ac:dyDescent="0.2">
      <c r="A377" s="1">
        <v>42163</v>
      </c>
      <c r="B377">
        <v>45942.67</v>
      </c>
      <c r="C377" s="6">
        <f t="shared" si="15"/>
        <v>-1.1001143100710076E-3</v>
      </c>
      <c r="D377" s="7">
        <f t="shared" si="16"/>
        <v>-0.1147972659431815</v>
      </c>
      <c r="E377" s="8">
        <f t="shared" si="17"/>
        <v>-0.70027082463879164</v>
      </c>
    </row>
    <row r="378" spans="1:5" x14ac:dyDescent="0.2">
      <c r="A378" s="1">
        <v>42164</v>
      </c>
      <c r="B378">
        <v>45395.91</v>
      </c>
      <c r="C378" s="6">
        <f t="shared" si="15"/>
        <v>-1.1972301974718725E-2</v>
      </c>
      <c r="D378" s="7">
        <f t="shared" si="16"/>
        <v>-1.0529529408051348</v>
      </c>
      <c r="E378" s="8">
        <f t="shared" si="17"/>
        <v>-1.683652727318574</v>
      </c>
    </row>
    <row r="379" spans="1:5" x14ac:dyDescent="0.2">
      <c r="A379" s="1">
        <v>42165</v>
      </c>
      <c r="B379">
        <v>46252.639999999999</v>
      </c>
      <c r="C379" s="6">
        <f t="shared" si="15"/>
        <v>1.8696530527054049E-2</v>
      </c>
      <c r="D379" s="7">
        <f t="shared" si="16"/>
        <v>1.5934453867812317</v>
      </c>
      <c r="E379" s="8">
        <f t="shared" si="17"/>
        <v>-2.5979921562122477</v>
      </c>
    </row>
    <row r="380" spans="1:5" x14ac:dyDescent="0.2">
      <c r="A380" s="1">
        <v>42166</v>
      </c>
      <c r="B380">
        <v>46149.59</v>
      </c>
      <c r="C380" s="6">
        <f t="shared" si="15"/>
        <v>-2.2304665747277189E-3</v>
      </c>
      <c r="D380" s="7">
        <f t="shared" si="16"/>
        <v>-0.21233480156988235</v>
      </c>
      <c r="E380" s="8">
        <f t="shared" si="17"/>
        <v>-0.73440082942057372</v>
      </c>
    </row>
    <row r="381" spans="1:5" x14ac:dyDescent="0.2">
      <c r="A381" s="1">
        <v>42167</v>
      </c>
      <c r="B381">
        <v>46129.91</v>
      </c>
      <c r="C381" s="6">
        <f t="shared" si="15"/>
        <v>-4.265302759194443E-4</v>
      </c>
      <c r="D381" s="7">
        <f t="shared" si="16"/>
        <v>-5.6674034112803355E-2</v>
      </c>
      <c r="E381" s="8">
        <f t="shared" si="17"/>
        <v>-0.68952403428161912</v>
      </c>
    </row>
    <row r="382" spans="1:5" x14ac:dyDescent="0.2">
      <c r="A382" s="1">
        <v>42170</v>
      </c>
      <c r="B382">
        <v>45608.63</v>
      </c>
      <c r="C382" s="6">
        <f t="shared" si="15"/>
        <v>-1.1364593559852077E-2</v>
      </c>
      <c r="D382" s="7">
        <f t="shared" si="16"/>
        <v>-1.000514083451491</v>
      </c>
      <c r="E382" s="8">
        <f t="shared" si="17"/>
        <v>-1.6009826624811296</v>
      </c>
    </row>
    <row r="383" spans="1:5" x14ac:dyDescent="0.2">
      <c r="A383" s="1">
        <v>42172</v>
      </c>
      <c r="B383">
        <v>45914.43</v>
      </c>
      <c r="C383" s="6">
        <f t="shared" si="15"/>
        <v>6.682493744763764E-3</v>
      </c>
      <c r="D383" s="7">
        <f t="shared" si="16"/>
        <v>0.55676011855733398</v>
      </c>
      <c r="E383" s="8">
        <f t="shared" si="17"/>
        <v>-1.0026929957516975</v>
      </c>
    </row>
    <row r="384" spans="1:5" x14ac:dyDescent="0.2">
      <c r="A384" s="1">
        <v>42173</v>
      </c>
      <c r="B384">
        <v>46213.88</v>
      </c>
      <c r="C384" s="6">
        <f t="shared" si="15"/>
        <v>6.5007391224822502E-3</v>
      </c>
      <c r="D384" s="7">
        <f t="shared" si="16"/>
        <v>0.54107660245318856</v>
      </c>
      <c r="E384" s="8">
        <f t="shared" si="17"/>
        <v>-0.98601697446843994</v>
      </c>
    </row>
    <row r="385" spans="1:5" x14ac:dyDescent="0.2">
      <c r="A385" s="1">
        <v>42174</v>
      </c>
      <c r="B385">
        <v>46170.57</v>
      </c>
      <c r="C385" s="6">
        <f t="shared" si="15"/>
        <v>-9.3760374549656364E-4</v>
      </c>
      <c r="D385" s="7">
        <f t="shared" si="16"/>
        <v>-0.10077431002270214</v>
      </c>
      <c r="E385" s="8">
        <f t="shared" si="17"/>
        <v>-0.69701556472069559</v>
      </c>
    </row>
    <row r="386" spans="1:5" x14ac:dyDescent="0.2">
      <c r="A386" s="1">
        <v>42177</v>
      </c>
      <c r="B386">
        <v>46593</v>
      </c>
      <c r="C386" s="6">
        <f t="shared" si="15"/>
        <v>9.1077331342809646E-3</v>
      </c>
      <c r="D386" s="7">
        <f t="shared" si="16"/>
        <v>0.76603282119588101</v>
      </c>
      <c r="E386" s="8">
        <f t="shared" si="17"/>
        <v>-1.2579595350178194</v>
      </c>
    </row>
    <row r="387" spans="1:5" x14ac:dyDescent="0.2">
      <c r="A387" s="1">
        <v>42178</v>
      </c>
      <c r="B387">
        <v>47002.3</v>
      </c>
      <c r="C387" s="6">
        <f t="shared" ref="C387:C450" si="18">LN(B387/B386)</f>
        <v>8.7462214269525152E-3</v>
      </c>
      <c r="D387" s="7">
        <f t="shared" ref="D387:D450" si="19">(C387-$G$4)/$G$5</f>
        <v>0.73483815548365994</v>
      </c>
      <c r="E387" s="8">
        <f t="shared" ref="E387:E450" si="20">LN((PI()*(G$3-2))^(-1/2)*EXP(GAMMALN((G$3+1)/2))*((1+D387^2/(G$3-2))^(-(G$3+1)/2))/EXP(GAMMALN(G$3/2)))</f>
        <v>-1.2163949141928712</v>
      </c>
    </row>
    <row r="388" spans="1:5" x14ac:dyDescent="0.2">
      <c r="A388" s="1">
        <v>42179</v>
      </c>
      <c r="B388">
        <v>47231.9</v>
      </c>
      <c r="C388" s="6">
        <f t="shared" si="18"/>
        <v>4.8729750841579513E-3</v>
      </c>
      <c r="D388" s="7">
        <f t="shared" si="19"/>
        <v>0.40061765187273685</v>
      </c>
      <c r="E388" s="8">
        <f t="shared" si="20"/>
        <v>-0.85447329077975487</v>
      </c>
    </row>
    <row r="389" spans="1:5" x14ac:dyDescent="0.2">
      <c r="A389" s="1">
        <v>42180</v>
      </c>
      <c r="B389">
        <v>47259.66</v>
      </c>
      <c r="C389" s="6">
        <f t="shared" si="18"/>
        <v>5.8756572118487545E-4</v>
      </c>
      <c r="D389" s="7">
        <f t="shared" si="19"/>
        <v>3.0831805915302449E-2</v>
      </c>
      <c r="E389" s="8">
        <f t="shared" si="20"/>
        <v>-0.68707986232129048</v>
      </c>
    </row>
    <row r="390" spans="1:5" x14ac:dyDescent="0.2">
      <c r="A390" s="1">
        <v>42181</v>
      </c>
      <c r="B390">
        <v>47054.51</v>
      </c>
      <c r="C390" s="6">
        <f t="shared" si="18"/>
        <v>-4.3503605778312431E-3</v>
      </c>
      <c r="D390" s="7">
        <f t="shared" si="19"/>
        <v>-0.39525940243785634</v>
      </c>
      <c r="E390" s="8">
        <f t="shared" si="20"/>
        <v>-0.85012719909425183</v>
      </c>
    </row>
    <row r="391" spans="1:5" x14ac:dyDescent="0.2">
      <c r="A391" s="1">
        <v>42184</v>
      </c>
      <c r="B391">
        <v>46395.06</v>
      </c>
      <c r="C391" s="6">
        <f t="shared" si="18"/>
        <v>-1.4113728863334939E-2</v>
      </c>
      <c r="D391" s="7">
        <f t="shared" si="19"/>
        <v>-1.2377356036715756</v>
      </c>
      <c r="E391" s="8">
        <f t="shared" si="20"/>
        <v>-1.9867649154958953</v>
      </c>
    </row>
    <row r="392" spans="1:5" x14ac:dyDescent="0.2">
      <c r="A392" s="1">
        <v>42185</v>
      </c>
      <c r="B392">
        <v>46141.59</v>
      </c>
      <c r="C392" s="6">
        <f t="shared" si="18"/>
        <v>-5.478275557147568E-3</v>
      </c>
      <c r="D392" s="7">
        <f t="shared" si="19"/>
        <v>-0.49258662592279973</v>
      </c>
      <c r="E392" s="8">
        <f t="shared" si="20"/>
        <v>-0.93689683341206176</v>
      </c>
    </row>
    <row r="393" spans="1:5" x14ac:dyDescent="0.2">
      <c r="A393" s="1">
        <v>42186</v>
      </c>
      <c r="B393">
        <v>46313.36</v>
      </c>
      <c r="C393" s="6">
        <f t="shared" si="18"/>
        <v>3.715759894604171E-3</v>
      </c>
      <c r="D393" s="7">
        <f t="shared" si="19"/>
        <v>0.30076212779578859</v>
      </c>
      <c r="E393" s="8">
        <f t="shared" si="20"/>
        <v>-0.78222468508297127</v>
      </c>
    </row>
    <row r="394" spans="1:5" x14ac:dyDescent="0.2">
      <c r="A394" s="1">
        <v>42187</v>
      </c>
      <c r="B394">
        <v>46627.77</v>
      </c>
      <c r="C394" s="6">
        <f t="shared" si="18"/>
        <v>6.7658140023624403E-3</v>
      </c>
      <c r="D394" s="7">
        <f t="shared" si="19"/>
        <v>0.5639497822118098</v>
      </c>
      <c r="E394" s="8">
        <f t="shared" si="20"/>
        <v>-1.0104628060849201</v>
      </c>
    </row>
    <row r="395" spans="1:5" x14ac:dyDescent="0.2">
      <c r="A395" s="1">
        <v>42188</v>
      </c>
      <c r="B395">
        <v>46355.6</v>
      </c>
      <c r="C395" s="6">
        <f t="shared" si="18"/>
        <v>-5.8541818242225999E-3</v>
      </c>
      <c r="D395" s="7">
        <f t="shared" si="19"/>
        <v>-0.52502339104775497</v>
      </c>
      <c r="E395" s="8">
        <f t="shared" si="20"/>
        <v>-0.96934190991347069</v>
      </c>
    </row>
    <row r="396" spans="1:5" x14ac:dyDescent="0.2">
      <c r="A396" s="1">
        <v>42191</v>
      </c>
      <c r="B396">
        <v>45732.42</v>
      </c>
      <c r="C396" s="6">
        <f t="shared" si="18"/>
        <v>-1.353464898393507E-2</v>
      </c>
      <c r="D396" s="7">
        <f t="shared" si="19"/>
        <v>-1.1877670884275036</v>
      </c>
      <c r="E396" s="8">
        <f t="shared" si="20"/>
        <v>-1.9032867008157679</v>
      </c>
    </row>
    <row r="397" spans="1:5" x14ac:dyDescent="0.2">
      <c r="A397" s="1">
        <v>42192</v>
      </c>
      <c r="B397">
        <v>44377</v>
      </c>
      <c r="C397" s="6">
        <f t="shared" si="18"/>
        <v>-3.0086138376299976E-2</v>
      </c>
      <c r="D397" s="7">
        <f t="shared" si="19"/>
        <v>-2.6159868892460074</v>
      </c>
      <c r="E397" s="8">
        <f t="shared" si="20"/>
        <v>-4.3004310184555612</v>
      </c>
    </row>
    <row r="398" spans="1:5" x14ac:dyDescent="0.2">
      <c r="A398" s="1">
        <v>42193</v>
      </c>
      <c r="B398">
        <v>44678.82</v>
      </c>
      <c r="C398" s="6">
        <f t="shared" si="18"/>
        <v>6.7782466229173513E-3</v>
      </c>
      <c r="D398" s="7">
        <f t="shared" si="19"/>
        <v>0.56502258686592011</v>
      </c>
      <c r="E398" s="8">
        <f t="shared" si="20"/>
        <v>-1.0116288558112883</v>
      </c>
    </row>
    <row r="399" spans="1:5" x14ac:dyDescent="0.2">
      <c r="A399" s="1">
        <v>42194</v>
      </c>
      <c r="B399">
        <v>45872.43</v>
      </c>
      <c r="C399" s="6">
        <f t="shared" si="18"/>
        <v>2.6364719181698169E-2</v>
      </c>
      <c r="D399" s="7">
        <f t="shared" si="19"/>
        <v>2.2551295780556773</v>
      </c>
      <c r="E399" s="8">
        <f t="shared" si="20"/>
        <v>-3.7244848193643696</v>
      </c>
    </row>
    <row r="400" spans="1:5" x14ac:dyDescent="0.2">
      <c r="A400" s="1">
        <v>42195</v>
      </c>
      <c r="B400">
        <v>46216.22</v>
      </c>
      <c r="C400" s="6">
        <f t="shared" si="18"/>
        <v>7.4665357167330876E-3</v>
      </c>
      <c r="D400" s="7">
        <f t="shared" si="19"/>
        <v>0.62441471099273882</v>
      </c>
      <c r="E400" s="8">
        <f t="shared" si="20"/>
        <v>-1.0788107266094895</v>
      </c>
    </row>
    <row r="401" spans="1:5" x14ac:dyDescent="0.2">
      <c r="A401" s="1">
        <v>42198</v>
      </c>
      <c r="B401">
        <v>46907.9</v>
      </c>
      <c r="C401" s="6">
        <f t="shared" si="18"/>
        <v>1.4855286040199638E-2</v>
      </c>
      <c r="D401" s="7">
        <f t="shared" si="19"/>
        <v>1.2619863074284634</v>
      </c>
      <c r="E401" s="8">
        <f t="shared" si="20"/>
        <v>-2.0275992519194834</v>
      </c>
    </row>
    <row r="402" spans="1:5" x14ac:dyDescent="0.2">
      <c r="A402" s="1">
        <v>42199</v>
      </c>
      <c r="B402">
        <v>46571.3</v>
      </c>
      <c r="C402" s="6">
        <f t="shared" si="18"/>
        <v>-7.2016331926352652E-3</v>
      </c>
      <c r="D402" s="7">
        <f t="shared" si="19"/>
        <v>-0.64129430053428715</v>
      </c>
      <c r="E402" s="8">
        <f t="shared" si="20"/>
        <v>-1.0988139316161931</v>
      </c>
    </row>
    <row r="403" spans="1:5" x14ac:dyDescent="0.2">
      <c r="A403" s="1">
        <v>42200</v>
      </c>
      <c r="B403">
        <v>46942.19</v>
      </c>
      <c r="C403" s="6">
        <f t="shared" si="18"/>
        <v>7.9323730678097018E-3</v>
      </c>
      <c r="D403" s="7">
        <f t="shared" si="19"/>
        <v>0.66461158469978832</v>
      </c>
      <c r="E403" s="8">
        <f t="shared" si="20"/>
        <v>-1.1270780280857702</v>
      </c>
    </row>
    <row r="404" spans="1:5" x14ac:dyDescent="0.2">
      <c r="A404" s="1">
        <v>42201</v>
      </c>
      <c r="B404">
        <v>47228.09</v>
      </c>
      <c r="C404" s="6">
        <f t="shared" si="18"/>
        <v>6.0719980530418889E-3</v>
      </c>
      <c r="D404" s="7">
        <f t="shared" si="19"/>
        <v>0.50408074846790973</v>
      </c>
      <c r="E404" s="8">
        <f t="shared" si="20"/>
        <v>-0.94820010112079933</v>
      </c>
    </row>
    <row r="405" spans="1:5" x14ac:dyDescent="0.2">
      <c r="A405" s="1">
        <v>42202</v>
      </c>
      <c r="B405">
        <v>47052.58</v>
      </c>
      <c r="C405" s="6">
        <f t="shared" si="18"/>
        <v>-3.7231428826337612E-3</v>
      </c>
      <c r="D405" s="7">
        <f t="shared" si="19"/>
        <v>-0.34113709897204153</v>
      </c>
      <c r="E405" s="8">
        <f t="shared" si="20"/>
        <v>-0.80917847843688484</v>
      </c>
    </row>
    <row r="406" spans="1:5" x14ac:dyDescent="0.2">
      <c r="A406" s="1">
        <v>42205</v>
      </c>
      <c r="B406">
        <v>47388.67</v>
      </c>
      <c r="C406" s="6">
        <f t="shared" si="18"/>
        <v>7.1174707834483399E-3</v>
      </c>
      <c r="D406" s="7">
        <f t="shared" si="19"/>
        <v>0.59429407123214784</v>
      </c>
      <c r="E406" s="8">
        <f t="shared" si="20"/>
        <v>-1.0441030636017519</v>
      </c>
    </row>
    <row r="407" spans="1:5" x14ac:dyDescent="0.2">
      <c r="A407" s="1">
        <v>42206</v>
      </c>
      <c r="B407">
        <v>47256.32</v>
      </c>
      <c r="C407" s="6">
        <f t="shared" si="18"/>
        <v>-2.7967689841630543E-3</v>
      </c>
      <c r="D407" s="7">
        <f t="shared" si="19"/>
        <v>-0.26120075527552711</v>
      </c>
      <c r="E407" s="8">
        <f t="shared" si="20"/>
        <v>-0.758893600146613</v>
      </c>
    </row>
    <row r="408" spans="1:5" x14ac:dyDescent="0.2">
      <c r="A408" s="1">
        <v>42207</v>
      </c>
      <c r="B408">
        <v>46370.97</v>
      </c>
      <c r="C408" s="6">
        <f t="shared" si="18"/>
        <v>-1.8912784726879846E-2</v>
      </c>
      <c r="D408" s="7">
        <f t="shared" si="19"/>
        <v>-1.6518437511057718</v>
      </c>
      <c r="E408" s="8">
        <f t="shared" si="20"/>
        <v>-2.6994200306975746</v>
      </c>
    </row>
    <row r="409" spans="1:5" x14ac:dyDescent="0.2">
      <c r="A409" s="1">
        <v>42208</v>
      </c>
      <c r="B409">
        <v>46649.23</v>
      </c>
      <c r="C409" s="6">
        <f t="shared" si="18"/>
        <v>5.9828043801564276E-3</v>
      </c>
      <c r="D409" s="7">
        <f t="shared" si="19"/>
        <v>0.49638427072485486</v>
      </c>
      <c r="E409" s="8">
        <f t="shared" si="20"/>
        <v>-0.94060762998149972</v>
      </c>
    </row>
    <row r="410" spans="1:5" x14ac:dyDescent="0.2">
      <c r="A410" s="1">
        <v>42209</v>
      </c>
      <c r="B410">
        <v>45858.45</v>
      </c>
      <c r="C410" s="6">
        <f t="shared" si="18"/>
        <v>-1.709694292081745E-2</v>
      </c>
      <c r="D410" s="7">
        <f t="shared" si="19"/>
        <v>-1.4951556633395631</v>
      </c>
      <c r="E410" s="8">
        <f t="shared" si="20"/>
        <v>-2.4274213446266768</v>
      </c>
    </row>
    <row r="411" spans="1:5" x14ac:dyDescent="0.2">
      <c r="A411" s="1">
        <v>42212</v>
      </c>
      <c r="B411">
        <v>45768.94</v>
      </c>
      <c r="C411" s="6">
        <f t="shared" si="18"/>
        <v>-1.9537832186126659E-3</v>
      </c>
      <c r="D411" s="7">
        <f t="shared" si="19"/>
        <v>-0.18845993216128865</v>
      </c>
      <c r="E411" s="8">
        <f t="shared" si="20"/>
        <v>-0.72420920732660243</v>
      </c>
    </row>
    <row r="412" spans="1:5" x14ac:dyDescent="0.2">
      <c r="A412" s="1">
        <v>42213</v>
      </c>
      <c r="B412">
        <v>45290.17</v>
      </c>
      <c r="C412" s="6">
        <f t="shared" si="18"/>
        <v>-1.0515683973670349E-2</v>
      </c>
      <c r="D412" s="7">
        <f t="shared" si="19"/>
        <v>-0.92726209679652116</v>
      </c>
      <c r="E412" s="8">
        <f t="shared" si="20"/>
        <v>-1.4887173005901326</v>
      </c>
    </row>
    <row r="413" spans="1:5" x14ac:dyDescent="0.2">
      <c r="A413" s="1">
        <v>42214</v>
      </c>
      <c r="B413">
        <v>46108.87</v>
      </c>
      <c r="C413" s="6">
        <f t="shared" si="18"/>
        <v>1.7915328154638845E-2</v>
      </c>
      <c r="D413" s="7">
        <f t="shared" si="19"/>
        <v>1.5260358219813133</v>
      </c>
      <c r="E413" s="8">
        <f t="shared" si="20"/>
        <v>-2.4809596505302567</v>
      </c>
    </row>
    <row r="414" spans="1:5" x14ac:dyDescent="0.2">
      <c r="A414" s="1">
        <v>42215</v>
      </c>
      <c r="B414">
        <v>46302.48</v>
      </c>
      <c r="C414" s="6">
        <f t="shared" si="18"/>
        <v>4.1901840689015915E-3</v>
      </c>
      <c r="D414" s="7">
        <f t="shared" si="19"/>
        <v>0.3416999542146672</v>
      </c>
      <c r="E414" s="8">
        <f t="shared" si="20"/>
        <v>-0.80957624380084769</v>
      </c>
    </row>
    <row r="415" spans="1:5" x14ac:dyDescent="0.2">
      <c r="A415" s="1">
        <v>42216</v>
      </c>
      <c r="B415">
        <v>46557.26</v>
      </c>
      <c r="C415" s="6">
        <f t="shared" si="18"/>
        <v>5.4874295216663536E-3</v>
      </c>
      <c r="D415" s="7">
        <f t="shared" si="19"/>
        <v>0.45363862017031592</v>
      </c>
      <c r="E415" s="8">
        <f t="shared" si="20"/>
        <v>-0.90022014242320836</v>
      </c>
    </row>
    <row r="416" spans="1:5" x14ac:dyDescent="0.2">
      <c r="A416" s="1">
        <v>42219</v>
      </c>
      <c r="B416">
        <v>46120.82</v>
      </c>
      <c r="C416" s="6">
        <f t="shared" si="18"/>
        <v>-9.418477946354838E-3</v>
      </c>
      <c r="D416" s="7">
        <f t="shared" si="19"/>
        <v>-0.83258473353081464</v>
      </c>
      <c r="E416" s="8">
        <f t="shared" si="20"/>
        <v>-1.3501689124302527</v>
      </c>
    </row>
    <row r="417" spans="1:5" x14ac:dyDescent="0.2">
      <c r="A417" s="1">
        <v>42220</v>
      </c>
      <c r="B417">
        <v>46917.54</v>
      </c>
      <c r="C417" s="6">
        <f t="shared" si="18"/>
        <v>1.7127117795354113E-2</v>
      </c>
      <c r="D417" s="7">
        <f t="shared" si="19"/>
        <v>1.4580215414743265</v>
      </c>
      <c r="E417" s="8">
        <f t="shared" si="20"/>
        <v>-2.363146893371133</v>
      </c>
    </row>
    <row r="418" spans="1:5" x14ac:dyDescent="0.2">
      <c r="A418" s="1">
        <v>42221</v>
      </c>
      <c r="B418">
        <v>47259.06</v>
      </c>
      <c r="C418" s="6">
        <f t="shared" si="18"/>
        <v>7.2527888473045022E-3</v>
      </c>
      <c r="D418" s="7">
        <f t="shared" si="19"/>
        <v>0.60597059976842227</v>
      </c>
      <c r="E418" s="8">
        <f t="shared" si="20"/>
        <v>-1.0574051827612236</v>
      </c>
    </row>
    <row r="419" spans="1:5" x14ac:dyDescent="0.2">
      <c r="A419" s="1">
        <v>42222</v>
      </c>
      <c r="B419">
        <v>46930.67</v>
      </c>
      <c r="C419" s="6">
        <f t="shared" si="18"/>
        <v>-6.9729753040165343E-3</v>
      </c>
      <c r="D419" s="7">
        <f t="shared" si="19"/>
        <v>-0.62156352486830568</v>
      </c>
      <c r="E419" s="8">
        <f t="shared" si="20"/>
        <v>-1.0754706375010921</v>
      </c>
    </row>
    <row r="420" spans="1:5" x14ac:dyDescent="0.2">
      <c r="A420" s="1">
        <v>42223</v>
      </c>
      <c r="B420">
        <v>46431.99</v>
      </c>
      <c r="C420" s="6">
        <f t="shared" si="18"/>
        <v>-1.0682744953517582E-2</v>
      </c>
      <c r="D420" s="7">
        <f t="shared" si="19"/>
        <v>-0.94167770579132404</v>
      </c>
      <c r="E420" s="8">
        <f t="shared" si="20"/>
        <v>-1.5104879486677645</v>
      </c>
    </row>
    <row r="421" spans="1:5" x14ac:dyDescent="0.2">
      <c r="A421" s="1">
        <v>42227</v>
      </c>
      <c r="B421">
        <v>46622.58</v>
      </c>
      <c r="C421" s="6">
        <f t="shared" si="18"/>
        <v>4.0963117986496152E-3</v>
      </c>
      <c r="D421" s="7">
        <f t="shared" si="19"/>
        <v>0.33359976262807173</v>
      </c>
      <c r="E421" s="8">
        <f t="shared" si="20"/>
        <v>-0.80390974074110411</v>
      </c>
    </row>
    <row r="422" spans="1:5" x14ac:dyDescent="0.2">
      <c r="A422" s="1">
        <v>42228</v>
      </c>
      <c r="B422">
        <v>44980.35</v>
      </c>
      <c r="C422" s="6">
        <f t="shared" si="18"/>
        <v>-3.5859245394691569E-2</v>
      </c>
      <c r="D422" s="7">
        <f t="shared" si="19"/>
        <v>-3.1141454271546647</v>
      </c>
      <c r="E422" s="8">
        <f t="shared" si="20"/>
        <v>-5.0385913376547053</v>
      </c>
    </row>
    <row r="423" spans="1:5" x14ac:dyDescent="0.2">
      <c r="A423" s="1">
        <v>42229</v>
      </c>
      <c r="B423">
        <v>45877.71</v>
      </c>
      <c r="C423" s="6">
        <f t="shared" si="18"/>
        <v>1.97536504624411E-2</v>
      </c>
      <c r="D423" s="7">
        <f t="shared" si="19"/>
        <v>1.6846637410796808</v>
      </c>
      <c r="E423" s="8">
        <f t="shared" si="20"/>
        <v>-2.7563864691172224</v>
      </c>
    </row>
    <row r="424" spans="1:5" x14ac:dyDescent="0.2">
      <c r="A424" s="1">
        <v>42230</v>
      </c>
      <c r="B424">
        <v>45341.19</v>
      </c>
      <c r="C424" s="6">
        <f t="shared" si="18"/>
        <v>-1.1763487324209499E-2</v>
      </c>
      <c r="D424" s="7">
        <f t="shared" si="19"/>
        <v>-1.0349344283022148</v>
      </c>
      <c r="E424" s="8">
        <f t="shared" si="20"/>
        <v>-1.6550479678971104</v>
      </c>
    </row>
    <row r="425" spans="1:5" x14ac:dyDescent="0.2">
      <c r="A425" s="1">
        <v>42233</v>
      </c>
      <c r="B425">
        <v>45287.519999999997</v>
      </c>
      <c r="C425" s="6">
        <f t="shared" si="18"/>
        <v>-1.1843930311700812E-3</v>
      </c>
      <c r="D425" s="7">
        <f t="shared" si="19"/>
        <v>-0.12206963493716957</v>
      </c>
      <c r="E425" s="8">
        <f t="shared" si="20"/>
        <v>-0.70212408827441486</v>
      </c>
    </row>
    <row r="426" spans="1:5" x14ac:dyDescent="0.2">
      <c r="A426" s="1">
        <v>42234</v>
      </c>
      <c r="B426">
        <v>45467.35</v>
      </c>
      <c r="C426" s="6">
        <f t="shared" si="18"/>
        <v>3.9629881097636458E-3</v>
      </c>
      <c r="D426" s="7">
        <f t="shared" si="19"/>
        <v>0.32209532771764338</v>
      </c>
      <c r="E426" s="8">
        <f t="shared" si="20"/>
        <v>-0.79607650154755016</v>
      </c>
    </row>
    <row r="427" spans="1:5" x14ac:dyDescent="0.2">
      <c r="A427" s="1">
        <v>42235</v>
      </c>
      <c r="B427">
        <v>44686.47</v>
      </c>
      <c r="C427" s="6">
        <f t="shared" si="18"/>
        <v>-1.732371471627972E-2</v>
      </c>
      <c r="D427" s="7">
        <f t="shared" si="19"/>
        <v>-1.5147236889636364</v>
      </c>
      <c r="E427" s="8">
        <f t="shared" si="20"/>
        <v>-2.4613396672039878</v>
      </c>
    </row>
    <row r="428" spans="1:5" x14ac:dyDescent="0.2">
      <c r="A428" s="1">
        <v>42236</v>
      </c>
      <c r="B428">
        <v>44149.39</v>
      </c>
      <c r="C428" s="6">
        <f t="shared" si="18"/>
        <v>-1.2091660817567807E-2</v>
      </c>
      <c r="D428" s="7">
        <f t="shared" si="19"/>
        <v>-1.0632523560854588</v>
      </c>
      <c r="E428" s="8">
        <f t="shared" si="20"/>
        <v>-1.700091797344059</v>
      </c>
    </row>
    <row r="429" spans="1:5" x14ac:dyDescent="0.2">
      <c r="A429" s="1">
        <v>42237</v>
      </c>
      <c r="B429">
        <v>43404.56</v>
      </c>
      <c r="C429" s="6">
        <f t="shared" si="18"/>
        <v>-1.7014605708569278E-2</v>
      </c>
      <c r="D429" s="7">
        <f t="shared" si="19"/>
        <v>-1.4880508261802388</v>
      </c>
      <c r="E429" s="8">
        <f t="shared" si="20"/>
        <v>-2.415113648523866</v>
      </c>
    </row>
    <row r="430" spans="1:5" x14ac:dyDescent="0.2">
      <c r="A430" s="1">
        <v>42240</v>
      </c>
      <c r="B430">
        <v>42149.24</v>
      </c>
      <c r="C430" s="6">
        <f t="shared" si="18"/>
        <v>-2.9347851268332566E-2</v>
      </c>
      <c r="D430" s="7">
        <f t="shared" si="19"/>
        <v>-2.552280461305179</v>
      </c>
      <c r="E430" s="8">
        <f t="shared" si="20"/>
        <v>-4.2012152520286756</v>
      </c>
    </row>
    <row r="431" spans="1:5" x14ac:dyDescent="0.2">
      <c r="A431" s="1">
        <v>42241</v>
      </c>
      <c r="B431">
        <v>43439.05</v>
      </c>
      <c r="C431" s="6">
        <f t="shared" si="18"/>
        <v>3.0142152698532466E-2</v>
      </c>
      <c r="D431" s="7">
        <f t="shared" si="19"/>
        <v>2.5810824404915436</v>
      </c>
      <c r="E431" s="8">
        <f t="shared" si="20"/>
        <v>-4.2462053006187404</v>
      </c>
    </row>
    <row r="432" spans="1:5" x14ac:dyDescent="0.2">
      <c r="A432" s="1">
        <v>42242</v>
      </c>
      <c r="B432">
        <v>42854.06</v>
      </c>
      <c r="C432" s="6">
        <f t="shared" si="18"/>
        <v>-1.3558416461381057E-2</v>
      </c>
      <c r="D432" s="7">
        <f t="shared" si="19"/>
        <v>-1.1898179722542801</v>
      </c>
      <c r="E432" s="8">
        <f t="shared" si="20"/>
        <v>-1.9066939338015407</v>
      </c>
    </row>
    <row r="433" spans="1:5" x14ac:dyDescent="0.2">
      <c r="A433" s="1">
        <v>42243</v>
      </c>
      <c r="B433">
        <v>43624.98</v>
      </c>
      <c r="C433" s="6">
        <f t="shared" si="18"/>
        <v>1.7829532389536117E-2</v>
      </c>
      <c r="D433" s="7">
        <f t="shared" si="19"/>
        <v>1.518632548013557</v>
      </c>
      <c r="E433" s="8">
        <f t="shared" si="20"/>
        <v>-2.4681183603625461</v>
      </c>
    </row>
    <row r="434" spans="1:5" x14ac:dyDescent="0.2">
      <c r="A434" s="1">
        <v>42244</v>
      </c>
      <c r="B434">
        <v>44383.74</v>
      </c>
      <c r="C434" s="6">
        <f t="shared" si="18"/>
        <v>1.7243264078664052E-2</v>
      </c>
      <c r="D434" s="7">
        <f t="shared" si="19"/>
        <v>1.4680437465872545</v>
      </c>
      <c r="E434" s="8">
        <f t="shared" si="20"/>
        <v>-2.3804803949912228</v>
      </c>
    </row>
    <row r="435" spans="1:5" x14ac:dyDescent="0.2">
      <c r="A435" s="1">
        <v>42247</v>
      </c>
      <c r="B435">
        <v>44350.11</v>
      </c>
      <c r="C435" s="6">
        <f t="shared" si="18"/>
        <v>-7.5799712534054822E-4</v>
      </c>
      <c r="D435" s="7">
        <f t="shared" si="19"/>
        <v>-8.5276143955348757E-2</v>
      </c>
      <c r="E435" s="8">
        <f t="shared" si="20"/>
        <v>-0.69390699165055159</v>
      </c>
    </row>
    <row r="436" spans="1:5" x14ac:dyDescent="0.2">
      <c r="A436" s="1">
        <v>42248</v>
      </c>
      <c r="B436">
        <v>42979.77</v>
      </c>
      <c r="C436" s="6">
        <f t="shared" si="18"/>
        <v>-3.1385649149239962E-2</v>
      </c>
      <c r="D436" s="7">
        <f t="shared" si="19"/>
        <v>-2.7281210285547033</v>
      </c>
      <c r="E436" s="8">
        <f t="shared" si="20"/>
        <v>-4.4724221264460473</v>
      </c>
    </row>
    <row r="437" spans="1:5" x14ac:dyDescent="0.2">
      <c r="A437" s="1">
        <v>42249</v>
      </c>
      <c r="B437">
        <v>43699.53</v>
      </c>
      <c r="C437" s="6">
        <f t="shared" si="18"/>
        <v>1.6607807021118231E-2</v>
      </c>
      <c r="D437" s="7">
        <f t="shared" si="19"/>
        <v>1.4132104726357595</v>
      </c>
      <c r="E437" s="8">
        <f t="shared" si="20"/>
        <v>-2.2857986564447148</v>
      </c>
    </row>
    <row r="438" spans="1:5" x14ac:dyDescent="0.2">
      <c r="A438" s="1">
        <v>42250</v>
      </c>
      <c r="B438">
        <v>44838.96</v>
      </c>
      <c r="C438" s="6">
        <f t="shared" si="18"/>
        <v>2.5740057462854803E-2</v>
      </c>
      <c r="D438" s="7">
        <f t="shared" si="19"/>
        <v>2.2012278285202571</v>
      </c>
      <c r="E438" s="8">
        <f t="shared" si="20"/>
        <v>-3.6356657727588302</v>
      </c>
    </row>
    <row r="439" spans="1:5" x14ac:dyDescent="0.2">
      <c r="A439" s="1">
        <v>42251</v>
      </c>
      <c r="B439">
        <v>43547.16</v>
      </c>
      <c r="C439" s="6">
        <f t="shared" si="18"/>
        <v>-2.9232915585270587E-2</v>
      </c>
      <c r="D439" s="7">
        <f t="shared" si="19"/>
        <v>-2.5423627182865087</v>
      </c>
      <c r="E439" s="8">
        <f t="shared" si="20"/>
        <v>-4.1856722296505238</v>
      </c>
    </row>
    <row r="440" spans="1:5" x14ac:dyDescent="0.2">
      <c r="A440" s="1">
        <v>42254</v>
      </c>
      <c r="B440">
        <v>43389.01</v>
      </c>
      <c r="C440" s="6">
        <f t="shared" si="18"/>
        <v>-3.638305539710614E-3</v>
      </c>
      <c r="D440" s="7">
        <f t="shared" si="19"/>
        <v>-0.3338165267782448</v>
      </c>
      <c r="E440" s="8">
        <f t="shared" si="20"/>
        <v>-0.80405975656292583</v>
      </c>
    </row>
    <row r="441" spans="1:5" x14ac:dyDescent="0.2">
      <c r="A441" s="1">
        <v>42255</v>
      </c>
      <c r="B441">
        <v>44107.18</v>
      </c>
      <c r="C441" s="6">
        <f t="shared" si="18"/>
        <v>1.64163977589427E-2</v>
      </c>
      <c r="D441" s="7">
        <f t="shared" si="19"/>
        <v>1.3966938624492915</v>
      </c>
      <c r="E441" s="8">
        <f t="shared" si="20"/>
        <v>-2.2573634339587914</v>
      </c>
    </row>
    <row r="442" spans="1:5" x14ac:dyDescent="0.2">
      <c r="A442" s="1">
        <v>42256</v>
      </c>
      <c r="B442">
        <v>44249.39</v>
      </c>
      <c r="C442" s="6">
        <f t="shared" si="18"/>
        <v>3.2190050564036301E-3</v>
      </c>
      <c r="D442" s="7">
        <f t="shared" si="19"/>
        <v>0.25789739947727963</v>
      </c>
      <c r="E442" s="8">
        <f t="shared" si="20"/>
        <v>-0.75708593028009752</v>
      </c>
    </row>
    <row r="443" spans="1:5" x14ac:dyDescent="0.2">
      <c r="A443" s="1">
        <v>42257</v>
      </c>
      <c r="B443">
        <v>44025.81</v>
      </c>
      <c r="C443" s="6">
        <f t="shared" si="18"/>
        <v>-5.0655331980308648E-3</v>
      </c>
      <c r="D443" s="7">
        <f t="shared" si="19"/>
        <v>-0.45697129270698988</v>
      </c>
      <c r="E443" s="8">
        <f t="shared" si="20"/>
        <v>-0.90325862863827067</v>
      </c>
    </row>
    <row r="444" spans="1:5" x14ac:dyDescent="0.2">
      <c r="A444" s="1">
        <v>42258</v>
      </c>
      <c r="B444">
        <v>43450.42</v>
      </c>
      <c r="C444" s="6">
        <f t="shared" si="18"/>
        <v>-1.315553490238814E-2</v>
      </c>
      <c r="D444" s="7">
        <f t="shared" si="19"/>
        <v>-1.1550535225846483</v>
      </c>
      <c r="E444" s="8">
        <f t="shared" si="20"/>
        <v>-1.8491785792684512</v>
      </c>
    </row>
    <row r="445" spans="1:5" x14ac:dyDescent="0.2">
      <c r="A445" s="1">
        <v>42261</v>
      </c>
      <c r="B445">
        <v>43813.06</v>
      </c>
      <c r="C445" s="6">
        <f t="shared" si="18"/>
        <v>8.3114285057272579E-3</v>
      </c>
      <c r="D445" s="7">
        <f t="shared" si="19"/>
        <v>0.69732009021298491</v>
      </c>
      <c r="E445" s="8">
        <f t="shared" si="20"/>
        <v>-1.1679174425942924</v>
      </c>
    </row>
    <row r="446" spans="1:5" x14ac:dyDescent="0.2">
      <c r="A446" s="1">
        <v>42262</v>
      </c>
      <c r="B446">
        <v>43985.37</v>
      </c>
      <c r="C446" s="6">
        <f t="shared" si="18"/>
        <v>3.9251321743859341E-3</v>
      </c>
      <c r="D446" s="7">
        <f t="shared" si="19"/>
        <v>0.31882875785173787</v>
      </c>
      <c r="E446" s="8">
        <f t="shared" si="20"/>
        <v>-0.79389852990828658</v>
      </c>
    </row>
    <row r="447" spans="1:5" x14ac:dyDescent="0.2">
      <c r="A447" s="1">
        <v>42263</v>
      </c>
      <c r="B447">
        <v>45588.01</v>
      </c>
      <c r="C447" s="6">
        <f t="shared" si="18"/>
        <v>3.5787664721555798E-2</v>
      </c>
      <c r="D447" s="7">
        <f t="shared" si="19"/>
        <v>3.0682308696087612</v>
      </c>
      <c r="E447" s="8">
        <f t="shared" si="20"/>
        <v>-4.9733392165248054</v>
      </c>
    </row>
    <row r="448" spans="1:5" x14ac:dyDescent="0.2">
      <c r="A448" s="1">
        <v>42264</v>
      </c>
      <c r="B448">
        <v>46137.53</v>
      </c>
      <c r="C448" s="6">
        <f t="shared" si="18"/>
        <v>1.1981975236759758E-2</v>
      </c>
      <c r="D448" s="7">
        <f t="shared" si="19"/>
        <v>1.0140497449779819</v>
      </c>
      <c r="E448" s="8">
        <f t="shared" si="20"/>
        <v>-1.6221502180761824</v>
      </c>
    </row>
    <row r="449" spans="1:5" x14ac:dyDescent="0.2">
      <c r="A449" s="1">
        <v>42265</v>
      </c>
      <c r="B449">
        <v>45616.07</v>
      </c>
      <c r="C449" s="6">
        <f t="shared" si="18"/>
        <v>-1.1366651867775683E-2</v>
      </c>
      <c r="D449" s="7">
        <f t="shared" si="19"/>
        <v>-1.0006916938201402</v>
      </c>
      <c r="E449" s="8">
        <f t="shared" si="20"/>
        <v>-1.6012596101060868</v>
      </c>
    </row>
    <row r="450" spans="1:5" x14ac:dyDescent="0.2">
      <c r="A450" s="1">
        <v>42268</v>
      </c>
      <c r="B450">
        <v>45379.92</v>
      </c>
      <c r="C450" s="6">
        <f t="shared" si="18"/>
        <v>-5.190350259419425E-3</v>
      </c>
      <c r="D450" s="7">
        <f t="shared" si="19"/>
        <v>-0.46774169495473888</v>
      </c>
      <c r="E450" s="8">
        <f t="shared" si="20"/>
        <v>-0.91320718068401296</v>
      </c>
    </row>
    <row r="451" spans="1:5" x14ac:dyDescent="0.2">
      <c r="A451" s="1">
        <v>42269</v>
      </c>
      <c r="B451">
        <v>44523.72</v>
      </c>
      <c r="C451" s="6">
        <f t="shared" ref="C451:C514" si="21">LN(B451/B450)</f>
        <v>-1.9047635590944863E-2</v>
      </c>
      <c r="D451" s="7">
        <f t="shared" ref="D451:D514" si="22">(C451-$G$4)/$G$5</f>
        <v>-1.6634799652040622</v>
      </c>
      <c r="E451" s="8">
        <f t="shared" ref="E451:E514" si="23">LN((PI()*(G$3-2))^(-1/2)*EXP(GAMMALN((G$3+1)/2))*((1+D451^2/(G$3-2))^(-(G$3+1)/2))/EXP(GAMMALN(G$3/2)))</f>
        <v>-2.7196220553432626</v>
      </c>
    </row>
    <row r="452" spans="1:5" x14ac:dyDescent="0.2">
      <c r="A452" s="1">
        <v>42270</v>
      </c>
      <c r="B452">
        <v>45062.05</v>
      </c>
      <c r="C452" s="6">
        <f t="shared" si="21"/>
        <v>1.201834799687632E-2</v>
      </c>
      <c r="D452" s="7">
        <f t="shared" si="22"/>
        <v>1.0171883323870921</v>
      </c>
      <c r="E452" s="8">
        <f t="shared" si="23"/>
        <v>-1.627075996255871</v>
      </c>
    </row>
    <row r="453" spans="1:5" x14ac:dyDescent="0.2">
      <c r="A453" s="1">
        <v>42272</v>
      </c>
      <c r="B453">
        <v>44963.24</v>
      </c>
      <c r="C453" s="6">
        <f t="shared" si="21"/>
        <v>-2.1951618190460577E-3</v>
      </c>
      <c r="D453" s="7">
        <f t="shared" si="22"/>
        <v>-0.20928837173312895</v>
      </c>
      <c r="E453" s="8">
        <f t="shared" si="23"/>
        <v>-0.73303496025932358</v>
      </c>
    </row>
    <row r="454" spans="1:5" x14ac:dyDescent="0.2">
      <c r="A454" s="1">
        <v>42275</v>
      </c>
      <c r="B454">
        <v>44242.32</v>
      </c>
      <c r="C454" s="6">
        <f t="shared" si="21"/>
        <v>-1.6163469977143099E-2</v>
      </c>
      <c r="D454" s="7">
        <f t="shared" si="22"/>
        <v>-1.4146067465575456</v>
      </c>
      <c r="E454" s="8">
        <f t="shared" si="23"/>
        <v>-2.2882044979224676</v>
      </c>
    </row>
    <row r="455" spans="1:5" x14ac:dyDescent="0.2">
      <c r="A455" s="1">
        <v>42276</v>
      </c>
      <c r="B455">
        <v>44159.46</v>
      </c>
      <c r="C455" s="6">
        <f t="shared" si="21"/>
        <v>-1.8746234355380795E-3</v>
      </c>
      <c r="D455" s="7">
        <f t="shared" si="22"/>
        <v>-0.18162927378756097</v>
      </c>
      <c r="E455" s="8">
        <f t="shared" si="23"/>
        <v>-0.72151051714803205</v>
      </c>
    </row>
    <row r="456" spans="1:5" x14ac:dyDescent="0.2">
      <c r="A456" s="1">
        <v>42277</v>
      </c>
      <c r="B456">
        <v>44881.18</v>
      </c>
      <c r="C456" s="6">
        <f t="shared" si="21"/>
        <v>1.62113795707148E-2</v>
      </c>
      <c r="D456" s="7">
        <f t="shared" si="22"/>
        <v>1.3790029447914465</v>
      </c>
      <c r="E456" s="8">
        <f t="shared" si="23"/>
        <v>-2.2269582904655594</v>
      </c>
    </row>
    <row r="457" spans="1:5" x14ac:dyDescent="0.2">
      <c r="A457" s="1">
        <v>42278</v>
      </c>
      <c r="B457">
        <v>45252.77</v>
      </c>
      <c r="C457" s="6">
        <f t="shared" si="21"/>
        <v>8.2453305380385585E-3</v>
      </c>
      <c r="D457" s="7">
        <f t="shared" si="22"/>
        <v>0.69161652940289797</v>
      </c>
      <c r="E457" s="8">
        <f t="shared" si="23"/>
        <v>-1.1606984203900339</v>
      </c>
    </row>
    <row r="458" spans="1:5" x14ac:dyDescent="0.2">
      <c r="A458" s="1">
        <v>42279</v>
      </c>
      <c r="B458">
        <v>45668.35</v>
      </c>
      <c r="C458" s="6">
        <f t="shared" si="21"/>
        <v>9.1416140525642526E-3</v>
      </c>
      <c r="D458" s="7">
        <f t="shared" si="22"/>
        <v>0.76895638881055306</v>
      </c>
      <c r="E458" s="8">
        <f t="shared" si="23"/>
        <v>-1.2619111907843823</v>
      </c>
    </row>
    <row r="459" spans="1:5" x14ac:dyDescent="0.2">
      <c r="A459" s="1">
        <v>42282</v>
      </c>
      <c r="B459">
        <v>46693.26</v>
      </c>
      <c r="C459" s="6">
        <f t="shared" si="21"/>
        <v>2.2194330982606064E-2</v>
      </c>
      <c r="D459" s="7">
        <f t="shared" si="22"/>
        <v>1.8952688512143372</v>
      </c>
      <c r="E459" s="8">
        <f t="shared" si="23"/>
        <v>-3.1198821727122232</v>
      </c>
    </row>
    <row r="460" spans="1:5" x14ac:dyDescent="0.2">
      <c r="A460" s="1">
        <v>42283</v>
      </c>
      <c r="B460">
        <v>46624.38</v>
      </c>
      <c r="C460" s="6">
        <f t="shared" si="21"/>
        <v>-1.4762484886938849E-3</v>
      </c>
      <c r="D460" s="7">
        <f t="shared" si="22"/>
        <v>-0.14725369744242806</v>
      </c>
      <c r="E460" s="8">
        <f t="shared" si="23"/>
        <v>-0.70940934955320334</v>
      </c>
    </row>
    <row r="461" spans="1:5" x14ac:dyDescent="0.2">
      <c r="A461" s="1">
        <v>42284</v>
      </c>
      <c r="B461">
        <v>47162.94</v>
      </c>
      <c r="C461" s="6">
        <f t="shared" si="21"/>
        <v>1.1484834404539523E-2</v>
      </c>
      <c r="D461" s="7">
        <f t="shared" si="22"/>
        <v>0.97115170942718376</v>
      </c>
      <c r="E461" s="8">
        <f t="shared" si="23"/>
        <v>-1.5555027688483836</v>
      </c>
    </row>
    <row r="462" spans="1:5" x14ac:dyDescent="0.2">
      <c r="A462" s="1">
        <v>42285</v>
      </c>
      <c r="B462">
        <v>47293.81</v>
      </c>
      <c r="C462" s="6">
        <f t="shared" si="21"/>
        <v>2.7710054334944001E-3</v>
      </c>
      <c r="D462" s="7">
        <f t="shared" si="22"/>
        <v>0.21923973447624712</v>
      </c>
      <c r="E462" s="8">
        <f t="shared" si="23"/>
        <v>-0.73756715718043087</v>
      </c>
    </row>
    <row r="463" spans="1:5" x14ac:dyDescent="0.2">
      <c r="A463" s="1">
        <v>42286</v>
      </c>
      <c r="B463">
        <v>47809.88</v>
      </c>
      <c r="C463" s="6">
        <f t="shared" si="21"/>
        <v>1.0852892573233637E-2</v>
      </c>
      <c r="D463" s="7">
        <f t="shared" si="22"/>
        <v>0.91662176260240347</v>
      </c>
      <c r="E463" s="8">
        <f t="shared" si="23"/>
        <v>-1.4727559420322205</v>
      </c>
    </row>
    <row r="464" spans="1:5" x14ac:dyDescent="0.2">
      <c r="A464" s="1">
        <v>42289</v>
      </c>
      <c r="B464">
        <v>47241.760000000002</v>
      </c>
      <c r="C464" s="6">
        <f t="shared" si="21"/>
        <v>-1.1954065502313543E-2</v>
      </c>
      <c r="D464" s="7">
        <f t="shared" si="22"/>
        <v>-1.0513793246568395</v>
      </c>
      <c r="E464" s="8">
        <f t="shared" si="23"/>
        <v>-1.6811466440116645</v>
      </c>
    </row>
    <row r="465" spans="1:5" x14ac:dyDescent="0.2">
      <c r="A465" s="1">
        <v>42290</v>
      </c>
      <c r="B465">
        <v>47643.86</v>
      </c>
      <c r="C465" s="6">
        <f t="shared" si="21"/>
        <v>8.4755183567018239E-3</v>
      </c>
      <c r="D465" s="7">
        <f t="shared" si="22"/>
        <v>0.71147932197271646</v>
      </c>
      <c r="E465" s="8">
        <f t="shared" si="23"/>
        <v>-1.1860128073786824</v>
      </c>
    </row>
    <row r="466" spans="1:5" x14ac:dyDescent="0.2">
      <c r="A466" s="1">
        <v>42291</v>
      </c>
      <c r="B466">
        <v>47612.14</v>
      </c>
      <c r="C466" s="6">
        <f t="shared" si="21"/>
        <v>-6.6599481759572088E-4</v>
      </c>
      <c r="D466" s="7">
        <f t="shared" si="22"/>
        <v>-7.7337310504941956E-2</v>
      </c>
      <c r="E466" s="8">
        <f t="shared" si="23"/>
        <v>-0.69251411178051869</v>
      </c>
    </row>
    <row r="467" spans="1:5" x14ac:dyDescent="0.2">
      <c r="A467" s="1">
        <v>42292</v>
      </c>
      <c r="B467">
        <v>47462.98</v>
      </c>
      <c r="C467" s="6">
        <f t="shared" si="21"/>
        <v>-3.1377319824119594E-3</v>
      </c>
      <c r="D467" s="7">
        <f t="shared" si="22"/>
        <v>-0.29062228308499222</v>
      </c>
      <c r="E467" s="8">
        <f t="shared" si="23"/>
        <v>-0.77595088924938438</v>
      </c>
    </row>
    <row r="468" spans="1:5" x14ac:dyDescent="0.2">
      <c r="A468" s="1">
        <v>42293</v>
      </c>
      <c r="B468">
        <v>47459.95</v>
      </c>
      <c r="C468" s="6">
        <f t="shared" si="21"/>
        <v>-6.3841265772845261E-5</v>
      </c>
      <c r="D468" s="7">
        <f t="shared" si="22"/>
        <v>-2.5377779525008626E-2</v>
      </c>
      <c r="E468" s="8">
        <f t="shared" si="23"/>
        <v>-0.68674834327641199</v>
      </c>
    </row>
    <row r="469" spans="1:5" x14ac:dyDescent="0.2">
      <c r="A469" s="1">
        <v>42296</v>
      </c>
      <c r="B469">
        <v>47720.17</v>
      </c>
      <c r="C469" s="6">
        <f t="shared" si="21"/>
        <v>5.4679621826709563E-3</v>
      </c>
      <c r="D469" s="7">
        <f t="shared" si="22"/>
        <v>0.4519587931551533</v>
      </c>
      <c r="E469" s="8">
        <f t="shared" si="23"/>
        <v>-0.89869578354188973</v>
      </c>
    </row>
    <row r="470" spans="1:5" x14ac:dyDescent="0.2">
      <c r="A470" s="1">
        <v>42297</v>
      </c>
      <c r="B470">
        <v>47410.34</v>
      </c>
      <c r="C470" s="6">
        <f t="shared" si="21"/>
        <v>-6.5138112998593799E-3</v>
      </c>
      <c r="D470" s="7">
        <f t="shared" si="22"/>
        <v>-0.58194249095320272</v>
      </c>
      <c r="E470" s="8">
        <f t="shared" si="23"/>
        <v>-1.0302463076545239</v>
      </c>
    </row>
    <row r="471" spans="1:5" x14ac:dyDescent="0.2">
      <c r="A471" s="1">
        <v>42298</v>
      </c>
      <c r="B471">
        <v>47594.59</v>
      </c>
      <c r="C471" s="6">
        <f t="shared" si="21"/>
        <v>3.878750944796395E-3</v>
      </c>
      <c r="D471" s="7">
        <f t="shared" si="22"/>
        <v>0.31482654458163506</v>
      </c>
      <c r="E471" s="8">
        <f t="shared" si="23"/>
        <v>-0.79125805471565358</v>
      </c>
    </row>
    <row r="472" spans="1:5" x14ac:dyDescent="0.2">
      <c r="A472" s="1">
        <v>42299</v>
      </c>
      <c r="B472">
        <v>47814.720000000001</v>
      </c>
      <c r="C472" s="6">
        <f t="shared" si="21"/>
        <v>4.6144425654830144E-3</v>
      </c>
      <c r="D472" s="7">
        <f t="shared" si="22"/>
        <v>0.37830900921382588</v>
      </c>
      <c r="E472" s="8">
        <f t="shared" si="23"/>
        <v>-0.8367214806250497</v>
      </c>
    </row>
    <row r="473" spans="1:5" x14ac:dyDescent="0.2">
      <c r="A473" s="1">
        <v>42300</v>
      </c>
      <c r="B473">
        <v>48799.45</v>
      </c>
      <c r="C473" s="6">
        <f t="shared" si="21"/>
        <v>2.0385500422384864E-2</v>
      </c>
      <c r="D473" s="7">
        <f t="shared" si="22"/>
        <v>1.7391857603702434</v>
      </c>
      <c r="E473" s="8">
        <f t="shared" si="23"/>
        <v>-2.8508946682888929</v>
      </c>
    </row>
    <row r="474" spans="1:5" x14ac:dyDescent="0.2">
      <c r="A474" s="1">
        <v>42303</v>
      </c>
      <c r="B474">
        <v>48569.26</v>
      </c>
      <c r="C474" s="6">
        <f t="shared" si="21"/>
        <v>-4.7282218044249653E-3</v>
      </c>
      <c r="D474" s="7">
        <f t="shared" si="22"/>
        <v>-0.42786486004891988</v>
      </c>
      <c r="E474" s="8">
        <f t="shared" si="23"/>
        <v>-0.87736686109130124</v>
      </c>
    </row>
    <row r="475" spans="1:5" x14ac:dyDescent="0.2">
      <c r="A475" s="1">
        <v>42304</v>
      </c>
      <c r="B475">
        <v>48231.26</v>
      </c>
      <c r="C475" s="6">
        <f t="shared" si="21"/>
        <v>-6.9834619411496207E-3</v>
      </c>
      <c r="D475" s="7">
        <f t="shared" si="22"/>
        <v>-0.62246841157924915</v>
      </c>
      <c r="E475" s="8">
        <f t="shared" si="23"/>
        <v>-1.0765294654319011</v>
      </c>
    </row>
    <row r="476" spans="1:5" x14ac:dyDescent="0.2">
      <c r="A476" s="1">
        <v>42305</v>
      </c>
      <c r="B476">
        <v>48189.15</v>
      </c>
      <c r="C476" s="6">
        <f t="shared" si="21"/>
        <v>-8.7346657574468743E-4</v>
      </c>
      <c r="D476" s="7">
        <f t="shared" si="22"/>
        <v>-9.5239945492924971E-2</v>
      </c>
      <c r="E476" s="8">
        <f t="shared" si="23"/>
        <v>-0.69584645711633653</v>
      </c>
    </row>
    <row r="477" spans="1:5" x14ac:dyDescent="0.2">
      <c r="A477" s="1">
        <v>42306</v>
      </c>
      <c r="B477">
        <v>47941.01</v>
      </c>
      <c r="C477" s="6">
        <f t="shared" si="21"/>
        <v>-5.1625951964865855E-3</v>
      </c>
      <c r="D477" s="7">
        <f t="shared" si="22"/>
        <v>-0.46534672435638713</v>
      </c>
      <c r="E477" s="8">
        <f t="shared" si="23"/>
        <v>-0.91097801042295656</v>
      </c>
    </row>
    <row r="478" spans="1:5" x14ac:dyDescent="0.2">
      <c r="A478" s="1">
        <v>42307</v>
      </c>
      <c r="B478">
        <v>48317.45</v>
      </c>
      <c r="C478" s="6">
        <f t="shared" si="21"/>
        <v>7.8214822692183692E-3</v>
      </c>
      <c r="D478" s="7">
        <f t="shared" si="22"/>
        <v>0.65504287275355244</v>
      </c>
      <c r="E478" s="8">
        <f t="shared" si="23"/>
        <v>-1.1153919198372755</v>
      </c>
    </row>
    <row r="479" spans="1:5" x14ac:dyDescent="0.2">
      <c r="A479" s="1">
        <v>42310</v>
      </c>
      <c r="B479">
        <v>48349.52</v>
      </c>
      <c r="C479" s="6">
        <f t="shared" si="21"/>
        <v>6.6351518365733591E-4</v>
      </c>
      <c r="D479" s="7">
        <f t="shared" si="22"/>
        <v>3.7385447318397422E-2</v>
      </c>
      <c r="E479" s="8">
        <f t="shared" si="23"/>
        <v>-0.68756324860935547</v>
      </c>
    </row>
    <row r="480" spans="1:5" x14ac:dyDescent="0.2">
      <c r="A480" s="1">
        <v>42311</v>
      </c>
      <c r="B480">
        <v>48548.21</v>
      </c>
      <c r="C480" s="6">
        <f t="shared" si="21"/>
        <v>4.1010306117893434E-3</v>
      </c>
      <c r="D480" s="7">
        <f t="shared" si="22"/>
        <v>0.33400694667071329</v>
      </c>
      <c r="E480" s="8">
        <f t="shared" si="23"/>
        <v>-0.80419161406907558</v>
      </c>
    </row>
    <row r="481" spans="1:5" x14ac:dyDescent="0.2">
      <c r="A481" s="1">
        <v>42312</v>
      </c>
      <c r="B481">
        <v>49081.01</v>
      </c>
      <c r="C481" s="6">
        <f t="shared" si="21"/>
        <v>1.0914873427435121E-2</v>
      </c>
      <c r="D481" s="7">
        <f t="shared" si="22"/>
        <v>0.92197005973408275</v>
      </c>
      <c r="E481" s="8">
        <f t="shared" si="23"/>
        <v>-1.4807672095998761</v>
      </c>
    </row>
    <row r="482" spans="1:5" x14ac:dyDescent="0.2">
      <c r="A482" s="1">
        <v>42313</v>
      </c>
      <c r="B482">
        <v>48553.57</v>
      </c>
      <c r="C482" s="6">
        <f t="shared" si="21"/>
        <v>-1.0804473803340812E-2</v>
      </c>
      <c r="D482" s="7">
        <f t="shared" si="22"/>
        <v>-0.95218162779659066</v>
      </c>
      <c r="E482" s="8">
        <f t="shared" si="23"/>
        <v>-1.5264542719155652</v>
      </c>
    </row>
    <row r="483" spans="1:5" x14ac:dyDescent="0.2">
      <c r="A483" s="1">
        <v>42314</v>
      </c>
      <c r="B483">
        <v>47540.77</v>
      </c>
      <c r="C483" s="6">
        <f t="shared" si="21"/>
        <v>-2.1080065787027456E-2</v>
      </c>
      <c r="D483" s="7">
        <f t="shared" si="22"/>
        <v>-1.8388573575954452</v>
      </c>
      <c r="E483" s="8">
        <f t="shared" si="23"/>
        <v>-3.0230005340357091</v>
      </c>
    </row>
    <row r="484" spans="1:5" x14ac:dyDescent="0.2">
      <c r="A484" s="1">
        <v>42317</v>
      </c>
      <c r="B484">
        <v>47964.959999999999</v>
      </c>
      <c r="C484" s="6">
        <f t="shared" si="21"/>
        <v>8.8830856404357242E-3</v>
      </c>
      <c r="D484" s="7">
        <f t="shared" si="22"/>
        <v>0.74664810050349251</v>
      </c>
      <c r="E484" s="8">
        <f t="shared" si="23"/>
        <v>-1.2320001393307525</v>
      </c>
    </row>
    <row r="485" spans="1:5" x14ac:dyDescent="0.2">
      <c r="A485" s="1">
        <v>42318</v>
      </c>
      <c r="B485">
        <v>47201.94</v>
      </c>
      <c r="C485" s="6">
        <f t="shared" si="21"/>
        <v>-1.603575088637401E-2</v>
      </c>
      <c r="D485" s="7">
        <f t="shared" si="22"/>
        <v>-1.4035859296355897</v>
      </c>
      <c r="E485" s="8">
        <f t="shared" si="23"/>
        <v>-2.2692234983518911</v>
      </c>
    </row>
    <row r="486" spans="1:5" x14ac:dyDescent="0.2">
      <c r="A486" s="1">
        <v>42319</v>
      </c>
      <c r="B486">
        <v>47265.83</v>
      </c>
      <c r="C486" s="6">
        <f t="shared" si="21"/>
        <v>1.3526308441735226E-3</v>
      </c>
      <c r="D486" s="7">
        <f t="shared" si="22"/>
        <v>9.6848895475355981E-2</v>
      </c>
      <c r="E486" s="8">
        <f t="shared" si="23"/>
        <v>-0.69617958334700325</v>
      </c>
    </row>
    <row r="487" spans="1:5" x14ac:dyDescent="0.2">
      <c r="A487" s="1">
        <v>42320</v>
      </c>
      <c r="B487">
        <v>46787.5</v>
      </c>
      <c r="C487" s="6">
        <f t="shared" si="21"/>
        <v>-1.0171551055399752E-2</v>
      </c>
      <c r="D487" s="7">
        <f t="shared" si="22"/>
        <v>-0.89756703816244754</v>
      </c>
      <c r="E487" s="8">
        <f t="shared" si="23"/>
        <v>-1.4444084675420827</v>
      </c>
    </row>
    <row r="488" spans="1:5" x14ac:dyDescent="0.2">
      <c r="A488" s="1">
        <v>42321</v>
      </c>
      <c r="B488">
        <v>45979.37</v>
      </c>
      <c r="C488" s="6">
        <f t="shared" si="21"/>
        <v>-1.7423255598775122E-2</v>
      </c>
      <c r="D488" s="7">
        <f t="shared" si="22"/>
        <v>-1.523313022285897</v>
      </c>
      <c r="E488" s="8">
        <f t="shared" si="23"/>
        <v>-2.4762364544114992</v>
      </c>
    </row>
    <row r="489" spans="1:5" x14ac:dyDescent="0.2">
      <c r="A489" s="1">
        <v>42324</v>
      </c>
      <c r="B489">
        <v>46330.67</v>
      </c>
      <c r="C489" s="6">
        <f t="shared" si="21"/>
        <v>7.6113431642668931E-3</v>
      </c>
      <c r="D489" s="7">
        <f t="shared" si="22"/>
        <v>0.63691007373448527</v>
      </c>
      <c r="E489" s="8">
        <f t="shared" si="23"/>
        <v>-1.0935809629063016</v>
      </c>
    </row>
    <row r="490" spans="1:5" x14ac:dyDescent="0.2">
      <c r="A490" s="1">
        <v>42325</v>
      </c>
      <c r="B490">
        <v>46751.1</v>
      </c>
      <c r="C490" s="6">
        <f t="shared" si="21"/>
        <v>9.0336240736091158E-3</v>
      </c>
      <c r="D490" s="7">
        <f t="shared" si="22"/>
        <v>0.7596379871502863</v>
      </c>
      <c r="E490" s="8">
        <f t="shared" si="23"/>
        <v>-1.2493490307177166</v>
      </c>
    </row>
    <row r="491" spans="1:5" x14ac:dyDescent="0.2">
      <c r="A491" s="1">
        <v>42326</v>
      </c>
      <c r="B491">
        <v>46464.28</v>
      </c>
      <c r="C491" s="6">
        <f t="shared" si="21"/>
        <v>-6.1539395146759223E-3</v>
      </c>
      <c r="D491" s="7">
        <f t="shared" si="22"/>
        <v>-0.55088933330854917</v>
      </c>
      <c r="E491" s="8">
        <f t="shared" si="23"/>
        <v>-0.99640660315826401</v>
      </c>
    </row>
    <row r="492" spans="1:5" x14ac:dyDescent="0.2">
      <c r="A492" s="1">
        <v>42327</v>
      </c>
      <c r="B492">
        <v>46851.6</v>
      </c>
      <c r="C492" s="6">
        <f t="shared" si="21"/>
        <v>8.3013142937998219E-3</v>
      </c>
      <c r="D492" s="7">
        <f t="shared" si="22"/>
        <v>0.6964473398881047</v>
      </c>
      <c r="E492" s="8">
        <f t="shared" si="23"/>
        <v>-1.1668101700834348</v>
      </c>
    </row>
    <row r="493" spans="1:5" x14ac:dyDescent="0.2">
      <c r="A493" s="1">
        <v>42328</v>
      </c>
      <c r="B493">
        <v>46963.11</v>
      </c>
      <c r="C493" s="6">
        <f t="shared" si="21"/>
        <v>2.3772402539950542E-3</v>
      </c>
      <c r="D493" s="7">
        <f t="shared" si="22"/>
        <v>0.18526193266626367</v>
      </c>
      <c r="E493" s="8">
        <f t="shared" si="23"/>
        <v>-0.72293364946401817</v>
      </c>
    </row>
    <row r="494" spans="1:5" x14ac:dyDescent="0.2">
      <c r="A494" s="1">
        <v>42331</v>
      </c>
      <c r="B494">
        <v>46920.95</v>
      </c>
      <c r="C494" s="6">
        <f t="shared" si="21"/>
        <v>-8.9812909313862876E-4</v>
      </c>
      <c r="D494" s="7">
        <f t="shared" si="22"/>
        <v>-9.7368061872367309E-2</v>
      </c>
      <c r="E494" s="8">
        <f t="shared" si="23"/>
        <v>-0.69628825680292528</v>
      </c>
    </row>
    <row r="495" spans="1:5" x14ac:dyDescent="0.2">
      <c r="A495" s="1">
        <v>42332</v>
      </c>
      <c r="B495">
        <v>46569.63</v>
      </c>
      <c r="C495" s="6">
        <f t="shared" si="21"/>
        <v>-7.515658875893518E-3</v>
      </c>
      <c r="D495" s="7">
        <f t="shared" si="22"/>
        <v>-0.66839142080926894</v>
      </c>
      <c r="E495" s="8">
        <f t="shared" si="23"/>
        <v>-1.1317273416437081</v>
      </c>
    </row>
    <row r="496" spans="1:5" x14ac:dyDescent="0.2">
      <c r="A496" s="1">
        <v>42333</v>
      </c>
      <c r="B496">
        <v>46672.23</v>
      </c>
      <c r="C496" s="6">
        <f t="shared" si="21"/>
        <v>2.2007291877155074E-3</v>
      </c>
      <c r="D496" s="7">
        <f t="shared" si="22"/>
        <v>0.17003088040577485</v>
      </c>
      <c r="E496" s="8">
        <f t="shared" si="23"/>
        <v>-0.71715083815404146</v>
      </c>
    </row>
    <row r="497" spans="1:5" x14ac:dyDescent="0.2">
      <c r="A497" s="1">
        <v>42334</v>
      </c>
      <c r="B497">
        <v>46877.4</v>
      </c>
      <c r="C497" s="6">
        <f t="shared" si="21"/>
        <v>4.386341858448892E-3</v>
      </c>
      <c r="D497" s="7">
        <f t="shared" si="22"/>
        <v>0.35862631247010479</v>
      </c>
      <c r="E497" s="8">
        <f t="shared" si="23"/>
        <v>-0.82181656687225191</v>
      </c>
    </row>
    <row r="498" spans="1:5" x14ac:dyDescent="0.2">
      <c r="A498" s="1">
        <v>42335</v>
      </c>
      <c r="B498">
        <v>46327.67</v>
      </c>
      <c r="C498" s="6">
        <f t="shared" si="21"/>
        <v>-1.1796276203866553E-2</v>
      </c>
      <c r="D498" s="7">
        <f t="shared" si="22"/>
        <v>-1.0377637644460946</v>
      </c>
      <c r="E498" s="8">
        <f t="shared" si="23"/>
        <v>-1.6595262663281236</v>
      </c>
    </row>
    <row r="499" spans="1:5" x14ac:dyDescent="0.2">
      <c r="A499" s="1">
        <v>42338</v>
      </c>
      <c r="B499">
        <v>46329.56</v>
      </c>
      <c r="C499" s="6">
        <f t="shared" si="21"/>
        <v>4.0795521304847581E-5</v>
      </c>
      <c r="D499" s="7">
        <f t="shared" si="22"/>
        <v>-1.6348723126777275E-2</v>
      </c>
      <c r="E499" s="8">
        <f t="shared" si="23"/>
        <v>-0.68634087599019589</v>
      </c>
    </row>
    <row r="500" spans="1:5" x14ac:dyDescent="0.2">
      <c r="A500" s="1">
        <v>42339</v>
      </c>
      <c r="B500">
        <v>46295.25</v>
      </c>
      <c r="C500" s="6">
        <f t="shared" si="21"/>
        <v>-7.4083826070412426E-4</v>
      </c>
      <c r="D500" s="7">
        <f t="shared" si="22"/>
        <v>-8.3795514046320158E-2</v>
      </c>
      <c r="E500" s="8">
        <f t="shared" si="23"/>
        <v>-0.69363695021041671</v>
      </c>
    </row>
    <row r="501" spans="1:5" x14ac:dyDescent="0.2">
      <c r="A501" s="1">
        <v>42340</v>
      </c>
      <c r="B501">
        <v>46024.24</v>
      </c>
      <c r="C501" s="6">
        <f t="shared" si="21"/>
        <v>-5.8711498186312912E-3</v>
      </c>
      <c r="D501" s="7">
        <f t="shared" si="22"/>
        <v>-0.52648755085961152</v>
      </c>
      <c r="E501" s="8">
        <f t="shared" si="23"/>
        <v>-0.97084606163147769</v>
      </c>
    </row>
    <row r="502" spans="1:5" x14ac:dyDescent="0.2">
      <c r="A502" s="1">
        <v>42341</v>
      </c>
      <c r="B502">
        <v>45371.37</v>
      </c>
      <c r="C502" s="6">
        <f t="shared" si="21"/>
        <v>-1.428692483315834E-2</v>
      </c>
      <c r="D502" s="7">
        <f t="shared" si="22"/>
        <v>-1.2526805979050162</v>
      </c>
      <c r="E502" s="8">
        <f t="shared" si="23"/>
        <v>-2.0119069955488165</v>
      </c>
    </row>
    <row r="503" spans="1:5" x14ac:dyDescent="0.2">
      <c r="A503" s="1">
        <v>42342</v>
      </c>
      <c r="B503">
        <v>44347.44</v>
      </c>
      <c r="C503" s="6">
        <f t="shared" si="21"/>
        <v>-2.2826304955926482E-2</v>
      </c>
      <c r="D503" s="7">
        <f t="shared" si="22"/>
        <v>-1.9895394683628853</v>
      </c>
      <c r="E503" s="8">
        <f t="shared" si="23"/>
        <v>-3.2806986469278323</v>
      </c>
    </row>
    <row r="504" spans="1:5" x14ac:dyDescent="0.2">
      <c r="A504" s="1">
        <v>42345</v>
      </c>
      <c r="B504">
        <v>44898.68</v>
      </c>
      <c r="C504" s="6">
        <f t="shared" si="21"/>
        <v>1.2353411223444664E-2</v>
      </c>
      <c r="D504" s="7">
        <f t="shared" si="22"/>
        <v>1.0461007718278468</v>
      </c>
      <c r="E504" s="8">
        <f t="shared" si="23"/>
        <v>-1.6727512004074401</v>
      </c>
    </row>
    <row r="505" spans="1:5" x14ac:dyDescent="0.2">
      <c r="A505" s="1">
        <v>42346</v>
      </c>
      <c r="B505">
        <v>44151.26</v>
      </c>
      <c r="C505" s="6">
        <f t="shared" si="21"/>
        <v>-1.6786929938277097E-2</v>
      </c>
      <c r="D505" s="7">
        <f t="shared" si="22"/>
        <v>-1.4684047970169722</v>
      </c>
      <c r="E505" s="8">
        <f t="shared" si="23"/>
        <v>-2.3811050380406447</v>
      </c>
    </row>
    <row r="506" spans="1:5" x14ac:dyDescent="0.2">
      <c r="A506" s="1">
        <v>42347</v>
      </c>
      <c r="B506">
        <v>44545.49</v>
      </c>
      <c r="C506" s="6">
        <f t="shared" si="21"/>
        <v>8.8894485102670503E-3</v>
      </c>
      <c r="D506" s="7">
        <f t="shared" si="22"/>
        <v>0.74719714938167514</v>
      </c>
      <c r="E506" s="8">
        <f t="shared" si="23"/>
        <v>-1.2327295465508905</v>
      </c>
    </row>
    <row r="507" spans="1:5" x14ac:dyDescent="0.2">
      <c r="A507" s="1">
        <v>42348</v>
      </c>
      <c r="B507">
        <v>44250.7</v>
      </c>
      <c r="C507" s="6">
        <f t="shared" si="21"/>
        <v>-6.6397236864966331E-3</v>
      </c>
      <c r="D507" s="7">
        <f t="shared" si="22"/>
        <v>-0.59280740827276401</v>
      </c>
      <c r="E507" s="8">
        <f t="shared" si="23"/>
        <v>-1.0424234972229267</v>
      </c>
    </row>
    <row r="508" spans="1:5" x14ac:dyDescent="0.2">
      <c r="A508" s="1">
        <v>42349</v>
      </c>
      <c r="B508">
        <v>43558.35</v>
      </c>
      <c r="C508" s="6">
        <f t="shared" si="21"/>
        <v>-1.5769771978394086E-2</v>
      </c>
      <c r="D508" s="7">
        <f t="shared" si="22"/>
        <v>-1.3806347417411489</v>
      </c>
      <c r="E508" s="8">
        <f t="shared" si="23"/>
        <v>-2.229760456710034</v>
      </c>
    </row>
    <row r="509" spans="1:5" x14ac:dyDescent="0.2">
      <c r="A509" s="1">
        <v>42352</v>
      </c>
      <c r="B509">
        <v>43415.47</v>
      </c>
      <c r="C509" s="6">
        <f t="shared" si="21"/>
        <v>-3.2855893539825952E-3</v>
      </c>
      <c r="D509" s="7">
        <f t="shared" si="22"/>
        <v>-0.30338082225739887</v>
      </c>
      <c r="E509" s="8">
        <f t="shared" si="23"/>
        <v>-0.78387754762052053</v>
      </c>
    </row>
    <row r="510" spans="1:5" x14ac:dyDescent="0.2">
      <c r="A510" s="1">
        <v>42353</v>
      </c>
      <c r="B510">
        <v>43701.61</v>
      </c>
      <c r="C510" s="6">
        <f t="shared" si="21"/>
        <v>6.5691143226750655E-3</v>
      </c>
      <c r="D510" s="7">
        <f t="shared" si="22"/>
        <v>0.5469766645252675</v>
      </c>
      <c r="E510" s="8">
        <f t="shared" si="23"/>
        <v>-0.99224616823796596</v>
      </c>
    </row>
    <row r="511" spans="1:5" x14ac:dyDescent="0.2">
      <c r="A511" s="1">
        <v>42355</v>
      </c>
      <c r="B511">
        <v>44927.07</v>
      </c>
      <c r="C511" s="6">
        <f t="shared" si="21"/>
        <v>2.7655564874623721E-2</v>
      </c>
      <c r="D511" s="7">
        <f t="shared" si="22"/>
        <v>2.3665160119126813</v>
      </c>
      <c r="E511" s="8">
        <f t="shared" si="23"/>
        <v>-3.9058120278092097</v>
      </c>
    </row>
    <row r="512" spans="1:5" x14ac:dyDescent="0.2">
      <c r="A512" s="1">
        <v>42356</v>
      </c>
      <c r="B512">
        <v>43978.57</v>
      </c>
      <c r="C512" s="6">
        <f t="shared" si="21"/>
        <v>-2.1338038584224603E-2</v>
      </c>
      <c r="D512" s="7">
        <f t="shared" si="22"/>
        <v>-1.8611177021659744</v>
      </c>
      <c r="E512" s="8">
        <f t="shared" si="23"/>
        <v>-3.0612826556322648</v>
      </c>
    </row>
    <row r="513" spans="1:5" x14ac:dyDescent="0.2">
      <c r="A513" s="1">
        <v>42359</v>
      </c>
      <c r="B513">
        <v>44368.53</v>
      </c>
      <c r="C513" s="6">
        <f t="shared" si="21"/>
        <v>8.8279645298614817E-3</v>
      </c>
      <c r="D513" s="7">
        <f t="shared" si="22"/>
        <v>0.74189172724311658</v>
      </c>
      <c r="E513" s="8">
        <f t="shared" si="23"/>
        <v>-1.225695832889643</v>
      </c>
    </row>
    <row r="514" spans="1:5" x14ac:dyDescent="0.2">
      <c r="A514" s="1">
        <v>42360</v>
      </c>
      <c r="B514">
        <v>44900.59</v>
      </c>
      <c r="C514" s="6">
        <f t="shared" si="21"/>
        <v>1.1920500625264953E-2</v>
      </c>
      <c r="D514" s="7">
        <f t="shared" si="22"/>
        <v>1.0087451312780811</v>
      </c>
      <c r="E514" s="8">
        <f t="shared" si="23"/>
        <v>-1.6138399366227436</v>
      </c>
    </row>
    <row r="515" spans="1:5" x14ac:dyDescent="0.2">
      <c r="A515" s="1">
        <v>42361</v>
      </c>
      <c r="B515">
        <v>45865.58</v>
      </c>
      <c r="C515" s="6">
        <f t="shared" ref="C515:C578" si="24">LN(B515/B514)</f>
        <v>2.1264009716332501E-2</v>
      </c>
      <c r="D515" s="7">
        <f t="shared" ref="D515:D578" si="25">(C515-$G$4)/$G$5</f>
        <v>1.814991891110229</v>
      </c>
      <c r="E515" s="8">
        <f t="shared" ref="E515:E578" si="26">LN((PI()*(G$3-2))^(-1/2)*EXP(GAMMALN((G$3+1)/2))*((1+D515^2/(G$3-2))^(-(G$3+1)/2))/EXP(GAMMALN(G$3/2)))</f>
        <v>-2.9818887599156993</v>
      </c>
    </row>
    <row r="516" spans="1:5" x14ac:dyDescent="0.2">
      <c r="A516" s="1">
        <v>42362</v>
      </c>
      <c r="B516">
        <v>46355.040000000001</v>
      </c>
      <c r="C516" s="6">
        <f t="shared" si="24"/>
        <v>1.0615079274396843E-2</v>
      </c>
      <c r="D516" s="7">
        <f t="shared" si="25"/>
        <v>0.8961009711349387</v>
      </c>
      <c r="E516" s="8">
        <f t="shared" si="26"/>
        <v>-1.4422402511014183</v>
      </c>
    </row>
    <row r="517" spans="1:5" x14ac:dyDescent="0.2">
      <c r="A517" s="1">
        <v>42366</v>
      </c>
      <c r="B517">
        <v>46243.42</v>
      </c>
      <c r="C517" s="6">
        <f t="shared" si="24"/>
        <v>-2.4108403976198321E-3</v>
      </c>
      <c r="D517" s="7">
        <f t="shared" si="25"/>
        <v>-0.22789916918036951</v>
      </c>
      <c r="E517" s="8">
        <f t="shared" si="26"/>
        <v>-0.74167587399580104</v>
      </c>
    </row>
    <row r="518" spans="1:5" x14ac:dyDescent="0.2">
      <c r="A518" s="1">
        <v>42367</v>
      </c>
      <c r="B518">
        <v>45996.54</v>
      </c>
      <c r="C518" s="6">
        <f t="shared" si="24"/>
        <v>-5.3530072979681639E-3</v>
      </c>
      <c r="D518" s="7">
        <f t="shared" si="25"/>
        <v>-0.4817772900417267</v>
      </c>
      <c r="E518" s="8">
        <f t="shared" si="26"/>
        <v>-0.92646428653652557</v>
      </c>
    </row>
    <row r="519" spans="1:5" x14ac:dyDescent="0.2">
      <c r="A519" s="1">
        <v>42368</v>
      </c>
      <c r="B519">
        <v>45900.83</v>
      </c>
      <c r="C519" s="6">
        <f t="shared" si="24"/>
        <v>-2.0829765771419899E-3</v>
      </c>
      <c r="D519" s="7">
        <f t="shared" si="25"/>
        <v>-0.19960796291620916</v>
      </c>
      <c r="E519" s="8">
        <f t="shared" si="26"/>
        <v>-0.72882154098764984</v>
      </c>
    </row>
    <row r="520" spans="1:5" x14ac:dyDescent="0.2">
      <c r="A520" s="1">
        <v>42369</v>
      </c>
      <c r="B520">
        <v>45797.3</v>
      </c>
      <c r="C520" s="6">
        <f t="shared" si="24"/>
        <v>-2.2580622743404786E-3</v>
      </c>
      <c r="D520" s="7">
        <f t="shared" si="25"/>
        <v>-0.21471602078647828</v>
      </c>
      <c r="E520" s="8">
        <f t="shared" si="26"/>
        <v>-0.73548172043777948</v>
      </c>
    </row>
    <row r="521" spans="1:5" x14ac:dyDescent="0.2">
      <c r="A521" s="1">
        <v>42373</v>
      </c>
      <c r="B521">
        <v>44459.75</v>
      </c>
      <c r="C521" s="6">
        <f t="shared" si="24"/>
        <v>-2.9640851929036028E-2</v>
      </c>
      <c r="D521" s="7">
        <f t="shared" si="25"/>
        <v>-2.5775633428241451</v>
      </c>
      <c r="E521" s="8">
        <f t="shared" si="26"/>
        <v>-4.2407201526829494</v>
      </c>
    </row>
    <row r="522" spans="1:5" x14ac:dyDescent="0.2">
      <c r="A522" s="1">
        <v>42374</v>
      </c>
      <c r="B522">
        <v>44673.09</v>
      </c>
      <c r="C522" s="6">
        <f t="shared" si="24"/>
        <v>4.7870214255611191E-3</v>
      </c>
      <c r="D522" s="7">
        <f t="shared" si="25"/>
        <v>0.3932007533537783</v>
      </c>
      <c r="E522" s="8">
        <f t="shared" si="26"/>
        <v>-0.8484712028313639</v>
      </c>
    </row>
    <row r="523" spans="1:5" x14ac:dyDescent="0.2">
      <c r="A523" s="1">
        <v>42375</v>
      </c>
      <c r="B523">
        <v>44150.46</v>
      </c>
      <c r="C523" s="6">
        <f t="shared" si="24"/>
        <v>-1.1767960892124634E-2</v>
      </c>
      <c r="D523" s="7">
        <f t="shared" si="25"/>
        <v>-1.0353204502562059</v>
      </c>
      <c r="E523" s="8">
        <f t="shared" si="26"/>
        <v>-1.6556586699463258</v>
      </c>
    </row>
    <row r="524" spans="1:5" x14ac:dyDescent="0.2">
      <c r="A524" s="1">
        <v>42376</v>
      </c>
      <c r="B524">
        <v>43186.36</v>
      </c>
      <c r="C524" s="6">
        <f t="shared" si="24"/>
        <v>-2.2078641369017452E-2</v>
      </c>
      <c r="D524" s="7">
        <f t="shared" si="25"/>
        <v>-1.9250239487101919</v>
      </c>
      <c r="E524" s="8">
        <f t="shared" si="26"/>
        <v>-3.1707979738601737</v>
      </c>
    </row>
    <row r="525" spans="1:5" x14ac:dyDescent="0.2">
      <c r="A525" s="1">
        <v>42377</v>
      </c>
      <c r="B525">
        <v>43253.3</v>
      </c>
      <c r="C525" s="6">
        <f t="shared" si="24"/>
        <v>1.5488263924606927E-3</v>
      </c>
      <c r="D525" s="7">
        <f t="shared" si="25"/>
        <v>0.11377851191370736</v>
      </c>
      <c r="E525" s="8">
        <f t="shared" si="26"/>
        <v>-0.7000202020206715</v>
      </c>
    </row>
    <row r="526" spans="1:5" x14ac:dyDescent="0.2">
      <c r="A526" s="1">
        <v>42380</v>
      </c>
      <c r="B526">
        <v>43482.54</v>
      </c>
      <c r="C526" s="6">
        <f t="shared" si="24"/>
        <v>5.2859471648748777E-3</v>
      </c>
      <c r="D526" s="7">
        <f t="shared" si="25"/>
        <v>0.43625280765135876</v>
      </c>
      <c r="E526" s="8">
        <f t="shared" si="26"/>
        <v>-0.88467802299304721</v>
      </c>
    </row>
    <row r="527" spans="1:5" x14ac:dyDescent="0.2">
      <c r="A527" s="1">
        <v>42381</v>
      </c>
      <c r="B527">
        <v>43489.37</v>
      </c>
      <c r="C527" s="6">
        <f t="shared" si="24"/>
        <v>1.5706220580975695E-4</v>
      </c>
      <c r="D527" s="7">
        <f t="shared" si="25"/>
        <v>-6.3161286545221507E-3</v>
      </c>
      <c r="E527" s="8">
        <f t="shared" si="26"/>
        <v>-0.68609492113131132</v>
      </c>
    </row>
    <row r="528" spans="1:5" x14ac:dyDescent="0.2">
      <c r="A528" s="1">
        <v>42382</v>
      </c>
      <c r="B528">
        <v>43422.42</v>
      </c>
      <c r="C528" s="6">
        <f t="shared" si="24"/>
        <v>-1.5406428343635349E-3</v>
      </c>
      <c r="D528" s="7">
        <f t="shared" si="25"/>
        <v>-0.152810253554446</v>
      </c>
      <c r="E528" s="8">
        <f t="shared" si="26"/>
        <v>-0.71119731306238565</v>
      </c>
    </row>
    <row r="529" spans="1:5" x14ac:dyDescent="0.2">
      <c r="A529" s="1">
        <v>42383</v>
      </c>
      <c r="B529">
        <v>42741.46</v>
      </c>
      <c r="C529" s="6">
        <f t="shared" si="24"/>
        <v>-1.5806488236506697E-2</v>
      </c>
      <c r="D529" s="7">
        <f t="shared" si="25"/>
        <v>-1.3838029694217697</v>
      </c>
      <c r="E529" s="8">
        <f t="shared" si="26"/>
        <v>-2.2352024379799427</v>
      </c>
    </row>
    <row r="530" spans="1:5" x14ac:dyDescent="0.2">
      <c r="A530" s="1">
        <v>42384</v>
      </c>
      <c r="B530">
        <v>42105</v>
      </c>
      <c r="C530" s="6">
        <f t="shared" si="24"/>
        <v>-1.5002910863040852E-2</v>
      </c>
      <c r="D530" s="7">
        <f t="shared" si="25"/>
        <v>-1.3144626768917775</v>
      </c>
      <c r="E530" s="8">
        <f t="shared" si="26"/>
        <v>-2.1165755647959363</v>
      </c>
    </row>
    <row r="531" spans="1:5" x14ac:dyDescent="0.2">
      <c r="A531" s="1">
        <v>42387</v>
      </c>
      <c r="B531">
        <v>42093.4</v>
      </c>
      <c r="C531" s="6">
        <f t="shared" si="24"/>
        <v>-2.7553967945685443E-4</v>
      </c>
      <c r="D531" s="7">
        <f t="shared" si="25"/>
        <v>-4.3645130520311909E-2</v>
      </c>
      <c r="E531" s="8">
        <f t="shared" si="26"/>
        <v>-0.68811157404800771</v>
      </c>
    </row>
    <row r="532" spans="1:5" x14ac:dyDescent="0.2">
      <c r="A532" s="1">
        <v>42388</v>
      </c>
      <c r="B532">
        <v>42872.39</v>
      </c>
      <c r="C532" s="6">
        <f t="shared" si="24"/>
        <v>1.8337070195100964E-2</v>
      </c>
      <c r="D532" s="7">
        <f t="shared" si="25"/>
        <v>1.5624277332315148</v>
      </c>
      <c r="E532" s="8">
        <f t="shared" si="26"/>
        <v>-2.5441231621310423</v>
      </c>
    </row>
    <row r="533" spans="1:5" x14ac:dyDescent="0.2">
      <c r="A533" s="1">
        <v>42389</v>
      </c>
      <c r="B533">
        <v>41610.78</v>
      </c>
      <c r="C533" s="6">
        <f t="shared" si="24"/>
        <v>-2.9868760684572709E-2</v>
      </c>
      <c r="D533" s="7">
        <f t="shared" si="25"/>
        <v>-2.5972294761684678</v>
      </c>
      <c r="E533" s="8">
        <f t="shared" si="26"/>
        <v>-4.2713309824447911</v>
      </c>
    </row>
    <row r="534" spans="1:5" x14ac:dyDescent="0.2">
      <c r="A534" s="1">
        <v>42390</v>
      </c>
      <c r="B534">
        <v>41543.660000000003</v>
      </c>
      <c r="C534" s="6">
        <f t="shared" si="24"/>
        <v>-1.6143458984715624E-3</v>
      </c>
      <c r="D534" s="7">
        <f t="shared" si="25"/>
        <v>-0.15917005435815118</v>
      </c>
      <c r="E534" s="8">
        <f t="shared" si="26"/>
        <v>-0.71332351786639747</v>
      </c>
    </row>
    <row r="535" spans="1:5" x14ac:dyDescent="0.2">
      <c r="A535" s="1">
        <v>42391</v>
      </c>
      <c r="B535">
        <v>42952.57</v>
      </c>
      <c r="C535" s="6">
        <f t="shared" si="24"/>
        <v>3.3351561245336329E-2</v>
      </c>
      <c r="D535" s="7">
        <f t="shared" si="25"/>
        <v>2.8580207103233732</v>
      </c>
      <c r="E535" s="8">
        <f t="shared" si="26"/>
        <v>-4.6674170094600749</v>
      </c>
    </row>
    <row r="536" spans="1:5" x14ac:dyDescent="0.2">
      <c r="A536" s="1">
        <v>42394</v>
      </c>
      <c r="B536">
        <v>42413.33</v>
      </c>
      <c r="C536" s="6">
        <f t="shared" si="24"/>
        <v>-1.2633784038699044E-2</v>
      </c>
      <c r="D536" s="7">
        <f t="shared" si="25"/>
        <v>-1.1100318996388205</v>
      </c>
      <c r="E536" s="8">
        <f t="shared" si="26"/>
        <v>-1.7755167613283518</v>
      </c>
    </row>
    <row r="537" spans="1:5" x14ac:dyDescent="0.2">
      <c r="A537" s="1">
        <v>42395</v>
      </c>
      <c r="B537">
        <v>42625.8</v>
      </c>
      <c r="C537" s="6">
        <f t="shared" si="24"/>
        <v>4.9970041348110237E-3</v>
      </c>
      <c r="D537" s="7">
        <f t="shared" si="25"/>
        <v>0.41132005706541713</v>
      </c>
      <c r="E537" s="8">
        <f t="shared" si="26"/>
        <v>-0.86330831568202882</v>
      </c>
    </row>
    <row r="538" spans="1:5" x14ac:dyDescent="0.2">
      <c r="A538" s="1">
        <v>42396</v>
      </c>
      <c r="B538">
        <v>42938.94</v>
      </c>
      <c r="C538" s="6">
        <f t="shared" si="24"/>
        <v>7.3194027821117495E-3</v>
      </c>
      <c r="D538" s="7">
        <f t="shared" si="25"/>
        <v>0.61171868312495881</v>
      </c>
      <c r="E538" s="8">
        <f t="shared" si="26"/>
        <v>-1.0640248931352776</v>
      </c>
    </row>
    <row r="539" spans="1:5" x14ac:dyDescent="0.2">
      <c r="A539" s="1">
        <v>42397</v>
      </c>
      <c r="B539">
        <v>43746.33</v>
      </c>
      <c r="C539" s="6">
        <f t="shared" si="24"/>
        <v>1.8628617032618942E-2</v>
      </c>
      <c r="D539" s="7">
        <f t="shared" si="25"/>
        <v>1.5875851650697197</v>
      </c>
      <c r="E539" s="8">
        <f t="shared" si="26"/>
        <v>-2.5878133352229971</v>
      </c>
    </row>
    <row r="540" spans="1:5" x14ac:dyDescent="0.2">
      <c r="A540" s="1">
        <v>42398</v>
      </c>
      <c r="B540">
        <v>44065.55</v>
      </c>
      <c r="C540" s="6">
        <f t="shared" si="24"/>
        <v>7.2705744643253075E-3</v>
      </c>
      <c r="D540" s="7">
        <f t="shared" si="25"/>
        <v>0.60750531182947742</v>
      </c>
      <c r="E540" s="8">
        <f t="shared" si="26"/>
        <v>-1.0591680342132235</v>
      </c>
    </row>
    <row r="541" spans="1:5" x14ac:dyDescent="0.2">
      <c r="A541" s="1">
        <v>42401</v>
      </c>
      <c r="B541">
        <v>43881.35</v>
      </c>
      <c r="C541" s="6">
        <f t="shared" si="24"/>
        <v>-4.1888973765817194E-3</v>
      </c>
      <c r="D541" s="7">
        <f t="shared" si="25"/>
        <v>-0.38132682297860299</v>
      </c>
      <c r="E541" s="8">
        <f t="shared" si="26"/>
        <v>-0.83906987316842629</v>
      </c>
    </row>
    <row r="542" spans="1:5" x14ac:dyDescent="0.2">
      <c r="A542" s="1">
        <v>42402</v>
      </c>
      <c r="B542">
        <v>42972.08</v>
      </c>
      <c r="C542" s="6">
        <f t="shared" si="24"/>
        <v>-2.0938798178543574E-2</v>
      </c>
      <c r="D542" s="7">
        <f t="shared" si="25"/>
        <v>-1.8266674458075656</v>
      </c>
      <c r="E542" s="8">
        <f t="shared" si="26"/>
        <v>-3.0020102252398964</v>
      </c>
    </row>
    <row r="543" spans="1:5" x14ac:dyDescent="0.2">
      <c r="A543" s="1">
        <v>42403</v>
      </c>
      <c r="B543">
        <v>43447.44</v>
      </c>
      <c r="C543" s="6">
        <f t="shared" si="24"/>
        <v>1.1001329198822591E-2</v>
      </c>
      <c r="D543" s="7">
        <f t="shared" si="25"/>
        <v>0.92943028531641503</v>
      </c>
      <c r="E543" s="8">
        <f t="shared" si="26"/>
        <v>-1.4919810882465721</v>
      </c>
    </row>
    <row r="544" spans="1:5" x14ac:dyDescent="0.2">
      <c r="A544" s="1">
        <v>42404</v>
      </c>
      <c r="B544">
        <v>44292.35</v>
      </c>
      <c r="C544" s="6">
        <f t="shared" si="24"/>
        <v>1.9260044230100738E-2</v>
      </c>
      <c r="D544" s="7">
        <f t="shared" si="25"/>
        <v>1.642070704397367</v>
      </c>
      <c r="E544" s="8">
        <f t="shared" si="26"/>
        <v>-2.6824495663202912</v>
      </c>
    </row>
    <row r="545" spans="1:5" x14ac:dyDescent="0.2">
      <c r="A545" s="1">
        <v>42405</v>
      </c>
      <c r="B545">
        <v>44453.51</v>
      </c>
      <c r="C545" s="6">
        <f t="shared" si="24"/>
        <v>3.6319480628328516E-3</v>
      </c>
      <c r="D545" s="7">
        <f t="shared" si="25"/>
        <v>0.29353004645005271</v>
      </c>
      <c r="E545" s="8">
        <f t="shared" si="26"/>
        <v>-0.77772943246203785</v>
      </c>
    </row>
    <row r="546" spans="1:5" x14ac:dyDescent="0.2">
      <c r="A546" s="1">
        <v>42408</v>
      </c>
      <c r="B546">
        <v>43998.31</v>
      </c>
      <c r="C546" s="6">
        <f t="shared" si="24"/>
        <v>-1.0292699881986804E-2</v>
      </c>
      <c r="D546" s="7">
        <f t="shared" si="25"/>
        <v>-0.90802091025068221</v>
      </c>
      <c r="E546" s="8">
        <f t="shared" si="26"/>
        <v>-1.4599225268527005</v>
      </c>
    </row>
    <row r="547" spans="1:5" x14ac:dyDescent="0.2">
      <c r="A547" s="1">
        <v>42409</v>
      </c>
      <c r="B547">
        <v>42975.42</v>
      </c>
      <c r="C547" s="6">
        <f t="shared" si="24"/>
        <v>-2.3522899744638542E-2</v>
      </c>
      <c r="D547" s="7">
        <f t="shared" si="25"/>
        <v>-2.0496482867780115</v>
      </c>
      <c r="E547" s="8">
        <f t="shared" si="26"/>
        <v>-3.3824204667960185</v>
      </c>
    </row>
    <row r="548" spans="1:5" x14ac:dyDescent="0.2">
      <c r="A548" s="1">
        <v>42410</v>
      </c>
      <c r="B548">
        <v>43007.47</v>
      </c>
      <c r="C548" s="6">
        <f t="shared" si="24"/>
        <v>7.454971909960494E-4</v>
      </c>
      <c r="D548" s="7">
        <f t="shared" si="25"/>
        <v>4.4459634022465916E-2</v>
      </c>
      <c r="E548" s="8">
        <f t="shared" si="26"/>
        <v>-0.68818914171507151</v>
      </c>
    </row>
    <row r="549" spans="1:5" x14ac:dyDescent="0.2">
      <c r="A549" s="1">
        <v>42411</v>
      </c>
      <c r="B549">
        <v>42054.18</v>
      </c>
      <c r="C549" s="6">
        <f t="shared" si="24"/>
        <v>-2.2415034587821785E-2</v>
      </c>
      <c r="D549" s="7">
        <f t="shared" si="25"/>
        <v>-1.9540511525205659</v>
      </c>
      <c r="E549" s="8">
        <f t="shared" si="26"/>
        <v>-3.2203325144269104</v>
      </c>
    </row>
    <row r="550" spans="1:5" x14ac:dyDescent="0.2">
      <c r="A550" s="1">
        <v>42412</v>
      </c>
      <c r="B550">
        <v>43119.66</v>
      </c>
      <c r="C550" s="6">
        <f t="shared" si="24"/>
        <v>2.5020254649244761E-2</v>
      </c>
      <c r="D550" s="7">
        <f t="shared" si="25"/>
        <v>2.1391164011609187</v>
      </c>
      <c r="E550" s="8">
        <f t="shared" si="26"/>
        <v>-3.5324944285052187</v>
      </c>
    </row>
    <row r="551" spans="1:5" x14ac:dyDescent="0.2">
      <c r="A551" s="1">
        <v>42415</v>
      </c>
      <c r="B551">
        <v>44379.1</v>
      </c>
      <c r="C551" s="6">
        <f t="shared" si="24"/>
        <v>2.8789596296196009E-2</v>
      </c>
      <c r="D551" s="7">
        <f t="shared" si="25"/>
        <v>2.4643710201626958</v>
      </c>
      <c r="E551" s="8">
        <f t="shared" si="26"/>
        <v>-4.0625396407569259</v>
      </c>
    </row>
    <row r="552" spans="1:5" x14ac:dyDescent="0.2">
      <c r="A552" s="1">
        <v>42416</v>
      </c>
      <c r="B552">
        <v>43951.37</v>
      </c>
      <c r="C552" s="6">
        <f t="shared" si="24"/>
        <v>-9.6848424622038194E-3</v>
      </c>
      <c r="D552" s="7">
        <f t="shared" si="25"/>
        <v>-0.85556919533679798</v>
      </c>
      <c r="E552" s="8">
        <f t="shared" si="26"/>
        <v>-1.3830536931711972</v>
      </c>
    </row>
    <row r="553" spans="1:5" x14ac:dyDescent="0.2">
      <c r="A553" s="1">
        <v>42417</v>
      </c>
      <c r="B553">
        <v>44591.74</v>
      </c>
      <c r="C553" s="6">
        <f t="shared" si="24"/>
        <v>1.4464844648849713E-2</v>
      </c>
      <c r="D553" s="7">
        <f t="shared" si="25"/>
        <v>1.2282953136474248</v>
      </c>
      <c r="E553" s="8">
        <f t="shared" si="26"/>
        <v>-1.9709229560909802</v>
      </c>
    </row>
    <row r="554" spans="1:5" x14ac:dyDescent="0.2">
      <c r="A554" s="1">
        <v>42418</v>
      </c>
      <c r="B554">
        <v>44461.24</v>
      </c>
      <c r="C554" s="6">
        <f t="shared" si="24"/>
        <v>-2.9308416947848976E-3</v>
      </c>
      <c r="D554" s="7">
        <f t="shared" si="25"/>
        <v>-0.27276982289960794</v>
      </c>
      <c r="E554" s="8">
        <f t="shared" si="26"/>
        <v>-0.76539613848859089</v>
      </c>
    </row>
    <row r="555" spans="1:5" x14ac:dyDescent="0.2">
      <c r="A555" s="1">
        <v>42419</v>
      </c>
      <c r="B555">
        <v>43474.46</v>
      </c>
      <c r="C555" s="6">
        <f t="shared" si="24"/>
        <v>-2.2444159153905109E-2</v>
      </c>
      <c r="D555" s="7">
        <f t="shared" si="25"/>
        <v>-1.9565642968657293</v>
      </c>
      <c r="E555" s="8">
        <f t="shared" si="26"/>
        <v>-3.2246145798569716</v>
      </c>
    </row>
    <row r="556" spans="1:5" x14ac:dyDescent="0.2">
      <c r="A556" s="1">
        <v>42422</v>
      </c>
      <c r="B556">
        <v>43694.03</v>
      </c>
      <c r="C556" s="6">
        <f t="shared" si="24"/>
        <v>5.037840265153793E-3</v>
      </c>
      <c r="D556" s="7">
        <f t="shared" si="25"/>
        <v>0.41484378647500447</v>
      </c>
      <c r="E556" s="8">
        <f t="shared" si="26"/>
        <v>-0.8662619370378043</v>
      </c>
    </row>
    <row r="557" spans="1:5" x14ac:dyDescent="0.2">
      <c r="A557" s="1">
        <v>42423</v>
      </c>
      <c r="B557">
        <v>42949.32</v>
      </c>
      <c r="C557" s="6">
        <f t="shared" si="24"/>
        <v>-1.7190663555072056E-2</v>
      </c>
      <c r="D557" s="7">
        <f t="shared" si="25"/>
        <v>-1.5032427703312421</v>
      </c>
      <c r="E557" s="8">
        <f t="shared" si="26"/>
        <v>-2.4414356817049727</v>
      </c>
    </row>
    <row r="558" spans="1:5" x14ac:dyDescent="0.2">
      <c r="A558" s="1">
        <v>42424</v>
      </c>
      <c r="B558">
        <v>42452.61</v>
      </c>
      <c r="C558" s="6">
        <f t="shared" si="24"/>
        <v>-1.1632420975491565E-2</v>
      </c>
      <c r="D558" s="7">
        <f t="shared" si="25"/>
        <v>-1.0236247781539758</v>
      </c>
      <c r="E558" s="8">
        <f t="shared" si="26"/>
        <v>-1.6371977903299433</v>
      </c>
    </row>
    <row r="559" spans="1:5" x14ac:dyDescent="0.2">
      <c r="A559" s="1">
        <v>42425</v>
      </c>
      <c r="B559">
        <v>42742.91</v>
      </c>
      <c r="C559" s="6">
        <f t="shared" si="24"/>
        <v>6.8149387090339396E-3</v>
      </c>
      <c r="D559" s="7">
        <f t="shared" si="25"/>
        <v>0.5681887287570071</v>
      </c>
      <c r="E559" s="8">
        <f t="shared" si="26"/>
        <v>-1.0150802525945422</v>
      </c>
    </row>
    <row r="560" spans="1:5" x14ac:dyDescent="0.2">
      <c r="A560" s="1">
        <v>42426</v>
      </c>
      <c r="B560">
        <v>43857.79</v>
      </c>
      <c r="C560" s="6">
        <f t="shared" si="24"/>
        <v>2.5749020448084869E-2</v>
      </c>
      <c r="D560" s="7">
        <f t="shared" si="25"/>
        <v>2.2020012400650772</v>
      </c>
      <c r="E560" s="8">
        <f t="shared" si="26"/>
        <v>-3.6369449730277146</v>
      </c>
    </row>
    <row r="561" spans="1:5" x14ac:dyDescent="0.2">
      <c r="A561" s="1">
        <v>42429</v>
      </c>
      <c r="B561">
        <v>43802.559999999998</v>
      </c>
      <c r="C561" s="6">
        <f t="shared" si="24"/>
        <v>-1.260090960348347E-3</v>
      </c>
      <c r="D561" s="7">
        <f t="shared" si="25"/>
        <v>-0.12860157165721048</v>
      </c>
      <c r="E561" s="8">
        <f t="shared" si="26"/>
        <v>-0.70388453144997332</v>
      </c>
    </row>
    <row r="562" spans="1:5" x14ac:dyDescent="0.2">
      <c r="A562" s="1">
        <v>42430</v>
      </c>
      <c r="B562">
        <v>44620.53</v>
      </c>
      <c r="C562" s="6">
        <f t="shared" si="24"/>
        <v>1.8501803852423334E-2</v>
      </c>
      <c r="D562" s="7">
        <f t="shared" si="25"/>
        <v>1.5766425187213082</v>
      </c>
      <c r="E562" s="8">
        <f t="shared" si="26"/>
        <v>-2.56880793185511</v>
      </c>
    </row>
    <row r="563" spans="1:5" x14ac:dyDescent="0.2">
      <c r="A563" s="1">
        <v>42431</v>
      </c>
      <c r="B563">
        <v>45266.3</v>
      </c>
      <c r="C563" s="6">
        <f t="shared" si="24"/>
        <v>1.4368759260984024E-2</v>
      </c>
      <c r="D563" s="7">
        <f t="shared" si="25"/>
        <v>1.2200041532408934</v>
      </c>
      <c r="E563" s="8">
        <f t="shared" si="26"/>
        <v>-1.9570356029317786</v>
      </c>
    </row>
    <row r="564" spans="1:5" x14ac:dyDescent="0.2">
      <c r="A564" s="1">
        <v>42432</v>
      </c>
      <c r="B564">
        <v>45946.02</v>
      </c>
      <c r="C564" s="6">
        <f t="shared" si="24"/>
        <v>1.490440288708547E-2</v>
      </c>
      <c r="D564" s="7">
        <f t="shared" si="25"/>
        <v>1.2662245757566584</v>
      </c>
      <c r="E564" s="8">
        <f t="shared" si="26"/>
        <v>-2.0347553926414617</v>
      </c>
    </row>
    <row r="565" spans="1:5" x14ac:dyDescent="0.2">
      <c r="A565" s="1">
        <v>42433</v>
      </c>
      <c r="B565">
        <v>46224.71</v>
      </c>
      <c r="C565" s="6">
        <f t="shared" si="24"/>
        <v>6.0472744285804039E-3</v>
      </c>
      <c r="D565" s="7">
        <f t="shared" si="25"/>
        <v>0.50194735918995248</v>
      </c>
      <c r="E565" s="8">
        <f t="shared" si="26"/>
        <v>-0.94608591566020328</v>
      </c>
    </row>
    <row r="566" spans="1:5" x14ac:dyDescent="0.2">
      <c r="A566" s="1">
        <v>42436</v>
      </c>
      <c r="B566">
        <v>46601.06</v>
      </c>
      <c r="C566" s="6">
        <f t="shared" si="24"/>
        <v>8.1087840619415083E-3</v>
      </c>
      <c r="D566" s="7">
        <f t="shared" si="25"/>
        <v>0.67983400178434072</v>
      </c>
      <c r="E566" s="8">
        <f t="shared" si="26"/>
        <v>-1.1459147925661215</v>
      </c>
    </row>
    <row r="567" spans="1:5" x14ac:dyDescent="0.2">
      <c r="A567" s="1">
        <v>42437</v>
      </c>
      <c r="B567">
        <v>46229.48</v>
      </c>
      <c r="C567" s="6">
        <f t="shared" si="24"/>
        <v>-8.0055978244277983E-3</v>
      </c>
      <c r="D567" s="7">
        <f t="shared" si="25"/>
        <v>-0.71066800939299135</v>
      </c>
      <c r="E567" s="8">
        <f t="shared" si="26"/>
        <v>-1.1849693263702603</v>
      </c>
    </row>
    <row r="568" spans="1:5" x14ac:dyDescent="0.2">
      <c r="A568" s="1">
        <v>42438</v>
      </c>
      <c r="B568">
        <v>45617.97</v>
      </c>
      <c r="C568" s="6">
        <f t="shared" si="24"/>
        <v>-1.3315971990589688E-2</v>
      </c>
      <c r="D568" s="7">
        <f t="shared" si="25"/>
        <v>-1.1688975592585211</v>
      </c>
      <c r="E568" s="8">
        <f t="shared" si="26"/>
        <v>-1.8720200982096675</v>
      </c>
    </row>
    <row r="569" spans="1:5" x14ac:dyDescent="0.2">
      <c r="A569" s="1">
        <v>42439</v>
      </c>
      <c r="B569">
        <v>45548.160000000003</v>
      </c>
      <c r="C569" s="6">
        <f t="shared" si="24"/>
        <v>-1.5314901190765012E-3</v>
      </c>
      <c r="D569" s="7">
        <f t="shared" si="25"/>
        <v>-0.15202047029722288</v>
      </c>
      <c r="E569" s="8">
        <f t="shared" si="26"/>
        <v>-0.7109392138438122</v>
      </c>
    </row>
    <row r="570" spans="1:5" x14ac:dyDescent="0.2">
      <c r="A570" s="1">
        <v>42440</v>
      </c>
      <c r="B570">
        <v>45761.25</v>
      </c>
      <c r="C570" s="6">
        <f t="shared" si="24"/>
        <v>4.6674354121040229E-3</v>
      </c>
      <c r="D570" s="7">
        <f t="shared" si="25"/>
        <v>0.38288173563449324</v>
      </c>
      <c r="E570" s="8">
        <f t="shared" si="26"/>
        <v>-0.84028637618657354</v>
      </c>
    </row>
    <row r="571" spans="1:5" x14ac:dyDescent="0.2">
      <c r="A571" s="1">
        <v>42443</v>
      </c>
      <c r="B571">
        <v>46555.55</v>
      </c>
      <c r="C571" s="6">
        <f t="shared" si="24"/>
        <v>1.7208560122147162E-2</v>
      </c>
      <c r="D571" s="7">
        <f t="shared" si="25"/>
        <v>1.4650491594120947</v>
      </c>
      <c r="E571" s="8">
        <f t="shared" si="26"/>
        <v>-2.375300078556458</v>
      </c>
    </row>
    <row r="572" spans="1:5" x14ac:dyDescent="0.2">
      <c r="A572" s="1">
        <v>42444</v>
      </c>
      <c r="B572">
        <v>46393.77</v>
      </c>
      <c r="C572" s="6">
        <f t="shared" si="24"/>
        <v>-3.4810402779917819E-3</v>
      </c>
      <c r="D572" s="7">
        <f t="shared" si="25"/>
        <v>-0.32024618543655553</v>
      </c>
      <c r="E572" s="8">
        <f t="shared" si="26"/>
        <v>-0.79484107586481934</v>
      </c>
    </row>
    <row r="573" spans="1:5" x14ac:dyDescent="0.2">
      <c r="A573" s="1">
        <v>42445</v>
      </c>
      <c r="B573">
        <v>46825.9</v>
      </c>
      <c r="C573" s="6">
        <f t="shared" si="24"/>
        <v>9.2712856711323031E-3</v>
      </c>
      <c r="D573" s="7">
        <f t="shared" si="25"/>
        <v>0.78014568838672926</v>
      </c>
      <c r="E573" s="8">
        <f t="shared" si="26"/>
        <v>-1.2771219630498352</v>
      </c>
    </row>
    <row r="574" spans="1:5" x14ac:dyDescent="0.2">
      <c r="A574" s="1">
        <v>42446</v>
      </c>
      <c r="B574">
        <v>47169.67</v>
      </c>
      <c r="C574" s="6">
        <f t="shared" si="24"/>
        <v>7.3146326523728768E-3</v>
      </c>
      <c r="D574" s="7">
        <f t="shared" si="25"/>
        <v>0.61130707099845893</v>
      </c>
      <c r="E574" s="8">
        <f t="shared" si="26"/>
        <v>-1.0635493115967412</v>
      </c>
    </row>
    <row r="575" spans="1:5" x14ac:dyDescent="0.2">
      <c r="A575" s="1">
        <v>42447</v>
      </c>
      <c r="B575">
        <v>47812.41</v>
      </c>
      <c r="C575" s="6">
        <f t="shared" si="24"/>
        <v>1.3534127932359714E-2</v>
      </c>
      <c r="D575" s="7">
        <f t="shared" si="25"/>
        <v>1.1479842303405063</v>
      </c>
      <c r="E575" s="8">
        <f t="shared" si="26"/>
        <v>-1.8375481212934965</v>
      </c>
    </row>
    <row r="576" spans="1:5" x14ac:dyDescent="0.2">
      <c r="A576" s="1">
        <v>42451</v>
      </c>
      <c r="B576">
        <v>47319.37</v>
      </c>
      <c r="C576" s="6">
        <f t="shared" si="24"/>
        <v>-1.0365503819950108E-2</v>
      </c>
      <c r="D576" s="7">
        <f t="shared" si="25"/>
        <v>-0.91430312590583152</v>
      </c>
      <c r="E576" s="8">
        <f t="shared" si="26"/>
        <v>-1.4692901920149732</v>
      </c>
    </row>
    <row r="577" spans="1:5" x14ac:dyDescent="0.2">
      <c r="A577" s="1">
        <v>42452</v>
      </c>
      <c r="B577">
        <v>46613.13</v>
      </c>
      <c r="C577" s="6">
        <f t="shared" si="24"/>
        <v>-1.5037464310636685E-2</v>
      </c>
      <c r="D577" s="7">
        <f t="shared" si="25"/>
        <v>-1.3174442767268764</v>
      </c>
      <c r="E577" s="8">
        <f t="shared" si="26"/>
        <v>-2.1216537099797721</v>
      </c>
    </row>
    <row r="578" spans="1:5" x14ac:dyDescent="0.2">
      <c r="A578" s="1">
        <v>42453</v>
      </c>
      <c r="B578">
        <v>46349.01</v>
      </c>
      <c r="C578" s="6">
        <f t="shared" si="24"/>
        <v>-5.682328541003292E-3</v>
      </c>
      <c r="D578" s="7">
        <f t="shared" si="25"/>
        <v>-0.51019425657465389</v>
      </c>
      <c r="E578" s="8">
        <f t="shared" si="26"/>
        <v>-0.95429925491429346</v>
      </c>
    </row>
    <row r="579" spans="1:5" x14ac:dyDescent="0.2">
      <c r="A579" s="1">
        <v>42458</v>
      </c>
      <c r="B579">
        <v>45819.28</v>
      </c>
      <c r="C579" s="6">
        <f t="shared" ref="C579:C642" si="27">LN(B579/B578)</f>
        <v>-1.149496932071953E-2</v>
      </c>
      <c r="D579" s="7">
        <f t="shared" ref="D579:D642" si="28">(C579-$G$4)/$G$5</f>
        <v>-1.0117641431170319</v>
      </c>
      <c r="E579" s="8">
        <f t="shared" ref="E579:E642" si="29">LN((PI()*(G$3-2))^(-1/2)*EXP(GAMMALN((G$3+1)/2))*((1+D579^2/(G$3-2))^(-(G$3+1)/2))/EXP(GAMMALN(G$3/2)))</f>
        <v>-1.6185672548051999</v>
      </c>
    </row>
    <row r="580" spans="1:5" x14ac:dyDescent="0.2">
      <c r="A580" s="1">
        <v>42459</v>
      </c>
      <c r="B580">
        <v>46422.66</v>
      </c>
      <c r="C580" s="6">
        <f t="shared" si="27"/>
        <v>1.3082738851497841E-2</v>
      </c>
      <c r="D580" s="7">
        <f t="shared" si="28"/>
        <v>1.1090340906958178</v>
      </c>
      <c r="E580" s="8">
        <f t="shared" si="29"/>
        <v>-1.7738955943205823</v>
      </c>
    </row>
    <row r="581" spans="1:5" x14ac:dyDescent="0.2">
      <c r="A581" s="1">
        <v>42460</v>
      </c>
      <c r="B581">
        <v>46139.99</v>
      </c>
      <c r="C581" s="6">
        <f t="shared" si="27"/>
        <v>-6.1076660773322642E-3</v>
      </c>
      <c r="D581" s="7">
        <f t="shared" si="28"/>
        <v>-0.54689642137781791</v>
      </c>
      <c r="E581" s="8">
        <f t="shared" si="29"/>
        <v>-0.99216108935853142</v>
      </c>
    </row>
    <row r="582" spans="1:5" x14ac:dyDescent="0.2">
      <c r="A582" s="1">
        <v>42461</v>
      </c>
      <c r="B582">
        <v>45485.3</v>
      </c>
      <c r="C582" s="6">
        <f t="shared" si="27"/>
        <v>-1.4290839180662668E-2</v>
      </c>
      <c r="D582" s="7">
        <f t="shared" si="28"/>
        <v>-1.2530183650074465</v>
      </c>
      <c r="E582" s="8">
        <f t="shared" si="29"/>
        <v>-2.0124760837728641</v>
      </c>
    </row>
    <row r="583" spans="1:5" x14ac:dyDescent="0.2">
      <c r="A583" s="1">
        <v>42464</v>
      </c>
      <c r="B583">
        <v>45772.49</v>
      </c>
      <c r="C583" s="6">
        <f t="shared" si="27"/>
        <v>6.2940587995736737E-3</v>
      </c>
      <c r="D583" s="7">
        <f t="shared" si="28"/>
        <v>0.52324226001910179</v>
      </c>
      <c r="E583" s="8">
        <f t="shared" si="29"/>
        <v>-0.96751668754728215</v>
      </c>
    </row>
    <row r="584" spans="1:5" x14ac:dyDescent="0.2">
      <c r="A584" s="1">
        <v>42465</v>
      </c>
      <c r="B584">
        <v>45112.97</v>
      </c>
      <c r="C584" s="6">
        <f t="shared" si="27"/>
        <v>-1.4513467319724775E-2</v>
      </c>
      <c r="D584" s="7">
        <f t="shared" si="28"/>
        <v>-1.2722288365783343</v>
      </c>
      <c r="E584" s="8">
        <f t="shared" si="29"/>
        <v>-2.0449028831500562</v>
      </c>
    </row>
    <row r="585" spans="1:5" x14ac:dyDescent="0.2">
      <c r="A585" s="1">
        <v>42466</v>
      </c>
      <c r="B585">
        <v>45084.42</v>
      </c>
      <c r="C585" s="6">
        <f t="shared" si="27"/>
        <v>-6.3305603307313245E-4</v>
      </c>
      <c r="D585" s="7">
        <f t="shared" si="28"/>
        <v>-7.4495039144652414E-2</v>
      </c>
      <c r="E585" s="8">
        <f t="shared" si="29"/>
        <v>-0.69204833798801701</v>
      </c>
    </row>
    <row r="586" spans="1:5" x14ac:dyDescent="0.2">
      <c r="A586" s="1">
        <v>42467</v>
      </c>
      <c r="B586">
        <v>45024.17</v>
      </c>
      <c r="C586" s="6">
        <f t="shared" si="27"/>
        <v>-1.3372755911236775E-3</v>
      </c>
      <c r="D586" s="7">
        <f t="shared" si="28"/>
        <v>-0.13526179511982189</v>
      </c>
      <c r="E586" s="8">
        <f t="shared" si="29"/>
        <v>-0.70577278120506792</v>
      </c>
    </row>
    <row r="587" spans="1:5" x14ac:dyDescent="0.2">
      <c r="A587" s="1">
        <v>42468</v>
      </c>
      <c r="B587">
        <v>45252.36</v>
      </c>
      <c r="C587" s="6">
        <f t="shared" si="27"/>
        <v>5.0553667931716095E-3</v>
      </c>
      <c r="D587" s="7">
        <f t="shared" si="28"/>
        <v>0.41635614187464559</v>
      </c>
      <c r="E587" s="8">
        <f t="shared" si="29"/>
        <v>-0.8675363679644631</v>
      </c>
    </row>
    <row r="588" spans="1:5" x14ac:dyDescent="0.2">
      <c r="A588" s="1">
        <v>42471</v>
      </c>
      <c r="B588">
        <v>45206.33</v>
      </c>
      <c r="C588" s="6">
        <f t="shared" si="27"/>
        <v>-1.0177022013659243E-3</v>
      </c>
      <c r="D588" s="7">
        <f t="shared" si="28"/>
        <v>-0.10768596600578115</v>
      </c>
      <c r="E588" s="8">
        <f t="shared" si="29"/>
        <v>-0.69856756804120668</v>
      </c>
    </row>
    <row r="589" spans="1:5" x14ac:dyDescent="0.2">
      <c r="A589" s="1">
        <v>42472</v>
      </c>
      <c r="B589">
        <v>45751.08</v>
      </c>
      <c r="C589" s="6">
        <f t="shared" si="27"/>
        <v>1.1978276719584149E-2</v>
      </c>
      <c r="D589" s="7">
        <f t="shared" si="28"/>
        <v>1.0137306017674435</v>
      </c>
      <c r="E589" s="8">
        <f t="shared" si="29"/>
        <v>-1.6216497126293012</v>
      </c>
    </row>
    <row r="590" spans="1:5" x14ac:dyDescent="0.2">
      <c r="A590" s="1">
        <v>42473</v>
      </c>
      <c r="B590">
        <v>46617.72</v>
      </c>
      <c r="C590" s="6">
        <f t="shared" si="27"/>
        <v>1.8765328362488159E-2</v>
      </c>
      <c r="D590" s="7">
        <f t="shared" si="28"/>
        <v>1.599381917838417</v>
      </c>
      <c r="E590" s="8">
        <f t="shared" si="29"/>
        <v>-2.6083038155760305</v>
      </c>
    </row>
    <row r="591" spans="1:5" x14ac:dyDescent="0.2">
      <c r="A591" s="1">
        <v>42474</v>
      </c>
      <c r="B591">
        <v>46551.55</v>
      </c>
      <c r="C591" s="6">
        <f t="shared" si="27"/>
        <v>-1.4204256645013562E-3</v>
      </c>
      <c r="D591" s="7">
        <f t="shared" si="28"/>
        <v>-0.14243677366237489</v>
      </c>
      <c r="E591" s="8">
        <f t="shared" si="29"/>
        <v>-0.70791208388263771</v>
      </c>
    </row>
    <row r="592" spans="1:5" x14ac:dyDescent="0.2">
      <c r="A592" s="1">
        <v>42475</v>
      </c>
      <c r="B592">
        <v>46763.08</v>
      </c>
      <c r="C592" s="6">
        <f t="shared" si="27"/>
        <v>4.5337019998582017E-3</v>
      </c>
      <c r="D592" s="7">
        <f t="shared" si="28"/>
        <v>0.37134194589879649</v>
      </c>
      <c r="E592" s="8">
        <f t="shared" si="29"/>
        <v>-0.83136374172826699</v>
      </c>
    </row>
    <row r="593" spans="1:5" x14ac:dyDescent="0.2">
      <c r="A593" s="1">
        <v>42478</v>
      </c>
      <c r="B593">
        <v>46879.92</v>
      </c>
      <c r="C593" s="6">
        <f t="shared" si="27"/>
        <v>2.4954360845374592E-3</v>
      </c>
      <c r="D593" s="7">
        <f t="shared" si="28"/>
        <v>0.19546099219215274</v>
      </c>
      <c r="E593" s="8">
        <f t="shared" si="29"/>
        <v>-0.72707573652921353</v>
      </c>
    </row>
    <row r="594" spans="1:5" x14ac:dyDescent="0.2">
      <c r="A594" s="1">
        <v>42479</v>
      </c>
      <c r="B594">
        <v>47025.18</v>
      </c>
      <c r="C594" s="6">
        <f t="shared" si="27"/>
        <v>3.0937641483049661E-3</v>
      </c>
      <c r="D594" s="7">
        <f t="shared" si="28"/>
        <v>0.24709042370738216</v>
      </c>
      <c r="E594" s="8">
        <f t="shared" si="29"/>
        <v>-0.75132505449955334</v>
      </c>
    </row>
    <row r="595" spans="1:5" x14ac:dyDescent="0.2">
      <c r="A595" s="1">
        <v>42480</v>
      </c>
      <c r="B595">
        <v>47271.51</v>
      </c>
      <c r="C595" s="6">
        <f t="shared" si="27"/>
        <v>5.2245855146011927E-3</v>
      </c>
      <c r="D595" s="7">
        <f t="shared" si="28"/>
        <v>0.4309579413191359</v>
      </c>
      <c r="E595" s="8">
        <f t="shared" si="29"/>
        <v>-0.88004857977589346</v>
      </c>
    </row>
    <row r="596" spans="1:5" x14ac:dyDescent="0.2">
      <c r="A596" s="1">
        <v>42481</v>
      </c>
      <c r="B596">
        <v>46845.77</v>
      </c>
      <c r="C596" s="6">
        <f t="shared" si="27"/>
        <v>-9.0470719910371884E-3</v>
      </c>
      <c r="D596" s="7">
        <f t="shared" si="28"/>
        <v>-0.80053629807271787</v>
      </c>
      <c r="E596" s="8">
        <f t="shared" si="29"/>
        <v>-1.3051874551321634</v>
      </c>
    </row>
    <row r="597" spans="1:5" x14ac:dyDescent="0.2">
      <c r="A597" s="1">
        <v>42482</v>
      </c>
      <c r="B597">
        <v>46505.48</v>
      </c>
      <c r="C597" s="6">
        <f t="shared" si="27"/>
        <v>-7.2905613425544788E-3</v>
      </c>
      <c r="D597" s="7">
        <f t="shared" si="28"/>
        <v>-0.6489678664324332</v>
      </c>
      <c r="E597" s="8">
        <f t="shared" si="29"/>
        <v>-1.108035495660004</v>
      </c>
    </row>
    <row r="598" spans="1:5" x14ac:dyDescent="0.2">
      <c r="A598" s="1">
        <v>42485</v>
      </c>
      <c r="B598">
        <v>46582.73</v>
      </c>
      <c r="C598" s="6">
        <f t="shared" si="27"/>
        <v>1.6597164717876763E-3</v>
      </c>
      <c r="D598" s="7">
        <f t="shared" si="28"/>
        <v>0.12334716179497968</v>
      </c>
      <c r="E598" s="8">
        <f t="shared" si="29"/>
        <v>-0.70246126743295201</v>
      </c>
    </row>
    <row r="599" spans="1:5" x14ac:dyDescent="0.2">
      <c r="A599" s="1">
        <v>42486</v>
      </c>
      <c r="B599">
        <v>46695.33</v>
      </c>
      <c r="C599" s="6">
        <f t="shared" si="27"/>
        <v>2.4142880907566206E-3</v>
      </c>
      <c r="D599" s="7">
        <f t="shared" si="28"/>
        <v>0.18845877210385342</v>
      </c>
      <c r="E599" s="8">
        <f t="shared" si="29"/>
        <v>-0.72420874077338959</v>
      </c>
    </row>
    <row r="600" spans="1:5" x14ac:dyDescent="0.2">
      <c r="A600" s="1">
        <v>42488</v>
      </c>
      <c r="B600">
        <v>46793.34</v>
      </c>
      <c r="C600" s="6">
        <f t="shared" si="27"/>
        <v>2.0967254300745465E-3</v>
      </c>
      <c r="D600" s="7">
        <f t="shared" si="28"/>
        <v>0.16105644780330045</v>
      </c>
      <c r="E600" s="8">
        <f t="shared" si="29"/>
        <v>-0.71397052350108947</v>
      </c>
    </row>
    <row r="601" spans="1:5" x14ac:dyDescent="0.2">
      <c r="A601" s="1">
        <v>42489</v>
      </c>
      <c r="B601">
        <v>46471</v>
      </c>
      <c r="C601" s="6">
        <f t="shared" si="27"/>
        <v>-6.9124229795043826E-3</v>
      </c>
      <c r="D601" s="7">
        <f t="shared" si="28"/>
        <v>-0.6163384948541647</v>
      </c>
      <c r="E601" s="8">
        <f t="shared" si="29"/>
        <v>-1.0693790387058772</v>
      </c>
    </row>
    <row r="602" spans="1:5" x14ac:dyDescent="0.2">
      <c r="A602" s="1">
        <v>42493</v>
      </c>
      <c r="B602">
        <v>45548.97</v>
      </c>
      <c r="C602" s="6">
        <f t="shared" si="27"/>
        <v>-2.0040451188509095E-2</v>
      </c>
      <c r="D602" s="7">
        <f t="shared" si="28"/>
        <v>-1.7491495301229019</v>
      </c>
      <c r="E602" s="8">
        <f t="shared" si="29"/>
        <v>-2.8681428993608913</v>
      </c>
    </row>
    <row r="603" spans="1:5" x14ac:dyDescent="0.2">
      <c r="A603" s="1">
        <v>42494</v>
      </c>
      <c r="B603">
        <v>45559.49</v>
      </c>
      <c r="C603" s="6">
        <f t="shared" si="27"/>
        <v>2.3093354989747069E-4</v>
      </c>
      <c r="D603" s="7">
        <f t="shared" si="28"/>
        <v>5.8192945068652277E-5</v>
      </c>
      <c r="E603" s="8">
        <f t="shared" si="29"/>
        <v>-0.68605177152472707</v>
      </c>
    </row>
    <row r="604" spans="1:5" x14ac:dyDescent="0.2">
      <c r="A604" s="1">
        <v>42495</v>
      </c>
      <c r="B604">
        <v>45623.48</v>
      </c>
      <c r="C604" s="6">
        <f t="shared" si="27"/>
        <v>1.4035517927263208E-3</v>
      </c>
      <c r="D604" s="7">
        <f t="shared" si="28"/>
        <v>0.10124283884054432</v>
      </c>
      <c r="E604" s="8">
        <f t="shared" si="29"/>
        <v>-0.6971175469873464</v>
      </c>
    </row>
    <row r="605" spans="1:5" x14ac:dyDescent="0.2">
      <c r="A605" s="1">
        <v>42496</v>
      </c>
      <c r="B605">
        <v>45101.87</v>
      </c>
      <c r="C605" s="6">
        <f t="shared" si="27"/>
        <v>-1.149878721552005E-2</v>
      </c>
      <c r="D605" s="7">
        <f t="shared" si="28"/>
        <v>-1.0120935873635455</v>
      </c>
      <c r="E605" s="8">
        <f t="shared" si="29"/>
        <v>-1.6190834844196078</v>
      </c>
    </row>
    <row r="606" spans="1:5" x14ac:dyDescent="0.2">
      <c r="A606" s="1">
        <v>42499</v>
      </c>
      <c r="B606">
        <v>45136.68</v>
      </c>
      <c r="C606" s="6">
        <f t="shared" si="27"/>
        <v>7.7151066205417037E-4</v>
      </c>
      <c r="D606" s="7">
        <f t="shared" si="28"/>
        <v>4.6704323522757406E-2</v>
      </c>
      <c r="E606" s="8">
        <f t="shared" si="29"/>
        <v>-0.68841032105946331</v>
      </c>
    </row>
    <row r="607" spans="1:5" x14ac:dyDescent="0.2">
      <c r="A607" s="1">
        <v>42500</v>
      </c>
      <c r="B607">
        <v>45707.25</v>
      </c>
      <c r="C607" s="6">
        <f t="shared" si="27"/>
        <v>1.2561708917939141E-2</v>
      </c>
      <c r="D607" s="7">
        <f t="shared" si="28"/>
        <v>1.0640746764529549</v>
      </c>
      <c r="E607" s="8">
        <f t="shared" si="29"/>
        <v>-1.7014070240693751</v>
      </c>
    </row>
    <row r="608" spans="1:5" x14ac:dyDescent="0.2">
      <c r="A608" s="1">
        <v>42501</v>
      </c>
      <c r="B608">
        <v>45839.69</v>
      </c>
      <c r="C608" s="6">
        <f t="shared" si="27"/>
        <v>2.8933810872356323E-3</v>
      </c>
      <c r="D608" s="7">
        <f t="shared" si="28"/>
        <v>0.2297994688704196</v>
      </c>
      <c r="E608" s="8">
        <f t="shared" si="29"/>
        <v>-0.74259798734958249</v>
      </c>
    </row>
    <row r="609" spans="1:5" x14ac:dyDescent="0.2">
      <c r="A609" s="1">
        <v>42502</v>
      </c>
      <c r="B609">
        <v>45190.3</v>
      </c>
      <c r="C609" s="6">
        <f t="shared" si="27"/>
        <v>-1.4267847692892965E-2</v>
      </c>
      <c r="D609" s="7">
        <f t="shared" si="28"/>
        <v>-1.2510344409445091</v>
      </c>
      <c r="E609" s="8">
        <f t="shared" si="29"/>
        <v>-2.0091339968562836</v>
      </c>
    </row>
    <row r="610" spans="1:5" x14ac:dyDescent="0.2">
      <c r="A610" s="1">
        <v>42503</v>
      </c>
      <c r="B610">
        <v>45403.15</v>
      </c>
      <c r="C610" s="6">
        <f t="shared" si="27"/>
        <v>4.6990238622879044E-3</v>
      </c>
      <c r="D610" s="7">
        <f t="shared" si="28"/>
        <v>0.3856074873152211</v>
      </c>
      <c r="E610" s="8">
        <f t="shared" si="29"/>
        <v>-0.8424295520255991</v>
      </c>
    </row>
    <row r="611" spans="1:5" x14ac:dyDescent="0.2">
      <c r="A611" s="1">
        <v>42506</v>
      </c>
      <c r="B611">
        <v>46258.34</v>
      </c>
      <c r="C611" s="6">
        <f t="shared" si="27"/>
        <v>1.8660286125974476E-2</v>
      </c>
      <c r="D611" s="7">
        <f t="shared" si="28"/>
        <v>1.5903178754096852</v>
      </c>
      <c r="E611" s="8">
        <f t="shared" si="29"/>
        <v>-2.5925598291640854</v>
      </c>
    </row>
    <row r="612" spans="1:5" x14ac:dyDescent="0.2">
      <c r="A612" s="1">
        <v>42507</v>
      </c>
      <c r="B612">
        <v>46393.38</v>
      </c>
      <c r="C612" s="6">
        <f t="shared" si="27"/>
        <v>2.9150046134576797E-3</v>
      </c>
      <c r="D612" s="7">
        <f t="shared" si="28"/>
        <v>0.23166535221068821</v>
      </c>
      <c r="E612" s="8">
        <f t="shared" si="29"/>
        <v>-0.74351055033443292</v>
      </c>
    </row>
    <row r="613" spans="1:5" x14ac:dyDescent="0.2">
      <c r="A613" s="1">
        <v>42508</v>
      </c>
      <c r="B613">
        <v>46636.41</v>
      </c>
      <c r="C613" s="6">
        <f t="shared" si="27"/>
        <v>5.2247898842122109E-3</v>
      </c>
      <c r="D613" s="7">
        <f t="shared" si="28"/>
        <v>0.43097557627138838</v>
      </c>
      <c r="E613" s="8">
        <f t="shared" si="29"/>
        <v>-0.8800639173412701</v>
      </c>
    </row>
    <row r="614" spans="1:5" x14ac:dyDescent="0.2">
      <c r="A614" s="1">
        <v>42509</v>
      </c>
      <c r="B614">
        <v>46312.800000000003</v>
      </c>
      <c r="C614" s="6">
        <f t="shared" si="27"/>
        <v>-6.9631857558328488E-3</v>
      </c>
      <c r="D614" s="7">
        <f t="shared" si="28"/>
        <v>-0.62071878961665783</v>
      </c>
      <c r="E614" s="8">
        <f t="shared" si="29"/>
        <v>-1.0744832221573344</v>
      </c>
    </row>
    <row r="615" spans="1:5" x14ac:dyDescent="0.2">
      <c r="A615" s="1">
        <v>42510</v>
      </c>
      <c r="B615">
        <v>46531.45</v>
      </c>
      <c r="C615" s="6">
        <f t="shared" si="27"/>
        <v>4.7100472936289087E-3</v>
      </c>
      <c r="D615" s="7">
        <f t="shared" si="28"/>
        <v>0.3865586937318139</v>
      </c>
      <c r="E615" s="8">
        <f t="shared" si="29"/>
        <v>-0.84318064546939686</v>
      </c>
    </row>
    <row r="616" spans="1:5" x14ac:dyDescent="0.2">
      <c r="A616" s="1">
        <v>42513</v>
      </c>
      <c r="B616">
        <v>46537.93</v>
      </c>
      <c r="C616" s="6">
        <f t="shared" si="27"/>
        <v>1.3925095472808828E-4</v>
      </c>
      <c r="D616" s="7">
        <f t="shared" si="28"/>
        <v>-7.8530526659602862E-3</v>
      </c>
      <c r="E616" s="8">
        <f t="shared" si="29"/>
        <v>-0.68611847724994701</v>
      </c>
    </row>
    <row r="617" spans="1:5" x14ac:dyDescent="0.2">
      <c r="A617" s="1">
        <v>42514</v>
      </c>
      <c r="B617">
        <v>47033.77</v>
      </c>
      <c r="C617" s="6">
        <f t="shared" si="27"/>
        <v>1.0598175326690808E-2</v>
      </c>
      <c r="D617" s="7">
        <f t="shared" si="28"/>
        <v>0.89464233788125114</v>
      </c>
      <c r="E617" s="8">
        <f t="shared" si="29"/>
        <v>-1.440084876373104</v>
      </c>
    </row>
    <row r="618" spans="1:5" x14ac:dyDescent="0.2">
      <c r="A618" s="1">
        <v>42515</v>
      </c>
      <c r="B618">
        <v>47727.26</v>
      </c>
      <c r="C618" s="6">
        <f t="shared" si="27"/>
        <v>1.4636868783384389E-2</v>
      </c>
      <c r="D618" s="7">
        <f t="shared" si="28"/>
        <v>1.2431391907956908</v>
      </c>
      <c r="E618" s="8">
        <f t="shared" si="29"/>
        <v>-1.9958467191180544</v>
      </c>
    </row>
    <row r="619" spans="1:5" x14ac:dyDescent="0.2">
      <c r="A619" s="1">
        <v>42516</v>
      </c>
      <c r="B619">
        <v>47835.75</v>
      </c>
      <c r="C619" s="6">
        <f t="shared" si="27"/>
        <v>2.2705447768728189E-3</v>
      </c>
      <c r="D619" s="7">
        <f t="shared" si="28"/>
        <v>0.17605523292635697</v>
      </c>
      <c r="E619" s="8">
        <f t="shared" si="29"/>
        <v>-0.71938026866777038</v>
      </c>
    </row>
    <row r="620" spans="1:5" x14ac:dyDescent="0.2">
      <c r="A620" s="1">
        <v>42517</v>
      </c>
      <c r="B620">
        <v>48069.78</v>
      </c>
      <c r="C620" s="6">
        <f t="shared" si="27"/>
        <v>4.8804373329336386E-3</v>
      </c>
      <c r="D620" s="7">
        <f t="shared" si="28"/>
        <v>0.40126156561411813</v>
      </c>
      <c r="E620" s="8">
        <f t="shared" si="29"/>
        <v>-0.85499905059691861</v>
      </c>
    </row>
    <row r="621" spans="1:5" x14ac:dyDescent="0.2">
      <c r="A621" s="1">
        <v>42520</v>
      </c>
      <c r="B621">
        <v>48447.6</v>
      </c>
      <c r="C621" s="6">
        <f t="shared" si="27"/>
        <v>7.8290962697739313E-3</v>
      </c>
      <c r="D621" s="7">
        <f t="shared" si="28"/>
        <v>0.6556998810806649</v>
      </c>
      <c r="E621" s="8">
        <f t="shared" si="29"/>
        <v>-1.116190452078559</v>
      </c>
    </row>
    <row r="622" spans="1:5" x14ac:dyDescent="0.2">
      <c r="A622" s="1">
        <v>42521</v>
      </c>
      <c r="B622">
        <v>47974.09</v>
      </c>
      <c r="C622" s="6">
        <f t="shared" si="27"/>
        <v>-9.8217280048775429E-3</v>
      </c>
      <c r="D622" s="7">
        <f t="shared" si="28"/>
        <v>-0.86738098084188864</v>
      </c>
      <c r="E622" s="8">
        <f t="shared" si="29"/>
        <v>-1.4001478537488699</v>
      </c>
    </row>
    <row r="623" spans="1:5" x14ac:dyDescent="0.2">
      <c r="A623" s="1">
        <v>42522</v>
      </c>
      <c r="B623">
        <v>47510.07</v>
      </c>
      <c r="C623" s="6">
        <f t="shared" si="27"/>
        <v>-9.7193849294829205E-3</v>
      </c>
      <c r="D623" s="7">
        <f t="shared" si="28"/>
        <v>-0.85854984768581821</v>
      </c>
      <c r="E623" s="8">
        <f t="shared" si="29"/>
        <v>-1.3873550787619506</v>
      </c>
    </row>
    <row r="624" spans="1:5" x14ac:dyDescent="0.2">
      <c r="A624" s="1">
        <v>42523</v>
      </c>
      <c r="B624">
        <v>47677.99</v>
      </c>
      <c r="C624" s="6">
        <f t="shared" si="27"/>
        <v>3.5281772564640136E-3</v>
      </c>
      <c r="D624" s="7">
        <f t="shared" si="28"/>
        <v>0.28457571509717489</v>
      </c>
      <c r="E624" s="8">
        <f t="shared" si="29"/>
        <v>-0.77230563540053354</v>
      </c>
    </row>
    <row r="625" spans="1:5" x14ac:dyDescent="0.2">
      <c r="A625" s="1">
        <v>42524</v>
      </c>
      <c r="B625">
        <v>48083.54</v>
      </c>
      <c r="C625" s="6">
        <f t="shared" si="27"/>
        <v>8.4700489762150662E-3</v>
      </c>
      <c r="D625" s="7">
        <f t="shared" si="28"/>
        <v>0.71100737184640328</v>
      </c>
      <c r="E625" s="8">
        <f t="shared" si="29"/>
        <v>-1.1854057047725401</v>
      </c>
    </row>
    <row r="626" spans="1:5" x14ac:dyDescent="0.2">
      <c r="A626" s="1">
        <v>42527</v>
      </c>
      <c r="B626">
        <v>47822.38</v>
      </c>
      <c r="C626" s="6">
        <f t="shared" si="27"/>
        <v>-5.4461840420317121E-3</v>
      </c>
      <c r="D626" s="7">
        <f t="shared" si="28"/>
        <v>-0.48981746501889489</v>
      </c>
      <c r="E626" s="8">
        <f t="shared" si="29"/>
        <v>-0.93420588084724465</v>
      </c>
    </row>
    <row r="627" spans="1:5" x14ac:dyDescent="0.2">
      <c r="A627" s="1">
        <v>42528</v>
      </c>
      <c r="B627">
        <v>48053.2</v>
      </c>
      <c r="C627" s="6">
        <f t="shared" si="27"/>
        <v>4.8149997308666957E-3</v>
      </c>
      <c r="D627" s="7">
        <f t="shared" si="28"/>
        <v>0.39561498742561979</v>
      </c>
      <c r="E627" s="8">
        <f t="shared" si="29"/>
        <v>-0.85041401086092649</v>
      </c>
    </row>
    <row r="628" spans="1:5" x14ac:dyDescent="0.2">
      <c r="A628" s="1">
        <v>42529</v>
      </c>
      <c r="B628">
        <v>47716.2</v>
      </c>
      <c r="C628" s="6">
        <f t="shared" si="27"/>
        <v>-7.0377676161949869E-3</v>
      </c>
      <c r="D628" s="7">
        <f t="shared" si="28"/>
        <v>-0.62715442131275301</v>
      </c>
      <c r="E628" s="8">
        <f t="shared" si="29"/>
        <v>-1.0820308373172864</v>
      </c>
    </row>
    <row r="629" spans="1:5" x14ac:dyDescent="0.2">
      <c r="A629" s="1">
        <v>42530</v>
      </c>
      <c r="B629">
        <v>47176.52</v>
      </c>
      <c r="C629" s="6">
        <f t="shared" si="27"/>
        <v>-1.1374651685794074E-2</v>
      </c>
      <c r="D629" s="7">
        <f t="shared" si="28"/>
        <v>-1.0013819941445377</v>
      </c>
      <c r="E629" s="8">
        <f t="shared" si="29"/>
        <v>-1.6023362001036787</v>
      </c>
    </row>
    <row r="630" spans="1:5" x14ac:dyDescent="0.2">
      <c r="A630" s="1">
        <v>42531</v>
      </c>
      <c r="B630">
        <v>47028.08</v>
      </c>
      <c r="C630" s="6">
        <f t="shared" si="27"/>
        <v>-3.1514410730183414E-3</v>
      </c>
      <c r="D630" s="7">
        <f t="shared" si="28"/>
        <v>-0.29180523370599687</v>
      </c>
      <c r="E630" s="8">
        <f t="shared" si="29"/>
        <v>-0.77667244525042023</v>
      </c>
    </row>
    <row r="631" spans="1:5" x14ac:dyDescent="0.2">
      <c r="A631" s="1">
        <v>42534</v>
      </c>
      <c r="B631">
        <v>46431.51</v>
      </c>
      <c r="C631" s="6">
        <f t="shared" si="27"/>
        <v>-1.2766546539034774E-2</v>
      </c>
      <c r="D631" s="7">
        <f t="shared" si="28"/>
        <v>-1.1214879098679138</v>
      </c>
      <c r="E631" s="8">
        <f t="shared" si="29"/>
        <v>-1.7941661845394867</v>
      </c>
    </row>
    <row r="632" spans="1:5" x14ac:dyDescent="0.2">
      <c r="A632" s="1">
        <v>42535</v>
      </c>
      <c r="B632">
        <v>45396.9</v>
      </c>
      <c r="C632" s="6">
        <f t="shared" si="27"/>
        <v>-2.2534502801584238E-2</v>
      </c>
      <c r="D632" s="7">
        <f t="shared" si="28"/>
        <v>-1.9643600053626953</v>
      </c>
      <c r="E632" s="8">
        <f t="shared" si="29"/>
        <v>-3.2378905885359828</v>
      </c>
    </row>
    <row r="633" spans="1:5" x14ac:dyDescent="0.2">
      <c r="A633" s="1">
        <v>42536</v>
      </c>
      <c r="B633">
        <v>46050.02</v>
      </c>
      <c r="C633" s="6">
        <f t="shared" si="27"/>
        <v>1.4284376234094899E-2</v>
      </c>
      <c r="D633" s="7">
        <f t="shared" si="28"/>
        <v>1.2127227837520762</v>
      </c>
      <c r="E633" s="8">
        <f t="shared" si="29"/>
        <v>-1.9448604297511409</v>
      </c>
    </row>
    <row r="634" spans="1:5" x14ac:dyDescent="0.2">
      <c r="A634" s="1">
        <v>42538</v>
      </c>
      <c r="B634">
        <v>46136.89</v>
      </c>
      <c r="C634" s="6">
        <f t="shared" si="27"/>
        <v>1.8846499077328203E-3</v>
      </c>
      <c r="D634" s="7">
        <f t="shared" si="28"/>
        <v>0.14275655628918077</v>
      </c>
      <c r="E634" s="8">
        <f t="shared" si="29"/>
        <v>-0.70800996480670397</v>
      </c>
    </row>
    <row r="635" spans="1:5" x14ac:dyDescent="0.2">
      <c r="A635" s="1">
        <v>42541</v>
      </c>
      <c r="B635">
        <v>47015.519999999997</v>
      </c>
      <c r="C635" s="6">
        <f t="shared" si="27"/>
        <v>1.8864913048293533E-2</v>
      </c>
      <c r="D635" s="7">
        <f t="shared" si="28"/>
        <v>1.6079750309265439</v>
      </c>
      <c r="E635" s="8">
        <f t="shared" si="29"/>
        <v>-2.6232301491154861</v>
      </c>
    </row>
    <row r="636" spans="1:5" x14ac:dyDescent="0.2">
      <c r="A636" s="1">
        <v>42542</v>
      </c>
      <c r="B636">
        <v>46912.03</v>
      </c>
      <c r="C636" s="6">
        <f t="shared" si="27"/>
        <v>-2.2036142085728552E-3</v>
      </c>
      <c r="D636" s="7">
        <f t="shared" si="28"/>
        <v>-0.21001772422825676</v>
      </c>
      <c r="E636" s="8">
        <f t="shared" si="29"/>
        <v>-0.73336022958670311</v>
      </c>
    </row>
    <row r="637" spans="1:5" x14ac:dyDescent="0.2">
      <c r="A637" s="1">
        <v>42543</v>
      </c>
      <c r="B637">
        <v>47475.23</v>
      </c>
      <c r="C637" s="6">
        <f t="shared" si="27"/>
        <v>1.1933955582488978E-2</v>
      </c>
      <c r="D637" s="7">
        <f t="shared" si="28"/>
        <v>1.0099061528557152</v>
      </c>
      <c r="E637" s="8">
        <f t="shared" si="29"/>
        <v>-1.6156571978382921</v>
      </c>
    </row>
    <row r="638" spans="1:5" x14ac:dyDescent="0.2">
      <c r="A638" s="1">
        <v>42544</v>
      </c>
      <c r="B638">
        <v>47453.53</v>
      </c>
      <c r="C638" s="6">
        <f t="shared" si="27"/>
        <v>-4.5718495381119845E-4</v>
      </c>
      <c r="D638" s="7">
        <f t="shared" si="28"/>
        <v>-5.9319211046119869E-2</v>
      </c>
      <c r="E638" s="8">
        <f t="shared" si="29"/>
        <v>-0.68985549809039415</v>
      </c>
    </row>
    <row r="639" spans="1:5" x14ac:dyDescent="0.2">
      <c r="A639" s="1">
        <v>42545</v>
      </c>
      <c r="B639">
        <v>45570.39</v>
      </c>
      <c r="C639" s="6">
        <f t="shared" si="27"/>
        <v>-4.0492752886700796E-2</v>
      </c>
      <c r="D639" s="7">
        <f t="shared" si="28"/>
        <v>-3.5139684878141573</v>
      </c>
      <c r="E639" s="8">
        <f t="shared" si="29"/>
        <v>-5.5837746949072766</v>
      </c>
    </row>
    <row r="640" spans="1:5" x14ac:dyDescent="0.2">
      <c r="A640" s="1">
        <v>42548</v>
      </c>
      <c r="B640">
        <v>44142.75</v>
      </c>
      <c r="C640" s="6">
        <f t="shared" si="27"/>
        <v>-3.1829462846163357E-2</v>
      </c>
      <c r="D640" s="7">
        <f t="shared" si="28"/>
        <v>-2.7664174920809921</v>
      </c>
      <c r="E640" s="8">
        <f t="shared" si="29"/>
        <v>-4.5303839192042616</v>
      </c>
    </row>
    <row r="641" spans="1:5" x14ac:dyDescent="0.2">
      <c r="A641" s="1">
        <v>42549</v>
      </c>
      <c r="B641">
        <v>45107.14</v>
      </c>
      <c r="C641" s="6">
        <f t="shared" si="27"/>
        <v>2.1611848179013664E-2</v>
      </c>
      <c r="D641" s="7">
        <f t="shared" si="28"/>
        <v>1.845006699331456</v>
      </c>
      <c r="E641" s="8">
        <f t="shared" si="29"/>
        <v>-3.0335822764335023</v>
      </c>
    </row>
    <row r="642" spans="1:5" x14ac:dyDescent="0.2">
      <c r="A642" s="1">
        <v>42550</v>
      </c>
      <c r="B642">
        <v>45732.46</v>
      </c>
      <c r="C642" s="6">
        <f t="shared" si="27"/>
        <v>1.3767781397393429E-2</v>
      </c>
      <c r="D642" s="7">
        <f t="shared" si="28"/>
        <v>1.1681460718147207</v>
      </c>
      <c r="E642" s="8">
        <f t="shared" si="29"/>
        <v>-1.8707780356119055</v>
      </c>
    </row>
    <row r="643" spans="1:5" x14ac:dyDescent="0.2">
      <c r="A643" s="1">
        <v>42551</v>
      </c>
      <c r="B643">
        <v>45974.31</v>
      </c>
      <c r="C643" s="6">
        <f t="shared" ref="C643:C706" si="30">LN(B643/B642)</f>
        <v>5.2744319897266431E-3</v>
      </c>
      <c r="D643" s="7">
        <f t="shared" ref="D643:D706" si="31">(C643-$G$4)/$G$5</f>
        <v>0.43525916890582156</v>
      </c>
      <c r="E643" s="8">
        <f t="shared" ref="E643:E706" si="32">LN((PI()*(G$3-2))^(-1/2)*EXP(GAMMALN((G$3+1)/2))*((1+D643^2/(G$3-2))^(-(G$3+1)/2))/EXP(GAMMALN(G$3/2)))</f>
        <v>-0.88380553682144247</v>
      </c>
    </row>
    <row r="644" spans="1:5" x14ac:dyDescent="0.2">
      <c r="A644" s="1">
        <v>42552</v>
      </c>
      <c r="B644">
        <v>46015.54</v>
      </c>
      <c r="C644" s="6">
        <f t="shared" si="30"/>
        <v>8.9640330451300535E-4</v>
      </c>
      <c r="D644" s="7">
        <f t="shared" si="31"/>
        <v>5.7481247623529672E-2</v>
      </c>
      <c r="E644" s="8">
        <f t="shared" si="32"/>
        <v>-0.68962358655403777</v>
      </c>
    </row>
    <row r="645" spans="1:5" x14ac:dyDescent="0.2">
      <c r="A645" s="1">
        <v>42555</v>
      </c>
      <c r="B645">
        <v>46027.48</v>
      </c>
      <c r="C645" s="6">
        <f t="shared" si="30"/>
        <v>2.5944390062338711E-4</v>
      </c>
      <c r="D645" s="7">
        <f t="shared" si="31"/>
        <v>2.5183369520374432E-3</v>
      </c>
      <c r="E645" s="8">
        <f t="shared" si="32"/>
        <v>-0.6860586281483998</v>
      </c>
    </row>
    <row r="646" spans="1:5" x14ac:dyDescent="0.2">
      <c r="A646" s="1">
        <v>42556</v>
      </c>
      <c r="B646">
        <v>45330.93</v>
      </c>
      <c r="C646" s="6">
        <f t="shared" si="30"/>
        <v>-1.5249028469559956E-2</v>
      </c>
      <c r="D646" s="7">
        <f t="shared" si="31"/>
        <v>-1.3357000429455415</v>
      </c>
      <c r="E646" s="8">
        <f t="shared" si="32"/>
        <v>-2.1527941203278593</v>
      </c>
    </row>
    <row r="647" spans="1:5" x14ac:dyDescent="0.2">
      <c r="A647" s="1">
        <v>42557</v>
      </c>
      <c r="B647">
        <v>44501.22</v>
      </c>
      <c r="C647" s="6">
        <f t="shared" si="30"/>
        <v>-1.8472976430003358E-2</v>
      </c>
      <c r="D647" s="7">
        <f t="shared" si="31"/>
        <v>-1.6138929115605993</v>
      </c>
      <c r="E647" s="8">
        <f t="shared" si="32"/>
        <v>-2.6335095368002546</v>
      </c>
    </row>
    <row r="648" spans="1:5" x14ac:dyDescent="0.2">
      <c r="A648" s="1">
        <v>42558</v>
      </c>
      <c r="B648">
        <v>44802.53</v>
      </c>
      <c r="C648" s="6">
        <f t="shared" si="30"/>
        <v>6.7480065139458277E-3</v>
      </c>
      <c r="D648" s="7">
        <f t="shared" si="31"/>
        <v>0.56241318287887099</v>
      </c>
      <c r="E648" s="8">
        <f t="shared" si="32"/>
        <v>-1.0087956637698203</v>
      </c>
    </row>
    <row r="649" spans="1:5" x14ac:dyDescent="0.2">
      <c r="A649" s="1">
        <v>42559</v>
      </c>
      <c r="B649">
        <v>44920.65</v>
      </c>
      <c r="C649" s="6">
        <f t="shared" si="30"/>
        <v>2.6329888940671048E-3</v>
      </c>
      <c r="D649" s="7">
        <f t="shared" si="31"/>
        <v>0.20733035582290127</v>
      </c>
      <c r="E649" s="8">
        <f t="shared" si="32"/>
        <v>-0.73216715486174011</v>
      </c>
    </row>
    <row r="650" spans="1:5" x14ac:dyDescent="0.2">
      <c r="A650" s="1">
        <v>42562</v>
      </c>
      <c r="B650">
        <v>45683.33</v>
      </c>
      <c r="C650" s="6">
        <f t="shared" si="30"/>
        <v>1.6835861179871403E-2</v>
      </c>
      <c r="D650" s="7">
        <f t="shared" si="31"/>
        <v>1.4328891527514316</v>
      </c>
      <c r="E650" s="8">
        <f t="shared" si="32"/>
        <v>-2.3197325711623376</v>
      </c>
    </row>
    <row r="651" spans="1:5" x14ac:dyDescent="0.2">
      <c r="A651" s="1">
        <v>42563</v>
      </c>
      <c r="B651">
        <v>46056.81</v>
      </c>
      <c r="C651" s="6">
        <f t="shared" si="30"/>
        <v>8.1421733892866402E-3</v>
      </c>
      <c r="D651" s="7">
        <f t="shared" si="31"/>
        <v>0.68271515026106488</v>
      </c>
      <c r="E651" s="8">
        <f t="shared" si="32"/>
        <v>-1.1495135407067534</v>
      </c>
    </row>
    <row r="652" spans="1:5" x14ac:dyDescent="0.2">
      <c r="A652" s="1">
        <v>42564</v>
      </c>
      <c r="B652">
        <v>46288.18</v>
      </c>
      <c r="C652" s="6">
        <f t="shared" si="30"/>
        <v>5.0110024191744752E-3</v>
      </c>
      <c r="D652" s="7">
        <f t="shared" si="31"/>
        <v>0.41252796207211656</v>
      </c>
      <c r="E652" s="8">
        <f t="shared" si="32"/>
        <v>-0.86431830620331485</v>
      </c>
    </row>
    <row r="653" spans="1:5" x14ac:dyDescent="0.2">
      <c r="A653" s="1">
        <v>42565</v>
      </c>
      <c r="B653">
        <v>46273.49</v>
      </c>
      <c r="C653" s="6">
        <f t="shared" si="30"/>
        <v>-3.1741000617931255E-4</v>
      </c>
      <c r="D653" s="7">
        <f t="shared" si="31"/>
        <v>-4.7258100221959441E-2</v>
      </c>
      <c r="E653" s="8">
        <f t="shared" si="32"/>
        <v>-0.68846655938912438</v>
      </c>
    </row>
    <row r="654" spans="1:5" x14ac:dyDescent="0.2">
      <c r="A654" s="1">
        <v>42566</v>
      </c>
      <c r="B654">
        <v>46454.35</v>
      </c>
      <c r="C654" s="6">
        <f t="shared" si="30"/>
        <v>3.9008830431898501E-3</v>
      </c>
      <c r="D654" s="7">
        <f t="shared" si="31"/>
        <v>0.31673631236203659</v>
      </c>
      <c r="E654" s="8">
        <f t="shared" si="32"/>
        <v>-0.79251418220043723</v>
      </c>
    </row>
    <row r="655" spans="1:5" x14ac:dyDescent="0.2">
      <c r="A655" s="1">
        <v>42569</v>
      </c>
      <c r="B655">
        <v>46431.44</v>
      </c>
      <c r="C655" s="6">
        <f t="shared" si="30"/>
        <v>-4.9329397886526208E-4</v>
      </c>
      <c r="D655" s="7">
        <f t="shared" si="31"/>
        <v>-6.2435040887647897E-2</v>
      </c>
      <c r="E655" s="8">
        <f t="shared" si="32"/>
        <v>-0.69026527629320333</v>
      </c>
    </row>
    <row r="656" spans="1:5" x14ac:dyDescent="0.2">
      <c r="A656" s="1">
        <v>42570</v>
      </c>
      <c r="B656">
        <v>46214.28</v>
      </c>
      <c r="C656" s="6">
        <f t="shared" si="30"/>
        <v>-4.6879747431882108E-3</v>
      </c>
      <c r="D656" s="7">
        <f t="shared" si="31"/>
        <v>-0.42439196111998095</v>
      </c>
      <c r="E656" s="8">
        <f t="shared" si="32"/>
        <v>-0.87437581865395253</v>
      </c>
    </row>
    <row r="657" spans="1:5" x14ac:dyDescent="0.2">
      <c r="A657" s="1">
        <v>42571</v>
      </c>
      <c r="B657">
        <v>46200.63</v>
      </c>
      <c r="C657" s="6">
        <f t="shared" si="30"/>
        <v>-2.954068796748435E-4</v>
      </c>
      <c r="D657" s="7">
        <f t="shared" si="31"/>
        <v>-4.5359461361815928E-2</v>
      </c>
      <c r="E657" s="8">
        <f t="shared" si="32"/>
        <v>-0.68827649985940353</v>
      </c>
    </row>
    <row r="658" spans="1:5" x14ac:dyDescent="0.2">
      <c r="A658" s="1">
        <v>42572</v>
      </c>
      <c r="B658">
        <v>46272.66</v>
      </c>
      <c r="C658" s="6">
        <f t="shared" si="30"/>
        <v>1.5578555616991125E-3</v>
      </c>
      <c r="D658" s="7">
        <f t="shared" si="31"/>
        <v>0.11455763444374391</v>
      </c>
      <c r="E658" s="8">
        <f t="shared" si="32"/>
        <v>-0.70021167423149056</v>
      </c>
    </row>
    <row r="659" spans="1:5" x14ac:dyDescent="0.2">
      <c r="A659" s="1">
        <v>42573</v>
      </c>
      <c r="B659">
        <v>46285.24</v>
      </c>
      <c r="C659" s="6">
        <f t="shared" si="30"/>
        <v>2.7182985088170002E-4</v>
      </c>
      <c r="D659" s="7">
        <f t="shared" si="31"/>
        <v>3.5871144494290545E-3</v>
      </c>
      <c r="E659" s="8">
        <f t="shared" si="32"/>
        <v>-0.68606568674876922</v>
      </c>
    </row>
    <row r="660" spans="1:5" x14ac:dyDescent="0.2">
      <c r="A660" s="1">
        <v>42576</v>
      </c>
      <c r="B660">
        <v>46544.67</v>
      </c>
      <c r="C660" s="6">
        <f t="shared" si="30"/>
        <v>5.5893768593964022E-3</v>
      </c>
      <c r="D660" s="7">
        <f t="shared" si="31"/>
        <v>0.4624356053198187</v>
      </c>
      <c r="E660" s="8">
        <f t="shared" si="32"/>
        <v>-0.90828145232315094</v>
      </c>
    </row>
    <row r="661" spans="1:5" x14ac:dyDescent="0.2">
      <c r="A661" s="1">
        <v>42577</v>
      </c>
      <c r="B661">
        <v>46788.32</v>
      </c>
      <c r="C661" s="6">
        <f t="shared" si="30"/>
        <v>5.2211024952599511E-3</v>
      </c>
      <c r="D661" s="7">
        <f t="shared" si="31"/>
        <v>0.43065739330971692</v>
      </c>
      <c r="E661" s="8">
        <f t="shared" si="32"/>
        <v>-0.87978726908254168</v>
      </c>
    </row>
    <row r="662" spans="1:5" x14ac:dyDescent="0.2">
      <c r="A662" s="1">
        <v>42578</v>
      </c>
      <c r="B662">
        <v>46874.05</v>
      </c>
      <c r="C662" s="6">
        <f t="shared" si="30"/>
        <v>1.8306182929445245E-3</v>
      </c>
      <c r="D662" s="7">
        <f t="shared" si="31"/>
        <v>0.13809419507917151</v>
      </c>
      <c r="E662" s="8">
        <f t="shared" si="32"/>
        <v>-0.70660428260293484</v>
      </c>
    </row>
    <row r="663" spans="1:5" x14ac:dyDescent="0.2">
      <c r="A663" s="1">
        <v>42579</v>
      </c>
      <c r="B663">
        <v>46390</v>
      </c>
      <c r="C663" s="6">
        <f t="shared" si="30"/>
        <v>-1.0380298654884363E-2</v>
      </c>
      <c r="D663" s="7">
        <f t="shared" si="31"/>
        <v>-0.91557976486574844</v>
      </c>
      <c r="E663" s="8">
        <f t="shared" si="32"/>
        <v>-1.4711978772003313</v>
      </c>
    </row>
    <row r="664" spans="1:5" x14ac:dyDescent="0.2">
      <c r="A664" s="1">
        <v>42580</v>
      </c>
      <c r="B664">
        <v>45916.480000000003</v>
      </c>
      <c r="C664" s="6">
        <f t="shared" si="30"/>
        <v>-1.0259824742754714E-2</v>
      </c>
      <c r="D664" s="7">
        <f t="shared" si="31"/>
        <v>-0.90518413081090598</v>
      </c>
      <c r="E664" s="8">
        <f t="shared" si="32"/>
        <v>-1.4557033929634202</v>
      </c>
    </row>
    <row r="665" spans="1:5" x14ac:dyDescent="0.2">
      <c r="A665" s="1">
        <v>42583</v>
      </c>
      <c r="B665">
        <v>46149.8</v>
      </c>
      <c r="C665" s="6">
        <f t="shared" si="30"/>
        <v>5.0685332240986173E-3</v>
      </c>
      <c r="D665" s="7">
        <f t="shared" si="31"/>
        <v>0.41749226666138145</v>
      </c>
      <c r="E665" s="8">
        <f t="shared" si="32"/>
        <v>-0.86849642299610363</v>
      </c>
    </row>
    <row r="666" spans="1:5" x14ac:dyDescent="0.2">
      <c r="A666" s="1">
        <v>42584</v>
      </c>
      <c r="B666">
        <v>45559.57</v>
      </c>
      <c r="C666" s="6">
        <f t="shared" si="30"/>
        <v>-1.2871926814153691E-2</v>
      </c>
      <c r="D666" s="7">
        <f t="shared" si="31"/>
        <v>-1.1305811214800343</v>
      </c>
      <c r="E666" s="8">
        <f t="shared" si="32"/>
        <v>-1.8090160532827804</v>
      </c>
    </row>
    <row r="667" spans="1:5" x14ac:dyDescent="0.2">
      <c r="A667" s="1">
        <v>42586</v>
      </c>
      <c r="B667">
        <v>45533.22</v>
      </c>
      <c r="C667" s="6">
        <f t="shared" si="30"/>
        <v>-5.7853098439385219E-4</v>
      </c>
      <c r="D667" s="7">
        <f t="shared" si="31"/>
        <v>-6.9790099769210856E-2</v>
      </c>
      <c r="E667" s="8">
        <f t="shared" si="32"/>
        <v>-0.69131548958932343</v>
      </c>
    </row>
    <row r="668" spans="1:5" x14ac:dyDescent="0.2">
      <c r="A668" s="1">
        <v>42587</v>
      </c>
      <c r="B668">
        <v>45385.74</v>
      </c>
      <c r="C668" s="6">
        <f t="shared" si="30"/>
        <v>-3.2442106542141256E-3</v>
      </c>
      <c r="D668" s="7">
        <f t="shared" si="31"/>
        <v>-0.29981027480148753</v>
      </c>
      <c r="E668" s="8">
        <f t="shared" si="32"/>
        <v>-0.78162720608625957</v>
      </c>
    </row>
    <row r="669" spans="1:5" x14ac:dyDescent="0.2">
      <c r="A669" s="1">
        <v>42590</v>
      </c>
      <c r="B669">
        <v>45510.65</v>
      </c>
      <c r="C669" s="6">
        <f t="shared" si="30"/>
        <v>2.7484057095792389E-3</v>
      </c>
      <c r="D669" s="7">
        <f t="shared" si="31"/>
        <v>0.21728961552178286</v>
      </c>
      <c r="E669" s="8">
        <f t="shared" si="32"/>
        <v>-0.73666301016187163</v>
      </c>
    </row>
    <row r="670" spans="1:5" x14ac:dyDescent="0.2">
      <c r="A670" s="1">
        <v>42592</v>
      </c>
      <c r="B670">
        <v>45132.06</v>
      </c>
      <c r="C670" s="6">
        <f t="shared" si="30"/>
        <v>-8.3535057928366685E-3</v>
      </c>
      <c r="D670" s="7">
        <f t="shared" si="31"/>
        <v>-0.74068881522894825</v>
      </c>
      <c r="E670" s="8">
        <f t="shared" si="32"/>
        <v>-1.2241055742286797</v>
      </c>
    </row>
    <row r="671" spans="1:5" x14ac:dyDescent="0.2">
      <c r="A671" s="1">
        <v>42593</v>
      </c>
      <c r="B671">
        <v>45205.64</v>
      </c>
      <c r="C671" s="6">
        <f t="shared" si="30"/>
        <v>1.628999106048122E-3</v>
      </c>
      <c r="D671" s="7">
        <f t="shared" si="31"/>
        <v>0.12069657555840493</v>
      </c>
      <c r="E671" s="8">
        <f t="shared" si="32"/>
        <v>-0.70176556436854021</v>
      </c>
    </row>
    <row r="672" spans="1:5" x14ac:dyDescent="0.2">
      <c r="A672" s="1">
        <v>42594</v>
      </c>
      <c r="B672">
        <v>45703.18</v>
      </c>
      <c r="C672" s="6">
        <f t="shared" si="30"/>
        <v>1.0946021909338978E-2</v>
      </c>
      <c r="D672" s="7">
        <f t="shared" si="31"/>
        <v>0.92465784677039897</v>
      </c>
      <c r="E672" s="8">
        <f t="shared" si="32"/>
        <v>-1.4848021482990901</v>
      </c>
    </row>
    <row r="673" spans="1:5" x14ac:dyDescent="0.2">
      <c r="A673" s="1">
        <v>42597</v>
      </c>
      <c r="B673">
        <v>45303.88</v>
      </c>
      <c r="C673" s="6">
        <f t="shared" si="30"/>
        <v>-8.7751996891038044E-3</v>
      </c>
      <c r="D673" s="7">
        <f t="shared" si="31"/>
        <v>-0.77707657214047132</v>
      </c>
      <c r="E673" s="8">
        <f t="shared" si="32"/>
        <v>-1.2729362017287138</v>
      </c>
    </row>
    <row r="674" spans="1:5" x14ac:dyDescent="0.2">
      <c r="A674" s="1">
        <v>42598</v>
      </c>
      <c r="B674">
        <v>45392.84</v>
      </c>
      <c r="C674" s="6">
        <f t="shared" si="30"/>
        <v>1.9617033235288317E-3</v>
      </c>
      <c r="D674" s="7">
        <f t="shared" si="31"/>
        <v>0.14940545727638316</v>
      </c>
      <c r="E674" s="8">
        <f t="shared" si="32"/>
        <v>-0.71009401210384027</v>
      </c>
    </row>
    <row r="675" spans="1:5" x14ac:dyDescent="0.2">
      <c r="A675" s="1">
        <v>42599</v>
      </c>
      <c r="B675">
        <v>45386.78</v>
      </c>
      <c r="C675" s="6">
        <f t="shared" si="30"/>
        <v>-1.3351014267300306E-4</v>
      </c>
      <c r="D675" s="7">
        <f t="shared" si="31"/>
        <v>-3.1389472317772768E-2</v>
      </c>
      <c r="E675" s="8">
        <f t="shared" si="32"/>
        <v>-0.68711738255584931</v>
      </c>
    </row>
    <row r="676" spans="1:5" x14ac:dyDescent="0.2">
      <c r="A676" s="1">
        <v>42600</v>
      </c>
      <c r="B676">
        <v>46063.63</v>
      </c>
      <c r="C676" s="6">
        <f t="shared" si="30"/>
        <v>1.4802828318561549E-2</v>
      </c>
      <c r="D676" s="7">
        <f t="shared" si="31"/>
        <v>1.2574597566768491</v>
      </c>
      <c r="E676" s="8">
        <f t="shared" si="32"/>
        <v>-2.019962631640329</v>
      </c>
    </row>
    <row r="677" spans="1:5" x14ac:dyDescent="0.2">
      <c r="A677" s="1">
        <v>42601</v>
      </c>
      <c r="B677">
        <v>45877.01</v>
      </c>
      <c r="C677" s="6">
        <f t="shared" si="30"/>
        <v>-4.0595814058835816E-3</v>
      </c>
      <c r="D677" s="7">
        <f t="shared" si="31"/>
        <v>-0.37016821208052014</v>
      </c>
      <c r="E677" s="8">
        <f t="shared" si="32"/>
        <v>-0.83046992976312184</v>
      </c>
    </row>
    <row r="678" spans="1:5" x14ac:dyDescent="0.2">
      <c r="A678" s="1">
        <v>42604</v>
      </c>
      <c r="B678">
        <v>45994.96</v>
      </c>
      <c r="C678" s="6">
        <f t="shared" si="30"/>
        <v>2.5677051402025076E-3</v>
      </c>
      <c r="D678" s="7">
        <f t="shared" si="31"/>
        <v>0.20169705311938807</v>
      </c>
      <c r="E678" s="8">
        <f t="shared" si="32"/>
        <v>-0.72971447236356657</v>
      </c>
    </row>
    <row r="679" spans="1:5" x14ac:dyDescent="0.2">
      <c r="A679" s="1">
        <v>42605</v>
      </c>
      <c r="B679">
        <v>46139.33</v>
      </c>
      <c r="C679" s="6">
        <f t="shared" si="30"/>
        <v>3.1339063482062313E-3</v>
      </c>
      <c r="D679" s="7">
        <f t="shared" si="31"/>
        <v>0.25055427420375187</v>
      </c>
      <c r="E679" s="8">
        <f t="shared" si="32"/>
        <v>-0.75314596561013092</v>
      </c>
    </row>
    <row r="680" spans="1:5" x14ac:dyDescent="0.2">
      <c r="A680" s="1">
        <v>42606</v>
      </c>
      <c r="B680">
        <v>46858.57</v>
      </c>
      <c r="C680" s="6">
        <f t="shared" si="30"/>
        <v>1.5468184564885868E-2</v>
      </c>
      <c r="D680" s="7">
        <f t="shared" si="31"/>
        <v>1.3148730167812253</v>
      </c>
      <c r="E680" s="8">
        <f t="shared" si="32"/>
        <v>-2.1172743054283276</v>
      </c>
    </row>
    <row r="681" spans="1:5" x14ac:dyDescent="0.2">
      <c r="A681" s="1">
        <v>42607</v>
      </c>
      <c r="B681">
        <v>46759.58</v>
      </c>
      <c r="C681" s="6">
        <f t="shared" si="30"/>
        <v>-2.1147616544880963E-3</v>
      </c>
      <c r="D681" s="7">
        <f t="shared" si="31"/>
        <v>-0.20235068145712776</v>
      </c>
      <c r="E681" s="8">
        <f t="shared" si="32"/>
        <v>-0.72999570028964034</v>
      </c>
    </row>
    <row r="682" spans="1:5" x14ac:dyDescent="0.2">
      <c r="A682" s="1">
        <v>42608</v>
      </c>
      <c r="B682">
        <v>46806.74</v>
      </c>
      <c r="C682" s="6">
        <f t="shared" si="30"/>
        <v>1.0080551205510612E-3</v>
      </c>
      <c r="D682" s="7">
        <f t="shared" si="31"/>
        <v>6.7115627387350552E-2</v>
      </c>
      <c r="E682" s="8">
        <f t="shared" si="32"/>
        <v>-0.69092013564542321</v>
      </c>
    </row>
    <row r="683" spans="1:5" x14ac:dyDescent="0.2">
      <c r="A683" s="1">
        <v>42611</v>
      </c>
      <c r="B683">
        <v>46912.46</v>
      </c>
      <c r="C683" s="6">
        <f t="shared" si="30"/>
        <v>2.2561021614112674E-3</v>
      </c>
      <c r="D683" s="7">
        <f t="shared" si="31"/>
        <v>0.17480898680984069</v>
      </c>
      <c r="E683" s="8">
        <f t="shared" si="32"/>
        <v>-0.7189128509962962</v>
      </c>
    </row>
    <row r="684" spans="1:5" x14ac:dyDescent="0.2">
      <c r="A684" s="1">
        <v>42612</v>
      </c>
      <c r="B684">
        <v>46819.15</v>
      </c>
      <c r="C684" s="6">
        <f t="shared" si="30"/>
        <v>-1.9910045463674875E-3</v>
      </c>
      <c r="D684" s="7">
        <f t="shared" si="31"/>
        <v>-0.19167174205053727</v>
      </c>
      <c r="E684" s="8">
        <f t="shared" si="32"/>
        <v>-0.72551164352092534</v>
      </c>
    </row>
    <row r="685" spans="1:5" x14ac:dyDescent="0.2">
      <c r="A685" s="1">
        <v>42613</v>
      </c>
      <c r="B685">
        <v>46261.02</v>
      </c>
      <c r="C685" s="6">
        <f t="shared" si="30"/>
        <v>-1.1992601416344032E-2</v>
      </c>
      <c r="D685" s="7">
        <f t="shared" si="31"/>
        <v>-1.0547045695430413</v>
      </c>
      <c r="E685" s="8">
        <f t="shared" si="32"/>
        <v>-1.6864440630618196</v>
      </c>
    </row>
    <row r="686" spans="1:5" x14ac:dyDescent="0.2">
      <c r="A686" s="1">
        <v>42614</v>
      </c>
      <c r="B686">
        <v>46168.9</v>
      </c>
      <c r="C686" s="6">
        <f t="shared" si="30"/>
        <v>-1.9932946063592081E-3</v>
      </c>
      <c r="D686" s="7">
        <f t="shared" si="31"/>
        <v>-0.19186935019006499</v>
      </c>
      <c r="E686" s="8">
        <f t="shared" si="32"/>
        <v>-0.72559247520234071</v>
      </c>
    </row>
    <row r="687" spans="1:5" x14ac:dyDescent="0.2">
      <c r="A687" s="1">
        <v>42615</v>
      </c>
      <c r="B687">
        <v>46972.62</v>
      </c>
      <c r="C687" s="6">
        <f t="shared" si="30"/>
        <v>1.7258467528037388E-2</v>
      </c>
      <c r="D687" s="7">
        <f t="shared" si="31"/>
        <v>1.4693556446842169</v>
      </c>
      <c r="E687" s="8">
        <f t="shared" si="32"/>
        <v>-2.3827501379109863</v>
      </c>
    </row>
    <row r="688" spans="1:5" x14ac:dyDescent="0.2">
      <c r="A688" s="1">
        <v>42618</v>
      </c>
      <c r="B688">
        <v>47078.69</v>
      </c>
      <c r="C688" s="6">
        <f t="shared" si="30"/>
        <v>2.2555782576644916E-3</v>
      </c>
      <c r="D688" s="7">
        <f t="shared" si="31"/>
        <v>0.17476377941568236</v>
      </c>
      <c r="E688" s="8">
        <f t="shared" si="32"/>
        <v>-0.71889595643194937</v>
      </c>
    </row>
    <row r="689" spans="1:5" x14ac:dyDescent="0.2">
      <c r="A689" s="1">
        <v>42619</v>
      </c>
      <c r="B689">
        <v>47008.42</v>
      </c>
      <c r="C689" s="6">
        <f t="shared" si="30"/>
        <v>-1.4937224252201148E-3</v>
      </c>
      <c r="D689" s="7">
        <f t="shared" si="31"/>
        <v>-0.14876151474837512</v>
      </c>
      <c r="E689" s="8">
        <f t="shared" si="32"/>
        <v>-0.70988809406381603</v>
      </c>
    </row>
    <row r="690" spans="1:5" x14ac:dyDescent="0.2">
      <c r="A690" s="1">
        <v>42620</v>
      </c>
      <c r="B690">
        <v>46777.09</v>
      </c>
      <c r="C690" s="6">
        <f t="shared" si="30"/>
        <v>-4.9331814507898395E-3</v>
      </c>
      <c r="D690" s="7">
        <f t="shared" si="31"/>
        <v>-0.44555072615847402</v>
      </c>
      <c r="E690" s="8">
        <f t="shared" si="32"/>
        <v>-0.89292517726365472</v>
      </c>
    </row>
    <row r="691" spans="1:5" x14ac:dyDescent="0.2">
      <c r="A691" s="1">
        <v>42621</v>
      </c>
      <c r="B691">
        <v>46588.71</v>
      </c>
      <c r="C691" s="6">
        <f t="shared" si="30"/>
        <v>-4.0353160499468667E-3</v>
      </c>
      <c r="D691" s="7">
        <f t="shared" si="31"/>
        <v>-0.36807436656600639</v>
      </c>
      <c r="E691" s="8">
        <f t="shared" si="32"/>
        <v>-0.82888176196134844</v>
      </c>
    </row>
    <row r="692" spans="1:5" x14ac:dyDescent="0.2">
      <c r="A692" s="1">
        <v>42622</v>
      </c>
      <c r="B692">
        <v>46734.92</v>
      </c>
      <c r="C692" s="6">
        <f t="shared" si="30"/>
        <v>3.1333997536634505E-3</v>
      </c>
      <c r="D692" s="7">
        <f t="shared" si="31"/>
        <v>0.25051056041221115</v>
      </c>
      <c r="E692" s="8">
        <f t="shared" si="32"/>
        <v>-0.75312283523501256</v>
      </c>
    </row>
    <row r="693" spans="1:5" x14ac:dyDescent="0.2">
      <c r="A693" s="1">
        <v>42625</v>
      </c>
      <c r="B693">
        <v>46294.07</v>
      </c>
      <c r="C693" s="6">
        <f t="shared" si="30"/>
        <v>-9.477761718148351E-3</v>
      </c>
      <c r="D693" s="7">
        <f t="shared" si="31"/>
        <v>-0.83770030076077995</v>
      </c>
      <c r="E693" s="8">
        <f t="shared" si="32"/>
        <v>-1.3574438469791061</v>
      </c>
    </row>
    <row r="694" spans="1:5" x14ac:dyDescent="0.2">
      <c r="A694" s="1">
        <v>42626</v>
      </c>
      <c r="B694">
        <v>46274.97</v>
      </c>
      <c r="C694" s="6">
        <f t="shared" si="30"/>
        <v>-4.1266497461887874E-4</v>
      </c>
      <c r="D694" s="7">
        <f t="shared" si="31"/>
        <v>-5.5477604148565993E-2</v>
      </c>
      <c r="E694" s="8">
        <f t="shared" si="32"/>
        <v>-0.68937906409940819</v>
      </c>
    </row>
    <row r="695" spans="1:5" x14ac:dyDescent="0.2">
      <c r="A695" s="1">
        <v>42627</v>
      </c>
      <c r="B695">
        <v>45985.07</v>
      </c>
      <c r="C695" s="6">
        <f t="shared" si="30"/>
        <v>-6.2844315721200007E-3</v>
      </c>
      <c r="D695" s="7">
        <f t="shared" si="31"/>
        <v>-0.56214942814793878</v>
      </c>
      <c r="E695" s="8">
        <f t="shared" si="32"/>
        <v>-1.0085098589061545</v>
      </c>
    </row>
    <row r="696" spans="1:5" x14ac:dyDescent="0.2">
      <c r="A696" s="1">
        <v>42628</v>
      </c>
      <c r="B696">
        <v>45713.440000000002</v>
      </c>
      <c r="C696" s="6">
        <f t="shared" si="30"/>
        <v>-5.9244320216820801E-3</v>
      </c>
      <c r="D696" s="7">
        <f t="shared" si="31"/>
        <v>-0.53108524570292104</v>
      </c>
      <c r="E696" s="8">
        <f t="shared" si="32"/>
        <v>-0.97559124738109537</v>
      </c>
    </row>
    <row r="697" spans="1:5" x14ac:dyDescent="0.2">
      <c r="A697" s="1">
        <v>42629</v>
      </c>
      <c r="B697">
        <v>45430.38</v>
      </c>
      <c r="C697" s="6">
        <f t="shared" si="30"/>
        <v>-6.2113023141633248E-3</v>
      </c>
      <c r="D697" s="7">
        <f t="shared" si="31"/>
        <v>-0.55583914079210306</v>
      </c>
      <c r="E697" s="8">
        <f t="shared" si="32"/>
        <v>-1.0017033526210903</v>
      </c>
    </row>
    <row r="698" spans="1:5" x14ac:dyDescent="0.2">
      <c r="A698" s="1">
        <v>42632</v>
      </c>
      <c r="B698">
        <v>45496.21</v>
      </c>
      <c r="C698" s="6">
        <f t="shared" si="30"/>
        <v>1.4479815310762896E-3</v>
      </c>
      <c r="D698" s="7">
        <f t="shared" si="31"/>
        <v>0.10507665890062194</v>
      </c>
      <c r="E698" s="8">
        <f t="shared" si="32"/>
        <v>-0.6979696612474201</v>
      </c>
    </row>
    <row r="699" spans="1:5" x14ac:dyDescent="0.2">
      <c r="A699" s="1">
        <v>42633</v>
      </c>
      <c r="B699">
        <v>44864.62</v>
      </c>
      <c r="C699" s="6">
        <f t="shared" si="30"/>
        <v>-1.3979514924099726E-2</v>
      </c>
      <c r="D699" s="7">
        <f t="shared" si="31"/>
        <v>-1.226154349500576</v>
      </c>
      <c r="E699" s="8">
        <f t="shared" si="32"/>
        <v>-1.9673345483279343</v>
      </c>
    </row>
    <row r="700" spans="1:5" x14ac:dyDescent="0.2">
      <c r="A700" s="1">
        <v>42634</v>
      </c>
      <c r="B700">
        <v>44284.63</v>
      </c>
      <c r="C700" s="6">
        <f t="shared" si="30"/>
        <v>-1.3011846606969243E-2</v>
      </c>
      <c r="D700" s="7">
        <f t="shared" si="31"/>
        <v>-1.1426547309231685</v>
      </c>
      <c r="E700" s="8">
        <f t="shared" si="32"/>
        <v>-1.8287952634066678</v>
      </c>
    </row>
    <row r="701" spans="1:5" x14ac:dyDescent="0.2">
      <c r="A701" s="1">
        <v>42635</v>
      </c>
      <c r="B701">
        <v>45307.58</v>
      </c>
      <c r="C701" s="6">
        <f t="shared" si="30"/>
        <v>2.283668315621272E-2</v>
      </c>
      <c r="D701" s="7">
        <f t="shared" si="31"/>
        <v>1.9506971013068655</v>
      </c>
      <c r="E701" s="8">
        <f t="shared" si="32"/>
        <v>-3.2146159928592319</v>
      </c>
    </row>
    <row r="702" spans="1:5" x14ac:dyDescent="0.2">
      <c r="A702" s="1">
        <v>42636</v>
      </c>
      <c r="B702">
        <v>45440.23</v>
      </c>
      <c r="C702" s="6">
        <f t="shared" si="30"/>
        <v>2.9234886104155503E-3</v>
      </c>
      <c r="D702" s="7">
        <f t="shared" si="31"/>
        <v>0.23239743209534827</v>
      </c>
      <c r="E702" s="8">
        <f t="shared" si="32"/>
        <v>-0.74387052829466993</v>
      </c>
    </row>
    <row r="703" spans="1:5" x14ac:dyDescent="0.2">
      <c r="A703" s="1">
        <v>42639</v>
      </c>
      <c r="B703">
        <v>44963.91</v>
      </c>
      <c r="C703" s="6">
        <f t="shared" si="30"/>
        <v>-1.053766802353788E-2</v>
      </c>
      <c r="D703" s="7">
        <f t="shared" si="31"/>
        <v>-0.92915908954313609</v>
      </c>
      <c r="E703" s="8">
        <f t="shared" si="32"/>
        <v>-1.4915726475579272</v>
      </c>
    </row>
    <row r="704" spans="1:5" x14ac:dyDescent="0.2">
      <c r="A704" s="1">
        <v>42640</v>
      </c>
      <c r="B704">
        <v>44397.13</v>
      </c>
      <c r="C704" s="6">
        <f t="shared" si="30"/>
        <v>-1.2685340286958689E-2</v>
      </c>
      <c r="D704" s="7">
        <f t="shared" si="31"/>
        <v>-1.1144806627002466</v>
      </c>
      <c r="E704" s="8">
        <f t="shared" si="32"/>
        <v>-1.7827510322448006</v>
      </c>
    </row>
    <row r="705" spans="1:5" x14ac:dyDescent="0.2">
      <c r="A705" s="1">
        <v>42641</v>
      </c>
      <c r="B705">
        <v>45234.26</v>
      </c>
      <c r="C705" s="6">
        <f t="shared" si="30"/>
        <v>1.8679936620549314E-2</v>
      </c>
      <c r="D705" s="7">
        <f t="shared" si="31"/>
        <v>1.5920135068288497</v>
      </c>
      <c r="E705" s="8">
        <f t="shared" si="32"/>
        <v>-2.5955050425969954</v>
      </c>
    </row>
    <row r="706" spans="1:5" x14ac:dyDescent="0.2">
      <c r="A706" s="1">
        <v>42642</v>
      </c>
      <c r="B706">
        <v>46095.38</v>
      </c>
      <c r="C706" s="6">
        <f t="shared" si="30"/>
        <v>1.8857963730955093E-2</v>
      </c>
      <c r="D706" s="7">
        <f t="shared" si="31"/>
        <v>1.6073753777841804</v>
      </c>
      <c r="E706" s="8">
        <f t="shared" si="32"/>
        <v>-2.6221885434764496</v>
      </c>
    </row>
    <row r="707" spans="1:5" x14ac:dyDescent="0.2">
      <c r="A707" s="1">
        <v>42643</v>
      </c>
      <c r="B707">
        <v>45425.59</v>
      </c>
      <c r="C707" s="6">
        <f t="shared" ref="C707:C770" si="33">LN(B707/B706)</f>
        <v>-1.4637125420438711E-2</v>
      </c>
      <c r="D707" s="7">
        <f t="shared" ref="D707:D770" si="34">(C707-$G$4)/$G$5</f>
        <v>-1.2828992326849664</v>
      </c>
      <c r="E707" s="8">
        <f t="shared" ref="E707:E770" si="35">LN((PI()*(G$3-2))^(-1/2)*EXP(GAMMALN((G$3+1)/2))*((1+D707^2/(G$3-2))^(-(G$3+1)/2))/EXP(GAMMALN(G$3/2)))</f>
        <v>-2.062963251399244</v>
      </c>
    </row>
    <row r="708" spans="1:5" x14ac:dyDescent="0.2">
      <c r="A708" s="1">
        <v>42646</v>
      </c>
      <c r="B708">
        <v>45107.14</v>
      </c>
      <c r="C708" s="6">
        <f t="shared" si="33"/>
        <v>-7.0350538063391945E-3</v>
      </c>
      <c r="D708" s="7">
        <f t="shared" si="34"/>
        <v>-0.62692024800787283</v>
      </c>
      <c r="E708" s="8">
        <f t="shared" si="35"/>
        <v>-1.081755196905702</v>
      </c>
    </row>
    <row r="709" spans="1:5" x14ac:dyDescent="0.2">
      <c r="A709" s="1">
        <v>42647</v>
      </c>
      <c r="B709">
        <v>45473.03</v>
      </c>
      <c r="C709" s="6">
        <f t="shared" si="33"/>
        <v>8.0788541260191533E-3</v>
      </c>
      <c r="D709" s="7">
        <f t="shared" si="34"/>
        <v>0.67725136247568396</v>
      </c>
      <c r="E709" s="8">
        <f t="shared" si="35"/>
        <v>-1.1426979102955921</v>
      </c>
    </row>
    <row r="710" spans="1:5" x14ac:dyDescent="0.2">
      <c r="A710" s="1">
        <v>42648</v>
      </c>
      <c r="B710">
        <v>45308.480000000003</v>
      </c>
      <c r="C710" s="6">
        <f t="shared" si="33"/>
        <v>-3.6251915221462137E-3</v>
      </c>
      <c r="D710" s="7">
        <f t="shared" si="34"/>
        <v>-0.33268492471454181</v>
      </c>
      <c r="E710" s="8">
        <f t="shared" si="35"/>
        <v>-0.8032775943192817</v>
      </c>
    </row>
    <row r="711" spans="1:5" x14ac:dyDescent="0.2">
      <c r="A711" s="1">
        <v>42649</v>
      </c>
      <c r="B711">
        <v>45051.08</v>
      </c>
      <c r="C711" s="6">
        <f t="shared" si="33"/>
        <v>-5.6972543079865092E-3</v>
      </c>
      <c r="D711" s="7">
        <f t="shared" si="34"/>
        <v>-0.51148219359605973</v>
      </c>
      <c r="E711" s="8">
        <f t="shared" si="35"/>
        <v>-0.95559183068325759</v>
      </c>
    </row>
    <row r="712" spans="1:5" x14ac:dyDescent="0.2">
      <c r="A712" s="1">
        <v>42650</v>
      </c>
      <c r="B712">
        <v>45112.11</v>
      </c>
      <c r="C712" s="6">
        <f t="shared" si="33"/>
        <v>1.3537677475860669E-3</v>
      </c>
      <c r="D712" s="7">
        <f t="shared" si="34"/>
        <v>9.6946998306280854E-2</v>
      </c>
      <c r="E712" s="8">
        <f t="shared" si="35"/>
        <v>-0.69620007432716879</v>
      </c>
    </row>
    <row r="713" spans="1:5" x14ac:dyDescent="0.2">
      <c r="A713" s="1">
        <v>42653</v>
      </c>
      <c r="B713">
        <v>45118.12</v>
      </c>
      <c r="C713" s="6">
        <f t="shared" si="33"/>
        <v>1.3321477755046454E-4</v>
      </c>
      <c r="D713" s="7">
        <f t="shared" si="34"/>
        <v>-8.3739113972783122E-3</v>
      </c>
      <c r="E713" s="8">
        <f t="shared" si="35"/>
        <v>-0.68612761967180058</v>
      </c>
    </row>
    <row r="714" spans="1:5" x14ac:dyDescent="0.2">
      <c r="A714" s="1">
        <v>42654</v>
      </c>
      <c r="B714">
        <v>45395.72</v>
      </c>
      <c r="C714" s="6">
        <f t="shared" si="33"/>
        <v>6.1338878205013042E-3</v>
      </c>
      <c r="D714" s="7">
        <f t="shared" si="34"/>
        <v>0.50942118576984607</v>
      </c>
      <c r="E714" s="8">
        <f t="shared" si="35"/>
        <v>-0.95352467789353135</v>
      </c>
    </row>
    <row r="715" spans="1:5" x14ac:dyDescent="0.2">
      <c r="A715" s="1">
        <v>42655</v>
      </c>
      <c r="B715">
        <v>45048.57</v>
      </c>
      <c r="C715" s="6">
        <f t="shared" si="33"/>
        <v>-7.6765864333397105E-3</v>
      </c>
      <c r="D715" s="7">
        <f t="shared" si="34"/>
        <v>-0.68227777983071336</v>
      </c>
      <c r="E715" s="8">
        <f t="shared" si="35"/>
        <v>-1.1489665550936778</v>
      </c>
    </row>
    <row r="716" spans="1:5" x14ac:dyDescent="0.2">
      <c r="A716" s="1">
        <v>42656</v>
      </c>
      <c r="B716">
        <v>44005.78</v>
      </c>
      <c r="C716" s="6">
        <f t="shared" si="33"/>
        <v>-2.3420252115040896E-2</v>
      </c>
      <c r="D716" s="7">
        <f t="shared" si="34"/>
        <v>-2.0407908737909923</v>
      </c>
      <c r="E716" s="8">
        <f t="shared" si="35"/>
        <v>-3.3674744069733622</v>
      </c>
    </row>
    <row r="717" spans="1:5" x14ac:dyDescent="0.2">
      <c r="A717" s="1">
        <v>42657</v>
      </c>
      <c r="B717">
        <v>44658.61</v>
      </c>
      <c r="C717" s="6">
        <f t="shared" si="33"/>
        <v>1.4726132952105285E-2</v>
      </c>
      <c r="D717" s="7">
        <f t="shared" si="34"/>
        <v>1.2508417515893797</v>
      </c>
      <c r="E717" s="8">
        <f t="shared" si="35"/>
        <v>-2.0088094643345165</v>
      </c>
    </row>
    <row r="718" spans="1:5" x14ac:dyDescent="0.2">
      <c r="A718" s="1">
        <v>42660</v>
      </c>
      <c r="B718">
        <v>44253.15</v>
      </c>
      <c r="C718" s="6">
        <f t="shared" si="33"/>
        <v>-9.1205665183010792E-3</v>
      </c>
      <c r="D718" s="7">
        <f t="shared" si="34"/>
        <v>-0.80687810433569407</v>
      </c>
      <c r="E718" s="8">
        <f t="shared" si="35"/>
        <v>-1.3140054333019453</v>
      </c>
    </row>
    <row r="719" spans="1:5" x14ac:dyDescent="0.2">
      <c r="A719" s="1">
        <v>42661</v>
      </c>
      <c r="B719">
        <v>44543.12</v>
      </c>
      <c r="C719" s="6">
        <f t="shared" si="33"/>
        <v>6.5311534086985538E-3</v>
      </c>
      <c r="D719" s="7">
        <f t="shared" si="34"/>
        <v>0.54370103610819998</v>
      </c>
      <c r="E719" s="8">
        <f t="shared" si="35"/>
        <v>-0.98878118583705787</v>
      </c>
    </row>
    <row r="720" spans="1:5" x14ac:dyDescent="0.2">
      <c r="A720" s="1">
        <v>42662</v>
      </c>
      <c r="B720">
        <v>44939.76</v>
      </c>
      <c r="C720" s="6">
        <f t="shared" si="33"/>
        <v>8.8652175193036364E-3</v>
      </c>
      <c r="D720" s="7">
        <f t="shared" si="34"/>
        <v>0.7451062692036432</v>
      </c>
      <c r="E720" s="8">
        <f t="shared" si="35"/>
        <v>-1.2299536772110118</v>
      </c>
    </row>
    <row r="721" spans="1:5" x14ac:dyDescent="0.2">
      <c r="A721" s="1">
        <v>42663</v>
      </c>
      <c r="B721">
        <v>44865.96</v>
      </c>
      <c r="C721" s="6">
        <f t="shared" si="33"/>
        <v>-1.6435482419760515E-3</v>
      </c>
      <c r="D721" s="7">
        <f t="shared" si="34"/>
        <v>-0.16168991007836536</v>
      </c>
      <c r="E721" s="8">
        <f t="shared" si="35"/>
        <v>-0.71418946758015711</v>
      </c>
    </row>
    <row r="722" spans="1:5" x14ac:dyDescent="0.2">
      <c r="A722" s="1">
        <v>42664</v>
      </c>
      <c r="B722">
        <v>45069.02</v>
      </c>
      <c r="C722" s="6">
        <f t="shared" si="33"/>
        <v>4.5157144652957261E-3</v>
      </c>
      <c r="D722" s="7">
        <f t="shared" si="34"/>
        <v>0.36978981047333531</v>
      </c>
      <c r="E722" s="8">
        <f t="shared" si="35"/>
        <v>-0.83018231480199867</v>
      </c>
    </row>
    <row r="723" spans="1:5" x14ac:dyDescent="0.2">
      <c r="A723" s="1">
        <v>42667</v>
      </c>
      <c r="B723">
        <v>45134.28</v>
      </c>
      <c r="C723" s="6">
        <f t="shared" si="33"/>
        <v>1.4469539670081337E-3</v>
      </c>
      <c r="D723" s="7">
        <f t="shared" si="34"/>
        <v>0.10498799090743052</v>
      </c>
      <c r="E723" s="8">
        <f t="shared" si="35"/>
        <v>-0.69794959893840569</v>
      </c>
    </row>
    <row r="724" spans="1:5" x14ac:dyDescent="0.2">
      <c r="A724" s="1">
        <v>42668</v>
      </c>
      <c r="B724">
        <v>45201.599999999999</v>
      </c>
      <c r="C724" s="6">
        <f t="shared" si="33"/>
        <v>1.4904379624593456E-3</v>
      </c>
      <c r="D724" s="7">
        <f t="shared" si="34"/>
        <v>0.10874020328239486</v>
      </c>
      <c r="E724" s="8">
        <f t="shared" si="35"/>
        <v>-0.69881326253191234</v>
      </c>
    </row>
    <row r="725" spans="1:5" x14ac:dyDescent="0.2">
      <c r="A725" s="1">
        <v>42669</v>
      </c>
      <c r="B725">
        <v>45011.09</v>
      </c>
      <c r="C725" s="6">
        <f t="shared" si="33"/>
        <v>-4.2235805894510993E-3</v>
      </c>
      <c r="D725" s="7">
        <f t="shared" si="34"/>
        <v>-0.38431962019471949</v>
      </c>
      <c r="E725" s="8">
        <f t="shared" si="35"/>
        <v>-0.84141525179230092</v>
      </c>
    </row>
    <row r="726" spans="1:5" x14ac:dyDescent="0.2">
      <c r="A726" s="1">
        <v>42670</v>
      </c>
      <c r="B726">
        <v>44591.05</v>
      </c>
      <c r="C726" s="6">
        <f t="shared" si="33"/>
        <v>-9.3757376094912841E-3</v>
      </c>
      <c r="D726" s="7">
        <f t="shared" si="34"/>
        <v>-0.82889669108610631</v>
      </c>
      <c r="E726" s="8">
        <f t="shared" si="35"/>
        <v>-1.3449400213477343</v>
      </c>
    </row>
    <row r="727" spans="1:5" x14ac:dyDescent="0.2">
      <c r="A727" s="1">
        <v>42671</v>
      </c>
      <c r="B727">
        <v>44308.17</v>
      </c>
      <c r="C727" s="6">
        <f t="shared" si="33"/>
        <v>-6.3640818165918807E-3</v>
      </c>
      <c r="D727" s="7">
        <f t="shared" si="34"/>
        <v>-0.56902240819209415</v>
      </c>
      <c r="E727" s="8">
        <f t="shared" si="35"/>
        <v>-1.0159915375371582</v>
      </c>
    </row>
    <row r="728" spans="1:5" x14ac:dyDescent="0.2">
      <c r="A728" s="1">
        <v>42674</v>
      </c>
      <c r="B728">
        <v>44019.39</v>
      </c>
      <c r="C728" s="6">
        <f t="shared" si="33"/>
        <v>-6.5388657615092121E-3</v>
      </c>
      <c r="D728" s="7">
        <f t="shared" si="34"/>
        <v>-0.584104428007861</v>
      </c>
      <c r="E728" s="8">
        <f t="shared" si="35"/>
        <v>-1.0326556308524051</v>
      </c>
    </row>
    <row r="729" spans="1:5" x14ac:dyDescent="0.2">
      <c r="A729" s="1">
        <v>42675</v>
      </c>
      <c r="B729">
        <v>44444.480000000003</v>
      </c>
      <c r="C729" s="6">
        <f t="shared" si="33"/>
        <v>9.6105511067146078E-3</v>
      </c>
      <c r="D729" s="7">
        <f t="shared" si="34"/>
        <v>0.80942073435663942</v>
      </c>
      <c r="E729" s="8">
        <f t="shared" si="35"/>
        <v>-1.3175525097482543</v>
      </c>
    </row>
    <row r="730" spans="1:5" x14ac:dyDescent="0.2">
      <c r="A730" s="1">
        <v>42676</v>
      </c>
      <c r="B730">
        <v>43835.34</v>
      </c>
      <c r="C730" s="6">
        <f t="shared" si="33"/>
        <v>-1.3800428401900464E-2</v>
      </c>
      <c r="D730" s="7">
        <f t="shared" si="34"/>
        <v>-1.2107010624276497</v>
      </c>
      <c r="E730" s="8">
        <f t="shared" si="35"/>
        <v>-1.9414834345163823</v>
      </c>
    </row>
    <row r="731" spans="1:5" x14ac:dyDescent="0.2">
      <c r="A731" s="1">
        <v>42677</v>
      </c>
      <c r="B731">
        <v>43712.31</v>
      </c>
      <c r="C731" s="6">
        <f t="shared" si="33"/>
        <v>-2.8105855722796976E-3</v>
      </c>
      <c r="D731" s="7">
        <f t="shared" si="34"/>
        <v>-0.26239298180331294</v>
      </c>
      <c r="E731" s="8">
        <f t="shared" si="35"/>
        <v>-0.75955137243729209</v>
      </c>
    </row>
    <row r="732" spans="1:5" x14ac:dyDescent="0.2">
      <c r="A732" s="1">
        <v>42678</v>
      </c>
      <c r="B732">
        <v>43229.65</v>
      </c>
      <c r="C732" s="6">
        <f t="shared" si="33"/>
        <v>-1.1103153379966955E-2</v>
      </c>
      <c r="D732" s="7">
        <f t="shared" si="34"/>
        <v>-0.97795454015058847</v>
      </c>
      <c r="E732" s="8">
        <f t="shared" si="35"/>
        <v>-1.56598489316449</v>
      </c>
    </row>
    <row r="733" spans="1:5" x14ac:dyDescent="0.2">
      <c r="A733" s="1">
        <v>42681</v>
      </c>
      <c r="B733">
        <v>43842.82</v>
      </c>
      <c r="C733" s="6">
        <f t="shared" si="33"/>
        <v>1.4084362971230361E-2</v>
      </c>
      <c r="D733" s="7">
        <f t="shared" si="34"/>
        <v>1.1954637386185776</v>
      </c>
      <c r="E733" s="8">
        <f t="shared" si="35"/>
        <v>-1.91608232035072</v>
      </c>
    </row>
    <row r="734" spans="1:5" x14ac:dyDescent="0.2">
      <c r="A734" s="1">
        <v>42682</v>
      </c>
      <c r="B734">
        <v>44199.79</v>
      </c>
      <c r="C734" s="6">
        <f t="shared" si="33"/>
        <v>8.1090725526181354E-3</v>
      </c>
      <c r="D734" s="7">
        <f t="shared" si="34"/>
        <v>0.67985889550157319</v>
      </c>
      <c r="E734" s="8">
        <f t="shared" si="35"/>
        <v>-1.1459458411641616</v>
      </c>
    </row>
    <row r="735" spans="1:5" x14ac:dyDescent="0.2">
      <c r="A735" s="1">
        <v>42683</v>
      </c>
      <c r="B735">
        <v>44494.27</v>
      </c>
      <c r="C735" s="6">
        <f t="shared" si="33"/>
        <v>6.6403788953052299E-3</v>
      </c>
      <c r="D735" s="7">
        <f t="shared" si="34"/>
        <v>0.55312604911021124</v>
      </c>
      <c r="E735" s="8">
        <f t="shared" si="35"/>
        <v>-0.99879547253093159</v>
      </c>
    </row>
    <row r="736" spans="1:5" x14ac:dyDescent="0.2">
      <c r="A736" s="1">
        <v>42684</v>
      </c>
      <c r="B736">
        <v>45022.99</v>
      </c>
      <c r="C736" s="6">
        <f t="shared" si="33"/>
        <v>1.1812831363462551E-2</v>
      </c>
      <c r="D736" s="7">
        <f t="shared" si="34"/>
        <v>0.99945440414166764</v>
      </c>
      <c r="E736" s="8">
        <f t="shared" si="35"/>
        <v>-1.5993307564247248</v>
      </c>
    </row>
    <row r="737" spans="1:5" x14ac:dyDescent="0.2">
      <c r="A737" s="1">
        <v>42685</v>
      </c>
      <c r="B737">
        <v>43995.65</v>
      </c>
      <c r="C737" s="6">
        <f t="shared" si="33"/>
        <v>-2.3082482805345677E-2</v>
      </c>
      <c r="D737" s="7">
        <f t="shared" si="34"/>
        <v>-2.0116449277809587</v>
      </c>
      <c r="E737" s="8">
        <f t="shared" si="35"/>
        <v>-3.3181865761369602</v>
      </c>
    </row>
    <row r="738" spans="1:5" x14ac:dyDescent="0.2">
      <c r="A738" s="1">
        <v>42688</v>
      </c>
      <c r="B738">
        <v>43466.18</v>
      </c>
      <c r="C738" s="6">
        <f t="shared" si="33"/>
        <v>-1.2107600951820853E-2</v>
      </c>
      <c r="D738" s="7">
        <f t="shared" si="34"/>
        <v>-1.0646278223548813</v>
      </c>
      <c r="E738" s="8">
        <f t="shared" si="35"/>
        <v>-1.70229195363837</v>
      </c>
    </row>
    <row r="739" spans="1:5" x14ac:dyDescent="0.2">
      <c r="A739" s="1">
        <v>42689</v>
      </c>
      <c r="B739">
        <v>43088.09</v>
      </c>
      <c r="C739" s="6">
        <f t="shared" si="33"/>
        <v>-8.7365396270761859E-3</v>
      </c>
      <c r="D739" s="7">
        <f t="shared" si="34"/>
        <v>-0.77374061458524457</v>
      </c>
      <c r="E739" s="8">
        <f t="shared" si="35"/>
        <v>-1.26839813592041</v>
      </c>
    </row>
    <row r="740" spans="1:5" x14ac:dyDescent="0.2">
      <c r="A740" s="1">
        <v>42690</v>
      </c>
      <c r="B740">
        <v>43592.38</v>
      </c>
      <c r="C740" s="6">
        <f t="shared" si="33"/>
        <v>1.1635739622949394E-2</v>
      </c>
      <c r="D740" s="7">
        <f t="shared" si="34"/>
        <v>0.98417324578990173</v>
      </c>
      <c r="E740" s="8">
        <f t="shared" si="35"/>
        <v>-1.575596304431075</v>
      </c>
    </row>
    <row r="741" spans="1:5" x14ac:dyDescent="0.2">
      <c r="A741" s="1">
        <v>42691</v>
      </c>
      <c r="B741">
        <v>44171.47</v>
      </c>
      <c r="C741" s="6">
        <f t="shared" si="33"/>
        <v>1.31967411231644E-2</v>
      </c>
      <c r="D741" s="7">
        <f t="shared" si="34"/>
        <v>1.1188712901086741</v>
      </c>
      <c r="E741" s="8">
        <f t="shared" si="35"/>
        <v>-1.7899006790454706</v>
      </c>
    </row>
    <row r="742" spans="1:5" x14ac:dyDescent="0.2">
      <c r="A742" s="1">
        <v>42692</v>
      </c>
      <c r="B742">
        <v>44216.56</v>
      </c>
      <c r="C742" s="6">
        <f t="shared" si="33"/>
        <v>1.0202739875841331E-3</v>
      </c>
      <c r="D742" s="7">
        <f t="shared" si="34"/>
        <v>6.8169987356203374E-2</v>
      </c>
      <c r="E742" s="8">
        <f t="shared" si="35"/>
        <v>-0.69107415867369104</v>
      </c>
    </row>
    <row r="743" spans="1:5" x14ac:dyDescent="0.2">
      <c r="A743" s="1">
        <v>42695</v>
      </c>
      <c r="B743">
        <v>44169.8</v>
      </c>
      <c r="C743" s="6">
        <f t="shared" si="33"/>
        <v>-1.0580819113369193E-3</v>
      </c>
      <c r="D743" s="7">
        <f t="shared" si="34"/>
        <v>-0.11117031112812928</v>
      </c>
      <c r="E743" s="8">
        <f t="shared" si="35"/>
        <v>-0.69938864271163381</v>
      </c>
    </row>
    <row r="744" spans="1:5" x14ac:dyDescent="0.2">
      <c r="A744" s="1">
        <v>42696</v>
      </c>
      <c r="B744">
        <v>44575.06</v>
      </c>
      <c r="C744" s="6">
        <f t="shared" si="33"/>
        <v>9.1332121562581088E-3</v>
      </c>
      <c r="D744" s="7">
        <f t="shared" si="34"/>
        <v>0.76823139335036239</v>
      </c>
      <c r="E744" s="8">
        <f t="shared" si="35"/>
        <v>-1.2609303656189887</v>
      </c>
    </row>
    <row r="745" spans="1:5" x14ac:dyDescent="0.2">
      <c r="A745" s="1">
        <v>42697</v>
      </c>
      <c r="B745">
        <v>44076.88</v>
      </c>
      <c r="C745" s="6">
        <f t="shared" si="33"/>
        <v>-1.1239127853953715E-2</v>
      </c>
      <c r="D745" s="7">
        <f t="shared" si="34"/>
        <v>-0.98968770999108358</v>
      </c>
      <c r="E745" s="8">
        <f t="shared" si="35"/>
        <v>-1.5841423700688135</v>
      </c>
    </row>
    <row r="746" spans="1:5" x14ac:dyDescent="0.2">
      <c r="A746" s="1">
        <v>42698</v>
      </c>
      <c r="B746">
        <v>44082.2</v>
      </c>
      <c r="C746" s="6">
        <f t="shared" si="33"/>
        <v>1.206909147976525E-4</v>
      </c>
      <c r="D746" s="7">
        <f t="shared" si="34"/>
        <v>-9.4545892953380832E-3</v>
      </c>
      <c r="E746" s="8">
        <f t="shared" si="35"/>
        <v>-0.686148460395273</v>
      </c>
    </row>
    <row r="747" spans="1:5" x14ac:dyDescent="0.2">
      <c r="A747" s="1">
        <v>42699</v>
      </c>
      <c r="B747">
        <v>44208.66</v>
      </c>
      <c r="C747" s="6">
        <f t="shared" si="33"/>
        <v>2.8646246390247061E-3</v>
      </c>
      <c r="D747" s="7">
        <f t="shared" si="34"/>
        <v>0.22731808923367211</v>
      </c>
      <c r="E747" s="8">
        <f t="shared" si="35"/>
        <v>-0.74139537531271993</v>
      </c>
    </row>
    <row r="748" spans="1:5" x14ac:dyDescent="0.2">
      <c r="A748" s="1">
        <v>42702</v>
      </c>
      <c r="B748">
        <v>43616.91</v>
      </c>
      <c r="C748" s="6">
        <f t="shared" si="33"/>
        <v>-1.3475778294527818E-2</v>
      </c>
      <c r="D748" s="7">
        <f t="shared" si="34"/>
        <v>-1.1826871658715274</v>
      </c>
      <c r="E748" s="8">
        <f t="shared" si="35"/>
        <v>-1.8948546165372042</v>
      </c>
    </row>
    <row r="749" spans="1:5" x14ac:dyDescent="0.2">
      <c r="A749" s="1">
        <v>42703</v>
      </c>
      <c r="B749">
        <v>43602.720000000001</v>
      </c>
      <c r="C749" s="6">
        <f t="shared" si="33"/>
        <v>-3.2538546942240441E-4</v>
      </c>
      <c r="D749" s="7">
        <f t="shared" si="34"/>
        <v>-4.7946298984890001E-2</v>
      </c>
      <c r="E749" s="8">
        <f t="shared" si="35"/>
        <v>-0.68853737101032286</v>
      </c>
    </row>
    <row r="750" spans="1:5" x14ac:dyDescent="0.2">
      <c r="A750" s="1">
        <v>42704</v>
      </c>
      <c r="B750">
        <v>43691.42</v>
      </c>
      <c r="C750" s="6">
        <f t="shared" si="33"/>
        <v>2.0322104216087132E-3</v>
      </c>
      <c r="D750" s="7">
        <f t="shared" si="34"/>
        <v>0.15548947975851646</v>
      </c>
      <c r="E750" s="8">
        <f t="shared" si="35"/>
        <v>-0.71208266010509214</v>
      </c>
    </row>
    <row r="751" spans="1:5" x14ac:dyDescent="0.2">
      <c r="A751" s="1">
        <v>42705</v>
      </c>
      <c r="B751">
        <v>43412.41</v>
      </c>
      <c r="C751" s="6">
        <f t="shared" si="33"/>
        <v>-6.4063992193891372E-3</v>
      </c>
      <c r="D751" s="7">
        <f t="shared" si="34"/>
        <v>-0.57267395586623482</v>
      </c>
      <c r="E751" s="8">
        <f t="shared" si="35"/>
        <v>-1.0199952135517021</v>
      </c>
    </row>
    <row r="752" spans="1:5" x14ac:dyDescent="0.2">
      <c r="A752" s="1">
        <v>42706</v>
      </c>
      <c r="B752">
        <v>42822.16</v>
      </c>
      <c r="C752" s="6">
        <f t="shared" si="33"/>
        <v>-1.3689619325241766E-2</v>
      </c>
      <c r="D752" s="7">
        <f t="shared" si="34"/>
        <v>-1.2011394022264008</v>
      </c>
      <c r="E752" s="8">
        <f t="shared" si="35"/>
        <v>-1.92553324928184</v>
      </c>
    </row>
    <row r="753" spans="1:5" x14ac:dyDescent="0.2">
      <c r="A753" s="1">
        <v>42709</v>
      </c>
      <c r="B753">
        <v>43192.44</v>
      </c>
      <c r="C753" s="6">
        <f t="shared" si="33"/>
        <v>8.6097543285939757E-3</v>
      </c>
      <c r="D753" s="7">
        <f t="shared" si="34"/>
        <v>0.7230624773307428</v>
      </c>
      <c r="E753" s="8">
        <f t="shared" si="35"/>
        <v>-1.2009973511487273</v>
      </c>
    </row>
    <row r="754" spans="1:5" x14ac:dyDescent="0.2">
      <c r="A754" s="1">
        <v>42710</v>
      </c>
      <c r="B754">
        <v>42422.36</v>
      </c>
      <c r="C754" s="6">
        <f t="shared" si="33"/>
        <v>-1.7989898211920579E-2</v>
      </c>
      <c r="D754" s="7">
        <f t="shared" si="34"/>
        <v>-1.5722083320007556</v>
      </c>
      <c r="E754" s="8">
        <f t="shared" si="35"/>
        <v>-2.5611071847116378</v>
      </c>
    </row>
    <row r="755" spans="1:5" x14ac:dyDescent="0.2">
      <c r="A755" s="1">
        <v>42711</v>
      </c>
      <c r="B755">
        <v>42927.17</v>
      </c>
      <c r="C755" s="6">
        <f t="shared" si="33"/>
        <v>1.1829377072530551E-2</v>
      </c>
      <c r="D755" s="7">
        <f t="shared" si="34"/>
        <v>1.000882125161167</v>
      </c>
      <c r="E755" s="8">
        <f t="shared" si="35"/>
        <v>-1.6015565735146891</v>
      </c>
    </row>
    <row r="756" spans="1:5" x14ac:dyDescent="0.2">
      <c r="A756" s="1">
        <v>42712</v>
      </c>
      <c r="B756">
        <v>43891.07</v>
      </c>
      <c r="C756" s="6">
        <f t="shared" si="33"/>
        <v>2.2205923736230891E-2</v>
      </c>
      <c r="D756" s="7">
        <f t="shared" si="34"/>
        <v>1.896269184168097</v>
      </c>
      <c r="E756" s="8">
        <f t="shared" si="35"/>
        <v>-3.1215960943821424</v>
      </c>
    </row>
    <row r="757" spans="1:5" x14ac:dyDescent="0.2">
      <c r="A757" s="1">
        <v>42713</v>
      </c>
      <c r="B757">
        <v>44220.24</v>
      </c>
      <c r="C757" s="6">
        <f t="shared" si="33"/>
        <v>7.4717202903656623E-3</v>
      </c>
      <c r="D757" s="7">
        <f t="shared" si="34"/>
        <v>0.62486208527702891</v>
      </c>
      <c r="E757" s="8">
        <f t="shared" si="35"/>
        <v>-1.0793358372699648</v>
      </c>
    </row>
    <row r="758" spans="1:5" x14ac:dyDescent="0.2">
      <c r="A758" s="1">
        <v>42716</v>
      </c>
      <c r="B758">
        <v>43892.51</v>
      </c>
      <c r="C758" s="6">
        <f t="shared" si="33"/>
        <v>-7.4389123324278151E-3</v>
      </c>
      <c r="D758" s="7">
        <f t="shared" si="34"/>
        <v>-0.66176899968306757</v>
      </c>
      <c r="E758" s="8">
        <f t="shared" si="35"/>
        <v>-1.1235938561638896</v>
      </c>
    </row>
    <row r="759" spans="1:5" x14ac:dyDescent="0.2">
      <c r="A759" s="1">
        <v>42717</v>
      </c>
      <c r="B759">
        <v>44170.66</v>
      </c>
      <c r="C759" s="6">
        <f t="shared" si="33"/>
        <v>6.3170772747520552E-3</v>
      </c>
      <c r="D759" s="7">
        <f t="shared" si="34"/>
        <v>0.52522851281213312</v>
      </c>
      <c r="E759" s="8">
        <f t="shared" si="35"/>
        <v>-0.96955243085408227</v>
      </c>
    </row>
    <row r="760" spans="1:5" x14ac:dyDescent="0.2">
      <c r="A760" s="1">
        <v>42718</v>
      </c>
      <c r="B760">
        <v>44051.7</v>
      </c>
      <c r="C760" s="6">
        <f t="shared" si="33"/>
        <v>-2.6968236192788618E-3</v>
      </c>
      <c r="D760" s="7">
        <f t="shared" si="34"/>
        <v>-0.25257651936878867</v>
      </c>
      <c r="E760" s="8">
        <f t="shared" si="35"/>
        <v>-0.7542202012224184</v>
      </c>
    </row>
    <row r="761" spans="1:5" x14ac:dyDescent="0.2">
      <c r="A761" s="1">
        <v>42719</v>
      </c>
      <c r="B761">
        <v>43165.26</v>
      </c>
      <c r="C761" s="6">
        <f t="shared" si="33"/>
        <v>-2.0327939078097507E-2</v>
      </c>
      <c r="D761" s="7">
        <f t="shared" si="34"/>
        <v>-1.7739567173597859</v>
      </c>
      <c r="E761" s="8">
        <f t="shared" si="35"/>
        <v>-2.9110490224877639</v>
      </c>
    </row>
    <row r="762" spans="1:5" x14ac:dyDescent="0.2">
      <c r="A762" s="1">
        <v>42723</v>
      </c>
      <c r="B762">
        <v>43332.17</v>
      </c>
      <c r="C762" s="6">
        <f t="shared" si="33"/>
        <v>3.8593102053297635E-3</v>
      </c>
      <c r="D762" s="7">
        <f t="shared" si="34"/>
        <v>0.31314901282660129</v>
      </c>
      <c r="E762" s="8">
        <f t="shared" si="35"/>
        <v>-0.79016048199698807</v>
      </c>
    </row>
    <row r="763" spans="1:5" x14ac:dyDescent="0.2">
      <c r="A763" s="1">
        <v>42724</v>
      </c>
      <c r="B763">
        <v>43755.03</v>
      </c>
      <c r="C763" s="6">
        <f t="shared" si="33"/>
        <v>9.7112623502246774E-3</v>
      </c>
      <c r="D763" s="7">
        <f t="shared" si="34"/>
        <v>0.81811105754969815</v>
      </c>
      <c r="E763" s="8">
        <f t="shared" si="35"/>
        <v>-1.3297257718127453</v>
      </c>
    </row>
    <row r="764" spans="1:5" x14ac:dyDescent="0.2">
      <c r="A764" s="1">
        <v>42725</v>
      </c>
      <c r="B764">
        <v>43563.99</v>
      </c>
      <c r="C764" s="6">
        <f t="shared" si="33"/>
        <v>-4.3756859574057578E-3</v>
      </c>
      <c r="D764" s="7">
        <f t="shared" si="34"/>
        <v>-0.39744471686570787</v>
      </c>
      <c r="E764" s="8">
        <f t="shared" si="35"/>
        <v>-0.85189346424139112</v>
      </c>
    </row>
    <row r="765" spans="1:5" x14ac:dyDescent="0.2">
      <c r="A765" s="1">
        <v>42726</v>
      </c>
      <c r="B765">
        <v>43284.11</v>
      </c>
      <c r="C765" s="6">
        <f t="shared" si="33"/>
        <v>-6.4452986051347872E-3</v>
      </c>
      <c r="D765" s="7">
        <f t="shared" si="34"/>
        <v>-0.57603056454625134</v>
      </c>
      <c r="E765" s="8">
        <f t="shared" si="35"/>
        <v>-1.023692991418488</v>
      </c>
    </row>
    <row r="766" spans="1:5" x14ac:dyDescent="0.2">
      <c r="A766" s="1">
        <v>42727</v>
      </c>
      <c r="B766">
        <v>42860.5</v>
      </c>
      <c r="C766" s="6">
        <f t="shared" si="33"/>
        <v>-9.8349371946203738E-3</v>
      </c>
      <c r="D766" s="7">
        <f t="shared" si="34"/>
        <v>-0.86852079526560944</v>
      </c>
      <c r="E766" s="8">
        <f t="shared" si="35"/>
        <v>-1.4018042328241866</v>
      </c>
    </row>
    <row r="767" spans="1:5" x14ac:dyDescent="0.2">
      <c r="A767" s="1">
        <v>42732</v>
      </c>
      <c r="B767">
        <v>43682.37</v>
      </c>
      <c r="C767" s="6">
        <f t="shared" si="33"/>
        <v>1.8993932340157022E-2</v>
      </c>
      <c r="D767" s="7">
        <f t="shared" si="34"/>
        <v>1.6191080415553045</v>
      </c>
      <c r="E767" s="8">
        <f t="shared" si="35"/>
        <v>-2.6425680904948137</v>
      </c>
    </row>
    <row r="768" spans="1:5" x14ac:dyDescent="0.2">
      <c r="A768" s="1">
        <v>42733</v>
      </c>
      <c r="B768">
        <v>43977.34</v>
      </c>
      <c r="C768" s="6">
        <f t="shared" si="33"/>
        <v>6.7299130537304018E-3</v>
      </c>
      <c r="D768" s="7">
        <f t="shared" si="34"/>
        <v>0.56085190718141531</v>
      </c>
      <c r="E768" s="8">
        <f t="shared" si="35"/>
        <v>-1.007105390551521</v>
      </c>
    </row>
    <row r="769" spans="1:7" x14ac:dyDescent="0.2">
      <c r="A769" s="1">
        <v>42734</v>
      </c>
      <c r="B769">
        <v>43901.99</v>
      </c>
      <c r="C769" s="6">
        <f t="shared" si="33"/>
        <v>-1.7148519103468915E-3</v>
      </c>
      <c r="D769" s="7">
        <f t="shared" si="34"/>
        <v>-0.16784266821535856</v>
      </c>
      <c r="E769" s="8">
        <f t="shared" si="35"/>
        <v>-0.71635983508338397</v>
      </c>
      <c r="F769" s="18"/>
      <c r="G769" s="18"/>
    </row>
    <row r="770" spans="1:7" x14ac:dyDescent="0.2">
      <c r="A770" s="1">
        <v>42738</v>
      </c>
      <c r="B770">
        <v>44261.26</v>
      </c>
      <c r="C770" s="6">
        <f t="shared" si="33"/>
        <v>8.1501530106200138E-3</v>
      </c>
      <c r="D770" s="7">
        <f t="shared" si="34"/>
        <v>0.6834037078235411</v>
      </c>
      <c r="E770" s="8">
        <f t="shared" si="35"/>
        <v>-1.1503751594954363</v>
      </c>
    </row>
    <row r="771" spans="1:7" x14ac:dyDescent="0.2">
      <c r="A771" s="1">
        <v>42739</v>
      </c>
      <c r="B771">
        <v>43963.22</v>
      </c>
      <c r="C771" s="6">
        <f t="shared" ref="C771:C834" si="36">LN(B771/B770)</f>
        <v>-6.7564270999560154E-3</v>
      </c>
      <c r="D771" s="7">
        <f t="shared" ref="D771:D834" si="37">(C771-$G$4)/$G$5</f>
        <v>-0.60287768786963736</v>
      </c>
      <c r="E771" s="8">
        <f t="shared" ref="E771:E834" si="38">LN((PI()*(G$3-2))^(-1/2)*EXP(GAMMALN((G$3+1)/2))*((1+D771^2/(G$3-2))^(-(G$3+1)/2))/EXP(GAMMALN(G$3/2)))</f>
        <v>-1.0538626815762999</v>
      </c>
    </row>
    <row r="772" spans="1:7" x14ac:dyDescent="0.2">
      <c r="A772" s="1">
        <v>42740</v>
      </c>
      <c r="B772">
        <v>43681.89</v>
      </c>
      <c r="C772" s="6">
        <f t="shared" si="36"/>
        <v>-6.4197755291976301E-3</v>
      </c>
      <c r="D772" s="7">
        <f t="shared" si="37"/>
        <v>-0.57382819099743609</v>
      </c>
      <c r="E772" s="8">
        <f t="shared" si="38"/>
        <v>-1.0212648810263576</v>
      </c>
    </row>
    <row r="773" spans="1:7" x14ac:dyDescent="0.2">
      <c r="A773" s="1">
        <v>42741</v>
      </c>
      <c r="B773">
        <v>44456.49</v>
      </c>
      <c r="C773" s="6">
        <f t="shared" si="36"/>
        <v>1.7577358319789172E-2</v>
      </c>
      <c r="D773" s="7">
        <f t="shared" si="37"/>
        <v>1.4968725727552752</v>
      </c>
      <c r="E773" s="8">
        <f t="shared" si="38"/>
        <v>-2.4303961802052778</v>
      </c>
    </row>
    <row r="774" spans="1:7" x14ac:dyDescent="0.2">
      <c r="A774" s="1">
        <v>42744</v>
      </c>
      <c r="B774">
        <v>44306.47</v>
      </c>
      <c r="C774" s="6">
        <f t="shared" si="36"/>
        <v>-3.3802420028458363E-3</v>
      </c>
      <c r="D774" s="7">
        <f t="shared" si="37"/>
        <v>-0.31154835232685368</v>
      </c>
      <c r="E774" s="8">
        <f t="shared" si="38"/>
        <v>-0.78911827184459149</v>
      </c>
    </row>
    <row r="775" spans="1:7" x14ac:dyDescent="0.2">
      <c r="A775" s="1">
        <v>42745</v>
      </c>
      <c r="B775">
        <v>45019.8</v>
      </c>
      <c r="C775" s="6">
        <f t="shared" si="36"/>
        <v>1.597167695042901E-2</v>
      </c>
      <c r="D775" s="7">
        <f t="shared" si="37"/>
        <v>1.358319124714314</v>
      </c>
      <c r="E775" s="8">
        <f t="shared" si="38"/>
        <v>-2.1914843629229628</v>
      </c>
    </row>
    <row r="776" spans="1:7" x14ac:dyDescent="0.2">
      <c r="A776" s="1">
        <v>42746</v>
      </c>
      <c r="B776">
        <v>45745.62</v>
      </c>
      <c r="C776" s="6">
        <f t="shared" si="36"/>
        <v>1.5993656434760525E-2</v>
      </c>
      <c r="D776" s="7">
        <f t="shared" si="37"/>
        <v>1.3602157235030929</v>
      </c>
      <c r="E776" s="8">
        <f t="shared" si="38"/>
        <v>-2.1947335492590967</v>
      </c>
    </row>
    <row r="777" spans="1:7" x14ac:dyDescent="0.2">
      <c r="A777" s="1">
        <v>42747</v>
      </c>
      <c r="B777">
        <v>45720.2</v>
      </c>
      <c r="C777" s="6">
        <f t="shared" si="36"/>
        <v>-5.5583606323050534E-4</v>
      </c>
      <c r="D777" s="7">
        <f t="shared" si="37"/>
        <v>-6.7831766291472056E-2</v>
      </c>
      <c r="E777" s="8">
        <f t="shared" si="38"/>
        <v>-0.69102449004535804</v>
      </c>
    </row>
    <row r="778" spans="1:7" x14ac:dyDescent="0.2">
      <c r="A778" s="1">
        <v>42748</v>
      </c>
      <c r="B778">
        <v>46067.199999999997</v>
      </c>
      <c r="C778" s="6">
        <f t="shared" si="36"/>
        <v>7.5609866522296813E-3</v>
      </c>
      <c r="D778" s="7">
        <f t="shared" si="37"/>
        <v>0.63256483531594887</v>
      </c>
      <c r="E778" s="8">
        <f t="shared" si="38"/>
        <v>-1.088420344966383</v>
      </c>
    </row>
    <row r="779" spans="1:7" x14ac:dyDescent="0.2">
      <c r="A779" s="1">
        <v>42751</v>
      </c>
      <c r="B779">
        <v>46333.08</v>
      </c>
      <c r="C779" s="6">
        <f t="shared" si="36"/>
        <v>5.7549767992701693E-3</v>
      </c>
      <c r="D779" s="7">
        <f t="shared" si="37"/>
        <v>0.47672514190080884</v>
      </c>
      <c r="E779" s="8">
        <f t="shared" si="38"/>
        <v>-0.92165449490791873</v>
      </c>
    </row>
    <row r="780" spans="1:7" x14ac:dyDescent="0.2">
      <c r="A780" s="1">
        <v>42752</v>
      </c>
      <c r="B780">
        <v>46045.01</v>
      </c>
      <c r="C780" s="6">
        <f t="shared" si="36"/>
        <v>-6.2367804695817493E-3</v>
      </c>
      <c r="D780" s="7">
        <f t="shared" si="37"/>
        <v>-0.55803763817166285</v>
      </c>
      <c r="E780" s="8">
        <f t="shared" si="38"/>
        <v>-1.0040678931251248</v>
      </c>
    </row>
    <row r="781" spans="1:7" x14ac:dyDescent="0.2">
      <c r="A781" s="1">
        <v>42753</v>
      </c>
      <c r="B781">
        <v>46113.55</v>
      </c>
      <c r="C781" s="6">
        <f t="shared" si="36"/>
        <v>1.4874367098809144E-3</v>
      </c>
      <c r="D781" s="7">
        <f t="shared" si="37"/>
        <v>0.10848122668771147</v>
      </c>
      <c r="E781" s="8">
        <f t="shared" si="38"/>
        <v>-0.69875268716544858</v>
      </c>
    </row>
    <row r="782" spans="1:7" x14ac:dyDescent="0.2">
      <c r="A782" s="1">
        <v>42754</v>
      </c>
      <c r="B782">
        <v>46102.45</v>
      </c>
      <c r="C782" s="6">
        <f t="shared" si="36"/>
        <v>-2.4073913536945934E-4</v>
      </c>
      <c r="D782" s="7">
        <f t="shared" si="37"/>
        <v>-4.0642208851655155E-2</v>
      </c>
      <c r="E782" s="8">
        <f t="shared" si="38"/>
        <v>-0.68783797028483296</v>
      </c>
    </row>
    <row r="783" spans="1:7" x14ac:dyDescent="0.2">
      <c r="A783" s="1">
        <v>42755</v>
      </c>
      <c r="B783">
        <v>45780.79</v>
      </c>
      <c r="C783" s="6">
        <f t="shared" si="36"/>
        <v>-7.0015231072731669E-3</v>
      </c>
      <c r="D783" s="7">
        <f t="shared" si="37"/>
        <v>-0.62402690063555244</v>
      </c>
      <c r="E783" s="8">
        <f t="shared" si="38"/>
        <v>-1.0783557541753497</v>
      </c>
    </row>
    <row r="784" spans="1:7" x14ac:dyDescent="0.2">
      <c r="A784" s="1">
        <v>42758</v>
      </c>
      <c r="B784">
        <v>46237.18</v>
      </c>
      <c r="C784" s="6">
        <f t="shared" si="36"/>
        <v>9.9196655258290949E-3</v>
      </c>
      <c r="D784" s="7">
        <f t="shared" si="37"/>
        <v>0.83609406408740505</v>
      </c>
      <c r="E784" s="8">
        <f t="shared" si="38"/>
        <v>-1.3551568365747069</v>
      </c>
    </row>
    <row r="785" spans="1:5" x14ac:dyDescent="0.2">
      <c r="A785" s="1">
        <v>42759</v>
      </c>
      <c r="B785">
        <v>46461.91</v>
      </c>
      <c r="C785" s="6">
        <f t="shared" si="36"/>
        <v>4.8486007848256053E-3</v>
      </c>
      <c r="D785" s="7">
        <f t="shared" si="37"/>
        <v>0.39851440568671131</v>
      </c>
      <c r="E785" s="8">
        <f t="shared" si="38"/>
        <v>-0.8527611730810668</v>
      </c>
    </row>
    <row r="786" spans="1:5" x14ac:dyDescent="0.2">
      <c r="A786" s="1">
        <v>42760</v>
      </c>
      <c r="B786">
        <v>46365.74</v>
      </c>
      <c r="C786" s="6">
        <f t="shared" si="36"/>
        <v>-2.0720126903291756E-3</v>
      </c>
      <c r="D786" s="7">
        <f t="shared" si="37"/>
        <v>-0.19866189456738628</v>
      </c>
      <c r="E786" s="8">
        <f t="shared" si="38"/>
        <v>-0.72842013206533684</v>
      </c>
    </row>
    <row r="787" spans="1:5" x14ac:dyDescent="0.2">
      <c r="A787" s="1">
        <v>42761</v>
      </c>
      <c r="B787">
        <v>46497.5</v>
      </c>
      <c r="C787" s="6">
        <f t="shared" si="36"/>
        <v>2.837723267427328E-3</v>
      </c>
      <c r="D787" s="7">
        <f t="shared" si="37"/>
        <v>0.22499678323674621</v>
      </c>
      <c r="E787" s="8">
        <f t="shared" si="38"/>
        <v>-0.74028170147959682</v>
      </c>
    </row>
    <row r="788" spans="1:5" x14ac:dyDescent="0.2">
      <c r="A788" s="1">
        <v>42762</v>
      </c>
      <c r="B788">
        <v>46146.76</v>
      </c>
      <c r="C788" s="6">
        <f t="shared" si="36"/>
        <v>-7.5717950733172196E-3</v>
      </c>
      <c r="D788" s="7">
        <f t="shared" si="37"/>
        <v>-0.67323538540983052</v>
      </c>
      <c r="E788" s="8">
        <f t="shared" si="38"/>
        <v>-1.1377126906259702</v>
      </c>
    </row>
    <row r="789" spans="1:5" x14ac:dyDescent="0.2">
      <c r="A789" s="1">
        <v>42765</v>
      </c>
      <c r="B789">
        <v>45851.78</v>
      </c>
      <c r="C789" s="6">
        <f t="shared" si="36"/>
        <v>-6.4127324384618016E-3</v>
      </c>
      <c r="D789" s="7">
        <f t="shared" si="37"/>
        <v>-0.57322044619517598</v>
      </c>
      <c r="E789" s="8">
        <f t="shared" si="38"/>
        <v>-1.0205961104732282</v>
      </c>
    </row>
    <row r="790" spans="1:5" x14ac:dyDescent="0.2">
      <c r="A790" s="1">
        <v>42766</v>
      </c>
      <c r="B790">
        <v>45928.7</v>
      </c>
      <c r="C790" s="6">
        <f t="shared" si="36"/>
        <v>1.6761738009928261E-3</v>
      </c>
      <c r="D790" s="7">
        <f t="shared" si="37"/>
        <v>0.1247672565599998</v>
      </c>
      <c r="E790" s="8">
        <f t="shared" si="38"/>
        <v>-0.70284014595228561</v>
      </c>
    </row>
    <row r="791" spans="1:5" x14ac:dyDescent="0.2">
      <c r="A791" s="1">
        <v>42767</v>
      </c>
      <c r="B791">
        <v>46212.83</v>
      </c>
      <c r="C791" s="6">
        <f t="shared" si="36"/>
        <v>6.1672711659699975E-3</v>
      </c>
      <c r="D791" s="7">
        <f t="shared" si="37"/>
        <v>0.51230181807342268</v>
      </c>
      <c r="E791" s="8">
        <f t="shared" si="38"/>
        <v>-0.95641579137101207</v>
      </c>
    </row>
    <row r="792" spans="1:5" x14ac:dyDescent="0.2">
      <c r="A792" s="1">
        <v>42768</v>
      </c>
      <c r="B792">
        <v>45861.98</v>
      </c>
      <c r="C792" s="6">
        <f t="shared" si="36"/>
        <v>-7.6210137845085461E-3</v>
      </c>
      <c r="D792" s="7">
        <f t="shared" si="37"/>
        <v>-0.67748244355836473</v>
      </c>
      <c r="E792" s="8">
        <f t="shared" si="38"/>
        <v>-1.14298539231388</v>
      </c>
    </row>
    <row r="793" spans="1:5" x14ac:dyDescent="0.2">
      <c r="A793" s="1">
        <v>42769</v>
      </c>
      <c r="B793">
        <v>45417.57</v>
      </c>
      <c r="C793" s="6">
        <f t="shared" si="36"/>
        <v>-9.737416792120859E-3</v>
      </c>
      <c r="D793" s="7">
        <f t="shared" si="37"/>
        <v>-0.86010580815889948</v>
      </c>
      <c r="E793" s="8">
        <f t="shared" si="38"/>
        <v>-1.3896037895586961</v>
      </c>
    </row>
    <row r="794" spans="1:5" x14ac:dyDescent="0.2">
      <c r="A794" s="1">
        <v>42772</v>
      </c>
      <c r="B794">
        <v>45353.95</v>
      </c>
      <c r="C794" s="6">
        <f t="shared" si="36"/>
        <v>-1.4017614868062776E-3</v>
      </c>
      <c r="D794" s="7">
        <f t="shared" si="37"/>
        <v>-0.140826251036997</v>
      </c>
      <c r="E794" s="8">
        <f t="shared" si="38"/>
        <v>-0.70742241073334566</v>
      </c>
    </row>
    <row r="795" spans="1:5" x14ac:dyDescent="0.2">
      <c r="A795" s="1">
        <v>42773</v>
      </c>
      <c r="B795">
        <v>45366.879999999997</v>
      </c>
      <c r="C795" s="6">
        <f t="shared" si="36"/>
        <v>2.8505030404917529E-4</v>
      </c>
      <c r="D795" s="7">
        <f t="shared" si="37"/>
        <v>4.7279007884694487E-3</v>
      </c>
      <c r="E795" s="8">
        <f t="shared" si="38"/>
        <v>-0.68607594750872047</v>
      </c>
    </row>
    <row r="796" spans="1:5" x14ac:dyDescent="0.2">
      <c r="A796" s="1">
        <v>42774</v>
      </c>
      <c r="B796">
        <v>44922.93</v>
      </c>
      <c r="C796" s="6">
        <f t="shared" si="36"/>
        <v>-9.8339685895451195E-3</v>
      </c>
      <c r="D796" s="7">
        <f t="shared" si="37"/>
        <v>-0.86843721481463876</v>
      </c>
      <c r="E796" s="8">
        <f t="shared" si="38"/>
        <v>-1.4016827331860733</v>
      </c>
    </row>
    <row r="797" spans="1:5" x14ac:dyDescent="0.2">
      <c r="A797" s="1">
        <v>42775</v>
      </c>
      <c r="B797">
        <v>45013.25</v>
      </c>
      <c r="C797" s="6">
        <f t="shared" si="36"/>
        <v>2.0085360611092349E-3</v>
      </c>
      <c r="D797" s="7">
        <f t="shared" si="37"/>
        <v>0.15344663094681571</v>
      </c>
      <c r="E797" s="8">
        <f t="shared" si="38"/>
        <v>-0.71140623511043843</v>
      </c>
    </row>
    <row r="798" spans="1:5" x14ac:dyDescent="0.2">
      <c r="A798" s="1">
        <v>42776</v>
      </c>
      <c r="B798">
        <v>45756.81</v>
      </c>
      <c r="C798" s="6">
        <f t="shared" si="36"/>
        <v>1.6383742228612642E-2</v>
      </c>
      <c r="D798" s="7">
        <f t="shared" si="37"/>
        <v>1.3938760329526221</v>
      </c>
      <c r="E798" s="8">
        <f t="shared" si="38"/>
        <v>-2.2525167507049311</v>
      </c>
    </row>
    <row r="799" spans="1:5" x14ac:dyDescent="0.2">
      <c r="A799" s="1">
        <v>42779</v>
      </c>
      <c r="B799">
        <v>45941.81</v>
      </c>
      <c r="C799" s="6">
        <f t="shared" si="36"/>
        <v>4.0349625980740178E-3</v>
      </c>
      <c r="D799" s="7">
        <f t="shared" si="37"/>
        <v>0.32830597057411476</v>
      </c>
      <c r="E799" s="8">
        <f t="shared" si="38"/>
        <v>-0.80027385245414451</v>
      </c>
    </row>
    <row r="800" spans="1:5" x14ac:dyDescent="0.2">
      <c r="A800" s="1">
        <v>42780</v>
      </c>
      <c r="B800">
        <v>45437.279999999999</v>
      </c>
      <c r="C800" s="6">
        <f t="shared" si="36"/>
        <v>-1.104268223485701E-2</v>
      </c>
      <c r="D800" s="7">
        <f t="shared" si="37"/>
        <v>-0.97273651506675329</v>
      </c>
      <c r="E800" s="8">
        <f t="shared" si="38"/>
        <v>-1.55794169042088</v>
      </c>
    </row>
    <row r="801" spans="1:5" x14ac:dyDescent="0.2">
      <c r="A801" s="1">
        <v>42781</v>
      </c>
      <c r="B801">
        <v>45410.71</v>
      </c>
      <c r="C801" s="6">
        <f t="shared" si="36"/>
        <v>-5.8493315609011516E-4</v>
      </c>
      <c r="D801" s="7">
        <f t="shared" si="37"/>
        <v>-7.0342539985803115E-2</v>
      </c>
      <c r="E801" s="8">
        <f t="shared" si="38"/>
        <v>-0.69139907176014426</v>
      </c>
    </row>
    <row r="802" spans="1:5" x14ac:dyDescent="0.2">
      <c r="A802" s="1">
        <v>42782</v>
      </c>
      <c r="B802">
        <v>45485.46</v>
      </c>
      <c r="C802" s="6">
        <f t="shared" si="36"/>
        <v>1.6447341367811148E-3</v>
      </c>
      <c r="D802" s="7">
        <f t="shared" si="37"/>
        <v>0.12205434354692896</v>
      </c>
      <c r="E802" s="8">
        <f t="shared" si="38"/>
        <v>-0.70212007341471561</v>
      </c>
    </row>
    <row r="803" spans="1:5" x14ac:dyDescent="0.2">
      <c r="A803" s="1">
        <v>42783</v>
      </c>
      <c r="B803">
        <v>45074.63</v>
      </c>
      <c r="C803" s="6">
        <f t="shared" si="36"/>
        <v>-9.0731539326560605E-3</v>
      </c>
      <c r="D803" s="7">
        <f t="shared" si="37"/>
        <v>-0.80278689586369667</v>
      </c>
      <c r="E803" s="8">
        <f t="shared" si="38"/>
        <v>-1.3083120272329944</v>
      </c>
    </row>
    <row r="804" spans="1:5" x14ac:dyDescent="0.2">
      <c r="A804" s="1">
        <v>42786</v>
      </c>
      <c r="B804">
        <v>45506.2</v>
      </c>
      <c r="C804" s="6">
        <f t="shared" si="36"/>
        <v>9.5290198957380529E-3</v>
      </c>
      <c r="D804" s="7">
        <f t="shared" si="37"/>
        <v>0.80238544664681299</v>
      </c>
      <c r="E804" s="8">
        <f t="shared" si="38"/>
        <v>-1.3077542971605871</v>
      </c>
    </row>
    <row r="805" spans="1:5" x14ac:dyDescent="0.2">
      <c r="A805" s="1">
        <v>42787</v>
      </c>
      <c r="B805">
        <v>45555.98</v>
      </c>
      <c r="C805" s="6">
        <f t="shared" si="36"/>
        <v>1.0933189817925234E-3</v>
      </c>
      <c r="D805" s="7">
        <f t="shared" si="37"/>
        <v>7.447300363504171E-2</v>
      </c>
      <c r="E805" s="8">
        <f t="shared" si="38"/>
        <v>-0.6920447947694387</v>
      </c>
    </row>
    <row r="806" spans="1:5" x14ac:dyDescent="0.2">
      <c r="A806" s="1">
        <v>42788</v>
      </c>
      <c r="B806">
        <v>45073.61</v>
      </c>
      <c r="C806" s="6">
        <f t="shared" si="36"/>
        <v>-1.0644968271072589E-2</v>
      </c>
      <c r="D806" s="7">
        <f t="shared" si="37"/>
        <v>-0.93841797462162879</v>
      </c>
      <c r="E806" s="8">
        <f t="shared" si="38"/>
        <v>-1.5055505823477822</v>
      </c>
    </row>
    <row r="807" spans="1:5" x14ac:dyDescent="0.2">
      <c r="A807" s="1">
        <v>42789</v>
      </c>
      <c r="B807">
        <v>45105.98</v>
      </c>
      <c r="C807" s="6">
        <f t="shared" si="36"/>
        <v>7.1790083299874143E-4</v>
      </c>
      <c r="D807" s="7">
        <f t="shared" si="37"/>
        <v>4.2078357994194251E-2</v>
      </c>
      <c r="E807" s="8">
        <f t="shared" si="38"/>
        <v>-0.68796639247292912</v>
      </c>
    </row>
    <row r="808" spans="1:5" x14ac:dyDescent="0.2">
      <c r="A808" s="1">
        <v>42790</v>
      </c>
      <c r="B808">
        <v>44580.51</v>
      </c>
      <c r="C808" s="6">
        <f t="shared" si="36"/>
        <v>-1.1718063953870499E-2</v>
      </c>
      <c r="D808" s="7">
        <f t="shared" si="37"/>
        <v>-1.0310148682312041</v>
      </c>
      <c r="E808" s="8">
        <f t="shared" si="38"/>
        <v>-1.6488524113843739</v>
      </c>
    </row>
    <row r="809" spans="1:5" x14ac:dyDescent="0.2">
      <c r="A809" s="1">
        <v>42793</v>
      </c>
      <c r="B809">
        <v>44462.75</v>
      </c>
      <c r="C809" s="6">
        <f t="shared" si="36"/>
        <v>-2.6450080254190578E-3</v>
      </c>
      <c r="D809" s="7">
        <f t="shared" si="37"/>
        <v>-0.24810537750430608</v>
      </c>
      <c r="E809" s="8">
        <f t="shared" si="38"/>
        <v>-0.75185610261919689</v>
      </c>
    </row>
    <row r="810" spans="1:5" x14ac:dyDescent="0.2">
      <c r="A810" s="1">
        <v>42794</v>
      </c>
      <c r="B810">
        <v>44131.37</v>
      </c>
      <c r="C810" s="6">
        <f t="shared" si="36"/>
        <v>-7.4808925341229571E-3</v>
      </c>
      <c r="D810" s="7">
        <f t="shared" si="37"/>
        <v>-0.66539145044154824</v>
      </c>
      <c r="E810" s="8">
        <f t="shared" si="38"/>
        <v>-1.1280357615307723</v>
      </c>
    </row>
    <row r="811" spans="1:5" x14ac:dyDescent="0.2">
      <c r="A811" s="1">
        <v>42795</v>
      </c>
      <c r="B811">
        <v>44676.91</v>
      </c>
      <c r="C811" s="6">
        <f t="shared" si="36"/>
        <v>1.2285945908867356E-2</v>
      </c>
      <c r="D811" s="7">
        <f t="shared" si="37"/>
        <v>1.040279223333715</v>
      </c>
      <c r="E811" s="8">
        <f t="shared" si="38"/>
        <v>-1.6635119722073755</v>
      </c>
    </row>
    <row r="812" spans="1:5" x14ac:dyDescent="0.2">
      <c r="A812" s="1">
        <v>42796</v>
      </c>
      <c r="B812">
        <v>44836.9</v>
      </c>
      <c r="C812" s="6">
        <f t="shared" si="36"/>
        <v>3.5746477636036198E-3</v>
      </c>
      <c r="D812" s="7">
        <f t="shared" si="37"/>
        <v>0.28858563208274113</v>
      </c>
      <c r="E812" s="8">
        <f t="shared" si="38"/>
        <v>-0.77471504133900082</v>
      </c>
    </row>
    <row r="813" spans="1:5" x14ac:dyDescent="0.2">
      <c r="A813" s="1">
        <v>42797</v>
      </c>
      <c r="B813">
        <v>44636.3</v>
      </c>
      <c r="C813" s="6">
        <f t="shared" si="36"/>
        <v>-4.4840317796665721E-3</v>
      </c>
      <c r="D813" s="7">
        <f t="shared" si="37"/>
        <v>-0.40679382406812303</v>
      </c>
      <c r="E813" s="8">
        <f t="shared" si="38"/>
        <v>-0.85954682911791036</v>
      </c>
    </row>
    <row r="814" spans="1:5" x14ac:dyDescent="0.2">
      <c r="A814" s="1">
        <v>42800</v>
      </c>
      <c r="B814">
        <v>44425.26</v>
      </c>
      <c r="C814" s="6">
        <f t="shared" si="36"/>
        <v>-4.7392027491352752E-3</v>
      </c>
      <c r="D814" s="7">
        <f t="shared" si="37"/>
        <v>-0.42881240031524731</v>
      </c>
      <c r="E814" s="8">
        <f t="shared" si="38"/>
        <v>-0.87818660501365664</v>
      </c>
    </row>
    <row r="815" spans="1:5" x14ac:dyDescent="0.2">
      <c r="A815" s="1">
        <v>42801</v>
      </c>
      <c r="B815">
        <v>44340.33</v>
      </c>
      <c r="C815" s="6">
        <f t="shared" si="36"/>
        <v>-1.913579933762743E-3</v>
      </c>
      <c r="D815" s="7">
        <f t="shared" si="37"/>
        <v>-0.1849908106750317</v>
      </c>
      <c r="E815" s="8">
        <f t="shared" si="38"/>
        <v>-0.72282648669029237</v>
      </c>
    </row>
    <row r="816" spans="1:5" x14ac:dyDescent="0.2">
      <c r="A816" s="1">
        <v>42802</v>
      </c>
      <c r="B816">
        <v>44326.35</v>
      </c>
      <c r="C816" s="6">
        <f t="shared" si="36"/>
        <v>-3.1533830105847608E-4</v>
      </c>
      <c r="D816" s="7">
        <f t="shared" si="37"/>
        <v>-4.7079333815813501E-2</v>
      </c>
      <c r="E816" s="8">
        <f t="shared" si="38"/>
        <v>-0.68844833258470395</v>
      </c>
    </row>
    <row r="817" spans="1:5" x14ac:dyDescent="0.2">
      <c r="A817" s="1">
        <v>42803</v>
      </c>
      <c r="B817">
        <v>43953.15</v>
      </c>
      <c r="C817" s="6">
        <f t="shared" si="36"/>
        <v>-8.4550144314685834E-3</v>
      </c>
      <c r="D817" s="7">
        <f t="shared" si="37"/>
        <v>-0.74944794525111458</v>
      </c>
      <c r="E817" s="8">
        <f t="shared" si="38"/>
        <v>-1.2357233170428867</v>
      </c>
    </row>
    <row r="818" spans="1:5" x14ac:dyDescent="0.2">
      <c r="A818" s="1">
        <v>42804</v>
      </c>
      <c r="B818">
        <v>44304.31</v>
      </c>
      <c r="C818" s="6">
        <f t="shared" si="36"/>
        <v>7.9576695972022465E-3</v>
      </c>
      <c r="D818" s="7">
        <f t="shared" si="37"/>
        <v>0.66679440965976355</v>
      </c>
      <c r="E818" s="8">
        <f t="shared" si="38"/>
        <v>-1.129760698351935</v>
      </c>
    </row>
    <row r="819" spans="1:5" x14ac:dyDescent="0.2">
      <c r="A819" s="1">
        <v>42807</v>
      </c>
      <c r="B819">
        <v>44846.34</v>
      </c>
      <c r="C819" s="6">
        <f t="shared" si="36"/>
        <v>1.2160016308740078E-2</v>
      </c>
      <c r="D819" s="7">
        <f t="shared" si="37"/>
        <v>1.029412820670647</v>
      </c>
      <c r="E819" s="8">
        <f t="shared" si="38"/>
        <v>-1.646322906932463</v>
      </c>
    </row>
    <row r="820" spans="1:5" x14ac:dyDescent="0.2">
      <c r="A820" s="1">
        <v>42808</v>
      </c>
      <c r="B820">
        <v>44652.55</v>
      </c>
      <c r="C820" s="6">
        <f t="shared" si="36"/>
        <v>-4.3305632697296769E-3</v>
      </c>
      <c r="D820" s="7">
        <f t="shared" si="37"/>
        <v>-0.39355110255237263</v>
      </c>
      <c r="E820" s="8">
        <f t="shared" si="38"/>
        <v>-0.84875248565337369</v>
      </c>
    </row>
    <row r="821" spans="1:5" x14ac:dyDescent="0.2">
      <c r="A821" s="1">
        <v>42809</v>
      </c>
      <c r="B821">
        <v>44655.55</v>
      </c>
      <c r="C821" s="6">
        <f t="shared" si="36"/>
        <v>6.7183155864473899E-5</v>
      </c>
      <c r="D821" s="7">
        <f t="shared" si="37"/>
        <v>-1.4071747243736448E-2</v>
      </c>
      <c r="E821" s="8">
        <f t="shared" si="38"/>
        <v>-0.68626595555249348</v>
      </c>
    </row>
    <row r="822" spans="1:5" x14ac:dyDescent="0.2">
      <c r="A822" s="1">
        <v>42810</v>
      </c>
      <c r="B822">
        <v>45523.12</v>
      </c>
      <c r="C822" s="6">
        <f t="shared" si="36"/>
        <v>1.924172905988376E-2</v>
      </c>
      <c r="D822" s="7">
        <f t="shared" si="37"/>
        <v>1.6404902974539706</v>
      </c>
      <c r="E822" s="8">
        <f t="shared" si="38"/>
        <v>-2.6797050321074511</v>
      </c>
    </row>
    <row r="823" spans="1:5" x14ac:dyDescent="0.2">
      <c r="A823" s="1">
        <v>42811</v>
      </c>
      <c r="B823">
        <v>45309.36</v>
      </c>
      <c r="C823" s="6">
        <f t="shared" si="36"/>
        <v>-4.7066951077027507E-3</v>
      </c>
      <c r="D823" s="7">
        <f t="shared" si="37"/>
        <v>-0.42600733207810992</v>
      </c>
      <c r="E823" s="8">
        <f t="shared" si="38"/>
        <v>-0.8757644273250319</v>
      </c>
    </row>
    <row r="824" spans="1:5" x14ac:dyDescent="0.2">
      <c r="A824" s="1">
        <v>42814</v>
      </c>
      <c r="B824">
        <v>45507.67</v>
      </c>
      <c r="C824" s="6">
        <f t="shared" si="36"/>
        <v>4.3672495168570365E-3</v>
      </c>
      <c r="D824" s="7">
        <f t="shared" si="37"/>
        <v>0.35697884379468414</v>
      </c>
      <c r="E824" s="8">
        <f t="shared" si="38"/>
        <v>-0.82060160800101556</v>
      </c>
    </row>
    <row r="825" spans="1:5" x14ac:dyDescent="0.2">
      <c r="A825" s="1">
        <v>42816</v>
      </c>
      <c r="B825">
        <v>44855.72</v>
      </c>
      <c r="C825" s="6">
        <f t="shared" si="36"/>
        <v>-1.4429766574273997E-2</v>
      </c>
      <c r="D825" s="7">
        <f t="shared" si="37"/>
        <v>-1.2650063408160366</v>
      </c>
      <c r="E825" s="8">
        <f t="shared" si="38"/>
        <v>-2.0326978771085824</v>
      </c>
    </row>
    <row r="826" spans="1:5" x14ac:dyDescent="0.2">
      <c r="A826" s="1">
        <v>42817</v>
      </c>
      <c r="B826">
        <v>44845.23</v>
      </c>
      <c r="C826" s="6">
        <f t="shared" si="36"/>
        <v>-2.3388827092282077E-4</v>
      </c>
      <c r="D826" s="7">
        <f t="shared" si="37"/>
        <v>-4.0051051160436973E-2</v>
      </c>
      <c r="E826" s="8">
        <f t="shared" si="38"/>
        <v>-0.68778640212451758</v>
      </c>
    </row>
    <row r="827" spans="1:5" x14ac:dyDescent="0.2">
      <c r="A827" s="1">
        <v>42818</v>
      </c>
      <c r="B827">
        <v>44662.6</v>
      </c>
      <c r="C827" s="6">
        <f t="shared" si="36"/>
        <v>-4.0807659718575407E-3</v>
      </c>
      <c r="D827" s="7">
        <f t="shared" si="37"/>
        <v>-0.37199621775895242</v>
      </c>
      <c r="E827" s="8">
        <f t="shared" si="38"/>
        <v>-0.83186308092385042</v>
      </c>
    </row>
    <row r="828" spans="1:5" x14ac:dyDescent="0.2">
      <c r="A828" s="1">
        <v>42821</v>
      </c>
      <c r="B828">
        <v>44660.9</v>
      </c>
      <c r="C828" s="6">
        <f t="shared" si="36"/>
        <v>-3.8063891365711952E-5</v>
      </c>
      <c r="D828" s="7">
        <f t="shared" si="37"/>
        <v>-2.3153462687494127E-2</v>
      </c>
      <c r="E828" s="8">
        <f t="shared" si="38"/>
        <v>-0.68663159947785413</v>
      </c>
    </row>
    <row r="829" spans="1:5" x14ac:dyDescent="0.2">
      <c r="A829" s="1">
        <v>42822</v>
      </c>
      <c r="B829">
        <v>45215.360000000001</v>
      </c>
      <c r="C829" s="6">
        <f t="shared" si="36"/>
        <v>1.2338453649784697E-2</v>
      </c>
      <c r="D829" s="7">
        <f t="shared" si="37"/>
        <v>1.0448100902240982</v>
      </c>
      <c r="E829" s="8">
        <f t="shared" si="38"/>
        <v>-1.6707009876941916</v>
      </c>
    </row>
    <row r="830" spans="1:5" x14ac:dyDescent="0.2">
      <c r="A830" s="1">
        <v>42823</v>
      </c>
      <c r="B830">
        <v>45404.69</v>
      </c>
      <c r="C830" s="6">
        <f t="shared" si="36"/>
        <v>4.1785515562990875E-3</v>
      </c>
      <c r="D830" s="7">
        <f t="shared" si="37"/>
        <v>0.3406961904784665</v>
      </c>
      <c r="E830" s="8">
        <f t="shared" si="38"/>
        <v>-0.80886731036714432</v>
      </c>
    </row>
    <row r="831" spans="1:5" x14ac:dyDescent="0.2">
      <c r="A831" s="1">
        <v>42824</v>
      </c>
      <c r="B831">
        <v>45220.39</v>
      </c>
      <c r="C831" s="6">
        <f t="shared" si="36"/>
        <v>-4.0673123615074525E-3</v>
      </c>
      <c r="D831" s="7">
        <f t="shared" si="37"/>
        <v>-0.37083531240240147</v>
      </c>
      <c r="E831" s="8">
        <f t="shared" si="38"/>
        <v>-0.83097762247167684</v>
      </c>
    </row>
    <row r="832" spans="1:5" x14ac:dyDescent="0.2">
      <c r="A832" s="1">
        <v>42825</v>
      </c>
      <c r="B832">
        <v>45167.15</v>
      </c>
      <c r="C832" s="6">
        <f t="shared" si="36"/>
        <v>-1.1780386136649242E-3</v>
      </c>
      <c r="D832" s="7">
        <f t="shared" si="37"/>
        <v>-0.12152131540601491</v>
      </c>
      <c r="E832" s="8">
        <f t="shared" si="38"/>
        <v>-0.70198043395167309</v>
      </c>
    </row>
    <row r="833" spans="1:5" x14ac:dyDescent="0.2">
      <c r="A833" s="1">
        <v>42828</v>
      </c>
      <c r="B833">
        <v>45561.09</v>
      </c>
      <c r="C833" s="6">
        <f t="shared" si="36"/>
        <v>8.6840100865657587E-3</v>
      </c>
      <c r="D833" s="7">
        <f t="shared" si="37"/>
        <v>0.72946996981350443</v>
      </c>
      <c r="E833" s="8">
        <f t="shared" si="38"/>
        <v>-1.2093553154858083</v>
      </c>
    </row>
    <row r="834" spans="1:5" x14ac:dyDescent="0.2">
      <c r="A834" s="1">
        <v>42829</v>
      </c>
      <c r="B834">
        <v>45746.93</v>
      </c>
      <c r="C834" s="6">
        <f t="shared" si="36"/>
        <v>4.0706228568649881E-3</v>
      </c>
      <c r="D834" s="7">
        <f t="shared" si="37"/>
        <v>0.33138307659764094</v>
      </c>
      <c r="E834" s="8">
        <f t="shared" si="38"/>
        <v>-0.80238077366812499</v>
      </c>
    </row>
    <row r="835" spans="1:5" x14ac:dyDescent="0.2">
      <c r="A835" s="1">
        <v>42830</v>
      </c>
      <c r="B835">
        <v>46149.85</v>
      </c>
      <c r="C835" s="6">
        <f t="shared" ref="C835:C898" si="39">LN(B835/B834)</f>
        <v>8.7690250278916696E-3</v>
      </c>
      <c r="D835" s="7">
        <f t="shared" ref="D835:D898" si="40">(C835-$G$4)/$G$5</f>
        <v>0.73680586688528693</v>
      </c>
      <c r="E835" s="8">
        <f t="shared" ref="E835:E898" si="41">LN((PI()*(G$3-2))^(-1/2)*EXP(GAMMALN((G$3+1)/2))*((1+D835^2/(G$3-2))^(-(G$3+1)/2))/EXP(GAMMALN(G$3/2)))</f>
        <v>-1.2189837386055571</v>
      </c>
    </row>
    <row r="836" spans="1:5" x14ac:dyDescent="0.2">
      <c r="A836" s="1">
        <v>42831</v>
      </c>
      <c r="B836">
        <v>46170.1</v>
      </c>
      <c r="C836" s="6">
        <f t="shared" si="39"/>
        <v>4.3869175242748041E-4</v>
      </c>
      <c r="D836" s="7">
        <f t="shared" si="40"/>
        <v>1.7985545076454355E-2</v>
      </c>
      <c r="E836" s="8">
        <f t="shared" si="41"/>
        <v>-0.68640166073827491</v>
      </c>
    </row>
    <row r="837" spans="1:5" x14ac:dyDescent="0.2">
      <c r="A837" s="1">
        <v>42832</v>
      </c>
      <c r="B837">
        <v>46085.03</v>
      </c>
      <c r="C837" s="6">
        <f t="shared" si="39"/>
        <v>-1.8442340087031733E-3</v>
      </c>
      <c r="D837" s="7">
        <f t="shared" si="40"/>
        <v>-0.17900698523622618</v>
      </c>
      <c r="E837" s="8">
        <f t="shared" si="41"/>
        <v>-0.72050028154528845</v>
      </c>
    </row>
    <row r="838" spans="1:5" x14ac:dyDescent="0.2">
      <c r="A838" s="1">
        <v>42835</v>
      </c>
      <c r="B838">
        <v>46422.49</v>
      </c>
      <c r="C838" s="6">
        <f t="shared" si="39"/>
        <v>7.2958716633580948E-3</v>
      </c>
      <c r="D838" s="7">
        <f t="shared" si="40"/>
        <v>0.60968819457237677</v>
      </c>
      <c r="E838" s="8">
        <f t="shared" si="41"/>
        <v>-1.0616811632650154</v>
      </c>
    </row>
    <row r="839" spans="1:5" x14ac:dyDescent="0.2">
      <c r="A839" s="1">
        <v>42836</v>
      </c>
      <c r="B839">
        <v>46757.54</v>
      </c>
      <c r="C839" s="6">
        <f t="shared" si="39"/>
        <v>7.1914860725774618E-3</v>
      </c>
      <c r="D839" s="7">
        <f t="shared" si="40"/>
        <v>0.60068081377788407</v>
      </c>
      <c r="E839" s="8">
        <f t="shared" si="41"/>
        <v>-1.0513547593089667</v>
      </c>
    </row>
    <row r="840" spans="1:5" x14ac:dyDescent="0.2">
      <c r="A840" s="1">
        <v>42837</v>
      </c>
      <c r="B840">
        <v>46747.19</v>
      </c>
      <c r="C840" s="6">
        <f t="shared" si="39"/>
        <v>-2.2137917605380067E-4</v>
      </c>
      <c r="D840" s="7">
        <f t="shared" si="40"/>
        <v>-3.8971647575736429E-2</v>
      </c>
      <c r="E840" s="8">
        <f t="shared" si="41"/>
        <v>-0.68769419001881882</v>
      </c>
    </row>
    <row r="841" spans="1:5" x14ac:dyDescent="0.2">
      <c r="A841" s="1">
        <v>42838</v>
      </c>
      <c r="B841">
        <v>46644.49</v>
      </c>
      <c r="C841" s="6">
        <f t="shared" si="39"/>
        <v>-2.1993402709426287E-3</v>
      </c>
      <c r="D841" s="7">
        <f t="shared" si="40"/>
        <v>-0.2096489282724216</v>
      </c>
      <c r="E841" s="8">
        <f t="shared" si="41"/>
        <v>-0.73319562096987856</v>
      </c>
    </row>
    <row r="842" spans="1:5" x14ac:dyDescent="0.2">
      <c r="A842" s="1">
        <v>42843</v>
      </c>
      <c r="B842">
        <v>45873.22</v>
      </c>
      <c r="C842" s="6">
        <f t="shared" si="39"/>
        <v>-1.6673302173352181E-2</v>
      </c>
      <c r="D842" s="7">
        <f t="shared" si="40"/>
        <v>-1.4585999136048862</v>
      </c>
      <c r="E842" s="8">
        <f t="shared" si="41"/>
        <v>-2.3641468903815097</v>
      </c>
    </row>
    <row r="843" spans="1:5" x14ac:dyDescent="0.2">
      <c r="A843" s="1">
        <v>42844</v>
      </c>
      <c r="B843">
        <v>45771.96</v>
      </c>
      <c r="C843" s="6">
        <f t="shared" si="39"/>
        <v>-2.2098279736533131E-3</v>
      </c>
      <c r="D843" s="7">
        <f t="shared" si="40"/>
        <v>-0.21055390693152687</v>
      </c>
      <c r="E843" s="8">
        <f t="shared" si="41"/>
        <v>-0.73360004839728432</v>
      </c>
    </row>
    <row r="844" spans="1:5" x14ac:dyDescent="0.2">
      <c r="A844" s="1">
        <v>42845</v>
      </c>
      <c r="B844">
        <v>45735.57</v>
      </c>
      <c r="C844" s="6">
        <f t="shared" si="39"/>
        <v>-7.9534442506046189E-4</v>
      </c>
      <c r="D844" s="7">
        <f t="shared" si="40"/>
        <v>-8.8498823902912249E-2</v>
      </c>
      <c r="E844" s="8">
        <f t="shared" si="41"/>
        <v>-0.69451100902713847</v>
      </c>
    </row>
    <row r="845" spans="1:5" x14ac:dyDescent="0.2">
      <c r="A845" s="1">
        <v>42846</v>
      </c>
      <c r="B845">
        <v>45500.98</v>
      </c>
      <c r="C845" s="6">
        <f t="shared" si="39"/>
        <v>-5.1424679468266921E-3</v>
      </c>
      <c r="D845" s="7">
        <f t="shared" si="40"/>
        <v>-0.46360995397767196</v>
      </c>
      <c r="E845" s="8">
        <f t="shared" si="41"/>
        <v>-0.90936752408446575</v>
      </c>
    </row>
    <row r="846" spans="1:5" x14ac:dyDescent="0.2">
      <c r="A846" s="1">
        <v>42849</v>
      </c>
      <c r="B846">
        <v>46187.93</v>
      </c>
      <c r="C846" s="6">
        <f t="shared" si="39"/>
        <v>1.4984644356803661E-2</v>
      </c>
      <c r="D846" s="7">
        <f t="shared" si="40"/>
        <v>1.2731485723337377</v>
      </c>
      <c r="E846" s="8">
        <f t="shared" si="41"/>
        <v>-2.0464582553081732</v>
      </c>
    </row>
    <row r="847" spans="1:5" x14ac:dyDescent="0.2">
      <c r="A847" s="1">
        <v>42850</v>
      </c>
      <c r="B847">
        <v>46524.76</v>
      </c>
      <c r="C847" s="6">
        <f t="shared" si="39"/>
        <v>7.266135454785271E-3</v>
      </c>
      <c r="D847" s="7">
        <f t="shared" si="40"/>
        <v>0.60712227190051327</v>
      </c>
      <c r="E847" s="8">
        <f t="shared" si="41"/>
        <v>-1.0587277411083986</v>
      </c>
    </row>
    <row r="848" spans="1:5" x14ac:dyDescent="0.2">
      <c r="A848" s="1">
        <v>42851</v>
      </c>
      <c r="B848">
        <v>46984.45</v>
      </c>
      <c r="C848" s="6">
        <f t="shared" si="39"/>
        <v>9.8320519048576138E-3</v>
      </c>
      <c r="D848" s="7">
        <f t="shared" si="40"/>
        <v>0.82853392823941308</v>
      </c>
      <c r="E848" s="8">
        <f t="shared" si="41"/>
        <v>-1.3444264231708447</v>
      </c>
    </row>
    <row r="849" spans="1:5" x14ac:dyDescent="0.2">
      <c r="A849" s="1">
        <v>42853</v>
      </c>
      <c r="B849">
        <v>47071.73</v>
      </c>
      <c r="C849" s="6">
        <f t="shared" si="39"/>
        <v>1.8559126056864241E-3</v>
      </c>
      <c r="D849" s="7">
        <f t="shared" si="40"/>
        <v>0.1402768287654633</v>
      </c>
      <c r="E849" s="8">
        <f t="shared" si="41"/>
        <v>-0.70725661533784656</v>
      </c>
    </row>
    <row r="850" spans="1:5" x14ac:dyDescent="0.2">
      <c r="A850" s="1">
        <v>42857</v>
      </c>
      <c r="B850">
        <v>47138.85</v>
      </c>
      <c r="C850" s="6">
        <f t="shared" si="39"/>
        <v>1.4248932838807143E-3</v>
      </c>
      <c r="D850" s="7">
        <f t="shared" si="40"/>
        <v>0.10308438551487309</v>
      </c>
      <c r="E850" s="8">
        <f t="shared" si="41"/>
        <v>-0.69752293376680274</v>
      </c>
    </row>
    <row r="851" spans="1:5" x14ac:dyDescent="0.2">
      <c r="A851" s="1">
        <v>42858</v>
      </c>
      <c r="B851">
        <v>46917.89</v>
      </c>
      <c r="C851" s="6">
        <f t="shared" si="39"/>
        <v>-4.6984491803990294E-3</v>
      </c>
      <c r="D851" s="7">
        <f t="shared" si="40"/>
        <v>-0.42529579510568993</v>
      </c>
      <c r="E851" s="8">
        <f t="shared" si="41"/>
        <v>-0.87515220949605033</v>
      </c>
    </row>
    <row r="852" spans="1:5" x14ac:dyDescent="0.2">
      <c r="A852" s="1">
        <v>42859</v>
      </c>
      <c r="B852">
        <v>46747.06</v>
      </c>
      <c r="C852" s="6">
        <f t="shared" si="39"/>
        <v>-3.6476865554620204E-3</v>
      </c>
      <c r="D852" s="7">
        <f t="shared" si="40"/>
        <v>-0.33462600996917319</v>
      </c>
      <c r="E852" s="8">
        <f t="shared" si="41"/>
        <v>-0.80462076496447377</v>
      </c>
    </row>
    <row r="853" spans="1:5" x14ac:dyDescent="0.2">
      <c r="A853" s="1">
        <v>42860</v>
      </c>
      <c r="B853">
        <v>47009.79</v>
      </c>
      <c r="C853" s="6">
        <f t="shared" si="39"/>
        <v>5.6045118347624887E-3</v>
      </c>
      <c r="D853" s="7">
        <f t="shared" si="40"/>
        <v>0.46374159482869737</v>
      </c>
      <c r="E853" s="8">
        <f t="shared" si="41"/>
        <v>-0.90948941466836775</v>
      </c>
    </row>
    <row r="854" spans="1:5" x14ac:dyDescent="0.2">
      <c r="A854" s="1">
        <v>42863</v>
      </c>
      <c r="B854">
        <v>47076.82</v>
      </c>
      <c r="C854" s="6">
        <f t="shared" si="39"/>
        <v>1.424857614499269E-3</v>
      </c>
      <c r="D854" s="7">
        <f t="shared" si="40"/>
        <v>0.10308130762166026</v>
      </c>
      <c r="E854" s="8">
        <f t="shared" si="41"/>
        <v>-0.69752225017152247</v>
      </c>
    </row>
    <row r="855" spans="1:5" x14ac:dyDescent="0.2">
      <c r="A855" s="1">
        <v>42864</v>
      </c>
      <c r="B855">
        <v>47561.08</v>
      </c>
      <c r="C855" s="6">
        <f t="shared" si="39"/>
        <v>1.0234044216962208E-2</v>
      </c>
      <c r="D855" s="7">
        <f t="shared" si="40"/>
        <v>0.86322164523661804</v>
      </c>
      <c r="E855" s="8">
        <f t="shared" si="41"/>
        <v>-1.3941136440153985</v>
      </c>
    </row>
    <row r="856" spans="1:5" x14ac:dyDescent="0.2">
      <c r="A856" s="1">
        <v>42865</v>
      </c>
      <c r="B856">
        <v>47635.58</v>
      </c>
      <c r="C856" s="6">
        <f t="shared" si="39"/>
        <v>1.5651812828123553E-3</v>
      </c>
      <c r="D856" s="7">
        <f t="shared" si="40"/>
        <v>0.11518976728092736</v>
      </c>
      <c r="E856" s="8">
        <f t="shared" si="41"/>
        <v>-0.70036797359409531</v>
      </c>
    </row>
    <row r="857" spans="1:5" x14ac:dyDescent="0.2">
      <c r="A857" s="1">
        <v>42866</v>
      </c>
      <c r="B857">
        <v>47488.45</v>
      </c>
      <c r="C857" s="6">
        <f t="shared" si="39"/>
        <v>-3.0934374274986763E-3</v>
      </c>
      <c r="D857" s="7">
        <f t="shared" si="40"/>
        <v>-0.2868001279365392</v>
      </c>
      <c r="E857" s="8">
        <f t="shared" si="41"/>
        <v>-0.77363829368354764</v>
      </c>
    </row>
    <row r="858" spans="1:5" x14ac:dyDescent="0.2">
      <c r="A858" s="1">
        <v>42867</v>
      </c>
      <c r="B858">
        <v>47430.43</v>
      </c>
      <c r="C858" s="6">
        <f t="shared" si="39"/>
        <v>-1.222517737801904E-3</v>
      </c>
      <c r="D858" s="7">
        <f t="shared" si="40"/>
        <v>-0.1253593969411306</v>
      </c>
      <c r="E858" s="8">
        <f t="shared" si="41"/>
        <v>-0.70299939374180065</v>
      </c>
    </row>
    <row r="859" spans="1:5" x14ac:dyDescent="0.2">
      <c r="A859" s="1">
        <v>42870</v>
      </c>
      <c r="B859">
        <v>47436.82</v>
      </c>
      <c r="C859" s="6">
        <f t="shared" si="39"/>
        <v>1.3471456186757148E-4</v>
      </c>
      <c r="D859" s="7">
        <f t="shared" si="40"/>
        <v>-8.2444957532917789E-3</v>
      </c>
      <c r="E859" s="8">
        <f t="shared" si="41"/>
        <v>-0.68612529329704885</v>
      </c>
    </row>
    <row r="860" spans="1:5" x14ac:dyDescent="0.2">
      <c r="A860" s="1">
        <v>42871</v>
      </c>
      <c r="B860">
        <v>47426.96</v>
      </c>
      <c r="C860" s="6">
        <f t="shared" si="39"/>
        <v>-2.0787702188348298E-4</v>
      </c>
      <c r="D860" s="7">
        <f t="shared" si="40"/>
        <v>-3.7806553397042912E-2</v>
      </c>
      <c r="E860" s="8">
        <f t="shared" si="41"/>
        <v>-0.68759748124035358</v>
      </c>
    </row>
    <row r="861" spans="1:5" x14ac:dyDescent="0.2">
      <c r="A861" s="1">
        <v>42872</v>
      </c>
      <c r="B861">
        <v>47504.07</v>
      </c>
      <c r="C861" s="6">
        <f t="shared" si="39"/>
        <v>1.6245482000728055E-3</v>
      </c>
      <c r="D861" s="7">
        <f t="shared" si="40"/>
        <v>0.12031250909194779</v>
      </c>
      <c r="E861" s="8">
        <f t="shared" si="41"/>
        <v>-0.70166599722979528</v>
      </c>
    </row>
    <row r="862" spans="1:5" x14ac:dyDescent="0.2">
      <c r="A862" s="1">
        <v>42873</v>
      </c>
      <c r="B862">
        <v>47769.43</v>
      </c>
      <c r="C862" s="6">
        <f t="shared" si="39"/>
        <v>5.570503575236703E-3</v>
      </c>
      <c r="D862" s="7">
        <f t="shared" si="40"/>
        <v>0.4608070390014431</v>
      </c>
      <c r="E862" s="8">
        <f t="shared" si="41"/>
        <v>-0.90677916874421982</v>
      </c>
    </row>
    <row r="863" spans="1:5" x14ac:dyDescent="0.2">
      <c r="A863" s="1">
        <v>42874</v>
      </c>
      <c r="B863">
        <v>47962.6</v>
      </c>
      <c r="C863" s="6">
        <f t="shared" si="39"/>
        <v>4.0356453774309528E-3</v>
      </c>
      <c r="D863" s="7">
        <f t="shared" si="40"/>
        <v>0.32836488726578206</v>
      </c>
      <c r="E863" s="8">
        <f t="shared" si="41"/>
        <v>-0.80031402353948178</v>
      </c>
    </row>
    <row r="864" spans="1:5" x14ac:dyDescent="0.2">
      <c r="A864" s="1">
        <v>42877</v>
      </c>
      <c r="B864">
        <v>48005.19</v>
      </c>
      <c r="C864" s="6">
        <f t="shared" si="39"/>
        <v>8.8758952969721593E-4</v>
      </c>
      <c r="D864" s="7">
        <f t="shared" si="40"/>
        <v>5.6720711371265109E-2</v>
      </c>
      <c r="E864" s="8">
        <f t="shared" si="41"/>
        <v>-0.68952975265252592</v>
      </c>
    </row>
    <row r="865" spans="1:5" x14ac:dyDescent="0.2">
      <c r="A865" s="1">
        <v>42878</v>
      </c>
      <c r="B865">
        <v>48046.16</v>
      </c>
      <c r="C865" s="6">
        <f t="shared" si="39"/>
        <v>8.5308540660131778E-4</v>
      </c>
      <c r="D865" s="7">
        <f t="shared" si="40"/>
        <v>5.3743367722773085E-2</v>
      </c>
      <c r="E865" s="8">
        <f t="shared" si="41"/>
        <v>-0.68917440675204567</v>
      </c>
    </row>
    <row r="866" spans="1:5" x14ac:dyDescent="0.2">
      <c r="A866" s="1">
        <v>42879</v>
      </c>
      <c r="B866">
        <v>47822.12</v>
      </c>
      <c r="C866" s="6">
        <f t="shared" si="39"/>
        <v>-4.673921506803437E-3</v>
      </c>
      <c r="D866" s="7">
        <f t="shared" si="40"/>
        <v>-0.42317931433064876</v>
      </c>
      <c r="E866" s="8">
        <f t="shared" si="41"/>
        <v>-0.87333641488533431</v>
      </c>
    </row>
    <row r="867" spans="1:5" x14ac:dyDescent="0.2">
      <c r="A867" s="1">
        <v>42880</v>
      </c>
      <c r="B867">
        <v>47572.160000000003</v>
      </c>
      <c r="C867" s="6">
        <f t="shared" si="39"/>
        <v>-5.2405777802962761E-3</v>
      </c>
      <c r="D867" s="7">
        <f t="shared" si="40"/>
        <v>-0.47207580279009992</v>
      </c>
      <c r="E867" s="8">
        <f t="shared" si="41"/>
        <v>-0.91726575929155707</v>
      </c>
    </row>
    <row r="868" spans="1:5" x14ac:dyDescent="0.2">
      <c r="A868" s="1">
        <v>42881</v>
      </c>
      <c r="B868">
        <v>47535.43</v>
      </c>
      <c r="C868" s="6">
        <f t="shared" si="39"/>
        <v>-7.7238844609663234E-4</v>
      </c>
      <c r="D868" s="7">
        <f t="shared" si="40"/>
        <v>-8.6517963877201301E-2</v>
      </c>
      <c r="E868" s="8">
        <f t="shared" si="41"/>
        <v>-0.694137104587641</v>
      </c>
    </row>
    <row r="869" spans="1:5" x14ac:dyDescent="0.2">
      <c r="A869" s="1">
        <v>42884</v>
      </c>
      <c r="B869">
        <v>47533.5</v>
      </c>
      <c r="C869" s="6">
        <f t="shared" si="39"/>
        <v>-4.0602118910203599E-5</v>
      </c>
      <c r="D869" s="7">
        <f t="shared" si="40"/>
        <v>-2.3372485081919737E-2</v>
      </c>
      <c r="E869" s="8">
        <f t="shared" si="41"/>
        <v>-0.68664262014142863</v>
      </c>
    </row>
    <row r="870" spans="1:5" x14ac:dyDescent="0.2">
      <c r="A870" s="1">
        <v>42885</v>
      </c>
      <c r="B870">
        <v>47699.35</v>
      </c>
      <c r="C870" s="6">
        <f t="shared" si="39"/>
        <v>3.4830453497686348E-3</v>
      </c>
      <c r="D870" s="7">
        <f t="shared" si="40"/>
        <v>0.28068130527924229</v>
      </c>
      <c r="E870" s="8">
        <f t="shared" si="41"/>
        <v>-0.76999595067832272</v>
      </c>
    </row>
    <row r="871" spans="1:5" x14ac:dyDescent="0.2">
      <c r="A871" s="1">
        <v>42886</v>
      </c>
      <c r="B871">
        <v>47153.91</v>
      </c>
      <c r="C871" s="6">
        <f t="shared" si="39"/>
        <v>-1.1500838496572399E-2</v>
      </c>
      <c r="D871" s="7">
        <f t="shared" si="40"/>
        <v>-1.0122705913869634</v>
      </c>
      <c r="E871" s="8">
        <f t="shared" si="41"/>
        <v>-1.6193608745510597</v>
      </c>
    </row>
    <row r="872" spans="1:5" x14ac:dyDescent="0.2">
      <c r="A872" s="1">
        <v>42887</v>
      </c>
      <c r="B872">
        <v>46487.5</v>
      </c>
      <c r="C872" s="6">
        <f t="shared" si="39"/>
        <v>-1.4233473219307027E-2</v>
      </c>
      <c r="D872" s="7">
        <f t="shared" si="40"/>
        <v>-1.2480682846878524</v>
      </c>
      <c r="E872" s="8">
        <f t="shared" si="41"/>
        <v>-2.0041396775037597</v>
      </c>
    </row>
    <row r="873" spans="1:5" x14ac:dyDescent="0.2">
      <c r="A873" s="1">
        <v>42888</v>
      </c>
      <c r="B873">
        <v>46522.53</v>
      </c>
      <c r="C873" s="6">
        <f t="shared" si="39"/>
        <v>7.532521311152514E-4</v>
      </c>
      <c r="D873" s="7">
        <f t="shared" si="40"/>
        <v>4.512880395453954E-2</v>
      </c>
      <c r="E873" s="8">
        <f t="shared" si="41"/>
        <v>-0.68825394032337872</v>
      </c>
    </row>
    <row r="874" spans="1:5" x14ac:dyDescent="0.2">
      <c r="A874" s="1">
        <v>42891</v>
      </c>
      <c r="B874">
        <v>46442.07</v>
      </c>
      <c r="C874" s="6">
        <f t="shared" si="39"/>
        <v>-1.7309819025774719E-3</v>
      </c>
      <c r="D874" s="7">
        <f t="shared" si="40"/>
        <v>-0.16923451723538638</v>
      </c>
      <c r="E874" s="8">
        <f t="shared" si="41"/>
        <v>-0.71686180597315807</v>
      </c>
    </row>
    <row r="875" spans="1:5" x14ac:dyDescent="0.2">
      <c r="A875" s="1">
        <v>42892</v>
      </c>
      <c r="B875">
        <v>45889.51</v>
      </c>
      <c r="C875" s="6">
        <f t="shared" si="39"/>
        <v>-1.196917883755279E-2</v>
      </c>
      <c r="D875" s="7">
        <f t="shared" si="40"/>
        <v>-1.0526834468499189</v>
      </c>
      <c r="E875" s="8">
        <f t="shared" si="41"/>
        <v>-1.6832234349918858</v>
      </c>
    </row>
    <row r="876" spans="1:5" x14ac:dyDescent="0.2">
      <c r="A876" s="1">
        <v>42893</v>
      </c>
      <c r="B876">
        <v>45809.08</v>
      </c>
      <c r="C876" s="6">
        <f t="shared" si="39"/>
        <v>-1.7542258965085231E-3</v>
      </c>
      <c r="D876" s="7">
        <f t="shared" si="40"/>
        <v>-0.17124022992960145</v>
      </c>
      <c r="E876" s="8">
        <f t="shared" si="41"/>
        <v>-0.71759229673156044</v>
      </c>
    </row>
    <row r="877" spans="1:5" x14ac:dyDescent="0.2">
      <c r="A877" s="1">
        <v>42894</v>
      </c>
      <c r="B877">
        <v>45733.78</v>
      </c>
      <c r="C877" s="6">
        <f t="shared" si="39"/>
        <v>-1.6451314058359742E-3</v>
      </c>
      <c r="D877" s="7">
        <f t="shared" si="40"/>
        <v>-0.16182652050169832</v>
      </c>
      <c r="E877" s="8">
        <f t="shared" si="41"/>
        <v>-0.71423679475156676</v>
      </c>
    </row>
    <row r="878" spans="1:5" x14ac:dyDescent="0.2">
      <c r="A878" s="1">
        <v>42895</v>
      </c>
      <c r="B878">
        <v>45874.22</v>
      </c>
      <c r="C878" s="6">
        <f t="shared" si="39"/>
        <v>3.0661101655617687E-3</v>
      </c>
      <c r="D878" s="7">
        <f t="shared" si="40"/>
        <v>0.24470417526840196</v>
      </c>
      <c r="E878" s="8">
        <f t="shared" si="41"/>
        <v>-0.75008469389557852</v>
      </c>
    </row>
    <row r="879" spans="1:5" x14ac:dyDescent="0.2">
      <c r="A879" s="1">
        <v>42898</v>
      </c>
      <c r="B879">
        <v>45168.67</v>
      </c>
      <c r="C879" s="6">
        <f t="shared" si="39"/>
        <v>-1.5499598593822815E-2</v>
      </c>
      <c r="D879" s="7">
        <f t="shared" si="40"/>
        <v>-1.3573216145444607</v>
      </c>
      <c r="E879" s="8">
        <f t="shared" si="41"/>
        <v>-2.1897757649891192</v>
      </c>
    </row>
    <row r="880" spans="1:5" x14ac:dyDescent="0.2">
      <c r="A880" s="1">
        <v>42899</v>
      </c>
      <c r="B880">
        <v>45264.87</v>
      </c>
      <c r="C880" s="6">
        <f t="shared" si="39"/>
        <v>2.1275300355712654E-3</v>
      </c>
      <c r="D880" s="7">
        <f t="shared" si="40"/>
        <v>0.16371456191520095</v>
      </c>
      <c r="E880" s="8">
        <f t="shared" si="41"/>
        <v>-0.71489489608337697</v>
      </c>
    </row>
    <row r="881" spans="1:5" x14ac:dyDescent="0.2">
      <c r="A881" s="1">
        <v>42900</v>
      </c>
      <c r="B881">
        <v>45084.86</v>
      </c>
      <c r="C881" s="6">
        <f t="shared" si="39"/>
        <v>-3.9847432457374848E-3</v>
      </c>
      <c r="D881" s="7">
        <f t="shared" si="40"/>
        <v>-0.36371046440333604</v>
      </c>
      <c r="E881" s="8">
        <f t="shared" si="41"/>
        <v>-0.82559785878204439</v>
      </c>
    </row>
    <row r="882" spans="1:5" x14ac:dyDescent="0.2">
      <c r="A882" s="1">
        <v>42901</v>
      </c>
      <c r="B882">
        <v>44512.15</v>
      </c>
      <c r="C882" s="6">
        <f t="shared" si="39"/>
        <v>-1.2784306088261446E-2</v>
      </c>
      <c r="D882" s="7">
        <f t="shared" si="40"/>
        <v>-1.1230203725519576</v>
      </c>
      <c r="E882" s="8">
        <f t="shared" si="41"/>
        <v>-1.7966659352614538</v>
      </c>
    </row>
    <row r="883" spans="1:5" x14ac:dyDescent="0.2">
      <c r="A883" s="1">
        <v>42905</v>
      </c>
      <c r="B883">
        <v>45381.2</v>
      </c>
      <c r="C883" s="6">
        <f t="shared" si="39"/>
        <v>1.9335736756057754E-2</v>
      </c>
      <c r="D883" s="7">
        <f t="shared" si="40"/>
        <v>1.6486021748761295</v>
      </c>
      <c r="E883" s="8">
        <f t="shared" si="41"/>
        <v>-2.6937914626823822</v>
      </c>
    </row>
    <row r="884" spans="1:5" x14ac:dyDescent="0.2">
      <c r="A884" s="1">
        <v>42906</v>
      </c>
      <c r="B884">
        <v>44970.49</v>
      </c>
      <c r="C884" s="6">
        <f t="shared" si="39"/>
        <v>-9.091425492953777E-3</v>
      </c>
      <c r="D884" s="7">
        <f t="shared" si="40"/>
        <v>-0.80436353972881525</v>
      </c>
      <c r="E884" s="8">
        <f t="shared" si="41"/>
        <v>-1.3105040639919516</v>
      </c>
    </row>
    <row r="885" spans="1:5" x14ac:dyDescent="0.2">
      <c r="A885" s="1">
        <v>42907</v>
      </c>
      <c r="B885">
        <v>45213.45</v>
      </c>
      <c r="C885" s="6">
        <f t="shared" si="39"/>
        <v>5.3881120695307505E-3</v>
      </c>
      <c r="D885" s="7">
        <f t="shared" si="40"/>
        <v>0.44506856654285537</v>
      </c>
      <c r="E885" s="8">
        <f t="shared" si="41"/>
        <v>-0.89249383583698394</v>
      </c>
    </row>
    <row r="886" spans="1:5" x14ac:dyDescent="0.2">
      <c r="A886" s="1">
        <v>42908</v>
      </c>
      <c r="B886">
        <v>44944.65</v>
      </c>
      <c r="C886" s="6">
        <f t="shared" si="39"/>
        <v>-5.9628762463168799E-3</v>
      </c>
      <c r="D886" s="7">
        <f t="shared" si="40"/>
        <v>-0.53440257875669828</v>
      </c>
      <c r="E886" s="8">
        <f t="shared" si="41"/>
        <v>-0.97903556217648147</v>
      </c>
    </row>
    <row r="887" spans="1:5" x14ac:dyDescent="0.2">
      <c r="A887" s="1">
        <v>42909</v>
      </c>
      <c r="B887">
        <v>45358.66</v>
      </c>
      <c r="C887" s="6">
        <f t="shared" si="39"/>
        <v>9.1693848374735376E-3</v>
      </c>
      <c r="D887" s="7">
        <f t="shared" si="40"/>
        <v>0.77135271605044531</v>
      </c>
      <c r="E887" s="8">
        <f t="shared" si="41"/>
        <v>-1.2651572340892947</v>
      </c>
    </row>
    <row r="888" spans="1:5" x14ac:dyDescent="0.2">
      <c r="A888" s="1">
        <v>42912</v>
      </c>
      <c r="B888">
        <v>45113.21</v>
      </c>
      <c r="C888" s="6">
        <f t="shared" si="39"/>
        <v>-5.4260092601738372E-3</v>
      </c>
      <c r="D888" s="7">
        <f t="shared" si="40"/>
        <v>-0.48807659311041868</v>
      </c>
      <c r="E888" s="8">
        <f t="shared" si="41"/>
        <v>-0.93252062045257023</v>
      </c>
    </row>
    <row r="889" spans="1:5" x14ac:dyDescent="0.2">
      <c r="A889" s="1">
        <v>42913</v>
      </c>
      <c r="B889">
        <v>45288.38</v>
      </c>
      <c r="C889" s="6">
        <f t="shared" si="39"/>
        <v>3.8753791660837795E-3</v>
      </c>
      <c r="D889" s="7">
        <f t="shared" si="40"/>
        <v>0.31453559547082227</v>
      </c>
      <c r="E889" s="8">
        <f t="shared" si="41"/>
        <v>-0.79106730369614486</v>
      </c>
    </row>
    <row r="890" spans="1:5" x14ac:dyDescent="0.2">
      <c r="A890" s="1">
        <v>42914</v>
      </c>
      <c r="B890">
        <v>45504.55</v>
      </c>
      <c r="C890" s="6">
        <f t="shared" si="39"/>
        <v>4.7618335143967128E-3</v>
      </c>
      <c r="D890" s="7">
        <f t="shared" si="40"/>
        <v>0.39102730100677341</v>
      </c>
      <c r="E890" s="8">
        <f t="shared" si="41"/>
        <v>-0.8467311831682669</v>
      </c>
    </row>
    <row r="891" spans="1:5" x14ac:dyDescent="0.2">
      <c r="A891" s="1">
        <v>42915</v>
      </c>
      <c r="B891">
        <v>45211.74</v>
      </c>
      <c r="C891" s="6">
        <f t="shared" si="39"/>
        <v>-6.4555333309474329E-3</v>
      </c>
      <c r="D891" s="7">
        <f t="shared" si="40"/>
        <v>-0.57691371395444369</v>
      </c>
      <c r="E891" s="8">
        <f t="shared" si="41"/>
        <v>-1.024668678316434</v>
      </c>
    </row>
    <row r="892" spans="1:5" x14ac:dyDescent="0.2">
      <c r="A892" s="1">
        <v>42916</v>
      </c>
      <c r="B892">
        <v>45421.760000000002</v>
      </c>
      <c r="C892" s="6">
        <f t="shared" si="39"/>
        <v>4.6344977499629117E-3</v>
      </c>
      <c r="D892" s="7">
        <f t="shared" si="40"/>
        <v>0.38003956112394399</v>
      </c>
      <c r="E892" s="8">
        <f t="shared" si="41"/>
        <v>-0.83806611580791113</v>
      </c>
    </row>
    <row r="893" spans="1:5" x14ac:dyDescent="0.2">
      <c r="A893" s="1">
        <v>42919</v>
      </c>
      <c r="B893">
        <v>45994.44</v>
      </c>
      <c r="C893" s="6">
        <f t="shared" si="39"/>
        <v>1.2529234242309513E-2</v>
      </c>
      <c r="D893" s="7">
        <f t="shared" si="40"/>
        <v>1.06127245281858</v>
      </c>
      <c r="E893" s="8">
        <f t="shared" si="41"/>
        <v>-1.6969267524746252</v>
      </c>
    </row>
    <row r="894" spans="1:5" x14ac:dyDescent="0.2">
      <c r="A894" s="1">
        <v>42920</v>
      </c>
      <c r="B894">
        <v>45819.88</v>
      </c>
      <c r="C894" s="6">
        <f t="shared" si="39"/>
        <v>-3.8024615403358056E-3</v>
      </c>
      <c r="D894" s="7">
        <f t="shared" si="40"/>
        <v>-0.34798146655848133</v>
      </c>
      <c r="E894" s="8">
        <f t="shared" si="41"/>
        <v>-0.81405591516578435</v>
      </c>
    </row>
    <row r="895" spans="1:5" x14ac:dyDescent="0.2">
      <c r="A895" s="1">
        <v>42921</v>
      </c>
      <c r="B895">
        <v>46241.440000000002</v>
      </c>
      <c r="C895" s="6">
        <f t="shared" si="39"/>
        <v>9.1583076695090915E-3</v>
      </c>
      <c r="D895" s="7">
        <f t="shared" si="40"/>
        <v>0.77039687272729929</v>
      </c>
      <c r="E895" s="8">
        <f t="shared" si="41"/>
        <v>-1.2638616994586422</v>
      </c>
    </row>
    <row r="896" spans="1:5" x14ac:dyDescent="0.2">
      <c r="A896" s="1">
        <v>42922</v>
      </c>
      <c r="B896">
        <v>46000.77</v>
      </c>
      <c r="C896" s="6">
        <f t="shared" si="39"/>
        <v>-5.2182302683042667E-3</v>
      </c>
      <c r="D896" s="7">
        <f t="shared" si="40"/>
        <v>-0.47014744707724543</v>
      </c>
      <c r="E896" s="8">
        <f t="shared" si="41"/>
        <v>-0.91545610074290462</v>
      </c>
    </row>
    <row r="897" spans="1:5" x14ac:dyDescent="0.2">
      <c r="A897" s="1">
        <v>42923</v>
      </c>
      <c r="B897">
        <v>45670.49</v>
      </c>
      <c r="C897" s="6">
        <f t="shared" si="39"/>
        <v>-7.2057791962231643E-3</v>
      </c>
      <c r="D897" s="7">
        <f t="shared" si="40"/>
        <v>-0.64165205712513718</v>
      </c>
      <c r="E897" s="8">
        <f t="shared" si="41"/>
        <v>-1.0992420957725939</v>
      </c>
    </row>
    <row r="898" spans="1:5" x14ac:dyDescent="0.2">
      <c r="A898" s="1">
        <v>42926</v>
      </c>
      <c r="B898">
        <v>45976.56</v>
      </c>
      <c r="C898" s="6">
        <f t="shared" si="39"/>
        <v>6.6793451160186189E-3</v>
      </c>
      <c r="D898" s="7">
        <f t="shared" si="40"/>
        <v>0.55648842494640627</v>
      </c>
      <c r="E898" s="8">
        <f t="shared" si="41"/>
        <v>-1.0024009116218111</v>
      </c>
    </row>
    <row r="899" spans="1:5" x14ac:dyDescent="0.2">
      <c r="A899" s="1">
        <v>42927</v>
      </c>
      <c r="B899">
        <v>46192.63</v>
      </c>
      <c r="C899" s="6">
        <f t="shared" ref="C899:C962" si="42">LN(B899/B898)</f>
        <v>4.68856015366571E-3</v>
      </c>
      <c r="D899" s="7">
        <f t="shared" ref="D899:D962" si="43">(C899-$G$4)/$G$5</f>
        <v>0.38470457909409705</v>
      </c>
      <c r="E899" s="8">
        <f t="shared" ref="E899:E962" si="44">LN((PI()*(G$3-2))^(-1/2)*EXP(GAMMALN((G$3+1)/2))*((1+D899^2/(G$3-2))^(-(G$3+1)/2))/EXP(GAMMALN(G$3/2)))</f>
        <v>-0.84171812134551094</v>
      </c>
    </row>
    <row r="900" spans="1:5" x14ac:dyDescent="0.2">
      <c r="A900" s="1">
        <v>42928</v>
      </c>
      <c r="B900">
        <v>46674.35</v>
      </c>
      <c r="C900" s="6">
        <f t="shared" si="42"/>
        <v>1.0374501693296701E-2</v>
      </c>
      <c r="D900" s="7">
        <f t="shared" si="43"/>
        <v>0.87534165112360829</v>
      </c>
      <c r="E900" s="8">
        <f t="shared" si="44"/>
        <v>-1.4117410837078013</v>
      </c>
    </row>
    <row r="901" spans="1:5" x14ac:dyDescent="0.2">
      <c r="A901" s="1">
        <v>42929</v>
      </c>
      <c r="B901">
        <v>47056.02</v>
      </c>
      <c r="C901" s="6">
        <f t="shared" si="42"/>
        <v>8.1440435908606661E-3</v>
      </c>
      <c r="D901" s="7">
        <f t="shared" si="43"/>
        <v>0.68287652902621554</v>
      </c>
      <c r="E901" s="8">
        <f t="shared" si="44"/>
        <v>-1.1497154261631433</v>
      </c>
    </row>
    <row r="902" spans="1:5" x14ac:dyDescent="0.2">
      <c r="A902" s="1">
        <v>42930</v>
      </c>
      <c r="B902">
        <v>47309.26</v>
      </c>
      <c r="C902" s="6">
        <f t="shared" si="42"/>
        <v>5.3672411702546264E-3</v>
      </c>
      <c r="D902" s="7">
        <f t="shared" si="43"/>
        <v>0.44326762700802413</v>
      </c>
      <c r="E902" s="8">
        <f t="shared" si="44"/>
        <v>-0.89088625265320365</v>
      </c>
    </row>
    <row r="903" spans="1:5" x14ac:dyDescent="0.2">
      <c r="A903" s="1">
        <v>42933</v>
      </c>
      <c r="B903">
        <v>47499.6</v>
      </c>
      <c r="C903" s="6">
        <f t="shared" si="42"/>
        <v>4.0152419452017156E-3</v>
      </c>
      <c r="D903" s="7">
        <f t="shared" si="43"/>
        <v>0.32660428523030016</v>
      </c>
      <c r="E903" s="8">
        <f t="shared" si="44"/>
        <v>-0.79911645706365075</v>
      </c>
    </row>
    <row r="904" spans="1:5" x14ac:dyDescent="0.2">
      <c r="A904" s="1">
        <v>42934</v>
      </c>
      <c r="B904">
        <v>46927.839999999997</v>
      </c>
      <c r="C904" s="6">
        <f t="shared" si="42"/>
        <v>-1.211018720157365E-2</v>
      </c>
      <c r="D904" s="7">
        <f t="shared" si="43"/>
        <v>-1.0648509885618156</v>
      </c>
      <c r="E904" s="8">
        <f t="shared" si="44"/>
        <v>-1.7026490283575628</v>
      </c>
    </row>
    <row r="905" spans="1:5" x14ac:dyDescent="0.2">
      <c r="A905" s="1">
        <v>42935</v>
      </c>
      <c r="B905">
        <v>47748.68</v>
      </c>
      <c r="C905" s="6">
        <f t="shared" si="42"/>
        <v>1.7340319814646864E-2</v>
      </c>
      <c r="D905" s="7">
        <f t="shared" si="43"/>
        <v>1.476418637850974</v>
      </c>
      <c r="E905" s="8">
        <f t="shared" si="44"/>
        <v>-2.3949730088042043</v>
      </c>
    </row>
    <row r="906" spans="1:5" x14ac:dyDescent="0.2">
      <c r="A906" s="1">
        <v>42936</v>
      </c>
      <c r="B906">
        <v>47909.93</v>
      </c>
      <c r="C906" s="6">
        <f t="shared" si="42"/>
        <v>3.371367255538688E-3</v>
      </c>
      <c r="D906" s="7">
        <f t="shared" si="43"/>
        <v>0.27104465798329191</v>
      </c>
      <c r="E906" s="8">
        <f t="shared" si="44"/>
        <v>-0.76440958805409454</v>
      </c>
    </row>
    <row r="907" spans="1:5" x14ac:dyDescent="0.2">
      <c r="A907" s="1">
        <v>42937</v>
      </c>
      <c r="B907">
        <v>47801.91</v>
      </c>
      <c r="C907" s="6">
        <f t="shared" si="42"/>
        <v>-2.2571929630182258E-3</v>
      </c>
      <c r="D907" s="7">
        <f t="shared" si="43"/>
        <v>-0.21464100834414848</v>
      </c>
      <c r="E907" s="8">
        <f t="shared" si="44"/>
        <v>-0.73544749308045321</v>
      </c>
    </row>
    <row r="908" spans="1:5" x14ac:dyDescent="0.2">
      <c r="A908" s="1">
        <v>42940</v>
      </c>
      <c r="B908">
        <v>48058.35</v>
      </c>
      <c r="C908" s="6">
        <f t="shared" si="42"/>
        <v>5.3503007759691029E-3</v>
      </c>
      <c r="D908" s="7">
        <f t="shared" si="43"/>
        <v>0.44180584879709056</v>
      </c>
      <c r="E908" s="8">
        <f t="shared" si="44"/>
        <v>-0.88958553153583997</v>
      </c>
    </row>
    <row r="909" spans="1:5" x14ac:dyDescent="0.2">
      <c r="A909" s="1">
        <v>42941</v>
      </c>
      <c r="B909">
        <v>48223.29</v>
      </c>
      <c r="C909" s="6">
        <f t="shared" si="42"/>
        <v>3.4262017421094432E-3</v>
      </c>
      <c r="D909" s="7">
        <f t="shared" si="43"/>
        <v>0.27577629860073355</v>
      </c>
      <c r="E909" s="8">
        <f t="shared" si="44"/>
        <v>-0.7671295313327845</v>
      </c>
    </row>
    <row r="910" spans="1:5" x14ac:dyDescent="0.2">
      <c r="A910" s="1">
        <v>42942</v>
      </c>
      <c r="B910">
        <v>48563.79</v>
      </c>
      <c r="C910" s="6">
        <f t="shared" si="42"/>
        <v>7.0360921054419831E-3</v>
      </c>
      <c r="D910" s="7">
        <f t="shared" si="43"/>
        <v>0.58727194551657769</v>
      </c>
      <c r="E910" s="8">
        <f t="shared" si="44"/>
        <v>-1.0361979535356807</v>
      </c>
    </row>
    <row r="911" spans="1:5" x14ac:dyDescent="0.2">
      <c r="A911" s="1">
        <v>42943</v>
      </c>
      <c r="B911">
        <v>48569.42</v>
      </c>
      <c r="C911" s="6">
        <f t="shared" si="42"/>
        <v>1.1592327703992084E-4</v>
      </c>
      <c r="D911" s="7">
        <f t="shared" si="43"/>
        <v>-9.865986390022707E-3</v>
      </c>
      <c r="E911" s="8">
        <f t="shared" si="44"/>
        <v>-0.686157058063669</v>
      </c>
    </row>
    <row r="912" spans="1:5" x14ac:dyDescent="0.2">
      <c r="A912" s="1">
        <v>42944</v>
      </c>
      <c r="B912">
        <v>48551.29</v>
      </c>
      <c r="C912" s="6">
        <f t="shared" si="42"/>
        <v>-3.7334982848849968E-4</v>
      </c>
      <c r="D912" s="7">
        <f t="shared" si="43"/>
        <v>-5.2085119711402152E-2</v>
      </c>
      <c r="E912" s="8">
        <f t="shared" si="44"/>
        <v>-0.68898478167531552</v>
      </c>
    </row>
    <row r="913" spans="1:5" x14ac:dyDescent="0.2">
      <c r="A913" s="1">
        <v>42947</v>
      </c>
      <c r="B913">
        <v>48873.13</v>
      </c>
      <c r="C913" s="6">
        <f t="shared" si="42"/>
        <v>6.606991773826584E-3</v>
      </c>
      <c r="D913" s="7">
        <f t="shared" si="43"/>
        <v>0.55024509097661078</v>
      </c>
      <c r="E913" s="8">
        <f t="shared" si="44"/>
        <v>-0.99571995301724014</v>
      </c>
    </row>
    <row r="914" spans="1:5" x14ac:dyDescent="0.2">
      <c r="A914" s="1">
        <v>42948</v>
      </c>
      <c r="B914">
        <v>49038.68</v>
      </c>
      <c r="C914" s="6">
        <f t="shared" si="42"/>
        <v>3.3816177590832784E-3</v>
      </c>
      <c r="D914" s="7">
        <f t="shared" si="43"/>
        <v>0.27192916884413909</v>
      </c>
      <c r="E914" s="8">
        <f t="shared" si="44"/>
        <v>-0.76491466489678872</v>
      </c>
    </row>
    <row r="915" spans="1:5" x14ac:dyDescent="0.2">
      <c r="A915" s="1">
        <v>42949</v>
      </c>
      <c r="B915">
        <v>48811.07</v>
      </c>
      <c r="C915" s="6">
        <f t="shared" si="42"/>
        <v>-4.6522430669549662E-3</v>
      </c>
      <c r="D915" s="7">
        <f t="shared" si="43"/>
        <v>-0.42130869252082415</v>
      </c>
      <c r="E915" s="8">
        <f t="shared" si="44"/>
        <v>-0.87173811392837242</v>
      </c>
    </row>
    <row r="916" spans="1:5" x14ac:dyDescent="0.2">
      <c r="A916" s="1">
        <v>42950</v>
      </c>
      <c r="B916">
        <v>49243.79</v>
      </c>
      <c r="C916" s="6">
        <f t="shared" si="42"/>
        <v>8.8261369012270132E-3</v>
      </c>
      <c r="D916" s="7">
        <f t="shared" si="43"/>
        <v>0.7417340220757801</v>
      </c>
      <c r="E916" s="8">
        <f t="shared" si="44"/>
        <v>-1.2254872501640801</v>
      </c>
    </row>
    <row r="917" spans="1:5" x14ac:dyDescent="0.2">
      <c r="A917" s="1">
        <v>42951</v>
      </c>
      <c r="B917">
        <v>49506.15</v>
      </c>
      <c r="C917" s="6">
        <f t="shared" si="42"/>
        <v>5.313635984081853E-3</v>
      </c>
      <c r="D917" s="7">
        <f t="shared" si="43"/>
        <v>0.43864206211149986</v>
      </c>
      <c r="E917" s="8">
        <f t="shared" si="44"/>
        <v>-0.88678297959145314</v>
      </c>
    </row>
    <row r="918" spans="1:5" x14ac:dyDescent="0.2">
      <c r="A918" s="1">
        <v>42954</v>
      </c>
      <c r="B918">
        <v>49763.82</v>
      </c>
      <c r="C918" s="6">
        <f t="shared" si="42"/>
        <v>5.1913096916840805E-3</v>
      </c>
      <c r="D918" s="7">
        <f t="shared" si="43"/>
        <v>0.42808658708314351</v>
      </c>
      <c r="E918" s="8">
        <f t="shared" si="44"/>
        <v>-0.87755854248867149</v>
      </c>
    </row>
    <row r="919" spans="1:5" x14ac:dyDescent="0.2">
      <c r="A919" s="1">
        <v>42955</v>
      </c>
      <c r="B919">
        <v>49572.69</v>
      </c>
      <c r="C919" s="6">
        <f t="shared" si="42"/>
        <v>-3.8481367194569184E-3</v>
      </c>
      <c r="D919" s="7">
        <f t="shared" si="43"/>
        <v>-0.35192275508426185</v>
      </c>
      <c r="E919" s="8">
        <f t="shared" si="44"/>
        <v>-0.81690456957530744</v>
      </c>
    </row>
    <row r="920" spans="1:5" x14ac:dyDescent="0.2">
      <c r="A920" s="1">
        <v>42957</v>
      </c>
      <c r="B920">
        <v>49303.27</v>
      </c>
      <c r="C920" s="6">
        <f t="shared" si="42"/>
        <v>-5.4496698042577557E-3</v>
      </c>
      <c r="D920" s="7">
        <f t="shared" si="43"/>
        <v>-0.49011824971048146</v>
      </c>
      <c r="E920" s="8">
        <f t="shared" si="44"/>
        <v>-0.93449756162237807</v>
      </c>
    </row>
    <row r="921" spans="1:5" x14ac:dyDescent="0.2">
      <c r="A921" s="1">
        <v>42958</v>
      </c>
      <c r="B921">
        <v>48766.71</v>
      </c>
      <c r="C921" s="6">
        <f t="shared" si="42"/>
        <v>-1.0942499506732411E-2</v>
      </c>
      <c r="D921" s="7">
        <f t="shared" si="43"/>
        <v>-0.96409179720386573</v>
      </c>
      <c r="E921" s="8">
        <f t="shared" si="44"/>
        <v>-1.5446605255959023</v>
      </c>
    </row>
    <row r="922" spans="1:5" x14ac:dyDescent="0.2">
      <c r="A922" s="1">
        <v>42961</v>
      </c>
      <c r="B922">
        <v>49108.55</v>
      </c>
      <c r="C922" s="6">
        <f t="shared" si="42"/>
        <v>6.9852461177155245E-3</v>
      </c>
      <c r="D922" s="7">
        <f t="shared" si="43"/>
        <v>0.58288447048387149</v>
      </c>
      <c r="E922" s="8">
        <f t="shared" si="44"/>
        <v>-1.0312952335085142</v>
      </c>
    </row>
    <row r="923" spans="1:5" x14ac:dyDescent="0.2">
      <c r="A923" s="1">
        <v>42962</v>
      </c>
      <c r="B923">
        <v>48655.12</v>
      </c>
      <c r="C923" s="6">
        <f t="shared" si="42"/>
        <v>-9.2761094448060421E-3</v>
      </c>
      <c r="D923" s="7">
        <f t="shared" si="43"/>
        <v>-0.82029982622702557</v>
      </c>
      <c r="E923" s="8">
        <f t="shared" si="44"/>
        <v>-1.3328038329997893</v>
      </c>
    </row>
    <row r="924" spans="1:5" x14ac:dyDescent="0.2">
      <c r="A924" s="1">
        <v>42963</v>
      </c>
      <c r="B924">
        <v>49211.76</v>
      </c>
      <c r="C924" s="6">
        <f t="shared" si="42"/>
        <v>1.1375574711145312E-2</v>
      </c>
      <c r="D924" s="7">
        <f t="shared" si="43"/>
        <v>0.96172374473846189</v>
      </c>
      <c r="E924" s="8">
        <f t="shared" si="44"/>
        <v>-1.5410321099810433</v>
      </c>
    </row>
    <row r="925" spans="1:5" x14ac:dyDescent="0.2">
      <c r="A925" s="1">
        <v>42964</v>
      </c>
      <c r="B925">
        <v>49065.81</v>
      </c>
      <c r="C925" s="6">
        <f t="shared" si="42"/>
        <v>-2.9701610916066023E-3</v>
      </c>
      <c r="D925" s="7">
        <f t="shared" si="43"/>
        <v>-0.2761626741268155</v>
      </c>
      <c r="E925" s="8">
        <f t="shared" si="44"/>
        <v>-0.76735359654805635</v>
      </c>
    </row>
    <row r="926" spans="1:5" x14ac:dyDescent="0.2">
      <c r="A926" s="1">
        <v>42965</v>
      </c>
      <c r="B926">
        <v>48929.87</v>
      </c>
      <c r="C926" s="6">
        <f t="shared" si="42"/>
        <v>-2.7744097943526586E-3</v>
      </c>
      <c r="D926" s="7">
        <f t="shared" si="43"/>
        <v>-0.25927139188952286</v>
      </c>
      <c r="E926" s="8">
        <f t="shared" si="44"/>
        <v>-0.75783515712662186</v>
      </c>
    </row>
    <row r="927" spans="1:5" x14ac:dyDescent="0.2">
      <c r="A927" s="1">
        <v>42968</v>
      </c>
      <c r="B927">
        <v>49029</v>
      </c>
      <c r="C927" s="6">
        <f t="shared" si="42"/>
        <v>2.0239113382618684E-3</v>
      </c>
      <c r="D927" s="7">
        <f t="shared" si="43"/>
        <v>0.15477335597753067</v>
      </c>
      <c r="E927" s="8">
        <f t="shared" si="44"/>
        <v>-0.71184453867726205</v>
      </c>
    </row>
    <row r="928" spans="1:5" x14ac:dyDescent="0.2">
      <c r="A928" s="1">
        <v>42969</v>
      </c>
      <c r="B928">
        <v>49588.44</v>
      </c>
      <c r="C928" s="6">
        <f t="shared" si="42"/>
        <v>1.1345782271967248E-2</v>
      </c>
      <c r="D928" s="7">
        <f t="shared" si="43"/>
        <v>0.95915296995559429</v>
      </c>
      <c r="E928" s="8">
        <f t="shared" si="44"/>
        <v>-1.537097847808307</v>
      </c>
    </row>
    <row r="929" spans="1:5" x14ac:dyDescent="0.2">
      <c r="A929" s="1">
        <v>42970</v>
      </c>
      <c r="B929">
        <v>49734.51</v>
      </c>
      <c r="C929" s="6">
        <f t="shared" si="42"/>
        <v>2.941316288097396E-3</v>
      </c>
      <c r="D929" s="7">
        <f t="shared" si="43"/>
        <v>0.23393577354995884</v>
      </c>
      <c r="E929" s="8">
        <f t="shared" si="44"/>
        <v>-0.74463050904149375</v>
      </c>
    </row>
    <row r="930" spans="1:5" x14ac:dyDescent="0.2">
      <c r="A930" s="1">
        <v>42971</v>
      </c>
      <c r="B930">
        <v>50101.48</v>
      </c>
      <c r="C930" s="6">
        <f t="shared" si="42"/>
        <v>7.3514902335633939E-3</v>
      </c>
      <c r="D930" s="7">
        <f t="shared" si="43"/>
        <v>0.61448749337729669</v>
      </c>
      <c r="E930" s="8">
        <f t="shared" si="44"/>
        <v>-1.0672302126958646</v>
      </c>
    </row>
    <row r="931" spans="1:5" x14ac:dyDescent="0.2">
      <c r="A931" s="1">
        <v>42972</v>
      </c>
      <c r="B931">
        <v>50175.33</v>
      </c>
      <c r="C931" s="6">
        <f t="shared" si="42"/>
        <v>1.4729230686831227E-3</v>
      </c>
      <c r="D931" s="7">
        <f t="shared" si="43"/>
        <v>0.10722885179568373</v>
      </c>
      <c r="E931" s="8">
        <f t="shared" si="44"/>
        <v>-0.69846177289979938</v>
      </c>
    </row>
    <row r="932" spans="1:5" x14ac:dyDescent="0.2">
      <c r="A932" s="1">
        <v>42975</v>
      </c>
      <c r="B932">
        <v>50058.29</v>
      </c>
      <c r="C932" s="6">
        <f t="shared" si="42"/>
        <v>-2.3353452303347352E-3</v>
      </c>
      <c r="D932" s="7">
        <f t="shared" si="43"/>
        <v>-0.2213847286834062</v>
      </c>
      <c r="E932" s="8">
        <f t="shared" si="44"/>
        <v>-0.73857064179960996</v>
      </c>
    </row>
    <row r="933" spans="1:5" x14ac:dyDescent="0.2">
      <c r="A933" s="1">
        <v>42976</v>
      </c>
      <c r="B933">
        <v>49883.28</v>
      </c>
      <c r="C933" s="6">
        <f t="shared" si="42"/>
        <v>-3.5022499423568859E-3</v>
      </c>
      <c r="D933" s="7">
        <f t="shared" si="43"/>
        <v>-0.32207635684269681</v>
      </c>
      <c r="E933" s="8">
        <f t="shared" si="44"/>
        <v>-0.79606379363807944</v>
      </c>
    </row>
    <row r="934" spans="1:5" x14ac:dyDescent="0.2">
      <c r="A934" s="1">
        <v>42977</v>
      </c>
      <c r="B934">
        <v>49674.92</v>
      </c>
      <c r="C934" s="6">
        <f t="shared" si="42"/>
        <v>-4.1856985001086445E-3</v>
      </c>
      <c r="D934" s="7">
        <f t="shared" si="43"/>
        <v>-0.38105079351618343</v>
      </c>
      <c r="E934" s="8">
        <f t="shared" si="44"/>
        <v>-0.83885438057056105</v>
      </c>
    </row>
    <row r="935" spans="1:5" x14ac:dyDescent="0.2">
      <c r="A935" s="1">
        <v>42978</v>
      </c>
      <c r="B935">
        <v>49997.27</v>
      </c>
      <c r="C935" s="6">
        <f t="shared" si="42"/>
        <v>6.4682259689703252E-3</v>
      </c>
      <c r="D935" s="7">
        <f t="shared" si="43"/>
        <v>0.53827105858145685</v>
      </c>
      <c r="E935" s="8">
        <f t="shared" si="44"/>
        <v>-0.98307378874780604</v>
      </c>
    </row>
    <row r="936" spans="1:5" x14ac:dyDescent="0.2">
      <c r="A936" s="1">
        <v>42979</v>
      </c>
      <c r="B936">
        <v>49996.4</v>
      </c>
      <c r="C936" s="6">
        <f t="shared" si="42"/>
        <v>-1.7401101490016628E-5</v>
      </c>
      <c r="D936" s="7">
        <f t="shared" si="43"/>
        <v>-2.1370480809486614E-2</v>
      </c>
      <c r="E936" s="8">
        <f t="shared" si="44"/>
        <v>-0.68654574319384998</v>
      </c>
    </row>
    <row r="937" spans="1:5" x14ac:dyDescent="0.2">
      <c r="A937" s="1">
        <v>42982</v>
      </c>
      <c r="B937">
        <v>49796.71</v>
      </c>
      <c r="C937" s="6">
        <f t="shared" si="42"/>
        <v>-4.0020852447817199E-3</v>
      </c>
      <c r="D937" s="7">
        <f t="shared" si="43"/>
        <v>-0.365206896889477</v>
      </c>
      <c r="E937" s="8">
        <f t="shared" si="44"/>
        <v>-0.82671996941399861</v>
      </c>
    </row>
    <row r="938" spans="1:5" x14ac:dyDescent="0.2">
      <c r="A938" s="1">
        <v>42983</v>
      </c>
      <c r="B938">
        <v>49642.75</v>
      </c>
      <c r="C938" s="6">
        <f t="shared" si="42"/>
        <v>-3.0965599174167658E-3</v>
      </c>
      <c r="D938" s="7">
        <f t="shared" si="43"/>
        <v>-0.28706956604105976</v>
      </c>
      <c r="E938" s="8">
        <f t="shared" si="44"/>
        <v>-0.77380037668749402</v>
      </c>
    </row>
    <row r="939" spans="1:5" x14ac:dyDescent="0.2">
      <c r="A939" s="1">
        <v>42984</v>
      </c>
      <c r="B939">
        <v>49023.66</v>
      </c>
      <c r="C939" s="6">
        <f t="shared" si="42"/>
        <v>-1.2549318958336894E-2</v>
      </c>
      <c r="D939" s="7">
        <f t="shared" si="43"/>
        <v>-1.1027434497965607</v>
      </c>
      <c r="E939" s="8">
        <f t="shared" si="44"/>
        <v>-1.7636869703675127</v>
      </c>
    </row>
    <row r="940" spans="1:5" x14ac:dyDescent="0.2">
      <c r="A940" s="1">
        <v>42985</v>
      </c>
      <c r="B940">
        <v>49430.81</v>
      </c>
      <c r="C940" s="6">
        <f t="shared" si="42"/>
        <v>8.2708752787490174E-3</v>
      </c>
      <c r="D940" s="7">
        <f t="shared" si="43"/>
        <v>0.69382077239424367</v>
      </c>
      <c r="E940" s="8">
        <f t="shared" si="44"/>
        <v>-1.163483524952817</v>
      </c>
    </row>
    <row r="941" spans="1:5" x14ac:dyDescent="0.2">
      <c r="A941" s="1">
        <v>42986</v>
      </c>
      <c r="B941">
        <v>49274.03</v>
      </c>
      <c r="C941" s="6">
        <f t="shared" si="42"/>
        <v>-3.1767465880758461E-3</v>
      </c>
      <c r="D941" s="7">
        <f t="shared" si="43"/>
        <v>-0.29398883403453957</v>
      </c>
      <c r="E941" s="8">
        <f t="shared" si="44"/>
        <v>-0.7780115644406238</v>
      </c>
    </row>
    <row r="942" spans="1:5" x14ac:dyDescent="0.2">
      <c r="A942" s="1">
        <v>42989</v>
      </c>
      <c r="B942">
        <v>49627.54</v>
      </c>
      <c r="C942" s="6">
        <f t="shared" si="42"/>
        <v>7.1487541704381057E-3</v>
      </c>
      <c r="D942" s="7">
        <f t="shared" si="43"/>
        <v>0.59699349916133837</v>
      </c>
      <c r="E942" s="8">
        <f t="shared" si="44"/>
        <v>-1.0471609146477108</v>
      </c>
    </row>
    <row r="943" spans="1:5" x14ac:dyDescent="0.2">
      <c r="A943" s="1">
        <v>42990</v>
      </c>
      <c r="B943">
        <v>49970.85</v>
      </c>
      <c r="C943" s="6">
        <f t="shared" si="42"/>
        <v>6.8939138409676434E-3</v>
      </c>
      <c r="D943" s="7">
        <f t="shared" si="43"/>
        <v>0.57500345367547889</v>
      </c>
      <c r="E943" s="8">
        <f t="shared" si="44"/>
        <v>-1.0225597103312107</v>
      </c>
    </row>
    <row r="944" spans="1:5" x14ac:dyDescent="0.2">
      <c r="A944" s="1">
        <v>42991</v>
      </c>
      <c r="B944">
        <v>49783.59</v>
      </c>
      <c r="C944" s="6">
        <f t="shared" si="42"/>
        <v>-3.7544237622568967E-3</v>
      </c>
      <c r="D944" s="7">
        <f t="shared" si="43"/>
        <v>-0.34383631054181063</v>
      </c>
      <c r="E944" s="8">
        <f t="shared" si="44"/>
        <v>-0.81109143822467478</v>
      </c>
    </row>
    <row r="945" spans="1:5" x14ac:dyDescent="0.2">
      <c r="A945" s="1">
        <v>42992</v>
      </c>
      <c r="B945">
        <v>49514.83</v>
      </c>
      <c r="C945" s="6">
        <f t="shared" si="42"/>
        <v>-5.413190990975654E-3</v>
      </c>
      <c r="D945" s="7">
        <f t="shared" si="43"/>
        <v>-0.486970511026379</v>
      </c>
      <c r="E945" s="8">
        <f t="shared" si="44"/>
        <v>-0.93145246194463538</v>
      </c>
    </row>
    <row r="946" spans="1:5" x14ac:dyDescent="0.2">
      <c r="A946" s="1">
        <v>42993</v>
      </c>
      <c r="B946">
        <v>49274.6</v>
      </c>
      <c r="C946" s="6">
        <f t="shared" si="42"/>
        <v>-4.8634853652455368E-3</v>
      </c>
      <c r="D946" s="7">
        <f t="shared" si="43"/>
        <v>-0.43953668554531738</v>
      </c>
      <c r="E946" s="8">
        <f t="shared" si="44"/>
        <v>-0.88757369944172715</v>
      </c>
    </row>
    <row r="947" spans="1:5" x14ac:dyDescent="0.2">
      <c r="A947" s="1">
        <v>42996</v>
      </c>
      <c r="B947">
        <v>49736.54</v>
      </c>
      <c r="C947" s="6">
        <f t="shared" si="42"/>
        <v>9.3311389356937665E-3</v>
      </c>
      <c r="D947" s="7">
        <f t="shared" si="43"/>
        <v>0.78531039686485227</v>
      </c>
      <c r="E947" s="8">
        <f t="shared" si="44"/>
        <v>-1.284188735839344</v>
      </c>
    </row>
    <row r="948" spans="1:5" x14ac:dyDescent="0.2">
      <c r="A948" s="1">
        <v>42997</v>
      </c>
      <c r="B948">
        <v>49751.7</v>
      </c>
      <c r="C948" s="6">
        <f t="shared" si="42"/>
        <v>3.0475964028165776E-4</v>
      </c>
      <c r="D948" s="7">
        <f t="shared" si="43"/>
        <v>6.4286096250534309E-3</v>
      </c>
      <c r="E948" s="8">
        <f t="shared" si="44"/>
        <v>-0.68609647179732691</v>
      </c>
    </row>
    <row r="949" spans="1:5" x14ac:dyDescent="0.2">
      <c r="A949" s="1">
        <v>42998</v>
      </c>
      <c r="B949">
        <v>49575.88</v>
      </c>
      <c r="C949" s="6">
        <f t="shared" si="42"/>
        <v>-3.5402087442469323E-3</v>
      </c>
      <c r="D949" s="7">
        <f t="shared" si="43"/>
        <v>-0.32535180300887201</v>
      </c>
      <c r="E949" s="8">
        <f t="shared" si="44"/>
        <v>-0.79826812327986474</v>
      </c>
    </row>
    <row r="950" spans="1:5" x14ac:dyDescent="0.2">
      <c r="A950" s="1">
        <v>42999</v>
      </c>
      <c r="B950">
        <v>49548.85</v>
      </c>
      <c r="C950" s="6">
        <f t="shared" si="42"/>
        <v>-5.4537350406831198E-4</v>
      </c>
      <c r="D950" s="7">
        <f t="shared" si="43"/>
        <v>-6.6928957256680743E-2</v>
      </c>
      <c r="E950" s="8">
        <f t="shared" si="44"/>
        <v>-0.6908931157708309</v>
      </c>
    </row>
    <row r="951" spans="1:5" x14ac:dyDescent="0.2">
      <c r="A951" s="1">
        <v>43000</v>
      </c>
      <c r="B951">
        <v>49564.68</v>
      </c>
      <c r="C951" s="6">
        <f t="shared" si="42"/>
        <v>3.194316686047767E-4</v>
      </c>
      <c r="D951" s="7">
        <f t="shared" si="43"/>
        <v>7.6946516634765552E-3</v>
      </c>
      <c r="E951" s="8">
        <f t="shared" si="44"/>
        <v>-0.68611581328103877</v>
      </c>
    </row>
    <row r="952" spans="1:5" x14ac:dyDescent="0.2">
      <c r="A952" s="1">
        <v>43004</v>
      </c>
      <c r="B952">
        <v>48819.35</v>
      </c>
      <c r="C952" s="6">
        <f t="shared" si="42"/>
        <v>-1.5151732634658637E-2</v>
      </c>
      <c r="D952" s="7">
        <f t="shared" si="43"/>
        <v>-1.3273044336653679</v>
      </c>
      <c r="E952" s="8">
        <f t="shared" si="44"/>
        <v>-2.1384629825587043</v>
      </c>
    </row>
    <row r="953" spans="1:5" x14ac:dyDescent="0.2">
      <c r="A953" s="1">
        <v>43005</v>
      </c>
      <c r="B953">
        <v>49018.25</v>
      </c>
      <c r="C953" s="6">
        <f t="shared" si="42"/>
        <v>4.0659270876207913E-3</v>
      </c>
      <c r="D953" s="7">
        <f t="shared" si="43"/>
        <v>0.33097788100130204</v>
      </c>
      <c r="E953" s="8">
        <f t="shared" si="44"/>
        <v>-0.8021023002994998</v>
      </c>
    </row>
    <row r="954" spans="1:5" x14ac:dyDescent="0.2">
      <c r="A954" s="1">
        <v>43006</v>
      </c>
      <c r="B954">
        <v>48842.89</v>
      </c>
      <c r="C954" s="6">
        <f t="shared" si="42"/>
        <v>-3.5838574472791132E-3</v>
      </c>
      <c r="D954" s="7">
        <f t="shared" si="43"/>
        <v>-0.32911822791921053</v>
      </c>
      <c r="E954" s="8">
        <f t="shared" si="44"/>
        <v>-0.80082825698255544</v>
      </c>
    </row>
    <row r="955" spans="1:5" x14ac:dyDescent="0.2">
      <c r="A955" s="1">
        <v>43007</v>
      </c>
      <c r="B955">
        <v>49376.46</v>
      </c>
      <c r="C955" s="6">
        <f t="shared" si="42"/>
        <v>1.0864972103331457E-2</v>
      </c>
      <c r="D955" s="7">
        <f t="shared" si="43"/>
        <v>0.91766409925630288</v>
      </c>
      <c r="E955" s="8">
        <f t="shared" si="44"/>
        <v>-1.4743154149414381</v>
      </c>
    </row>
    <row r="956" spans="1:5" x14ac:dyDescent="0.2">
      <c r="A956" s="1">
        <v>43010</v>
      </c>
      <c r="B956">
        <v>49609.58</v>
      </c>
      <c r="C956" s="6">
        <f t="shared" si="42"/>
        <v>4.7101678376803785E-3</v>
      </c>
      <c r="D956" s="7">
        <f t="shared" si="43"/>
        <v>0.38656909541815759</v>
      </c>
      <c r="E956" s="8">
        <f t="shared" si="44"/>
        <v>-0.84318886797822945</v>
      </c>
    </row>
    <row r="957" spans="1:5" x14ac:dyDescent="0.2">
      <c r="A957" s="1">
        <v>43011</v>
      </c>
      <c r="B957">
        <v>50139.93</v>
      </c>
      <c r="C957" s="6">
        <f t="shared" si="42"/>
        <v>1.0633736396180446E-2</v>
      </c>
      <c r="D957" s="7">
        <f t="shared" si="43"/>
        <v>0.89771088490921902</v>
      </c>
      <c r="E957" s="8">
        <f t="shared" si="44"/>
        <v>-1.4446213074797176</v>
      </c>
    </row>
    <row r="958" spans="1:5" x14ac:dyDescent="0.2">
      <c r="A958" s="1">
        <v>43012</v>
      </c>
      <c r="B958">
        <v>50542.41</v>
      </c>
      <c r="C958" s="6">
        <f t="shared" si="42"/>
        <v>7.9950891869059355E-3</v>
      </c>
      <c r="D958" s="7">
        <f t="shared" si="43"/>
        <v>0.67002332747413051</v>
      </c>
      <c r="E958" s="8">
        <f t="shared" si="44"/>
        <v>-1.1337403804191239</v>
      </c>
    </row>
    <row r="959" spans="1:5" x14ac:dyDescent="0.2">
      <c r="A959" s="1">
        <v>43013</v>
      </c>
      <c r="B959">
        <v>50786.400000000001</v>
      </c>
      <c r="C959" s="6">
        <f t="shared" si="42"/>
        <v>4.8158163814008741E-3</v>
      </c>
      <c r="D959" s="7">
        <f t="shared" si="43"/>
        <v>0.39568545579469599</v>
      </c>
      <c r="E959" s="8">
        <f t="shared" si="44"/>
        <v>-0.85047087715264824</v>
      </c>
    </row>
    <row r="960" spans="1:5" x14ac:dyDescent="0.2">
      <c r="A960" s="1">
        <v>43014</v>
      </c>
      <c r="B960">
        <v>51010.38</v>
      </c>
      <c r="C960" s="6">
        <f t="shared" si="42"/>
        <v>4.4005392202553428E-3</v>
      </c>
      <c r="D960" s="7">
        <f t="shared" si="43"/>
        <v>0.35985139577050623</v>
      </c>
      <c r="E960" s="8">
        <f t="shared" si="44"/>
        <v>-0.82272331087736095</v>
      </c>
    </row>
    <row r="961" spans="1:5" x14ac:dyDescent="0.2">
      <c r="A961" s="1">
        <v>43017</v>
      </c>
      <c r="B961">
        <v>51323.23</v>
      </c>
      <c r="C961" s="6">
        <f t="shared" si="42"/>
        <v>6.1143347656716258E-3</v>
      </c>
      <c r="D961" s="7">
        <f t="shared" si="43"/>
        <v>0.50773396237790658</v>
      </c>
      <c r="E961" s="8">
        <f t="shared" si="44"/>
        <v>-0.95183750198517458</v>
      </c>
    </row>
    <row r="962" spans="1:5" x14ac:dyDescent="0.2">
      <c r="A962" s="1">
        <v>43018</v>
      </c>
      <c r="B962">
        <v>51362.73</v>
      </c>
      <c r="C962" s="6">
        <f t="shared" si="42"/>
        <v>7.6933598221741364E-4</v>
      </c>
      <c r="D962" s="7">
        <f t="shared" si="43"/>
        <v>4.6516671479508082E-2</v>
      </c>
      <c r="E962" s="8">
        <f t="shared" si="44"/>
        <v>-0.68839141433017792</v>
      </c>
    </row>
    <row r="963" spans="1:5" x14ac:dyDescent="0.2">
      <c r="A963" s="1">
        <v>43019</v>
      </c>
      <c r="B963">
        <v>51438.55</v>
      </c>
      <c r="C963" s="6">
        <f t="shared" ref="C963:C1026" si="45">LN(B963/B962)</f>
        <v>1.4750791769867785E-3</v>
      </c>
      <c r="D963" s="7">
        <f t="shared" ref="D963:D1026" si="46">(C963-$G$4)/$G$5</f>
        <v>0.10741490131056371</v>
      </c>
      <c r="E963" s="8">
        <f t="shared" ref="E963:E1026" si="47">LN((PI()*(G$3-2))^(-1/2)*EXP(GAMMALN((G$3+1)/2))*((1+D963^2/(G$3-2))^(-(G$3+1)/2))/EXP(GAMMALN(G$3/2)))</f>
        <v>-0.69850477862988603</v>
      </c>
    </row>
    <row r="964" spans="1:5" x14ac:dyDescent="0.2">
      <c r="A964" s="1">
        <v>43020</v>
      </c>
      <c r="B964">
        <v>51352.82</v>
      </c>
      <c r="C964" s="6">
        <f t="shared" si="45"/>
        <v>-1.6680392503302904E-3</v>
      </c>
      <c r="D964" s="7">
        <f t="shared" si="46"/>
        <v>-0.16380322702793673</v>
      </c>
      <c r="E964" s="8">
        <f t="shared" si="47"/>
        <v>-0.71492598527727058</v>
      </c>
    </row>
    <row r="965" spans="1:5" x14ac:dyDescent="0.2">
      <c r="A965" s="1">
        <v>43021</v>
      </c>
      <c r="B965">
        <v>51450.39</v>
      </c>
      <c r="C965" s="6">
        <f t="shared" si="45"/>
        <v>1.8981903249212697E-3</v>
      </c>
      <c r="D965" s="7">
        <f t="shared" si="46"/>
        <v>0.14392495216470891</v>
      </c>
      <c r="E965" s="8">
        <f t="shared" si="47"/>
        <v>-0.70836943089205862</v>
      </c>
    </row>
    <row r="966" spans="1:5" x14ac:dyDescent="0.2">
      <c r="A966" s="1">
        <v>43024</v>
      </c>
      <c r="B966">
        <v>51713.37</v>
      </c>
      <c r="C966" s="6">
        <f t="shared" si="45"/>
        <v>5.0983130051069818E-3</v>
      </c>
      <c r="D966" s="7">
        <f t="shared" si="46"/>
        <v>0.42006194917707124</v>
      </c>
      <c r="E966" s="8">
        <f t="shared" si="47"/>
        <v>-0.87067629469585284</v>
      </c>
    </row>
    <row r="967" spans="1:5" x14ac:dyDescent="0.2">
      <c r="A967" s="1">
        <v>43025</v>
      </c>
      <c r="B967">
        <v>51510.16</v>
      </c>
      <c r="C967" s="6">
        <f t="shared" si="45"/>
        <v>-3.9372856657213968E-3</v>
      </c>
      <c r="D967" s="7">
        <f t="shared" si="46"/>
        <v>-0.35961537338940158</v>
      </c>
      <c r="E967" s="8">
        <f t="shared" si="47"/>
        <v>-0.82254840164656273</v>
      </c>
    </row>
    <row r="968" spans="1:5" x14ac:dyDescent="0.2">
      <c r="A968" s="1">
        <v>43026</v>
      </c>
      <c r="B968">
        <v>51747.21</v>
      </c>
      <c r="C968" s="6">
        <f t="shared" si="45"/>
        <v>4.5914478829978877E-3</v>
      </c>
      <c r="D968" s="7">
        <f t="shared" si="46"/>
        <v>0.37632480948048092</v>
      </c>
      <c r="E968" s="8">
        <f t="shared" si="47"/>
        <v>-0.83518652156975759</v>
      </c>
    </row>
    <row r="969" spans="1:5" x14ac:dyDescent="0.2">
      <c r="A969" s="1">
        <v>43027</v>
      </c>
      <c r="B969">
        <v>51525.52</v>
      </c>
      <c r="C969" s="6">
        <f t="shared" si="45"/>
        <v>-4.2932987347847661E-3</v>
      </c>
      <c r="D969" s="7">
        <f t="shared" si="46"/>
        <v>-0.3903355643361463</v>
      </c>
      <c r="E969" s="8">
        <f t="shared" si="47"/>
        <v>-0.84617919004580378</v>
      </c>
    </row>
    <row r="970" spans="1:5" x14ac:dyDescent="0.2">
      <c r="A970" s="1">
        <v>43028</v>
      </c>
      <c r="B970">
        <v>51600.66</v>
      </c>
      <c r="C970" s="6">
        <f t="shared" si="45"/>
        <v>1.4572441895361623E-3</v>
      </c>
      <c r="D970" s="7">
        <f t="shared" si="46"/>
        <v>0.10587592909963567</v>
      </c>
      <c r="E970" s="8">
        <f t="shared" si="47"/>
        <v>-0.69815126459095211</v>
      </c>
    </row>
    <row r="971" spans="1:5" x14ac:dyDescent="0.2">
      <c r="A971" s="1">
        <v>43031</v>
      </c>
      <c r="B971">
        <v>51669.89</v>
      </c>
      <c r="C971" s="6">
        <f t="shared" si="45"/>
        <v>1.3407502985259324E-3</v>
      </c>
      <c r="D971" s="7">
        <f t="shared" si="46"/>
        <v>9.5823729090858664E-2</v>
      </c>
      <c r="E971" s="8">
        <f t="shared" si="47"/>
        <v>-0.69596668653314375</v>
      </c>
    </row>
    <row r="972" spans="1:5" x14ac:dyDescent="0.2">
      <c r="A972" s="1">
        <v>43032</v>
      </c>
      <c r="B972">
        <v>51597.49</v>
      </c>
      <c r="C972" s="6">
        <f t="shared" si="45"/>
        <v>-1.4021855083819238E-3</v>
      </c>
      <c r="D972" s="7">
        <f t="shared" si="46"/>
        <v>-0.14086283964820628</v>
      </c>
      <c r="E972" s="8">
        <f t="shared" si="47"/>
        <v>-0.70743347449435057</v>
      </c>
    </row>
    <row r="973" spans="1:5" x14ac:dyDescent="0.2">
      <c r="A973" s="1">
        <v>43033</v>
      </c>
      <c r="B973">
        <v>51857.61</v>
      </c>
      <c r="C973" s="6">
        <f t="shared" si="45"/>
        <v>5.0286655398909261E-3</v>
      </c>
      <c r="D973" s="7">
        <f t="shared" si="46"/>
        <v>0.41405210398789605</v>
      </c>
      <c r="E973" s="8">
        <f t="shared" si="47"/>
        <v>-0.8655964202776949</v>
      </c>
    </row>
    <row r="974" spans="1:5" x14ac:dyDescent="0.2">
      <c r="A974" s="1">
        <v>43034</v>
      </c>
      <c r="B974">
        <v>52273.52</v>
      </c>
      <c r="C974" s="6">
        <f t="shared" si="45"/>
        <v>7.9882396679542746E-3</v>
      </c>
      <c r="D974" s="7">
        <f t="shared" si="46"/>
        <v>0.66943228588500581</v>
      </c>
      <c r="E974" s="8">
        <f t="shared" si="47"/>
        <v>-1.1330109018107655</v>
      </c>
    </row>
    <row r="975" spans="1:5" x14ac:dyDescent="0.2">
      <c r="A975" s="1">
        <v>43035</v>
      </c>
      <c r="B975">
        <v>52403.45</v>
      </c>
      <c r="C975" s="6">
        <f t="shared" si="45"/>
        <v>2.4824957529348966E-3</v>
      </c>
      <c r="D975" s="7">
        <f t="shared" si="46"/>
        <v>0.1943443774038508</v>
      </c>
      <c r="E975" s="8">
        <f t="shared" si="47"/>
        <v>-0.72661173975769477</v>
      </c>
    </row>
    <row r="976" spans="1:5" x14ac:dyDescent="0.2">
      <c r="A976" s="1">
        <v>43038</v>
      </c>
      <c r="B976">
        <v>52479.18</v>
      </c>
      <c r="C976" s="6">
        <f t="shared" si="45"/>
        <v>1.444090659446661E-3</v>
      </c>
      <c r="D976" s="7">
        <f t="shared" si="46"/>
        <v>0.10474091751976217</v>
      </c>
      <c r="E976" s="8">
        <f t="shared" si="47"/>
        <v>-0.69789378389904677</v>
      </c>
    </row>
    <row r="977" spans="1:5" x14ac:dyDescent="0.2">
      <c r="A977" s="1">
        <v>43039</v>
      </c>
      <c r="B977">
        <v>52570.2</v>
      </c>
      <c r="C977" s="6">
        <f t="shared" si="45"/>
        <v>1.732899761565586E-3</v>
      </c>
      <c r="D977" s="7">
        <f t="shared" si="46"/>
        <v>0.12966211152983945</v>
      </c>
      <c r="E977" s="8">
        <f t="shared" si="47"/>
        <v>-0.7041789098701513</v>
      </c>
    </row>
    <row r="978" spans="1:5" x14ac:dyDescent="0.2">
      <c r="A978" s="1">
        <v>43040</v>
      </c>
      <c r="B978">
        <v>53056.59</v>
      </c>
      <c r="C978" s="6">
        <f t="shared" si="45"/>
        <v>9.2096605013653222E-3</v>
      </c>
      <c r="D978" s="7">
        <f t="shared" si="46"/>
        <v>0.77482808308828377</v>
      </c>
      <c r="E978" s="8">
        <f t="shared" si="47"/>
        <v>-1.2698761381937931</v>
      </c>
    </row>
    <row r="979" spans="1:5" x14ac:dyDescent="0.2">
      <c r="A979" s="1">
        <v>43041</v>
      </c>
      <c r="B979">
        <v>52845.63</v>
      </c>
      <c r="C979" s="6">
        <f t="shared" si="45"/>
        <v>-3.9840577287666191E-3</v>
      </c>
      <c r="D979" s="7">
        <f t="shared" si="46"/>
        <v>-0.36365131148432206</v>
      </c>
      <c r="E979" s="8">
        <f t="shared" si="47"/>
        <v>-0.82555358794670208</v>
      </c>
    </row>
    <row r="980" spans="1:5" x14ac:dyDescent="0.2">
      <c r="A980" s="1">
        <v>43042</v>
      </c>
      <c r="B980">
        <v>53198.96</v>
      </c>
      <c r="C980" s="6">
        <f t="shared" si="45"/>
        <v>6.6638252364101622E-3</v>
      </c>
      <c r="D980" s="7">
        <f t="shared" si="46"/>
        <v>0.55514922224158247</v>
      </c>
      <c r="E980" s="8">
        <f t="shared" si="47"/>
        <v>-1.0009628395482741</v>
      </c>
    </row>
    <row r="981" spans="1:5" x14ac:dyDescent="0.2">
      <c r="A981" s="1">
        <v>43045</v>
      </c>
      <c r="B981">
        <v>53563.68</v>
      </c>
      <c r="C981" s="6">
        <f t="shared" si="45"/>
        <v>6.8323791693874801E-3</v>
      </c>
      <c r="D981" s="7">
        <f t="shared" si="46"/>
        <v>0.56969365742063582</v>
      </c>
      <c r="E981" s="8">
        <f t="shared" si="47"/>
        <v>-1.0167260262482847</v>
      </c>
    </row>
    <row r="982" spans="1:5" x14ac:dyDescent="0.2">
      <c r="A982" s="1">
        <v>43046</v>
      </c>
      <c r="B982">
        <v>53832.95</v>
      </c>
      <c r="C982" s="6">
        <f t="shared" si="45"/>
        <v>5.0145067724908622E-3</v>
      </c>
      <c r="D982" s="7">
        <f t="shared" si="46"/>
        <v>0.4128303509796572</v>
      </c>
      <c r="E982" s="8">
        <f t="shared" si="47"/>
        <v>-0.86457155503984384</v>
      </c>
    </row>
    <row r="983" spans="1:5" x14ac:dyDescent="0.2">
      <c r="A983" s="1">
        <v>43047</v>
      </c>
      <c r="B983">
        <v>53730.6</v>
      </c>
      <c r="C983" s="6">
        <f t="shared" si="45"/>
        <v>-1.9030616019943081E-3</v>
      </c>
      <c r="D983" s="7">
        <f t="shared" si="46"/>
        <v>-0.18408318904974241</v>
      </c>
      <c r="E983" s="8">
        <f t="shared" si="47"/>
        <v>-0.72246885550165096</v>
      </c>
    </row>
    <row r="984" spans="1:5" x14ac:dyDescent="0.2">
      <c r="A984" s="1">
        <v>43048</v>
      </c>
      <c r="B984">
        <v>53513.82</v>
      </c>
      <c r="C984" s="6">
        <f t="shared" si="45"/>
        <v>-4.0427333235375004E-3</v>
      </c>
      <c r="D984" s="7">
        <f t="shared" si="46"/>
        <v>-0.36871439942100237</v>
      </c>
      <c r="E984" s="8">
        <f t="shared" si="47"/>
        <v>-0.82936636244556139</v>
      </c>
    </row>
    <row r="985" spans="1:5" x14ac:dyDescent="0.2">
      <c r="A985" s="1">
        <v>43049</v>
      </c>
      <c r="B985">
        <v>53424.93</v>
      </c>
      <c r="C985" s="6">
        <f t="shared" si="45"/>
        <v>-1.6624473443412895E-3</v>
      </c>
      <c r="D985" s="7">
        <f t="shared" si="46"/>
        <v>-0.16332070423687656</v>
      </c>
      <c r="E985" s="8">
        <f t="shared" si="47"/>
        <v>-0.71475699462544473</v>
      </c>
    </row>
    <row r="986" spans="1:5" x14ac:dyDescent="0.2">
      <c r="A986" s="1">
        <v>43052</v>
      </c>
      <c r="B986">
        <v>53531.21</v>
      </c>
      <c r="C986" s="6">
        <f t="shared" si="45"/>
        <v>1.987357340685452E-3</v>
      </c>
      <c r="D986" s="7">
        <f t="shared" si="46"/>
        <v>0.15161912967800548</v>
      </c>
      <c r="E986" s="8">
        <f t="shared" si="47"/>
        <v>-0.71080856011125582</v>
      </c>
    </row>
    <row r="987" spans="1:5" x14ac:dyDescent="0.2">
      <c r="A987" s="1">
        <v>43053</v>
      </c>
      <c r="B987">
        <v>53273.74</v>
      </c>
      <c r="C987" s="6">
        <f t="shared" si="45"/>
        <v>-4.8213214601696497E-3</v>
      </c>
      <c r="D987" s="7">
        <f t="shared" si="46"/>
        <v>-0.43589838311333251</v>
      </c>
      <c r="E987" s="8">
        <f t="shared" si="47"/>
        <v>-0.88436661586015353</v>
      </c>
    </row>
    <row r="988" spans="1:5" x14ac:dyDescent="0.2">
      <c r="A988" s="1">
        <v>43054</v>
      </c>
      <c r="B988">
        <v>53004.17</v>
      </c>
      <c r="C988" s="6">
        <f t="shared" si="45"/>
        <v>-5.0729371345021815E-3</v>
      </c>
      <c r="D988" s="7">
        <f t="shared" si="46"/>
        <v>-0.45761017470858273</v>
      </c>
      <c r="E988" s="8">
        <f t="shared" si="47"/>
        <v>-0.90384327501382378</v>
      </c>
    </row>
    <row r="989" spans="1:5" x14ac:dyDescent="0.2">
      <c r="A989" s="1">
        <v>43055</v>
      </c>
      <c r="B989">
        <v>53378.66</v>
      </c>
      <c r="C989" s="6">
        <f t="shared" si="45"/>
        <v>7.0404509240918362E-3</v>
      </c>
      <c r="D989" s="7">
        <f t="shared" si="46"/>
        <v>0.58764806581344764</v>
      </c>
      <c r="E989" s="8">
        <f t="shared" si="47"/>
        <v>-1.0366195521178467</v>
      </c>
    </row>
    <row r="990" spans="1:5" x14ac:dyDescent="0.2">
      <c r="A990" s="1">
        <v>43056</v>
      </c>
      <c r="B990">
        <v>53909.14</v>
      </c>
      <c r="C990" s="6">
        <f t="shared" si="45"/>
        <v>9.8889961964390965E-3</v>
      </c>
      <c r="D990" s="7">
        <f t="shared" si="46"/>
        <v>0.83344762288358043</v>
      </c>
      <c r="E990" s="8">
        <f t="shared" si="47"/>
        <v>-1.3513942459978265</v>
      </c>
    </row>
    <row r="991" spans="1:5" x14ac:dyDescent="0.2">
      <c r="A991" s="1">
        <v>43059</v>
      </c>
      <c r="B991">
        <v>54327.42</v>
      </c>
      <c r="C991" s="6">
        <f t="shared" si="45"/>
        <v>7.7290350370498818E-3</v>
      </c>
      <c r="D991" s="7">
        <f t="shared" si="46"/>
        <v>0.64706564699556079</v>
      </c>
      <c r="E991" s="8">
        <f t="shared" si="47"/>
        <v>-1.1057421629710105</v>
      </c>
    </row>
    <row r="992" spans="1:5" x14ac:dyDescent="0.2">
      <c r="A992" s="1">
        <v>43060</v>
      </c>
      <c r="B992">
        <v>55065.37</v>
      </c>
      <c r="C992" s="6">
        <f t="shared" si="45"/>
        <v>1.3491953066095574E-2</v>
      </c>
      <c r="D992" s="7">
        <f t="shared" si="46"/>
        <v>1.14434498207303</v>
      </c>
      <c r="E992" s="8">
        <f t="shared" si="47"/>
        <v>-1.8315697954318517</v>
      </c>
    </row>
    <row r="993" spans="1:5" x14ac:dyDescent="0.2">
      <c r="A993" s="1">
        <v>43061</v>
      </c>
      <c r="B993">
        <v>54494.44</v>
      </c>
      <c r="C993" s="6">
        <f t="shared" si="45"/>
        <v>-1.0422346809682721E-2</v>
      </c>
      <c r="D993" s="7">
        <f t="shared" si="46"/>
        <v>-0.91920807926376258</v>
      </c>
      <c r="E993" s="8">
        <f t="shared" si="47"/>
        <v>-1.4766270647231281</v>
      </c>
    </row>
    <row r="994" spans="1:5" x14ac:dyDescent="0.2">
      <c r="A994" s="1">
        <v>43062</v>
      </c>
      <c r="B994">
        <v>53995.77</v>
      </c>
      <c r="C994" s="6">
        <f t="shared" si="45"/>
        <v>-9.1929679536236625E-3</v>
      </c>
      <c r="D994" s="7">
        <f t="shared" si="46"/>
        <v>-0.81312558823784331</v>
      </c>
      <c r="E994" s="8">
        <f t="shared" si="47"/>
        <v>-1.3227328041375037</v>
      </c>
    </row>
    <row r="995" spans="1:5" x14ac:dyDescent="0.2">
      <c r="A995" s="1">
        <v>43063</v>
      </c>
      <c r="B995">
        <v>53998.14</v>
      </c>
      <c r="C995" s="6">
        <f t="shared" si="45"/>
        <v>4.3891363881315586E-5</v>
      </c>
      <c r="D995" s="7">
        <f t="shared" si="46"/>
        <v>-1.6081584408133131E-2</v>
      </c>
      <c r="E995" s="8">
        <f t="shared" si="47"/>
        <v>-0.68633150557676503</v>
      </c>
    </row>
    <row r="996" spans="1:5" x14ac:dyDescent="0.2">
      <c r="A996" s="1">
        <v>43066</v>
      </c>
      <c r="B996">
        <v>53810.97</v>
      </c>
      <c r="C996" s="6">
        <f t="shared" si="45"/>
        <v>-3.4722517986044824E-3</v>
      </c>
      <c r="D996" s="7">
        <f t="shared" si="46"/>
        <v>-0.31948783191425462</v>
      </c>
      <c r="E996" s="8">
        <f t="shared" si="47"/>
        <v>-0.79433631353448042</v>
      </c>
    </row>
    <row r="997" spans="1:5" x14ac:dyDescent="0.2">
      <c r="A997" s="1">
        <v>43067</v>
      </c>
      <c r="B997">
        <v>53645.440000000002</v>
      </c>
      <c r="C997" s="6">
        <f t="shared" si="45"/>
        <v>-3.0808796037707607E-3</v>
      </c>
      <c r="D997" s="7">
        <f t="shared" si="46"/>
        <v>-0.28571651956280147</v>
      </c>
      <c r="E997" s="8">
        <f t="shared" si="47"/>
        <v>-0.77298788115760197</v>
      </c>
    </row>
    <row r="998" spans="1:5" x14ac:dyDescent="0.2">
      <c r="A998" s="1">
        <v>43068</v>
      </c>
      <c r="B998">
        <v>53957.06</v>
      </c>
      <c r="C998" s="6">
        <f t="shared" si="45"/>
        <v>5.7920749274149854E-3</v>
      </c>
      <c r="D998" s="7">
        <f t="shared" si="46"/>
        <v>0.47992632095688637</v>
      </c>
      <c r="E998" s="8">
        <f t="shared" si="47"/>
        <v>-0.92469718888770502</v>
      </c>
    </row>
    <row r="999" spans="1:5" x14ac:dyDescent="0.2">
      <c r="A999" s="1">
        <v>43069</v>
      </c>
      <c r="B999">
        <v>53269.83</v>
      </c>
      <c r="C999" s="6">
        <f t="shared" si="45"/>
        <v>-1.2818415417486944E-2</v>
      </c>
      <c r="D999" s="7">
        <f t="shared" si="46"/>
        <v>-1.1259636496334127</v>
      </c>
      <c r="E999" s="8">
        <f t="shared" si="47"/>
        <v>-1.8014702829832008</v>
      </c>
    </row>
    <row r="1000" spans="1:5" x14ac:dyDescent="0.2">
      <c r="A1000" s="1">
        <v>43070</v>
      </c>
      <c r="B1000">
        <v>52888.36</v>
      </c>
      <c r="C1000" s="6">
        <f t="shared" si="45"/>
        <v>-7.1868527889589065E-3</v>
      </c>
      <c r="D1000" s="7">
        <f t="shared" si="46"/>
        <v>-0.64001890684044815</v>
      </c>
      <c r="E1000" s="8">
        <f t="shared" si="47"/>
        <v>-1.0972889458739523</v>
      </c>
    </row>
    <row r="1001" spans="1:5" x14ac:dyDescent="0.2">
      <c r="A1001" s="1">
        <v>43073</v>
      </c>
      <c r="B1001">
        <v>53076.58</v>
      </c>
      <c r="C1001" s="6">
        <f t="shared" si="45"/>
        <v>3.5524994955619124E-3</v>
      </c>
      <c r="D1001" s="7">
        <f t="shared" si="46"/>
        <v>0.28667446903142113</v>
      </c>
      <c r="E1001" s="8">
        <f t="shared" si="47"/>
        <v>-0.77356275122278251</v>
      </c>
    </row>
    <row r="1002" spans="1:5" x14ac:dyDescent="0.2">
      <c r="A1002" s="1">
        <v>43074</v>
      </c>
      <c r="B1002">
        <v>52412.51</v>
      </c>
      <c r="C1002" s="6">
        <f t="shared" si="45"/>
        <v>-1.2590473049718543E-2</v>
      </c>
      <c r="D1002" s="7">
        <f t="shared" si="46"/>
        <v>-1.1062946159063054</v>
      </c>
      <c r="E1002" s="8">
        <f t="shared" si="47"/>
        <v>-1.7694473554769563</v>
      </c>
    </row>
    <row r="1003" spans="1:5" x14ac:dyDescent="0.2">
      <c r="A1003" s="1">
        <v>43075</v>
      </c>
      <c r="B1003">
        <v>51572.45</v>
      </c>
      <c r="C1003" s="6">
        <f t="shared" si="45"/>
        <v>-1.6157688115431338E-2</v>
      </c>
      <c r="D1003" s="7">
        <f t="shared" si="46"/>
        <v>-1.4141078325814933</v>
      </c>
      <c r="E1003" s="8">
        <f t="shared" si="47"/>
        <v>-2.2873448126479361</v>
      </c>
    </row>
    <row r="1004" spans="1:5" x14ac:dyDescent="0.2">
      <c r="A1004" s="1">
        <v>43076</v>
      </c>
      <c r="B1004">
        <v>51656.57</v>
      </c>
      <c r="C1004" s="6">
        <f t="shared" si="45"/>
        <v>1.6297746238357557E-3</v>
      </c>
      <c r="D1004" s="7">
        <f t="shared" si="46"/>
        <v>0.1207634946032068</v>
      </c>
      <c r="E1004" s="8">
        <f t="shared" si="47"/>
        <v>-0.701782944864908</v>
      </c>
    </row>
    <row r="1005" spans="1:5" x14ac:dyDescent="0.2">
      <c r="A1005" s="1">
        <v>43077</v>
      </c>
      <c r="B1005">
        <v>51671.17</v>
      </c>
      <c r="C1005" s="6">
        <f t="shared" si="45"/>
        <v>2.8259594368684635E-4</v>
      </c>
      <c r="D1005" s="7">
        <f t="shared" si="46"/>
        <v>4.5161152515473596E-3</v>
      </c>
      <c r="E1005" s="8">
        <f t="shared" si="47"/>
        <v>-0.68607382978880471</v>
      </c>
    </row>
    <row r="1006" spans="1:5" x14ac:dyDescent="0.2">
      <c r="A1006" s="1">
        <v>43080</v>
      </c>
      <c r="B1006">
        <v>51711.22</v>
      </c>
      <c r="C1006" s="6">
        <f t="shared" si="45"/>
        <v>7.7479350213367467E-4</v>
      </c>
      <c r="D1006" s="7">
        <f t="shared" si="46"/>
        <v>4.6987598163082608E-2</v>
      </c>
      <c r="E1006" s="8">
        <f t="shared" si="47"/>
        <v>-0.6884390061029495</v>
      </c>
    </row>
    <row r="1007" spans="1:5" x14ac:dyDescent="0.2">
      <c r="A1007" s="1">
        <v>43081</v>
      </c>
      <c r="B1007">
        <v>51312.31</v>
      </c>
      <c r="C1007" s="6">
        <f t="shared" si="45"/>
        <v>-7.7440948409385766E-3</v>
      </c>
      <c r="D1007" s="7">
        <f t="shared" si="46"/>
        <v>-0.68810304680027712</v>
      </c>
      <c r="E1007" s="8">
        <f t="shared" si="47"/>
        <v>-1.1562716681683665</v>
      </c>
    </row>
    <row r="1008" spans="1:5" x14ac:dyDescent="0.2">
      <c r="A1008" s="1">
        <v>43082</v>
      </c>
      <c r="B1008">
        <v>51151.27</v>
      </c>
      <c r="C1008" s="6">
        <f t="shared" si="45"/>
        <v>-3.1433633804210702E-3</v>
      </c>
      <c r="D1008" s="7">
        <f t="shared" si="46"/>
        <v>-0.29110821362285744</v>
      </c>
      <c r="E1008" s="8">
        <f t="shared" si="47"/>
        <v>-0.7762469567187652</v>
      </c>
    </row>
    <row r="1009" spans="1:5" x14ac:dyDescent="0.2">
      <c r="A1009" s="1">
        <v>43083</v>
      </c>
      <c r="B1009">
        <v>51498.36</v>
      </c>
      <c r="C1009" s="6">
        <f t="shared" si="45"/>
        <v>6.7626414785353882E-3</v>
      </c>
      <c r="D1009" s="7">
        <f t="shared" si="46"/>
        <v>0.56367602670612971</v>
      </c>
      <c r="E1009" s="8">
        <f t="shared" si="47"/>
        <v>-1.0101655334703983</v>
      </c>
    </row>
    <row r="1010" spans="1:5" x14ac:dyDescent="0.2">
      <c r="A1010" s="1">
        <v>43084</v>
      </c>
      <c r="B1010">
        <v>50953.23</v>
      </c>
      <c r="C1010" s="6">
        <f t="shared" si="45"/>
        <v>-1.0641809357348996E-2</v>
      </c>
      <c r="D1010" s="7">
        <f t="shared" si="46"/>
        <v>-0.93814539352501802</v>
      </c>
      <c r="E1010" s="8">
        <f t="shared" si="47"/>
        <v>-1.5051380964284353</v>
      </c>
    </row>
    <row r="1011" spans="1:5" x14ac:dyDescent="0.2">
      <c r="A1011" s="1">
        <v>43087</v>
      </c>
      <c r="B1011">
        <v>51026.84</v>
      </c>
      <c r="C1011" s="6">
        <f t="shared" si="45"/>
        <v>1.4436156551717622E-3</v>
      </c>
      <c r="D1011" s="7">
        <f t="shared" si="46"/>
        <v>0.10469992963675044</v>
      </c>
      <c r="E1011" s="8">
        <f t="shared" si="47"/>
        <v>-0.69788453715347887</v>
      </c>
    </row>
    <row r="1012" spans="1:5" x14ac:dyDescent="0.2">
      <c r="A1012" s="1">
        <v>43088</v>
      </c>
      <c r="B1012">
        <v>51266.37</v>
      </c>
      <c r="C1012" s="6">
        <f t="shared" si="45"/>
        <v>4.6832128504027586E-3</v>
      </c>
      <c r="D1012" s="7">
        <f t="shared" si="46"/>
        <v>0.38424316295080718</v>
      </c>
      <c r="E1012" s="8">
        <f t="shared" si="47"/>
        <v>-0.84135513061240852</v>
      </c>
    </row>
    <row r="1013" spans="1:5" x14ac:dyDescent="0.2">
      <c r="A1013" s="1">
        <v>43089</v>
      </c>
      <c r="B1013">
        <v>51268.87</v>
      </c>
      <c r="C1013" s="6">
        <f t="shared" si="45"/>
        <v>4.8763722608921871E-5</v>
      </c>
      <c r="D1013" s="7">
        <f t="shared" si="46"/>
        <v>-1.5661150992958527E-2</v>
      </c>
      <c r="E1013" s="8">
        <f t="shared" si="47"/>
        <v>-0.68631707066030112</v>
      </c>
    </row>
    <row r="1014" spans="1:5" x14ac:dyDescent="0.2">
      <c r="A1014" s="1">
        <v>43090</v>
      </c>
      <c r="B1014">
        <v>52082.44</v>
      </c>
      <c r="C1014" s="6">
        <f t="shared" si="45"/>
        <v>1.5744102428025306E-2</v>
      </c>
      <c r="D1014" s="7">
        <f t="shared" si="46"/>
        <v>1.3386818321810681</v>
      </c>
      <c r="E1014" s="8">
        <f t="shared" si="47"/>
        <v>-2.157887957850178</v>
      </c>
    </row>
    <row r="1015" spans="1:5" x14ac:dyDescent="0.2">
      <c r="A1015" s="1">
        <v>43091</v>
      </c>
      <c r="B1015">
        <v>52063.77</v>
      </c>
      <c r="C1015" s="6">
        <f t="shared" si="45"/>
        <v>-3.585344142624943E-4</v>
      </c>
      <c r="D1015" s="7">
        <f t="shared" si="46"/>
        <v>-5.0806704974619019E-2</v>
      </c>
      <c r="E1015" s="8">
        <f t="shared" si="47"/>
        <v>-0.68884263976066373</v>
      </c>
    </row>
    <row r="1016" spans="1:5" x14ac:dyDescent="0.2">
      <c r="A1016" s="1">
        <v>43096</v>
      </c>
      <c r="B1016">
        <v>51986.69</v>
      </c>
      <c r="C1016" s="6">
        <f t="shared" si="45"/>
        <v>-1.4815891078212282E-3</v>
      </c>
      <c r="D1016" s="7">
        <f t="shared" si="46"/>
        <v>-0.1477145368149754</v>
      </c>
      <c r="E1016" s="8">
        <f t="shared" si="47"/>
        <v>-0.70955516106012761</v>
      </c>
    </row>
    <row r="1017" spans="1:5" x14ac:dyDescent="0.2">
      <c r="A1017" s="1">
        <v>43097</v>
      </c>
      <c r="B1017">
        <v>52071.17</v>
      </c>
      <c r="C1017" s="6">
        <f t="shared" si="45"/>
        <v>1.6237123954029149E-3</v>
      </c>
      <c r="D1017" s="7">
        <f t="shared" si="46"/>
        <v>0.12024038792201217</v>
      </c>
      <c r="E1017" s="8">
        <f t="shared" si="47"/>
        <v>-0.70164733520410638</v>
      </c>
    </row>
    <row r="1018" spans="1:5" x14ac:dyDescent="0.2">
      <c r="A1018" s="1">
        <v>43098</v>
      </c>
      <c r="B1018">
        <v>52533.04</v>
      </c>
      <c r="C1018" s="6">
        <f t="shared" si="45"/>
        <v>8.8308683091115822E-3</v>
      </c>
      <c r="D1018" s="7">
        <f t="shared" si="46"/>
        <v>0.74214229291269995</v>
      </c>
      <c r="E1018" s="8">
        <f t="shared" si="47"/>
        <v>-1.2260272931244525</v>
      </c>
    </row>
    <row r="1019" spans="1:5" x14ac:dyDescent="0.2">
      <c r="A1019" s="1">
        <v>43102</v>
      </c>
      <c r="B1019">
        <v>52823.99</v>
      </c>
      <c r="C1019" s="6">
        <f t="shared" si="45"/>
        <v>5.5231386006272948E-3</v>
      </c>
      <c r="D1019" s="7">
        <f t="shared" si="46"/>
        <v>0.45671993886206663</v>
      </c>
      <c r="E1019" s="8">
        <f t="shared" si="47"/>
        <v>-0.90302880292886634</v>
      </c>
    </row>
    <row r="1020" spans="1:5" x14ac:dyDescent="0.2">
      <c r="A1020" s="1">
        <v>43103</v>
      </c>
      <c r="B1020">
        <v>52832.07</v>
      </c>
      <c r="C1020" s="6">
        <f t="shared" si="45"/>
        <v>1.5294910705074854E-4</v>
      </c>
      <c r="D1020" s="7">
        <f t="shared" si="46"/>
        <v>-6.6710459040264557E-3</v>
      </c>
      <c r="E1020" s="8">
        <f t="shared" si="47"/>
        <v>-0.68609990710302193</v>
      </c>
    </row>
    <row r="1021" spans="1:5" x14ac:dyDescent="0.2">
      <c r="A1021" s="1">
        <v>43104</v>
      </c>
      <c r="B1021">
        <v>52662.63</v>
      </c>
      <c r="C1021" s="6">
        <f t="shared" si="45"/>
        <v>-3.2122968395976365E-3</v>
      </c>
      <c r="D1021" s="7">
        <f t="shared" si="46"/>
        <v>-0.2970564475854337</v>
      </c>
      <c r="E1021" s="8">
        <f t="shared" si="47"/>
        <v>-0.77990857861644236</v>
      </c>
    </row>
    <row r="1022" spans="1:5" x14ac:dyDescent="0.2">
      <c r="A1022" s="1">
        <v>43105</v>
      </c>
      <c r="B1022">
        <v>52842.68</v>
      </c>
      <c r="C1022" s="6">
        <f t="shared" si="45"/>
        <v>3.413101668294327E-3</v>
      </c>
      <c r="D1022" s="7">
        <f t="shared" si="46"/>
        <v>0.27464589973623238</v>
      </c>
      <c r="E1022" s="8">
        <f t="shared" si="47"/>
        <v>-0.7664756939199121</v>
      </c>
    </row>
    <row r="1023" spans="1:5" x14ac:dyDescent="0.2">
      <c r="A1023" s="1">
        <v>43108</v>
      </c>
      <c r="B1023">
        <v>53131.7</v>
      </c>
      <c r="C1023" s="6">
        <f t="shared" si="45"/>
        <v>5.4545394193685941E-3</v>
      </c>
      <c r="D1023" s="7">
        <f t="shared" si="46"/>
        <v>0.45080054957503313</v>
      </c>
      <c r="E1023" s="8">
        <f t="shared" si="47"/>
        <v>-0.89764754610693176</v>
      </c>
    </row>
    <row r="1024" spans="1:5" x14ac:dyDescent="0.2">
      <c r="A1024" s="1">
        <v>43109</v>
      </c>
      <c r="B1024">
        <v>53184.36</v>
      </c>
      <c r="C1024" s="6">
        <f t="shared" si="45"/>
        <v>9.906312236645854E-4</v>
      </c>
      <c r="D1024" s="7">
        <f t="shared" si="46"/>
        <v>6.5612127977070042E-2</v>
      </c>
      <c r="E1024" s="8">
        <f t="shared" si="47"/>
        <v>-0.69070463979639485</v>
      </c>
    </row>
    <row r="1025" spans="1:5" x14ac:dyDescent="0.2">
      <c r="A1025" s="1">
        <v>43110</v>
      </c>
      <c r="B1025">
        <v>53167.96</v>
      </c>
      <c r="C1025" s="6">
        <f t="shared" si="45"/>
        <v>-3.0840888341684589E-4</v>
      </c>
      <c r="D1025" s="7">
        <f t="shared" si="46"/>
        <v>-4.6481397808406058E-2</v>
      </c>
      <c r="E1025" s="8">
        <f t="shared" si="47"/>
        <v>-0.68838786884466174</v>
      </c>
    </row>
    <row r="1026" spans="1:5" x14ac:dyDescent="0.2">
      <c r="A1026" s="1">
        <v>43111</v>
      </c>
      <c r="B1026">
        <v>52824.800000000003</v>
      </c>
      <c r="C1026" s="6">
        <f t="shared" si="45"/>
        <v>-6.4751818709057928E-3</v>
      </c>
      <c r="D1026" s="7">
        <f t="shared" si="46"/>
        <v>-0.57860917671072276</v>
      </c>
      <c r="E1026" s="8">
        <f t="shared" si="47"/>
        <v>-1.0265450235188627</v>
      </c>
    </row>
    <row r="1027" spans="1:5" x14ac:dyDescent="0.2">
      <c r="A1027" s="1">
        <v>43112</v>
      </c>
      <c r="B1027">
        <v>53296.1</v>
      </c>
      <c r="C1027" s="6">
        <f t="shared" ref="C1027:C1090" si="48">LN(B1027/B1026)</f>
        <v>8.8823803541632825E-3</v>
      </c>
      <c r="D1027" s="7">
        <f t="shared" ref="D1027:D1090" si="49">(C1027-$G$4)/$G$5</f>
        <v>0.74658724170126212</v>
      </c>
      <c r="E1027" s="8">
        <f t="shared" ref="E1027:E1090" si="50">LN((PI()*(G$3-2))^(-1/2)*EXP(GAMMALN((G$3+1)/2))*((1+D1027^2/(G$3-2))^(-(G$3+1)/2))/EXP(GAMMALN(G$3/2)))</f>
        <v>-1.2319193101496932</v>
      </c>
    </row>
    <row r="1028" spans="1:5" x14ac:dyDescent="0.2">
      <c r="A1028" s="1">
        <v>43115</v>
      </c>
      <c r="B1028">
        <v>53431.53</v>
      </c>
      <c r="C1028" s="6">
        <f t="shared" si="48"/>
        <v>2.537863394684781E-3</v>
      </c>
      <c r="D1028" s="7">
        <f t="shared" si="49"/>
        <v>0.19912202371695467</v>
      </c>
      <c r="E1028" s="8">
        <f t="shared" si="50"/>
        <v>-0.72861513004315093</v>
      </c>
    </row>
    <row r="1029" spans="1:5" x14ac:dyDescent="0.2">
      <c r="A1029" s="1">
        <v>43116</v>
      </c>
      <c r="B1029">
        <v>53777.68</v>
      </c>
      <c r="C1029" s="6">
        <f t="shared" si="48"/>
        <v>6.4574900392735E-3</v>
      </c>
      <c r="D1029" s="7">
        <f t="shared" si="49"/>
        <v>0.53734466053897767</v>
      </c>
      <c r="E1029" s="8">
        <f t="shared" si="50"/>
        <v>-0.98210462175448399</v>
      </c>
    </row>
    <row r="1030" spans="1:5" x14ac:dyDescent="0.2">
      <c r="A1030" s="1">
        <v>43117</v>
      </c>
      <c r="B1030">
        <v>54068.84</v>
      </c>
      <c r="C1030" s="6">
        <f t="shared" si="48"/>
        <v>5.3995382956718487E-3</v>
      </c>
      <c r="D1030" s="7">
        <f t="shared" si="49"/>
        <v>0.44605452992273548</v>
      </c>
      <c r="E1030" s="8">
        <f t="shared" si="50"/>
        <v>-0.89337630919364985</v>
      </c>
    </row>
    <row r="1031" spans="1:5" x14ac:dyDescent="0.2">
      <c r="A1031" s="1">
        <v>43118</v>
      </c>
      <c r="B1031">
        <v>54010.49</v>
      </c>
      <c r="C1031" s="6">
        <f t="shared" si="48"/>
        <v>-1.0797625349661688E-3</v>
      </c>
      <c r="D1031" s="7">
        <f t="shared" si="49"/>
        <v>-0.11304112137531293</v>
      </c>
      <c r="E1031" s="8">
        <f t="shared" si="50"/>
        <v>-0.69984017717485247</v>
      </c>
    </row>
    <row r="1032" spans="1:5" x14ac:dyDescent="0.2">
      <c r="A1032" s="1">
        <v>43119</v>
      </c>
      <c r="B1032">
        <v>54058.74</v>
      </c>
      <c r="C1032" s="6">
        <f t="shared" si="48"/>
        <v>8.9294618285011345E-4</v>
      </c>
      <c r="D1032" s="7">
        <f t="shared" si="49"/>
        <v>5.7182934311915644E-2</v>
      </c>
      <c r="E1032" s="8">
        <f t="shared" si="50"/>
        <v>-0.68958663248360008</v>
      </c>
    </row>
    <row r="1033" spans="1:5" x14ac:dyDescent="0.2">
      <c r="A1033" s="1">
        <v>43122</v>
      </c>
      <c r="B1033">
        <v>54165.85</v>
      </c>
      <c r="C1033" s="6">
        <f t="shared" si="48"/>
        <v>1.9794029244506418E-3</v>
      </c>
      <c r="D1033" s="7">
        <f t="shared" si="49"/>
        <v>0.15093274705096837</v>
      </c>
      <c r="E1033" s="8">
        <f t="shared" si="50"/>
        <v>-0.71058589922476667</v>
      </c>
    </row>
    <row r="1034" spans="1:5" x14ac:dyDescent="0.2">
      <c r="A1034" s="1">
        <v>43123</v>
      </c>
      <c r="B1034">
        <v>54521.81</v>
      </c>
      <c r="C1034" s="6">
        <f t="shared" si="48"/>
        <v>6.5501690384342712E-3</v>
      </c>
      <c r="D1034" s="7">
        <f t="shared" si="49"/>
        <v>0.54534188535564676</v>
      </c>
      <c r="E1034" s="8">
        <f t="shared" si="50"/>
        <v>-0.99051482398609947</v>
      </c>
    </row>
    <row r="1035" spans="1:5" x14ac:dyDescent="0.2">
      <c r="A1035" s="1">
        <v>43124</v>
      </c>
      <c r="B1035">
        <v>54575.94</v>
      </c>
      <c r="C1035" s="6">
        <f t="shared" si="48"/>
        <v>9.9232118795892794E-4</v>
      </c>
      <c r="D1035" s="7">
        <f t="shared" si="49"/>
        <v>6.5757954156856008E-2</v>
      </c>
      <c r="E1035" s="8">
        <f t="shared" si="50"/>
        <v>-0.69072532791670949</v>
      </c>
    </row>
    <row r="1036" spans="1:5" x14ac:dyDescent="0.2">
      <c r="A1036" s="1">
        <v>43125</v>
      </c>
      <c r="B1036">
        <v>54558.02</v>
      </c>
      <c r="C1036" s="6">
        <f t="shared" si="48"/>
        <v>-3.2840373722463708E-4</v>
      </c>
      <c r="D1036" s="7">
        <f t="shared" si="49"/>
        <v>-4.820674381478611E-2</v>
      </c>
      <c r="E1036" s="8">
        <f t="shared" si="50"/>
        <v>-0.68856443580808524</v>
      </c>
    </row>
    <row r="1037" spans="1:5" x14ac:dyDescent="0.2">
      <c r="A1037" s="1">
        <v>43126</v>
      </c>
      <c r="B1037">
        <v>54530.63</v>
      </c>
      <c r="C1037" s="6">
        <f t="shared" si="48"/>
        <v>-5.0216040945716162E-4</v>
      </c>
      <c r="D1037" s="7">
        <f t="shared" si="49"/>
        <v>-6.3200120780686125E-2</v>
      </c>
      <c r="E1037" s="8">
        <f t="shared" si="50"/>
        <v>-0.69036909341689279</v>
      </c>
    </row>
    <row r="1038" spans="1:5" x14ac:dyDescent="0.2">
      <c r="A1038" s="1">
        <v>43129</v>
      </c>
      <c r="B1038">
        <v>53863.76</v>
      </c>
      <c r="C1038" s="6">
        <f t="shared" si="48"/>
        <v>-1.2304666577727878E-2</v>
      </c>
      <c r="D1038" s="7">
        <f t="shared" si="49"/>
        <v>-1.0816325173590022</v>
      </c>
      <c r="E1038" s="8">
        <f t="shared" si="50"/>
        <v>-1.729582365182859</v>
      </c>
    </row>
    <row r="1039" spans="1:5" x14ac:dyDescent="0.2">
      <c r="A1039" s="1">
        <v>43130</v>
      </c>
      <c r="B1039">
        <v>52700</v>
      </c>
      <c r="C1039" s="6">
        <f t="shared" si="48"/>
        <v>-2.184244001961454E-2</v>
      </c>
      <c r="D1039" s="7">
        <f t="shared" si="49"/>
        <v>-1.9046422515589432</v>
      </c>
      <c r="E1039" s="8">
        <f t="shared" si="50"/>
        <v>-3.1359362222427039</v>
      </c>
    </row>
    <row r="1040" spans="1:5" x14ac:dyDescent="0.2">
      <c r="A1040" s="1">
        <v>43131</v>
      </c>
      <c r="B1040">
        <v>52614.65</v>
      </c>
      <c r="C1040" s="6">
        <f t="shared" si="48"/>
        <v>-1.6208574720764019E-3</v>
      </c>
      <c r="D1040" s="7">
        <f t="shared" si="49"/>
        <v>-0.15973193481110964</v>
      </c>
      <c r="E1040" s="8">
        <f t="shared" si="50"/>
        <v>-0.71351545327126031</v>
      </c>
    </row>
    <row r="1041" spans="1:5" x14ac:dyDescent="0.2">
      <c r="A1041" s="1">
        <v>43132</v>
      </c>
      <c r="B1041">
        <v>52453.7</v>
      </c>
      <c r="C1041" s="6">
        <f t="shared" si="48"/>
        <v>-3.0637223463584095E-3</v>
      </c>
      <c r="D1041" s="7">
        <f t="shared" si="49"/>
        <v>-0.28423602834034001</v>
      </c>
      <c r="E1041" s="8">
        <f t="shared" si="50"/>
        <v>-0.77210298464217675</v>
      </c>
    </row>
    <row r="1042" spans="1:5" x14ac:dyDescent="0.2">
      <c r="A1042" s="1">
        <v>43133</v>
      </c>
      <c r="B1042">
        <v>51908.17</v>
      </c>
      <c r="C1042" s="6">
        <f t="shared" si="48"/>
        <v>-1.0454679834216342E-2</v>
      </c>
      <c r="D1042" s="7">
        <f t="shared" si="49"/>
        <v>-0.92199807989540183</v>
      </c>
      <c r="E1042" s="8">
        <f t="shared" si="50"/>
        <v>-1.4808092433002629</v>
      </c>
    </row>
    <row r="1043" spans="1:5" x14ac:dyDescent="0.2">
      <c r="A1043" s="1">
        <v>43136</v>
      </c>
      <c r="B1043">
        <v>50496.3</v>
      </c>
      <c r="C1043" s="6">
        <f t="shared" si="48"/>
        <v>-2.7576129624265689E-2</v>
      </c>
      <c r="D1043" s="7">
        <f t="shared" si="49"/>
        <v>-2.3993994804091461</v>
      </c>
      <c r="E1043" s="8">
        <f t="shared" si="50"/>
        <v>-3.9587527702084895</v>
      </c>
    </row>
    <row r="1044" spans="1:5" x14ac:dyDescent="0.2">
      <c r="A1044" s="1">
        <v>43137</v>
      </c>
      <c r="B1044">
        <v>49855.83</v>
      </c>
      <c r="C1044" s="6">
        <f t="shared" si="48"/>
        <v>-1.2764625848212538E-2</v>
      </c>
      <c r="D1044" s="7">
        <f t="shared" si="49"/>
        <v>-1.1213221744106061</v>
      </c>
      <c r="E1044" s="8">
        <f t="shared" si="50"/>
        <v>-1.7938959074857559</v>
      </c>
    </row>
    <row r="1045" spans="1:5" x14ac:dyDescent="0.2">
      <c r="A1045" s="1">
        <v>43138</v>
      </c>
      <c r="B1045">
        <v>50182.35</v>
      </c>
      <c r="C1045" s="6">
        <f t="shared" si="48"/>
        <v>6.5279308264678442E-3</v>
      </c>
      <c r="D1045" s="7">
        <f t="shared" si="49"/>
        <v>0.54342296108772548</v>
      </c>
      <c r="E1045" s="8">
        <f t="shared" si="50"/>
        <v>-0.9884877969572321</v>
      </c>
    </row>
    <row r="1046" spans="1:5" x14ac:dyDescent="0.2">
      <c r="A1046" s="1">
        <v>43139</v>
      </c>
      <c r="B1046">
        <v>49934.79</v>
      </c>
      <c r="C1046" s="6">
        <f t="shared" si="48"/>
        <v>-4.9454170295074006E-3</v>
      </c>
      <c r="D1046" s="7">
        <f t="shared" si="49"/>
        <v>-0.44660652817028301</v>
      </c>
      <c r="E1046" s="8">
        <f t="shared" si="50"/>
        <v>-0.89387109836450651</v>
      </c>
    </row>
    <row r="1047" spans="1:5" x14ac:dyDescent="0.2">
      <c r="A1047" s="1">
        <v>43140</v>
      </c>
      <c r="B1047">
        <v>49287.45</v>
      </c>
      <c r="C1047" s="6">
        <f t="shared" si="48"/>
        <v>-1.3048469471914716E-2</v>
      </c>
      <c r="D1047" s="7">
        <f t="shared" si="49"/>
        <v>-1.1458148997537727</v>
      </c>
      <c r="E1047" s="8">
        <f t="shared" si="50"/>
        <v>-1.833983739961577</v>
      </c>
    </row>
    <row r="1048" spans="1:5" x14ac:dyDescent="0.2">
      <c r="A1048" s="1">
        <v>43143</v>
      </c>
      <c r="B1048">
        <v>49544.32</v>
      </c>
      <c r="C1048" s="6">
        <f t="shared" si="48"/>
        <v>5.198137772883811E-3</v>
      </c>
      <c r="D1048" s="7">
        <f t="shared" si="49"/>
        <v>0.4286757788192993</v>
      </c>
      <c r="E1048" s="8">
        <f t="shared" si="50"/>
        <v>-0.87806831288066511</v>
      </c>
    </row>
    <row r="1049" spans="1:5" x14ac:dyDescent="0.2">
      <c r="A1049" s="1">
        <v>43144</v>
      </c>
      <c r="B1049">
        <v>50405.03</v>
      </c>
      <c r="C1049" s="6">
        <f t="shared" si="48"/>
        <v>1.7223349164660767E-2</v>
      </c>
      <c r="D1049" s="7">
        <f t="shared" si="49"/>
        <v>1.46632529854691</v>
      </c>
      <c r="E1049" s="8">
        <f t="shared" si="50"/>
        <v>-2.3775075460914641</v>
      </c>
    </row>
    <row r="1050" spans="1:5" x14ac:dyDescent="0.2">
      <c r="A1050" s="1">
        <v>43145</v>
      </c>
      <c r="B1050">
        <v>50556</v>
      </c>
      <c r="C1050" s="6">
        <f t="shared" si="48"/>
        <v>2.9906611001023005E-3</v>
      </c>
      <c r="D1050" s="7">
        <f t="shared" si="49"/>
        <v>0.23819371287507971</v>
      </c>
      <c r="E1050" s="8">
        <f t="shared" si="50"/>
        <v>-0.74675908529974921</v>
      </c>
    </row>
    <row r="1051" spans="1:5" x14ac:dyDescent="0.2">
      <c r="A1051" s="1">
        <v>43146</v>
      </c>
      <c r="B1051">
        <v>52565.45</v>
      </c>
      <c r="C1051" s="6">
        <f t="shared" si="48"/>
        <v>3.897742703571995E-2</v>
      </c>
      <c r="D1051" s="7">
        <f t="shared" si="49"/>
        <v>3.343473875781692</v>
      </c>
      <c r="E1051" s="8">
        <f t="shared" si="50"/>
        <v>-5.3562664728484179</v>
      </c>
    </row>
    <row r="1052" spans="1:5" x14ac:dyDescent="0.2">
      <c r="A1052" s="1">
        <v>43147</v>
      </c>
      <c r="B1052">
        <v>52110.8</v>
      </c>
      <c r="C1052" s="6">
        <f t="shared" si="48"/>
        <v>-8.6868388776147939E-3</v>
      </c>
      <c r="D1052" s="7">
        <f t="shared" si="49"/>
        <v>-0.76945196159374851</v>
      </c>
      <c r="E1052" s="8">
        <f t="shared" si="50"/>
        <v>-1.2625819704477947</v>
      </c>
    </row>
    <row r="1053" spans="1:5" x14ac:dyDescent="0.2">
      <c r="A1053" s="1">
        <v>43150</v>
      </c>
      <c r="B1053">
        <v>51717.42</v>
      </c>
      <c r="C1053" s="6">
        <f t="shared" si="48"/>
        <v>-7.5775522742951495E-3</v>
      </c>
      <c r="D1053" s="7">
        <f t="shared" si="49"/>
        <v>-0.67373217142340613</v>
      </c>
      <c r="E1053" s="8">
        <f t="shared" si="50"/>
        <v>-1.1383282493386173</v>
      </c>
    </row>
    <row r="1054" spans="1:5" x14ac:dyDescent="0.2">
      <c r="A1054" s="1">
        <v>43151</v>
      </c>
      <c r="B1054">
        <v>51020.46</v>
      </c>
      <c r="C1054" s="6">
        <f t="shared" si="48"/>
        <v>-1.3567939923540466E-2</v>
      </c>
      <c r="D1054" s="7">
        <f t="shared" si="49"/>
        <v>-1.1906397470750214</v>
      </c>
      <c r="E1054" s="8">
        <f t="shared" si="50"/>
        <v>-1.9080596688486822</v>
      </c>
    </row>
    <row r="1055" spans="1:5" x14ac:dyDescent="0.2">
      <c r="A1055" s="1">
        <v>43152</v>
      </c>
      <c r="B1055">
        <v>51727.37</v>
      </c>
      <c r="C1055" s="6">
        <f t="shared" si="48"/>
        <v>1.3760313073134399E-2</v>
      </c>
      <c r="D1055" s="7">
        <f t="shared" si="49"/>
        <v>1.1675016338228987</v>
      </c>
      <c r="E1055" s="8">
        <f t="shared" si="50"/>
        <v>-1.8697131008342032</v>
      </c>
    </row>
    <row r="1056" spans="1:5" x14ac:dyDescent="0.2">
      <c r="A1056" s="1">
        <v>43153</v>
      </c>
      <c r="B1056">
        <v>51258.52</v>
      </c>
      <c r="C1056" s="6">
        <f t="shared" si="48"/>
        <v>-9.1051937143133994E-3</v>
      </c>
      <c r="D1056" s="7">
        <f t="shared" si="49"/>
        <v>-0.80555159271315491</v>
      </c>
      <c r="E1056" s="8">
        <f t="shared" si="50"/>
        <v>-1.3121575370334302</v>
      </c>
    </row>
    <row r="1057" spans="1:5" x14ac:dyDescent="0.2">
      <c r="A1057" s="1">
        <v>43154</v>
      </c>
      <c r="B1057">
        <v>51747.15</v>
      </c>
      <c r="C1057" s="6">
        <f t="shared" si="48"/>
        <v>9.4875100611962106E-3</v>
      </c>
      <c r="D1057" s="7">
        <f t="shared" si="49"/>
        <v>0.7988035836364239</v>
      </c>
      <c r="E1057" s="8">
        <f t="shared" si="50"/>
        <v>-1.3027854739354643</v>
      </c>
    </row>
    <row r="1058" spans="1:5" x14ac:dyDescent="0.2">
      <c r="A1058" s="1">
        <v>43157</v>
      </c>
      <c r="B1058">
        <v>51861.36</v>
      </c>
      <c r="C1058" s="6">
        <f t="shared" si="48"/>
        <v>2.2046460519403923E-3</v>
      </c>
      <c r="D1058" s="7">
        <f t="shared" si="49"/>
        <v>0.17036886467477236</v>
      </c>
      <c r="E1058" s="8">
        <f t="shared" si="50"/>
        <v>-0.71727390727447027</v>
      </c>
    </row>
    <row r="1059" spans="1:5" x14ac:dyDescent="0.2">
      <c r="A1059" s="1">
        <v>43158</v>
      </c>
      <c r="B1059">
        <v>52033.51</v>
      </c>
      <c r="C1059" s="6">
        <f t="shared" si="48"/>
        <v>3.3139298898548588E-3</v>
      </c>
      <c r="D1059" s="7">
        <f t="shared" si="49"/>
        <v>0.26608841621967516</v>
      </c>
      <c r="E1059" s="8">
        <f t="shared" si="50"/>
        <v>-0.76160823943215139</v>
      </c>
    </row>
    <row r="1060" spans="1:5" x14ac:dyDescent="0.2">
      <c r="A1060" s="1">
        <v>43159</v>
      </c>
      <c r="B1060">
        <v>51383.45</v>
      </c>
      <c r="C1060" s="6">
        <f t="shared" si="48"/>
        <v>-1.2571797929758498E-2</v>
      </c>
      <c r="D1060" s="7">
        <f t="shared" si="49"/>
        <v>-1.1046831490783171</v>
      </c>
      <c r="E1060" s="8">
        <f t="shared" si="50"/>
        <v>-1.7668325568252967</v>
      </c>
    </row>
    <row r="1061" spans="1:5" x14ac:dyDescent="0.2">
      <c r="A1061" s="1">
        <v>43160</v>
      </c>
      <c r="B1061">
        <v>51011.02</v>
      </c>
      <c r="C1061" s="6">
        <f t="shared" si="48"/>
        <v>-7.2744483630870311E-3</v>
      </c>
      <c r="D1061" s="7">
        <f t="shared" si="49"/>
        <v>-0.64757748543528826</v>
      </c>
      <c r="E1061" s="8">
        <f t="shared" si="50"/>
        <v>-1.1063587632707708</v>
      </c>
    </row>
    <row r="1062" spans="1:5" x14ac:dyDescent="0.2">
      <c r="A1062" s="1">
        <v>43161</v>
      </c>
      <c r="B1062">
        <v>50824.62</v>
      </c>
      <c r="C1062" s="6">
        <f t="shared" si="48"/>
        <v>-3.6608049631702212E-3</v>
      </c>
      <c r="D1062" s="7">
        <f t="shared" si="49"/>
        <v>-0.33575799085620472</v>
      </c>
      <c r="E1062" s="8">
        <f t="shared" si="50"/>
        <v>-0.8054073673759311</v>
      </c>
    </row>
    <row r="1063" spans="1:5" x14ac:dyDescent="0.2">
      <c r="A1063" s="1">
        <v>43164</v>
      </c>
      <c r="B1063">
        <v>51021.75</v>
      </c>
      <c r="C1063" s="6">
        <f t="shared" si="48"/>
        <v>3.8711295488802772E-3</v>
      </c>
      <c r="D1063" s="7">
        <f t="shared" si="49"/>
        <v>0.31416889811253251</v>
      </c>
      <c r="E1063" s="8">
        <f t="shared" si="50"/>
        <v>-0.79082712354511309</v>
      </c>
    </row>
    <row r="1064" spans="1:5" x14ac:dyDescent="0.2">
      <c r="A1064" s="1">
        <v>43165</v>
      </c>
      <c r="B1064">
        <v>52257.99</v>
      </c>
      <c r="C1064" s="6">
        <f t="shared" si="48"/>
        <v>2.394078541451429E-2</v>
      </c>
      <c r="D1064" s="7">
        <f t="shared" si="49"/>
        <v>2.0459695369199493</v>
      </c>
      <c r="E1064" s="8">
        <f t="shared" si="50"/>
        <v>-3.3762147842918466</v>
      </c>
    </row>
    <row r="1065" spans="1:5" x14ac:dyDescent="0.2">
      <c r="A1065" s="1">
        <v>43166</v>
      </c>
      <c r="B1065">
        <v>52005.09</v>
      </c>
      <c r="C1065" s="6">
        <f t="shared" si="48"/>
        <v>-4.8511994079153929E-3</v>
      </c>
      <c r="D1065" s="7">
        <f t="shared" si="49"/>
        <v>-0.43847653638804479</v>
      </c>
      <c r="E1065" s="8">
        <f t="shared" si="50"/>
        <v>-0.88663683047279229</v>
      </c>
    </row>
    <row r="1066" spans="1:5" x14ac:dyDescent="0.2">
      <c r="A1066" s="1">
        <v>43167</v>
      </c>
      <c r="B1066">
        <v>52057.14</v>
      </c>
      <c r="C1066" s="6">
        <f t="shared" si="48"/>
        <v>1.0003630393209608E-3</v>
      </c>
      <c r="D1066" s="7">
        <f t="shared" si="49"/>
        <v>6.6451881517604131E-2</v>
      </c>
      <c r="E1066" s="8">
        <f t="shared" si="50"/>
        <v>-0.69082440141917789</v>
      </c>
    </row>
    <row r="1067" spans="1:5" x14ac:dyDescent="0.2">
      <c r="A1067" s="1">
        <v>43168</v>
      </c>
      <c r="B1067">
        <v>52348.57</v>
      </c>
      <c r="C1067" s="6">
        <f t="shared" si="48"/>
        <v>5.5826593563505214E-3</v>
      </c>
      <c r="D1067" s="7">
        <f t="shared" si="49"/>
        <v>0.46185595531764967</v>
      </c>
      <c r="E1067" s="8">
        <f t="shared" si="50"/>
        <v>-0.9077462349987383</v>
      </c>
    </row>
    <row r="1068" spans="1:5" x14ac:dyDescent="0.2">
      <c r="A1068" s="1">
        <v>43171</v>
      </c>
      <c r="B1068">
        <v>52440.89</v>
      </c>
      <c r="C1068" s="6">
        <f t="shared" si="48"/>
        <v>1.7620097266522747E-3</v>
      </c>
      <c r="D1068" s="7">
        <f t="shared" si="49"/>
        <v>0.13217399596225329</v>
      </c>
      <c r="E1068" s="8">
        <f t="shared" si="50"/>
        <v>-0.70488566159905008</v>
      </c>
    </row>
    <row r="1069" spans="1:5" x14ac:dyDescent="0.2">
      <c r="A1069" s="1">
        <v>43172</v>
      </c>
      <c r="B1069">
        <v>52371.5</v>
      </c>
      <c r="C1069" s="6">
        <f t="shared" si="48"/>
        <v>-1.3240802950454564E-3</v>
      </c>
      <c r="D1069" s="7">
        <f t="shared" si="49"/>
        <v>-0.13412317957352116</v>
      </c>
      <c r="E1069" s="8">
        <f t="shared" si="50"/>
        <v>-0.7054433075673916</v>
      </c>
    </row>
    <row r="1070" spans="1:5" x14ac:dyDescent="0.2">
      <c r="A1070" s="1">
        <v>43173</v>
      </c>
      <c r="B1070">
        <v>51788.83</v>
      </c>
      <c r="C1070" s="6">
        <f t="shared" si="48"/>
        <v>-1.1188061286918414E-2</v>
      </c>
      <c r="D1070" s="7">
        <f t="shared" si="49"/>
        <v>-0.98528120127934871</v>
      </c>
      <c r="E1070" s="8">
        <f t="shared" si="50"/>
        <v>-1.5773116299173182</v>
      </c>
    </row>
    <row r="1071" spans="1:5" x14ac:dyDescent="0.2">
      <c r="A1071" s="1">
        <v>43174</v>
      </c>
      <c r="B1071">
        <v>51613.14</v>
      </c>
      <c r="C1071" s="6">
        <f t="shared" si="48"/>
        <v>-3.3981977145816781E-3</v>
      </c>
      <c r="D1071" s="7">
        <f t="shared" si="49"/>
        <v>-0.31309774177640665</v>
      </c>
      <c r="E1071" s="8">
        <f t="shared" si="50"/>
        <v>-0.79012702202526741</v>
      </c>
    </row>
    <row r="1072" spans="1:5" x14ac:dyDescent="0.2">
      <c r="A1072" s="1">
        <v>43175</v>
      </c>
      <c r="B1072">
        <v>51421.64</v>
      </c>
      <c r="C1072" s="6">
        <f t="shared" si="48"/>
        <v>-3.717195698480042E-3</v>
      </c>
      <c r="D1072" s="7">
        <f t="shared" si="49"/>
        <v>-0.34062391940456566</v>
      </c>
      <c r="E1072" s="8">
        <f t="shared" si="50"/>
        <v>-0.80881634064473107</v>
      </c>
    </row>
    <row r="1073" spans="1:5" x14ac:dyDescent="0.2">
      <c r="A1073" s="1">
        <v>43178</v>
      </c>
      <c r="B1073">
        <v>51434.84</v>
      </c>
      <c r="C1073" s="6">
        <f t="shared" si="48"/>
        <v>2.566683221605285E-4</v>
      </c>
      <c r="D1073" s="7">
        <f t="shared" si="49"/>
        <v>2.2788336647255056E-3</v>
      </c>
      <c r="E1073" s="8">
        <f t="shared" si="50"/>
        <v>-0.68605738532104266</v>
      </c>
    </row>
    <row r="1074" spans="1:5" x14ac:dyDescent="0.2">
      <c r="A1074" s="1">
        <v>43179</v>
      </c>
      <c r="B1074">
        <v>51615.22</v>
      </c>
      <c r="C1074" s="6">
        <f t="shared" si="48"/>
        <v>3.5008263794284334E-3</v>
      </c>
      <c r="D1074" s="7">
        <f t="shared" si="49"/>
        <v>0.28221562149919405</v>
      </c>
      <c r="E1074" s="8">
        <f t="shared" si="50"/>
        <v>-0.77090234692097293</v>
      </c>
    </row>
    <row r="1075" spans="1:5" x14ac:dyDescent="0.2">
      <c r="A1075" s="1">
        <v>43181</v>
      </c>
      <c r="B1075">
        <v>50517.26</v>
      </c>
      <c r="C1075" s="6">
        <f t="shared" si="48"/>
        <v>-2.1501530170004373E-2</v>
      </c>
      <c r="D1075" s="7">
        <f t="shared" si="49"/>
        <v>-1.8752253099191232</v>
      </c>
      <c r="E1075" s="8">
        <f t="shared" si="50"/>
        <v>-3.0855097367846094</v>
      </c>
    </row>
    <row r="1076" spans="1:5" x14ac:dyDescent="0.2">
      <c r="A1076" s="1">
        <v>43182</v>
      </c>
      <c r="B1076">
        <v>49755.199999999997</v>
      </c>
      <c r="C1076" s="6">
        <f t="shared" si="48"/>
        <v>-1.5200079309749079E-2</v>
      </c>
      <c r="D1076" s="7">
        <f t="shared" si="49"/>
        <v>-1.3314762442517771</v>
      </c>
      <c r="E1076" s="8">
        <f t="shared" si="50"/>
        <v>-2.1455820887780037</v>
      </c>
    </row>
    <row r="1077" spans="1:5" x14ac:dyDescent="0.2">
      <c r="A1077" s="1">
        <v>43185</v>
      </c>
      <c r="B1077">
        <v>49566.23</v>
      </c>
      <c r="C1077" s="6">
        <f t="shared" si="48"/>
        <v>-3.8052256802924385E-3</v>
      </c>
      <c r="D1077" s="7">
        <f t="shared" si="49"/>
        <v>-0.348219982822771</v>
      </c>
      <c r="E1077" s="8">
        <f t="shared" si="50"/>
        <v>-0.81422747842064624</v>
      </c>
    </row>
    <row r="1078" spans="1:5" x14ac:dyDescent="0.2">
      <c r="A1078" s="1">
        <v>43186</v>
      </c>
      <c r="B1078">
        <v>49417.760000000002</v>
      </c>
      <c r="C1078" s="6">
        <f t="shared" si="48"/>
        <v>-2.9998813210838186E-3</v>
      </c>
      <c r="D1078" s="7">
        <f t="shared" si="49"/>
        <v>-0.27872721797045358</v>
      </c>
      <c r="E1078" s="8">
        <f t="shared" si="50"/>
        <v>-0.7688483064066437</v>
      </c>
    </row>
    <row r="1079" spans="1:5" x14ac:dyDescent="0.2">
      <c r="A1079" s="1">
        <v>43187</v>
      </c>
      <c r="B1079">
        <v>48139.78</v>
      </c>
      <c r="C1079" s="6">
        <f t="shared" si="48"/>
        <v>-2.6201011413854218E-2</v>
      </c>
      <c r="D1079" s="7">
        <f t="shared" si="49"/>
        <v>-2.2807412128648528</v>
      </c>
      <c r="E1079" s="8">
        <f t="shared" si="50"/>
        <v>-3.7664466166263226</v>
      </c>
    </row>
    <row r="1080" spans="1:5" x14ac:dyDescent="0.2">
      <c r="A1080" s="1">
        <v>43188</v>
      </c>
      <c r="B1080">
        <v>48794.5</v>
      </c>
      <c r="C1080" s="6">
        <f t="shared" si="48"/>
        <v>1.350873924906342E-2</v>
      </c>
      <c r="D1080" s="7">
        <f t="shared" si="49"/>
        <v>1.1457934534659366</v>
      </c>
      <c r="E1080" s="8">
        <f t="shared" si="50"/>
        <v>-1.8339485129480888</v>
      </c>
    </row>
    <row r="1081" spans="1:5" x14ac:dyDescent="0.2">
      <c r="A1081" s="1">
        <v>43193</v>
      </c>
      <c r="B1081">
        <v>48179.94</v>
      </c>
      <c r="C1081" s="6">
        <f t="shared" si="48"/>
        <v>-1.2674849733454662E-2</v>
      </c>
      <c r="D1081" s="7">
        <f t="shared" si="49"/>
        <v>-1.1135754380475995</v>
      </c>
      <c r="E1081" s="8">
        <f t="shared" si="50"/>
        <v>-1.7812781951635277</v>
      </c>
    </row>
    <row r="1082" spans="1:5" x14ac:dyDescent="0.2">
      <c r="A1082" s="1">
        <v>43194</v>
      </c>
      <c r="B1082">
        <v>48051.9</v>
      </c>
      <c r="C1082" s="6">
        <f t="shared" si="48"/>
        <v>-2.66107507780551E-3</v>
      </c>
      <c r="D1082" s="7">
        <f t="shared" si="49"/>
        <v>-0.24949179547643763</v>
      </c>
      <c r="E1082" s="8">
        <f t="shared" si="50"/>
        <v>-0.75258486283451453</v>
      </c>
    </row>
    <row r="1083" spans="1:5" x14ac:dyDescent="0.2">
      <c r="A1083" s="1">
        <v>43195</v>
      </c>
      <c r="B1083">
        <v>49097.22</v>
      </c>
      <c r="C1083" s="6">
        <f t="shared" si="48"/>
        <v>2.1520737274815779E-2</v>
      </c>
      <c r="D1083" s="7">
        <f t="shared" si="49"/>
        <v>1.8371447846504774</v>
      </c>
      <c r="E1083" s="8">
        <f t="shared" si="50"/>
        <v>-3.020052698006654</v>
      </c>
    </row>
    <row r="1084" spans="1:5" x14ac:dyDescent="0.2">
      <c r="A1084" s="1">
        <v>43196</v>
      </c>
      <c r="B1084">
        <v>49140.59</v>
      </c>
      <c r="C1084" s="6">
        <f t="shared" si="48"/>
        <v>8.8295948001400348E-4</v>
      </c>
      <c r="D1084" s="7">
        <f t="shared" si="49"/>
        <v>5.6321186683209672E-2</v>
      </c>
      <c r="E1084" s="8">
        <f t="shared" si="50"/>
        <v>-0.68948095932168685</v>
      </c>
    </row>
    <row r="1085" spans="1:5" x14ac:dyDescent="0.2">
      <c r="A1085" s="1">
        <v>43199</v>
      </c>
      <c r="B1085">
        <v>49391.360000000001</v>
      </c>
      <c r="C1085" s="6">
        <f t="shared" si="48"/>
        <v>5.0901365789136439E-3</v>
      </c>
      <c r="D1085" s="7">
        <f t="shared" si="49"/>
        <v>0.41935640942095459</v>
      </c>
      <c r="E1085" s="8">
        <f t="shared" si="50"/>
        <v>-0.87007662033724709</v>
      </c>
    </row>
    <row r="1086" spans="1:5" x14ac:dyDescent="0.2">
      <c r="A1086" s="1">
        <v>43200</v>
      </c>
      <c r="B1086">
        <v>50036.07</v>
      </c>
      <c r="C1086" s="6">
        <f t="shared" si="48"/>
        <v>1.2968635232365988E-2</v>
      </c>
      <c r="D1086" s="7">
        <f t="shared" si="49"/>
        <v>1.0991881460605066</v>
      </c>
      <c r="E1086" s="8">
        <f t="shared" si="50"/>
        <v>-1.7579265421683108</v>
      </c>
    </row>
    <row r="1087" spans="1:5" x14ac:dyDescent="0.2">
      <c r="A1087" s="1">
        <v>43201</v>
      </c>
      <c r="B1087">
        <v>49472.9</v>
      </c>
      <c r="C1087" s="6">
        <f t="shared" si="48"/>
        <v>-1.1319100436091599E-2</v>
      </c>
      <c r="D1087" s="7">
        <f t="shared" si="49"/>
        <v>-0.99658850439237767</v>
      </c>
      <c r="E1087" s="8">
        <f t="shared" si="50"/>
        <v>-1.5948670598098906</v>
      </c>
    </row>
    <row r="1088" spans="1:5" x14ac:dyDescent="0.2">
      <c r="A1088" s="1">
        <v>43202</v>
      </c>
      <c r="B1088">
        <v>49808.95</v>
      </c>
      <c r="C1088" s="6">
        <f t="shared" si="48"/>
        <v>6.7696418504568836E-3</v>
      </c>
      <c r="D1088" s="7">
        <f t="shared" si="49"/>
        <v>0.56428008532311358</v>
      </c>
      <c r="E1088" s="8">
        <f t="shared" si="50"/>
        <v>-1.0108216339922029</v>
      </c>
    </row>
    <row r="1089" spans="1:5" x14ac:dyDescent="0.2">
      <c r="A1089" s="1">
        <v>43203</v>
      </c>
      <c r="B1089">
        <v>49882.87</v>
      </c>
      <c r="C1089" s="6">
        <f t="shared" si="48"/>
        <v>1.4829704893958393E-3</v>
      </c>
      <c r="D1089" s="7">
        <f t="shared" si="49"/>
        <v>0.10809583873981188</v>
      </c>
      <c r="E1089" s="8">
        <f t="shared" si="50"/>
        <v>-0.69866280879855713</v>
      </c>
    </row>
    <row r="1090" spans="1:5" x14ac:dyDescent="0.2">
      <c r="A1090" s="1">
        <v>43206</v>
      </c>
      <c r="B1090">
        <v>50121.2</v>
      </c>
      <c r="C1090" s="6">
        <f t="shared" si="48"/>
        <v>4.7664150311559229E-3</v>
      </c>
      <c r="D1090" s="7">
        <f t="shared" si="49"/>
        <v>0.39142263781291631</v>
      </c>
      <c r="E1090" s="8">
        <f t="shared" si="50"/>
        <v>-0.84704704441685419</v>
      </c>
    </row>
    <row r="1091" spans="1:5" x14ac:dyDescent="0.2">
      <c r="A1091" s="1">
        <v>43207</v>
      </c>
      <c r="B1091">
        <v>50176</v>
      </c>
      <c r="C1091" s="6">
        <f t="shared" ref="C1091:C1154" si="51">LN(B1091/B1090)</f>
        <v>1.0927524487841023E-3</v>
      </c>
      <c r="D1091" s="7">
        <f t="shared" ref="D1091:D1154" si="52">(C1091-$G$4)/$G$5</f>
        <v>7.4424117783064098E-2</v>
      </c>
      <c r="E1091" s="8">
        <f t="shared" ref="E1091:E1154" si="53">LN((PI()*(G$3-2))^(-1/2)*EXP(GAMMALN((G$3+1)/2))*((1+D1091^2/(G$3-2))^(-(G$3+1)/2))/EXP(GAMMALN(G$3/2)))</f>
        <v>-0.69203693785341081</v>
      </c>
    </row>
    <row r="1092" spans="1:5" x14ac:dyDescent="0.2">
      <c r="A1092" s="1">
        <v>43208</v>
      </c>
      <c r="B1092">
        <v>51025.8</v>
      </c>
      <c r="C1092" s="6">
        <f t="shared" si="51"/>
        <v>1.6794562433985055E-2</v>
      </c>
      <c r="D1092" s="7">
        <f t="shared" si="52"/>
        <v>1.4293255044763065</v>
      </c>
      <c r="E1092" s="8">
        <f t="shared" si="53"/>
        <v>-2.3135832882763592</v>
      </c>
    </row>
    <row r="1093" spans="1:5" x14ac:dyDescent="0.2">
      <c r="A1093" s="1">
        <v>43209</v>
      </c>
      <c r="B1093">
        <v>50729.19</v>
      </c>
      <c r="C1093" s="6">
        <f t="shared" si="51"/>
        <v>-5.829902594301984E-3</v>
      </c>
      <c r="D1093" s="7">
        <f t="shared" si="52"/>
        <v>-0.52292834835405977</v>
      </c>
      <c r="E1093" s="8">
        <f t="shared" si="53"/>
        <v>-0.96719552445461532</v>
      </c>
    </row>
    <row r="1094" spans="1:5" x14ac:dyDescent="0.2">
      <c r="A1094" s="1">
        <v>43210</v>
      </c>
      <c r="B1094">
        <v>50765.88</v>
      </c>
      <c r="C1094" s="6">
        <f t="shared" si="51"/>
        <v>7.2299081321294703E-4</v>
      </c>
      <c r="D1094" s="7">
        <f t="shared" si="52"/>
        <v>4.2517569859384839E-2</v>
      </c>
      <c r="E1094" s="8">
        <f t="shared" si="53"/>
        <v>-0.68800655651541676</v>
      </c>
    </row>
    <row r="1095" spans="1:5" x14ac:dyDescent="0.2">
      <c r="A1095" s="1">
        <v>43213</v>
      </c>
      <c r="B1095">
        <v>50877.98</v>
      </c>
      <c r="C1095" s="6">
        <f t="shared" si="51"/>
        <v>2.2057416050508321E-3</v>
      </c>
      <c r="D1095" s="7">
        <f t="shared" si="52"/>
        <v>0.17046339940866162</v>
      </c>
      <c r="E1095" s="8">
        <f t="shared" si="53"/>
        <v>-0.71730837266666103</v>
      </c>
    </row>
    <row r="1096" spans="1:5" x14ac:dyDescent="0.2">
      <c r="A1096" s="1">
        <v>43214</v>
      </c>
      <c r="B1096">
        <v>50871.02</v>
      </c>
      <c r="C1096" s="6">
        <f t="shared" si="51"/>
        <v>-1.368072415622598E-4</v>
      </c>
      <c r="D1096" s="7">
        <f t="shared" si="52"/>
        <v>-3.1673977343711121E-2</v>
      </c>
      <c r="E1096" s="8">
        <f t="shared" si="53"/>
        <v>-0.68713678316519033</v>
      </c>
    </row>
    <row r="1097" spans="1:5" x14ac:dyDescent="0.2">
      <c r="A1097" s="1">
        <v>43215</v>
      </c>
      <c r="B1097">
        <v>50234.85</v>
      </c>
      <c r="C1097" s="6">
        <f t="shared" si="51"/>
        <v>-1.2584400800467422E-2</v>
      </c>
      <c r="D1097" s="7">
        <f t="shared" si="52"/>
        <v>-1.1057706445336772</v>
      </c>
      <c r="E1097" s="8">
        <f t="shared" si="53"/>
        <v>-1.7685969997251683</v>
      </c>
    </row>
    <row r="1098" spans="1:5" x14ac:dyDescent="0.2">
      <c r="A1098" s="1">
        <v>43216</v>
      </c>
      <c r="B1098">
        <v>50684.22</v>
      </c>
      <c r="C1098" s="6">
        <f t="shared" si="51"/>
        <v>8.9056106036958273E-3</v>
      </c>
      <c r="D1098" s="7">
        <f t="shared" si="52"/>
        <v>0.74859176839815511</v>
      </c>
      <c r="E1098" s="8">
        <f t="shared" si="53"/>
        <v>-1.2345838388018706</v>
      </c>
    </row>
    <row r="1099" spans="1:5" x14ac:dyDescent="0.2">
      <c r="A1099" s="1">
        <v>43220</v>
      </c>
      <c r="B1099">
        <v>51402.31</v>
      </c>
      <c r="C1099" s="6">
        <f t="shared" si="51"/>
        <v>1.4068493537960042E-2</v>
      </c>
      <c r="D1099" s="7">
        <f t="shared" si="52"/>
        <v>1.194094373101847</v>
      </c>
      <c r="E1099" s="8">
        <f t="shared" si="53"/>
        <v>-1.9138040144524238</v>
      </c>
    </row>
    <row r="1100" spans="1:5" x14ac:dyDescent="0.2">
      <c r="A1100" s="1">
        <v>43222</v>
      </c>
      <c r="B1100">
        <v>51553.86</v>
      </c>
      <c r="C1100" s="6">
        <f t="shared" si="51"/>
        <v>2.943973332665952E-3</v>
      </c>
      <c r="D1100" s="7">
        <f t="shared" si="52"/>
        <v>0.2341650486063909</v>
      </c>
      <c r="E1100" s="8">
        <f t="shared" si="53"/>
        <v>-0.74474418842378109</v>
      </c>
    </row>
    <row r="1101" spans="1:5" x14ac:dyDescent="0.2">
      <c r="A1101" s="1">
        <v>43223</v>
      </c>
      <c r="B1101">
        <v>50408.15</v>
      </c>
      <c r="C1101" s="6">
        <f t="shared" si="51"/>
        <v>-2.247421806471463E-2</v>
      </c>
      <c r="D1101" s="7">
        <f t="shared" si="52"/>
        <v>-1.9591580653533553</v>
      </c>
      <c r="E1101" s="8">
        <f t="shared" si="53"/>
        <v>-3.229032893293081</v>
      </c>
    </row>
    <row r="1102" spans="1:5" x14ac:dyDescent="0.2">
      <c r="A1102" s="1">
        <v>43224</v>
      </c>
      <c r="B1102">
        <v>50873.59</v>
      </c>
      <c r="C1102" s="6">
        <f t="shared" si="51"/>
        <v>9.1910600375098035E-3</v>
      </c>
      <c r="D1102" s="7">
        <f t="shared" si="52"/>
        <v>0.77322305829848359</v>
      </c>
      <c r="E1102" s="8">
        <f t="shared" si="53"/>
        <v>-1.2676951681139146</v>
      </c>
    </row>
    <row r="1103" spans="1:5" x14ac:dyDescent="0.2">
      <c r="A1103" s="1">
        <v>43227</v>
      </c>
      <c r="B1103">
        <v>51148.85</v>
      </c>
      <c r="C1103" s="6">
        <f t="shared" si="51"/>
        <v>5.3960808604640786E-3</v>
      </c>
      <c r="D1103" s="7">
        <f t="shared" si="52"/>
        <v>0.44575618955548962</v>
      </c>
      <c r="E1103" s="8">
        <f t="shared" si="53"/>
        <v>-0.89310910705624336</v>
      </c>
    </row>
    <row r="1104" spans="1:5" x14ac:dyDescent="0.2">
      <c r="A1104" s="1">
        <v>43228</v>
      </c>
      <c r="B1104">
        <v>51002.58</v>
      </c>
      <c r="C1104" s="6">
        <f t="shared" si="51"/>
        <v>-2.863789571362514E-3</v>
      </c>
      <c r="D1104" s="7">
        <f t="shared" si="52"/>
        <v>-0.26698392846505931</v>
      </c>
      <c r="E1104" s="8">
        <f t="shared" si="53"/>
        <v>-0.76211077805344551</v>
      </c>
    </row>
    <row r="1105" spans="1:5" x14ac:dyDescent="0.2">
      <c r="A1105" s="1">
        <v>43229</v>
      </c>
      <c r="B1105">
        <v>51279.360000000001</v>
      </c>
      <c r="C1105" s="6">
        <f t="shared" si="51"/>
        <v>5.4121123552342927E-3</v>
      </c>
      <c r="D1105" s="7">
        <f t="shared" si="52"/>
        <v>0.44713953927857253</v>
      </c>
      <c r="E1105" s="8">
        <f t="shared" si="53"/>
        <v>-0.894349365510548</v>
      </c>
    </row>
    <row r="1106" spans="1:5" x14ac:dyDescent="0.2">
      <c r="A1106" s="1">
        <v>43230</v>
      </c>
      <c r="B1106">
        <v>51493.07</v>
      </c>
      <c r="C1106" s="6">
        <f t="shared" si="51"/>
        <v>4.158903473154685E-3</v>
      </c>
      <c r="D1106" s="7">
        <f t="shared" si="52"/>
        <v>0.33900076714043692</v>
      </c>
      <c r="E1106" s="8">
        <f t="shared" si="53"/>
        <v>-0.80767420459084427</v>
      </c>
    </row>
    <row r="1107" spans="1:5" x14ac:dyDescent="0.2">
      <c r="A1107" s="1">
        <v>43231</v>
      </c>
      <c r="B1107">
        <v>51822.78</v>
      </c>
      <c r="C1107" s="6">
        <f t="shared" si="51"/>
        <v>6.3825854269826936E-3</v>
      </c>
      <c r="D1107" s="7">
        <f t="shared" si="52"/>
        <v>0.53088117873922425</v>
      </c>
      <c r="E1107" s="8">
        <f t="shared" si="53"/>
        <v>-0.97537993089537567</v>
      </c>
    </row>
    <row r="1108" spans="1:5" x14ac:dyDescent="0.2">
      <c r="A1108" s="1">
        <v>43234</v>
      </c>
      <c r="B1108">
        <v>52000.480000000003</v>
      </c>
      <c r="C1108" s="6">
        <f t="shared" si="51"/>
        <v>3.4231283726050342E-3</v>
      </c>
      <c r="D1108" s="7">
        <f t="shared" si="52"/>
        <v>0.27551109907231813</v>
      </c>
      <c r="E1108" s="8">
        <f t="shared" si="53"/>
        <v>-0.76697590913098423</v>
      </c>
    </row>
    <row r="1109" spans="1:5" x14ac:dyDescent="0.2">
      <c r="A1109" s="1">
        <v>43235</v>
      </c>
      <c r="B1109">
        <v>51333.23</v>
      </c>
      <c r="C1109" s="6">
        <f t="shared" si="51"/>
        <v>-1.291464855157441E-2</v>
      </c>
      <c r="D1109" s="7">
        <f t="shared" si="52"/>
        <v>-1.134267558988056</v>
      </c>
      <c r="E1109" s="8">
        <f t="shared" si="53"/>
        <v>-1.815047819001953</v>
      </c>
    </row>
    <row r="1110" spans="1:5" x14ac:dyDescent="0.2">
      <c r="A1110" s="1">
        <v>43236</v>
      </c>
      <c r="B1110">
        <v>52108.1</v>
      </c>
      <c r="C1110" s="6">
        <f t="shared" si="51"/>
        <v>1.4982106168114203E-2</v>
      </c>
      <c r="D1110" s="7">
        <f t="shared" si="52"/>
        <v>1.2729295532920937</v>
      </c>
      <c r="E1110" s="8">
        <f t="shared" si="53"/>
        <v>-2.0460878472551722</v>
      </c>
    </row>
    <row r="1111" spans="1:5" x14ac:dyDescent="0.2">
      <c r="A1111" s="1">
        <v>43237</v>
      </c>
      <c r="B1111">
        <v>51675.02</v>
      </c>
      <c r="C1111" s="6">
        <f t="shared" si="51"/>
        <v>-8.3459143224883219E-3</v>
      </c>
      <c r="D1111" s="7">
        <f t="shared" si="52"/>
        <v>-0.74003375102222879</v>
      </c>
      <c r="E1111" s="8">
        <f t="shared" si="53"/>
        <v>-1.2232402789250032</v>
      </c>
    </row>
    <row r="1112" spans="1:5" x14ac:dyDescent="0.2">
      <c r="A1112" s="1">
        <v>43238</v>
      </c>
      <c r="B1112">
        <v>51292.18</v>
      </c>
      <c r="C1112" s="6">
        <f t="shared" si="51"/>
        <v>-7.4361886922024393E-3</v>
      </c>
      <c r="D1112" s="7">
        <f t="shared" si="52"/>
        <v>-0.66153397812047743</v>
      </c>
      <c r="E1112" s="8">
        <f t="shared" si="53"/>
        <v>-1.1233062629595263</v>
      </c>
    </row>
    <row r="1113" spans="1:5" x14ac:dyDescent="0.2">
      <c r="A1113" s="1">
        <v>43241</v>
      </c>
      <c r="B1113">
        <v>51310.87</v>
      </c>
      <c r="C1113" s="6">
        <f t="shared" si="51"/>
        <v>3.6431665933367175E-4</v>
      </c>
      <c r="D1113" s="7">
        <f t="shared" si="52"/>
        <v>1.156775522527048E-2</v>
      </c>
      <c r="E1113" s="8">
        <f t="shared" si="53"/>
        <v>-0.68619651235289125</v>
      </c>
    </row>
    <row r="1114" spans="1:5" x14ac:dyDescent="0.2">
      <c r="A1114" s="1">
        <v>43242</v>
      </c>
      <c r="B1114">
        <v>51598.33</v>
      </c>
      <c r="C1114" s="6">
        <f t="shared" si="51"/>
        <v>5.5866870534578058E-3</v>
      </c>
      <c r="D1114" s="7">
        <f t="shared" si="52"/>
        <v>0.46220350330103394</v>
      </c>
      <c r="E1114" s="8">
        <f t="shared" si="53"/>
        <v>-0.90806707367275419</v>
      </c>
    </row>
    <row r="1115" spans="1:5" x14ac:dyDescent="0.2">
      <c r="A1115" s="1">
        <v>43243</v>
      </c>
      <c r="B1115">
        <v>50599.95</v>
      </c>
      <c r="C1115" s="6">
        <f t="shared" si="51"/>
        <v>-1.953871947205613E-2</v>
      </c>
      <c r="D1115" s="7">
        <f t="shared" si="52"/>
        <v>-1.7058553494513222</v>
      </c>
      <c r="E1115" s="8">
        <f t="shared" si="53"/>
        <v>-2.7931423379447766</v>
      </c>
    </row>
    <row r="1116" spans="1:5" x14ac:dyDescent="0.2">
      <c r="A1116" s="1">
        <v>43244</v>
      </c>
      <c r="B1116">
        <v>50345.5</v>
      </c>
      <c r="C1116" s="6">
        <f t="shared" si="51"/>
        <v>-5.0413473595401605E-3</v>
      </c>
      <c r="D1116" s="7">
        <f t="shared" si="52"/>
        <v>-0.45488430871340702</v>
      </c>
      <c r="E1116" s="8">
        <f t="shared" si="53"/>
        <v>-0.90135365394396127</v>
      </c>
    </row>
    <row r="1117" spans="1:5" x14ac:dyDescent="0.2">
      <c r="A1117" s="1">
        <v>43245</v>
      </c>
      <c r="B1117">
        <v>50541.99</v>
      </c>
      <c r="C1117" s="6">
        <f t="shared" si="51"/>
        <v>3.8952351464551097E-3</v>
      </c>
      <c r="D1117" s="7">
        <f t="shared" si="52"/>
        <v>0.31624895815732945</v>
      </c>
      <c r="E1117" s="8">
        <f t="shared" si="53"/>
        <v>-0.79219296254101534</v>
      </c>
    </row>
    <row r="1118" spans="1:5" x14ac:dyDescent="0.2">
      <c r="A1118" s="1">
        <v>43248</v>
      </c>
      <c r="B1118">
        <v>50550.69</v>
      </c>
      <c r="C1118" s="6">
        <f t="shared" si="51"/>
        <v>1.7211928740012132E-4</v>
      </c>
      <c r="D1118" s="7">
        <f t="shared" si="52"/>
        <v>-5.0168605608714263E-3</v>
      </c>
      <c r="E1118" s="8">
        <f t="shared" si="53"/>
        <v>-0.68607899343736034</v>
      </c>
    </row>
    <row r="1119" spans="1:5" x14ac:dyDescent="0.2">
      <c r="A1119" s="1">
        <v>43249</v>
      </c>
      <c r="B1119">
        <v>49622.54</v>
      </c>
      <c r="C1119" s="6">
        <f t="shared" si="51"/>
        <v>-1.8531429234734411E-2</v>
      </c>
      <c r="D1119" s="7">
        <f t="shared" si="52"/>
        <v>-1.6189367750553723</v>
      </c>
      <c r="E1119" s="8">
        <f t="shared" si="53"/>
        <v>-2.6422706080753287</v>
      </c>
    </row>
    <row r="1120" spans="1:5" x14ac:dyDescent="0.2">
      <c r="A1120" s="1">
        <v>43250</v>
      </c>
      <c r="B1120">
        <v>49287.33</v>
      </c>
      <c r="C1120" s="6">
        <f t="shared" si="51"/>
        <v>-6.7781159428155725E-3</v>
      </c>
      <c r="D1120" s="7">
        <f t="shared" si="52"/>
        <v>-0.60474920735012283</v>
      </c>
      <c r="E1120" s="8">
        <f t="shared" si="53"/>
        <v>-1.0560046192879267</v>
      </c>
    </row>
    <row r="1121" spans="1:5" x14ac:dyDescent="0.2">
      <c r="A1121" s="1">
        <v>43251</v>
      </c>
      <c r="B1121">
        <v>49783.92</v>
      </c>
      <c r="C1121" s="6">
        <f t="shared" si="51"/>
        <v>1.002499027623196E-2</v>
      </c>
      <c r="D1121" s="7">
        <f t="shared" si="52"/>
        <v>0.84518248449934874</v>
      </c>
      <c r="E1121" s="8">
        <f t="shared" si="53"/>
        <v>-1.3681301750183927</v>
      </c>
    </row>
    <row r="1122" spans="1:5" x14ac:dyDescent="0.2">
      <c r="A1122" s="1">
        <v>43252</v>
      </c>
      <c r="B1122">
        <v>50875.01</v>
      </c>
      <c r="C1122" s="6">
        <f t="shared" si="51"/>
        <v>2.1679799999300163E-2</v>
      </c>
      <c r="D1122" s="7">
        <f t="shared" si="52"/>
        <v>1.8508702281616534</v>
      </c>
      <c r="E1122" s="8">
        <f t="shared" si="53"/>
        <v>-3.0436676641856759</v>
      </c>
    </row>
    <row r="1123" spans="1:5" x14ac:dyDescent="0.2">
      <c r="A1123" s="1">
        <v>43255</v>
      </c>
      <c r="B1123">
        <v>51404.55</v>
      </c>
      <c r="C1123" s="6">
        <f t="shared" si="51"/>
        <v>1.0354849621173425E-2</v>
      </c>
      <c r="D1123" s="7">
        <f t="shared" si="52"/>
        <v>0.87364588357857254</v>
      </c>
      <c r="E1123" s="8">
        <f t="shared" si="53"/>
        <v>-1.4092666833641336</v>
      </c>
    </row>
    <row r="1124" spans="1:5" x14ac:dyDescent="0.2">
      <c r="A1124" s="1">
        <v>43256</v>
      </c>
      <c r="B1124">
        <v>51413.93</v>
      </c>
      <c r="C1124" s="6">
        <f t="shared" si="51"/>
        <v>1.8245747313173674E-4</v>
      </c>
      <c r="D1124" s="7">
        <f t="shared" si="52"/>
        <v>-4.1247836476455031E-3</v>
      </c>
      <c r="E1124" s="8">
        <f t="shared" si="53"/>
        <v>-0.68607017202356324</v>
      </c>
    </row>
    <row r="1125" spans="1:5" x14ac:dyDescent="0.2">
      <c r="A1125" s="1">
        <v>43257</v>
      </c>
      <c r="B1125">
        <v>51736.77</v>
      </c>
      <c r="C1125" s="6">
        <f t="shared" si="51"/>
        <v>6.2595998697363613E-3</v>
      </c>
      <c r="D1125" s="7">
        <f t="shared" si="52"/>
        <v>0.52026881607445186</v>
      </c>
      <c r="E1125" s="8">
        <f t="shared" si="53"/>
        <v>-0.96448081313376943</v>
      </c>
    </row>
    <row r="1126" spans="1:5" x14ac:dyDescent="0.2">
      <c r="A1126" s="1">
        <v>43258</v>
      </c>
      <c r="B1126">
        <v>52037.69</v>
      </c>
      <c r="C1126" s="6">
        <f t="shared" si="51"/>
        <v>5.7995164405180858E-3</v>
      </c>
      <c r="D1126" s="7">
        <f t="shared" si="52"/>
        <v>0.4805684454273767</v>
      </c>
      <c r="E1126" s="8">
        <f t="shared" si="53"/>
        <v>-0.92530957348970777</v>
      </c>
    </row>
    <row r="1127" spans="1:5" x14ac:dyDescent="0.2">
      <c r="A1127" s="1">
        <v>43259</v>
      </c>
      <c r="B1127">
        <v>51881.93</v>
      </c>
      <c r="C1127" s="6">
        <f t="shared" si="51"/>
        <v>-2.9977037375852329E-3</v>
      </c>
      <c r="D1127" s="7">
        <f t="shared" si="52"/>
        <v>-0.27853931537166687</v>
      </c>
      <c r="E1127" s="8">
        <f t="shared" si="53"/>
        <v>-0.76873834813438957</v>
      </c>
    </row>
    <row r="1128" spans="1:5" x14ac:dyDescent="0.2">
      <c r="A1128" s="1">
        <v>43262</v>
      </c>
      <c r="B1128">
        <v>51835.44</v>
      </c>
      <c r="C1128" s="6">
        <f t="shared" si="51"/>
        <v>-8.9647477782246537E-4</v>
      </c>
      <c r="D1128" s="7">
        <f t="shared" si="52"/>
        <v>-9.7225311825206495E-2</v>
      </c>
      <c r="E1128" s="8">
        <f t="shared" si="53"/>
        <v>-0.69625831844780439</v>
      </c>
    </row>
    <row r="1129" spans="1:5" x14ac:dyDescent="0.2">
      <c r="A1129" s="1">
        <v>43263</v>
      </c>
      <c r="B1129">
        <v>51909.4</v>
      </c>
      <c r="C1129" s="6">
        <f t="shared" si="51"/>
        <v>1.4258060936732486E-3</v>
      </c>
      <c r="D1129" s="7">
        <f t="shared" si="52"/>
        <v>0.10316315141860377</v>
      </c>
      <c r="E1129" s="8">
        <f t="shared" si="53"/>
        <v>-0.69754043443877745</v>
      </c>
    </row>
    <row r="1130" spans="1:5" x14ac:dyDescent="0.2">
      <c r="A1130" s="1">
        <v>43264</v>
      </c>
      <c r="B1130">
        <v>52200.03</v>
      </c>
      <c r="C1130" s="6">
        <f t="shared" si="51"/>
        <v>5.5831782953102141E-3</v>
      </c>
      <c r="D1130" s="7">
        <f t="shared" si="52"/>
        <v>0.46190073430279593</v>
      </c>
      <c r="E1130" s="8">
        <f t="shared" si="53"/>
        <v>-0.90778756121334903</v>
      </c>
    </row>
    <row r="1131" spans="1:5" x14ac:dyDescent="0.2">
      <c r="A1131" s="1">
        <v>43265</v>
      </c>
      <c r="B1131">
        <v>52178.239999999998</v>
      </c>
      <c r="C1131" s="6">
        <f t="shared" si="51"/>
        <v>-4.1751985957500795E-4</v>
      </c>
      <c r="D1131" s="7">
        <f t="shared" si="52"/>
        <v>-5.5896529760676661E-2</v>
      </c>
      <c r="E1131" s="8">
        <f t="shared" si="53"/>
        <v>-0.68942947383226083</v>
      </c>
    </row>
    <row r="1132" spans="1:5" x14ac:dyDescent="0.2">
      <c r="A1132" s="1">
        <v>43266</v>
      </c>
      <c r="B1132">
        <v>51327.7</v>
      </c>
      <c r="C1132" s="6">
        <f t="shared" si="51"/>
        <v>-1.6434982277620292E-2</v>
      </c>
      <c r="D1132" s="7">
        <f t="shared" si="52"/>
        <v>-1.4380354081429005</v>
      </c>
      <c r="E1132" s="8">
        <f t="shared" si="53"/>
        <v>-2.3286157860390508</v>
      </c>
    </row>
    <row r="1133" spans="1:5" x14ac:dyDescent="0.2">
      <c r="A1133" s="1">
        <v>43269</v>
      </c>
      <c r="B1133">
        <v>51004.93</v>
      </c>
      <c r="C1133" s="6">
        <f t="shared" si="51"/>
        <v>-6.3082727448049323E-3</v>
      </c>
      <c r="D1133" s="7">
        <f t="shared" si="52"/>
        <v>-0.56420667110028955</v>
      </c>
      <c r="E1133" s="8">
        <f t="shared" si="53"/>
        <v>-1.0107418655882126</v>
      </c>
    </row>
    <row r="1134" spans="1:5" x14ac:dyDescent="0.2">
      <c r="A1134" s="1">
        <v>43270</v>
      </c>
      <c r="B1134">
        <v>50020.4</v>
      </c>
      <c r="C1134" s="6">
        <f t="shared" si="51"/>
        <v>-1.9491372500293064E-2</v>
      </c>
      <c r="D1134" s="7">
        <f t="shared" si="52"/>
        <v>-1.7017698027686172</v>
      </c>
      <c r="E1134" s="8">
        <f t="shared" si="53"/>
        <v>-2.7860581244845077</v>
      </c>
    </row>
    <row r="1135" spans="1:5" x14ac:dyDescent="0.2">
      <c r="A1135" s="1">
        <v>43271</v>
      </c>
      <c r="B1135">
        <v>50396.44</v>
      </c>
      <c r="C1135" s="6">
        <f t="shared" si="51"/>
        <v>7.4896154431464022E-3</v>
      </c>
      <c r="D1135" s="7">
        <f t="shared" si="52"/>
        <v>0.62640624912441745</v>
      </c>
      <c r="E1135" s="8">
        <f t="shared" si="53"/>
        <v>-1.0811504452803984</v>
      </c>
    </row>
    <row r="1136" spans="1:5" x14ac:dyDescent="0.2">
      <c r="A1136" s="1">
        <v>43272</v>
      </c>
      <c r="B1136">
        <v>50023.54</v>
      </c>
      <c r="C1136" s="6">
        <f t="shared" si="51"/>
        <v>-7.4268430253261082E-3</v>
      </c>
      <c r="D1136" s="7">
        <f t="shared" si="52"/>
        <v>-0.6607275451664264</v>
      </c>
      <c r="E1136" s="8">
        <f t="shared" si="53"/>
        <v>-1.1223199916116338</v>
      </c>
    </row>
    <row r="1137" spans="1:5" x14ac:dyDescent="0.2">
      <c r="A1137" s="1">
        <v>43273</v>
      </c>
      <c r="B1137">
        <v>50623.1</v>
      </c>
      <c r="C1137" s="6">
        <f t="shared" si="51"/>
        <v>1.1914299221606629E-2</v>
      </c>
      <c r="D1137" s="7">
        <f t="shared" si="52"/>
        <v>1.0082100152357887</v>
      </c>
      <c r="E1137" s="8">
        <f t="shared" si="53"/>
        <v>-1.6130026644856945</v>
      </c>
    </row>
    <row r="1138" spans="1:5" x14ac:dyDescent="0.2">
      <c r="A1138" s="1">
        <v>43276</v>
      </c>
      <c r="B1138">
        <v>49707.7</v>
      </c>
      <c r="C1138" s="6">
        <f t="shared" si="51"/>
        <v>-1.8248143178504848E-2</v>
      </c>
      <c r="D1138" s="7">
        <f t="shared" si="52"/>
        <v>-1.5944921619325505</v>
      </c>
      <c r="E1138" s="8">
        <f t="shared" si="53"/>
        <v>-2.5998103704527766</v>
      </c>
    </row>
    <row r="1139" spans="1:5" x14ac:dyDescent="0.2">
      <c r="A1139" s="1">
        <v>43277</v>
      </c>
      <c r="B1139">
        <v>49138.59</v>
      </c>
      <c r="C1139" s="6">
        <f t="shared" si="51"/>
        <v>-1.1515177527027964E-2</v>
      </c>
      <c r="D1139" s="7">
        <f t="shared" si="52"/>
        <v>-1.0135078992047495</v>
      </c>
      <c r="E1139" s="8">
        <f t="shared" si="53"/>
        <v>-1.6213004931172621</v>
      </c>
    </row>
    <row r="1140" spans="1:5" x14ac:dyDescent="0.2">
      <c r="A1140" s="1">
        <v>43278</v>
      </c>
      <c r="B1140">
        <v>49329.599999999999</v>
      </c>
      <c r="C1140" s="6">
        <f t="shared" si="51"/>
        <v>3.8796334041088652E-3</v>
      </c>
      <c r="D1140" s="7">
        <f t="shared" si="52"/>
        <v>0.31490269155751194</v>
      </c>
      <c r="E1140" s="8">
        <f t="shared" si="53"/>
        <v>-0.79130800488878172</v>
      </c>
    </row>
    <row r="1141" spans="1:5" x14ac:dyDescent="0.2">
      <c r="A1141" s="1">
        <v>43279</v>
      </c>
      <c r="B1141">
        <v>49776.92</v>
      </c>
      <c r="C1141" s="6">
        <f t="shared" si="51"/>
        <v>9.0271162306522126E-3</v>
      </c>
      <c r="D1141" s="7">
        <f t="shared" si="52"/>
        <v>0.75907642861308577</v>
      </c>
      <c r="E1141" s="8">
        <f t="shared" si="53"/>
        <v>-1.2485950871818434</v>
      </c>
    </row>
    <row r="1142" spans="1:5" x14ac:dyDescent="0.2">
      <c r="A1142" s="1">
        <v>43280</v>
      </c>
      <c r="B1142">
        <v>51516.06</v>
      </c>
      <c r="C1142" s="6">
        <f t="shared" si="51"/>
        <v>3.434218092901125E-2</v>
      </c>
      <c r="D1142" s="7">
        <f t="shared" si="52"/>
        <v>2.9435007909231126</v>
      </c>
      <c r="E1142" s="8">
        <f t="shared" si="53"/>
        <v>-4.7932472874211616</v>
      </c>
    </row>
    <row r="1143" spans="1:5" x14ac:dyDescent="0.2">
      <c r="A1143" s="1">
        <v>43283</v>
      </c>
      <c r="B1143">
        <v>50979.87</v>
      </c>
      <c r="C1143" s="6">
        <f t="shared" si="51"/>
        <v>-1.0462754791342295E-2</v>
      </c>
      <c r="D1143" s="7">
        <f t="shared" si="52"/>
        <v>-0.92269486393607958</v>
      </c>
      <c r="E1143" s="8">
        <f t="shared" si="53"/>
        <v>-1.4818547123877801</v>
      </c>
    </row>
    <row r="1144" spans="1:5" x14ac:dyDescent="0.2">
      <c r="A1144" s="1">
        <v>43284</v>
      </c>
      <c r="B1144">
        <v>51286.82</v>
      </c>
      <c r="C1144" s="6">
        <f t="shared" si="51"/>
        <v>6.0029501640311966E-3</v>
      </c>
      <c r="D1144" s="7">
        <f t="shared" si="52"/>
        <v>0.49812264041176824</v>
      </c>
      <c r="E1144" s="8">
        <f t="shared" si="53"/>
        <v>-0.94231409553578482</v>
      </c>
    </row>
    <row r="1145" spans="1:5" x14ac:dyDescent="0.2">
      <c r="A1145" s="1">
        <v>43285</v>
      </c>
      <c r="B1145">
        <v>51374.29</v>
      </c>
      <c r="C1145" s="6">
        <f t="shared" si="51"/>
        <v>1.7040536804301381E-3</v>
      </c>
      <c r="D1145" s="7">
        <f t="shared" si="52"/>
        <v>0.1271729975125433</v>
      </c>
      <c r="E1145" s="8">
        <f t="shared" si="53"/>
        <v>-0.70349176962396187</v>
      </c>
    </row>
    <row r="1146" spans="1:5" x14ac:dyDescent="0.2">
      <c r="A1146" s="1">
        <v>43286</v>
      </c>
      <c r="B1146">
        <v>51193.98</v>
      </c>
      <c r="C1146" s="6">
        <f t="shared" si="51"/>
        <v>-3.5159057619515658E-3</v>
      </c>
      <c r="D1146" s="7">
        <f t="shared" si="52"/>
        <v>-0.32325471073455403</v>
      </c>
      <c r="E1146" s="8">
        <f t="shared" si="53"/>
        <v>-0.79685444107899794</v>
      </c>
    </row>
    <row r="1147" spans="1:5" x14ac:dyDescent="0.2">
      <c r="A1147" s="1">
        <v>43287</v>
      </c>
      <c r="B1147">
        <v>51122.67</v>
      </c>
      <c r="C1147" s="6">
        <f t="shared" si="51"/>
        <v>-1.3939082553263143E-3</v>
      </c>
      <c r="D1147" s="7">
        <f t="shared" si="52"/>
        <v>-0.14014859959221107</v>
      </c>
      <c r="E1147" s="8">
        <f t="shared" si="53"/>
        <v>-0.70721801236530679</v>
      </c>
    </row>
    <row r="1148" spans="1:5" x14ac:dyDescent="0.2">
      <c r="A1148" s="1">
        <v>43290</v>
      </c>
      <c r="B1148">
        <v>51992.92</v>
      </c>
      <c r="C1148" s="6">
        <f t="shared" si="51"/>
        <v>1.6879516713210908E-2</v>
      </c>
      <c r="D1148" s="7">
        <f t="shared" si="52"/>
        <v>1.4366561670455975</v>
      </c>
      <c r="E1148" s="8">
        <f t="shared" si="53"/>
        <v>-2.3262346594995491</v>
      </c>
    </row>
    <row r="1149" spans="1:5" x14ac:dyDescent="0.2">
      <c r="A1149" s="1">
        <v>43291</v>
      </c>
      <c r="B1149">
        <v>51795.51</v>
      </c>
      <c r="C1149" s="6">
        <f t="shared" si="51"/>
        <v>-3.80408949362735E-3</v>
      </c>
      <c r="D1149" s="7">
        <f t="shared" si="52"/>
        <v>-0.34812194183962819</v>
      </c>
      <c r="E1149" s="8">
        <f t="shared" si="53"/>
        <v>-0.81415694520383042</v>
      </c>
    </row>
    <row r="1150" spans="1:5" x14ac:dyDescent="0.2">
      <c r="A1150" s="1">
        <v>43292</v>
      </c>
      <c r="B1150">
        <v>51044.56</v>
      </c>
      <c r="C1150" s="6">
        <f t="shared" si="51"/>
        <v>-1.4604489233276714E-2</v>
      </c>
      <c r="D1150" s="7">
        <f t="shared" si="52"/>
        <v>-1.2800830723006638</v>
      </c>
      <c r="E1150" s="8">
        <f t="shared" si="53"/>
        <v>-2.0581934268195075</v>
      </c>
    </row>
    <row r="1151" spans="1:5" x14ac:dyDescent="0.2">
      <c r="A1151" s="1">
        <v>43293</v>
      </c>
      <c r="B1151">
        <v>50672.38</v>
      </c>
      <c r="C1151" s="6">
        <f t="shared" si="51"/>
        <v>-7.3179877598185707E-3</v>
      </c>
      <c r="D1151" s="7">
        <f t="shared" si="52"/>
        <v>-0.65133447835922187</v>
      </c>
      <c r="E1151" s="8">
        <f t="shared" si="53"/>
        <v>-1.1108954586614943</v>
      </c>
    </row>
    <row r="1152" spans="1:5" x14ac:dyDescent="0.2">
      <c r="A1152" s="1">
        <v>43294</v>
      </c>
      <c r="B1152">
        <v>50244.08</v>
      </c>
      <c r="C1152" s="6">
        <f t="shared" si="51"/>
        <v>-8.4882599251173765E-3</v>
      </c>
      <c r="D1152" s="7">
        <f t="shared" si="52"/>
        <v>-0.75231668238960403</v>
      </c>
      <c r="E1152" s="8">
        <f t="shared" si="53"/>
        <v>-1.23954738329268</v>
      </c>
    </row>
    <row r="1153" spans="1:5" x14ac:dyDescent="0.2">
      <c r="A1153" s="1">
        <v>43297</v>
      </c>
      <c r="B1153">
        <v>49338.95</v>
      </c>
      <c r="C1153" s="6">
        <f t="shared" si="51"/>
        <v>-1.8178899086873566E-2</v>
      </c>
      <c r="D1153" s="7">
        <f t="shared" si="52"/>
        <v>-1.5885171236497053</v>
      </c>
      <c r="E1153" s="8">
        <f t="shared" si="53"/>
        <v>-2.5894320611586652</v>
      </c>
    </row>
    <row r="1154" spans="1:5" x14ac:dyDescent="0.2">
      <c r="A1154" s="1">
        <v>43298</v>
      </c>
      <c r="B1154">
        <v>49995.66</v>
      </c>
      <c r="C1154" s="6">
        <f t="shared" si="51"/>
        <v>1.3222371694024777E-2</v>
      </c>
      <c r="D1154" s="7">
        <f t="shared" si="52"/>
        <v>1.1210829393410362</v>
      </c>
      <c r="E1154" s="8">
        <f t="shared" si="53"/>
        <v>-1.7935057934506025</v>
      </c>
    </row>
    <row r="1155" spans="1:5" x14ac:dyDescent="0.2">
      <c r="A1155" s="1">
        <v>43299</v>
      </c>
      <c r="B1155">
        <v>50168.74</v>
      </c>
      <c r="C1155" s="6">
        <f t="shared" ref="C1155:C1218" si="54">LN(B1155/B1154)</f>
        <v>3.4559219096513397E-3</v>
      </c>
      <c r="D1155" s="7">
        <f t="shared" ref="D1155:D1218" si="55">(C1155-$G$4)/$G$5</f>
        <v>0.27834083710000362</v>
      </c>
      <c r="E1155" s="8">
        <f t="shared" ref="E1155:E1218" si="56">LN((PI()*(G$3-2))^(-1/2)*EXP(GAMMALN((G$3+1)/2))*((1+D1155^2/(G$3-2))^(-(G$3+1)/2))/EXP(GAMMALN(G$3/2)))</f>
        <v>-0.76862227693716589</v>
      </c>
    </row>
    <row r="1156" spans="1:5" x14ac:dyDescent="0.2">
      <c r="A1156" s="1">
        <v>43300</v>
      </c>
      <c r="B1156">
        <v>50199.7</v>
      </c>
      <c r="C1156" s="6">
        <f t="shared" si="54"/>
        <v>6.1692701374944198E-4</v>
      </c>
      <c r="D1156" s="7">
        <f t="shared" si="55"/>
        <v>3.3365377270982564E-2</v>
      </c>
      <c r="E1156" s="8">
        <f t="shared" si="56"/>
        <v>-0.68725573180063226</v>
      </c>
    </row>
    <row r="1157" spans="1:5" x14ac:dyDescent="0.2">
      <c r="A1157" s="1">
        <v>43301</v>
      </c>
      <c r="B1157">
        <v>50904.2</v>
      </c>
      <c r="C1157" s="6">
        <f t="shared" si="54"/>
        <v>1.3936384302888584E-2</v>
      </c>
      <c r="D1157" s="7">
        <f t="shared" si="55"/>
        <v>1.1826947328080204</v>
      </c>
      <c r="E1157" s="8">
        <f t="shared" si="56"/>
        <v>-1.8948671688357022</v>
      </c>
    </row>
    <row r="1158" spans="1:5" x14ac:dyDescent="0.2">
      <c r="A1158" s="1">
        <v>43304</v>
      </c>
      <c r="B1158">
        <v>50481.32</v>
      </c>
      <c r="C1158" s="6">
        <f t="shared" si="54"/>
        <v>-8.3420680261292249E-3</v>
      </c>
      <c r="D1158" s="7">
        <f t="shared" si="55"/>
        <v>-0.73970185601932881</v>
      </c>
      <c r="E1158" s="8">
        <f t="shared" si="56"/>
        <v>-1.2228020580107213</v>
      </c>
    </row>
    <row r="1159" spans="1:5" x14ac:dyDescent="0.2">
      <c r="A1159" s="1">
        <v>43305</v>
      </c>
      <c r="B1159">
        <v>50989.64</v>
      </c>
      <c r="C1159" s="6">
        <f t="shared" si="54"/>
        <v>1.0019107973288739E-2</v>
      </c>
      <c r="D1159" s="7">
        <f t="shared" si="55"/>
        <v>0.84467490349930918</v>
      </c>
      <c r="E1159" s="8">
        <f t="shared" si="56"/>
        <v>-1.3674035228506276</v>
      </c>
    </row>
    <row r="1160" spans="1:5" x14ac:dyDescent="0.2">
      <c r="A1160" s="1">
        <v>43306</v>
      </c>
      <c r="B1160">
        <v>50321.55</v>
      </c>
      <c r="C1160" s="6">
        <f t="shared" si="54"/>
        <v>-1.3189060054785092E-2</v>
      </c>
      <c r="D1160" s="7">
        <f t="shared" si="55"/>
        <v>-1.1579463913376484</v>
      </c>
      <c r="E1160" s="8">
        <f t="shared" si="56"/>
        <v>-1.8539445125902485</v>
      </c>
    </row>
    <row r="1161" spans="1:5" x14ac:dyDescent="0.2">
      <c r="A1161" s="1">
        <v>43307</v>
      </c>
      <c r="B1161">
        <v>50703.73</v>
      </c>
      <c r="C1161" s="6">
        <f t="shared" si="54"/>
        <v>7.5660631312483313E-3</v>
      </c>
      <c r="D1161" s="7">
        <f t="shared" si="55"/>
        <v>0.63300288216967915</v>
      </c>
      <c r="E1161" s="8">
        <f t="shared" si="56"/>
        <v>-1.0889394214304491</v>
      </c>
    </row>
    <row r="1162" spans="1:5" x14ac:dyDescent="0.2">
      <c r="A1162" s="1">
        <v>43308</v>
      </c>
      <c r="B1162">
        <v>51126.9</v>
      </c>
      <c r="C1162" s="6">
        <f t="shared" si="54"/>
        <v>8.3112995758690602E-3</v>
      </c>
      <c r="D1162" s="7">
        <f t="shared" si="55"/>
        <v>0.69730896491954275</v>
      </c>
      <c r="E1162" s="8">
        <f t="shared" si="56"/>
        <v>-1.1679033217952843</v>
      </c>
    </row>
    <row r="1163" spans="1:5" x14ac:dyDescent="0.2">
      <c r="A1163" s="1">
        <v>43311</v>
      </c>
      <c r="B1163">
        <v>51227.68</v>
      </c>
      <c r="C1163" s="6">
        <f t="shared" si="54"/>
        <v>1.9692334738265495E-3</v>
      </c>
      <c r="D1163" s="7">
        <f t="shared" si="55"/>
        <v>0.15005523020638309</v>
      </c>
      <c r="E1163" s="8">
        <f t="shared" si="56"/>
        <v>-0.71030268061072288</v>
      </c>
    </row>
    <row r="1164" spans="1:5" x14ac:dyDescent="0.2">
      <c r="A1164" s="1">
        <v>43312</v>
      </c>
      <c r="B1164">
        <v>51315</v>
      </c>
      <c r="C1164" s="6">
        <f t="shared" si="54"/>
        <v>1.7030961372616923E-3</v>
      </c>
      <c r="D1164" s="7">
        <f t="shared" si="55"/>
        <v>0.12709037158801814</v>
      </c>
      <c r="E1164" s="8">
        <f t="shared" si="56"/>
        <v>-0.70346918558639593</v>
      </c>
    </row>
    <row r="1165" spans="1:5" x14ac:dyDescent="0.2">
      <c r="A1165" s="1">
        <v>43313</v>
      </c>
      <c r="B1165">
        <v>51276.97</v>
      </c>
      <c r="C1165" s="6">
        <f t="shared" si="54"/>
        <v>-7.4138359448463705E-4</v>
      </c>
      <c r="D1165" s="7">
        <f t="shared" si="55"/>
        <v>-8.3842570627448321E-2</v>
      </c>
      <c r="E1165" s="8">
        <f t="shared" si="56"/>
        <v>-0.69364546015059525</v>
      </c>
    </row>
    <row r="1166" spans="1:5" x14ac:dyDescent="0.2">
      <c r="A1166" s="1">
        <v>43314</v>
      </c>
      <c r="B1166">
        <v>50340.480000000003</v>
      </c>
      <c r="C1166" s="6">
        <f t="shared" si="54"/>
        <v>-1.8432198680576654E-2</v>
      </c>
      <c r="D1166" s="7">
        <f t="shared" si="55"/>
        <v>-1.6103742198112696</v>
      </c>
      <c r="E1166" s="8">
        <f t="shared" si="56"/>
        <v>-2.627397566005544</v>
      </c>
    </row>
    <row r="1167" spans="1:5" x14ac:dyDescent="0.2">
      <c r="A1167" s="1">
        <v>43315</v>
      </c>
      <c r="B1167">
        <v>50988.46</v>
      </c>
      <c r="C1167" s="6">
        <f t="shared" si="54"/>
        <v>1.2789807787966099E-2</v>
      </c>
      <c r="D1167" s="7">
        <f t="shared" si="55"/>
        <v>1.0837572146822401</v>
      </c>
      <c r="E1167" s="8">
        <f t="shared" si="56"/>
        <v>-1.7330037565225069</v>
      </c>
    </row>
    <row r="1168" spans="1:5" x14ac:dyDescent="0.2">
      <c r="A1168" s="1">
        <v>43318</v>
      </c>
      <c r="B1168">
        <v>50784.44</v>
      </c>
      <c r="C1168" s="6">
        <f t="shared" si="54"/>
        <v>-4.0093241579296692E-3</v>
      </c>
      <c r="D1168" s="7">
        <f t="shared" si="55"/>
        <v>-0.36583153911044086</v>
      </c>
      <c r="E1168" s="8">
        <f t="shared" si="56"/>
        <v>-0.82718959082341537</v>
      </c>
    </row>
    <row r="1169" spans="1:5" x14ac:dyDescent="0.2">
      <c r="A1169" s="1">
        <v>43319</v>
      </c>
      <c r="B1169">
        <v>51578.06</v>
      </c>
      <c r="C1169" s="6">
        <f t="shared" si="54"/>
        <v>1.5506379815899569E-2</v>
      </c>
      <c r="D1169" s="7">
        <f t="shared" si="55"/>
        <v>1.3181688660248687</v>
      </c>
      <c r="E1169" s="8">
        <f t="shared" si="56"/>
        <v>-2.1228881426971062</v>
      </c>
    </row>
    <row r="1170" spans="1:5" x14ac:dyDescent="0.2">
      <c r="A1170" s="1">
        <v>43320</v>
      </c>
      <c r="B1170">
        <v>51615.86</v>
      </c>
      <c r="C1170" s="6">
        <f t="shared" si="54"/>
        <v>7.3260133330756985E-4</v>
      </c>
      <c r="D1170" s="7">
        <f t="shared" si="55"/>
        <v>4.3346856866126125E-2</v>
      </c>
      <c r="E1170" s="8">
        <f t="shared" si="56"/>
        <v>-0.6880835267681088</v>
      </c>
    </row>
    <row r="1171" spans="1:5" x14ac:dyDescent="0.2">
      <c r="A1171" s="1">
        <v>43322</v>
      </c>
      <c r="B1171">
        <v>51577.23</v>
      </c>
      <c r="C1171" s="6">
        <f t="shared" si="54"/>
        <v>-7.4869357637179603E-4</v>
      </c>
      <c r="D1171" s="7">
        <f t="shared" si="55"/>
        <v>-8.4473345334628511E-2</v>
      </c>
      <c r="E1171" s="8">
        <f t="shared" si="56"/>
        <v>-0.69375999122190157</v>
      </c>
    </row>
    <row r="1172" spans="1:5" x14ac:dyDescent="0.2">
      <c r="A1172" s="1">
        <v>43325</v>
      </c>
      <c r="B1172">
        <v>51821.39</v>
      </c>
      <c r="C1172" s="6">
        <f t="shared" si="54"/>
        <v>4.7227023689523362E-3</v>
      </c>
      <c r="D1172" s="7">
        <f t="shared" si="55"/>
        <v>0.38765069389743684</v>
      </c>
      <c r="E1172" s="8">
        <f t="shared" si="56"/>
        <v>-0.84404494405165686</v>
      </c>
    </row>
    <row r="1173" spans="1:5" x14ac:dyDescent="0.2">
      <c r="A1173" s="1">
        <v>43326</v>
      </c>
      <c r="B1173">
        <v>51551.75</v>
      </c>
      <c r="C1173" s="6">
        <f t="shared" si="54"/>
        <v>-5.2168408840131417E-3</v>
      </c>
      <c r="D1173" s="7">
        <f t="shared" si="55"/>
        <v>-0.47002755779668037</v>
      </c>
      <c r="E1173" s="8">
        <f t="shared" si="56"/>
        <v>-0.91534379696603085</v>
      </c>
    </row>
    <row r="1174" spans="1:5" x14ac:dyDescent="0.2">
      <c r="A1174" s="1">
        <v>43327</v>
      </c>
      <c r="B1174">
        <v>49615.06</v>
      </c>
      <c r="C1174" s="6">
        <f t="shared" si="54"/>
        <v>-3.8291740833254075E-2</v>
      </c>
      <c r="D1174" s="7">
        <f t="shared" si="55"/>
        <v>-3.324044250662249</v>
      </c>
      <c r="E1174" s="8">
        <f t="shared" si="56"/>
        <v>-5.3298765693652479</v>
      </c>
    </row>
    <row r="1175" spans="1:5" x14ac:dyDescent="0.2">
      <c r="A1175" s="1">
        <v>43328</v>
      </c>
      <c r="B1175">
        <v>50506.38</v>
      </c>
      <c r="C1175" s="6">
        <f t="shared" si="54"/>
        <v>1.7805248258003347E-2</v>
      </c>
      <c r="D1175" s="7">
        <f t="shared" si="55"/>
        <v>1.5165370823621829</v>
      </c>
      <c r="E1175" s="8">
        <f t="shared" si="56"/>
        <v>-2.464484306778016</v>
      </c>
    </row>
    <row r="1176" spans="1:5" x14ac:dyDescent="0.2">
      <c r="A1176" s="1">
        <v>43329</v>
      </c>
      <c r="B1176">
        <v>50601.89</v>
      </c>
      <c r="C1176" s="6">
        <f t="shared" si="54"/>
        <v>1.8892624393386341E-3</v>
      </c>
      <c r="D1176" s="7">
        <f t="shared" si="55"/>
        <v>0.14315456935103629</v>
      </c>
      <c r="E1176" s="8">
        <f t="shared" si="56"/>
        <v>-0.70813209276123623</v>
      </c>
    </row>
    <row r="1177" spans="1:5" x14ac:dyDescent="0.2">
      <c r="A1177" s="1">
        <v>43332</v>
      </c>
      <c r="B1177">
        <v>51101.53</v>
      </c>
      <c r="C1177" s="6">
        <f t="shared" si="54"/>
        <v>9.825510678496626E-3</v>
      </c>
      <c r="D1177" s="7">
        <f t="shared" si="55"/>
        <v>0.82796948906485113</v>
      </c>
      <c r="E1177" s="8">
        <f t="shared" si="56"/>
        <v>-1.3436275515850193</v>
      </c>
    </row>
    <row r="1178" spans="1:5" x14ac:dyDescent="0.2">
      <c r="A1178" s="1">
        <v>43333</v>
      </c>
      <c r="B1178">
        <v>51125.84</v>
      </c>
      <c r="C1178" s="6">
        <f t="shared" si="54"/>
        <v>4.7560649282574294E-4</v>
      </c>
      <c r="D1178" s="7">
        <f t="shared" si="55"/>
        <v>2.1170899694945292E-2</v>
      </c>
      <c r="E1178" s="8">
        <f t="shared" si="56"/>
        <v>-0.68653656050313416</v>
      </c>
    </row>
    <row r="1179" spans="1:5" x14ac:dyDescent="0.2">
      <c r="A1179" s="1">
        <v>43334</v>
      </c>
      <c r="B1179">
        <v>52061.61</v>
      </c>
      <c r="C1179" s="6">
        <f t="shared" si="54"/>
        <v>1.8137780397169925E-2</v>
      </c>
      <c r="D1179" s="7">
        <f t="shared" si="55"/>
        <v>1.5452311155278824</v>
      </c>
      <c r="E1179" s="8">
        <f t="shared" si="56"/>
        <v>-2.5142686918668766</v>
      </c>
    </row>
    <row r="1180" spans="1:5" x14ac:dyDescent="0.2">
      <c r="A1180" s="1">
        <v>43335</v>
      </c>
      <c r="B1180">
        <v>52131.76</v>
      </c>
      <c r="C1180" s="6">
        <f t="shared" si="54"/>
        <v>1.3465350165641772E-3</v>
      </c>
      <c r="D1180" s="7">
        <f t="shared" si="55"/>
        <v>9.6322889537904854E-2</v>
      </c>
      <c r="E1180" s="8">
        <f t="shared" si="56"/>
        <v>-0.69607006646196123</v>
      </c>
    </row>
    <row r="1181" spans="1:5" x14ac:dyDescent="0.2">
      <c r="A1181" s="1">
        <v>43336</v>
      </c>
      <c r="B1181">
        <v>52741.71</v>
      </c>
      <c r="C1181" s="6">
        <f t="shared" si="54"/>
        <v>1.1632243648138751E-2</v>
      </c>
      <c r="D1181" s="7">
        <f t="shared" si="55"/>
        <v>0.98387157985946128</v>
      </c>
      <c r="E1181" s="8">
        <f t="shared" si="56"/>
        <v>-1.575129419959004</v>
      </c>
    </row>
    <row r="1182" spans="1:5" x14ac:dyDescent="0.2">
      <c r="A1182" s="1">
        <v>43339</v>
      </c>
      <c r="B1182">
        <v>53554.61</v>
      </c>
      <c r="C1182" s="6">
        <f t="shared" si="54"/>
        <v>1.5295277349148375E-2</v>
      </c>
      <c r="D1182" s="7">
        <f t="shared" si="55"/>
        <v>1.2999529389944731</v>
      </c>
      <c r="E1182" s="8">
        <f t="shared" si="56"/>
        <v>-2.0918961582992406</v>
      </c>
    </row>
    <row r="1183" spans="1:5" x14ac:dyDescent="0.2">
      <c r="A1183" s="1">
        <v>43340</v>
      </c>
      <c r="B1183">
        <v>53883.33</v>
      </c>
      <c r="C1183" s="6">
        <f t="shared" si="54"/>
        <v>6.1192726844237072E-3</v>
      </c>
      <c r="D1183" s="7">
        <f t="shared" si="55"/>
        <v>0.50816005293503841</v>
      </c>
      <c r="E1183" s="8">
        <f t="shared" si="56"/>
        <v>-0.95226314852233795</v>
      </c>
    </row>
    <row r="1184" spans="1:5" x14ac:dyDescent="0.2">
      <c r="A1184" s="1">
        <v>43341</v>
      </c>
      <c r="B1184">
        <v>54030.6</v>
      </c>
      <c r="C1184" s="6">
        <f t="shared" si="54"/>
        <v>2.7293990947310745E-3</v>
      </c>
      <c r="D1184" s="7">
        <f t="shared" si="55"/>
        <v>0.21564954416450663</v>
      </c>
      <c r="E1184" s="8">
        <f t="shared" si="56"/>
        <v>-0.7359086422040032</v>
      </c>
    </row>
    <row r="1185" spans="1:5" x14ac:dyDescent="0.2">
      <c r="A1185" s="1">
        <v>43342</v>
      </c>
      <c r="B1185">
        <v>52650.2</v>
      </c>
      <c r="C1185" s="6">
        <f t="shared" si="54"/>
        <v>-2.5880515492779109E-2</v>
      </c>
      <c r="D1185" s="7">
        <f t="shared" si="55"/>
        <v>-2.2530857789815317</v>
      </c>
      <c r="E1185" s="8">
        <f t="shared" si="56"/>
        <v>-3.7211295221687277</v>
      </c>
    </row>
    <row r="1186" spans="1:5" x14ac:dyDescent="0.2">
      <c r="A1186" s="1">
        <v>43343</v>
      </c>
      <c r="B1186">
        <v>52464.01</v>
      </c>
      <c r="C1186" s="6">
        <f t="shared" si="54"/>
        <v>-3.5426265340681518E-3</v>
      </c>
      <c r="D1186" s="7">
        <f t="shared" si="55"/>
        <v>-0.32556043289196129</v>
      </c>
      <c r="E1186" s="8">
        <f t="shared" si="56"/>
        <v>-0.79840922452875129</v>
      </c>
    </row>
    <row r="1187" spans="1:5" x14ac:dyDescent="0.2">
      <c r="A1187" s="1">
        <v>43346</v>
      </c>
      <c r="B1187">
        <v>52435.45</v>
      </c>
      <c r="C1187" s="6">
        <f t="shared" si="54"/>
        <v>-5.4452140565233839E-4</v>
      </c>
      <c r="D1187" s="7">
        <f t="shared" si="55"/>
        <v>-6.6855430107486485E-2</v>
      </c>
      <c r="E1187" s="8">
        <f t="shared" si="56"/>
        <v>-0.69088249355022735</v>
      </c>
    </row>
    <row r="1188" spans="1:5" x14ac:dyDescent="0.2">
      <c r="A1188" s="1">
        <v>43347</v>
      </c>
      <c r="B1188">
        <v>51691.03</v>
      </c>
      <c r="C1188" s="6">
        <f t="shared" si="54"/>
        <v>-1.4298623809282859E-2</v>
      </c>
      <c r="D1188" s="7">
        <f t="shared" si="55"/>
        <v>-1.2536900967455282</v>
      </c>
      <c r="E1188" s="8">
        <f t="shared" si="56"/>
        <v>-2.0136079644062663</v>
      </c>
    </row>
    <row r="1189" spans="1:5" x14ac:dyDescent="0.2">
      <c r="A1189" s="1">
        <v>43348</v>
      </c>
      <c r="B1189">
        <v>50832.73</v>
      </c>
      <c r="C1189" s="6">
        <f t="shared" si="54"/>
        <v>-1.6743827037769245E-2</v>
      </c>
      <c r="D1189" s="7">
        <f t="shared" si="55"/>
        <v>-1.464685469135433</v>
      </c>
      <c r="E1189" s="8">
        <f t="shared" si="56"/>
        <v>-2.3746709986540524</v>
      </c>
    </row>
    <row r="1190" spans="1:5" x14ac:dyDescent="0.2">
      <c r="A1190" s="1">
        <v>43349</v>
      </c>
      <c r="B1190">
        <v>50893.14</v>
      </c>
      <c r="C1190" s="6">
        <f t="shared" si="54"/>
        <v>1.1877019503764648E-3</v>
      </c>
      <c r="D1190" s="7">
        <f t="shared" si="55"/>
        <v>8.261726312710882E-2</v>
      </c>
      <c r="E1190" s="8">
        <f t="shared" si="56"/>
        <v>-0.69342541871856544</v>
      </c>
    </row>
    <row r="1191" spans="1:5" x14ac:dyDescent="0.2">
      <c r="A1191" s="1">
        <v>43350</v>
      </c>
      <c r="B1191">
        <v>50832.75</v>
      </c>
      <c r="C1191" s="6">
        <f t="shared" si="54"/>
        <v>-1.1873085031611893E-3</v>
      </c>
      <c r="D1191" s="7">
        <f t="shared" si="55"/>
        <v>-0.12232120956756828</v>
      </c>
      <c r="E1191" s="8">
        <f t="shared" si="56"/>
        <v>-0.7021902122988305</v>
      </c>
    </row>
    <row r="1192" spans="1:5" x14ac:dyDescent="0.2">
      <c r="A1192" s="1">
        <v>43353</v>
      </c>
      <c r="B1192">
        <v>50544.69</v>
      </c>
      <c r="C1192" s="6">
        <f t="shared" si="54"/>
        <v>-5.6829364651438492E-3</v>
      </c>
      <c r="D1192" s="7">
        <f t="shared" si="55"/>
        <v>-0.51024671404687028</v>
      </c>
      <c r="E1192" s="8">
        <f t="shared" si="56"/>
        <v>-0.95435184934807726</v>
      </c>
    </row>
    <row r="1193" spans="1:5" x14ac:dyDescent="0.2">
      <c r="A1193" s="1">
        <v>43354</v>
      </c>
      <c r="B1193">
        <v>50042.09</v>
      </c>
      <c r="C1193" s="6">
        <f t="shared" si="54"/>
        <v>-9.9934441252924472E-3</v>
      </c>
      <c r="D1193" s="7">
        <f t="shared" si="55"/>
        <v>-0.88219827960470765</v>
      </c>
      <c r="E1193" s="8">
        <f t="shared" si="56"/>
        <v>-1.4217724237622742</v>
      </c>
    </row>
    <row r="1194" spans="1:5" x14ac:dyDescent="0.2">
      <c r="A1194" s="1">
        <v>43355</v>
      </c>
      <c r="B1194">
        <v>49814.74</v>
      </c>
      <c r="C1194" s="6">
        <f t="shared" si="54"/>
        <v>-4.5535271414948782E-3</v>
      </c>
      <c r="D1194" s="7">
        <f t="shared" si="55"/>
        <v>-0.4127905443314982</v>
      </c>
      <c r="E1194" s="8">
        <f t="shared" si="56"/>
        <v>-0.86453820792696578</v>
      </c>
    </row>
    <row r="1195" spans="1:5" x14ac:dyDescent="0.2">
      <c r="A1195" s="1">
        <v>43356</v>
      </c>
      <c r="B1195">
        <v>49991.17</v>
      </c>
      <c r="C1195" s="6">
        <f t="shared" si="54"/>
        <v>3.5354656607832504E-3</v>
      </c>
      <c r="D1195" s="7">
        <f t="shared" si="55"/>
        <v>0.28520462788673367</v>
      </c>
      <c r="E1195" s="8">
        <f t="shared" si="56"/>
        <v>-0.77268143292916591</v>
      </c>
    </row>
    <row r="1196" spans="1:5" x14ac:dyDescent="0.2">
      <c r="A1196" s="1">
        <v>43357</v>
      </c>
      <c r="B1196">
        <v>50440.98</v>
      </c>
      <c r="C1196" s="6">
        <f t="shared" si="54"/>
        <v>8.9575501000316079E-3</v>
      </c>
      <c r="D1196" s="7">
        <f t="shared" si="55"/>
        <v>0.75307360174576432</v>
      </c>
      <c r="E1196" s="8">
        <f t="shared" si="56"/>
        <v>-1.2405579271230853</v>
      </c>
    </row>
    <row r="1197" spans="1:5" x14ac:dyDescent="0.2">
      <c r="A1197" s="1">
        <v>43360</v>
      </c>
      <c r="B1197">
        <v>50196.92</v>
      </c>
      <c r="C1197" s="6">
        <f t="shared" si="54"/>
        <v>-4.8502696988206888E-3</v>
      </c>
      <c r="D1197" s="7">
        <f t="shared" si="55"/>
        <v>-0.43839631225192138</v>
      </c>
      <c r="E1197" s="8">
        <f t="shared" si="56"/>
        <v>-0.88656601454505901</v>
      </c>
    </row>
    <row r="1198" spans="1:5" x14ac:dyDescent="0.2">
      <c r="A1198" s="1">
        <v>43361</v>
      </c>
      <c r="B1198">
        <v>50219.77</v>
      </c>
      <c r="C1198" s="6">
        <f t="shared" si="54"/>
        <v>4.5510363654469672E-4</v>
      </c>
      <c r="D1198" s="7">
        <f t="shared" si="55"/>
        <v>1.940171840740303E-2</v>
      </c>
      <c r="E1198" s="8">
        <f t="shared" si="56"/>
        <v>-0.68645892666397268</v>
      </c>
    </row>
    <row r="1199" spans="1:5" x14ac:dyDescent="0.2">
      <c r="A1199" s="1">
        <v>43362</v>
      </c>
      <c r="B1199">
        <v>50272.01</v>
      </c>
      <c r="C1199" s="6">
        <f t="shared" si="54"/>
        <v>1.0396871207922146E-3</v>
      </c>
      <c r="D1199" s="7">
        <f t="shared" si="55"/>
        <v>6.9845136980895117E-2</v>
      </c>
      <c r="E1199" s="8">
        <f t="shared" si="56"/>
        <v>-0.69132378707223541</v>
      </c>
    </row>
    <row r="1200" spans="1:5" x14ac:dyDescent="0.2">
      <c r="A1200" s="1">
        <v>43363</v>
      </c>
      <c r="B1200">
        <v>50397.19</v>
      </c>
      <c r="C1200" s="6">
        <f t="shared" si="54"/>
        <v>2.4869585636810893E-3</v>
      </c>
      <c r="D1200" s="7">
        <f t="shared" si="55"/>
        <v>0.19472947112707539</v>
      </c>
      <c r="E1200" s="8">
        <f t="shared" si="56"/>
        <v>-0.72677146955289484</v>
      </c>
    </row>
    <row r="1201" spans="1:5" x14ac:dyDescent="0.2">
      <c r="A1201" s="1">
        <v>43364</v>
      </c>
      <c r="B1201">
        <v>50987.15</v>
      </c>
      <c r="C1201" s="6">
        <f t="shared" si="54"/>
        <v>1.1638220637802059E-2</v>
      </c>
      <c r="D1201" s="7">
        <f t="shared" si="55"/>
        <v>0.98438733132955925</v>
      </c>
      <c r="E1201" s="8">
        <f t="shared" si="56"/>
        <v>-1.575927681271047</v>
      </c>
    </row>
    <row r="1202" spans="1:5" x14ac:dyDescent="0.2">
      <c r="A1202" s="1">
        <v>43368</v>
      </c>
      <c r="B1202">
        <v>50659.46</v>
      </c>
      <c r="C1202" s="6">
        <f t="shared" si="54"/>
        <v>-6.4476549731183105E-3</v>
      </c>
      <c r="D1202" s="7">
        <f t="shared" si="55"/>
        <v>-0.5762338943694657</v>
      </c>
      <c r="E1202" s="8">
        <f t="shared" si="56"/>
        <v>-1.0239175241717875</v>
      </c>
    </row>
    <row r="1203" spans="1:5" x14ac:dyDescent="0.2">
      <c r="A1203" s="1">
        <v>43369</v>
      </c>
      <c r="B1203">
        <v>50361.86</v>
      </c>
      <c r="C1203" s="6">
        <f t="shared" si="54"/>
        <v>-5.8918426506797085E-3</v>
      </c>
      <c r="D1203" s="7">
        <f t="shared" si="55"/>
        <v>-0.52827312506178536</v>
      </c>
      <c r="E1203" s="8">
        <f t="shared" si="56"/>
        <v>-0.97268497358442618</v>
      </c>
    </row>
    <row r="1204" spans="1:5" x14ac:dyDescent="0.2">
      <c r="A1204" s="1">
        <v>43370</v>
      </c>
      <c r="B1204">
        <v>49800.78</v>
      </c>
      <c r="C1204" s="6">
        <f t="shared" si="54"/>
        <v>-1.1203496010211136E-2</v>
      </c>
      <c r="D1204" s="7">
        <f t="shared" si="55"/>
        <v>-0.98661305588797321</v>
      </c>
      <c r="E1204" s="8">
        <f t="shared" si="56"/>
        <v>-1.5793747502968429</v>
      </c>
    </row>
    <row r="1205" spans="1:5" x14ac:dyDescent="0.2">
      <c r="A1205" s="1">
        <v>43371</v>
      </c>
      <c r="B1205">
        <v>49520.66</v>
      </c>
      <c r="C1205" s="6">
        <f t="shared" si="54"/>
        <v>-5.6406903227234247E-3</v>
      </c>
      <c r="D1205" s="7">
        <f t="shared" si="55"/>
        <v>-0.50660131539526121</v>
      </c>
      <c r="E1205" s="8">
        <f t="shared" si="56"/>
        <v>-0.95070745629125986</v>
      </c>
    </row>
    <row r="1206" spans="1:5" x14ac:dyDescent="0.2">
      <c r="A1206" s="1">
        <v>43374</v>
      </c>
      <c r="B1206">
        <v>49587.39</v>
      </c>
      <c r="C1206" s="6">
        <f t="shared" si="54"/>
        <v>1.3466113011767963E-3</v>
      </c>
      <c r="D1206" s="7">
        <f t="shared" si="55"/>
        <v>9.6329472099247693E-2</v>
      </c>
      <c r="E1206" s="8">
        <f t="shared" si="56"/>
        <v>-0.69607143332315946</v>
      </c>
    </row>
    <row r="1207" spans="1:5" x14ac:dyDescent="0.2">
      <c r="A1207" s="1">
        <v>43375</v>
      </c>
      <c r="B1207">
        <v>49263.49</v>
      </c>
      <c r="C1207" s="6">
        <f t="shared" si="54"/>
        <v>-6.5533287955854957E-3</v>
      </c>
      <c r="D1207" s="7">
        <f t="shared" si="55"/>
        <v>-0.58535243603650344</v>
      </c>
      <c r="E1207" s="8">
        <f t="shared" si="56"/>
        <v>-1.0340495625719131</v>
      </c>
    </row>
    <row r="1208" spans="1:5" x14ac:dyDescent="0.2">
      <c r="A1208" s="1">
        <v>43376</v>
      </c>
      <c r="B1208">
        <v>48992.63</v>
      </c>
      <c r="C1208" s="6">
        <f t="shared" si="54"/>
        <v>-5.5133601065004119E-3</v>
      </c>
      <c r="D1208" s="7">
        <f t="shared" si="55"/>
        <v>-0.49561405426478566</v>
      </c>
      <c r="E1208" s="8">
        <f t="shared" si="56"/>
        <v>-0.93985312361503914</v>
      </c>
    </row>
    <row r="1209" spans="1:5" x14ac:dyDescent="0.2">
      <c r="A1209" s="1">
        <v>43377</v>
      </c>
      <c r="B1209">
        <v>48908.52</v>
      </c>
      <c r="C1209" s="6">
        <f t="shared" si="54"/>
        <v>-1.7182642020872759E-3</v>
      </c>
      <c r="D1209" s="7">
        <f t="shared" si="55"/>
        <v>-0.16813711317522029</v>
      </c>
      <c r="E1209" s="8">
        <f t="shared" si="56"/>
        <v>-0.71646568856619597</v>
      </c>
    </row>
    <row r="1210" spans="1:5" x14ac:dyDescent="0.2">
      <c r="A1210" s="1">
        <v>43378</v>
      </c>
      <c r="B1210">
        <v>48258.14</v>
      </c>
      <c r="C1210" s="6">
        <f t="shared" si="54"/>
        <v>-1.3387096213655962E-2</v>
      </c>
      <c r="D1210" s="7">
        <f t="shared" si="55"/>
        <v>-1.1750348331492892</v>
      </c>
      <c r="E1210" s="8">
        <f t="shared" si="56"/>
        <v>-1.8821729531866465</v>
      </c>
    </row>
    <row r="1211" spans="1:5" x14ac:dyDescent="0.2">
      <c r="A1211" s="1">
        <v>43381</v>
      </c>
      <c r="B1211">
        <v>48041.88</v>
      </c>
      <c r="C1211" s="6">
        <f t="shared" si="54"/>
        <v>-4.4913877181562119E-3</v>
      </c>
      <c r="D1211" s="7">
        <f t="shared" si="55"/>
        <v>-0.40742856434771096</v>
      </c>
      <c r="E1211" s="8">
        <f t="shared" si="56"/>
        <v>-0.8600721200671142</v>
      </c>
    </row>
    <row r="1212" spans="1:5" x14ac:dyDescent="0.2">
      <c r="A1212" s="1">
        <v>43382</v>
      </c>
      <c r="B1212">
        <v>47970.68</v>
      </c>
      <c r="C1212" s="6">
        <f t="shared" si="54"/>
        <v>-1.4831395611483631E-3</v>
      </c>
      <c r="D1212" s="7">
        <f t="shared" si="55"/>
        <v>-0.14784832466267692</v>
      </c>
      <c r="E1212" s="8">
        <f t="shared" si="56"/>
        <v>-0.70959757599938378</v>
      </c>
    </row>
    <row r="1213" spans="1:5" x14ac:dyDescent="0.2">
      <c r="A1213" s="1">
        <v>43383</v>
      </c>
      <c r="B1213">
        <v>46625.599999999999</v>
      </c>
      <c r="C1213" s="6">
        <f t="shared" si="54"/>
        <v>-2.8440244425984199E-2</v>
      </c>
      <c r="D1213" s="7">
        <f t="shared" si="55"/>
        <v>-2.4739635175624453</v>
      </c>
      <c r="E1213" s="8">
        <f t="shared" si="56"/>
        <v>-4.0777702509286984</v>
      </c>
    </row>
    <row r="1214" spans="1:5" x14ac:dyDescent="0.2">
      <c r="A1214" s="1">
        <v>43384</v>
      </c>
      <c r="B1214">
        <v>46050.35</v>
      </c>
      <c r="C1214" s="6">
        <f t="shared" si="54"/>
        <v>-1.2414383407144068E-2</v>
      </c>
      <c r="D1214" s="7">
        <f t="shared" si="55"/>
        <v>-1.091099928088064</v>
      </c>
      <c r="E1214" s="8">
        <f t="shared" si="56"/>
        <v>-1.7448469347367757</v>
      </c>
    </row>
    <row r="1215" spans="1:5" x14ac:dyDescent="0.2">
      <c r="A1215" s="1">
        <v>43385</v>
      </c>
      <c r="B1215">
        <v>47272.6</v>
      </c>
      <c r="C1215" s="6">
        <f t="shared" si="54"/>
        <v>2.6195483359042607E-2</v>
      </c>
      <c r="D1215" s="7">
        <f t="shared" si="55"/>
        <v>2.2405263029548892</v>
      </c>
      <c r="E1215" s="8">
        <f t="shared" si="56"/>
        <v>-3.7004889194875625</v>
      </c>
    </row>
    <row r="1216" spans="1:5" x14ac:dyDescent="0.2">
      <c r="A1216" s="1">
        <v>43388</v>
      </c>
      <c r="B1216">
        <v>46295.03</v>
      </c>
      <c r="C1216" s="6">
        <f t="shared" si="54"/>
        <v>-2.0896234547840956E-2</v>
      </c>
      <c r="D1216" s="7">
        <f t="shared" si="55"/>
        <v>-1.8229946512497388</v>
      </c>
      <c r="E1216" s="8">
        <f t="shared" si="56"/>
        <v>-2.9956823330987512</v>
      </c>
    </row>
    <row r="1217" spans="1:5" x14ac:dyDescent="0.2">
      <c r="A1217" s="1">
        <v>43389</v>
      </c>
      <c r="B1217">
        <v>47007.19</v>
      </c>
      <c r="C1217" s="6">
        <f t="shared" si="54"/>
        <v>1.526595681546622E-2</v>
      </c>
      <c r="D1217" s="7">
        <f t="shared" si="55"/>
        <v>1.2974228847025169</v>
      </c>
      <c r="E1217" s="8">
        <f t="shared" si="56"/>
        <v>-2.0875985938321522</v>
      </c>
    </row>
    <row r="1218" spans="1:5" x14ac:dyDescent="0.2">
      <c r="A1218" s="1">
        <v>43390</v>
      </c>
      <c r="B1218">
        <v>46163.87</v>
      </c>
      <c r="C1218" s="6">
        <f t="shared" si="54"/>
        <v>-1.8103111226354184E-2</v>
      </c>
      <c r="D1218" s="7">
        <f t="shared" si="55"/>
        <v>-1.581977426798896</v>
      </c>
      <c r="E1218" s="8">
        <f t="shared" si="56"/>
        <v>-2.5780734607019045</v>
      </c>
    </row>
    <row r="1219" spans="1:5" x14ac:dyDescent="0.2">
      <c r="A1219" s="1">
        <v>43391</v>
      </c>
      <c r="B1219">
        <v>45935.95</v>
      </c>
      <c r="C1219" s="6">
        <f t="shared" ref="C1219:C1282" si="57">LN(B1219/B1218)</f>
        <v>-4.9494225998574599E-3</v>
      </c>
      <c r="D1219" s="7">
        <f t="shared" ref="D1219:D1282" si="58">(C1219-$G$4)/$G$5</f>
        <v>-0.44695216684677369</v>
      </c>
      <c r="E1219" s="8">
        <f t="shared" ref="E1219:E1282" si="59">LN((PI()*(G$3-2))^(-1/2)*EXP(GAMMALN((G$3+1)/2))*((1+D1219^2/(G$3-2))^(-(G$3+1)/2))/EXP(GAMMALN(G$3/2)))</f>
        <v>-0.89418118186407802</v>
      </c>
    </row>
    <row r="1220" spans="1:5" x14ac:dyDescent="0.2">
      <c r="A1220" s="1">
        <v>43392</v>
      </c>
      <c r="B1220">
        <v>45895.360000000001</v>
      </c>
      <c r="C1220" s="6">
        <f t="shared" si="57"/>
        <v>-8.8401227518908646E-4</v>
      </c>
      <c r="D1220" s="7">
        <f t="shared" si="58"/>
        <v>-9.6149928661383471E-2</v>
      </c>
      <c r="E1220" s="8">
        <f t="shared" si="59"/>
        <v>-0.69603418456905308</v>
      </c>
    </row>
    <row r="1221" spans="1:5" x14ac:dyDescent="0.2">
      <c r="A1221" s="1">
        <v>43395</v>
      </c>
      <c r="B1221">
        <v>46034.49</v>
      </c>
      <c r="C1221" s="6">
        <f t="shared" si="57"/>
        <v>3.0268755192235843E-3</v>
      </c>
      <c r="D1221" s="7">
        <f t="shared" si="58"/>
        <v>0.24131863711833343</v>
      </c>
      <c r="E1221" s="8">
        <f t="shared" si="59"/>
        <v>-0.74834463101610005</v>
      </c>
    </row>
    <row r="1222" spans="1:5" x14ac:dyDescent="0.2">
      <c r="A1222" s="1">
        <v>43396</v>
      </c>
      <c r="B1222">
        <v>45007.5</v>
      </c>
      <c r="C1222" s="6">
        <f t="shared" si="57"/>
        <v>-2.256175560159367E-2</v>
      </c>
      <c r="D1222" s="7">
        <f t="shared" si="58"/>
        <v>-1.9667116359427912</v>
      </c>
      <c r="E1222" s="8">
        <f t="shared" si="59"/>
        <v>-3.2418933411102224</v>
      </c>
    </row>
    <row r="1223" spans="1:5" x14ac:dyDescent="0.2">
      <c r="A1223" s="1">
        <v>43397</v>
      </c>
      <c r="B1223">
        <v>44669.760000000002</v>
      </c>
      <c r="C1223" s="6">
        <f t="shared" si="57"/>
        <v>-7.5323799334245014E-3</v>
      </c>
      <c r="D1223" s="7">
        <f t="shared" si="58"/>
        <v>-0.6698342725605676</v>
      </c>
      <c r="E1223" s="8">
        <f t="shared" si="59"/>
        <v>-1.1335069947494296</v>
      </c>
    </row>
    <row r="1224" spans="1:5" x14ac:dyDescent="0.2">
      <c r="A1224" s="1">
        <v>43398</v>
      </c>
      <c r="B1224">
        <v>45416.62</v>
      </c>
      <c r="C1224" s="6">
        <f t="shared" si="57"/>
        <v>1.6581354735564099E-2</v>
      </c>
      <c r="D1224" s="7">
        <f t="shared" si="58"/>
        <v>1.4109279180505061</v>
      </c>
      <c r="E1224" s="8">
        <f t="shared" si="59"/>
        <v>-2.2818663659033507</v>
      </c>
    </row>
    <row r="1225" spans="1:5" x14ac:dyDescent="0.2">
      <c r="A1225" s="1">
        <v>43399</v>
      </c>
      <c r="B1225">
        <v>44651.45</v>
      </c>
      <c r="C1225" s="6">
        <f t="shared" si="57"/>
        <v>-1.699133575253586E-2</v>
      </c>
      <c r="D1225" s="7">
        <f t="shared" si="58"/>
        <v>-1.4860428732291022</v>
      </c>
      <c r="E1225" s="8">
        <f t="shared" si="59"/>
        <v>-2.4116360718140744</v>
      </c>
    </row>
    <row r="1226" spans="1:5" x14ac:dyDescent="0.2">
      <c r="A1226" s="1">
        <v>43402</v>
      </c>
      <c r="B1226">
        <v>45109.77</v>
      </c>
      <c r="C1226" s="6">
        <f t="shared" si="57"/>
        <v>1.0212071160312152E-2</v>
      </c>
      <c r="D1226" s="7">
        <f t="shared" si="58"/>
        <v>0.86132560108928025</v>
      </c>
      <c r="E1226" s="8">
        <f t="shared" si="59"/>
        <v>-1.391368240489796</v>
      </c>
    </row>
    <row r="1227" spans="1:5" x14ac:dyDescent="0.2">
      <c r="A1227" s="1">
        <v>43403</v>
      </c>
      <c r="B1227">
        <v>44534.57</v>
      </c>
      <c r="C1227" s="6">
        <f t="shared" si="57"/>
        <v>-1.283311124960727E-2</v>
      </c>
      <c r="D1227" s="7">
        <f t="shared" si="58"/>
        <v>-1.1272317456896765</v>
      </c>
      <c r="E1227" s="8">
        <f t="shared" si="59"/>
        <v>-1.8035415338083929</v>
      </c>
    </row>
    <row r="1228" spans="1:5" x14ac:dyDescent="0.2">
      <c r="A1228" s="1">
        <v>43404</v>
      </c>
      <c r="B1228">
        <v>46141.22</v>
      </c>
      <c r="C1228" s="6">
        <f t="shared" si="57"/>
        <v>3.5440952151807342E-2</v>
      </c>
      <c r="D1228" s="7">
        <f t="shared" si="58"/>
        <v>3.0383132141296212</v>
      </c>
      <c r="E1228" s="8">
        <f t="shared" si="59"/>
        <v>-4.9305207751939264</v>
      </c>
    </row>
    <row r="1229" spans="1:5" x14ac:dyDescent="0.2">
      <c r="A1229" s="1">
        <v>43405</v>
      </c>
      <c r="B1229">
        <v>47256.71</v>
      </c>
      <c r="C1229" s="6">
        <f t="shared" si="57"/>
        <v>2.3887960777457525E-2</v>
      </c>
      <c r="D1229" s="7">
        <f t="shared" si="58"/>
        <v>2.041411325219054</v>
      </c>
      <c r="E1229" s="8">
        <f t="shared" si="59"/>
        <v>-3.3685218603904388</v>
      </c>
    </row>
    <row r="1230" spans="1:5" x14ac:dyDescent="0.2">
      <c r="A1230" s="1">
        <v>43406</v>
      </c>
      <c r="B1230">
        <v>47943.67</v>
      </c>
      <c r="C1230" s="6">
        <f t="shared" si="57"/>
        <v>1.4432125662779781E-2</v>
      </c>
      <c r="D1230" s="7">
        <f t="shared" si="58"/>
        <v>1.2254720085864714</v>
      </c>
      <c r="E1230" s="8">
        <f t="shared" si="59"/>
        <v>-1.9661912426716943</v>
      </c>
    </row>
    <row r="1231" spans="1:5" x14ac:dyDescent="0.2">
      <c r="A1231" s="1">
        <v>43409</v>
      </c>
      <c r="B1231">
        <v>48537.25</v>
      </c>
      <c r="C1231" s="6">
        <f t="shared" si="57"/>
        <v>1.2304764285818282E-2</v>
      </c>
      <c r="D1231" s="7">
        <f t="shared" si="58"/>
        <v>1.0419030517363104</v>
      </c>
      <c r="E1231" s="8">
        <f t="shared" si="59"/>
        <v>-1.6660869983281708</v>
      </c>
    </row>
    <row r="1232" spans="1:5" x14ac:dyDescent="0.2">
      <c r="A1232" s="1">
        <v>43410</v>
      </c>
      <c r="B1232">
        <v>48124.03</v>
      </c>
      <c r="C1232" s="6">
        <f t="shared" si="57"/>
        <v>-8.5499078271516395E-3</v>
      </c>
      <c r="D1232" s="7">
        <f t="shared" si="58"/>
        <v>-0.75763624924410533</v>
      </c>
      <c r="E1232" s="8">
        <f t="shared" si="59"/>
        <v>-1.2466631336945329</v>
      </c>
    </row>
    <row r="1233" spans="1:5" x14ac:dyDescent="0.2">
      <c r="A1233" s="1">
        <v>43411</v>
      </c>
      <c r="B1233">
        <v>48295.92</v>
      </c>
      <c r="C1233" s="6">
        <f t="shared" si="57"/>
        <v>3.5654484802123379E-3</v>
      </c>
      <c r="D1233" s="7">
        <f t="shared" si="58"/>
        <v>0.28779183048692641</v>
      </c>
      <c r="E1233" s="8">
        <f t="shared" si="59"/>
        <v>-0.77423556583451891</v>
      </c>
    </row>
    <row r="1234" spans="1:5" x14ac:dyDescent="0.2">
      <c r="A1234" s="1">
        <v>43412</v>
      </c>
      <c r="B1234">
        <v>47638.53</v>
      </c>
      <c r="C1234" s="6">
        <f t="shared" si="57"/>
        <v>-1.3705197453016748E-2</v>
      </c>
      <c r="D1234" s="7">
        <f t="shared" si="58"/>
        <v>-1.2024836311365903</v>
      </c>
      <c r="E1234" s="8">
        <f t="shared" si="59"/>
        <v>-1.9277734727703781</v>
      </c>
    </row>
    <row r="1235" spans="1:5" x14ac:dyDescent="0.2">
      <c r="A1235" s="1">
        <v>43413</v>
      </c>
      <c r="B1235">
        <v>46897.279999999999</v>
      </c>
      <c r="C1235" s="6">
        <f t="shared" si="57"/>
        <v>-1.568220955304802E-2</v>
      </c>
      <c r="D1235" s="7">
        <f t="shared" si="58"/>
        <v>-1.3730790235382522</v>
      </c>
      <c r="E1235" s="8">
        <f t="shared" si="59"/>
        <v>-2.2167898135780817</v>
      </c>
    </row>
    <row r="1236" spans="1:5" x14ac:dyDescent="0.2">
      <c r="A1236" s="1">
        <v>43416</v>
      </c>
      <c r="B1236">
        <v>45928.24</v>
      </c>
      <c r="C1236" s="6">
        <f t="shared" si="57"/>
        <v>-2.0879499612667773E-2</v>
      </c>
      <c r="D1236" s="7">
        <f t="shared" si="58"/>
        <v>-1.8215506020035859</v>
      </c>
      <c r="E1236" s="8">
        <f t="shared" si="59"/>
        <v>-2.9931939252674531</v>
      </c>
    </row>
    <row r="1237" spans="1:5" x14ac:dyDescent="0.2">
      <c r="A1237" s="1">
        <v>43417</v>
      </c>
      <c r="B1237">
        <v>45833.21</v>
      </c>
      <c r="C1237" s="6">
        <f t="shared" si="57"/>
        <v>-2.071240896335693E-3</v>
      </c>
      <c r="D1237" s="7">
        <f t="shared" si="58"/>
        <v>-0.19859529684693258</v>
      </c>
      <c r="E1237" s="8">
        <f t="shared" si="59"/>
        <v>-0.72839194488419901</v>
      </c>
    </row>
    <row r="1238" spans="1:5" x14ac:dyDescent="0.2">
      <c r="A1238" s="1">
        <v>43418</v>
      </c>
      <c r="B1238">
        <v>45805.4</v>
      </c>
      <c r="C1238" s="6">
        <f t="shared" si="57"/>
        <v>-6.0694942565660585E-4</v>
      </c>
      <c r="D1238" s="7">
        <f t="shared" si="58"/>
        <v>-7.2242312954242119E-2</v>
      </c>
      <c r="E1238" s="8">
        <f t="shared" si="59"/>
        <v>-0.69169151048317301</v>
      </c>
    </row>
    <row r="1239" spans="1:5" x14ac:dyDescent="0.2">
      <c r="A1239" s="1">
        <v>43419</v>
      </c>
      <c r="B1239">
        <v>45929.03</v>
      </c>
      <c r="C1239" s="6">
        <f t="shared" si="57"/>
        <v>2.6953909202686141E-3</v>
      </c>
      <c r="D1239" s="7">
        <f t="shared" si="58"/>
        <v>0.21271499567732446</v>
      </c>
      <c r="E1239" s="8">
        <f t="shared" si="59"/>
        <v>-0.73457262775041332</v>
      </c>
    </row>
    <row r="1240" spans="1:5" x14ac:dyDescent="0.2">
      <c r="A1240" s="1">
        <v>43420</v>
      </c>
      <c r="B1240">
        <v>45851.18</v>
      </c>
      <c r="C1240" s="6">
        <f t="shared" si="57"/>
        <v>-1.69644455314557E-3</v>
      </c>
      <c r="D1240" s="7">
        <f t="shared" si="58"/>
        <v>-0.16625430650285952</v>
      </c>
      <c r="E1240" s="8">
        <f t="shared" si="59"/>
        <v>-0.71579194761220222</v>
      </c>
    </row>
    <row r="1241" spans="1:5" x14ac:dyDescent="0.2">
      <c r="A1241" s="1">
        <v>43423</v>
      </c>
      <c r="B1241">
        <v>46188.84</v>
      </c>
      <c r="C1241" s="6">
        <f t="shared" si="57"/>
        <v>7.3372759989237864E-3</v>
      </c>
      <c r="D1241" s="7">
        <f t="shared" si="58"/>
        <v>0.61326095412850057</v>
      </c>
      <c r="E1241" s="8">
        <f t="shared" si="59"/>
        <v>-1.0658089753500106</v>
      </c>
    </row>
    <row r="1242" spans="1:5" x14ac:dyDescent="0.2">
      <c r="A1242" s="1">
        <v>43424</v>
      </c>
      <c r="B1242">
        <v>44843.58</v>
      </c>
      <c r="C1242" s="6">
        <f t="shared" si="57"/>
        <v>-2.9557776020152336E-2</v>
      </c>
      <c r="D1242" s="7">
        <f t="shared" si="58"/>
        <v>-2.5703947638989511</v>
      </c>
      <c r="E1242" s="8">
        <f t="shared" si="59"/>
        <v>-4.2295364180193946</v>
      </c>
    </row>
    <row r="1243" spans="1:5" x14ac:dyDescent="0.2">
      <c r="A1243" s="1">
        <v>43425</v>
      </c>
      <c r="B1243">
        <v>45132.17</v>
      </c>
      <c r="C1243" s="6">
        <f t="shared" si="57"/>
        <v>6.4148615517695354E-3</v>
      </c>
      <c r="D1243" s="7">
        <f t="shared" si="58"/>
        <v>0.53366626951996821</v>
      </c>
      <c r="E1243" s="8">
        <f t="shared" si="59"/>
        <v>-0.97826958420022547</v>
      </c>
    </row>
    <row r="1244" spans="1:5" x14ac:dyDescent="0.2">
      <c r="A1244" s="1">
        <v>43426</v>
      </c>
      <c r="B1244">
        <v>44996.3</v>
      </c>
      <c r="C1244" s="6">
        <f t="shared" si="57"/>
        <v>-3.0150318301470636E-3</v>
      </c>
      <c r="D1244" s="7">
        <f t="shared" si="58"/>
        <v>-0.28003454787434662</v>
      </c>
      <c r="E1244" s="8">
        <f t="shared" si="59"/>
        <v>-0.76961527179304812</v>
      </c>
    </row>
    <row r="1245" spans="1:5" x14ac:dyDescent="0.2">
      <c r="A1245" s="1">
        <v>43427</v>
      </c>
      <c r="B1245">
        <v>44535.5</v>
      </c>
      <c r="C1245" s="6">
        <f t="shared" si="57"/>
        <v>-1.029364022212295E-2</v>
      </c>
      <c r="D1245" s="7">
        <f t="shared" si="58"/>
        <v>-0.90810205173409264</v>
      </c>
      <c r="E1245" s="8">
        <f t="shared" si="59"/>
        <v>-1.460043308566469</v>
      </c>
    </row>
    <row r="1246" spans="1:5" x14ac:dyDescent="0.2">
      <c r="A1246" s="1">
        <v>43430</v>
      </c>
      <c r="B1246">
        <v>45545.18</v>
      </c>
      <c r="C1246" s="6">
        <f t="shared" si="57"/>
        <v>2.2418176378671807E-2</v>
      </c>
      <c r="D1246" s="7">
        <f t="shared" si="58"/>
        <v>1.9145843592876246</v>
      </c>
      <c r="E1246" s="8">
        <f t="shared" si="59"/>
        <v>-3.1529497151065593</v>
      </c>
    </row>
    <row r="1247" spans="1:5" x14ac:dyDescent="0.2">
      <c r="A1247" s="1">
        <v>43431</v>
      </c>
      <c r="B1247">
        <v>45224.639999999999</v>
      </c>
      <c r="C1247" s="6">
        <f t="shared" si="57"/>
        <v>-7.0627292735431016E-3</v>
      </c>
      <c r="D1247" s="7">
        <f t="shared" si="58"/>
        <v>-0.6293083503302993</v>
      </c>
      <c r="E1247" s="8">
        <f t="shared" si="59"/>
        <v>-1.0845697279490722</v>
      </c>
    </row>
    <row r="1248" spans="1:5" x14ac:dyDescent="0.2">
      <c r="A1248" s="1">
        <v>43432</v>
      </c>
      <c r="B1248">
        <v>45799.08</v>
      </c>
      <c r="C1248" s="6">
        <f t="shared" si="57"/>
        <v>1.2621932531470342E-2</v>
      </c>
      <c r="D1248" s="7">
        <f t="shared" si="58"/>
        <v>1.0692713421597753</v>
      </c>
      <c r="E1248" s="8">
        <f t="shared" si="59"/>
        <v>-1.7097277473443473</v>
      </c>
    </row>
    <row r="1249" spans="1:5" x14ac:dyDescent="0.2">
      <c r="A1249" s="1">
        <v>43433</v>
      </c>
      <c r="B1249">
        <v>45703.17</v>
      </c>
      <c r="C1249" s="6">
        <f t="shared" si="57"/>
        <v>-2.0963426609566915E-3</v>
      </c>
      <c r="D1249" s="7">
        <f t="shared" si="58"/>
        <v>-0.200761315651484</v>
      </c>
      <c r="E1249" s="8">
        <f t="shared" si="59"/>
        <v>-0.72931339976217513</v>
      </c>
    </row>
    <row r="1250" spans="1:5" x14ac:dyDescent="0.2">
      <c r="A1250" s="1">
        <v>43434</v>
      </c>
      <c r="B1250">
        <v>44656.89</v>
      </c>
      <c r="C1250" s="6">
        <f t="shared" si="57"/>
        <v>-2.3159054193252024E-2</v>
      </c>
      <c r="D1250" s="7">
        <f t="shared" si="58"/>
        <v>-2.0182522348209191</v>
      </c>
      <c r="E1250" s="8">
        <f t="shared" si="59"/>
        <v>-3.3293741354146844</v>
      </c>
    </row>
    <row r="1251" spans="1:5" x14ac:dyDescent="0.2">
      <c r="A1251" s="1">
        <v>43437</v>
      </c>
      <c r="B1251">
        <v>46052.36</v>
      </c>
      <c r="C1251" s="6">
        <f t="shared" si="57"/>
        <v>3.0770403302995779E-2</v>
      </c>
      <c r="D1251" s="7">
        <f t="shared" si="58"/>
        <v>2.6352938731850033</v>
      </c>
      <c r="E1251" s="8">
        <f t="shared" si="59"/>
        <v>-4.3302851732599201</v>
      </c>
    </row>
    <row r="1252" spans="1:5" x14ac:dyDescent="0.2">
      <c r="A1252" s="1">
        <v>43438</v>
      </c>
      <c r="B1252">
        <v>46164.85</v>
      </c>
      <c r="C1252" s="6">
        <f t="shared" si="57"/>
        <v>2.4396759736106666E-3</v>
      </c>
      <c r="D1252" s="7">
        <f t="shared" si="58"/>
        <v>0.19064947990865891</v>
      </c>
      <c r="E1252" s="8">
        <f t="shared" si="59"/>
        <v>-0.72509477959763113</v>
      </c>
    </row>
    <row r="1253" spans="1:5" x14ac:dyDescent="0.2">
      <c r="A1253" s="1">
        <v>43439</v>
      </c>
      <c r="B1253">
        <v>45674.91</v>
      </c>
      <c r="C1253" s="6">
        <f t="shared" si="57"/>
        <v>-1.0669554185759956E-2</v>
      </c>
      <c r="D1253" s="7">
        <f t="shared" si="58"/>
        <v>-0.94053948099155882</v>
      </c>
      <c r="E1253" s="8">
        <f t="shared" si="59"/>
        <v>-1.5087629794305637</v>
      </c>
    </row>
    <row r="1254" spans="1:5" x14ac:dyDescent="0.2">
      <c r="A1254" s="1">
        <v>43440</v>
      </c>
      <c r="B1254">
        <v>44778.75</v>
      </c>
      <c r="C1254" s="6">
        <f t="shared" si="57"/>
        <v>-1.9815435285212353E-2</v>
      </c>
      <c r="D1254" s="7">
        <f t="shared" si="58"/>
        <v>-1.7297330195618816</v>
      </c>
      <c r="E1254" s="8">
        <f t="shared" si="59"/>
        <v>-2.8345237938607033</v>
      </c>
    </row>
    <row r="1255" spans="1:5" x14ac:dyDescent="0.2">
      <c r="A1255" s="1">
        <v>43441</v>
      </c>
      <c r="B1255">
        <v>45005.31</v>
      </c>
      <c r="C1255" s="6">
        <f t="shared" si="57"/>
        <v>5.0467862753004111E-3</v>
      </c>
      <c r="D1255" s="7">
        <f t="shared" si="58"/>
        <v>0.41561573324830314</v>
      </c>
      <c r="E1255" s="8">
        <f t="shared" si="59"/>
        <v>-0.86691193408402045</v>
      </c>
    </row>
    <row r="1256" spans="1:5" x14ac:dyDescent="0.2">
      <c r="A1256" s="1">
        <v>43444</v>
      </c>
      <c r="B1256">
        <v>44417.7</v>
      </c>
      <c r="C1256" s="6">
        <f t="shared" si="57"/>
        <v>-1.3142444161300726E-2</v>
      </c>
      <c r="D1256" s="7">
        <f t="shared" si="58"/>
        <v>-1.1539239290365864</v>
      </c>
      <c r="E1256" s="8">
        <f t="shared" si="59"/>
        <v>-1.8473186287770651</v>
      </c>
    </row>
    <row r="1257" spans="1:5" x14ac:dyDescent="0.2">
      <c r="A1257" s="1">
        <v>43445</v>
      </c>
      <c r="B1257">
        <v>45234.33</v>
      </c>
      <c r="C1257" s="6">
        <f t="shared" si="57"/>
        <v>1.8218273180709448E-2</v>
      </c>
      <c r="D1257" s="7">
        <f t="shared" si="58"/>
        <v>1.5521767978498113</v>
      </c>
      <c r="E1257" s="8">
        <f t="shared" si="59"/>
        <v>-2.5263255349233611</v>
      </c>
    </row>
    <row r="1258" spans="1:5" x14ac:dyDescent="0.2">
      <c r="A1258" s="1">
        <v>43446</v>
      </c>
      <c r="B1258">
        <v>45603.19</v>
      </c>
      <c r="C1258" s="6">
        <f t="shared" si="57"/>
        <v>8.1213583855985032E-3</v>
      </c>
      <c r="D1258" s="7">
        <f t="shared" si="58"/>
        <v>0.6809190339287654</v>
      </c>
      <c r="E1258" s="8">
        <f t="shared" si="59"/>
        <v>-1.1472688289382482</v>
      </c>
    </row>
    <row r="1259" spans="1:5" x14ac:dyDescent="0.2">
      <c r="A1259" s="1">
        <v>43447</v>
      </c>
      <c r="B1259">
        <v>45639</v>
      </c>
      <c r="C1259" s="6">
        <f t="shared" si="57"/>
        <v>7.8494393522672969E-4</v>
      </c>
      <c r="D1259" s="7">
        <f t="shared" si="58"/>
        <v>4.7863473994358072E-2</v>
      </c>
      <c r="E1259" s="8">
        <f t="shared" si="59"/>
        <v>-0.68852879470973516</v>
      </c>
    </row>
    <row r="1260" spans="1:5" x14ac:dyDescent="0.2">
      <c r="A1260" s="1">
        <v>43448</v>
      </c>
      <c r="B1260">
        <v>45528.87</v>
      </c>
      <c r="C1260" s="6">
        <f t="shared" si="57"/>
        <v>-2.4159839111928213E-3</v>
      </c>
      <c r="D1260" s="7">
        <f t="shared" si="58"/>
        <v>-0.22834300041250688</v>
      </c>
      <c r="E1260" s="8">
        <f t="shared" si="59"/>
        <v>-0.74189058334291225</v>
      </c>
    </row>
    <row r="1261" spans="1:5" x14ac:dyDescent="0.2">
      <c r="A1261" s="1">
        <v>43452</v>
      </c>
      <c r="B1261">
        <v>45227.16</v>
      </c>
      <c r="C1261" s="6">
        <f t="shared" si="57"/>
        <v>-6.6488389030492957E-3</v>
      </c>
      <c r="D1261" s="7">
        <f t="shared" si="58"/>
        <v>-0.59359395578281871</v>
      </c>
      <c r="E1261" s="8">
        <f t="shared" si="59"/>
        <v>-1.0433117059082011</v>
      </c>
    </row>
    <row r="1262" spans="1:5" x14ac:dyDescent="0.2">
      <c r="A1262" s="1">
        <v>43453</v>
      </c>
      <c r="B1262">
        <v>45537.58</v>
      </c>
      <c r="C1262" s="6">
        <f t="shared" si="57"/>
        <v>6.8401277921311295E-3</v>
      </c>
      <c r="D1262" s="7">
        <f t="shared" si="58"/>
        <v>0.57036228222951002</v>
      </c>
      <c r="E1262" s="8">
        <f t="shared" si="59"/>
        <v>-1.017458311582901</v>
      </c>
    </row>
    <row r="1263" spans="1:5" x14ac:dyDescent="0.2">
      <c r="A1263" s="1">
        <v>43454</v>
      </c>
      <c r="B1263">
        <v>45352.86</v>
      </c>
      <c r="C1263" s="6">
        <f t="shared" si="57"/>
        <v>-4.0646795047472404E-3</v>
      </c>
      <c r="D1263" s="7">
        <f t="shared" si="58"/>
        <v>-0.37060812449994063</v>
      </c>
      <c r="E1263" s="8">
        <f t="shared" si="59"/>
        <v>-0.83080463021131978</v>
      </c>
    </row>
    <row r="1264" spans="1:5" x14ac:dyDescent="0.2">
      <c r="A1264" s="1">
        <v>43455</v>
      </c>
      <c r="B1264">
        <v>45554.400000000001</v>
      </c>
      <c r="C1264" s="6">
        <f t="shared" si="57"/>
        <v>4.4339765645137891E-3</v>
      </c>
      <c r="D1264" s="7">
        <f t="shared" si="58"/>
        <v>0.36273668760283689</v>
      </c>
      <c r="E1264" s="8">
        <f t="shared" si="59"/>
        <v>-0.82486989841503744</v>
      </c>
    </row>
    <row r="1265" spans="1:5" x14ac:dyDescent="0.2">
      <c r="A1265" s="1">
        <v>43458</v>
      </c>
      <c r="B1265">
        <v>46203.87</v>
      </c>
      <c r="C1265" s="6">
        <f t="shared" si="57"/>
        <v>1.4156344626507413E-2</v>
      </c>
      <c r="D1265" s="7">
        <f t="shared" si="58"/>
        <v>1.2016749999090448</v>
      </c>
      <c r="E1265" s="8">
        <f t="shared" si="59"/>
        <v>-1.9264257644453924</v>
      </c>
    </row>
    <row r="1266" spans="1:5" x14ac:dyDescent="0.2">
      <c r="A1266" s="1">
        <v>43461</v>
      </c>
      <c r="B1266">
        <v>45655.45</v>
      </c>
      <c r="C1266" s="6">
        <f t="shared" si="57"/>
        <v>-1.194057426084553E-2</v>
      </c>
      <c r="D1266" s="7">
        <f t="shared" si="58"/>
        <v>-1.050215172129809</v>
      </c>
      <c r="E1266" s="8">
        <f t="shared" si="59"/>
        <v>-1.6792936220798909</v>
      </c>
    </row>
    <row r="1267" spans="1:5" x14ac:dyDescent="0.2">
      <c r="A1267" s="1">
        <v>43462</v>
      </c>
      <c r="B1267">
        <v>46493.79</v>
      </c>
      <c r="C1267" s="6">
        <f t="shared" si="57"/>
        <v>1.8195768735415195E-2</v>
      </c>
      <c r="D1267" s="7">
        <f t="shared" si="58"/>
        <v>1.5502349004402334</v>
      </c>
      <c r="E1267" s="8">
        <f t="shared" si="59"/>
        <v>-2.5229544466894946</v>
      </c>
    </row>
    <row r="1268" spans="1:5" x14ac:dyDescent="0.2">
      <c r="A1268" s="1">
        <v>43465</v>
      </c>
      <c r="B1268">
        <v>46726.59</v>
      </c>
      <c r="C1268" s="6">
        <f t="shared" si="57"/>
        <v>4.9946263672787511E-3</v>
      </c>
      <c r="D1268" s="7">
        <f t="shared" si="58"/>
        <v>0.41111488068576751</v>
      </c>
      <c r="E1268" s="8">
        <f t="shared" si="59"/>
        <v>-0.86313701531440323</v>
      </c>
    </row>
    <row r="1269" spans="1:5" x14ac:dyDescent="0.2">
      <c r="A1269" s="1">
        <v>43467</v>
      </c>
      <c r="B1269">
        <v>45310.14</v>
      </c>
      <c r="C1269" s="6">
        <f t="shared" si="57"/>
        <v>-3.0782533155193855E-2</v>
      </c>
      <c r="D1269" s="7">
        <f t="shared" si="58"/>
        <v>-2.6760784489132399</v>
      </c>
      <c r="E1269" s="8">
        <f t="shared" si="59"/>
        <v>-4.393020557386679</v>
      </c>
    </row>
    <row r="1270" spans="1:5" x14ac:dyDescent="0.2">
      <c r="A1270" s="1">
        <v>43468</v>
      </c>
      <c r="B1270">
        <v>45622.51</v>
      </c>
      <c r="C1270" s="6">
        <f t="shared" si="57"/>
        <v>6.8703865709829025E-3</v>
      </c>
      <c r="D1270" s="7">
        <f t="shared" si="58"/>
        <v>0.57297329723125512</v>
      </c>
      <c r="E1270" s="8">
        <f t="shared" si="59"/>
        <v>-1.0203243013002696</v>
      </c>
    </row>
    <row r="1271" spans="1:5" x14ac:dyDescent="0.2">
      <c r="A1271" s="1">
        <v>43469</v>
      </c>
      <c r="B1271">
        <v>46156.11</v>
      </c>
      <c r="C1271" s="6">
        <f t="shared" si="57"/>
        <v>1.1628111480796019E-2</v>
      </c>
      <c r="D1271" s="7">
        <f t="shared" si="58"/>
        <v>0.98351501719133616</v>
      </c>
      <c r="E1271" s="8">
        <f t="shared" si="59"/>
        <v>-1.5745776563405685</v>
      </c>
    </row>
    <row r="1272" spans="1:5" x14ac:dyDescent="0.2">
      <c r="A1272" s="1">
        <v>43472</v>
      </c>
      <c r="B1272">
        <v>45876.36</v>
      </c>
      <c r="C1272" s="6">
        <f t="shared" si="57"/>
        <v>-6.0793948398239232E-3</v>
      </c>
      <c r="D1272" s="7">
        <f t="shared" si="58"/>
        <v>-0.54445691033165899</v>
      </c>
      <c r="E1272" s="8">
        <f t="shared" si="59"/>
        <v>-0.98957928910168824</v>
      </c>
    </row>
    <row r="1273" spans="1:5" x14ac:dyDescent="0.2">
      <c r="A1273" s="1">
        <v>43473</v>
      </c>
      <c r="B1273">
        <v>46116.17</v>
      </c>
      <c r="C1273" s="6">
        <f t="shared" si="57"/>
        <v>5.2136960081841455E-3</v>
      </c>
      <c r="D1273" s="7">
        <f t="shared" si="58"/>
        <v>0.43001829121772922</v>
      </c>
      <c r="E1273" s="8">
        <f t="shared" si="59"/>
        <v>-0.87923212816335516</v>
      </c>
    </row>
    <row r="1274" spans="1:5" x14ac:dyDescent="0.2">
      <c r="A1274" s="1">
        <v>43474</v>
      </c>
      <c r="B1274">
        <v>47140.85</v>
      </c>
      <c r="C1274" s="6">
        <f t="shared" si="57"/>
        <v>2.197628102120568E-2</v>
      </c>
      <c r="D1274" s="7">
        <f t="shared" si="58"/>
        <v>1.8764534283205281</v>
      </c>
      <c r="E1274" s="8">
        <f t="shared" si="59"/>
        <v>-3.0876174816006352</v>
      </c>
    </row>
    <row r="1275" spans="1:5" x14ac:dyDescent="0.2">
      <c r="A1275" s="1">
        <v>43475</v>
      </c>
      <c r="B1275">
        <v>47164.36</v>
      </c>
      <c r="C1275" s="6">
        <f t="shared" si="57"/>
        <v>4.9859388441086678E-4</v>
      </c>
      <c r="D1275" s="7">
        <f t="shared" si="58"/>
        <v>2.3154470300149391E-2</v>
      </c>
      <c r="E1275" s="8">
        <f t="shared" si="59"/>
        <v>-0.6866316499409465</v>
      </c>
    </row>
    <row r="1276" spans="1:5" x14ac:dyDescent="0.2">
      <c r="A1276" s="1">
        <v>43476</v>
      </c>
      <c r="B1276">
        <v>47491.38</v>
      </c>
      <c r="C1276" s="6">
        <f t="shared" si="57"/>
        <v>6.9096982623691123E-3</v>
      </c>
      <c r="D1276" s="7">
        <f t="shared" si="58"/>
        <v>0.57636548356026018</v>
      </c>
      <c r="E1276" s="8">
        <f t="shared" si="59"/>
        <v>-1.0240628678860373</v>
      </c>
    </row>
    <row r="1277" spans="1:5" x14ac:dyDescent="0.2">
      <c r="A1277" s="1">
        <v>43479</v>
      </c>
      <c r="B1277">
        <v>47335.59</v>
      </c>
      <c r="C1277" s="6">
        <f t="shared" si="57"/>
        <v>-3.2857770350215756E-3</v>
      </c>
      <c r="D1277" s="7">
        <f t="shared" si="58"/>
        <v>-0.30339701716105716</v>
      </c>
      <c r="E1277" s="8">
        <f t="shared" si="59"/>
        <v>-0.7838878110098968</v>
      </c>
    </row>
    <row r="1278" spans="1:5" x14ac:dyDescent="0.2">
      <c r="A1278" s="1">
        <v>43480</v>
      </c>
      <c r="B1278">
        <v>47382.46</v>
      </c>
      <c r="C1278" s="6">
        <f t="shared" si="57"/>
        <v>9.8967417140849315E-4</v>
      </c>
      <c r="D1278" s="7">
        <f t="shared" si="58"/>
        <v>6.5529544413128096E-2</v>
      </c>
      <c r="E1278" s="8">
        <f t="shared" si="59"/>
        <v>-0.69069294410438775</v>
      </c>
    </row>
    <row r="1279" spans="1:5" x14ac:dyDescent="0.2">
      <c r="A1279" s="1">
        <v>43481</v>
      </c>
      <c r="B1279">
        <v>47665.2</v>
      </c>
      <c r="C1279" s="6">
        <f t="shared" si="57"/>
        <v>5.9494538632154457E-3</v>
      </c>
      <c r="D1279" s="7">
        <f t="shared" si="58"/>
        <v>0.493506471178633</v>
      </c>
      <c r="E1279" s="8">
        <f t="shared" si="59"/>
        <v>-0.9377934795823617</v>
      </c>
    </row>
    <row r="1280" spans="1:5" x14ac:dyDescent="0.2">
      <c r="A1280" s="1">
        <v>43482</v>
      </c>
      <c r="B1280">
        <v>47298.400000000001</v>
      </c>
      <c r="C1280" s="6">
        <f t="shared" si="57"/>
        <v>-7.7251036003699279E-3</v>
      </c>
      <c r="D1280" s="7">
        <f t="shared" si="58"/>
        <v>-0.68646430208194598</v>
      </c>
      <c r="E1280" s="8">
        <f t="shared" si="59"/>
        <v>-1.1542122767668082</v>
      </c>
    </row>
    <row r="1281" spans="1:5" x14ac:dyDescent="0.2">
      <c r="A1281" s="1">
        <v>43483</v>
      </c>
      <c r="B1281">
        <v>47585.02</v>
      </c>
      <c r="C1281" s="6">
        <f t="shared" si="57"/>
        <v>6.041537537457415E-3</v>
      </c>
      <c r="D1281" s="7">
        <f t="shared" si="58"/>
        <v>0.50145232570367471</v>
      </c>
      <c r="E1281" s="8">
        <f t="shared" si="59"/>
        <v>-0.94559639152679087</v>
      </c>
    </row>
    <row r="1282" spans="1:5" x14ac:dyDescent="0.2">
      <c r="A1282" s="1">
        <v>43486</v>
      </c>
      <c r="B1282">
        <v>48037.82</v>
      </c>
      <c r="C1282" s="6">
        <f t="shared" si="57"/>
        <v>9.4706115064409069E-3</v>
      </c>
      <c r="D1282" s="7">
        <f t="shared" si="58"/>
        <v>0.79734541573777706</v>
      </c>
      <c r="E1282" s="8">
        <f t="shared" si="59"/>
        <v>-1.3007665173395497</v>
      </c>
    </row>
    <row r="1283" spans="1:5" x14ac:dyDescent="0.2">
      <c r="A1283" s="1">
        <v>43487</v>
      </c>
      <c r="B1283">
        <v>47952.19</v>
      </c>
      <c r="C1283" s="6">
        <f t="shared" ref="C1283:C1346" si="60">LN(B1283/B1282)</f>
        <v>-1.7841444690874914E-3</v>
      </c>
      <c r="D1283" s="7">
        <f t="shared" ref="D1283:D1346" si="61">(C1283-$G$4)/$G$5</f>
        <v>-0.17382188870099993</v>
      </c>
      <c r="E1283" s="8">
        <f t="shared" ref="E1283:E1346" si="62">LN((PI()*(G$3-2))^(-1/2)*EXP(GAMMALN((G$3+1)/2))*((1+D1283^2/(G$3-2))^(-(G$3+1)/2))/EXP(GAMMALN(G$3/2)))</f>
        <v>-0.71854493097172367</v>
      </c>
    </row>
    <row r="1284" spans="1:5" x14ac:dyDescent="0.2">
      <c r="A1284" s="1">
        <v>43488</v>
      </c>
      <c r="B1284">
        <v>47742.02</v>
      </c>
      <c r="C1284" s="6">
        <f t="shared" si="60"/>
        <v>-4.3925403203687362E-3</v>
      </c>
      <c r="D1284" s="7">
        <f t="shared" si="61"/>
        <v>-0.39889907147653897</v>
      </c>
      <c r="E1284" s="8">
        <f t="shared" si="62"/>
        <v>-0.85307370980410002</v>
      </c>
    </row>
    <row r="1285" spans="1:5" x14ac:dyDescent="0.2">
      <c r="A1285" s="1">
        <v>43489</v>
      </c>
      <c r="B1285">
        <v>47473.35</v>
      </c>
      <c r="C1285" s="6">
        <f t="shared" si="60"/>
        <v>-5.6434315816230665E-3</v>
      </c>
      <c r="D1285" s="7">
        <f t="shared" si="61"/>
        <v>-0.50683785726450492</v>
      </c>
      <c r="E1285" s="8">
        <f t="shared" si="62"/>
        <v>-0.95094328421753715</v>
      </c>
    </row>
    <row r="1286" spans="1:5" x14ac:dyDescent="0.2">
      <c r="A1286" s="1">
        <v>43490</v>
      </c>
      <c r="B1286">
        <v>47892.41</v>
      </c>
      <c r="C1286" s="6">
        <f t="shared" si="60"/>
        <v>8.7885357866144456E-3</v>
      </c>
      <c r="D1286" s="7">
        <f t="shared" si="61"/>
        <v>0.73848944056716448</v>
      </c>
      <c r="E1286" s="8">
        <f t="shared" si="62"/>
        <v>-1.221202319435412</v>
      </c>
    </row>
    <row r="1287" spans="1:5" x14ac:dyDescent="0.2">
      <c r="A1287" s="1">
        <v>43493</v>
      </c>
      <c r="B1287">
        <v>47600.25</v>
      </c>
      <c r="C1287" s="6">
        <f t="shared" si="60"/>
        <v>-6.1190234222866539E-3</v>
      </c>
      <c r="D1287" s="7">
        <f t="shared" si="61"/>
        <v>-0.54787644103430078</v>
      </c>
      <c r="E1287" s="8">
        <f t="shared" si="62"/>
        <v>-0.99320084516527318</v>
      </c>
    </row>
    <row r="1288" spans="1:5" x14ac:dyDescent="0.2">
      <c r="A1288" s="1">
        <v>43494</v>
      </c>
      <c r="B1288">
        <v>48201</v>
      </c>
      <c r="C1288" s="6">
        <f t="shared" si="60"/>
        <v>1.2541754404885296E-2</v>
      </c>
      <c r="D1288" s="7">
        <f t="shared" si="61"/>
        <v>1.0623528114302012</v>
      </c>
      <c r="E1288" s="8">
        <f t="shared" si="62"/>
        <v>-1.6986535121630217</v>
      </c>
    </row>
    <row r="1289" spans="1:5" x14ac:dyDescent="0.2">
      <c r="A1289" s="1">
        <v>43495</v>
      </c>
      <c r="B1289">
        <v>47972.18</v>
      </c>
      <c r="C1289" s="6">
        <f t="shared" si="60"/>
        <v>-4.7585081780956977E-3</v>
      </c>
      <c r="D1289" s="7">
        <f t="shared" si="61"/>
        <v>-0.43047825619389046</v>
      </c>
      <c r="E1289" s="8">
        <f t="shared" si="62"/>
        <v>-0.87963159385267875</v>
      </c>
    </row>
    <row r="1290" spans="1:5" x14ac:dyDescent="0.2">
      <c r="A1290" s="1">
        <v>43496</v>
      </c>
      <c r="B1290">
        <v>47955.98</v>
      </c>
      <c r="C1290" s="6">
        <f t="shared" si="60"/>
        <v>-3.3775275485322943E-4</v>
      </c>
      <c r="D1290" s="7">
        <f t="shared" si="61"/>
        <v>-4.9013465903585934E-2</v>
      </c>
      <c r="E1290" s="8">
        <f t="shared" si="62"/>
        <v>-0.68864919714726391</v>
      </c>
    </row>
    <row r="1291" spans="1:5" x14ac:dyDescent="0.2">
      <c r="A1291" s="1">
        <v>43497</v>
      </c>
      <c r="B1291">
        <v>47697.78</v>
      </c>
      <c r="C1291" s="6">
        <f t="shared" si="60"/>
        <v>-5.3986508656267904E-3</v>
      </c>
      <c r="D1291" s="7">
        <f t="shared" si="61"/>
        <v>-0.48571585083010632</v>
      </c>
      <c r="E1291" s="8">
        <f t="shared" si="62"/>
        <v>-0.9302432595746033</v>
      </c>
    </row>
    <row r="1292" spans="1:5" x14ac:dyDescent="0.2">
      <c r="A1292" s="1">
        <v>43500</v>
      </c>
      <c r="B1292">
        <v>47183.39</v>
      </c>
      <c r="C1292" s="6">
        <f t="shared" si="60"/>
        <v>-1.0842932052604403E-2</v>
      </c>
      <c r="D1292" s="7">
        <f t="shared" si="61"/>
        <v>-0.95550017102862217</v>
      </c>
      <c r="E1292" s="8">
        <f t="shared" si="62"/>
        <v>-1.5315162771518707</v>
      </c>
    </row>
    <row r="1293" spans="1:5" x14ac:dyDescent="0.2">
      <c r="A1293" s="1">
        <v>43501</v>
      </c>
      <c r="B1293">
        <v>47999.09</v>
      </c>
      <c r="C1293" s="6">
        <f t="shared" si="60"/>
        <v>1.7140128516718523E-2</v>
      </c>
      <c r="D1293" s="7">
        <f t="shared" si="61"/>
        <v>1.4591442301602253</v>
      </c>
      <c r="E1293" s="8">
        <f t="shared" si="62"/>
        <v>-2.3650880405141472</v>
      </c>
    </row>
    <row r="1294" spans="1:5" x14ac:dyDescent="0.2">
      <c r="A1294" s="1">
        <v>43502</v>
      </c>
      <c r="B1294">
        <v>48318.53</v>
      </c>
      <c r="C1294" s="6">
        <f t="shared" si="60"/>
        <v>6.6330785835189881E-3</v>
      </c>
      <c r="D1294" s="7">
        <f t="shared" si="61"/>
        <v>0.55249610883123745</v>
      </c>
      <c r="E1294" s="8">
        <f t="shared" si="62"/>
        <v>-0.9981219082338888</v>
      </c>
    </row>
    <row r="1295" spans="1:5" x14ac:dyDescent="0.2">
      <c r="A1295" s="1">
        <v>43503</v>
      </c>
      <c r="B1295">
        <v>47672.55</v>
      </c>
      <c r="C1295" s="6">
        <f t="shared" si="60"/>
        <v>-1.345937042957354E-2</v>
      </c>
      <c r="D1295" s="7">
        <f t="shared" si="61"/>
        <v>-1.181271339352153</v>
      </c>
      <c r="E1295" s="8">
        <f t="shared" si="62"/>
        <v>-1.8925064139316925</v>
      </c>
    </row>
    <row r="1296" spans="1:5" x14ac:dyDescent="0.2">
      <c r="A1296" s="1">
        <v>43504</v>
      </c>
      <c r="B1296">
        <v>47001.79</v>
      </c>
      <c r="C1296" s="6">
        <f t="shared" si="60"/>
        <v>-1.4170074457569053E-2</v>
      </c>
      <c r="D1296" s="7">
        <f t="shared" si="61"/>
        <v>-1.2425976370189291</v>
      </c>
      <c r="E1296" s="8">
        <f t="shared" si="62"/>
        <v>-1.9949360808503485</v>
      </c>
    </row>
    <row r="1297" spans="1:5" x14ac:dyDescent="0.2">
      <c r="A1297" s="1">
        <v>43507</v>
      </c>
      <c r="B1297">
        <v>47225.04</v>
      </c>
      <c r="C1297" s="6">
        <f t="shared" si="60"/>
        <v>4.7385743049917946E-3</v>
      </c>
      <c r="D1297" s="7">
        <f t="shared" si="61"/>
        <v>0.38902027537687378</v>
      </c>
      <c r="E1297" s="8">
        <f t="shared" si="62"/>
        <v>-0.84513200950459277</v>
      </c>
    </row>
    <row r="1298" spans="1:5" x14ac:dyDescent="0.2">
      <c r="A1298" s="1">
        <v>43508</v>
      </c>
      <c r="B1298">
        <v>47807.06</v>
      </c>
      <c r="C1298" s="6">
        <f t="shared" si="60"/>
        <v>1.224906693958035E-2</v>
      </c>
      <c r="D1298" s="7">
        <f t="shared" si="61"/>
        <v>1.0370969553866518</v>
      </c>
      <c r="E1298" s="8">
        <f t="shared" si="62"/>
        <v>-1.6584703817120665</v>
      </c>
    </row>
    <row r="1299" spans="1:5" x14ac:dyDescent="0.2">
      <c r="A1299" s="1">
        <v>43509</v>
      </c>
      <c r="B1299">
        <v>48388.5</v>
      </c>
      <c r="C1299" s="6">
        <f t="shared" si="60"/>
        <v>1.2088854848868874E-2</v>
      </c>
      <c r="D1299" s="7">
        <f t="shared" si="61"/>
        <v>1.023272333634472</v>
      </c>
      <c r="E1299" s="8">
        <f t="shared" si="62"/>
        <v>-1.6366428447785049</v>
      </c>
    </row>
    <row r="1300" spans="1:5" x14ac:dyDescent="0.2">
      <c r="A1300" s="1">
        <v>43510</v>
      </c>
      <c r="B1300">
        <v>48349.82</v>
      </c>
      <c r="C1300" s="6">
        <f t="shared" si="60"/>
        <v>-7.996831464780964E-4</v>
      </c>
      <c r="D1300" s="7">
        <f t="shared" si="61"/>
        <v>-8.887321001959364E-2</v>
      </c>
      <c r="E1300" s="8">
        <f t="shared" si="62"/>
        <v>-0.69458262292675466</v>
      </c>
    </row>
    <row r="1301" spans="1:5" x14ac:dyDescent="0.2">
      <c r="A1301" s="1">
        <v>43511</v>
      </c>
      <c r="B1301">
        <v>48446.14</v>
      </c>
      <c r="C1301" s="6">
        <f t="shared" si="60"/>
        <v>1.9901663621440186E-3</v>
      </c>
      <c r="D1301" s="7">
        <f t="shared" si="61"/>
        <v>0.15186151874481052</v>
      </c>
      <c r="E1301" s="8">
        <f t="shared" si="62"/>
        <v>-0.7108874276623639</v>
      </c>
    </row>
    <row r="1302" spans="1:5" x14ac:dyDescent="0.2">
      <c r="A1302" s="1">
        <v>43514</v>
      </c>
      <c r="B1302">
        <v>49019.56</v>
      </c>
      <c r="C1302" s="6">
        <f t="shared" si="60"/>
        <v>1.1766736731160795E-2</v>
      </c>
      <c r="D1302" s="7">
        <f t="shared" si="61"/>
        <v>0.99547692120921416</v>
      </c>
      <c r="E1302" s="8">
        <f t="shared" si="62"/>
        <v>-1.5931372770139804</v>
      </c>
    </row>
    <row r="1303" spans="1:5" x14ac:dyDescent="0.2">
      <c r="A1303" s="1">
        <v>43515</v>
      </c>
      <c r="B1303">
        <v>48956.53</v>
      </c>
      <c r="C1303" s="6">
        <f t="shared" si="60"/>
        <v>-1.2866406221194934E-3</v>
      </c>
      <c r="D1303" s="7">
        <f t="shared" si="61"/>
        <v>-0.13089252878787674</v>
      </c>
      <c r="E1303" s="8">
        <f t="shared" si="62"/>
        <v>-0.70452343199410006</v>
      </c>
    </row>
    <row r="1304" spans="1:5" x14ac:dyDescent="0.2">
      <c r="A1304" s="1">
        <v>43516</v>
      </c>
      <c r="B1304">
        <v>49405.41</v>
      </c>
      <c r="C1304" s="6">
        <f t="shared" si="60"/>
        <v>9.127170858307854E-3</v>
      </c>
      <c r="D1304" s="7">
        <f t="shared" si="61"/>
        <v>0.76771009275011681</v>
      </c>
      <c r="E1304" s="8">
        <f t="shared" si="62"/>
        <v>-1.2602254720952375</v>
      </c>
    </row>
    <row r="1305" spans="1:5" x14ac:dyDescent="0.2">
      <c r="A1305" s="1">
        <v>43517</v>
      </c>
      <c r="B1305">
        <v>49205.36</v>
      </c>
      <c r="C1305" s="6">
        <f t="shared" si="60"/>
        <v>-4.057371713852502E-3</v>
      </c>
      <c r="D1305" s="7">
        <f t="shared" si="61"/>
        <v>-0.36997753885240847</v>
      </c>
      <c r="E1305" s="8">
        <f t="shared" si="62"/>
        <v>-0.83032497006303285</v>
      </c>
    </row>
    <row r="1306" spans="1:5" x14ac:dyDescent="0.2">
      <c r="A1306" s="1">
        <v>43518</v>
      </c>
      <c r="B1306">
        <v>49735.69</v>
      </c>
      <c r="C1306" s="6">
        <f t="shared" si="60"/>
        <v>1.072022338402235E-2</v>
      </c>
      <c r="D1306" s="7">
        <f t="shared" si="61"/>
        <v>0.90517380414390347</v>
      </c>
      <c r="E1306" s="8">
        <f t="shared" si="62"/>
        <v>-1.4556880466119531</v>
      </c>
    </row>
    <row r="1307" spans="1:5" x14ac:dyDescent="0.2">
      <c r="A1307" s="1">
        <v>43521</v>
      </c>
      <c r="B1307">
        <v>49638.42</v>
      </c>
      <c r="C1307" s="6">
        <f t="shared" si="60"/>
        <v>-1.9576533780248173E-3</v>
      </c>
      <c r="D1307" s="7">
        <f t="shared" si="61"/>
        <v>-0.18879388629518723</v>
      </c>
      <c r="E1307" s="8">
        <f t="shared" si="62"/>
        <v>-0.72434363354132902</v>
      </c>
    </row>
    <row r="1308" spans="1:5" x14ac:dyDescent="0.2">
      <c r="A1308" s="1">
        <v>43522</v>
      </c>
      <c r="B1308">
        <v>49965.89</v>
      </c>
      <c r="C1308" s="6">
        <f t="shared" si="60"/>
        <v>6.5754419640171643E-3</v>
      </c>
      <c r="D1308" s="7">
        <f t="shared" si="61"/>
        <v>0.54752267355460793</v>
      </c>
      <c r="E1308" s="8">
        <f t="shared" si="62"/>
        <v>-0.9928253441399989</v>
      </c>
    </row>
    <row r="1309" spans="1:5" x14ac:dyDescent="0.2">
      <c r="A1309" s="1">
        <v>43523</v>
      </c>
      <c r="B1309">
        <v>49955.05</v>
      </c>
      <c r="C1309" s="6">
        <f t="shared" si="60"/>
        <v>-2.1697153854882247E-4</v>
      </c>
      <c r="D1309" s="7">
        <f t="shared" si="61"/>
        <v>-3.8591314724099289E-2</v>
      </c>
      <c r="E1309" s="8">
        <f t="shared" si="62"/>
        <v>-0.68766229813930624</v>
      </c>
    </row>
    <row r="1310" spans="1:5" x14ac:dyDescent="0.2">
      <c r="A1310" s="1">
        <v>43524</v>
      </c>
      <c r="B1310">
        <v>49667.1</v>
      </c>
      <c r="C1310" s="6">
        <f t="shared" si="60"/>
        <v>-5.7808590137887021E-3</v>
      </c>
      <c r="D1310" s="7">
        <f t="shared" si="61"/>
        <v>-0.51869640214477075</v>
      </c>
      <c r="E1310" s="8">
        <f t="shared" si="62"/>
        <v>-0.96288104965674826</v>
      </c>
    </row>
    <row r="1311" spans="1:5" x14ac:dyDescent="0.2">
      <c r="A1311" s="1">
        <v>43525</v>
      </c>
      <c r="B1311">
        <v>49841.27</v>
      </c>
      <c r="C1311" s="6">
        <f t="shared" si="60"/>
        <v>3.5006136239766712E-3</v>
      </c>
      <c r="D1311" s="7">
        <f t="shared" si="61"/>
        <v>0.28219726293690789</v>
      </c>
      <c r="E1311" s="8">
        <f t="shared" si="62"/>
        <v>-0.77089147415064696</v>
      </c>
    </row>
    <row r="1312" spans="1:5" x14ac:dyDescent="0.2">
      <c r="A1312" s="1">
        <v>43528</v>
      </c>
      <c r="B1312">
        <v>49895.02</v>
      </c>
      <c r="C1312" s="6">
        <f t="shared" si="60"/>
        <v>1.0778424824834344E-3</v>
      </c>
      <c r="D1312" s="7">
        <f t="shared" si="61"/>
        <v>7.3137544194709331E-2</v>
      </c>
      <c r="E1312" s="8">
        <f t="shared" si="62"/>
        <v>-0.6918320069962185</v>
      </c>
    </row>
    <row r="1313" spans="1:5" x14ac:dyDescent="0.2">
      <c r="A1313" s="1">
        <v>43529</v>
      </c>
      <c r="B1313">
        <v>49585.66</v>
      </c>
      <c r="C1313" s="6">
        <f t="shared" si="60"/>
        <v>-6.2195191514995574E-3</v>
      </c>
      <c r="D1313" s="7">
        <f t="shared" si="61"/>
        <v>-0.55654816760567338</v>
      </c>
      <c r="E1313" s="8">
        <f t="shared" si="62"/>
        <v>-1.0024651283436372</v>
      </c>
    </row>
    <row r="1314" spans="1:5" x14ac:dyDescent="0.2">
      <c r="A1314" s="1">
        <v>43530</v>
      </c>
      <c r="B1314">
        <v>49875.040000000001</v>
      </c>
      <c r="C1314" s="6">
        <f t="shared" si="60"/>
        <v>5.8189981882549105E-3</v>
      </c>
      <c r="D1314" s="7">
        <f t="shared" si="61"/>
        <v>0.48224951576568226</v>
      </c>
      <c r="E1314" s="8">
        <f t="shared" si="62"/>
        <v>-0.92691602405026763</v>
      </c>
    </row>
    <row r="1315" spans="1:5" x14ac:dyDescent="0.2">
      <c r="A1315" s="1">
        <v>43531</v>
      </c>
      <c r="B1315">
        <v>49665.55</v>
      </c>
      <c r="C1315" s="6">
        <f t="shared" si="60"/>
        <v>-4.2091434115969243E-3</v>
      </c>
      <c r="D1315" s="7">
        <f t="shared" si="61"/>
        <v>-0.38307384328664362</v>
      </c>
      <c r="E1315" s="8">
        <f t="shared" si="62"/>
        <v>-0.84043698039796544</v>
      </c>
    </row>
    <row r="1316" spans="1:5" x14ac:dyDescent="0.2">
      <c r="A1316" s="1">
        <v>43532</v>
      </c>
      <c r="B1316">
        <v>49233.13</v>
      </c>
      <c r="C1316" s="6">
        <f t="shared" si="60"/>
        <v>-8.7447629356551971E-3</v>
      </c>
      <c r="D1316" s="7">
        <f t="shared" si="61"/>
        <v>-0.77445019979914087</v>
      </c>
      <c r="E1316" s="8">
        <f t="shared" si="62"/>
        <v>-1.2693624022003844</v>
      </c>
    </row>
    <row r="1317" spans="1:5" x14ac:dyDescent="0.2">
      <c r="A1317" s="1">
        <v>43535</v>
      </c>
      <c r="B1317">
        <v>49387.31</v>
      </c>
      <c r="C1317" s="6">
        <f t="shared" si="60"/>
        <v>3.1267377353329157E-3</v>
      </c>
      <c r="D1317" s="7">
        <f t="shared" si="61"/>
        <v>0.24993569815857769</v>
      </c>
      <c r="E1317" s="8">
        <f t="shared" si="62"/>
        <v>-0.75281901480949764</v>
      </c>
    </row>
    <row r="1318" spans="1:5" x14ac:dyDescent="0.2">
      <c r="A1318" s="1">
        <v>43536</v>
      </c>
      <c r="B1318">
        <v>49468.43</v>
      </c>
      <c r="C1318" s="6">
        <f t="shared" si="60"/>
        <v>1.6411797273050567E-3</v>
      </c>
      <c r="D1318" s="7">
        <f t="shared" si="61"/>
        <v>0.12174763531822629</v>
      </c>
      <c r="E1318" s="8">
        <f t="shared" si="62"/>
        <v>-0.70203965005901725</v>
      </c>
    </row>
    <row r="1319" spans="1:5" x14ac:dyDescent="0.2">
      <c r="A1319" s="1">
        <v>43537</v>
      </c>
      <c r="B1319">
        <v>49584.85</v>
      </c>
      <c r="C1319" s="6">
        <f t="shared" si="60"/>
        <v>2.3506551950086521E-3</v>
      </c>
      <c r="D1319" s="7">
        <f t="shared" si="61"/>
        <v>0.18296792112746993</v>
      </c>
      <c r="E1319" s="8">
        <f t="shared" si="62"/>
        <v>-0.72203175155949983</v>
      </c>
    </row>
    <row r="1320" spans="1:5" x14ac:dyDescent="0.2">
      <c r="A1320" s="1">
        <v>43538</v>
      </c>
      <c r="B1320">
        <v>49485.03</v>
      </c>
      <c r="C1320" s="6">
        <f t="shared" si="60"/>
        <v>-2.0151439323258832E-3</v>
      </c>
      <c r="D1320" s="7">
        <f t="shared" si="61"/>
        <v>-0.19375471767817384</v>
      </c>
      <c r="E1320" s="8">
        <f t="shared" si="62"/>
        <v>-0.72636775484055571</v>
      </c>
    </row>
    <row r="1321" spans="1:5" x14ac:dyDescent="0.2">
      <c r="A1321" s="1">
        <v>43539</v>
      </c>
      <c r="B1321">
        <v>49684.03</v>
      </c>
      <c r="C1321" s="6">
        <f t="shared" si="60"/>
        <v>4.013353905095802E-3</v>
      </c>
      <c r="D1321" s="7">
        <f t="shared" si="61"/>
        <v>0.32644136718709077</v>
      </c>
      <c r="E1321" s="8">
        <f t="shared" si="62"/>
        <v>-0.79900593928755193</v>
      </c>
    </row>
    <row r="1322" spans="1:5" x14ac:dyDescent="0.2">
      <c r="A1322" s="1">
        <v>43542</v>
      </c>
      <c r="B1322">
        <v>50388.59</v>
      </c>
      <c r="C1322" s="6">
        <f t="shared" si="60"/>
        <v>1.4081207060718377E-2</v>
      </c>
      <c r="D1322" s="7">
        <f t="shared" si="61"/>
        <v>1.1951914166676052</v>
      </c>
      <c r="E1322" s="8">
        <f t="shared" si="62"/>
        <v>-1.9156291801876879</v>
      </c>
    </row>
    <row r="1323" spans="1:5" x14ac:dyDescent="0.2">
      <c r="A1323" s="1">
        <v>43543</v>
      </c>
      <c r="B1323">
        <v>50475.11</v>
      </c>
      <c r="C1323" s="6">
        <f t="shared" si="60"/>
        <v>1.7155829346067717E-3</v>
      </c>
      <c r="D1323" s="7">
        <f t="shared" si="61"/>
        <v>0.12816785113044996</v>
      </c>
      <c r="E1323" s="8">
        <f t="shared" si="62"/>
        <v>-0.70376482952162678</v>
      </c>
    </row>
    <row r="1324" spans="1:5" x14ac:dyDescent="0.2">
      <c r="A1324" s="1">
        <v>43544</v>
      </c>
      <c r="B1324">
        <v>49827.56</v>
      </c>
      <c r="C1324" s="6">
        <f t="shared" si="60"/>
        <v>-1.2912098884844986E-2</v>
      </c>
      <c r="D1324" s="7">
        <f t="shared" si="61"/>
        <v>-1.1340475495120428</v>
      </c>
      <c r="E1324" s="8">
        <f t="shared" si="62"/>
        <v>-1.8146876538285819</v>
      </c>
    </row>
    <row r="1325" spans="1:5" x14ac:dyDescent="0.2">
      <c r="A1325" s="1">
        <v>43546</v>
      </c>
      <c r="B1325">
        <v>49792.42</v>
      </c>
      <c r="C1325" s="6">
        <f t="shared" si="60"/>
        <v>-7.0548099803755069E-4</v>
      </c>
      <c r="D1325" s="7">
        <f t="shared" si="61"/>
        <v>-8.0744553407911659E-2</v>
      </c>
      <c r="E1325" s="8">
        <f t="shared" si="62"/>
        <v>-0.69309534286160046</v>
      </c>
    </row>
    <row r="1326" spans="1:5" x14ac:dyDescent="0.2">
      <c r="A1326" s="1">
        <v>43549</v>
      </c>
      <c r="B1326">
        <v>49161.53</v>
      </c>
      <c r="C1326" s="6">
        <f t="shared" si="60"/>
        <v>-1.2751356532680514E-2</v>
      </c>
      <c r="D1326" s="7">
        <f t="shared" si="61"/>
        <v>-1.1201771717623921</v>
      </c>
      <c r="E1326" s="8">
        <f t="shared" si="62"/>
        <v>-1.7920290433069299</v>
      </c>
    </row>
    <row r="1327" spans="1:5" x14ac:dyDescent="0.2">
      <c r="A1327" s="1">
        <v>43550</v>
      </c>
      <c r="B1327">
        <v>49372.21</v>
      </c>
      <c r="C1327" s="6">
        <f t="shared" si="60"/>
        <v>4.2763082179843393E-3</v>
      </c>
      <c r="D1327" s="7">
        <f t="shared" si="61"/>
        <v>0.34913156427299624</v>
      </c>
      <c r="E1327" s="8">
        <f t="shared" si="62"/>
        <v>-0.81488415892462929</v>
      </c>
    </row>
    <row r="1328" spans="1:5" x14ac:dyDescent="0.2">
      <c r="A1328" s="1">
        <v>43551</v>
      </c>
      <c r="B1328">
        <v>49897.32</v>
      </c>
      <c r="C1328" s="6">
        <f t="shared" si="60"/>
        <v>1.0579578604719218E-2</v>
      </c>
      <c r="D1328" s="7">
        <f t="shared" si="61"/>
        <v>0.89303763597675712</v>
      </c>
      <c r="E1328" s="8">
        <f t="shared" si="62"/>
        <v>-1.4377157964528335</v>
      </c>
    </row>
    <row r="1329" spans="1:5" x14ac:dyDescent="0.2">
      <c r="A1329" s="1">
        <v>43552</v>
      </c>
      <c r="B1329">
        <v>49903.31</v>
      </c>
      <c r="C1329" s="6">
        <f t="shared" si="60"/>
        <v>1.2003932254105279E-4</v>
      </c>
      <c r="D1329" s="7">
        <f t="shared" si="61"/>
        <v>-9.5108148676038042E-3</v>
      </c>
      <c r="E1329" s="8">
        <f t="shared" si="62"/>
        <v>-0.68614961383783746</v>
      </c>
    </row>
    <row r="1330" spans="1:5" x14ac:dyDescent="0.2">
      <c r="A1330" s="1">
        <v>43553</v>
      </c>
      <c r="B1330">
        <v>50273.93</v>
      </c>
      <c r="C1330" s="6">
        <f t="shared" si="60"/>
        <v>7.3993192655321107E-3</v>
      </c>
      <c r="D1330" s="7">
        <f t="shared" si="61"/>
        <v>0.61861463679577444</v>
      </c>
      <c r="E1330" s="8">
        <f t="shared" si="62"/>
        <v>-1.0720279909612846</v>
      </c>
    </row>
    <row r="1331" spans="1:5" x14ac:dyDescent="0.2">
      <c r="A1331" s="1">
        <v>43556</v>
      </c>
      <c r="B1331">
        <v>50879.64</v>
      </c>
      <c r="C1331" s="6">
        <f t="shared" si="60"/>
        <v>1.197619104671562E-2</v>
      </c>
      <c r="D1331" s="7">
        <f t="shared" si="61"/>
        <v>1.0135506300912851</v>
      </c>
      <c r="E1331" s="8">
        <f t="shared" si="62"/>
        <v>-1.6213674967892293</v>
      </c>
    </row>
    <row r="1332" spans="1:5" x14ac:dyDescent="0.2">
      <c r="A1332" s="1">
        <v>43557</v>
      </c>
      <c r="B1332">
        <v>50952.08</v>
      </c>
      <c r="C1332" s="6">
        <f t="shared" si="60"/>
        <v>1.422739637891753E-3</v>
      </c>
      <c r="D1332" s="7">
        <f t="shared" si="61"/>
        <v>0.10289854847190542</v>
      </c>
      <c r="E1332" s="8">
        <f t="shared" si="62"/>
        <v>-0.69748169593787834</v>
      </c>
    </row>
    <row r="1333" spans="1:5" x14ac:dyDescent="0.2">
      <c r="A1333" s="1">
        <v>43558</v>
      </c>
      <c r="B1333">
        <v>51640.7</v>
      </c>
      <c r="C1333" s="6">
        <f t="shared" si="60"/>
        <v>1.342453809696295E-2</v>
      </c>
      <c r="D1333" s="7">
        <f t="shared" si="61"/>
        <v>1.1385277778623202</v>
      </c>
      <c r="E1333" s="8">
        <f t="shared" si="62"/>
        <v>-1.8220265704795429</v>
      </c>
    </row>
    <row r="1334" spans="1:5" x14ac:dyDescent="0.2">
      <c r="A1334" s="1">
        <v>43559</v>
      </c>
      <c r="B1334">
        <v>51449.27</v>
      </c>
      <c r="C1334" s="6">
        <f t="shared" si="60"/>
        <v>-3.7138476231474826E-3</v>
      </c>
      <c r="D1334" s="7">
        <f t="shared" si="61"/>
        <v>-0.34033501564664764</v>
      </c>
      <c r="E1334" s="8">
        <f t="shared" si="62"/>
        <v>-0.80861268779637041</v>
      </c>
    </row>
    <row r="1335" spans="1:5" x14ac:dyDescent="0.2">
      <c r="A1335" s="1">
        <v>43560</v>
      </c>
      <c r="B1335">
        <v>51517.73</v>
      </c>
      <c r="C1335" s="6">
        <f t="shared" si="60"/>
        <v>1.3297466195525548E-3</v>
      </c>
      <c r="D1335" s="7">
        <f t="shared" si="61"/>
        <v>9.4874227096260061E-2</v>
      </c>
      <c r="E1335" s="8">
        <f t="shared" si="62"/>
        <v>-0.69577150960417367</v>
      </c>
    </row>
    <row r="1336" spans="1:5" x14ac:dyDescent="0.2">
      <c r="A1336" s="1">
        <v>43563</v>
      </c>
      <c r="B1336">
        <v>51705.98</v>
      </c>
      <c r="C1336" s="6">
        <f t="shared" si="60"/>
        <v>3.6474218704507901E-3</v>
      </c>
      <c r="D1336" s="7">
        <f t="shared" si="61"/>
        <v>0.29486527362569226</v>
      </c>
      <c r="E1336" s="8">
        <f t="shared" si="62"/>
        <v>-0.77855167729568353</v>
      </c>
    </row>
    <row r="1337" spans="1:5" x14ac:dyDescent="0.2">
      <c r="A1337" s="1">
        <v>43564</v>
      </c>
      <c r="B1337">
        <v>51564.09</v>
      </c>
      <c r="C1337" s="6">
        <f t="shared" si="60"/>
        <v>-2.7479421537426347E-3</v>
      </c>
      <c r="D1337" s="7">
        <f t="shared" si="61"/>
        <v>-0.2569875123241212</v>
      </c>
      <c r="E1337" s="8">
        <f t="shared" si="62"/>
        <v>-0.75659185721551214</v>
      </c>
    </row>
    <row r="1338" spans="1:5" x14ac:dyDescent="0.2">
      <c r="A1338" s="1">
        <v>43565</v>
      </c>
      <c r="B1338">
        <v>52161.05</v>
      </c>
      <c r="C1338" s="6">
        <f t="shared" si="60"/>
        <v>1.1510547800777345E-2</v>
      </c>
      <c r="D1338" s="7">
        <f t="shared" si="61"/>
        <v>0.97337050562023752</v>
      </c>
      <c r="E1338" s="8">
        <f t="shared" si="62"/>
        <v>-1.5589178800452166</v>
      </c>
    </row>
    <row r="1339" spans="1:5" x14ac:dyDescent="0.2">
      <c r="A1339" s="1">
        <v>43566</v>
      </c>
      <c r="B1339">
        <v>51942.03</v>
      </c>
      <c r="C1339" s="6">
        <f t="shared" si="60"/>
        <v>-4.2077587550710515E-3</v>
      </c>
      <c r="D1339" s="7">
        <f t="shared" si="61"/>
        <v>-0.38295436196259452</v>
      </c>
      <c r="E1339" s="8">
        <f t="shared" si="62"/>
        <v>-0.84034330420688275</v>
      </c>
    </row>
    <row r="1340" spans="1:5" x14ac:dyDescent="0.2">
      <c r="A1340" s="1">
        <v>43567</v>
      </c>
      <c r="B1340">
        <v>52141.52</v>
      </c>
      <c r="C1340" s="6">
        <f t="shared" si="60"/>
        <v>3.8332713339415138E-3</v>
      </c>
      <c r="D1340" s="7">
        <f t="shared" si="61"/>
        <v>0.31090213154443586</v>
      </c>
      <c r="E1340" s="8">
        <f t="shared" si="62"/>
        <v>-0.7886989128973213</v>
      </c>
    </row>
    <row r="1341" spans="1:5" x14ac:dyDescent="0.2">
      <c r="A1341" s="1">
        <v>43570</v>
      </c>
      <c r="B1341">
        <v>51960.68</v>
      </c>
      <c r="C1341" s="6">
        <f t="shared" si="60"/>
        <v>-3.4742816559957699E-3</v>
      </c>
      <c r="D1341" s="7">
        <f t="shared" si="61"/>
        <v>-0.31966298730059778</v>
      </c>
      <c r="E1341" s="8">
        <f t="shared" si="62"/>
        <v>-0.79445279930026158</v>
      </c>
    </row>
    <row r="1342" spans="1:5" x14ac:dyDescent="0.2">
      <c r="A1342" s="1">
        <v>43571</v>
      </c>
      <c r="B1342">
        <v>52590.28</v>
      </c>
      <c r="C1342" s="6">
        <f t="shared" si="60"/>
        <v>1.2044033086444859E-2</v>
      </c>
      <c r="D1342" s="7">
        <f t="shared" si="61"/>
        <v>1.0194046860117094</v>
      </c>
      <c r="E1342" s="8">
        <f t="shared" si="62"/>
        <v>-1.6305583152387728</v>
      </c>
    </row>
    <row r="1343" spans="1:5" x14ac:dyDescent="0.2">
      <c r="A1343" s="1">
        <v>43572</v>
      </c>
      <c r="B1343">
        <v>52561.43</v>
      </c>
      <c r="C1343" s="6">
        <f t="shared" si="60"/>
        <v>-5.4873098542870227E-4</v>
      </c>
      <c r="D1343" s="7">
        <f t="shared" si="61"/>
        <v>-6.7218672656069539E-2</v>
      </c>
      <c r="E1343" s="8">
        <f t="shared" si="62"/>
        <v>-0.69093508322691777</v>
      </c>
    </row>
    <row r="1344" spans="1:5" x14ac:dyDescent="0.2">
      <c r="A1344" s="1">
        <v>43573</v>
      </c>
      <c r="B1344">
        <v>52872.78</v>
      </c>
      <c r="C1344" s="6">
        <f t="shared" si="60"/>
        <v>5.9060698616367506E-3</v>
      </c>
      <c r="D1344" s="7">
        <f t="shared" si="61"/>
        <v>0.48976288722527495</v>
      </c>
      <c r="E1344" s="8">
        <f t="shared" si="62"/>
        <v>-0.93415297089647764</v>
      </c>
    </row>
    <row r="1345" spans="1:5" x14ac:dyDescent="0.2">
      <c r="A1345" s="1">
        <v>43578</v>
      </c>
      <c r="B1345">
        <v>53184.19</v>
      </c>
      <c r="C1345" s="6">
        <f t="shared" si="60"/>
        <v>5.8725210602000016E-3</v>
      </c>
      <c r="D1345" s="7">
        <f t="shared" si="61"/>
        <v>0.48686797780837399</v>
      </c>
      <c r="E1345" s="8">
        <f t="shared" si="62"/>
        <v>-0.93135354626653943</v>
      </c>
    </row>
    <row r="1346" spans="1:5" x14ac:dyDescent="0.2">
      <c r="A1346" s="1">
        <v>43579</v>
      </c>
      <c r="B1346">
        <v>52785.57</v>
      </c>
      <c r="C1346" s="6">
        <f t="shared" si="60"/>
        <v>-7.5233138239480558E-3</v>
      </c>
      <c r="D1346" s="7">
        <f t="shared" si="61"/>
        <v>-0.66905196247573495</v>
      </c>
      <c r="E1346" s="8">
        <f t="shared" si="62"/>
        <v>-1.132541736567745</v>
      </c>
    </row>
    <row r="1347" spans="1:5" x14ac:dyDescent="0.2">
      <c r="A1347" s="1">
        <v>43580</v>
      </c>
      <c r="B1347">
        <v>52470.36</v>
      </c>
      <c r="C1347" s="6">
        <f t="shared" ref="C1347:C1410" si="63">LN(B1347/B1346)</f>
        <v>-5.9894191671137449E-3</v>
      </c>
      <c r="D1347" s="7">
        <f t="shared" ref="D1347:D1410" si="64">(C1347-$G$4)/$G$5</f>
        <v>-0.53669295421204111</v>
      </c>
      <c r="E1347" s="8">
        <f t="shared" ref="E1347:E1410" si="65">LN((PI()*(G$3-2))^(-1/2)*EXP(GAMMALN((G$3+1)/2))*((1+D1347^2/(G$3-2))^(-(G$3+1)/2))/EXP(GAMMALN(G$3/2)))</f>
        <v>-0.98142362703877273</v>
      </c>
    </row>
    <row r="1348" spans="1:5" x14ac:dyDescent="0.2">
      <c r="A1348" s="1">
        <v>43581</v>
      </c>
      <c r="B1348">
        <v>52572.04</v>
      </c>
      <c r="C1348" s="6">
        <f t="shared" si="63"/>
        <v>1.9359807422191057E-3</v>
      </c>
      <c r="D1348" s="7">
        <f t="shared" si="64"/>
        <v>0.14718586850803575</v>
      </c>
      <c r="E1348" s="8">
        <f t="shared" si="65"/>
        <v>-0.70938792601709877</v>
      </c>
    </row>
    <row r="1349" spans="1:5" x14ac:dyDescent="0.2">
      <c r="A1349" s="1">
        <v>43584</v>
      </c>
      <c r="B1349">
        <v>52385.68</v>
      </c>
      <c r="C1349" s="6">
        <f t="shared" si="63"/>
        <v>-3.5511479449702259E-3</v>
      </c>
      <c r="D1349" s="7">
        <f t="shared" si="64"/>
        <v>-0.32629574120728833</v>
      </c>
      <c r="E1349" s="8">
        <f t="shared" si="65"/>
        <v>-0.79890719479908379</v>
      </c>
    </row>
    <row r="1350" spans="1:5" x14ac:dyDescent="0.2">
      <c r="A1350" s="1">
        <v>43585</v>
      </c>
      <c r="B1350">
        <v>52274.03</v>
      </c>
      <c r="C1350" s="6">
        <f t="shared" si="63"/>
        <v>-2.1335821082280704E-3</v>
      </c>
      <c r="D1350" s="7">
        <f t="shared" si="64"/>
        <v>-0.20397468906481889</v>
      </c>
      <c r="E1350" s="8">
        <f t="shared" si="65"/>
        <v>-0.73069825525216647</v>
      </c>
    </row>
    <row r="1351" spans="1:5" x14ac:dyDescent="0.2">
      <c r="A1351" s="1">
        <v>43587</v>
      </c>
      <c r="B1351">
        <v>52495.4</v>
      </c>
      <c r="C1351" s="6">
        <f t="shared" si="63"/>
        <v>4.2258572836172039E-3</v>
      </c>
      <c r="D1351" s="7">
        <f t="shared" si="64"/>
        <v>0.34477817819849738</v>
      </c>
      <c r="E1351" s="8">
        <f t="shared" si="65"/>
        <v>-0.81176218733496475</v>
      </c>
    </row>
    <row r="1352" spans="1:5" x14ac:dyDescent="0.2">
      <c r="A1352" s="1">
        <v>43588</v>
      </c>
      <c r="B1352">
        <v>53028.35</v>
      </c>
      <c r="C1352" s="6">
        <f t="shared" si="63"/>
        <v>1.0101129490276315E-2</v>
      </c>
      <c r="D1352" s="7">
        <f t="shared" si="64"/>
        <v>0.851752499471359</v>
      </c>
      <c r="E1352" s="8">
        <f t="shared" si="65"/>
        <v>-1.3775580102703324</v>
      </c>
    </row>
    <row r="1353" spans="1:5" x14ac:dyDescent="0.2">
      <c r="A1353" s="1">
        <v>43591</v>
      </c>
      <c r="B1353">
        <v>52335.69</v>
      </c>
      <c r="C1353" s="6">
        <f t="shared" si="63"/>
        <v>-1.3148128688033469E-2</v>
      </c>
      <c r="D1353" s="7">
        <f t="shared" si="64"/>
        <v>-1.1544144440256321</v>
      </c>
      <c r="E1353" s="8">
        <f t="shared" si="65"/>
        <v>-1.8481262229498683</v>
      </c>
    </row>
    <row r="1354" spans="1:5" x14ac:dyDescent="0.2">
      <c r="A1354" s="1">
        <v>43592</v>
      </c>
      <c r="B1354">
        <v>51707.15</v>
      </c>
      <c r="C1354" s="6">
        <f t="shared" si="63"/>
        <v>-1.2082477688974155E-2</v>
      </c>
      <c r="D1354" s="7">
        <f t="shared" si="64"/>
        <v>-1.0624599484791095</v>
      </c>
      <c r="E1354" s="8">
        <f t="shared" si="65"/>
        <v>-1.6988247890136106</v>
      </c>
    </row>
    <row r="1355" spans="1:5" x14ac:dyDescent="0.2">
      <c r="A1355" s="1">
        <v>43594</v>
      </c>
      <c r="B1355">
        <v>50264.2</v>
      </c>
      <c r="C1355" s="6">
        <f t="shared" si="63"/>
        <v>-2.8302975740797244E-2</v>
      </c>
      <c r="D1355" s="7">
        <f t="shared" si="64"/>
        <v>-2.4621186708801419</v>
      </c>
      <c r="E1355" s="8">
        <f t="shared" si="65"/>
        <v>-4.0589599680021182</v>
      </c>
    </row>
    <row r="1356" spans="1:5" x14ac:dyDescent="0.2">
      <c r="A1356" s="1">
        <v>43595</v>
      </c>
      <c r="B1356">
        <v>50533.59</v>
      </c>
      <c r="C1356" s="6">
        <f t="shared" si="63"/>
        <v>5.3451695992778447E-3</v>
      </c>
      <c r="D1356" s="7">
        <f t="shared" si="64"/>
        <v>0.44136308210835173</v>
      </c>
      <c r="E1356" s="8">
        <f t="shared" si="65"/>
        <v>-0.88919227677943968</v>
      </c>
    </row>
    <row r="1357" spans="1:5" x14ac:dyDescent="0.2">
      <c r="A1357" s="1">
        <v>43598</v>
      </c>
      <c r="B1357">
        <v>50181.4</v>
      </c>
      <c r="C1357" s="6">
        <f t="shared" si="63"/>
        <v>-6.9938235722664492E-3</v>
      </c>
      <c r="D1357" s="7">
        <f t="shared" si="64"/>
        <v>-0.62336251158312306</v>
      </c>
      <c r="E1357" s="8">
        <f t="shared" si="65"/>
        <v>-1.0775767890251968</v>
      </c>
    </row>
    <row r="1358" spans="1:5" x14ac:dyDescent="0.2">
      <c r="A1358" s="1">
        <v>43599</v>
      </c>
      <c r="B1358">
        <v>50078.01</v>
      </c>
      <c r="C1358" s="6">
        <f t="shared" si="63"/>
        <v>-2.0624505300637025E-3</v>
      </c>
      <c r="D1358" s="7">
        <f t="shared" si="64"/>
        <v>-0.19783678050628864</v>
      </c>
      <c r="E1358" s="8">
        <f t="shared" si="65"/>
        <v>-0.72807155309281024</v>
      </c>
    </row>
    <row r="1359" spans="1:5" x14ac:dyDescent="0.2">
      <c r="A1359" s="1">
        <v>43600</v>
      </c>
      <c r="B1359">
        <v>49877.1</v>
      </c>
      <c r="C1359" s="6">
        <f t="shared" si="63"/>
        <v>-4.0200099938217122E-3</v>
      </c>
      <c r="D1359" s="7">
        <f t="shared" si="64"/>
        <v>-0.36675361458338007</v>
      </c>
      <c r="E1359" s="8">
        <f t="shared" si="65"/>
        <v>-0.82788415165807205</v>
      </c>
    </row>
    <row r="1360" spans="1:5" x14ac:dyDescent="0.2">
      <c r="A1360" s="1">
        <v>43601</v>
      </c>
      <c r="B1360">
        <v>50360.28</v>
      </c>
      <c r="C1360" s="6">
        <f t="shared" si="63"/>
        <v>9.6407895421348026E-3</v>
      </c>
      <c r="D1360" s="7">
        <f t="shared" si="64"/>
        <v>0.8120299939337754</v>
      </c>
      <c r="E1360" s="8">
        <f t="shared" si="65"/>
        <v>-1.3211994336391668</v>
      </c>
    </row>
    <row r="1361" spans="1:5" x14ac:dyDescent="0.2">
      <c r="A1361" s="1">
        <v>43602</v>
      </c>
      <c r="B1361">
        <v>50081.18</v>
      </c>
      <c r="C1361" s="6">
        <f t="shared" si="63"/>
        <v>-5.557480314342605E-3</v>
      </c>
      <c r="D1361" s="7">
        <f t="shared" si="64"/>
        <v>-0.49942116509104856</v>
      </c>
      <c r="E1361" s="8">
        <f t="shared" si="65"/>
        <v>-0.94359199719084419</v>
      </c>
    </row>
    <row r="1362" spans="1:5" x14ac:dyDescent="0.2">
      <c r="A1362" s="1">
        <v>43605</v>
      </c>
      <c r="B1362">
        <v>49551.15</v>
      </c>
      <c r="C1362" s="6">
        <f t="shared" si="63"/>
        <v>-1.0639819427981572E-2</v>
      </c>
      <c r="D1362" s="7">
        <f t="shared" si="64"/>
        <v>-0.93797368350802723</v>
      </c>
      <c r="E1362" s="8">
        <f t="shared" si="65"/>
        <v>-1.5048782848334332</v>
      </c>
    </row>
    <row r="1363" spans="1:5" x14ac:dyDescent="0.2">
      <c r="A1363" s="1">
        <v>43606</v>
      </c>
      <c r="B1363">
        <v>49486.29</v>
      </c>
      <c r="C1363" s="6">
        <f t="shared" si="63"/>
        <v>-1.309807872109774E-3</v>
      </c>
      <c r="D1363" s="7">
        <f t="shared" si="64"/>
        <v>-0.1328916192855509</v>
      </c>
      <c r="E1363" s="8">
        <f t="shared" si="65"/>
        <v>-0.70509003138870252</v>
      </c>
    </row>
    <row r="1364" spans="1:5" x14ac:dyDescent="0.2">
      <c r="A1364" s="1">
        <v>43607</v>
      </c>
      <c r="B1364">
        <v>49193.9</v>
      </c>
      <c r="C1364" s="6">
        <f t="shared" si="63"/>
        <v>-5.9260294426787732E-3</v>
      </c>
      <c r="D1364" s="7">
        <f t="shared" si="64"/>
        <v>-0.53122308636750637</v>
      </c>
      <c r="E1364" s="8">
        <f t="shared" si="65"/>
        <v>-0.97573402175710711</v>
      </c>
    </row>
    <row r="1365" spans="1:5" x14ac:dyDescent="0.2">
      <c r="A1365" s="1">
        <v>43608</v>
      </c>
      <c r="B1365">
        <v>48290.13</v>
      </c>
      <c r="C1365" s="6">
        <f t="shared" si="63"/>
        <v>-1.8542440121227678E-2</v>
      </c>
      <c r="D1365" s="7">
        <f t="shared" si="64"/>
        <v>-1.6198868989832831</v>
      </c>
      <c r="E1365" s="8">
        <f t="shared" si="65"/>
        <v>-2.643920928453352</v>
      </c>
    </row>
    <row r="1366" spans="1:5" x14ac:dyDescent="0.2">
      <c r="A1366" s="1">
        <v>43609</v>
      </c>
      <c r="B1366">
        <v>48427.67</v>
      </c>
      <c r="C1366" s="6">
        <f t="shared" si="63"/>
        <v>2.8441526320025757E-3</v>
      </c>
      <c r="D1366" s="7">
        <f t="shared" si="64"/>
        <v>0.22555156991336309</v>
      </c>
      <c r="E1366" s="8">
        <f t="shared" si="65"/>
        <v>-0.74054686772744238</v>
      </c>
    </row>
    <row r="1367" spans="1:5" x14ac:dyDescent="0.2">
      <c r="A1367" s="1">
        <v>43612</v>
      </c>
      <c r="B1367">
        <v>48497.1</v>
      </c>
      <c r="C1367" s="6">
        <f t="shared" si="63"/>
        <v>1.4326577587024309E-3</v>
      </c>
      <c r="D1367" s="7">
        <f t="shared" si="64"/>
        <v>0.10375437819169213</v>
      </c>
      <c r="E1367" s="8">
        <f t="shared" si="65"/>
        <v>-0.69767221988414774</v>
      </c>
    </row>
    <row r="1368" spans="1:5" x14ac:dyDescent="0.2">
      <c r="A1368" s="1">
        <v>43613</v>
      </c>
      <c r="B1368">
        <v>48464.67</v>
      </c>
      <c r="C1368" s="6">
        <f t="shared" si="63"/>
        <v>-6.6892345734313903E-4</v>
      </c>
      <c r="D1368" s="7">
        <f t="shared" si="64"/>
        <v>-7.7590021374494042E-2</v>
      </c>
      <c r="E1368" s="8">
        <f t="shared" si="65"/>
        <v>-0.69255636478645966</v>
      </c>
    </row>
    <row r="1369" spans="1:5" x14ac:dyDescent="0.2">
      <c r="A1369" s="1">
        <v>43614</v>
      </c>
      <c r="B1369">
        <v>49003.06</v>
      </c>
      <c r="C1369" s="6">
        <f t="shared" si="63"/>
        <v>1.1047666256422213E-2</v>
      </c>
      <c r="D1369" s="7">
        <f t="shared" si="64"/>
        <v>0.93342868700744208</v>
      </c>
      <c r="E1369" s="8">
        <f t="shared" si="65"/>
        <v>-1.4980098456614661</v>
      </c>
    </row>
    <row r="1370" spans="1:5" x14ac:dyDescent="0.2">
      <c r="A1370" s="1">
        <v>43615</v>
      </c>
      <c r="B1370">
        <v>49666.85</v>
      </c>
      <c r="C1370" s="6">
        <f t="shared" si="63"/>
        <v>1.3454963405342408E-2</v>
      </c>
      <c r="D1370" s="7">
        <f t="shared" si="64"/>
        <v>1.141153162614317</v>
      </c>
      <c r="E1370" s="8">
        <f t="shared" si="65"/>
        <v>-1.8263315802310247</v>
      </c>
    </row>
    <row r="1371" spans="1:5" x14ac:dyDescent="0.2">
      <c r="A1371" s="1">
        <v>43616</v>
      </c>
      <c r="B1371">
        <v>49587.47</v>
      </c>
      <c r="C1371" s="6">
        <f t="shared" si="63"/>
        <v>-1.5995276966161381E-3</v>
      </c>
      <c r="D1371" s="7">
        <f t="shared" si="64"/>
        <v>-0.15789139907820973</v>
      </c>
      <c r="E1371" s="8">
        <f t="shared" si="65"/>
        <v>-0.71288920807874734</v>
      </c>
    </row>
    <row r="1372" spans="1:5" x14ac:dyDescent="0.2">
      <c r="A1372" s="1">
        <v>43619</v>
      </c>
      <c r="B1372">
        <v>50213.46</v>
      </c>
      <c r="C1372" s="6">
        <f t="shared" si="63"/>
        <v>1.2544937398883758E-2</v>
      </c>
      <c r="D1372" s="7">
        <f t="shared" si="64"/>
        <v>1.0626274704017731</v>
      </c>
      <c r="E1372" s="8">
        <f t="shared" si="65"/>
        <v>-1.6990926149227188</v>
      </c>
    </row>
    <row r="1373" spans="1:5" x14ac:dyDescent="0.2">
      <c r="A1373" s="1">
        <v>43620</v>
      </c>
      <c r="B1373">
        <v>50452.38</v>
      </c>
      <c r="C1373" s="6">
        <f t="shared" si="63"/>
        <v>4.7468028601297119E-3</v>
      </c>
      <c r="D1373" s="7">
        <f t="shared" si="64"/>
        <v>0.38973031331373287</v>
      </c>
      <c r="E1373" s="8">
        <f t="shared" si="65"/>
        <v>-0.84569692317316603</v>
      </c>
    </row>
    <row r="1374" spans="1:5" x14ac:dyDescent="0.2">
      <c r="A1374" s="1">
        <v>43621</v>
      </c>
      <c r="B1374">
        <v>50975.72</v>
      </c>
      <c r="C1374" s="6">
        <f t="shared" si="63"/>
        <v>1.0319519823534387E-2</v>
      </c>
      <c r="D1374" s="7">
        <f t="shared" si="64"/>
        <v>0.87059729288375198</v>
      </c>
      <c r="E1374" s="8">
        <f t="shared" si="65"/>
        <v>-1.4048248579193117</v>
      </c>
    </row>
    <row r="1375" spans="1:5" x14ac:dyDescent="0.2">
      <c r="A1375" s="1">
        <v>43622</v>
      </c>
      <c r="B1375">
        <v>50988.44</v>
      </c>
      <c r="C1375" s="6">
        <f t="shared" si="63"/>
        <v>2.4949943325157197E-4</v>
      </c>
      <c r="D1375" s="7">
        <f t="shared" si="64"/>
        <v>1.6602338005729208E-3</v>
      </c>
      <c r="E1375" s="8">
        <f t="shared" si="65"/>
        <v>-0.68605474948918788</v>
      </c>
    </row>
    <row r="1376" spans="1:5" x14ac:dyDescent="0.2">
      <c r="A1376" s="1">
        <v>43623</v>
      </c>
      <c r="B1376">
        <v>51976.89</v>
      </c>
      <c r="C1376" s="6">
        <f t="shared" si="63"/>
        <v>1.9200256354411596E-2</v>
      </c>
      <c r="D1376" s="7">
        <f t="shared" si="64"/>
        <v>1.636911638292567</v>
      </c>
      <c r="E1376" s="8">
        <f t="shared" si="65"/>
        <v>-2.6734901286951409</v>
      </c>
    </row>
    <row r="1377" spans="1:5" x14ac:dyDescent="0.2">
      <c r="A1377" s="1">
        <v>43626</v>
      </c>
      <c r="B1377">
        <v>52357.04</v>
      </c>
      <c r="C1377" s="6">
        <f t="shared" si="63"/>
        <v>7.2872110208325501E-3</v>
      </c>
      <c r="D1377" s="7">
        <f t="shared" si="64"/>
        <v>0.60894087202939762</v>
      </c>
      <c r="E1377" s="8">
        <f t="shared" si="65"/>
        <v>-1.0608200192714363</v>
      </c>
    </row>
    <row r="1378" spans="1:5" x14ac:dyDescent="0.2">
      <c r="A1378" s="1">
        <v>43627</v>
      </c>
      <c r="B1378">
        <v>52656.33</v>
      </c>
      <c r="C1378" s="6">
        <f t="shared" si="63"/>
        <v>5.7000515332835027E-3</v>
      </c>
      <c r="D1378" s="7">
        <f t="shared" si="64"/>
        <v>0.47198566797264579</v>
      </c>
      <c r="E1378" s="8">
        <f t="shared" si="65"/>
        <v>-0.91718103377002957</v>
      </c>
    </row>
    <row r="1379" spans="1:5" x14ac:dyDescent="0.2">
      <c r="A1379" s="1">
        <v>43628</v>
      </c>
      <c r="B1379">
        <v>52619.43</v>
      </c>
      <c r="C1379" s="6">
        <f t="shared" si="63"/>
        <v>-7.0101610306357422E-4</v>
      </c>
      <c r="D1379" s="7">
        <f t="shared" si="64"/>
        <v>-8.0359279837706563E-2</v>
      </c>
      <c r="E1379" s="8">
        <f t="shared" si="65"/>
        <v>-0.69302837001735784</v>
      </c>
    </row>
    <row r="1380" spans="1:5" x14ac:dyDescent="0.2">
      <c r="A1380" s="1">
        <v>43629</v>
      </c>
      <c r="B1380">
        <v>52592.43</v>
      </c>
      <c r="C1380" s="6">
        <f t="shared" si="63"/>
        <v>-5.1325013344893282E-4</v>
      </c>
      <c r="D1380" s="7">
        <f t="shared" si="64"/>
        <v>-6.4157047557195174E-2</v>
      </c>
      <c r="E1380" s="8">
        <f t="shared" si="65"/>
        <v>-0.69050071732246376</v>
      </c>
    </row>
    <row r="1381" spans="1:5" x14ac:dyDescent="0.2">
      <c r="A1381" s="1">
        <v>43630</v>
      </c>
      <c r="B1381">
        <v>52166.68</v>
      </c>
      <c r="C1381" s="6">
        <f t="shared" si="63"/>
        <v>-8.1282161337828257E-3</v>
      </c>
      <c r="D1381" s="7">
        <f t="shared" si="64"/>
        <v>-0.72124868241958451</v>
      </c>
      <c r="E1381" s="8">
        <f t="shared" si="65"/>
        <v>-1.1986402955169373</v>
      </c>
    </row>
    <row r="1382" spans="1:5" x14ac:dyDescent="0.2">
      <c r="A1382" s="1">
        <v>43634</v>
      </c>
      <c r="B1382">
        <v>52593.97</v>
      </c>
      <c r="C1382" s="6">
        <f t="shared" si="63"/>
        <v>8.1574974857468591E-3</v>
      </c>
      <c r="D1382" s="7">
        <f t="shared" si="64"/>
        <v>0.6840374589352457</v>
      </c>
      <c r="E1382" s="8">
        <f t="shared" si="65"/>
        <v>-1.1511687289607326</v>
      </c>
    </row>
    <row r="1383" spans="1:5" x14ac:dyDescent="0.2">
      <c r="A1383" s="1">
        <v>43635</v>
      </c>
      <c r="B1383">
        <v>52534.39</v>
      </c>
      <c r="C1383" s="6">
        <f t="shared" si="63"/>
        <v>-1.1334716222877433E-3</v>
      </c>
      <c r="D1383" s="7">
        <f t="shared" si="64"/>
        <v>-0.11767565185037385</v>
      </c>
      <c r="E1383" s="8">
        <f t="shared" si="65"/>
        <v>-0.70099088107012553</v>
      </c>
    </row>
    <row r="1384" spans="1:5" x14ac:dyDescent="0.2">
      <c r="A1384" s="1">
        <v>43636</v>
      </c>
      <c r="B1384">
        <v>52960.800000000003</v>
      </c>
      <c r="C1384" s="6">
        <f t="shared" si="63"/>
        <v>8.0840144882645681E-3</v>
      </c>
      <c r="D1384" s="7">
        <f t="shared" si="64"/>
        <v>0.67769664757139847</v>
      </c>
      <c r="E1384" s="8">
        <f t="shared" si="65"/>
        <v>-1.1432519391224567</v>
      </c>
    </row>
    <row r="1385" spans="1:5" x14ac:dyDescent="0.2">
      <c r="A1385" s="1">
        <v>43637</v>
      </c>
      <c r="B1385">
        <v>52902.879999999997</v>
      </c>
      <c r="C1385" s="6">
        <f t="shared" si="63"/>
        <v>-1.0942375284751832E-3</v>
      </c>
      <c r="D1385" s="7">
        <f t="shared" si="64"/>
        <v>-0.11429016137746706</v>
      </c>
      <c r="E1385" s="8">
        <f t="shared" si="65"/>
        <v>-0.70014579593896442</v>
      </c>
    </row>
    <row r="1386" spans="1:5" x14ac:dyDescent="0.2">
      <c r="A1386" s="1">
        <v>43640</v>
      </c>
      <c r="B1386">
        <v>52760.959999999999</v>
      </c>
      <c r="C1386" s="6">
        <f t="shared" si="63"/>
        <v>-2.6862564400631363E-3</v>
      </c>
      <c r="D1386" s="7">
        <f t="shared" si="64"/>
        <v>-0.25166468272152842</v>
      </c>
      <c r="E1386" s="8">
        <f t="shared" si="65"/>
        <v>-0.75373480725565289</v>
      </c>
    </row>
    <row r="1387" spans="1:5" x14ac:dyDescent="0.2">
      <c r="A1387" s="1">
        <v>43641</v>
      </c>
      <c r="B1387">
        <v>52279.51</v>
      </c>
      <c r="C1387" s="6">
        <f t="shared" si="63"/>
        <v>-9.1670071832353952E-3</v>
      </c>
      <c r="D1387" s="7">
        <f t="shared" si="64"/>
        <v>-0.81088544625218428</v>
      </c>
      <c r="E1387" s="8">
        <f t="shared" si="65"/>
        <v>-1.3195988581752716</v>
      </c>
    </row>
    <row r="1388" spans="1:5" x14ac:dyDescent="0.2">
      <c r="A1388" s="1">
        <v>43642</v>
      </c>
      <c r="B1388">
        <v>52407.3</v>
      </c>
      <c r="C1388" s="6">
        <f t="shared" si="63"/>
        <v>2.4413784978743595E-3</v>
      </c>
      <c r="D1388" s="7">
        <f t="shared" si="64"/>
        <v>0.19079638988196329</v>
      </c>
      <c r="E1388" s="8">
        <f t="shared" si="65"/>
        <v>-0.72515455405263141</v>
      </c>
    </row>
    <row r="1389" spans="1:5" x14ac:dyDescent="0.2">
      <c r="A1389" s="1">
        <v>43643</v>
      </c>
      <c r="B1389">
        <v>52056.36</v>
      </c>
      <c r="C1389" s="6">
        <f t="shared" si="63"/>
        <v>-6.7189168028517349E-3</v>
      </c>
      <c r="D1389" s="7">
        <f t="shared" si="64"/>
        <v>-0.59964094295871528</v>
      </c>
      <c r="E1389" s="8">
        <f t="shared" si="65"/>
        <v>-1.0501700651349535</v>
      </c>
    </row>
    <row r="1390" spans="1:5" x14ac:dyDescent="0.2">
      <c r="A1390" s="1">
        <v>43644</v>
      </c>
      <c r="B1390">
        <v>52198.94</v>
      </c>
      <c r="C1390" s="6">
        <f t="shared" si="63"/>
        <v>2.7352103709106621E-3</v>
      </c>
      <c r="D1390" s="7">
        <f t="shared" si="64"/>
        <v>0.21615099630038151</v>
      </c>
      <c r="E1390" s="8">
        <f t="shared" si="65"/>
        <v>-0.73613870537694681</v>
      </c>
    </row>
    <row r="1391" spans="1:5" x14ac:dyDescent="0.2">
      <c r="A1391" s="1">
        <v>43647</v>
      </c>
      <c r="B1391">
        <v>52464.75</v>
      </c>
      <c r="C1391" s="6">
        <f t="shared" si="63"/>
        <v>5.0793273480353261E-3</v>
      </c>
      <c r="D1391" s="7">
        <f t="shared" si="64"/>
        <v>0.41842368625592308</v>
      </c>
      <c r="E1391" s="8">
        <f t="shared" si="65"/>
        <v>-0.86928520106211082</v>
      </c>
    </row>
    <row r="1392" spans="1:5" x14ac:dyDescent="0.2">
      <c r="A1392" s="1">
        <v>43648</v>
      </c>
      <c r="B1392">
        <v>52093.35</v>
      </c>
      <c r="C1392" s="6">
        <f t="shared" si="63"/>
        <v>-7.104214059757705E-3</v>
      </c>
      <c r="D1392" s="7">
        <f t="shared" si="64"/>
        <v>-0.63288805193296893</v>
      </c>
      <c r="E1392" s="8">
        <f t="shared" si="65"/>
        <v>-1.0888033245661517</v>
      </c>
    </row>
    <row r="1393" spans="1:5" x14ac:dyDescent="0.2">
      <c r="A1393" s="1">
        <v>43649</v>
      </c>
      <c r="B1393">
        <v>51960.56</v>
      </c>
      <c r="C1393" s="6">
        <f t="shared" si="63"/>
        <v>-2.5523321917888947E-3</v>
      </c>
      <c r="D1393" s="7">
        <f t="shared" si="64"/>
        <v>-0.24010842583970132</v>
      </c>
      <c r="E1393" s="8">
        <f t="shared" si="65"/>
        <v>-0.74772824080943012</v>
      </c>
    </row>
    <row r="1394" spans="1:5" x14ac:dyDescent="0.2">
      <c r="A1394" s="1">
        <v>43650</v>
      </c>
      <c r="B1394">
        <v>51746.94</v>
      </c>
      <c r="C1394" s="6">
        <f t="shared" si="63"/>
        <v>-4.1196693030690155E-3</v>
      </c>
      <c r="D1394" s="7">
        <f t="shared" si="64"/>
        <v>-0.37535316689125586</v>
      </c>
      <c r="E1394" s="8">
        <f t="shared" si="65"/>
        <v>-0.83443750517120585</v>
      </c>
    </row>
    <row r="1395" spans="1:5" x14ac:dyDescent="0.2">
      <c r="A1395" s="1">
        <v>43651</v>
      </c>
      <c r="B1395">
        <v>51539.3</v>
      </c>
      <c r="C1395" s="6">
        <f t="shared" si="63"/>
        <v>-4.0206765145644526E-3</v>
      </c>
      <c r="D1395" s="7">
        <f t="shared" si="64"/>
        <v>-0.36681112832730195</v>
      </c>
      <c r="E1395" s="8">
        <f t="shared" si="65"/>
        <v>-0.82792752654430934</v>
      </c>
    </row>
    <row r="1396" spans="1:5" x14ac:dyDescent="0.2">
      <c r="A1396" s="1">
        <v>43654</v>
      </c>
      <c r="B1396">
        <v>51649.36</v>
      </c>
      <c r="C1396" s="6">
        <f t="shared" si="63"/>
        <v>2.1331809471177251E-3</v>
      </c>
      <c r="D1396" s="7">
        <f t="shared" si="64"/>
        <v>0.16420217626651429</v>
      </c>
      <c r="E1396" s="8">
        <f t="shared" si="65"/>
        <v>-0.71506607526894195</v>
      </c>
    </row>
    <row r="1397" spans="1:5" x14ac:dyDescent="0.2">
      <c r="A1397" s="1">
        <v>43655</v>
      </c>
      <c r="B1397">
        <v>50908.51</v>
      </c>
      <c r="C1397" s="6">
        <f t="shared" si="63"/>
        <v>-1.4447704243540036E-2</v>
      </c>
      <c r="D1397" s="7">
        <f t="shared" si="64"/>
        <v>-1.2665541733898296</v>
      </c>
      <c r="E1397" s="8">
        <f t="shared" si="65"/>
        <v>-2.0353121399544798</v>
      </c>
    </row>
    <row r="1398" spans="1:5" x14ac:dyDescent="0.2">
      <c r="A1398" s="1">
        <v>43656</v>
      </c>
      <c r="B1398">
        <v>51491.95</v>
      </c>
      <c r="C1398" s="6">
        <f t="shared" si="63"/>
        <v>1.139538462085523E-2</v>
      </c>
      <c r="D1398" s="7">
        <f t="shared" si="64"/>
        <v>0.96343313201047276</v>
      </c>
      <c r="E1398" s="8">
        <f t="shared" si="65"/>
        <v>-1.5436508731695571</v>
      </c>
    </row>
    <row r="1399" spans="1:5" x14ac:dyDescent="0.2">
      <c r="A1399" s="1">
        <v>43657</v>
      </c>
      <c r="B1399">
        <v>51188.17</v>
      </c>
      <c r="C1399" s="6">
        <f t="shared" si="63"/>
        <v>-5.9170341115759818E-3</v>
      </c>
      <c r="D1399" s="7">
        <f t="shared" si="64"/>
        <v>-0.53044688371339044</v>
      </c>
      <c r="E1399" s="8">
        <f t="shared" si="65"/>
        <v>-0.97493042453768486</v>
      </c>
    </row>
    <row r="1400" spans="1:5" x14ac:dyDescent="0.2">
      <c r="A1400" s="1">
        <v>43658</v>
      </c>
      <c r="B1400">
        <v>51189.53</v>
      </c>
      <c r="C1400" s="6">
        <f t="shared" si="63"/>
        <v>2.6568285868533534E-5</v>
      </c>
      <c r="D1400" s="7">
        <f t="shared" si="64"/>
        <v>-1.7576384207865468E-2</v>
      </c>
      <c r="E1400" s="8">
        <f t="shared" si="65"/>
        <v>-0.68638592303747115</v>
      </c>
    </row>
    <row r="1401" spans="1:5" x14ac:dyDescent="0.2">
      <c r="A1401" s="1">
        <v>43661</v>
      </c>
      <c r="B1401">
        <v>51447.25</v>
      </c>
      <c r="C1401" s="6">
        <f t="shared" si="63"/>
        <v>5.0219919535660377E-3</v>
      </c>
      <c r="D1401" s="7">
        <f t="shared" si="64"/>
        <v>0.41347624353777401</v>
      </c>
      <c r="E1401" s="8">
        <f t="shared" si="65"/>
        <v>-0.86511303040396481</v>
      </c>
    </row>
    <row r="1402" spans="1:5" x14ac:dyDescent="0.2">
      <c r="A1402" s="1">
        <v>43662</v>
      </c>
      <c r="B1402">
        <v>51958.04</v>
      </c>
      <c r="C1402" s="6">
        <f t="shared" si="63"/>
        <v>9.8794588666863831E-3</v>
      </c>
      <c r="D1402" s="7">
        <f t="shared" si="64"/>
        <v>0.83262465143509901</v>
      </c>
      <c r="E1402" s="8">
        <f t="shared" si="65"/>
        <v>-1.3502255811441342</v>
      </c>
    </row>
    <row r="1403" spans="1:5" x14ac:dyDescent="0.2">
      <c r="A1403" s="1">
        <v>43663</v>
      </c>
      <c r="B1403">
        <v>51565.16</v>
      </c>
      <c r="C1403" s="6">
        <f t="shared" si="63"/>
        <v>-7.5902191237574674E-3</v>
      </c>
      <c r="D1403" s="7">
        <f t="shared" si="64"/>
        <v>-0.67482518757362742</v>
      </c>
      <c r="E1403" s="8">
        <f t="shared" si="65"/>
        <v>-1.1396837057030693</v>
      </c>
    </row>
    <row r="1404" spans="1:5" x14ac:dyDescent="0.2">
      <c r="A1404" s="1">
        <v>43664</v>
      </c>
      <c r="B1404">
        <v>51733.36</v>
      </c>
      <c r="C1404" s="6">
        <f t="shared" si="63"/>
        <v>3.2565839017145099E-3</v>
      </c>
      <c r="D1404" s="7">
        <f t="shared" si="64"/>
        <v>0.26114005937891072</v>
      </c>
      <c r="E1404" s="8">
        <f t="shared" si="65"/>
        <v>-0.75886018914819242</v>
      </c>
    </row>
    <row r="1405" spans="1:5" x14ac:dyDescent="0.2">
      <c r="A1405" s="1">
        <v>43665</v>
      </c>
      <c r="B1405">
        <v>52107.18</v>
      </c>
      <c r="C1405" s="6">
        <f t="shared" si="63"/>
        <v>7.1999166195322517E-3</v>
      </c>
      <c r="D1405" s="7">
        <f t="shared" si="64"/>
        <v>0.60140828148831948</v>
      </c>
      <c r="E1405" s="8">
        <f t="shared" si="65"/>
        <v>-1.0521844624643659</v>
      </c>
    </row>
    <row r="1406" spans="1:5" x14ac:dyDescent="0.2">
      <c r="A1406" s="1">
        <v>43668</v>
      </c>
      <c r="B1406">
        <v>51890.58</v>
      </c>
      <c r="C1406" s="6">
        <f t="shared" si="63"/>
        <v>-4.1654803562989609E-3</v>
      </c>
      <c r="D1406" s="7">
        <f t="shared" si="64"/>
        <v>-0.37930617992641752</v>
      </c>
      <c r="E1406" s="8">
        <f t="shared" si="65"/>
        <v>-0.83749561004358852</v>
      </c>
    </row>
    <row r="1407" spans="1:5" x14ac:dyDescent="0.2">
      <c r="A1407" s="1">
        <v>43669</v>
      </c>
      <c r="B1407">
        <v>52209.63</v>
      </c>
      <c r="C1407" s="6">
        <f t="shared" si="63"/>
        <v>6.1296898243354608E-3</v>
      </c>
      <c r="D1407" s="7">
        <f t="shared" si="64"/>
        <v>0.50905894276526287</v>
      </c>
      <c r="E1407" s="8">
        <f t="shared" si="65"/>
        <v>-0.95316205933107434</v>
      </c>
    </row>
    <row r="1408" spans="1:5" x14ac:dyDescent="0.2">
      <c r="A1408" s="1">
        <v>43670</v>
      </c>
      <c r="B1408">
        <v>51626.64</v>
      </c>
      <c r="C1408" s="6">
        <f t="shared" si="63"/>
        <v>-1.1229142301264022E-2</v>
      </c>
      <c r="D1408" s="7">
        <f t="shared" si="64"/>
        <v>-0.98882606160794084</v>
      </c>
      <c r="E1408" s="8">
        <f t="shared" si="65"/>
        <v>-1.5828056070654286</v>
      </c>
    </row>
    <row r="1409" spans="1:5" x14ac:dyDescent="0.2">
      <c r="A1409" s="1">
        <v>43671</v>
      </c>
      <c r="B1409">
        <v>51563.21</v>
      </c>
      <c r="C1409" s="6">
        <f t="shared" si="63"/>
        <v>-1.229384634030186E-3</v>
      </c>
      <c r="D1409" s="7">
        <f t="shared" si="64"/>
        <v>-0.125951938006826</v>
      </c>
      <c r="E1409" s="8">
        <f t="shared" si="65"/>
        <v>-0.7031594948842621</v>
      </c>
    </row>
    <row r="1410" spans="1:5" x14ac:dyDescent="0.2">
      <c r="A1410" s="1">
        <v>43672</v>
      </c>
      <c r="B1410">
        <v>51522.69</v>
      </c>
      <c r="C1410" s="6">
        <f t="shared" si="63"/>
        <v>-7.8614053108778459E-4</v>
      </c>
      <c r="D1410" s="7">
        <f t="shared" si="64"/>
        <v>-8.7704624462318359E-2</v>
      </c>
      <c r="E1410" s="8">
        <f t="shared" si="65"/>
        <v>-0.69436008661198367</v>
      </c>
    </row>
    <row r="1411" spans="1:5" x14ac:dyDescent="0.2">
      <c r="A1411" s="1">
        <v>43675</v>
      </c>
      <c r="B1411">
        <v>51977.41</v>
      </c>
      <c r="C1411" s="6">
        <f t="shared" ref="C1411:C1474" si="66">LN(B1411/B1410)</f>
        <v>8.7869079494818283E-3</v>
      </c>
      <c r="D1411" s="7">
        <f t="shared" ref="D1411:D1474" si="67">(C1411-$G$4)/$G$5</f>
        <v>0.73834897530931376</v>
      </c>
      <c r="E1411" s="8">
        <f t="shared" ref="E1411:E1474" si="68">LN((PI()*(G$3-2))^(-1/2)*EXP(GAMMALN((G$3+1)/2))*((1+D1411^2/(G$3-2))^(-(G$3+1)/2))/EXP(GAMMALN(G$3/2)))</f>
        <v>-1.2210170909472735</v>
      </c>
    </row>
    <row r="1412" spans="1:5" x14ac:dyDescent="0.2">
      <c r="A1412" s="1">
        <v>43676</v>
      </c>
      <c r="B1412">
        <v>51206.879999999997</v>
      </c>
      <c r="C1412" s="6">
        <f t="shared" si="66"/>
        <v>-1.4935303097511567E-2</v>
      </c>
      <c r="D1412" s="7">
        <f t="shared" si="67"/>
        <v>-1.3086288363757355</v>
      </c>
      <c r="E1412" s="8">
        <f t="shared" si="68"/>
        <v>-2.1066462016130152</v>
      </c>
    </row>
    <row r="1413" spans="1:5" x14ac:dyDescent="0.2">
      <c r="A1413" s="1">
        <v>43677</v>
      </c>
      <c r="B1413">
        <v>50798.7</v>
      </c>
      <c r="C1413" s="6">
        <f t="shared" si="66"/>
        <v>-8.0031343121391811E-3</v>
      </c>
      <c r="D1413" s="7">
        <f t="shared" si="67"/>
        <v>-0.71045543414089429</v>
      </c>
      <c r="E1413" s="8">
        <f t="shared" si="68"/>
        <v>-1.1846960520845078</v>
      </c>
    </row>
    <row r="1414" spans="1:5" x14ac:dyDescent="0.2">
      <c r="A1414" s="1">
        <v>43678</v>
      </c>
      <c r="B1414">
        <v>51331.519999999997</v>
      </c>
      <c r="C1414" s="6">
        <f t="shared" si="66"/>
        <v>1.0434224740452289E-2</v>
      </c>
      <c r="D1414" s="7">
        <f t="shared" si="67"/>
        <v>0.88049512320643941</v>
      </c>
      <c r="E1414" s="8">
        <f t="shared" si="68"/>
        <v>-1.419276748891356</v>
      </c>
    </row>
    <row r="1415" spans="1:5" x14ac:dyDescent="0.2">
      <c r="A1415" s="1">
        <v>43679</v>
      </c>
      <c r="B1415">
        <v>50332.33</v>
      </c>
      <c r="C1415" s="6">
        <f t="shared" si="66"/>
        <v>-1.9657374272963841E-2</v>
      </c>
      <c r="D1415" s="7">
        <f t="shared" si="67"/>
        <v>-1.7160940133021263</v>
      </c>
      <c r="E1415" s="8">
        <f t="shared" si="68"/>
        <v>-2.8108912858710347</v>
      </c>
    </row>
    <row r="1416" spans="1:5" x14ac:dyDescent="0.2">
      <c r="A1416" s="1">
        <v>43682</v>
      </c>
      <c r="B1416">
        <v>49066.14</v>
      </c>
      <c r="C1416" s="6">
        <f t="shared" si="66"/>
        <v>-2.5478430299892423E-2</v>
      </c>
      <c r="D1416" s="7">
        <f t="shared" si="67"/>
        <v>-2.2183900473477611</v>
      </c>
      <c r="E1416" s="8">
        <f t="shared" si="68"/>
        <v>-3.6640191736071692</v>
      </c>
    </row>
    <row r="1417" spans="1:5" x14ac:dyDescent="0.2">
      <c r="A1417" s="1">
        <v>43683</v>
      </c>
      <c r="B1417">
        <v>49113.36</v>
      </c>
      <c r="C1417" s="6">
        <f t="shared" si="66"/>
        <v>9.6191167485991619E-4</v>
      </c>
      <c r="D1417" s="7">
        <f t="shared" si="67"/>
        <v>6.3133932371765594E-2</v>
      </c>
      <c r="E1417" s="8">
        <f t="shared" si="68"/>
        <v>-0.69036006220581192</v>
      </c>
    </row>
    <row r="1418" spans="1:5" x14ac:dyDescent="0.2">
      <c r="A1418" s="1">
        <v>43684</v>
      </c>
      <c r="B1418">
        <v>49253.74</v>
      </c>
      <c r="C1418" s="6">
        <f t="shared" si="66"/>
        <v>2.8542082728984361E-3</v>
      </c>
      <c r="D1418" s="7">
        <f t="shared" si="67"/>
        <v>0.22641926617301289</v>
      </c>
      <c r="E1418" s="8">
        <f t="shared" si="68"/>
        <v>-0.74096285105388282</v>
      </c>
    </row>
    <row r="1419" spans="1:5" x14ac:dyDescent="0.2">
      <c r="A1419" s="1">
        <v>43685</v>
      </c>
      <c r="B1419">
        <v>49619.58</v>
      </c>
      <c r="C1419" s="6">
        <f t="shared" si="66"/>
        <v>7.4002100777669092E-3</v>
      </c>
      <c r="D1419" s="7">
        <f t="shared" si="67"/>
        <v>0.61869150454117128</v>
      </c>
      <c r="E1419" s="8">
        <f t="shared" si="68"/>
        <v>-1.072117575372636</v>
      </c>
    </row>
    <row r="1420" spans="1:5" x14ac:dyDescent="0.2">
      <c r="A1420" s="1">
        <v>43689</v>
      </c>
      <c r="B1420">
        <v>49512.94</v>
      </c>
      <c r="C1420" s="6">
        <f t="shared" si="66"/>
        <v>-2.1514643455969448E-3</v>
      </c>
      <c r="D1420" s="7">
        <f t="shared" si="67"/>
        <v>-0.20551773844773089</v>
      </c>
      <c r="E1420" s="8">
        <f t="shared" si="68"/>
        <v>-0.73137082441690249</v>
      </c>
    </row>
    <row r="1421" spans="1:5" x14ac:dyDescent="0.2">
      <c r="A1421" s="1">
        <v>43690</v>
      </c>
      <c r="B1421">
        <v>49448.44</v>
      </c>
      <c r="C1421" s="6">
        <f t="shared" si="66"/>
        <v>-1.3035389994212267E-3</v>
      </c>
      <c r="D1421" s="7">
        <f t="shared" si="67"/>
        <v>-0.13235068137414313</v>
      </c>
      <c r="E1421" s="8">
        <f t="shared" si="68"/>
        <v>-0.70493587800730184</v>
      </c>
    </row>
    <row r="1422" spans="1:5" x14ac:dyDescent="0.2">
      <c r="A1422" s="1">
        <v>43691</v>
      </c>
      <c r="B1422">
        <v>48277.82</v>
      </c>
      <c r="C1422" s="6">
        <f t="shared" si="66"/>
        <v>-2.3958268616600064E-2</v>
      </c>
      <c r="D1422" s="7">
        <f t="shared" si="67"/>
        <v>-2.087216050551723</v>
      </c>
      <c r="E1422" s="8">
        <f t="shared" si="68"/>
        <v>-3.44563873364838</v>
      </c>
    </row>
    <row r="1423" spans="1:5" x14ac:dyDescent="0.2">
      <c r="A1423" s="1">
        <v>43692</v>
      </c>
      <c r="B1423">
        <v>48116.97</v>
      </c>
      <c r="C1423" s="6">
        <f t="shared" si="66"/>
        <v>-3.3373203944250091E-3</v>
      </c>
      <c r="D1423" s="7">
        <f t="shared" si="67"/>
        <v>-0.30784466804948091</v>
      </c>
      <c r="E1423" s="8">
        <f t="shared" si="68"/>
        <v>-0.78672576027163577</v>
      </c>
    </row>
    <row r="1424" spans="1:5" x14ac:dyDescent="0.2">
      <c r="A1424" s="1">
        <v>43693</v>
      </c>
      <c r="B1424">
        <v>48158.38</v>
      </c>
      <c r="C1424" s="6">
        <f t="shared" si="66"/>
        <v>8.602410181561222E-4</v>
      </c>
      <c r="D1424" s="7">
        <f t="shared" si="67"/>
        <v>5.4360821890628915E-2</v>
      </c>
      <c r="E1424" s="8">
        <f t="shared" si="68"/>
        <v>-0.68924652921848062</v>
      </c>
    </row>
    <row r="1425" spans="1:5" x14ac:dyDescent="0.2">
      <c r="A1425" s="1">
        <v>43696</v>
      </c>
      <c r="B1425">
        <v>48646.95</v>
      </c>
      <c r="C1425" s="6">
        <f t="shared" si="66"/>
        <v>1.0093951402718392E-2</v>
      </c>
      <c r="D1425" s="7">
        <f t="shared" si="67"/>
        <v>0.85113310586035484</v>
      </c>
      <c r="E1425" s="8">
        <f t="shared" si="68"/>
        <v>-1.3766674400042322</v>
      </c>
    </row>
    <row r="1426" spans="1:5" x14ac:dyDescent="0.2">
      <c r="A1426" s="1">
        <v>43697</v>
      </c>
      <c r="B1426">
        <v>48545.63</v>
      </c>
      <c r="C1426" s="6">
        <f t="shared" si="66"/>
        <v>-2.0849335762612442E-3</v>
      </c>
      <c r="D1426" s="7">
        <f t="shared" si="67"/>
        <v>-0.19977683139843727</v>
      </c>
      <c r="E1426" s="8">
        <f t="shared" si="68"/>
        <v>-0.72889338496264588</v>
      </c>
    </row>
    <row r="1427" spans="1:5" x14ac:dyDescent="0.2">
      <c r="A1427" s="1">
        <v>43698</v>
      </c>
      <c r="B1427">
        <v>48837.01</v>
      </c>
      <c r="C1427" s="6">
        <f t="shared" si="66"/>
        <v>5.9842466697412697E-3</v>
      </c>
      <c r="D1427" s="7">
        <f t="shared" si="67"/>
        <v>0.496508725176944</v>
      </c>
      <c r="E1427" s="8">
        <f t="shared" si="68"/>
        <v>-0.94072963672140608</v>
      </c>
    </row>
    <row r="1428" spans="1:5" x14ac:dyDescent="0.2">
      <c r="A1428" s="1">
        <v>43699</v>
      </c>
      <c r="B1428">
        <v>48435.040000000001</v>
      </c>
      <c r="C1428" s="6">
        <f t="shared" si="66"/>
        <v>-8.2649083301605687E-3</v>
      </c>
      <c r="D1428" s="7">
        <f t="shared" si="67"/>
        <v>-0.73304378416880356</v>
      </c>
      <c r="E1428" s="8">
        <f t="shared" si="68"/>
        <v>-1.2140380916027396</v>
      </c>
    </row>
    <row r="1429" spans="1:5" x14ac:dyDescent="0.2">
      <c r="A1429" s="1">
        <v>43700</v>
      </c>
      <c r="B1429">
        <v>48247.95</v>
      </c>
      <c r="C1429" s="6">
        <f t="shared" si="66"/>
        <v>-3.8701788913207253E-3</v>
      </c>
      <c r="D1429" s="7">
        <f t="shared" si="67"/>
        <v>-0.35382476314907418</v>
      </c>
      <c r="E1429" s="8">
        <f t="shared" si="68"/>
        <v>-0.81828971396408534</v>
      </c>
    </row>
    <row r="1430" spans="1:5" x14ac:dyDescent="0.2">
      <c r="A1430" s="1">
        <v>43703</v>
      </c>
      <c r="B1430">
        <v>48042.94</v>
      </c>
      <c r="C1430" s="6">
        <f t="shared" si="66"/>
        <v>-4.2581454957296167E-3</v>
      </c>
      <c r="D1430" s="7">
        <f t="shared" si="67"/>
        <v>-0.38730220879385713</v>
      </c>
      <c r="E1430" s="8">
        <f t="shared" si="68"/>
        <v>-0.84376888855595333</v>
      </c>
    </row>
    <row r="1431" spans="1:5" x14ac:dyDescent="0.2">
      <c r="A1431" s="1">
        <v>43704</v>
      </c>
      <c r="B1431">
        <v>48147.85</v>
      </c>
      <c r="C1431" s="6">
        <f t="shared" si="66"/>
        <v>2.1812907784012764E-3</v>
      </c>
      <c r="D1431" s="7">
        <f t="shared" si="67"/>
        <v>0.16835354971843466</v>
      </c>
      <c r="E1431" s="8">
        <f t="shared" si="68"/>
        <v>-0.71654361363302788</v>
      </c>
    </row>
    <row r="1432" spans="1:5" x14ac:dyDescent="0.2">
      <c r="A1432" s="1">
        <v>43705</v>
      </c>
      <c r="B1432">
        <v>48429.35</v>
      </c>
      <c r="C1432" s="6">
        <f t="shared" si="66"/>
        <v>5.8295497736391968E-3</v>
      </c>
      <c r="D1432" s="7">
        <f t="shared" si="67"/>
        <v>0.48316000682897092</v>
      </c>
      <c r="E1432" s="8">
        <f t="shared" si="68"/>
        <v>-0.92778805442835266</v>
      </c>
    </row>
    <row r="1433" spans="1:5" x14ac:dyDescent="0.2">
      <c r="A1433" s="1">
        <v>43706</v>
      </c>
      <c r="B1433">
        <v>48561.36</v>
      </c>
      <c r="C1433" s="6">
        <f t="shared" si="66"/>
        <v>2.7221180567780444E-3</v>
      </c>
      <c r="D1433" s="7">
        <f t="shared" si="67"/>
        <v>0.21502126701502994</v>
      </c>
      <c r="E1433" s="8">
        <f t="shared" si="68"/>
        <v>-0.73562111996921342</v>
      </c>
    </row>
    <row r="1434" spans="1:5" x14ac:dyDescent="0.2">
      <c r="A1434" s="1">
        <v>43707</v>
      </c>
      <c r="B1434">
        <v>49320.23</v>
      </c>
      <c r="C1434" s="6">
        <f t="shared" si="66"/>
        <v>1.5506188758965018E-2</v>
      </c>
      <c r="D1434" s="7">
        <f t="shared" si="67"/>
        <v>1.318152379816858</v>
      </c>
      <c r="E1434" s="8">
        <f t="shared" si="68"/>
        <v>-2.1228600548121679</v>
      </c>
    </row>
    <row r="1435" spans="1:5" x14ac:dyDescent="0.2">
      <c r="A1435" s="1">
        <v>43710</v>
      </c>
      <c r="B1435">
        <v>48889.37</v>
      </c>
      <c r="C1435" s="6">
        <f t="shared" si="66"/>
        <v>-8.7743512710595321E-3</v>
      </c>
      <c r="D1435" s="7">
        <f t="shared" si="67"/>
        <v>-0.77700336256872371</v>
      </c>
      <c r="E1435" s="8">
        <f t="shared" si="68"/>
        <v>-1.2728364810083717</v>
      </c>
    </row>
    <row r="1436" spans="1:5" x14ac:dyDescent="0.2">
      <c r="A1436" s="1">
        <v>43711</v>
      </c>
      <c r="B1436">
        <v>48872.85</v>
      </c>
      <c r="C1436" s="6">
        <f t="shared" si="66"/>
        <v>-3.3796286862641849E-4</v>
      </c>
      <c r="D1436" s="7">
        <f t="shared" si="67"/>
        <v>-4.9031596516739807E-2</v>
      </c>
      <c r="E1436" s="8">
        <f t="shared" si="68"/>
        <v>-0.68865111824198322</v>
      </c>
    </row>
    <row r="1437" spans="1:5" x14ac:dyDescent="0.2">
      <c r="A1437" s="1">
        <v>43712</v>
      </c>
      <c r="B1437">
        <v>49031.01</v>
      </c>
      <c r="C1437" s="6">
        <f t="shared" si="66"/>
        <v>3.230927515719793E-3</v>
      </c>
      <c r="D1437" s="7">
        <f t="shared" si="67"/>
        <v>0.2589261825714253</v>
      </c>
      <c r="E1437" s="8">
        <f t="shared" si="68"/>
        <v>-0.75764656179928014</v>
      </c>
    </row>
    <row r="1438" spans="1:5" x14ac:dyDescent="0.2">
      <c r="A1438" s="1">
        <v>43713</v>
      </c>
      <c r="B1438">
        <v>49576.77</v>
      </c>
      <c r="C1438" s="6">
        <f t="shared" si="66"/>
        <v>1.1069422164231756E-2</v>
      </c>
      <c r="D1438" s="7">
        <f t="shared" si="67"/>
        <v>0.93530599348915988</v>
      </c>
      <c r="E1438" s="8">
        <f t="shared" si="68"/>
        <v>-1.5008448534049661</v>
      </c>
    </row>
    <row r="1439" spans="1:5" x14ac:dyDescent="0.2">
      <c r="A1439" s="1">
        <v>43714</v>
      </c>
      <c r="B1439">
        <v>49673.77</v>
      </c>
      <c r="C1439" s="6">
        <f t="shared" si="66"/>
        <v>1.9546499370912979E-3</v>
      </c>
      <c r="D1439" s="7">
        <f t="shared" si="67"/>
        <v>0.14879682406313544</v>
      </c>
      <c r="E1439" s="8">
        <f t="shared" si="68"/>
        <v>-0.70989936251743024</v>
      </c>
    </row>
    <row r="1440" spans="1:5" x14ac:dyDescent="0.2">
      <c r="A1440" s="1">
        <v>43717</v>
      </c>
      <c r="B1440">
        <v>49602.2</v>
      </c>
      <c r="C1440" s="6">
        <f t="shared" si="66"/>
        <v>-1.4418395992285454E-3</v>
      </c>
      <c r="D1440" s="7">
        <f t="shared" si="67"/>
        <v>-0.14428457145662746</v>
      </c>
      <c r="E1440" s="8">
        <f t="shared" si="68"/>
        <v>-0.70848065089242163</v>
      </c>
    </row>
    <row r="1441" spans="1:5" x14ac:dyDescent="0.2">
      <c r="A1441" s="1">
        <v>43718</v>
      </c>
      <c r="B1441">
        <v>49484.56</v>
      </c>
      <c r="C1441" s="6">
        <f t="shared" si="66"/>
        <v>-2.3744858601286748E-3</v>
      </c>
      <c r="D1441" s="7">
        <f t="shared" si="67"/>
        <v>-0.22476215419255693</v>
      </c>
      <c r="E1441" s="8">
        <f t="shared" si="68"/>
        <v>-0.74016974693007009</v>
      </c>
    </row>
    <row r="1442" spans="1:5" x14ac:dyDescent="0.2">
      <c r="A1442" s="1">
        <v>43719</v>
      </c>
      <c r="B1442">
        <v>50359.15</v>
      </c>
      <c r="C1442" s="6">
        <f t="shared" si="66"/>
        <v>1.7519628832907377E-2</v>
      </c>
      <c r="D1442" s="7">
        <f t="shared" si="67"/>
        <v>1.4918911239985424</v>
      </c>
      <c r="E1442" s="8">
        <f t="shared" si="68"/>
        <v>-2.4217656537092176</v>
      </c>
    </row>
    <row r="1443" spans="1:5" x14ac:dyDescent="0.2">
      <c r="A1443" s="1">
        <v>43720</v>
      </c>
      <c r="B1443">
        <v>50768.84</v>
      </c>
      <c r="C1443" s="6">
        <f t="shared" si="66"/>
        <v>8.1024500008924066E-3</v>
      </c>
      <c r="D1443" s="7">
        <f t="shared" si="67"/>
        <v>0.67928743880167075</v>
      </c>
      <c r="E1443" s="8">
        <f t="shared" si="68"/>
        <v>-1.1452332933454326</v>
      </c>
    </row>
    <row r="1444" spans="1:5" x14ac:dyDescent="0.2">
      <c r="A1444" s="1">
        <v>43721</v>
      </c>
      <c r="B1444">
        <v>51145.56</v>
      </c>
      <c r="C1444" s="6">
        <f t="shared" si="66"/>
        <v>7.3929045513148241E-3</v>
      </c>
      <c r="D1444" s="7">
        <f t="shared" si="67"/>
        <v>0.6180611142912712</v>
      </c>
      <c r="E1444" s="8">
        <f t="shared" si="68"/>
        <v>-1.0713831398747053</v>
      </c>
    </row>
    <row r="1445" spans="1:5" x14ac:dyDescent="0.2">
      <c r="A1445" s="1">
        <v>43724</v>
      </c>
      <c r="B1445">
        <v>51801.53</v>
      </c>
      <c r="C1445" s="6">
        <f t="shared" si="66"/>
        <v>1.2744000397844603E-2</v>
      </c>
      <c r="D1445" s="7">
        <f t="shared" si="67"/>
        <v>1.0798045177348874</v>
      </c>
      <c r="E1445" s="8">
        <f t="shared" si="68"/>
        <v>-1.7266407648300566</v>
      </c>
    </row>
    <row r="1446" spans="1:5" x14ac:dyDescent="0.2">
      <c r="A1446" s="1">
        <v>43725</v>
      </c>
      <c r="B1446">
        <v>50873.91</v>
      </c>
      <c r="C1446" s="6">
        <f t="shared" si="66"/>
        <v>-1.8069467036960746E-2</v>
      </c>
      <c r="D1446" s="7">
        <f t="shared" si="67"/>
        <v>-1.5790742864025784</v>
      </c>
      <c r="E1446" s="8">
        <f t="shared" si="68"/>
        <v>-2.5730312976396963</v>
      </c>
    </row>
    <row r="1447" spans="1:5" x14ac:dyDescent="0.2">
      <c r="A1447" s="1">
        <v>43726</v>
      </c>
      <c r="B1447">
        <v>50134.23</v>
      </c>
      <c r="C1447" s="6">
        <f t="shared" si="66"/>
        <v>-1.4646210145832554E-2</v>
      </c>
      <c r="D1447" s="7">
        <f t="shared" si="67"/>
        <v>-1.2836831491280674</v>
      </c>
      <c r="E1447" s="8">
        <f t="shared" si="68"/>
        <v>-2.0642914093125051</v>
      </c>
    </row>
    <row r="1448" spans="1:5" x14ac:dyDescent="0.2">
      <c r="A1448" s="1">
        <v>43727</v>
      </c>
      <c r="B1448">
        <v>50077.78</v>
      </c>
      <c r="C1448" s="6">
        <f t="shared" si="66"/>
        <v>-1.1266115901833718E-3</v>
      </c>
      <c r="D1448" s="7">
        <f t="shared" si="67"/>
        <v>-0.1170837030865222</v>
      </c>
      <c r="E1448" s="8">
        <f t="shared" si="68"/>
        <v>-0.70084135815423798</v>
      </c>
    </row>
    <row r="1449" spans="1:5" x14ac:dyDescent="0.2">
      <c r="A1449" s="1">
        <v>43728</v>
      </c>
      <c r="B1449">
        <v>50341.64</v>
      </c>
      <c r="C1449" s="6">
        <f t="shared" si="66"/>
        <v>5.2551709071332331E-3</v>
      </c>
      <c r="D1449" s="7">
        <f t="shared" si="67"/>
        <v>0.43359713965316721</v>
      </c>
      <c r="E1449" s="8">
        <f t="shared" si="68"/>
        <v>-0.88234999552292914</v>
      </c>
    </row>
    <row r="1450" spans="1:5" x14ac:dyDescent="0.2">
      <c r="A1450" s="1">
        <v>43731</v>
      </c>
      <c r="B1450">
        <v>49559.37</v>
      </c>
      <c r="C1450" s="6">
        <f t="shared" si="66"/>
        <v>-1.5661222827192883E-2</v>
      </c>
      <c r="D1450" s="7">
        <f t="shared" si="67"/>
        <v>-1.371268089385433</v>
      </c>
      <c r="E1450" s="8">
        <f t="shared" si="68"/>
        <v>-2.2136826744604083</v>
      </c>
    </row>
    <row r="1451" spans="1:5" x14ac:dyDescent="0.2">
      <c r="A1451" s="1">
        <v>43733</v>
      </c>
      <c r="B1451">
        <v>48865.06</v>
      </c>
      <c r="C1451" s="6">
        <f t="shared" si="66"/>
        <v>-1.4108723152982817E-2</v>
      </c>
      <c r="D1451" s="7">
        <f t="shared" si="67"/>
        <v>-1.2373036634109391</v>
      </c>
      <c r="E1451" s="8">
        <f t="shared" si="68"/>
        <v>-1.9860393868244128</v>
      </c>
    </row>
    <row r="1452" spans="1:5" x14ac:dyDescent="0.2">
      <c r="A1452" s="1">
        <v>43734</v>
      </c>
      <c r="B1452">
        <v>49243.65</v>
      </c>
      <c r="C1452" s="6">
        <f t="shared" si="66"/>
        <v>7.7178036324860007E-3</v>
      </c>
      <c r="D1452" s="7">
        <f t="shared" si="67"/>
        <v>0.6460964946728377</v>
      </c>
      <c r="E1452" s="8">
        <f t="shared" si="68"/>
        <v>-1.1045756096323069</v>
      </c>
    </row>
    <row r="1453" spans="1:5" x14ac:dyDescent="0.2">
      <c r="A1453" s="1">
        <v>43735</v>
      </c>
      <c r="B1453">
        <v>49167.519999999997</v>
      </c>
      <c r="C1453" s="6">
        <f t="shared" si="66"/>
        <v>-1.547182401885925E-3</v>
      </c>
      <c r="D1453" s="7">
        <f t="shared" si="67"/>
        <v>-0.15337454958864913</v>
      </c>
      <c r="E1453" s="8">
        <f t="shared" si="68"/>
        <v>-0.71138252805854751</v>
      </c>
    </row>
    <row r="1454" spans="1:5" x14ac:dyDescent="0.2">
      <c r="A1454" s="1">
        <v>43738</v>
      </c>
      <c r="B1454">
        <v>48813.59</v>
      </c>
      <c r="C1454" s="6">
        <f t="shared" si="66"/>
        <v>-7.2244851970589032E-3</v>
      </c>
      <c r="D1454" s="7">
        <f t="shared" si="67"/>
        <v>-0.64326618864855478</v>
      </c>
      <c r="E1454" s="8">
        <f t="shared" si="68"/>
        <v>-1.1011760432767301</v>
      </c>
    </row>
    <row r="1455" spans="1:5" x14ac:dyDescent="0.2">
      <c r="A1455" s="1">
        <v>43739</v>
      </c>
      <c r="B1455">
        <v>48938.16</v>
      </c>
      <c r="C1455" s="6">
        <f t="shared" si="66"/>
        <v>2.5487025538201932E-3</v>
      </c>
      <c r="D1455" s="7">
        <f t="shared" si="67"/>
        <v>0.20005732937642962</v>
      </c>
      <c r="E1455" s="8">
        <f t="shared" si="68"/>
        <v>-0.72901285113921033</v>
      </c>
    </row>
    <row r="1456" spans="1:5" x14ac:dyDescent="0.2">
      <c r="A1456" s="1">
        <v>43740</v>
      </c>
      <c r="B1456">
        <v>48005.41</v>
      </c>
      <c r="C1456" s="6">
        <f t="shared" si="66"/>
        <v>-1.9243747359999636E-2</v>
      </c>
      <c r="D1456" s="7">
        <f t="shared" si="67"/>
        <v>-1.6804023523740517</v>
      </c>
      <c r="E1456" s="8">
        <f t="shared" si="68"/>
        <v>-2.748992435107962</v>
      </c>
    </row>
    <row r="1457" spans="1:5" x14ac:dyDescent="0.2">
      <c r="A1457" s="1">
        <v>43741</v>
      </c>
      <c r="B1457">
        <v>47743.89</v>
      </c>
      <c r="C1457" s="6">
        <f t="shared" si="66"/>
        <v>-5.4626122658993689E-3</v>
      </c>
      <c r="D1457" s="7">
        <f t="shared" si="67"/>
        <v>-0.49123504829879538</v>
      </c>
      <c r="E1457" s="8">
        <f t="shared" si="68"/>
        <v>-0.93558185700785079</v>
      </c>
    </row>
    <row r="1458" spans="1:5" x14ac:dyDescent="0.2">
      <c r="A1458" s="1">
        <v>43742</v>
      </c>
      <c r="B1458">
        <v>47975.44</v>
      </c>
      <c r="C1458" s="6">
        <f t="shared" si="66"/>
        <v>4.8381126709483779E-3</v>
      </c>
      <c r="D1458" s="7">
        <f t="shared" si="67"/>
        <v>0.3976093915482492</v>
      </c>
      <c r="E1458" s="8">
        <f t="shared" si="68"/>
        <v>-0.85202691052565827</v>
      </c>
    </row>
    <row r="1459" spans="1:5" x14ac:dyDescent="0.2">
      <c r="A1459" s="1">
        <v>43745</v>
      </c>
      <c r="B1459">
        <v>48635.63</v>
      </c>
      <c r="C1459" s="6">
        <f t="shared" si="66"/>
        <v>1.3667176576553716E-2</v>
      </c>
      <c r="D1459" s="7">
        <f t="shared" si="67"/>
        <v>1.1594649317810417</v>
      </c>
      <c r="E1459" s="8">
        <f t="shared" si="68"/>
        <v>-1.8564477799035761</v>
      </c>
    </row>
    <row r="1460" spans="1:5" x14ac:dyDescent="0.2">
      <c r="A1460" s="1">
        <v>43746</v>
      </c>
      <c r="B1460">
        <v>48465.32</v>
      </c>
      <c r="C1460" s="6">
        <f t="shared" si="66"/>
        <v>-3.5078992459649638E-3</v>
      </c>
      <c r="D1460" s="7">
        <f t="shared" si="67"/>
        <v>-0.32256383244580561</v>
      </c>
      <c r="E1460" s="8">
        <f t="shared" si="68"/>
        <v>-0.7963905551775512</v>
      </c>
    </row>
    <row r="1461" spans="1:5" x14ac:dyDescent="0.2">
      <c r="A1461" s="1">
        <v>43747</v>
      </c>
      <c r="B1461">
        <v>48310.69</v>
      </c>
      <c r="C1461" s="6">
        <f t="shared" si="66"/>
        <v>-3.1956294042441826E-3</v>
      </c>
      <c r="D1461" s="7">
        <f t="shared" si="67"/>
        <v>-0.29561822286520723</v>
      </c>
      <c r="E1461" s="8">
        <f t="shared" si="68"/>
        <v>-0.77901688833878813</v>
      </c>
    </row>
    <row r="1462" spans="1:5" x14ac:dyDescent="0.2">
      <c r="A1462" s="1">
        <v>43748</v>
      </c>
      <c r="B1462">
        <v>49032.54</v>
      </c>
      <c r="C1462" s="6">
        <f t="shared" si="66"/>
        <v>1.4831298117133728E-2</v>
      </c>
      <c r="D1462" s="7">
        <f t="shared" si="67"/>
        <v>1.2599164014586086</v>
      </c>
      <c r="E1462" s="8">
        <f t="shared" si="68"/>
        <v>-2.0241063595987949</v>
      </c>
    </row>
    <row r="1463" spans="1:5" x14ac:dyDescent="0.2">
      <c r="A1463" s="1">
        <v>43749</v>
      </c>
      <c r="B1463">
        <v>49404.06</v>
      </c>
      <c r="C1463" s="6">
        <f t="shared" si="66"/>
        <v>7.5484477129463866E-3</v>
      </c>
      <c r="D1463" s="7">
        <f t="shared" si="67"/>
        <v>0.63148285647156022</v>
      </c>
      <c r="E1463" s="8">
        <f t="shared" si="68"/>
        <v>-1.0871393490453187</v>
      </c>
    </row>
    <row r="1464" spans="1:5" x14ac:dyDescent="0.2">
      <c r="A1464" s="1">
        <v>43752</v>
      </c>
      <c r="B1464">
        <v>49110.74</v>
      </c>
      <c r="C1464" s="6">
        <f t="shared" si="66"/>
        <v>-5.9548588997492243E-3</v>
      </c>
      <c r="D1464" s="7">
        <f t="shared" si="67"/>
        <v>-0.53371076590248889</v>
      </c>
      <c r="E1464" s="8">
        <f t="shared" si="68"/>
        <v>-0.97831584949962636</v>
      </c>
    </row>
    <row r="1465" spans="1:5" x14ac:dyDescent="0.2">
      <c r="A1465" s="1">
        <v>43753</v>
      </c>
      <c r="B1465">
        <v>49391.199999999997</v>
      </c>
      <c r="C1465" s="6">
        <f t="shared" si="66"/>
        <v>5.6945225218170466E-3</v>
      </c>
      <c r="D1465" s="7">
        <f t="shared" si="67"/>
        <v>0.47150857231870497</v>
      </c>
      <c r="E1465" s="8">
        <f t="shared" si="68"/>
        <v>-0.91673279687759768</v>
      </c>
    </row>
    <row r="1466" spans="1:5" x14ac:dyDescent="0.2">
      <c r="A1466" s="1">
        <v>43754</v>
      </c>
      <c r="B1466">
        <v>49855.06</v>
      </c>
      <c r="C1466" s="6">
        <f t="shared" si="66"/>
        <v>9.3477250964944629E-3</v>
      </c>
      <c r="D1466" s="7">
        <f t="shared" si="67"/>
        <v>0.78674160844427921</v>
      </c>
      <c r="E1466" s="8">
        <f t="shared" si="68"/>
        <v>-1.2861521064270325</v>
      </c>
    </row>
    <row r="1467" spans="1:5" x14ac:dyDescent="0.2">
      <c r="A1467" s="1">
        <v>43755</v>
      </c>
      <c r="B1467">
        <v>49715.3</v>
      </c>
      <c r="C1467" s="6">
        <f t="shared" si="66"/>
        <v>-2.8072629602657376E-3</v>
      </c>
      <c r="D1467" s="7">
        <f t="shared" si="67"/>
        <v>-0.26210627526251284</v>
      </c>
      <c r="E1467" s="8">
        <f t="shared" si="68"/>
        <v>-0.75939293202777847</v>
      </c>
    </row>
    <row r="1468" spans="1:5" x14ac:dyDescent="0.2">
      <c r="A1468" s="1">
        <v>43756</v>
      </c>
      <c r="B1468">
        <v>49510.9</v>
      </c>
      <c r="C1468" s="6">
        <f t="shared" si="66"/>
        <v>-4.1198854559472836E-3</v>
      </c>
      <c r="D1468" s="7">
        <f t="shared" si="67"/>
        <v>-0.37537181861578817</v>
      </c>
      <c r="E1468" s="8">
        <f t="shared" si="68"/>
        <v>-0.83445186700892293</v>
      </c>
    </row>
    <row r="1469" spans="1:5" x14ac:dyDescent="0.2">
      <c r="A1469" s="1">
        <v>43759</v>
      </c>
      <c r="B1469">
        <v>49834.61</v>
      </c>
      <c r="C1469" s="6">
        <f t="shared" si="66"/>
        <v>6.5168752096339874E-3</v>
      </c>
      <c r="D1469" s="7">
        <f t="shared" si="67"/>
        <v>0.54246897740093647</v>
      </c>
      <c r="E1469" s="8">
        <f t="shared" si="68"/>
        <v>-0.98748218304726532</v>
      </c>
    </row>
    <row r="1470" spans="1:5" x14ac:dyDescent="0.2">
      <c r="A1470" s="1">
        <v>43760</v>
      </c>
      <c r="B1470">
        <v>49610.14</v>
      </c>
      <c r="C1470" s="6">
        <f t="shared" si="66"/>
        <v>-4.5144742429075891E-3</v>
      </c>
      <c r="D1470" s="7">
        <f t="shared" si="67"/>
        <v>-0.40942068910460527</v>
      </c>
      <c r="E1470" s="8">
        <f t="shared" si="68"/>
        <v>-0.86172541242570921</v>
      </c>
    </row>
    <row r="1471" spans="1:5" x14ac:dyDescent="0.2">
      <c r="A1471" s="1">
        <v>43761</v>
      </c>
      <c r="B1471">
        <v>49244.55</v>
      </c>
      <c r="C1471" s="6">
        <f t="shared" si="66"/>
        <v>-7.3965467243043651E-3</v>
      </c>
      <c r="D1471" s="7">
        <f t="shared" si="67"/>
        <v>-0.65811329239526661</v>
      </c>
      <c r="E1471" s="8">
        <f t="shared" si="68"/>
        <v>-1.1191286303919317</v>
      </c>
    </row>
    <row r="1472" spans="1:5" x14ac:dyDescent="0.2">
      <c r="A1472" s="1">
        <v>43762</v>
      </c>
      <c r="B1472">
        <v>49124.43</v>
      </c>
      <c r="C1472" s="6">
        <f t="shared" si="66"/>
        <v>-2.4422345276881897E-3</v>
      </c>
      <c r="D1472" s="7">
        <f t="shared" si="67"/>
        <v>-0.23060815307482091</v>
      </c>
      <c r="E1472" s="8">
        <f t="shared" si="68"/>
        <v>-0.74299262775645392</v>
      </c>
    </row>
    <row r="1473" spans="1:5" x14ac:dyDescent="0.2">
      <c r="A1473" s="1">
        <v>43763</v>
      </c>
      <c r="B1473">
        <v>48858.47</v>
      </c>
      <c r="C1473" s="6">
        <f t="shared" si="66"/>
        <v>-5.4287156876201108E-3</v>
      </c>
      <c r="D1473" s="7">
        <f t="shared" si="67"/>
        <v>-0.48831012939084728</v>
      </c>
      <c r="E1473" s="8">
        <f t="shared" si="68"/>
        <v>-0.93274640709282941</v>
      </c>
    </row>
    <row r="1474" spans="1:5" x14ac:dyDescent="0.2">
      <c r="A1474" s="1">
        <v>43766</v>
      </c>
      <c r="B1474">
        <v>49516.5</v>
      </c>
      <c r="C1474" s="6">
        <f t="shared" si="66"/>
        <v>1.3378195983710782E-2</v>
      </c>
      <c r="D1474" s="7">
        <f t="shared" si="67"/>
        <v>1.1345289399215455</v>
      </c>
      <c r="E1474" s="8">
        <f t="shared" si="68"/>
        <v>-1.8154757414194396</v>
      </c>
    </row>
    <row r="1475" spans="1:5" x14ac:dyDescent="0.2">
      <c r="A1475" s="1">
        <v>43767</v>
      </c>
      <c r="B1475">
        <v>49477.440000000002</v>
      </c>
      <c r="C1475" s="6">
        <f t="shared" ref="C1475:C1538" si="69">LN(B1475/B1474)</f>
        <v>-7.891392549285505E-4</v>
      </c>
      <c r="D1475" s="7">
        <f t="shared" ref="D1475:D1538" si="70">(C1475-$G$4)/$G$5</f>
        <v>-8.7963382853484304E-2</v>
      </c>
      <c r="E1475" s="8">
        <f t="shared" ref="E1475:E1538" si="71">LN((PI()*(G$3-2))^(-1/2)*EXP(GAMMALN((G$3+1)/2))*((1+D1475^2/(G$3-2))^(-(G$3+1)/2))/EXP(GAMMALN(G$3/2)))</f>
        <v>-0.69440911016865758</v>
      </c>
    </row>
    <row r="1476" spans="1:5" x14ac:dyDescent="0.2">
      <c r="A1476" s="1">
        <v>43768</v>
      </c>
      <c r="B1476">
        <v>49629.32</v>
      </c>
      <c r="C1476" s="6">
        <f t="shared" si="69"/>
        <v>3.0649800053599288E-3</v>
      </c>
      <c r="D1476" s="7">
        <f t="shared" si="70"/>
        <v>0.24460665430578035</v>
      </c>
      <c r="E1476" s="8">
        <f t="shared" si="71"/>
        <v>-0.75003424730118007</v>
      </c>
    </row>
    <row r="1477" spans="1:5" x14ac:dyDescent="0.2">
      <c r="A1477" s="1">
        <v>43769</v>
      </c>
      <c r="B1477">
        <v>50168.480000000003</v>
      </c>
      <c r="C1477" s="6">
        <f t="shared" si="69"/>
        <v>1.0805152931769096E-2</v>
      </c>
      <c r="D1477" s="7">
        <f t="shared" si="70"/>
        <v>0.91250233264614311</v>
      </c>
      <c r="E1477" s="8">
        <f t="shared" si="71"/>
        <v>-1.4666015728454134</v>
      </c>
    </row>
    <row r="1478" spans="1:5" x14ac:dyDescent="0.2">
      <c r="A1478" s="1">
        <v>43770</v>
      </c>
      <c r="B1478">
        <v>50428.14</v>
      </c>
      <c r="C1478" s="6">
        <f t="shared" si="69"/>
        <v>5.1624115536285757E-3</v>
      </c>
      <c r="D1478" s="7">
        <f t="shared" si="70"/>
        <v>0.42559298110006522</v>
      </c>
      <c r="E1478" s="8">
        <f t="shared" si="71"/>
        <v>-0.87540780497647219</v>
      </c>
    </row>
    <row r="1479" spans="1:5" x14ac:dyDescent="0.2">
      <c r="A1479" s="1">
        <v>43773</v>
      </c>
      <c r="B1479">
        <v>50673.73</v>
      </c>
      <c r="C1479" s="6">
        <f t="shared" si="69"/>
        <v>4.8582777559321236E-3</v>
      </c>
      <c r="D1479" s="7">
        <f t="shared" si="70"/>
        <v>0.39934942671827195</v>
      </c>
      <c r="E1479" s="8">
        <f t="shared" si="71"/>
        <v>-0.85343995708310305</v>
      </c>
    </row>
    <row r="1480" spans="1:5" x14ac:dyDescent="0.2">
      <c r="A1480" s="1">
        <v>43774</v>
      </c>
      <c r="B1480">
        <v>50984.38</v>
      </c>
      <c r="C1480" s="6">
        <f t="shared" si="69"/>
        <v>6.1116809463793338E-3</v>
      </c>
      <c r="D1480" s="7">
        <f t="shared" si="70"/>
        <v>0.50750496562896175</v>
      </c>
      <c r="E1480" s="8">
        <f t="shared" si="71"/>
        <v>-0.95160886456644145</v>
      </c>
    </row>
    <row r="1481" spans="1:5" x14ac:dyDescent="0.2">
      <c r="A1481" s="1">
        <v>43775</v>
      </c>
      <c r="B1481">
        <v>51410.32</v>
      </c>
      <c r="C1481" s="6">
        <f t="shared" si="69"/>
        <v>8.3196192150834566E-3</v>
      </c>
      <c r="D1481" s="7">
        <f t="shared" si="70"/>
        <v>0.69802686245613232</v>
      </c>
      <c r="E1481" s="8">
        <f t="shared" si="71"/>
        <v>-1.1688148296852769</v>
      </c>
    </row>
    <row r="1482" spans="1:5" x14ac:dyDescent="0.2">
      <c r="A1482" s="1">
        <v>43776</v>
      </c>
      <c r="B1482">
        <v>51223.34</v>
      </c>
      <c r="C1482" s="6">
        <f t="shared" si="69"/>
        <v>-3.6436429698454018E-3</v>
      </c>
      <c r="D1482" s="7">
        <f t="shared" si="70"/>
        <v>-0.33427709097420805</v>
      </c>
      <c r="E1482" s="8">
        <f t="shared" si="71"/>
        <v>-0.80437879557044278</v>
      </c>
    </row>
    <row r="1483" spans="1:5" x14ac:dyDescent="0.2">
      <c r="A1483" s="1">
        <v>43777</v>
      </c>
      <c r="B1483">
        <v>50406.94</v>
      </c>
      <c r="C1483" s="6">
        <f t="shared" si="69"/>
        <v>-1.6066423537678183E-2</v>
      </c>
      <c r="D1483" s="7">
        <f t="shared" si="70"/>
        <v>-1.4062326574857389</v>
      </c>
      <c r="E1483" s="8">
        <f t="shared" si="71"/>
        <v>-2.2737801508844786</v>
      </c>
    </row>
    <row r="1484" spans="1:5" x14ac:dyDescent="0.2">
      <c r="A1484" s="1">
        <v>43780</v>
      </c>
      <c r="B1484">
        <v>49976.02</v>
      </c>
      <c r="C1484" s="6">
        <f t="shared" si="69"/>
        <v>-8.5855736271843019E-3</v>
      </c>
      <c r="D1484" s="7">
        <f t="shared" si="70"/>
        <v>-0.76071383341862553</v>
      </c>
      <c r="E1484" s="8">
        <f t="shared" si="71"/>
        <v>-1.2507944397501252</v>
      </c>
    </row>
    <row r="1485" spans="1:5" x14ac:dyDescent="0.2">
      <c r="A1485" s="1">
        <v>43781</v>
      </c>
      <c r="B1485">
        <v>50210.49</v>
      </c>
      <c r="C1485" s="6">
        <f t="shared" si="69"/>
        <v>4.6806786278632976E-3</v>
      </c>
      <c r="D1485" s="7">
        <f t="shared" si="70"/>
        <v>0.38402448614627693</v>
      </c>
      <c r="E1485" s="8">
        <f t="shared" si="71"/>
        <v>-0.84118323577501997</v>
      </c>
    </row>
    <row r="1486" spans="1:5" x14ac:dyDescent="0.2">
      <c r="A1486" s="1">
        <v>43782</v>
      </c>
      <c r="B1486">
        <v>50115.49</v>
      </c>
      <c r="C1486" s="6">
        <f t="shared" si="69"/>
        <v>-1.8938270703912257E-3</v>
      </c>
      <c r="D1486" s="7">
        <f t="shared" si="70"/>
        <v>-0.18328634590323437</v>
      </c>
      <c r="E1486" s="8">
        <f t="shared" si="71"/>
        <v>-0.72215628696785417</v>
      </c>
    </row>
    <row r="1487" spans="1:5" x14ac:dyDescent="0.2">
      <c r="A1487" s="1">
        <v>43783</v>
      </c>
      <c r="B1487">
        <v>50012.480000000003</v>
      </c>
      <c r="C1487" s="6">
        <f t="shared" si="69"/>
        <v>-2.0575676575044434E-3</v>
      </c>
      <c r="D1487" s="7">
        <f t="shared" si="70"/>
        <v>-0.19741543985780149</v>
      </c>
      <c r="E1487" s="8">
        <f t="shared" si="71"/>
        <v>-0.72789409570393226</v>
      </c>
    </row>
    <row r="1488" spans="1:5" x14ac:dyDescent="0.2">
      <c r="A1488" s="1">
        <v>43784</v>
      </c>
      <c r="B1488">
        <v>49784.83</v>
      </c>
      <c r="C1488" s="6">
        <f t="shared" si="69"/>
        <v>-4.5622551321684258E-3</v>
      </c>
      <c r="D1488" s="7">
        <f t="shared" si="70"/>
        <v>-0.41354367831272587</v>
      </c>
      <c r="E1488" s="8">
        <f t="shared" si="71"/>
        <v>-0.86516960618111327</v>
      </c>
    </row>
    <row r="1489" spans="1:5" x14ac:dyDescent="0.2">
      <c r="A1489" s="1">
        <v>43787</v>
      </c>
      <c r="B1489">
        <v>50191.03</v>
      </c>
      <c r="C1489" s="6">
        <f t="shared" si="69"/>
        <v>8.1260063215263956E-3</v>
      </c>
      <c r="D1489" s="7">
        <f t="shared" si="70"/>
        <v>0.68132010201199267</v>
      </c>
      <c r="E1489" s="8">
        <f t="shared" si="71"/>
        <v>-1.1477697109864156</v>
      </c>
    </row>
    <row r="1490" spans="1:5" x14ac:dyDescent="0.2">
      <c r="A1490" s="1">
        <v>43788</v>
      </c>
      <c r="B1490">
        <v>51060.34</v>
      </c>
      <c r="C1490" s="6">
        <f t="shared" si="69"/>
        <v>1.7171745151307049E-2</v>
      </c>
      <c r="D1490" s="7">
        <f t="shared" si="70"/>
        <v>1.4618724138592347</v>
      </c>
      <c r="E1490" s="8">
        <f t="shared" si="71"/>
        <v>-2.3698057066928628</v>
      </c>
    </row>
    <row r="1491" spans="1:5" x14ac:dyDescent="0.2">
      <c r="A1491" s="1">
        <v>43789</v>
      </c>
      <c r="B1491">
        <v>50971.63</v>
      </c>
      <c r="C1491" s="6">
        <f t="shared" si="69"/>
        <v>-1.7388671874588933E-3</v>
      </c>
      <c r="D1491" s="7">
        <f t="shared" si="70"/>
        <v>-0.16991493455226758</v>
      </c>
      <c r="E1491" s="8">
        <f t="shared" si="71"/>
        <v>-0.71710867421587088</v>
      </c>
    </row>
    <row r="1492" spans="1:5" x14ac:dyDescent="0.2">
      <c r="A1492" s="1">
        <v>43790</v>
      </c>
      <c r="B1492">
        <v>50235.68</v>
      </c>
      <c r="C1492" s="6">
        <f t="shared" si="69"/>
        <v>-1.4543672234774386E-2</v>
      </c>
      <c r="D1492" s="7">
        <f t="shared" si="70"/>
        <v>-1.2748352036993376</v>
      </c>
      <c r="E1492" s="8">
        <f t="shared" si="71"/>
        <v>-2.0493111956645427</v>
      </c>
    </row>
    <row r="1493" spans="1:5" x14ac:dyDescent="0.2">
      <c r="A1493" s="1">
        <v>43791</v>
      </c>
      <c r="B1493">
        <v>50484.88</v>
      </c>
      <c r="C1493" s="6">
        <f t="shared" si="69"/>
        <v>4.9483543081325293E-3</v>
      </c>
      <c r="D1493" s="7">
        <f t="shared" si="70"/>
        <v>0.40712208767900859</v>
      </c>
      <c r="E1493" s="8">
        <f t="shared" si="71"/>
        <v>-0.85981839978137731</v>
      </c>
    </row>
    <row r="1494" spans="1:5" x14ac:dyDescent="0.2">
      <c r="A1494" s="1">
        <v>43794</v>
      </c>
      <c r="B1494">
        <v>50474.91</v>
      </c>
      <c r="C1494" s="6">
        <f t="shared" si="69"/>
        <v>-1.97504373422362E-4</v>
      </c>
      <c r="D1494" s="7">
        <f t="shared" si="70"/>
        <v>-3.691150271200086E-2</v>
      </c>
      <c r="E1494" s="8">
        <f t="shared" si="71"/>
        <v>-0.68752517874517016</v>
      </c>
    </row>
    <row r="1495" spans="1:5" x14ac:dyDescent="0.2">
      <c r="A1495" s="1">
        <v>43795</v>
      </c>
      <c r="B1495">
        <v>49818.42</v>
      </c>
      <c r="C1495" s="6">
        <f t="shared" si="69"/>
        <v>-1.3091585976276628E-2</v>
      </c>
      <c r="D1495" s="7">
        <f t="shared" si="70"/>
        <v>-1.1495354015051236</v>
      </c>
      <c r="E1495" s="8">
        <f t="shared" si="71"/>
        <v>-1.840098155428292</v>
      </c>
    </row>
    <row r="1496" spans="1:5" x14ac:dyDescent="0.2">
      <c r="A1496" s="1">
        <v>43796</v>
      </c>
      <c r="B1496">
        <v>49910.57</v>
      </c>
      <c r="C1496" s="6">
        <f t="shared" si="69"/>
        <v>1.8480088131927314E-3</v>
      </c>
      <c r="D1496" s="7">
        <f t="shared" si="70"/>
        <v>0.13959481443590938</v>
      </c>
      <c r="E1496" s="8">
        <f t="shared" si="71"/>
        <v>-0.70705169651204858</v>
      </c>
    </row>
    <row r="1497" spans="1:5" x14ac:dyDescent="0.2">
      <c r="A1497" s="1">
        <v>43797</v>
      </c>
      <c r="B1497">
        <v>49470.55</v>
      </c>
      <c r="C1497" s="6">
        <f t="shared" si="69"/>
        <v>-8.8552609462903761E-3</v>
      </c>
      <c r="D1497" s="7">
        <f t="shared" si="70"/>
        <v>-0.78398501826768396</v>
      </c>
      <c r="E1497" s="8">
        <f t="shared" si="71"/>
        <v>-1.2823725075528598</v>
      </c>
    </row>
    <row r="1498" spans="1:5" x14ac:dyDescent="0.2">
      <c r="A1498" s="1">
        <v>43798</v>
      </c>
      <c r="B1498">
        <v>49093.16</v>
      </c>
      <c r="C1498" s="6">
        <f t="shared" si="69"/>
        <v>-7.6578254663786172E-3</v>
      </c>
      <c r="D1498" s="7">
        <f t="shared" si="70"/>
        <v>-0.68065890530763307</v>
      </c>
      <c r="E1498" s="8">
        <f t="shared" si="71"/>
        <v>-1.1469440716299228</v>
      </c>
    </row>
    <row r="1499" spans="1:5" x14ac:dyDescent="0.2">
      <c r="A1499" s="1">
        <v>43801</v>
      </c>
      <c r="B1499">
        <v>48609</v>
      </c>
      <c r="C1499" s="6">
        <f t="shared" si="69"/>
        <v>-9.9110186136639137E-3</v>
      </c>
      <c r="D1499" s="7">
        <f t="shared" si="70"/>
        <v>-0.87508582313569816</v>
      </c>
      <c r="E1499" s="8">
        <f t="shared" si="71"/>
        <v>-1.4113676224421008</v>
      </c>
    </row>
    <row r="1500" spans="1:5" x14ac:dyDescent="0.2">
      <c r="A1500" s="1">
        <v>43802</v>
      </c>
      <c r="B1500">
        <v>48299.66</v>
      </c>
      <c r="C1500" s="6">
        <f t="shared" si="69"/>
        <v>-6.3841776506967313E-3</v>
      </c>
      <c r="D1500" s="7">
        <f t="shared" si="70"/>
        <v>-0.57075646773816446</v>
      </c>
      <c r="E1500" s="8">
        <f t="shared" si="71"/>
        <v>-1.0178903402271833</v>
      </c>
    </row>
    <row r="1501" spans="1:5" x14ac:dyDescent="0.2">
      <c r="A1501" s="1">
        <v>43803</v>
      </c>
      <c r="B1501">
        <v>48809.33</v>
      </c>
      <c r="C1501" s="6">
        <f t="shared" si="69"/>
        <v>1.0496961813218172E-2</v>
      </c>
      <c r="D1501" s="7">
        <f t="shared" si="70"/>
        <v>0.88590867406253093</v>
      </c>
      <c r="E1501" s="8">
        <f t="shared" si="71"/>
        <v>-1.4272182904078519</v>
      </c>
    </row>
    <row r="1502" spans="1:5" x14ac:dyDescent="0.2">
      <c r="A1502" s="1">
        <v>43804</v>
      </c>
      <c r="B1502">
        <v>48589.71</v>
      </c>
      <c r="C1502" s="6">
        <f t="shared" si="69"/>
        <v>-4.5097030157295265E-3</v>
      </c>
      <c r="D1502" s="7">
        <f t="shared" si="70"/>
        <v>-0.40900898228062266</v>
      </c>
      <c r="E1502" s="8">
        <f t="shared" si="71"/>
        <v>-0.8613831505058086</v>
      </c>
    </row>
    <row r="1503" spans="1:5" x14ac:dyDescent="0.2">
      <c r="A1503" s="1">
        <v>43805</v>
      </c>
      <c r="B1503">
        <v>49065.21</v>
      </c>
      <c r="C1503" s="6">
        <f t="shared" si="69"/>
        <v>9.7384495922183522E-3</v>
      </c>
      <c r="D1503" s="7">
        <f t="shared" si="70"/>
        <v>0.82045703116116797</v>
      </c>
      <c r="E1503" s="8">
        <f t="shared" si="71"/>
        <v>-1.3330250956590393</v>
      </c>
    </row>
    <row r="1504" spans="1:5" x14ac:dyDescent="0.2">
      <c r="A1504" s="1">
        <v>43808</v>
      </c>
      <c r="B1504">
        <v>49019.88</v>
      </c>
      <c r="C1504" s="6">
        <f t="shared" si="69"/>
        <v>-9.2429956942955359E-4</v>
      </c>
      <c r="D1504" s="7">
        <f t="shared" si="70"/>
        <v>-9.9626299276234523E-2</v>
      </c>
      <c r="E1504" s="8">
        <f t="shared" si="71"/>
        <v>-0.69676766710824289</v>
      </c>
    </row>
    <row r="1505" spans="1:5" x14ac:dyDescent="0.2">
      <c r="A1505" s="1">
        <v>43809</v>
      </c>
      <c r="B1505">
        <v>49225.73</v>
      </c>
      <c r="C1505" s="6">
        <f t="shared" si="69"/>
        <v>4.1905241615486219E-3</v>
      </c>
      <c r="D1505" s="7">
        <f t="shared" si="70"/>
        <v>0.34172930064030221</v>
      </c>
      <c r="E1505" s="8">
        <f t="shared" si="71"/>
        <v>-0.80959699911752958</v>
      </c>
    </row>
    <row r="1506" spans="1:5" x14ac:dyDescent="0.2">
      <c r="A1506" s="1">
        <v>43810</v>
      </c>
      <c r="B1506">
        <v>49537.29</v>
      </c>
      <c r="C1506" s="6">
        <f t="shared" si="69"/>
        <v>6.3092650167477409E-3</v>
      </c>
      <c r="D1506" s="7">
        <f t="shared" si="70"/>
        <v>0.52455439694821515</v>
      </c>
      <c r="E1506" s="8">
        <f t="shared" si="71"/>
        <v>-0.96886082035310939</v>
      </c>
    </row>
    <row r="1507" spans="1:5" x14ac:dyDescent="0.2">
      <c r="A1507" s="1">
        <v>43811</v>
      </c>
      <c r="B1507">
        <v>49603.06</v>
      </c>
      <c r="C1507" s="6">
        <f t="shared" si="69"/>
        <v>1.3268060814499187E-3</v>
      </c>
      <c r="D1507" s="7">
        <f t="shared" si="70"/>
        <v>9.4620489523544488E-2</v>
      </c>
      <c r="E1507" s="8">
        <f t="shared" si="71"/>
        <v>-0.69571967883224406</v>
      </c>
    </row>
    <row r="1508" spans="1:5" x14ac:dyDescent="0.2">
      <c r="A1508" s="1">
        <v>43812</v>
      </c>
      <c r="B1508">
        <v>50499.02</v>
      </c>
      <c r="C1508" s="6">
        <f t="shared" si="69"/>
        <v>1.7901404776122225E-2</v>
      </c>
      <c r="D1508" s="7">
        <f t="shared" si="70"/>
        <v>1.5248343805629414</v>
      </c>
      <c r="E1508" s="8">
        <f t="shared" si="71"/>
        <v>-2.4788754759324951</v>
      </c>
    </row>
    <row r="1509" spans="1:5" x14ac:dyDescent="0.2">
      <c r="A1509" s="1">
        <v>43816</v>
      </c>
      <c r="B1509">
        <v>50994.19</v>
      </c>
      <c r="C1509" s="6">
        <f t="shared" si="69"/>
        <v>9.75777451372138E-3</v>
      </c>
      <c r="D1509" s="7">
        <f t="shared" si="70"/>
        <v>0.82212456904163322</v>
      </c>
      <c r="E1509" s="8">
        <f t="shared" si="71"/>
        <v>-1.3353736483812719</v>
      </c>
    </row>
    <row r="1510" spans="1:5" x14ac:dyDescent="0.2">
      <c r="A1510" s="1">
        <v>43817</v>
      </c>
      <c r="B1510">
        <v>51462.5</v>
      </c>
      <c r="C1510" s="6">
        <f t="shared" si="69"/>
        <v>9.1416824298794185E-3</v>
      </c>
      <c r="D1510" s="7">
        <f t="shared" si="70"/>
        <v>0.76896228905512509</v>
      </c>
      <c r="E1510" s="8">
        <f t="shared" si="71"/>
        <v>-1.2619191754327888</v>
      </c>
    </row>
    <row r="1511" spans="1:5" x14ac:dyDescent="0.2">
      <c r="A1511" s="1">
        <v>43818</v>
      </c>
      <c r="B1511">
        <v>51268.61</v>
      </c>
      <c r="C1511" s="6">
        <f t="shared" si="69"/>
        <v>-3.7747130391058864E-3</v>
      </c>
      <c r="D1511" s="7">
        <f t="shared" si="70"/>
        <v>-0.34558706216621626</v>
      </c>
      <c r="E1511" s="8">
        <f t="shared" si="71"/>
        <v>-0.81233956774194527</v>
      </c>
    </row>
    <row r="1512" spans="1:5" x14ac:dyDescent="0.2">
      <c r="A1512" s="1">
        <v>43819</v>
      </c>
      <c r="B1512">
        <v>51151.12</v>
      </c>
      <c r="C1512" s="6">
        <f t="shared" si="69"/>
        <v>-2.2942855158171846E-3</v>
      </c>
      <c r="D1512" s="7">
        <f t="shared" si="70"/>
        <v>-0.21784170630640051</v>
      </c>
      <c r="E1512" s="8">
        <f t="shared" si="71"/>
        <v>-0.73691818971387202</v>
      </c>
    </row>
    <row r="1513" spans="1:5" x14ac:dyDescent="0.2">
      <c r="A1513" s="1">
        <v>43822</v>
      </c>
      <c r="B1513">
        <v>50876.11</v>
      </c>
      <c r="C1513" s="6">
        <f t="shared" si="69"/>
        <v>-5.3909268345357989E-3</v>
      </c>
      <c r="D1513" s="7">
        <f t="shared" si="70"/>
        <v>-0.4850493480227287</v>
      </c>
      <c r="E1513" s="8">
        <f t="shared" si="71"/>
        <v>-0.92960196097753545</v>
      </c>
    </row>
    <row r="1514" spans="1:5" x14ac:dyDescent="0.2">
      <c r="A1514" s="1">
        <v>43823</v>
      </c>
      <c r="B1514">
        <v>51023.93</v>
      </c>
      <c r="C1514" s="6">
        <f t="shared" si="69"/>
        <v>2.9012766567784853E-3</v>
      </c>
      <c r="D1514" s="7">
        <f t="shared" si="70"/>
        <v>0.23048077364562877</v>
      </c>
      <c r="E1514" s="8">
        <f t="shared" si="71"/>
        <v>-0.74293037792216365</v>
      </c>
    </row>
    <row r="1515" spans="1:5" x14ac:dyDescent="0.2">
      <c r="A1515" s="1">
        <v>43826</v>
      </c>
      <c r="B1515">
        <v>51147.45</v>
      </c>
      <c r="C1515" s="6">
        <f t="shared" si="69"/>
        <v>2.4178994191379685E-3</v>
      </c>
      <c r="D1515" s="7">
        <f t="shared" si="70"/>
        <v>0.18877039183662975</v>
      </c>
      <c r="E1515" s="8">
        <f t="shared" si="71"/>
        <v>-0.72433416877028856</v>
      </c>
    </row>
    <row r="1516" spans="1:5" x14ac:dyDescent="0.2">
      <c r="A1516" s="1">
        <v>43829</v>
      </c>
      <c r="B1516">
        <v>51398.39</v>
      </c>
      <c r="C1516" s="6">
        <f t="shared" si="69"/>
        <v>4.8942112308661394E-3</v>
      </c>
      <c r="D1516" s="7">
        <f t="shared" si="70"/>
        <v>0.40245010842711271</v>
      </c>
      <c r="E1516" s="8">
        <f t="shared" si="71"/>
        <v>-0.85597146013793479</v>
      </c>
    </row>
    <row r="1517" spans="1:5" x14ac:dyDescent="0.2">
      <c r="A1517" s="1">
        <v>43830</v>
      </c>
      <c r="B1517">
        <v>50816.05</v>
      </c>
      <c r="C1517" s="6">
        <f t="shared" si="69"/>
        <v>-1.1394599447094946E-2</v>
      </c>
      <c r="D1517" s="7">
        <f t="shared" si="70"/>
        <v>-1.0031032765618801</v>
      </c>
      <c r="E1517" s="8">
        <f t="shared" si="71"/>
        <v>-1.6050221275572591</v>
      </c>
    </row>
    <row r="1518" spans="1:5" x14ac:dyDescent="0.2">
      <c r="A1518" s="1">
        <v>43832</v>
      </c>
      <c r="B1518">
        <v>51438.04</v>
      </c>
      <c r="C1518" s="6">
        <f t="shared" si="69"/>
        <v>1.2165726993330831E-2</v>
      </c>
      <c r="D1518" s="7">
        <f t="shared" si="70"/>
        <v>1.0299055928082714</v>
      </c>
      <c r="E1518" s="8">
        <f t="shared" si="71"/>
        <v>-1.6471007799219497</v>
      </c>
    </row>
    <row r="1519" spans="1:5" x14ac:dyDescent="0.2">
      <c r="A1519" s="1">
        <v>43833</v>
      </c>
      <c r="B1519">
        <v>51536.5</v>
      </c>
      <c r="C1519" s="6">
        <f t="shared" si="69"/>
        <v>1.9123179381108815E-3</v>
      </c>
      <c r="D1519" s="7">
        <f t="shared" si="70"/>
        <v>0.14514401689159781</v>
      </c>
      <c r="E1519" s="8">
        <f t="shared" si="71"/>
        <v>-0.70874755907053255</v>
      </c>
    </row>
    <row r="1520" spans="1:5" x14ac:dyDescent="0.2">
      <c r="A1520" s="1">
        <v>43836</v>
      </c>
      <c r="B1520">
        <v>50999.61</v>
      </c>
      <c r="C1520" s="6">
        <f t="shared" si="69"/>
        <v>-1.0472308861430286E-2</v>
      </c>
      <c r="D1520" s="7">
        <f t="shared" si="70"/>
        <v>-0.92351927989977955</v>
      </c>
      <c r="E1520" s="8">
        <f t="shared" si="71"/>
        <v>-1.4830921965535848</v>
      </c>
    </row>
    <row r="1521" spans="1:5" x14ac:dyDescent="0.2">
      <c r="A1521" s="1">
        <v>43837</v>
      </c>
      <c r="B1521">
        <v>51154.44</v>
      </c>
      <c r="C1521" s="6">
        <f t="shared" si="69"/>
        <v>3.0313065132263435E-3</v>
      </c>
      <c r="D1521" s="7">
        <f t="shared" si="70"/>
        <v>0.24170098539056614</v>
      </c>
      <c r="E1521" s="8">
        <f t="shared" si="71"/>
        <v>-0.74853998611266559</v>
      </c>
    </row>
    <row r="1522" spans="1:5" x14ac:dyDescent="0.2">
      <c r="A1522" s="1">
        <v>43838</v>
      </c>
      <c r="B1522">
        <v>51090.54</v>
      </c>
      <c r="C1522" s="6">
        <f t="shared" si="69"/>
        <v>-1.2499392795519715E-3</v>
      </c>
      <c r="D1522" s="7">
        <f t="shared" si="70"/>
        <v>-0.12772558816223506</v>
      </c>
      <c r="E1522" s="8">
        <f t="shared" si="71"/>
        <v>-0.70364318112688573</v>
      </c>
    </row>
    <row r="1523" spans="1:5" x14ac:dyDescent="0.2">
      <c r="A1523" s="1">
        <v>43839</v>
      </c>
      <c r="B1523">
        <v>50916.06</v>
      </c>
      <c r="C1523" s="6">
        <f t="shared" si="69"/>
        <v>-3.4209584509426278E-3</v>
      </c>
      <c r="D1523" s="7">
        <f t="shared" si="70"/>
        <v>-0.31506175441486522</v>
      </c>
      <c r="E1523" s="8">
        <f t="shared" si="71"/>
        <v>-0.79141238152235338</v>
      </c>
    </row>
    <row r="1524" spans="1:5" x14ac:dyDescent="0.2">
      <c r="A1524" s="1">
        <v>43840</v>
      </c>
      <c r="B1524">
        <v>51245.43</v>
      </c>
      <c r="C1524" s="6">
        <f t="shared" si="69"/>
        <v>6.4480488918691554E-3</v>
      </c>
      <c r="D1524" s="7">
        <f t="shared" si="70"/>
        <v>0.53652998861757639</v>
      </c>
      <c r="E1524" s="8">
        <f t="shared" si="71"/>
        <v>-0.98125344079508914</v>
      </c>
    </row>
    <row r="1525" spans="1:5" x14ac:dyDescent="0.2">
      <c r="A1525" s="1">
        <v>43843</v>
      </c>
      <c r="B1525">
        <v>51343.39</v>
      </c>
      <c r="C1525" s="6">
        <f t="shared" si="69"/>
        <v>1.9097603378843493E-3</v>
      </c>
      <c r="D1525" s="7">
        <f t="shared" si="70"/>
        <v>0.14492332283805867</v>
      </c>
      <c r="E1525" s="8">
        <f t="shared" si="71"/>
        <v>-0.70867887181290068</v>
      </c>
    </row>
    <row r="1526" spans="1:5" x14ac:dyDescent="0.2">
      <c r="A1526" s="1">
        <v>43844</v>
      </c>
      <c r="B1526">
        <v>51725.89</v>
      </c>
      <c r="C1526" s="6">
        <f t="shared" si="69"/>
        <v>7.4222262147238035E-3</v>
      </c>
      <c r="D1526" s="7">
        <f t="shared" si="70"/>
        <v>0.62059126606679405</v>
      </c>
      <c r="E1526" s="8">
        <f t="shared" si="71"/>
        <v>-1.0743342455467519</v>
      </c>
    </row>
    <row r="1527" spans="1:5" x14ac:dyDescent="0.2">
      <c r="A1527" s="1">
        <v>43845</v>
      </c>
      <c r="B1527">
        <v>51835.06</v>
      </c>
      <c r="C1527" s="6">
        <f t="shared" si="69"/>
        <v>2.1083244299838805E-3</v>
      </c>
      <c r="D1527" s="7">
        <f t="shared" si="70"/>
        <v>0.16205731974584869</v>
      </c>
      <c r="E1527" s="8">
        <f t="shared" si="71"/>
        <v>-0.71431684157746744</v>
      </c>
    </row>
    <row r="1528" spans="1:5" x14ac:dyDescent="0.2">
      <c r="A1528" s="1">
        <v>43846</v>
      </c>
      <c r="B1528">
        <v>51965.24</v>
      </c>
      <c r="C1528" s="6">
        <f t="shared" si="69"/>
        <v>2.5082792294801337E-3</v>
      </c>
      <c r="D1528" s="7">
        <f t="shared" si="70"/>
        <v>0.19656922079183217</v>
      </c>
      <c r="E1528" s="8">
        <f t="shared" si="71"/>
        <v>-0.72753879996108972</v>
      </c>
    </row>
    <row r="1529" spans="1:5" x14ac:dyDescent="0.2">
      <c r="A1529" s="1">
        <v>43847</v>
      </c>
      <c r="B1529">
        <v>52735.75</v>
      </c>
      <c r="C1529" s="6">
        <f t="shared" si="69"/>
        <v>1.4718560158173246E-2</v>
      </c>
      <c r="D1529" s="7">
        <f t="shared" si="70"/>
        <v>1.2501882989613493</v>
      </c>
      <c r="E1529" s="8">
        <f t="shared" si="71"/>
        <v>-2.007708993237876</v>
      </c>
    </row>
    <row r="1530" spans="1:5" x14ac:dyDescent="0.2">
      <c r="A1530" s="1">
        <v>43850</v>
      </c>
      <c r="B1530">
        <v>52638.53</v>
      </c>
      <c r="C1530" s="6">
        <f t="shared" si="69"/>
        <v>-1.8452325858877064E-3</v>
      </c>
      <c r="D1530" s="7">
        <f t="shared" si="70"/>
        <v>-0.17909315196562356</v>
      </c>
      <c r="E1530" s="8">
        <f t="shared" si="71"/>
        <v>-0.7205332495741158</v>
      </c>
    </row>
    <row r="1531" spans="1:5" x14ac:dyDescent="0.2">
      <c r="A1531" s="1">
        <v>43851</v>
      </c>
      <c r="B1531">
        <v>51835.360000000001</v>
      </c>
      <c r="C1531" s="6">
        <f t="shared" si="69"/>
        <v>-1.5375819229958704E-2</v>
      </c>
      <c r="D1531" s="7">
        <f t="shared" si="70"/>
        <v>-1.3466407547008146</v>
      </c>
      <c r="E1531" s="8">
        <f t="shared" si="71"/>
        <v>-2.1714942339715617</v>
      </c>
    </row>
    <row r="1532" spans="1:5" x14ac:dyDescent="0.2">
      <c r="A1532" s="1">
        <v>43852</v>
      </c>
      <c r="B1532">
        <v>51808.62</v>
      </c>
      <c r="C1532" s="6">
        <f t="shared" si="69"/>
        <v>-5.159971779026397E-4</v>
      </c>
      <c r="D1532" s="7">
        <f t="shared" si="70"/>
        <v>-6.4394088659026336E-2</v>
      </c>
      <c r="E1532" s="8">
        <f t="shared" si="71"/>
        <v>-0.69053362668268581</v>
      </c>
    </row>
    <row r="1533" spans="1:5" x14ac:dyDescent="0.2">
      <c r="A1533" s="1">
        <v>43853</v>
      </c>
      <c r="B1533">
        <v>50847.58</v>
      </c>
      <c r="C1533" s="6">
        <f t="shared" si="69"/>
        <v>-1.8724014279062621E-2</v>
      </c>
      <c r="D1533" s="7">
        <f t="shared" si="70"/>
        <v>-1.6355548428999456</v>
      </c>
      <c r="E1533" s="8">
        <f t="shared" si="71"/>
        <v>-2.6711337707512195</v>
      </c>
    </row>
    <row r="1534" spans="1:5" x14ac:dyDescent="0.2">
      <c r="A1534" s="1">
        <v>43854</v>
      </c>
      <c r="B1534">
        <v>51212.26</v>
      </c>
      <c r="C1534" s="6">
        <f t="shared" si="69"/>
        <v>7.1464260978403608E-3</v>
      </c>
      <c r="D1534" s="7">
        <f t="shared" si="70"/>
        <v>0.59679261093291247</v>
      </c>
      <c r="E1534" s="8">
        <f t="shared" si="71"/>
        <v>-1.0469329913609513</v>
      </c>
    </row>
    <row r="1535" spans="1:5" x14ac:dyDescent="0.2">
      <c r="A1535" s="1">
        <v>43857</v>
      </c>
      <c r="B1535">
        <v>49949.24</v>
      </c>
      <c r="C1535" s="6">
        <f t="shared" si="69"/>
        <v>-2.4971666742543686E-2</v>
      </c>
      <c r="D1535" s="7">
        <f t="shared" si="70"/>
        <v>-2.1746616716239089</v>
      </c>
      <c r="E1535" s="8">
        <f t="shared" si="71"/>
        <v>-3.5916433489247872</v>
      </c>
    </row>
    <row r="1536" spans="1:5" x14ac:dyDescent="0.2">
      <c r="A1536" s="1">
        <v>43858</v>
      </c>
      <c r="B1536">
        <v>49800.27</v>
      </c>
      <c r="C1536" s="6">
        <f t="shared" si="69"/>
        <v>-2.9868840609377843E-3</v>
      </c>
      <c r="D1536" s="7">
        <f t="shared" si="70"/>
        <v>-0.27760569084640407</v>
      </c>
      <c r="E1536" s="8">
        <f t="shared" si="71"/>
        <v>-0.76819303813142048</v>
      </c>
    </row>
    <row r="1537" spans="1:5" x14ac:dyDescent="0.2">
      <c r="A1537" s="1">
        <v>43859</v>
      </c>
      <c r="B1537">
        <v>50343.61</v>
      </c>
      <c r="C1537" s="6">
        <f t="shared" si="69"/>
        <v>1.0851293789284167E-2</v>
      </c>
      <c r="D1537" s="7">
        <f t="shared" si="70"/>
        <v>0.91648380432929988</v>
      </c>
      <c r="E1537" s="8">
        <f t="shared" si="71"/>
        <v>-1.4725496057948426</v>
      </c>
    </row>
    <row r="1538" spans="1:5" x14ac:dyDescent="0.2">
      <c r="A1538" s="1">
        <v>43860</v>
      </c>
      <c r="B1538">
        <v>50552.71</v>
      </c>
      <c r="C1538" s="6">
        <f t="shared" si="69"/>
        <v>4.1448548244039669E-3</v>
      </c>
      <c r="D1538" s="7">
        <f t="shared" si="70"/>
        <v>0.33778851621576939</v>
      </c>
      <c r="E1538" s="8">
        <f t="shared" si="71"/>
        <v>-0.80682445590464802</v>
      </c>
    </row>
    <row r="1539" spans="1:5" x14ac:dyDescent="0.2">
      <c r="A1539" s="1">
        <v>43861</v>
      </c>
      <c r="B1539">
        <v>50072.61</v>
      </c>
      <c r="C1539" s="6">
        <f t="shared" ref="C1539:C1602" si="72">LN(B1539/B1538)</f>
        <v>-9.5424023108887299E-3</v>
      </c>
      <c r="D1539" s="7">
        <f t="shared" ref="D1539:D1602" si="73">(C1539-$G$4)/$G$5</f>
        <v>-0.84327810541025405</v>
      </c>
      <c r="E1539" s="8">
        <f t="shared" ref="E1539:E1602" si="74">LN((PI()*(G$3-2))^(-1/2)*EXP(GAMMALN((G$3+1)/2))*((1+D1539^2/(G$3-2))^(-(G$3+1)/2))/EXP(GAMMALN(G$3/2)))</f>
        <v>-1.3654051464920358</v>
      </c>
    </row>
    <row r="1540" spans="1:5" x14ac:dyDescent="0.2">
      <c r="A1540" s="1">
        <v>43864</v>
      </c>
      <c r="B1540">
        <v>49903.25</v>
      </c>
      <c r="C1540" s="6">
        <f t="shared" si="72"/>
        <v>-3.388021108345649E-3</v>
      </c>
      <c r="D1540" s="7">
        <f t="shared" si="73"/>
        <v>-0.31221960747762056</v>
      </c>
      <c r="E1540" s="8">
        <f t="shared" si="74"/>
        <v>-0.78955473164730761</v>
      </c>
    </row>
    <row r="1541" spans="1:5" x14ac:dyDescent="0.2">
      <c r="A1541" s="1">
        <v>43865</v>
      </c>
      <c r="B1541">
        <v>50892.53</v>
      </c>
      <c r="C1541" s="6">
        <f t="shared" si="72"/>
        <v>1.9630023539600746E-2</v>
      </c>
      <c r="D1541" s="7">
        <f t="shared" si="73"/>
        <v>1.6739960352962784</v>
      </c>
      <c r="E1541" s="8">
        <f t="shared" si="74"/>
        <v>-2.7378750992028333</v>
      </c>
    </row>
    <row r="1542" spans="1:5" x14ac:dyDescent="0.2">
      <c r="A1542" s="1">
        <v>43866</v>
      </c>
      <c r="B1542">
        <v>51484.33</v>
      </c>
      <c r="C1542" s="6">
        <f t="shared" si="72"/>
        <v>1.1561335088249105E-2</v>
      </c>
      <c r="D1542" s="7">
        <f t="shared" si="73"/>
        <v>0.97775291543711418</v>
      </c>
      <c r="E1542" s="8">
        <f t="shared" si="74"/>
        <v>-1.5656737357022001</v>
      </c>
    </row>
    <row r="1543" spans="1:5" x14ac:dyDescent="0.2">
      <c r="A1543" s="1">
        <v>43867</v>
      </c>
      <c r="B1543">
        <v>51612.07</v>
      </c>
      <c r="C1543" s="6">
        <f t="shared" si="72"/>
        <v>2.4780703374542362E-3</v>
      </c>
      <c r="D1543" s="7">
        <f t="shared" si="73"/>
        <v>0.1939625104995199</v>
      </c>
      <c r="E1543" s="8">
        <f t="shared" si="74"/>
        <v>-0.72645365160989761</v>
      </c>
    </row>
    <row r="1544" spans="1:5" x14ac:dyDescent="0.2">
      <c r="A1544" s="1">
        <v>43868</v>
      </c>
      <c r="B1544">
        <v>51396.07</v>
      </c>
      <c r="C1544" s="6">
        <f t="shared" si="72"/>
        <v>-4.1938494684133996E-3</v>
      </c>
      <c r="D1544" s="7">
        <f t="shared" si="73"/>
        <v>-0.38175413652373569</v>
      </c>
      <c r="E1544" s="8">
        <f t="shared" si="74"/>
        <v>-0.83940374615979185</v>
      </c>
    </row>
    <row r="1545" spans="1:5" x14ac:dyDescent="0.2">
      <c r="A1545" s="1">
        <v>43871</v>
      </c>
      <c r="B1545">
        <v>51007.05</v>
      </c>
      <c r="C1545" s="6">
        <f t="shared" si="72"/>
        <v>-7.5978519291755838E-3</v>
      </c>
      <c r="D1545" s="7">
        <f t="shared" si="73"/>
        <v>-0.67548381856299189</v>
      </c>
      <c r="E1545" s="8">
        <f t="shared" si="74"/>
        <v>-1.1405012206454972</v>
      </c>
    </row>
    <row r="1546" spans="1:5" x14ac:dyDescent="0.2">
      <c r="A1546" s="1">
        <v>43872</v>
      </c>
      <c r="B1546">
        <v>51201.08</v>
      </c>
      <c r="C1546" s="6">
        <f t="shared" si="72"/>
        <v>3.7967671081665629E-3</v>
      </c>
      <c r="D1546" s="7">
        <f t="shared" si="73"/>
        <v>0.30775220002894427</v>
      </c>
      <c r="E1546" s="8">
        <f t="shared" si="74"/>
        <v>-0.78666636763024622</v>
      </c>
    </row>
    <row r="1547" spans="1:5" x14ac:dyDescent="0.2">
      <c r="A1547" s="1">
        <v>43873</v>
      </c>
      <c r="B1547">
        <v>52000.03</v>
      </c>
      <c r="C1547" s="6">
        <f t="shared" si="72"/>
        <v>1.5483669931345765E-2</v>
      </c>
      <c r="D1547" s="7">
        <f t="shared" si="73"/>
        <v>1.3162092413635975</v>
      </c>
      <c r="E1547" s="8">
        <f t="shared" si="74"/>
        <v>-2.1195499715134316</v>
      </c>
    </row>
    <row r="1548" spans="1:5" x14ac:dyDescent="0.2">
      <c r="A1548" s="1">
        <v>43874</v>
      </c>
      <c r="B1548">
        <v>52055.56</v>
      </c>
      <c r="C1548" s="6">
        <f t="shared" si="72"/>
        <v>1.0673142167847221E-3</v>
      </c>
      <c r="D1548" s="7">
        <f t="shared" si="73"/>
        <v>7.2229065375509202E-2</v>
      </c>
      <c r="E1548" s="8">
        <f t="shared" si="74"/>
        <v>-0.69168944436335766</v>
      </c>
    </row>
    <row r="1549" spans="1:5" x14ac:dyDescent="0.2">
      <c r="A1549" s="1">
        <v>43875</v>
      </c>
      <c r="B1549">
        <v>52049.98</v>
      </c>
      <c r="C1549" s="6">
        <f t="shared" si="72"/>
        <v>-1.0719890613573956E-4</v>
      </c>
      <c r="D1549" s="7">
        <f t="shared" si="73"/>
        <v>-2.9119088782145239E-2</v>
      </c>
      <c r="E1549" s="8">
        <f t="shared" si="74"/>
        <v>-0.68696883112697971</v>
      </c>
    </row>
    <row r="1550" spans="1:5" x14ac:dyDescent="0.2">
      <c r="A1550" s="1">
        <v>43878</v>
      </c>
      <c r="B1550">
        <v>52357.57</v>
      </c>
      <c r="C1550" s="6">
        <f t="shared" si="72"/>
        <v>5.8921196768795094E-3</v>
      </c>
      <c r="D1550" s="7">
        <f t="shared" si="73"/>
        <v>0.48855913270971096</v>
      </c>
      <c r="E1550" s="8">
        <f t="shared" si="74"/>
        <v>-0.93298724634519037</v>
      </c>
    </row>
    <row r="1551" spans="1:5" x14ac:dyDescent="0.2">
      <c r="A1551" s="1">
        <v>43879</v>
      </c>
      <c r="B1551">
        <v>51922.16</v>
      </c>
      <c r="C1551" s="6">
        <f t="shared" si="72"/>
        <v>-8.3508564960588418E-3</v>
      </c>
      <c r="D1551" s="7">
        <f t="shared" si="73"/>
        <v>-0.74046020872553098</v>
      </c>
      <c r="E1551" s="8">
        <f t="shared" si="74"/>
        <v>-1.2238035440980937</v>
      </c>
    </row>
    <row r="1552" spans="1:5" x14ac:dyDescent="0.2">
      <c r="A1552" s="1">
        <v>43880</v>
      </c>
      <c r="B1552">
        <v>52126.58</v>
      </c>
      <c r="C1552" s="6">
        <f t="shared" si="72"/>
        <v>3.9293174143659546E-3</v>
      </c>
      <c r="D1552" s="7">
        <f t="shared" si="73"/>
        <v>0.31918990013138071</v>
      </c>
      <c r="E1552" s="8">
        <f t="shared" si="74"/>
        <v>-0.79413831174972027</v>
      </c>
    </row>
    <row r="1553" spans="1:5" x14ac:dyDescent="0.2">
      <c r="A1553" s="1">
        <v>43881</v>
      </c>
      <c r="B1553">
        <v>52033.26</v>
      </c>
      <c r="C1553" s="6">
        <f t="shared" si="72"/>
        <v>-1.7918619108685261E-3</v>
      </c>
      <c r="D1553" s="7">
        <f t="shared" si="73"/>
        <v>-0.17448782292009338</v>
      </c>
      <c r="E1553" s="8">
        <f t="shared" si="74"/>
        <v>-0.71879292059646649</v>
      </c>
    </row>
    <row r="1554" spans="1:5" x14ac:dyDescent="0.2">
      <c r="A1554" s="1">
        <v>43882</v>
      </c>
      <c r="B1554">
        <v>51582.43</v>
      </c>
      <c r="C1554" s="6">
        <f t="shared" si="72"/>
        <v>-8.702018872364459E-3</v>
      </c>
      <c r="D1554" s="7">
        <f t="shared" si="73"/>
        <v>-0.77076183580288127</v>
      </c>
      <c r="E1554" s="8">
        <f t="shared" si="74"/>
        <v>-1.2643562459530273</v>
      </c>
    </row>
    <row r="1555" spans="1:5" x14ac:dyDescent="0.2">
      <c r="A1555" s="1">
        <v>43885</v>
      </c>
      <c r="B1555">
        <v>49282.53</v>
      </c>
      <c r="C1555" s="6">
        <f t="shared" si="72"/>
        <v>-4.5611453433777635E-2</v>
      </c>
      <c r="D1555" s="7">
        <f t="shared" si="73"/>
        <v>-3.9556586162667662</v>
      </c>
      <c r="E1555" s="8">
        <f t="shared" si="74"/>
        <v>-6.140786560470449</v>
      </c>
    </row>
    <row r="1556" spans="1:5" x14ac:dyDescent="0.2">
      <c r="A1556" s="1">
        <v>43886</v>
      </c>
      <c r="B1556">
        <v>49303.27</v>
      </c>
      <c r="C1556" s="6">
        <f t="shared" si="72"/>
        <v>4.2075025624319995E-4</v>
      </c>
      <c r="D1556" s="7">
        <f t="shared" si="73"/>
        <v>1.6437382279786684E-2</v>
      </c>
      <c r="E1556" s="8">
        <f t="shared" si="74"/>
        <v>-0.68634401999558403</v>
      </c>
    </row>
    <row r="1557" spans="1:5" x14ac:dyDescent="0.2">
      <c r="A1557" s="1">
        <v>43887</v>
      </c>
      <c r="B1557">
        <v>49500.52</v>
      </c>
      <c r="C1557" s="6">
        <f t="shared" si="72"/>
        <v>3.9927671205663203E-3</v>
      </c>
      <c r="D1557" s="7">
        <f t="shared" si="73"/>
        <v>0.32466494377266658</v>
      </c>
      <c r="E1557" s="8">
        <f t="shared" si="74"/>
        <v>-0.79780417315165231</v>
      </c>
    </row>
    <row r="1558" spans="1:5" x14ac:dyDescent="0.2">
      <c r="A1558" s="1">
        <v>43888</v>
      </c>
      <c r="B1558">
        <v>48032.83</v>
      </c>
      <c r="C1558" s="6">
        <f t="shared" si="72"/>
        <v>-3.0098439121651537E-2</v>
      </c>
      <c r="D1558" s="7">
        <f t="shared" si="73"/>
        <v>-2.6170483144543049</v>
      </c>
      <c r="E1558" s="8">
        <f t="shared" si="74"/>
        <v>-4.3020748844721668</v>
      </c>
    </row>
    <row r="1559" spans="1:5" x14ac:dyDescent="0.2">
      <c r="A1559" s="1">
        <v>43889</v>
      </c>
      <c r="B1559">
        <v>45851.76</v>
      </c>
      <c r="C1559" s="6">
        <f t="shared" si="72"/>
        <v>-4.6471151441132279E-2</v>
      </c>
      <c r="D1559" s="7">
        <f t="shared" si="73"/>
        <v>-4.0298415304276212</v>
      </c>
      <c r="E1559" s="8">
        <f t="shared" si="74"/>
        <v>-6.2300035104942326</v>
      </c>
    </row>
    <row r="1560" spans="1:5" x14ac:dyDescent="0.2">
      <c r="A1560" s="1">
        <v>43892</v>
      </c>
      <c r="B1560">
        <v>46648.2</v>
      </c>
      <c r="C1560" s="6">
        <f t="shared" si="72"/>
        <v>1.7220757332733184E-2</v>
      </c>
      <c r="D1560" s="7">
        <f t="shared" si="73"/>
        <v>1.4661016506568856</v>
      </c>
      <c r="E1560" s="8">
        <f t="shared" si="74"/>
        <v>-2.3771206669790503</v>
      </c>
    </row>
    <row r="1561" spans="1:5" x14ac:dyDescent="0.2">
      <c r="A1561" s="1">
        <v>43893</v>
      </c>
      <c r="B1561">
        <v>47671.24</v>
      </c>
      <c r="C1561" s="6">
        <f t="shared" si="72"/>
        <v>2.1693939705483785E-2</v>
      </c>
      <c r="D1561" s="7">
        <f t="shared" si="73"/>
        <v>1.8520903363869905</v>
      </c>
      <c r="E1561" s="8">
        <f t="shared" si="74"/>
        <v>-3.0457657111908079</v>
      </c>
    </row>
    <row r="1562" spans="1:5" x14ac:dyDescent="0.2">
      <c r="A1562" s="1">
        <v>43894</v>
      </c>
      <c r="B1562">
        <v>47560.68</v>
      </c>
      <c r="C1562" s="6">
        <f t="shared" si="72"/>
        <v>-2.3219115958513178E-3</v>
      </c>
      <c r="D1562" s="7">
        <f t="shared" si="73"/>
        <v>-0.220225547034471</v>
      </c>
      <c r="E1562" s="8">
        <f t="shared" si="74"/>
        <v>-0.7380271777161449</v>
      </c>
    </row>
    <row r="1563" spans="1:5" x14ac:dyDescent="0.2">
      <c r="A1563" s="1">
        <v>43895</v>
      </c>
      <c r="B1563">
        <v>47618.75</v>
      </c>
      <c r="C1563" s="6">
        <f t="shared" si="72"/>
        <v>1.2202217896289931E-3</v>
      </c>
      <c r="D1563" s="7">
        <f t="shared" si="73"/>
        <v>8.5423383908077383E-2</v>
      </c>
      <c r="E1563" s="8">
        <f t="shared" si="74"/>
        <v>-0.69393410280066936</v>
      </c>
    </row>
    <row r="1564" spans="1:5" x14ac:dyDescent="0.2">
      <c r="A1564" s="1">
        <v>43896</v>
      </c>
      <c r="B1564">
        <v>46759.72</v>
      </c>
      <c r="C1564" s="6">
        <f t="shared" si="72"/>
        <v>-1.8204442677195416E-2</v>
      </c>
      <c r="D1564" s="7">
        <f t="shared" si="73"/>
        <v>-1.590721267374589</v>
      </c>
      <c r="E1564" s="8">
        <f t="shared" si="74"/>
        <v>-2.5932604949819629</v>
      </c>
    </row>
    <row r="1565" spans="1:5" x14ac:dyDescent="0.2">
      <c r="A1565" s="1">
        <v>43899</v>
      </c>
      <c r="B1565">
        <v>43687.17</v>
      </c>
      <c r="C1565" s="6">
        <f t="shared" si="72"/>
        <v>-6.7967682244555974E-2</v>
      </c>
      <c r="D1565" s="7">
        <f t="shared" si="73"/>
        <v>-5.8847664990843489</v>
      </c>
      <c r="E1565" s="8">
        <f t="shared" si="74"/>
        <v>-8.1315332519038748</v>
      </c>
    </row>
    <row r="1566" spans="1:5" x14ac:dyDescent="0.2">
      <c r="A1566" s="1">
        <v>43900</v>
      </c>
      <c r="B1566">
        <v>44252.34</v>
      </c>
      <c r="C1566" s="6">
        <f t="shared" si="72"/>
        <v>1.2853785094269684E-2</v>
      </c>
      <c r="D1566" s="7">
        <f t="shared" si="73"/>
        <v>1.0892777846744464</v>
      </c>
      <c r="E1566" s="8">
        <f t="shared" si="74"/>
        <v>-1.7419052064024654</v>
      </c>
    </row>
    <row r="1567" spans="1:5" x14ac:dyDescent="0.2">
      <c r="A1567" s="1">
        <v>43901</v>
      </c>
      <c r="B1567">
        <v>43891.49</v>
      </c>
      <c r="C1567" s="6">
        <f t="shared" si="72"/>
        <v>-8.1877997801632508E-3</v>
      </c>
      <c r="D1567" s="7">
        <f t="shared" si="73"/>
        <v>-0.72639012567874806</v>
      </c>
      <c r="E1567" s="8">
        <f t="shared" si="74"/>
        <v>-1.2053318745934021</v>
      </c>
    </row>
    <row r="1568" spans="1:5" x14ac:dyDescent="0.2">
      <c r="A1568" s="1">
        <v>43902</v>
      </c>
      <c r="B1568">
        <v>39536.18</v>
      </c>
      <c r="C1568" s="6">
        <f t="shared" si="72"/>
        <v>-0.10450424958302106</v>
      </c>
      <c r="D1568" s="7">
        <f t="shared" si="73"/>
        <v>-9.0374887520319156</v>
      </c>
      <c r="E1568" s="8">
        <f t="shared" si="74"/>
        <v>-10.411192458892996</v>
      </c>
    </row>
    <row r="1569" spans="1:5" x14ac:dyDescent="0.2">
      <c r="A1569" s="1">
        <v>43903</v>
      </c>
      <c r="B1569">
        <v>39476.089999999997</v>
      </c>
      <c r="C1569" s="6">
        <f t="shared" si="72"/>
        <v>-1.5210298751070748E-3</v>
      </c>
      <c r="D1569" s="7">
        <f t="shared" si="73"/>
        <v>-0.15111786103926578</v>
      </c>
      <c r="E1569" s="8">
        <f t="shared" si="74"/>
        <v>-0.71064585201763408</v>
      </c>
    </row>
    <row r="1570" spans="1:5" x14ac:dyDescent="0.2">
      <c r="A1570" s="1">
        <v>43906</v>
      </c>
      <c r="B1570">
        <v>36301.81</v>
      </c>
      <c r="C1570" s="6">
        <f t="shared" si="72"/>
        <v>-8.3827569886732484E-2</v>
      </c>
      <c r="D1570" s="7">
        <f t="shared" si="73"/>
        <v>-7.2533083283025777</v>
      </c>
      <c r="E1570" s="8">
        <f t="shared" si="74"/>
        <v>-9.2311025181179307</v>
      </c>
    </row>
    <row r="1571" spans="1:5" x14ac:dyDescent="0.2">
      <c r="A1571" s="1">
        <v>43907</v>
      </c>
      <c r="B1571">
        <v>37375.33</v>
      </c>
      <c r="C1571" s="6">
        <f t="shared" si="72"/>
        <v>2.9143258816632323E-2</v>
      </c>
      <c r="D1571" s="7">
        <f t="shared" si="73"/>
        <v>2.4948883834356064</v>
      </c>
      <c r="E1571" s="8">
        <f t="shared" si="74"/>
        <v>-4.1109105268012236</v>
      </c>
    </row>
    <row r="1572" spans="1:5" x14ac:dyDescent="0.2">
      <c r="A1572" s="1">
        <v>43908</v>
      </c>
      <c r="B1572">
        <v>34715.64</v>
      </c>
      <c r="C1572" s="6">
        <f t="shared" si="72"/>
        <v>-7.3820555233357066E-2</v>
      </c>
      <c r="D1572" s="7">
        <f t="shared" si="73"/>
        <v>-6.3898080029708533</v>
      </c>
      <c r="E1572" s="8">
        <f t="shared" si="74"/>
        <v>-8.5613523329879602</v>
      </c>
    </row>
    <row r="1573" spans="1:5" x14ac:dyDescent="0.2">
      <c r="A1573" s="1">
        <v>43909</v>
      </c>
      <c r="B1573">
        <v>34239.300000000003</v>
      </c>
      <c r="C1573" s="6">
        <f t="shared" si="72"/>
        <v>-1.3816198730624493E-2</v>
      </c>
      <c r="D1573" s="7">
        <f t="shared" si="73"/>
        <v>-1.2120618762622926</v>
      </c>
      <c r="E1573" s="8">
        <f t="shared" si="74"/>
        <v>-1.9437563086566356</v>
      </c>
    </row>
    <row r="1574" spans="1:5" x14ac:dyDescent="0.2">
      <c r="A1574" s="1">
        <v>43910</v>
      </c>
      <c r="B1574">
        <v>36302.300000000003</v>
      </c>
      <c r="C1574" s="6">
        <f t="shared" si="72"/>
        <v>5.8506993005804198E-2</v>
      </c>
      <c r="D1574" s="7">
        <f t="shared" si="73"/>
        <v>5.0286704256904988</v>
      </c>
      <c r="E1574" s="8">
        <f t="shared" si="74"/>
        <v>-7.3250376836230178</v>
      </c>
    </row>
    <row r="1575" spans="1:5" x14ac:dyDescent="0.2">
      <c r="A1575" s="1">
        <v>43913</v>
      </c>
      <c r="B1575">
        <v>34695.9</v>
      </c>
      <c r="C1575" s="6">
        <f t="shared" si="72"/>
        <v>-4.5259575792840075E-2</v>
      </c>
      <c r="D1575" s="7">
        <f t="shared" si="73"/>
        <v>-3.9252952693594989</v>
      </c>
      <c r="E1575" s="8">
        <f t="shared" si="74"/>
        <v>-6.1039227167273724</v>
      </c>
    </row>
    <row r="1576" spans="1:5" x14ac:dyDescent="0.2">
      <c r="A1576" s="1">
        <v>43914</v>
      </c>
      <c r="B1576">
        <v>37550.720000000001</v>
      </c>
      <c r="C1576" s="6">
        <f t="shared" si="72"/>
        <v>7.9071028108112645E-2</v>
      </c>
      <c r="D1576" s="7">
        <f t="shared" si="73"/>
        <v>6.8031308033403723</v>
      </c>
      <c r="E1576" s="8">
        <f t="shared" si="74"/>
        <v>-8.8914190305784508</v>
      </c>
    </row>
    <row r="1577" spans="1:5" x14ac:dyDescent="0.2">
      <c r="A1577" s="1">
        <v>43915</v>
      </c>
      <c r="B1577">
        <v>39493.22</v>
      </c>
      <c r="C1577" s="6">
        <f t="shared" si="72"/>
        <v>5.0436459144264742E-2</v>
      </c>
      <c r="D1577" s="7">
        <f t="shared" si="73"/>
        <v>4.3322680663025901</v>
      </c>
      <c r="E1577" s="8">
        <f t="shared" si="74"/>
        <v>-6.5817110518285613</v>
      </c>
    </row>
    <row r="1578" spans="1:5" x14ac:dyDescent="0.2">
      <c r="A1578" s="1">
        <v>43916</v>
      </c>
      <c r="B1578">
        <v>41110.449999999997</v>
      </c>
      <c r="C1578" s="6">
        <f t="shared" si="72"/>
        <v>4.0133335486998427E-2</v>
      </c>
      <c r="D1578" s="7">
        <f t="shared" si="73"/>
        <v>3.4432166420617416</v>
      </c>
      <c r="E1578" s="8">
        <f t="shared" si="74"/>
        <v>-5.4902415388492765</v>
      </c>
    </row>
    <row r="1579" spans="1:5" x14ac:dyDescent="0.2">
      <c r="A1579" s="1">
        <v>43917</v>
      </c>
      <c r="B1579">
        <v>39172.39</v>
      </c>
      <c r="C1579" s="6">
        <f t="shared" si="72"/>
        <v>-4.8290185191595697E-2</v>
      </c>
      <c r="D1579" s="7">
        <f t="shared" si="73"/>
        <v>-4.1868050494911948</v>
      </c>
      <c r="E1579" s="8">
        <f t="shared" si="74"/>
        <v>-6.414902105794642</v>
      </c>
    </row>
    <row r="1580" spans="1:5" x14ac:dyDescent="0.2">
      <c r="A1580" s="1">
        <v>43920</v>
      </c>
      <c r="B1580">
        <v>39756.74</v>
      </c>
      <c r="C1580" s="6">
        <f t="shared" si="72"/>
        <v>1.4807224575067173E-2</v>
      </c>
      <c r="D1580" s="7">
        <f t="shared" si="73"/>
        <v>1.2578391074677033</v>
      </c>
      <c r="E1580" s="8">
        <f t="shared" si="74"/>
        <v>-2.020602372621255</v>
      </c>
    </row>
    <row r="1581" spans="1:5" x14ac:dyDescent="0.2">
      <c r="A1581" s="1">
        <v>43921</v>
      </c>
      <c r="B1581">
        <v>40738.57</v>
      </c>
      <c r="C1581" s="6">
        <f t="shared" si="72"/>
        <v>2.4395923069285359E-2</v>
      </c>
      <c r="D1581" s="7">
        <f t="shared" si="73"/>
        <v>2.0852431391458612</v>
      </c>
      <c r="E1581" s="8">
        <f t="shared" si="74"/>
        <v>-3.4423258877456502</v>
      </c>
    </row>
    <row r="1582" spans="1:5" x14ac:dyDescent="0.2">
      <c r="A1582" s="1">
        <v>43922</v>
      </c>
      <c r="B1582">
        <v>40027.410000000003</v>
      </c>
      <c r="C1582" s="6">
        <f t="shared" si="72"/>
        <v>-1.7610840107067448E-2</v>
      </c>
      <c r="D1582" s="7">
        <f t="shared" si="73"/>
        <v>-1.5394995963590126</v>
      </c>
      <c r="E1582" s="8">
        <f t="shared" si="74"/>
        <v>-2.5043210425304232</v>
      </c>
    </row>
    <row r="1583" spans="1:5" x14ac:dyDescent="0.2">
      <c r="A1583" s="1">
        <v>43923</v>
      </c>
      <c r="B1583">
        <v>41245.26</v>
      </c>
      <c r="C1583" s="6">
        <f t="shared" si="72"/>
        <v>2.9971727649868458E-2</v>
      </c>
      <c r="D1583" s="7">
        <f t="shared" si="73"/>
        <v>2.5663765476690115</v>
      </c>
      <c r="E1583" s="8">
        <f t="shared" si="74"/>
        <v>-4.2232615922025065</v>
      </c>
    </row>
    <row r="1584" spans="1:5" x14ac:dyDescent="0.2">
      <c r="A1584" s="1">
        <v>43924</v>
      </c>
      <c r="B1584">
        <v>40873.410000000003</v>
      </c>
      <c r="C1584" s="6">
        <f t="shared" si="72"/>
        <v>-9.056467708965699E-3</v>
      </c>
      <c r="D1584" s="7">
        <f t="shared" si="73"/>
        <v>-0.80134704990720806</v>
      </c>
      <c r="E1584" s="8">
        <f t="shared" si="74"/>
        <v>-1.3063124385036333</v>
      </c>
    </row>
    <row r="1585" spans="1:5" x14ac:dyDescent="0.2">
      <c r="A1585" s="1">
        <v>43927</v>
      </c>
      <c r="B1585">
        <v>42534.54</v>
      </c>
      <c r="C1585" s="6">
        <f t="shared" si="72"/>
        <v>3.9836722367857895E-2</v>
      </c>
      <c r="D1585" s="7">
        <f t="shared" si="73"/>
        <v>3.417622043298052</v>
      </c>
      <c r="E1585" s="8">
        <f t="shared" si="74"/>
        <v>-5.4561004828575284</v>
      </c>
    </row>
    <row r="1586" spans="1:5" x14ac:dyDescent="0.2">
      <c r="A1586" s="1">
        <v>43928</v>
      </c>
      <c r="B1586">
        <v>43590</v>
      </c>
      <c r="C1586" s="6">
        <f t="shared" si="72"/>
        <v>2.4511314504183538E-2</v>
      </c>
      <c r="D1586" s="7">
        <f t="shared" si="73"/>
        <v>2.0952002087641679</v>
      </c>
      <c r="E1586" s="8">
        <f t="shared" si="74"/>
        <v>-3.4590372453481355</v>
      </c>
    </row>
    <row r="1587" spans="1:5" x14ac:dyDescent="0.2">
      <c r="A1587" s="1">
        <v>43929</v>
      </c>
      <c r="B1587">
        <v>42772.2</v>
      </c>
      <c r="C1587" s="6">
        <f t="shared" si="72"/>
        <v>-1.8939407410590373E-2</v>
      </c>
      <c r="D1587" s="7">
        <f t="shared" si="73"/>
        <v>-1.6541410092633273</v>
      </c>
      <c r="E1587" s="8">
        <f t="shared" si="74"/>
        <v>-2.7034087275767122</v>
      </c>
    </row>
    <row r="1588" spans="1:5" x14ac:dyDescent="0.2">
      <c r="A1588" s="1">
        <v>43930</v>
      </c>
      <c r="B1588">
        <v>43837.45</v>
      </c>
      <c r="C1588" s="6">
        <f t="shared" si="72"/>
        <v>2.4600116049944182E-2</v>
      </c>
      <c r="D1588" s="7">
        <f t="shared" si="73"/>
        <v>2.1028628500523379</v>
      </c>
      <c r="E1588" s="8">
        <f t="shared" si="74"/>
        <v>-3.4718837348677996</v>
      </c>
    </row>
    <row r="1589" spans="1:5" x14ac:dyDescent="0.2">
      <c r="A1589" s="1">
        <v>43935</v>
      </c>
      <c r="B1589">
        <v>45580.91</v>
      </c>
      <c r="C1589" s="6">
        <f t="shared" si="72"/>
        <v>3.9000513625471842E-2</v>
      </c>
      <c r="D1589" s="7">
        <f t="shared" si="73"/>
        <v>3.3454660061474484</v>
      </c>
      <c r="E1589" s="8">
        <f t="shared" si="74"/>
        <v>-5.3589668295132764</v>
      </c>
    </row>
    <row r="1590" spans="1:5" x14ac:dyDescent="0.2">
      <c r="A1590" s="1">
        <v>43936</v>
      </c>
      <c r="B1590">
        <v>44202.9</v>
      </c>
      <c r="C1590" s="6">
        <f t="shared" si="72"/>
        <v>-3.0698590724044357E-2</v>
      </c>
      <c r="D1590" s="7">
        <f t="shared" si="73"/>
        <v>-2.6688350982120119</v>
      </c>
      <c r="E1590" s="8">
        <f t="shared" si="74"/>
        <v>-4.3819114339634657</v>
      </c>
    </row>
    <row r="1591" spans="1:5" x14ac:dyDescent="0.2">
      <c r="A1591" s="1">
        <v>43937</v>
      </c>
      <c r="B1591">
        <v>44180</v>
      </c>
      <c r="C1591" s="6">
        <f t="shared" si="72"/>
        <v>-5.1819979911157965E-4</v>
      </c>
      <c r="D1591" s="7">
        <f t="shared" si="73"/>
        <v>-6.458415174940671E-2</v>
      </c>
      <c r="E1591" s="8">
        <f t="shared" si="74"/>
        <v>-0.69056010128675183</v>
      </c>
    </row>
    <row r="1592" spans="1:5" x14ac:dyDescent="0.2">
      <c r="A1592" s="1">
        <v>43938</v>
      </c>
      <c r="B1592">
        <v>45044.37</v>
      </c>
      <c r="C1592" s="6">
        <f t="shared" si="72"/>
        <v>1.9375805999641085E-2</v>
      </c>
      <c r="D1592" s="7">
        <f t="shared" si="73"/>
        <v>1.652059730008052</v>
      </c>
      <c r="E1592" s="8">
        <f t="shared" si="74"/>
        <v>-2.6997950386086669</v>
      </c>
    </row>
    <row r="1593" spans="1:5" x14ac:dyDescent="0.2">
      <c r="A1593" s="1">
        <v>43941</v>
      </c>
      <c r="B1593">
        <v>44796.92</v>
      </c>
      <c r="C1593" s="6">
        <f t="shared" si="72"/>
        <v>-5.5086169340622868E-3</v>
      </c>
      <c r="D1593" s="7">
        <f t="shared" si="73"/>
        <v>-0.49520476827038135</v>
      </c>
      <c r="E1593" s="8">
        <f t="shared" si="74"/>
        <v>-0.93945257961696815</v>
      </c>
    </row>
    <row r="1594" spans="1:5" x14ac:dyDescent="0.2">
      <c r="A1594" s="1">
        <v>43942</v>
      </c>
      <c r="B1594">
        <v>43737.55</v>
      </c>
      <c r="C1594" s="6">
        <f t="shared" si="72"/>
        <v>-2.393238618063E-2</v>
      </c>
      <c r="D1594" s="7">
        <f t="shared" si="73"/>
        <v>-2.084982668004113</v>
      </c>
      <c r="E1594" s="8">
        <f t="shared" si="74"/>
        <v>-3.4418884535540939</v>
      </c>
    </row>
    <row r="1595" spans="1:5" x14ac:dyDescent="0.2">
      <c r="A1595" s="1">
        <v>43943</v>
      </c>
      <c r="B1595">
        <v>44248.82</v>
      </c>
      <c r="C1595" s="6">
        <f t="shared" si="72"/>
        <v>1.1621703554790185E-2</v>
      </c>
      <c r="D1595" s="7">
        <f t="shared" si="73"/>
        <v>0.98296208043822841</v>
      </c>
      <c r="E1595" s="8">
        <f t="shared" si="74"/>
        <v>-1.573722193035763</v>
      </c>
    </row>
    <row r="1596" spans="1:5" x14ac:dyDescent="0.2">
      <c r="A1596" s="1">
        <v>43944</v>
      </c>
      <c r="B1596">
        <v>45661.96</v>
      </c>
      <c r="C1596" s="6">
        <f t="shared" si="72"/>
        <v>3.1436861723241019E-2</v>
      </c>
      <c r="D1596" s="7">
        <f t="shared" si="73"/>
        <v>2.6928022393297173</v>
      </c>
      <c r="E1596" s="8">
        <f t="shared" si="74"/>
        <v>-4.4186158067983206</v>
      </c>
    </row>
    <row r="1597" spans="1:5" x14ac:dyDescent="0.2">
      <c r="A1597" s="1">
        <v>43945</v>
      </c>
      <c r="B1597">
        <v>45595.47</v>
      </c>
      <c r="C1597" s="6">
        <f t="shared" si="72"/>
        <v>-1.4571966746274472E-3</v>
      </c>
      <c r="D1597" s="7">
        <f t="shared" si="73"/>
        <v>-0.14560972586705123</v>
      </c>
      <c r="E1597" s="8">
        <f t="shared" si="74"/>
        <v>-0.70889284045778667</v>
      </c>
    </row>
    <row r="1598" spans="1:5" x14ac:dyDescent="0.2">
      <c r="A1598" s="1">
        <v>43949</v>
      </c>
      <c r="B1598">
        <v>46100.71</v>
      </c>
      <c r="C1598" s="6">
        <f t="shared" si="72"/>
        <v>1.1019981705198849E-2</v>
      </c>
      <c r="D1598" s="7">
        <f t="shared" si="73"/>
        <v>0.93103980082948745</v>
      </c>
      <c r="E1598" s="8">
        <f t="shared" si="74"/>
        <v>-1.4944063570036092</v>
      </c>
    </row>
    <row r="1599" spans="1:5" x14ac:dyDescent="0.2">
      <c r="A1599" s="1">
        <v>43950</v>
      </c>
      <c r="B1599">
        <v>46831.62</v>
      </c>
      <c r="C1599" s="6">
        <f t="shared" si="72"/>
        <v>1.5730264621077936E-2</v>
      </c>
      <c r="D1599" s="7">
        <f t="shared" si="73"/>
        <v>1.3374877746909153</v>
      </c>
      <c r="E1599" s="8">
        <f t="shared" si="74"/>
        <v>-2.1558478839026942</v>
      </c>
    </row>
    <row r="1600" spans="1:5" x14ac:dyDescent="0.2">
      <c r="A1600" s="1">
        <v>43951</v>
      </c>
      <c r="B1600">
        <v>46348.26</v>
      </c>
      <c r="C1600" s="6">
        <f t="shared" si="72"/>
        <v>-1.0374864952470978E-2</v>
      </c>
      <c r="D1600" s="7">
        <f t="shared" si="73"/>
        <v>-0.91511089338267027</v>
      </c>
      <c r="E1600" s="8">
        <f t="shared" si="74"/>
        <v>-1.4704970835605653</v>
      </c>
    </row>
    <row r="1601" spans="1:5" x14ac:dyDescent="0.2">
      <c r="A1601" s="1">
        <v>43955</v>
      </c>
      <c r="B1601">
        <v>45254.03</v>
      </c>
      <c r="C1601" s="6">
        <f t="shared" si="72"/>
        <v>-2.3892023900388734E-2</v>
      </c>
      <c r="D1601" s="7">
        <f t="shared" si="73"/>
        <v>-2.081499826884488</v>
      </c>
      <c r="E1601" s="8">
        <f t="shared" si="74"/>
        <v>-3.4360380449469883</v>
      </c>
    </row>
    <row r="1602" spans="1:5" x14ac:dyDescent="0.2">
      <c r="A1602" s="1">
        <v>43956</v>
      </c>
      <c r="B1602">
        <v>45210.39</v>
      </c>
      <c r="C1602" s="6">
        <f t="shared" si="72"/>
        <v>-9.6479927434778181E-4</v>
      </c>
      <c r="D1602" s="7">
        <f t="shared" si="73"/>
        <v>-0.10312099870299442</v>
      </c>
      <c r="E1602" s="8">
        <f t="shared" si="74"/>
        <v>-0.6975310670514292</v>
      </c>
    </row>
    <row r="1603" spans="1:5" x14ac:dyDescent="0.2">
      <c r="A1603" s="1">
        <v>43957</v>
      </c>
      <c r="B1603">
        <v>45952.52</v>
      </c>
      <c r="C1603" s="6">
        <f t="shared" ref="C1603:C1666" si="75">LN(B1603/B1602)</f>
        <v>1.6281761838327854E-2</v>
      </c>
      <c r="D1603" s="7">
        <f t="shared" ref="D1603:D1666" si="76">(C1603-$G$4)/$G$5</f>
        <v>1.3850761957145834</v>
      </c>
      <c r="E1603" s="8">
        <f t="shared" ref="E1603:E1666" si="77">LN((PI()*(G$3-2))^(-1/2)*EXP(GAMMALN((G$3+1)/2))*((1+D1603^2/(G$3-2))^(-(G$3+1)/2))/EXP(GAMMALN(G$3/2)))</f>
        <v>-2.2373899454691619</v>
      </c>
    </row>
    <row r="1604" spans="1:5" x14ac:dyDescent="0.2">
      <c r="A1604" s="1">
        <v>43958</v>
      </c>
      <c r="B1604">
        <v>46096.03</v>
      </c>
      <c r="C1604" s="6">
        <f t="shared" si="75"/>
        <v>3.1181396399292851E-3</v>
      </c>
      <c r="D1604" s="7">
        <f t="shared" si="76"/>
        <v>0.24919377277568999</v>
      </c>
      <c r="E1604" s="8">
        <f t="shared" si="77"/>
        <v>-0.75242788287760431</v>
      </c>
    </row>
    <row r="1605" spans="1:5" x14ac:dyDescent="0.2">
      <c r="A1605" s="1">
        <v>43959</v>
      </c>
      <c r="B1605">
        <v>47061.57</v>
      </c>
      <c r="C1605" s="6">
        <f t="shared" si="75"/>
        <v>2.0729915251036877E-2</v>
      </c>
      <c r="D1605" s="7">
        <f t="shared" si="76"/>
        <v>1.7689051449111433</v>
      </c>
      <c r="E1605" s="8">
        <f t="shared" si="77"/>
        <v>-2.9023164845241842</v>
      </c>
    </row>
    <row r="1606" spans="1:5" x14ac:dyDescent="0.2">
      <c r="A1606" s="1">
        <v>43962</v>
      </c>
      <c r="B1606">
        <v>46359.51</v>
      </c>
      <c r="C1606" s="6">
        <f t="shared" si="75"/>
        <v>-1.5030295449420849E-2</v>
      </c>
      <c r="D1606" s="7">
        <f t="shared" si="76"/>
        <v>-1.3168256792523494</v>
      </c>
      <c r="E1606" s="8">
        <f t="shared" si="77"/>
        <v>-2.1205999531479054</v>
      </c>
    </row>
    <row r="1607" spans="1:5" x14ac:dyDescent="0.2">
      <c r="A1607" s="1">
        <v>43963</v>
      </c>
      <c r="B1607">
        <v>46518.03</v>
      </c>
      <c r="C1607" s="6">
        <f t="shared" si="75"/>
        <v>3.4135304170500487E-3</v>
      </c>
      <c r="D1607" s="7">
        <f t="shared" si="76"/>
        <v>0.27468289625346304</v>
      </c>
      <c r="E1607" s="8">
        <f t="shared" si="77"/>
        <v>-0.7664970530992482</v>
      </c>
    </row>
    <row r="1608" spans="1:5" x14ac:dyDescent="0.2">
      <c r="A1608" s="1">
        <v>43964</v>
      </c>
      <c r="B1608">
        <v>46416.44</v>
      </c>
      <c r="C1608" s="6">
        <f t="shared" si="75"/>
        <v>-2.1862725523668163E-3</v>
      </c>
      <c r="D1608" s="7">
        <f t="shared" si="76"/>
        <v>-0.20852132132545353</v>
      </c>
      <c r="E1608" s="8">
        <f t="shared" si="77"/>
        <v>-0.73269405889411854</v>
      </c>
    </row>
    <row r="1609" spans="1:5" x14ac:dyDescent="0.2">
      <c r="A1609" s="1">
        <v>43965</v>
      </c>
      <c r="B1609">
        <v>45445.1</v>
      </c>
      <c r="C1609" s="6">
        <f t="shared" si="75"/>
        <v>-2.1148702793539573E-2</v>
      </c>
      <c r="D1609" s="7">
        <f t="shared" si="76"/>
        <v>-1.8447800108048136</v>
      </c>
      <c r="E1609" s="8">
        <f t="shared" si="77"/>
        <v>-3.0331922782459326</v>
      </c>
    </row>
    <row r="1610" spans="1:5" x14ac:dyDescent="0.2">
      <c r="A1610" s="1">
        <v>43966</v>
      </c>
      <c r="B1610">
        <v>45948.36</v>
      </c>
      <c r="C1610" s="6">
        <f t="shared" si="75"/>
        <v>1.1013153165904661E-2</v>
      </c>
      <c r="D1610" s="7">
        <f t="shared" si="76"/>
        <v>0.93045056956458838</v>
      </c>
      <c r="E1610" s="8">
        <f t="shared" si="77"/>
        <v>-1.4935182425591622</v>
      </c>
    </row>
    <row r="1611" spans="1:5" x14ac:dyDescent="0.2">
      <c r="A1611" s="1">
        <v>43969</v>
      </c>
      <c r="B1611">
        <v>47673.54</v>
      </c>
      <c r="C1611" s="6">
        <f t="shared" si="75"/>
        <v>3.6858369804463366E-2</v>
      </c>
      <c r="D1611" s="7">
        <f t="shared" si="76"/>
        <v>3.1606214795408811</v>
      </c>
      <c r="E1611" s="8">
        <f t="shared" si="77"/>
        <v>-5.1040757039749058</v>
      </c>
    </row>
    <row r="1612" spans="1:5" x14ac:dyDescent="0.2">
      <c r="A1612" s="1">
        <v>43970</v>
      </c>
      <c r="B1612">
        <v>48160.65</v>
      </c>
      <c r="C1612" s="6">
        <f t="shared" si="75"/>
        <v>1.0165770586449498E-2</v>
      </c>
      <c r="D1612" s="7">
        <f t="shared" si="76"/>
        <v>0.85733034756179971</v>
      </c>
      <c r="E1612" s="8">
        <f t="shared" si="77"/>
        <v>-1.3855942094008633</v>
      </c>
    </row>
    <row r="1613" spans="1:5" x14ac:dyDescent="0.2">
      <c r="A1613" s="1">
        <v>43971</v>
      </c>
      <c r="B1613">
        <v>48379.91</v>
      </c>
      <c r="C1613" s="6">
        <f t="shared" si="75"/>
        <v>4.5423473200837282E-3</v>
      </c>
      <c r="D1613" s="7">
        <f t="shared" si="76"/>
        <v>0.37208794628811548</v>
      </c>
      <c r="E1613" s="8">
        <f t="shared" si="77"/>
        <v>-0.8319331510901351</v>
      </c>
    </row>
    <row r="1614" spans="1:5" x14ac:dyDescent="0.2">
      <c r="A1614" s="1">
        <v>43972</v>
      </c>
      <c r="B1614">
        <v>47232.26</v>
      </c>
      <c r="C1614" s="6">
        <f t="shared" si="75"/>
        <v>-2.4007511201907267E-2</v>
      </c>
      <c r="D1614" s="7">
        <f t="shared" si="76"/>
        <v>-2.0914651687858612</v>
      </c>
      <c r="E1614" s="8">
        <f t="shared" si="77"/>
        <v>-3.4527709804105267</v>
      </c>
    </row>
    <row r="1615" spans="1:5" x14ac:dyDescent="0.2">
      <c r="A1615" s="1">
        <v>43973</v>
      </c>
      <c r="B1615">
        <v>46432.04</v>
      </c>
      <c r="C1615" s="6">
        <f t="shared" si="75"/>
        <v>-1.7087395529152536E-2</v>
      </c>
      <c r="D1615" s="7">
        <f t="shared" si="76"/>
        <v>-1.494331823653674</v>
      </c>
      <c r="E1615" s="8">
        <f t="shared" si="77"/>
        <v>-2.4259939893819991</v>
      </c>
    </row>
    <row r="1616" spans="1:5" x14ac:dyDescent="0.2">
      <c r="A1616" s="1">
        <v>43976</v>
      </c>
      <c r="B1616">
        <v>46351.26</v>
      </c>
      <c r="C1616" s="6">
        <f t="shared" si="75"/>
        <v>-1.7412620678584612E-3</v>
      </c>
      <c r="D1616" s="7">
        <f t="shared" si="76"/>
        <v>-0.17012158759273854</v>
      </c>
      <c r="E1616" s="8">
        <f t="shared" si="77"/>
        <v>-0.717183843608729</v>
      </c>
    </row>
    <row r="1617" spans="1:5" x14ac:dyDescent="0.2">
      <c r="A1617" s="1">
        <v>43977</v>
      </c>
      <c r="B1617">
        <v>46795.97</v>
      </c>
      <c r="C1617" s="6">
        <f t="shared" si="75"/>
        <v>9.5486119963226791E-3</v>
      </c>
      <c r="D1617" s="7">
        <f t="shared" si="76"/>
        <v>0.80407603927755822</v>
      </c>
      <c r="E1617" s="8">
        <f t="shared" si="77"/>
        <v>-1.3101041547217525</v>
      </c>
    </row>
    <row r="1618" spans="1:5" x14ac:dyDescent="0.2">
      <c r="A1618" s="1">
        <v>43978</v>
      </c>
      <c r="B1618">
        <v>46600.639999999999</v>
      </c>
      <c r="C1618" s="6">
        <f t="shared" si="75"/>
        <v>-4.1828131618450465E-3</v>
      </c>
      <c r="D1618" s="7">
        <f t="shared" si="76"/>
        <v>-0.3808018191101683</v>
      </c>
      <c r="E1618" s="8">
        <f t="shared" si="77"/>
        <v>-0.83866012908654541</v>
      </c>
    </row>
    <row r="1619" spans="1:5" x14ac:dyDescent="0.2">
      <c r="A1619" s="1">
        <v>43979</v>
      </c>
      <c r="B1619">
        <v>47440.06</v>
      </c>
      <c r="C1619" s="6">
        <f t="shared" si="75"/>
        <v>1.7852744501280448E-2</v>
      </c>
      <c r="D1619" s="7">
        <f t="shared" si="76"/>
        <v>1.5206355096097115</v>
      </c>
      <c r="E1619" s="8">
        <f t="shared" si="77"/>
        <v>-2.4715922505414993</v>
      </c>
    </row>
    <row r="1620" spans="1:5" x14ac:dyDescent="0.2">
      <c r="A1620" s="1">
        <v>43980</v>
      </c>
      <c r="B1620">
        <v>46544.79</v>
      </c>
      <c r="C1620" s="6">
        <f t="shared" si="75"/>
        <v>-1.9051944648685776E-2</v>
      </c>
      <c r="D1620" s="7">
        <f t="shared" si="76"/>
        <v>-1.6638517916568094</v>
      </c>
      <c r="E1620" s="8">
        <f t="shared" si="77"/>
        <v>-2.7202675187092349</v>
      </c>
    </row>
    <row r="1621" spans="1:5" x14ac:dyDescent="0.2">
      <c r="A1621" s="1">
        <v>43983</v>
      </c>
      <c r="B1621">
        <v>46950.12</v>
      </c>
      <c r="C1621" s="6">
        <f t="shared" si="75"/>
        <v>8.6706867660838027E-3</v>
      </c>
      <c r="D1621" s="7">
        <f t="shared" si="76"/>
        <v>0.72832030710497753</v>
      </c>
      <c r="E1621" s="8">
        <f t="shared" si="77"/>
        <v>-1.2078521092486059</v>
      </c>
    </row>
    <row r="1622" spans="1:5" x14ac:dyDescent="0.2">
      <c r="A1622" s="1">
        <v>43984</v>
      </c>
      <c r="B1622">
        <v>48318.29</v>
      </c>
      <c r="C1622" s="6">
        <f t="shared" si="75"/>
        <v>2.8724402365954964E-2</v>
      </c>
      <c r="D1622" s="7">
        <f t="shared" si="76"/>
        <v>2.458745468295056</v>
      </c>
      <c r="E1622" s="8">
        <f t="shared" si="77"/>
        <v>-4.0535964467687995</v>
      </c>
    </row>
    <row r="1623" spans="1:5" x14ac:dyDescent="0.2">
      <c r="A1623" s="1">
        <v>43985</v>
      </c>
      <c r="B1623">
        <v>49300.1</v>
      </c>
      <c r="C1623" s="6">
        <f t="shared" si="75"/>
        <v>2.011594551664924E-2</v>
      </c>
      <c r="D1623" s="7">
        <f t="shared" si="76"/>
        <v>1.7159260014051696</v>
      </c>
      <c r="E1623" s="8">
        <f t="shared" si="77"/>
        <v>-2.8106000886448959</v>
      </c>
    </row>
    <row r="1624" spans="1:5" x14ac:dyDescent="0.2">
      <c r="A1624" s="1">
        <v>43986</v>
      </c>
      <c r="B1624">
        <v>48837.53</v>
      </c>
      <c r="C1624" s="6">
        <f t="shared" si="75"/>
        <v>-9.4270347810949482E-3</v>
      </c>
      <c r="D1624" s="7">
        <f t="shared" si="76"/>
        <v>-0.83332309855153563</v>
      </c>
      <c r="E1624" s="8">
        <f t="shared" si="77"/>
        <v>-1.3512173718937366</v>
      </c>
    </row>
    <row r="1625" spans="1:5" x14ac:dyDescent="0.2">
      <c r="A1625" s="1">
        <v>43987</v>
      </c>
      <c r="B1625">
        <v>50199.8</v>
      </c>
      <c r="C1625" s="6">
        <f t="shared" si="75"/>
        <v>2.7511967962943924E-2</v>
      </c>
      <c r="D1625" s="7">
        <f t="shared" si="76"/>
        <v>2.3541251057086705</v>
      </c>
      <c r="E1625" s="8">
        <f t="shared" si="77"/>
        <v>-3.8857924126567909</v>
      </c>
    </row>
    <row r="1626" spans="1:5" x14ac:dyDescent="0.2">
      <c r="A1626" s="1">
        <v>43990</v>
      </c>
      <c r="B1626">
        <v>50117.63</v>
      </c>
      <c r="C1626" s="6">
        <f t="shared" si="75"/>
        <v>-1.6382002285472846E-3</v>
      </c>
      <c r="D1626" s="7">
        <f t="shared" si="76"/>
        <v>-0.16122843265521991</v>
      </c>
      <c r="E1626" s="8">
        <f t="shared" si="77"/>
        <v>-0.71402988346812146</v>
      </c>
    </row>
    <row r="1627" spans="1:5" x14ac:dyDescent="0.2">
      <c r="A1627" s="1">
        <v>43991</v>
      </c>
      <c r="B1627">
        <v>49915.74</v>
      </c>
      <c r="C1627" s="6">
        <f t="shared" si="75"/>
        <v>-4.0364585161136836E-3</v>
      </c>
      <c r="D1627" s="7">
        <f t="shared" si="76"/>
        <v>-0.36817294940423523</v>
      </c>
      <c r="E1627" s="8">
        <f t="shared" si="77"/>
        <v>-0.82895635452643945</v>
      </c>
    </row>
    <row r="1628" spans="1:5" x14ac:dyDescent="0.2">
      <c r="A1628" s="1">
        <v>43992</v>
      </c>
      <c r="B1628">
        <v>49204.82</v>
      </c>
      <c r="C1628" s="6">
        <f t="shared" si="75"/>
        <v>-1.4344797701903975E-2</v>
      </c>
      <c r="D1628" s="7">
        <f t="shared" si="76"/>
        <v>-1.2576744190115816</v>
      </c>
      <c r="E1628" s="8">
        <f t="shared" si="77"/>
        <v>-2.0203246346766224</v>
      </c>
    </row>
    <row r="1629" spans="1:5" x14ac:dyDescent="0.2">
      <c r="A1629" s="1">
        <v>43993</v>
      </c>
      <c r="B1629">
        <v>48892.12</v>
      </c>
      <c r="C1629" s="6">
        <f t="shared" si="75"/>
        <v>-6.375347878166529E-3</v>
      </c>
      <c r="D1629" s="7">
        <f t="shared" si="76"/>
        <v>-0.569994551051067</v>
      </c>
      <c r="E1629" s="8">
        <f t="shared" si="77"/>
        <v>-1.0170554857967429</v>
      </c>
    </row>
    <row r="1630" spans="1:5" x14ac:dyDescent="0.2">
      <c r="A1630" s="1">
        <v>43994</v>
      </c>
      <c r="B1630">
        <v>49247.69</v>
      </c>
      <c r="C1630" s="6">
        <f t="shared" si="75"/>
        <v>7.2462246635217721E-3</v>
      </c>
      <c r="D1630" s="7">
        <f t="shared" si="76"/>
        <v>0.6054041796093379</v>
      </c>
      <c r="E1630" s="8">
        <f t="shared" si="77"/>
        <v>-1.0567554081893222</v>
      </c>
    </row>
    <row r="1631" spans="1:5" x14ac:dyDescent="0.2">
      <c r="A1631" s="1">
        <v>43997</v>
      </c>
      <c r="B1631">
        <v>47919.519999999997</v>
      </c>
      <c r="C1631" s="6">
        <f t="shared" si="75"/>
        <v>-2.7339525902256794E-2</v>
      </c>
      <c r="D1631" s="7">
        <f t="shared" si="76"/>
        <v>-2.37898306272553</v>
      </c>
      <c r="E1631" s="8">
        <f t="shared" si="77"/>
        <v>-3.9259156200023337</v>
      </c>
    </row>
    <row r="1632" spans="1:5" x14ac:dyDescent="0.2">
      <c r="A1632" s="1">
        <v>43999</v>
      </c>
      <c r="B1632">
        <v>49661.14</v>
      </c>
      <c r="C1632" s="6">
        <f t="shared" si="75"/>
        <v>3.5699798855487817E-2</v>
      </c>
      <c r="D1632" s="7">
        <f t="shared" si="76"/>
        <v>3.0606489676566477</v>
      </c>
      <c r="E1632" s="8">
        <f t="shared" si="77"/>
        <v>-4.9625104086597398</v>
      </c>
    </row>
    <row r="1633" spans="1:5" x14ac:dyDescent="0.2">
      <c r="A1633" s="1">
        <v>44000</v>
      </c>
      <c r="B1633">
        <v>49589.11</v>
      </c>
      <c r="C1633" s="6">
        <f t="shared" si="75"/>
        <v>-1.4514827448007153E-3</v>
      </c>
      <c r="D1633" s="7">
        <f t="shared" si="76"/>
        <v>-0.14511667369962569</v>
      </c>
      <c r="E1633" s="8">
        <f t="shared" si="77"/>
        <v>-0.70873904338794547</v>
      </c>
    </row>
    <row r="1634" spans="1:5" x14ac:dyDescent="0.2">
      <c r="A1634" s="1">
        <v>44001</v>
      </c>
      <c r="B1634">
        <v>49812.34</v>
      </c>
      <c r="C1634" s="6">
        <f t="shared" si="75"/>
        <v>4.4914913268830911E-3</v>
      </c>
      <c r="D1634" s="7">
        <f t="shared" si="76"/>
        <v>0.36769960788801076</v>
      </c>
      <c r="E1634" s="8">
        <f t="shared" si="77"/>
        <v>-0.82859836545650722</v>
      </c>
    </row>
    <row r="1635" spans="1:5" x14ac:dyDescent="0.2">
      <c r="A1635" s="1">
        <v>44004</v>
      </c>
      <c r="B1635">
        <v>49877.86</v>
      </c>
      <c r="C1635" s="6">
        <f t="shared" si="75"/>
        <v>1.3144724242501922E-3</v>
      </c>
      <c r="D1635" s="7">
        <f t="shared" si="76"/>
        <v>9.3556224368211524E-2</v>
      </c>
      <c r="E1635" s="8">
        <f t="shared" si="77"/>
        <v>-0.69550378394567991</v>
      </c>
    </row>
    <row r="1636" spans="1:5" x14ac:dyDescent="0.2">
      <c r="A1636" s="1">
        <v>44005</v>
      </c>
      <c r="B1636">
        <v>51193.19</v>
      </c>
      <c r="C1636" s="6">
        <f t="shared" si="75"/>
        <v>2.6029298462282524E-2</v>
      </c>
      <c r="D1636" s="7">
        <f t="shared" si="76"/>
        <v>2.2261862907346464</v>
      </c>
      <c r="E1636" s="8">
        <f t="shared" si="77"/>
        <v>-3.6768766563344397</v>
      </c>
    </row>
    <row r="1637" spans="1:5" x14ac:dyDescent="0.2">
      <c r="A1637" s="1">
        <v>44006</v>
      </c>
      <c r="B1637">
        <v>50193.8</v>
      </c>
      <c r="C1637" s="6">
        <f t="shared" si="75"/>
        <v>-1.9715002292541736E-2</v>
      </c>
      <c r="D1637" s="7">
        <f t="shared" si="76"/>
        <v>-1.7210667064955902</v>
      </c>
      <c r="E1637" s="8">
        <f t="shared" si="77"/>
        <v>-2.8195090608365172</v>
      </c>
    </row>
    <row r="1638" spans="1:5" x14ac:dyDescent="0.2">
      <c r="A1638" s="1">
        <v>44007</v>
      </c>
      <c r="B1638">
        <v>49732.92</v>
      </c>
      <c r="C1638" s="6">
        <f t="shared" si="75"/>
        <v>-9.2244250190397087E-3</v>
      </c>
      <c r="D1638" s="7">
        <f t="shared" si="76"/>
        <v>-0.81584000279219548</v>
      </c>
      <c r="E1638" s="8">
        <f t="shared" si="77"/>
        <v>-1.3265371054757553</v>
      </c>
    </row>
    <row r="1639" spans="1:5" x14ac:dyDescent="0.2">
      <c r="A1639" s="1">
        <v>44008</v>
      </c>
      <c r="B1639">
        <v>49477.85</v>
      </c>
      <c r="C1639" s="6">
        <f t="shared" si="75"/>
        <v>-5.1419933945886726E-3</v>
      </c>
      <c r="D1639" s="7">
        <f t="shared" si="76"/>
        <v>-0.46356900510069809</v>
      </c>
      <c r="E1639" s="8">
        <f t="shared" si="77"/>
        <v>-0.90932961414610125</v>
      </c>
    </row>
    <row r="1640" spans="1:5" x14ac:dyDescent="0.2">
      <c r="A1640" s="1">
        <v>44011</v>
      </c>
      <c r="B1640">
        <v>49920.09</v>
      </c>
      <c r="C1640" s="6">
        <f t="shared" si="75"/>
        <v>8.8984322636939117E-3</v>
      </c>
      <c r="D1640" s="7">
        <f t="shared" si="76"/>
        <v>0.74797235300388409</v>
      </c>
      <c r="E1640" s="8">
        <f t="shared" si="77"/>
        <v>-1.2337599864245448</v>
      </c>
    </row>
    <row r="1641" spans="1:5" x14ac:dyDescent="0.2">
      <c r="A1641" s="1">
        <v>44012</v>
      </c>
      <c r="B1641">
        <v>50174.95</v>
      </c>
      <c r="C1641" s="6">
        <f t="shared" si="75"/>
        <v>5.0923712255355339E-3</v>
      </c>
      <c r="D1641" s="7">
        <f t="shared" si="76"/>
        <v>0.41954923596831584</v>
      </c>
      <c r="E1641" s="8">
        <f t="shared" si="77"/>
        <v>-0.87024042618470043</v>
      </c>
    </row>
    <row r="1642" spans="1:5" x14ac:dyDescent="0.2">
      <c r="A1642" s="1">
        <v>44013</v>
      </c>
      <c r="B1642">
        <v>49570.879999999997</v>
      </c>
      <c r="C1642" s="6">
        <f t="shared" si="75"/>
        <v>-1.2112333621804675E-2</v>
      </c>
      <c r="D1642" s="7">
        <f t="shared" si="76"/>
        <v>-1.0650362020977191</v>
      </c>
      <c r="E1642" s="8">
        <f t="shared" si="77"/>
        <v>-1.7029453994232602</v>
      </c>
    </row>
    <row r="1643" spans="1:5" x14ac:dyDescent="0.2">
      <c r="A1643" s="1">
        <v>44014</v>
      </c>
      <c r="B1643">
        <v>50309.77</v>
      </c>
      <c r="C1643" s="6">
        <f t="shared" si="75"/>
        <v>1.4795728289149287E-2</v>
      </c>
      <c r="D1643" s="7">
        <f t="shared" si="76"/>
        <v>1.2568470986644733</v>
      </c>
      <c r="E1643" s="8">
        <f t="shared" si="77"/>
        <v>-2.0189295367574336</v>
      </c>
    </row>
    <row r="1644" spans="1:5" x14ac:dyDescent="0.2">
      <c r="A1644" s="1">
        <v>44015</v>
      </c>
      <c r="B1644">
        <v>50179.89</v>
      </c>
      <c r="C1644" s="6">
        <f t="shared" si="75"/>
        <v>-2.5849440095787836E-3</v>
      </c>
      <c r="D1644" s="7">
        <f t="shared" si="76"/>
        <v>-0.24292248340298564</v>
      </c>
      <c r="E1644" s="8">
        <f t="shared" si="77"/>
        <v>-0.74916607226116483</v>
      </c>
    </row>
    <row r="1645" spans="1:5" x14ac:dyDescent="0.2">
      <c r="A1645" s="1">
        <v>44018</v>
      </c>
      <c r="B1645">
        <v>50503.91</v>
      </c>
      <c r="C1645" s="6">
        <f t="shared" si="75"/>
        <v>6.4364101992065584E-3</v>
      </c>
      <c r="D1645" s="7">
        <f t="shared" si="76"/>
        <v>0.53552569160705898</v>
      </c>
      <c r="E1645" s="8">
        <f t="shared" si="77"/>
        <v>-0.98020555750128036</v>
      </c>
    </row>
    <row r="1646" spans="1:5" x14ac:dyDescent="0.2">
      <c r="A1646" s="1">
        <v>44019</v>
      </c>
      <c r="B1646">
        <v>50922.32</v>
      </c>
      <c r="C1646" s="6">
        <f t="shared" si="75"/>
        <v>8.2505752899916865E-3</v>
      </c>
      <c r="D1646" s="7">
        <f t="shared" si="76"/>
        <v>0.69206909644458636</v>
      </c>
      <c r="E1646" s="8">
        <f t="shared" si="77"/>
        <v>-1.1612697515006905</v>
      </c>
    </row>
    <row r="1647" spans="1:5" x14ac:dyDescent="0.2">
      <c r="A1647" s="1">
        <v>44020</v>
      </c>
      <c r="B1647">
        <v>51558.75</v>
      </c>
      <c r="C1647" s="6">
        <f t="shared" si="75"/>
        <v>1.2420599860754059E-2</v>
      </c>
      <c r="D1647" s="7">
        <f t="shared" si="76"/>
        <v>1.0518984459779179</v>
      </c>
      <c r="E1647" s="8">
        <f t="shared" si="77"/>
        <v>-1.6819732121269495</v>
      </c>
    </row>
    <row r="1648" spans="1:5" x14ac:dyDescent="0.2">
      <c r="A1648" s="1">
        <v>44021</v>
      </c>
      <c r="B1648">
        <v>51536.91</v>
      </c>
      <c r="C1648" s="6">
        <f t="shared" si="75"/>
        <v>-4.2368418470186677E-4</v>
      </c>
      <c r="D1648" s="7">
        <f t="shared" si="76"/>
        <v>-5.6428446314900717E-2</v>
      </c>
      <c r="E1648" s="8">
        <f t="shared" si="77"/>
        <v>-0.68949402498983647</v>
      </c>
    </row>
    <row r="1649" spans="1:5" x14ac:dyDescent="0.2">
      <c r="A1649" s="1">
        <v>44022</v>
      </c>
      <c r="B1649">
        <v>51154.080000000002</v>
      </c>
      <c r="C1649" s="6">
        <f t="shared" si="75"/>
        <v>-7.4559953802743788E-3</v>
      </c>
      <c r="D1649" s="7">
        <f t="shared" si="76"/>
        <v>-0.66324308739894688</v>
      </c>
      <c r="E1649" s="8">
        <f t="shared" si="77"/>
        <v>-1.1253993326359693</v>
      </c>
    </row>
    <row r="1650" spans="1:5" x14ac:dyDescent="0.2">
      <c r="A1650" s="1">
        <v>44025</v>
      </c>
      <c r="B1650">
        <v>51874.81</v>
      </c>
      <c r="C1650" s="6">
        <f t="shared" si="75"/>
        <v>1.3991061281112573E-2</v>
      </c>
      <c r="D1650" s="7">
        <f t="shared" si="76"/>
        <v>1.1874127821084324</v>
      </c>
      <c r="E1650" s="8">
        <f t="shared" si="77"/>
        <v>-1.9026982485991606</v>
      </c>
    </row>
    <row r="1651" spans="1:5" x14ac:dyDescent="0.2">
      <c r="A1651" s="1">
        <v>44026</v>
      </c>
      <c r="B1651">
        <v>51235.09</v>
      </c>
      <c r="C1651" s="6">
        <f t="shared" si="75"/>
        <v>-1.2408667031722827E-2</v>
      </c>
      <c r="D1651" s="7">
        <f t="shared" si="76"/>
        <v>-1.0906066648915027</v>
      </c>
      <c r="E1651" s="8">
        <f t="shared" si="77"/>
        <v>-1.7440504153630365</v>
      </c>
    </row>
    <row r="1652" spans="1:5" x14ac:dyDescent="0.2">
      <c r="A1652" s="1">
        <v>44027</v>
      </c>
      <c r="B1652">
        <v>51606.7</v>
      </c>
      <c r="C1652" s="6">
        <f t="shared" si="75"/>
        <v>7.2268601578004436E-3</v>
      </c>
      <c r="D1652" s="7">
        <f t="shared" si="76"/>
        <v>0.6037332260263315</v>
      </c>
      <c r="E1652" s="8">
        <f t="shared" si="77"/>
        <v>-1.0548412178323872</v>
      </c>
    </row>
    <row r="1653" spans="1:5" x14ac:dyDescent="0.2">
      <c r="A1653" s="1">
        <v>44028</v>
      </c>
      <c r="B1653">
        <v>51363.49</v>
      </c>
      <c r="C1653" s="6">
        <f t="shared" si="75"/>
        <v>-4.7239002331417607E-3</v>
      </c>
      <c r="D1653" s="7">
        <f t="shared" si="76"/>
        <v>-0.42749195380882232</v>
      </c>
      <c r="E1653" s="8">
        <f t="shared" si="77"/>
        <v>-0.87704468065692465</v>
      </c>
    </row>
    <row r="1654" spans="1:5" x14ac:dyDescent="0.2">
      <c r="A1654" s="1">
        <v>44029</v>
      </c>
      <c r="B1654">
        <v>51515.88</v>
      </c>
      <c r="C1654" s="6">
        <f t="shared" si="75"/>
        <v>2.9625008678240963E-3</v>
      </c>
      <c r="D1654" s="7">
        <f t="shared" si="76"/>
        <v>0.23576378041510831</v>
      </c>
      <c r="E1654" s="8">
        <f t="shared" si="77"/>
        <v>-0.74553983903981602</v>
      </c>
    </row>
    <row r="1655" spans="1:5" x14ac:dyDescent="0.2">
      <c r="A1655" s="1">
        <v>44032</v>
      </c>
      <c r="B1655">
        <v>51852.22</v>
      </c>
      <c r="C1655" s="6">
        <f t="shared" si="75"/>
        <v>6.5076399195037257E-3</v>
      </c>
      <c r="D1655" s="7">
        <f t="shared" si="76"/>
        <v>0.54167206880149488</v>
      </c>
      <c r="E1655" s="8">
        <f t="shared" si="77"/>
        <v>-0.98664322234693091</v>
      </c>
    </row>
    <row r="1656" spans="1:5" x14ac:dyDescent="0.2">
      <c r="A1656" s="1">
        <v>44033</v>
      </c>
      <c r="B1656">
        <v>52016.52</v>
      </c>
      <c r="C1656" s="6">
        <f t="shared" si="75"/>
        <v>3.1636108617878089E-3</v>
      </c>
      <c r="D1656" s="7">
        <f t="shared" si="76"/>
        <v>0.25311746193055923</v>
      </c>
      <c r="E1656" s="8">
        <f t="shared" si="77"/>
        <v>-0.75450894835012505</v>
      </c>
    </row>
    <row r="1657" spans="1:5" x14ac:dyDescent="0.2">
      <c r="A1657" s="1">
        <v>44034</v>
      </c>
      <c r="B1657">
        <v>51412.02</v>
      </c>
      <c r="C1657" s="6">
        <f t="shared" si="75"/>
        <v>-1.1689363173556379E-2</v>
      </c>
      <c r="D1657" s="7">
        <f t="shared" si="76"/>
        <v>-1.0285382921496293</v>
      </c>
      <c r="E1657" s="8">
        <f t="shared" si="77"/>
        <v>-1.6449427893959578</v>
      </c>
    </row>
    <row r="1658" spans="1:5" x14ac:dyDescent="0.2">
      <c r="A1658" s="1">
        <v>44035</v>
      </c>
      <c r="B1658">
        <v>51683.61</v>
      </c>
      <c r="C1658" s="6">
        <f t="shared" si="75"/>
        <v>5.2687127138722678E-3</v>
      </c>
      <c r="D1658" s="7">
        <f t="shared" si="76"/>
        <v>0.43476565543232537</v>
      </c>
      <c r="E1658" s="8">
        <f t="shared" si="77"/>
        <v>-0.88337283477980533</v>
      </c>
    </row>
    <row r="1659" spans="1:5" x14ac:dyDescent="0.2">
      <c r="A1659" s="1">
        <v>44036</v>
      </c>
      <c r="B1659">
        <v>51259.48</v>
      </c>
      <c r="C1659" s="6">
        <f t="shared" si="75"/>
        <v>-8.2401334535248116E-3</v>
      </c>
      <c r="D1659" s="7">
        <f t="shared" si="76"/>
        <v>-0.73090597236617838</v>
      </c>
      <c r="E1659" s="8">
        <f t="shared" si="77"/>
        <v>-1.2112351065707498</v>
      </c>
    </row>
    <row r="1660" spans="1:5" x14ac:dyDescent="0.2">
      <c r="A1660" s="1">
        <v>44039</v>
      </c>
      <c r="B1660">
        <v>51914.080000000002</v>
      </c>
      <c r="C1660" s="6">
        <f t="shared" si="75"/>
        <v>1.2689467800837234E-2</v>
      </c>
      <c r="D1660" s="7">
        <f t="shared" si="76"/>
        <v>1.0750989270179634</v>
      </c>
      <c r="E1660" s="8">
        <f t="shared" si="77"/>
        <v>-1.7190772325827262</v>
      </c>
    </row>
    <row r="1661" spans="1:5" x14ac:dyDescent="0.2">
      <c r="A1661" s="1">
        <v>44040</v>
      </c>
      <c r="B1661">
        <v>52043.05</v>
      </c>
      <c r="C1661" s="6">
        <f t="shared" si="75"/>
        <v>2.4812163661362243E-3</v>
      </c>
      <c r="D1661" s="7">
        <f t="shared" si="76"/>
        <v>0.19423397975228884</v>
      </c>
      <c r="E1661" s="8">
        <f t="shared" si="77"/>
        <v>-0.72656600547284556</v>
      </c>
    </row>
    <row r="1662" spans="1:5" x14ac:dyDescent="0.2">
      <c r="A1662" s="1">
        <v>44041</v>
      </c>
      <c r="B1662">
        <v>52245.75</v>
      </c>
      <c r="C1662" s="6">
        <f t="shared" si="75"/>
        <v>3.8872871343792284E-3</v>
      </c>
      <c r="D1662" s="7">
        <f t="shared" si="76"/>
        <v>0.31556312814198623</v>
      </c>
      <c r="E1662" s="8">
        <f t="shared" si="77"/>
        <v>-0.79174170096964347</v>
      </c>
    </row>
    <row r="1663" spans="1:5" x14ac:dyDescent="0.2">
      <c r="A1663" s="1">
        <v>44042</v>
      </c>
      <c r="B1663">
        <v>51451.44</v>
      </c>
      <c r="C1663" s="6">
        <f t="shared" si="75"/>
        <v>-1.5320097597163011E-2</v>
      </c>
      <c r="D1663" s="7">
        <f t="shared" si="76"/>
        <v>-1.3418325626761465</v>
      </c>
      <c r="E1663" s="8">
        <f t="shared" si="77"/>
        <v>-2.1632726187683691</v>
      </c>
    </row>
    <row r="1664" spans="1:5" x14ac:dyDescent="0.2">
      <c r="A1664" s="1">
        <v>44043</v>
      </c>
      <c r="B1664">
        <v>51368.82</v>
      </c>
      <c r="C1664" s="6">
        <f t="shared" si="75"/>
        <v>-1.6070766166485144E-3</v>
      </c>
      <c r="D1664" s="7">
        <f t="shared" si="76"/>
        <v>-0.158542791639293</v>
      </c>
      <c r="E1664" s="8">
        <f t="shared" si="77"/>
        <v>-0.71311003169220477</v>
      </c>
    </row>
    <row r="1665" spans="1:5" x14ac:dyDescent="0.2">
      <c r="A1665" s="1">
        <v>44046</v>
      </c>
      <c r="B1665">
        <v>51571.71</v>
      </c>
      <c r="C1665" s="6">
        <f t="shared" si="75"/>
        <v>3.9418927164535326E-3</v>
      </c>
      <c r="D1665" s="7">
        <f t="shared" si="76"/>
        <v>0.32027501670409458</v>
      </c>
      <c r="E1665" s="8">
        <f t="shared" si="77"/>
        <v>-0.79486028784981932</v>
      </c>
    </row>
    <row r="1666" spans="1:5" x14ac:dyDescent="0.2">
      <c r="A1666" s="1">
        <v>44047</v>
      </c>
      <c r="B1666">
        <v>51951.34</v>
      </c>
      <c r="C1666" s="6">
        <f t="shared" si="75"/>
        <v>7.3342449189100654E-3</v>
      </c>
      <c r="D1666" s="7">
        <f t="shared" si="76"/>
        <v>0.61299940373923723</v>
      </c>
      <c r="E1666" s="8">
        <f t="shared" si="77"/>
        <v>-1.065506180804012</v>
      </c>
    </row>
    <row r="1667" spans="1:5" x14ac:dyDescent="0.2">
      <c r="A1667" s="1">
        <v>44048</v>
      </c>
      <c r="B1667">
        <v>53279.3</v>
      </c>
      <c r="C1667" s="6">
        <f t="shared" ref="C1667:C1730" si="78">LN(B1667/B1666)</f>
        <v>2.5240376762389844E-2</v>
      </c>
      <c r="D1667" s="7">
        <f t="shared" ref="D1667:D1730" si="79">(C1667-$G$4)/$G$5</f>
        <v>2.1581106289998249</v>
      </c>
      <c r="E1667" s="8">
        <f t="shared" ref="E1667:E1730" si="80">LN((PI()*(G$3-2))^(-1/2)*EXP(GAMMALN((G$3+1)/2))*((1+D1667^2/(G$3-2))^(-(G$3+1)/2))/EXP(GAMMALN(G$3/2)))</f>
        <v>-3.5641364616548006</v>
      </c>
    </row>
    <row r="1668" spans="1:5" x14ac:dyDescent="0.2">
      <c r="A1668" s="1">
        <v>44049</v>
      </c>
      <c r="B1668">
        <v>53350.879999999997</v>
      </c>
      <c r="C1668" s="6">
        <f t="shared" si="78"/>
        <v>1.3425844493952005E-3</v>
      </c>
      <c r="D1668" s="7">
        <f t="shared" si="79"/>
        <v>9.5981997058597293E-2</v>
      </c>
      <c r="E1668" s="8">
        <f t="shared" si="80"/>
        <v>-0.69599940729542398</v>
      </c>
    </row>
    <row r="1669" spans="1:5" x14ac:dyDescent="0.2">
      <c r="A1669" s="1">
        <v>44050</v>
      </c>
      <c r="B1669">
        <v>52435.65</v>
      </c>
      <c r="C1669" s="6">
        <f t="shared" si="78"/>
        <v>-1.7303768947368518E-2</v>
      </c>
      <c r="D1669" s="7">
        <f t="shared" si="79"/>
        <v>-1.5130025784686094</v>
      </c>
      <c r="E1669" s="8">
        <f t="shared" si="80"/>
        <v>-2.4583552601335539</v>
      </c>
    </row>
    <row r="1670" spans="1:5" x14ac:dyDescent="0.2">
      <c r="A1670" s="1">
        <v>44054</v>
      </c>
      <c r="B1670">
        <v>52831.61</v>
      </c>
      <c r="C1670" s="6">
        <f t="shared" si="78"/>
        <v>7.5229823109912615E-3</v>
      </c>
      <c r="D1670" s="7">
        <f t="shared" si="79"/>
        <v>0.62928545958201565</v>
      </c>
      <c r="E1670" s="8">
        <f t="shared" si="80"/>
        <v>-1.08454271244808</v>
      </c>
    </row>
    <row r="1671" spans="1:5" x14ac:dyDescent="0.2">
      <c r="A1671" s="1">
        <v>44055</v>
      </c>
      <c r="B1671">
        <v>53126.54</v>
      </c>
      <c r="C1671" s="6">
        <f t="shared" si="78"/>
        <v>5.5669292390167491E-3</v>
      </c>
      <c r="D1671" s="7">
        <f t="shared" si="79"/>
        <v>0.46049861130390457</v>
      </c>
      <c r="E1671" s="8">
        <f t="shared" si="80"/>
        <v>-0.90649516321800583</v>
      </c>
    </row>
    <row r="1672" spans="1:5" x14ac:dyDescent="0.2">
      <c r="A1672" s="1">
        <v>44056</v>
      </c>
      <c r="B1672">
        <v>53082.080000000002</v>
      </c>
      <c r="C1672" s="6">
        <f t="shared" si="78"/>
        <v>-8.3722022933683247E-4</v>
      </c>
      <c r="D1672" s="7">
        <f t="shared" si="79"/>
        <v>-9.2112266259966935E-2</v>
      </c>
      <c r="E1672" s="8">
        <f t="shared" si="80"/>
        <v>-0.69521474341705747</v>
      </c>
    </row>
    <row r="1673" spans="1:5" x14ac:dyDescent="0.2">
      <c r="A1673" s="1">
        <v>44057</v>
      </c>
      <c r="B1673">
        <v>52737.48</v>
      </c>
      <c r="C1673" s="6">
        <f t="shared" si="78"/>
        <v>-6.5129966167882429E-3</v>
      </c>
      <c r="D1673" s="7">
        <f t="shared" si="79"/>
        <v>-0.58187219235553533</v>
      </c>
      <c r="E1673" s="8">
        <f t="shared" si="80"/>
        <v>-1.0301680800275561</v>
      </c>
    </row>
    <row r="1674" spans="1:5" x14ac:dyDescent="0.2">
      <c r="A1674" s="1">
        <v>44060</v>
      </c>
      <c r="B1674">
        <v>53140.21</v>
      </c>
      <c r="C1674" s="6">
        <f t="shared" si="78"/>
        <v>7.6074939356267739E-3</v>
      </c>
      <c r="D1674" s="7">
        <f t="shared" si="79"/>
        <v>0.63657792570651184</v>
      </c>
      <c r="E1674" s="8">
        <f t="shared" si="80"/>
        <v>-1.0931855784467315</v>
      </c>
    </row>
    <row r="1675" spans="1:5" x14ac:dyDescent="0.2">
      <c r="A1675" s="1">
        <v>44061</v>
      </c>
      <c r="B1675">
        <v>52738.12</v>
      </c>
      <c r="C1675" s="6">
        <f t="shared" si="78"/>
        <v>-7.5953584275090811E-3</v>
      </c>
      <c r="D1675" s="7">
        <f t="shared" si="79"/>
        <v>-0.6752686555423687</v>
      </c>
      <c r="E1675" s="8">
        <f t="shared" si="80"/>
        <v>-1.1402340917109555</v>
      </c>
    </row>
    <row r="1676" spans="1:5" x14ac:dyDescent="0.2">
      <c r="A1676" s="1">
        <v>44062</v>
      </c>
      <c r="B1676">
        <v>52137.86</v>
      </c>
      <c r="C1676" s="6">
        <f t="shared" si="78"/>
        <v>-1.1447169403503127E-2</v>
      </c>
      <c r="D1676" s="7">
        <f t="shared" si="79"/>
        <v>-1.0076395119960739</v>
      </c>
      <c r="E1676" s="8">
        <f t="shared" si="80"/>
        <v>-1.6121102362309001</v>
      </c>
    </row>
    <row r="1677" spans="1:5" x14ac:dyDescent="0.2">
      <c r="A1677" s="1">
        <v>44063</v>
      </c>
      <c r="B1677">
        <v>51380.02</v>
      </c>
      <c r="C1677" s="6">
        <f t="shared" si="78"/>
        <v>-1.4641983380032026E-2</v>
      </c>
      <c r="D1677" s="7">
        <f t="shared" si="79"/>
        <v>-1.2833184236059929</v>
      </c>
      <c r="E1677" s="8">
        <f t="shared" si="80"/>
        <v>-2.0636734473629121</v>
      </c>
    </row>
    <row r="1678" spans="1:5" x14ac:dyDescent="0.2">
      <c r="A1678" s="1">
        <v>44064</v>
      </c>
      <c r="B1678">
        <v>51669.18</v>
      </c>
      <c r="C1678" s="6">
        <f t="shared" si="78"/>
        <v>5.6120912911079802E-3</v>
      </c>
      <c r="D1678" s="7">
        <f t="shared" si="79"/>
        <v>0.46439562235307619</v>
      </c>
      <c r="E1678" s="8">
        <f t="shared" si="80"/>
        <v>-0.91009543419652816</v>
      </c>
    </row>
    <row r="1679" spans="1:5" x14ac:dyDescent="0.2">
      <c r="A1679" s="1">
        <v>44067</v>
      </c>
      <c r="B1679">
        <v>52256.84</v>
      </c>
      <c r="C1679" s="6">
        <f t="shared" si="78"/>
        <v>1.1309319138692431E-2</v>
      </c>
      <c r="D1679" s="7">
        <f t="shared" si="79"/>
        <v>0.9560065842915344</v>
      </c>
      <c r="E1679" s="8">
        <f t="shared" si="80"/>
        <v>-1.5322894843093644</v>
      </c>
    </row>
    <row r="1680" spans="1:5" x14ac:dyDescent="0.2">
      <c r="A1680" s="1">
        <v>44068</v>
      </c>
      <c r="B1680">
        <v>51767.88</v>
      </c>
      <c r="C1680" s="6">
        <f t="shared" si="78"/>
        <v>-9.4009116500107914E-3</v>
      </c>
      <c r="D1680" s="7">
        <f t="shared" si="79"/>
        <v>-0.83106894654205055</v>
      </c>
      <c r="E1680" s="8">
        <f t="shared" si="80"/>
        <v>-1.3480182130589189</v>
      </c>
    </row>
    <row r="1681" spans="1:5" x14ac:dyDescent="0.2">
      <c r="A1681" s="1">
        <v>44069</v>
      </c>
      <c r="B1681">
        <v>52256.85</v>
      </c>
      <c r="C1681" s="6">
        <f t="shared" si="78"/>
        <v>9.4011030125011903E-3</v>
      </c>
      <c r="D1681" s="7">
        <f t="shared" si="79"/>
        <v>0.79134756231102921</v>
      </c>
      <c r="E1681" s="8">
        <f t="shared" si="80"/>
        <v>-1.2924855026774043</v>
      </c>
    </row>
    <row r="1682" spans="1:5" x14ac:dyDescent="0.2">
      <c r="A1682" s="1">
        <v>44070</v>
      </c>
      <c r="B1682">
        <v>52583.7</v>
      </c>
      <c r="C1682" s="6">
        <f t="shared" si="78"/>
        <v>6.2352030570655631E-3</v>
      </c>
      <c r="D1682" s="7">
        <f t="shared" si="79"/>
        <v>0.51816362722363052</v>
      </c>
      <c r="E1682" s="8">
        <f t="shared" si="80"/>
        <v>-0.96233989865150527</v>
      </c>
    </row>
    <row r="1683" spans="1:5" x14ac:dyDescent="0.2">
      <c r="A1683" s="1">
        <v>44071</v>
      </c>
      <c r="B1683">
        <v>51750.45</v>
      </c>
      <c r="C1683" s="6">
        <f t="shared" si="78"/>
        <v>-1.5973058027692815E-2</v>
      </c>
      <c r="D1683" s="7">
        <f t="shared" si="79"/>
        <v>-1.398176193990911</v>
      </c>
      <c r="E1683" s="8">
        <f t="shared" si="80"/>
        <v>-2.2599135983828464</v>
      </c>
    </row>
    <row r="1684" spans="1:5" x14ac:dyDescent="0.2">
      <c r="A1684" s="1">
        <v>44074</v>
      </c>
      <c r="B1684">
        <v>51225.46</v>
      </c>
      <c r="C1684" s="6">
        <f t="shared" si="78"/>
        <v>-1.0196453684962603E-2</v>
      </c>
      <c r="D1684" s="7">
        <f t="shared" si="79"/>
        <v>-0.89971587370171446</v>
      </c>
      <c r="E1684" s="8">
        <f t="shared" si="80"/>
        <v>-1.4475898060953418</v>
      </c>
    </row>
    <row r="1685" spans="1:5" x14ac:dyDescent="0.2">
      <c r="A1685" s="1">
        <v>44075</v>
      </c>
      <c r="B1685">
        <v>51704.1</v>
      </c>
      <c r="C1685" s="6">
        <f t="shared" si="78"/>
        <v>9.3004079701789581E-3</v>
      </c>
      <c r="D1685" s="7">
        <f t="shared" si="79"/>
        <v>0.78265863711042405</v>
      </c>
      <c r="E1685" s="8">
        <f t="shared" si="80"/>
        <v>-1.2805567950123671</v>
      </c>
    </row>
    <row r="1686" spans="1:5" x14ac:dyDescent="0.2">
      <c r="A1686" s="1">
        <v>44076</v>
      </c>
      <c r="B1686">
        <v>51678.3</v>
      </c>
      <c r="C1686" s="6">
        <f t="shared" si="78"/>
        <v>-4.9911784860096715E-4</v>
      </c>
      <c r="D1686" s="7">
        <f t="shared" si="79"/>
        <v>-6.2937579715226677E-2</v>
      </c>
      <c r="E1686" s="8">
        <f t="shared" si="80"/>
        <v>-0.69033332597699137</v>
      </c>
    </row>
    <row r="1687" spans="1:5" x14ac:dyDescent="0.2">
      <c r="A1687" s="1">
        <v>44077</v>
      </c>
      <c r="B1687">
        <v>50319.16</v>
      </c>
      <c r="C1687" s="6">
        <f t="shared" si="78"/>
        <v>-2.6652045107359922E-2</v>
      </c>
      <c r="D1687" s="7">
        <f t="shared" si="79"/>
        <v>-2.3196606863110496</v>
      </c>
      <c r="E1687" s="8">
        <f t="shared" si="80"/>
        <v>-3.8299075322605467</v>
      </c>
    </row>
    <row r="1688" spans="1:5" x14ac:dyDescent="0.2">
      <c r="A1688" s="1">
        <v>44078</v>
      </c>
      <c r="B1688">
        <v>49720.42</v>
      </c>
      <c r="C1688" s="6">
        <f t="shared" si="78"/>
        <v>-1.1970205177361195E-2</v>
      </c>
      <c r="D1688" s="7">
        <f t="shared" si="79"/>
        <v>-1.0527720092023443</v>
      </c>
      <c r="E1688" s="8">
        <f t="shared" si="80"/>
        <v>-1.6833645061918916</v>
      </c>
    </row>
    <row r="1689" spans="1:5" x14ac:dyDescent="0.2">
      <c r="A1689" s="1">
        <v>44081</v>
      </c>
      <c r="B1689">
        <v>50185.43</v>
      </c>
      <c r="C1689" s="6">
        <f t="shared" si="78"/>
        <v>9.3090316146163532E-3</v>
      </c>
      <c r="D1689" s="7">
        <f t="shared" si="79"/>
        <v>0.7834027671067485</v>
      </c>
      <c r="E1689" s="8">
        <f t="shared" si="80"/>
        <v>-1.2815752180105817</v>
      </c>
    </row>
    <row r="1690" spans="1:5" x14ac:dyDescent="0.2">
      <c r="A1690" s="1">
        <v>44082</v>
      </c>
      <c r="B1690">
        <v>50182.96</v>
      </c>
      <c r="C1690" s="6">
        <f t="shared" si="78"/>
        <v>-4.9218683302606529E-5</v>
      </c>
      <c r="D1690" s="7">
        <f t="shared" si="79"/>
        <v>-2.4116004144677582E-2</v>
      </c>
      <c r="E1690" s="8">
        <f t="shared" si="80"/>
        <v>-0.68668080582979674</v>
      </c>
    </row>
    <row r="1691" spans="1:5" x14ac:dyDescent="0.2">
      <c r="A1691" s="1">
        <v>44083</v>
      </c>
      <c r="B1691">
        <v>50838.92</v>
      </c>
      <c r="C1691" s="6">
        <f t="shared" si="78"/>
        <v>1.2986676136904778E-2</v>
      </c>
      <c r="D1691" s="7">
        <f t="shared" si="79"/>
        <v>1.1007448867547225</v>
      </c>
      <c r="E1691" s="8">
        <f t="shared" si="80"/>
        <v>-1.7604480028050267</v>
      </c>
    </row>
    <row r="1692" spans="1:5" x14ac:dyDescent="0.2">
      <c r="A1692" s="1">
        <v>44084</v>
      </c>
      <c r="B1692">
        <v>51532.12</v>
      </c>
      <c r="C1692" s="6">
        <f t="shared" si="78"/>
        <v>1.354309959676802E-2</v>
      </c>
      <c r="D1692" s="7">
        <f t="shared" si="79"/>
        <v>1.1487583908073071</v>
      </c>
      <c r="E1692" s="8">
        <f t="shared" si="80"/>
        <v>-1.8388206565547947</v>
      </c>
    </row>
    <row r="1693" spans="1:5" x14ac:dyDescent="0.2">
      <c r="A1693" s="1">
        <v>44085</v>
      </c>
      <c r="B1693">
        <v>51715.12</v>
      </c>
      <c r="C1693" s="6">
        <f t="shared" si="78"/>
        <v>3.5448926602877654E-3</v>
      </c>
      <c r="D1693" s="7">
        <f t="shared" si="79"/>
        <v>0.28601807899288401</v>
      </c>
      <c r="E1693" s="8">
        <f t="shared" si="80"/>
        <v>-0.77316865366232357</v>
      </c>
    </row>
    <row r="1694" spans="1:5" x14ac:dyDescent="0.2">
      <c r="A1694" s="1">
        <v>44088</v>
      </c>
      <c r="B1694">
        <v>51976.82</v>
      </c>
      <c r="C1694" s="6">
        <f t="shared" si="78"/>
        <v>5.0476547290043599E-3</v>
      </c>
      <c r="D1694" s="7">
        <f t="shared" si="79"/>
        <v>0.41569067168717533</v>
      </c>
      <c r="E1694" s="8">
        <f t="shared" si="80"/>
        <v>-0.86697509025745356</v>
      </c>
    </row>
    <row r="1695" spans="1:5" x14ac:dyDescent="0.2">
      <c r="A1695" s="1">
        <v>44089</v>
      </c>
      <c r="B1695">
        <v>51795.7</v>
      </c>
      <c r="C1695" s="6">
        <f t="shared" si="78"/>
        <v>-3.4907157292447494E-3</v>
      </c>
      <c r="D1695" s="7">
        <f t="shared" si="79"/>
        <v>-0.32108107532070801</v>
      </c>
      <c r="E1695" s="8">
        <f t="shared" si="80"/>
        <v>-0.79539805897492566</v>
      </c>
    </row>
    <row r="1696" spans="1:5" x14ac:dyDescent="0.2">
      <c r="A1696" s="1">
        <v>44090</v>
      </c>
      <c r="B1696">
        <v>51629.73</v>
      </c>
      <c r="C1696" s="6">
        <f t="shared" si="78"/>
        <v>-3.2094648766119766E-3</v>
      </c>
      <c r="D1696" s="7">
        <f t="shared" si="79"/>
        <v>-0.2968120789056477</v>
      </c>
      <c r="E1696" s="8">
        <f t="shared" si="80"/>
        <v>-0.77975678651707037</v>
      </c>
    </row>
    <row r="1697" spans="1:5" x14ac:dyDescent="0.2">
      <c r="A1697" s="1">
        <v>44091</v>
      </c>
      <c r="B1697">
        <v>50700.14</v>
      </c>
      <c r="C1697" s="6">
        <f t="shared" si="78"/>
        <v>-1.8168997425613721E-2</v>
      </c>
      <c r="D1697" s="7">
        <f t="shared" si="79"/>
        <v>-1.5876627142163866</v>
      </c>
      <c r="E1697" s="8">
        <f t="shared" si="80"/>
        <v>-2.5879480305193718</v>
      </c>
    </row>
    <row r="1698" spans="1:5" x14ac:dyDescent="0.2">
      <c r="A1698" s="1">
        <v>44092</v>
      </c>
      <c r="B1698">
        <v>50399.16</v>
      </c>
      <c r="C1698" s="6">
        <f t="shared" si="78"/>
        <v>-5.9541636627819024E-3</v>
      </c>
      <c r="D1698" s="7">
        <f t="shared" si="79"/>
        <v>-0.53365077424980722</v>
      </c>
      <c r="E1698" s="8">
        <f t="shared" si="80"/>
        <v>-0.97825347365380955</v>
      </c>
    </row>
    <row r="1699" spans="1:5" x14ac:dyDescent="0.2">
      <c r="A1699" s="1">
        <v>44095</v>
      </c>
      <c r="B1699">
        <v>49153.11</v>
      </c>
      <c r="C1699" s="6">
        <f t="shared" si="78"/>
        <v>-2.5034387993738694E-2</v>
      </c>
      <c r="D1699" s="7">
        <f t="shared" si="79"/>
        <v>-2.1800738572445058</v>
      </c>
      <c r="E1699" s="8">
        <f t="shared" si="80"/>
        <v>-3.6006247816988273</v>
      </c>
    </row>
    <row r="1700" spans="1:5" x14ac:dyDescent="0.2">
      <c r="A1700" s="1">
        <v>44096</v>
      </c>
      <c r="B1700">
        <v>49126.16</v>
      </c>
      <c r="C1700" s="6">
        <f t="shared" si="78"/>
        <v>-5.4843713583758091E-4</v>
      </c>
      <c r="D1700" s="7">
        <f t="shared" si="79"/>
        <v>-6.7193316520766364E-2</v>
      </c>
      <c r="E1700" s="8">
        <f t="shared" si="80"/>
        <v>-0.69093140298685507</v>
      </c>
    </row>
    <row r="1701" spans="1:5" x14ac:dyDescent="0.2">
      <c r="A1701" s="1">
        <v>44097</v>
      </c>
      <c r="B1701">
        <v>50127.05</v>
      </c>
      <c r="C1701" s="6">
        <f t="shared" si="78"/>
        <v>2.0169099403864292E-2</v>
      </c>
      <c r="D1701" s="7">
        <f t="shared" si="79"/>
        <v>1.7205126239387303</v>
      </c>
      <c r="E1701" s="8">
        <f t="shared" si="80"/>
        <v>-2.818548908978082</v>
      </c>
    </row>
    <row r="1702" spans="1:5" x14ac:dyDescent="0.2">
      <c r="A1702" s="1">
        <v>44099</v>
      </c>
      <c r="B1702">
        <v>49547.74</v>
      </c>
      <c r="C1702" s="6">
        <f t="shared" si="78"/>
        <v>-1.162413330469724E-2</v>
      </c>
      <c r="D1702" s="7">
        <f t="shared" si="79"/>
        <v>-1.0229096391564798</v>
      </c>
      <c r="E1702" s="8">
        <f t="shared" si="80"/>
        <v>-1.6360718443255884</v>
      </c>
    </row>
    <row r="1703" spans="1:5" x14ac:dyDescent="0.2">
      <c r="A1703" s="1">
        <v>44102</v>
      </c>
      <c r="B1703">
        <v>50578.66</v>
      </c>
      <c r="C1703" s="6">
        <f t="shared" si="78"/>
        <v>2.0593098964669366E-2</v>
      </c>
      <c r="D1703" s="7">
        <f t="shared" si="79"/>
        <v>1.7570993354983255</v>
      </c>
      <c r="E1703" s="8">
        <f t="shared" si="80"/>
        <v>-2.8818987816882564</v>
      </c>
    </row>
    <row r="1704" spans="1:5" x14ac:dyDescent="0.2">
      <c r="A1704" s="1">
        <v>44103</v>
      </c>
      <c r="B1704">
        <v>50319.94</v>
      </c>
      <c r="C1704" s="6">
        <f t="shared" si="78"/>
        <v>-5.1283281833913157E-3</v>
      </c>
      <c r="D1704" s="7">
        <f t="shared" si="79"/>
        <v>-0.46238984081210938</v>
      </c>
      <c r="E1704" s="8">
        <f t="shared" si="80"/>
        <v>-0.90823917519058683</v>
      </c>
    </row>
    <row r="1705" spans="1:5" x14ac:dyDescent="0.2">
      <c r="A1705" s="1">
        <v>44104</v>
      </c>
      <c r="B1705">
        <v>50042.44</v>
      </c>
      <c r="C1705" s="6">
        <f t="shared" si="78"/>
        <v>-5.5299746214958444E-3</v>
      </c>
      <c r="D1705" s="7">
        <f t="shared" si="79"/>
        <v>-0.49704771251359675</v>
      </c>
      <c r="E1705" s="8">
        <f t="shared" si="80"/>
        <v>-0.94125831489976153</v>
      </c>
    </row>
    <row r="1706" spans="1:5" x14ac:dyDescent="0.2">
      <c r="A1706" s="1">
        <v>44105</v>
      </c>
      <c r="B1706">
        <v>50159.14</v>
      </c>
      <c r="C1706" s="6">
        <f t="shared" si="78"/>
        <v>2.3293056409804461E-3</v>
      </c>
      <c r="D1706" s="7">
        <f t="shared" si="79"/>
        <v>0.18112567871176358</v>
      </c>
      <c r="E1706" s="8">
        <f t="shared" si="80"/>
        <v>-0.72131539607666073</v>
      </c>
    </row>
    <row r="1707" spans="1:5" x14ac:dyDescent="0.2">
      <c r="A1707" s="1">
        <v>44106</v>
      </c>
      <c r="B1707">
        <v>49896.68</v>
      </c>
      <c r="C1707" s="6">
        <f t="shared" si="78"/>
        <v>-5.2462835642014503E-3</v>
      </c>
      <c r="D1707" s="7">
        <f t="shared" si="79"/>
        <v>-0.47256815204999919</v>
      </c>
      <c r="E1707" s="8">
        <f t="shared" si="80"/>
        <v>-0.91772880108164512</v>
      </c>
    </row>
    <row r="1708" spans="1:5" x14ac:dyDescent="0.2">
      <c r="A1708" s="1">
        <v>44109</v>
      </c>
      <c r="B1708">
        <v>50183.12</v>
      </c>
      <c r="C1708" s="6">
        <f t="shared" si="78"/>
        <v>5.724247693303504E-3</v>
      </c>
      <c r="D1708" s="7">
        <f t="shared" si="79"/>
        <v>0.47407354260586643</v>
      </c>
      <c r="E1708" s="8">
        <f t="shared" si="80"/>
        <v>-0.91914709779902026</v>
      </c>
    </row>
    <row r="1709" spans="1:5" x14ac:dyDescent="0.2">
      <c r="A1709" s="1">
        <v>44110</v>
      </c>
      <c r="B1709">
        <v>49869.36</v>
      </c>
      <c r="C1709" s="6">
        <f t="shared" si="78"/>
        <v>-6.2719290622924541E-3</v>
      </c>
      <c r="D1709" s="7">
        <f t="shared" si="79"/>
        <v>-0.56107059278319704</v>
      </c>
      <c r="E1709" s="8">
        <f t="shared" si="80"/>
        <v>-1.0073419232999417</v>
      </c>
    </row>
    <row r="1710" spans="1:5" x14ac:dyDescent="0.2">
      <c r="A1710" s="1">
        <v>44111</v>
      </c>
      <c r="B1710">
        <v>50412.19</v>
      </c>
      <c r="C1710" s="6">
        <f t="shared" si="78"/>
        <v>1.0826224803115955E-2</v>
      </c>
      <c r="D1710" s="7">
        <f t="shared" si="79"/>
        <v>0.91432061396116282</v>
      </c>
      <c r="E1710" s="8">
        <f t="shared" si="80"/>
        <v>-1.4693163152933437</v>
      </c>
    </row>
    <row r="1711" spans="1:5" x14ac:dyDescent="0.2">
      <c r="A1711" s="1">
        <v>44112</v>
      </c>
      <c r="B1711">
        <v>50131.37</v>
      </c>
      <c r="C1711" s="6">
        <f t="shared" si="78"/>
        <v>-5.5860510653182064E-3</v>
      </c>
      <c r="D1711" s="7">
        <f t="shared" si="79"/>
        <v>-0.50188652100557019</v>
      </c>
      <c r="E1711" s="8">
        <f t="shared" si="80"/>
        <v>-0.94602573315811722</v>
      </c>
    </row>
    <row r="1712" spans="1:5" x14ac:dyDescent="0.2">
      <c r="A1712" s="1">
        <v>44113</v>
      </c>
      <c r="B1712">
        <v>50781.18</v>
      </c>
      <c r="C1712" s="6">
        <f t="shared" si="78"/>
        <v>1.2878853654895729E-2</v>
      </c>
      <c r="D1712" s="7">
        <f t="shared" si="79"/>
        <v>1.091440938322761</v>
      </c>
      <c r="E1712" s="8">
        <f t="shared" si="80"/>
        <v>-1.7453976742041084</v>
      </c>
    </row>
    <row r="1713" spans="1:5" x14ac:dyDescent="0.2">
      <c r="A1713" s="1">
        <v>44116</v>
      </c>
      <c r="B1713">
        <v>51158.559999999998</v>
      </c>
      <c r="C1713" s="6">
        <f t="shared" si="78"/>
        <v>7.4040158230493369E-3</v>
      </c>
      <c r="D1713" s="7">
        <f t="shared" si="79"/>
        <v>0.61901990041180155</v>
      </c>
      <c r="E1713" s="8">
        <f t="shared" si="80"/>
        <v>-1.0725003925669658</v>
      </c>
    </row>
    <row r="1714" spans="1:5" x14ac:dyDescent="0.2">
      <c r="A1714" s="1">
        <v>44117</v>
      </c>
      <c r="B1714">
        <v>50722.36</v>
      </c>
      <c r="C1714" s="6">
        <f t="shared" si="78"/>
        <v>-8.5629903097328118E-3</v>
      </c>
      <c r="D1714" s="7">
        <f t="shared" si="79"/>
        <v>-0.75876513016976466</v>
      </c>
      <c r="E1714" s="8">
        <f t="shared" si="80"/>
        <v>-1.248177293100972</v>
      </c>
    </row>
    <row r="1715" spans="1:5" x14ac:dyDescent="0.2">
      <c r="A1715" s="1">
        <v>44118</v>
      </c>
      <c r="B1715">
        <v>51041.59</v>
      </c>
      <c r="C1715" s="6">
        <f t="shared" si="78"/>
        <v>6.2739515739978343E-3</v>
      </c>
      <c r="D1715" s="7">
        <f t="shared" si="79"/>
        <v>0.52150721750865647</v>
      </c>
      <c r="E1715" s="8">
        <f t="shared" si="80"/>
        <v>-0.96574351508630185</v>
      </c>
    </row>
    <row r="1716" spans="1:5" x14ac:dyDescent="0.2">
      <c r="A1716" s="1">
        <v>44119</v>
      </c>
      <c r="B1716">
        <v>50503.89</v>
      </c>
      <c r="C1716" s="6">
        <f t="shared" si="78"/>
        <v>-1.0590427571288127E-2</v>
      </c>
      <c r="D1716" s="7">
        <f t="shared" si="79"/>
        <v>-0.93371168472009292</v>
      </c>
      <c r="E1716" s="8">
        <f t="shared" si="80"/>
        <v>-1.4984370334089867</v>
      </c>
    </row>
    <row r="1717" spans="1:5" x14ac:dyDescent="0.2">
      <c r="A1717" s="1">
        <v>44120</v>
      </c>
      <c r="B1717">
        <v>50697.69</v>
      </c>
      <c r="C1717" s="6">
        <f t="shared" si="78"/>
        <v>3.8299844113254366E-3</v>
      </c>
      <c r="D1717" s="7">
        <f t="shared" si="79"/>
        <v>0.31061850462405699</v>
      </c>
      <c r="E1717" s="8">
        <f t="shared" si="80"/>
        <v>-0.78851511093533955</v>
      </c>
    </row>
    <row r="1718" spans="1:5" x14ac:dyDescent="0.2">
      <c r="A1718" s="1">
        <v>44123</v>
      </c>
      <c r="B1718">
        <v>50741.94</v>
      </c>
      <c r="C1718" s="6">
        <f t="shared" si="78"/>
        <v>8.7244014606021692E-4</v>
      </c>
      <c r="D1718" s="7">
        <f t="shared" si="79"/>
        <v>5.5413478579844008E-2</v>
      </c>
      <c r="E1718" s="8">
        <f t="shared" si="80"/>
        <v>-0.68937138119341057</v>
      </c>
    </row>
    <row r="1719" spans="1:5" x14ac:dyDescent="0.2">
      <c r="A1719" s="1">
        <v>44124</v>
      </c>
      <c r="B1719">
        <v>50851.62</v>
      </c>
      <c r="C1719" s="6">
        <f t="shared" si="78"/>
        <v>2.1591928191454974E-3</v>
      </c>
      <c r="D1719" s="7">
        <f t="shared" si="79"/>
        <v>0.16644672778727101</v>
      </c>
      <c r="E1719" s="8">
        <f t="shared" si="80"/>
        <v>-0.71586046273995574</v>
      </c>
    </row>
    <row r="1720" spans="1:5" x14ac:dyDescent="0.2">
      <c r="A1720" s="1">
        <v>44125</v>
      </c>
      <c r="B1720">
        <v>50905.120000000003</v>
      </c>
      <c r="C1720" s="6">
        <f t="shared" si="78"/>
        <v>1.0515274944858342E-3</v>
      </c>
      <c r="D1720" s="7">
        <f t="shared" si="79"/>
        <v>7.0866836947432191E-2</v>
      </c>
      <c r="E1720" s="8">
        <f t="shared" si="80"/>
        <v>-0.69147900312056054</v>
      </c>
    </row>
    <row r="1721" spans="1:5" x14ac:dyDescent="0.2">
      <c r="A1721" s="1">
        <v>44126</v>
      </c>
      <c r="B1721">
        <v>50276.84</v>
      </c>
      <c r="C1721" s="6">
        <f t="shared" si="78"/>
        <v>-1.241897419255605E-2</v>
      </c>
      <c r="D1721" s="7">
        <f t="shared" si="79"/>
        <v>-1.0914960646816521</v>
      </c>
      <c r="E1721" s="8">
        <f t="shared" si="80"/>
        <v>-1.7454867105046659</v>
      </c>
    </row>
    <row r="1722" spans="1:5" x14ac:dyDescent="0.2">
      <c r="A1722" s="1">
        <v>44127</v>
      </c>
      <c r="B1722">
        <v>50692.28</v>
      </c>
      <c r="C1722" s="6">
        <f t="shared" si="78"/>
        <v>8.2290970624652234E-3</v>
      </c>
      <c r="D1722" s="7">
        <f t="shared" si="79"/>
        <v>0.6902157508566098</v>
      </c>
      <c r="E1722" s="8">
        <f t="shared" si="80"/>
        <v>-1.1589316734381938</v>
      </c>
    </row>
    <row r="1723" spans="1:5" x14ac:dyDescent="0.2">
      <c r="A1723" s="1">
        <v>44130</v>
      </c>
      <c r="B1723">
        <v>50286.9</v>
      </c>
      <c r="C1723" s="6">
        <f t="shared" si="78"/>
        <v>-8.0290249483301566E-3</v>
      </c>
      <c r="D1723" s="7">
        <f t="shared" si="79"/>
        <v>-0.71268952428149501</v>
      </c>
      <c r="E1723" s="8">
        <f t="shared" si="80"/>
        <v>-1.1875708117667869</v>
      </c>
    </row>
    <row r="1724" spans="1:5" x14ac:dyDescent="0.2">
      <c r="A1724" s="1">
        <v>44131</v>
      </c>
      <c r="B1724">
        <v>49560.81</v>
      </c>
      <c r="C1724" s="6">
        <f t="shared" si="78"/>
        <v>-1.4544205357196598E-2</v>
      </c>
      <c r="D1724" s="7">
        <f t="shared" si="79"/>
        <v>-1.2748812065684216</v>
      </c>
      <c r="E1724" s="8">
        <f t="shared" si="80"/>
        <v>-2.0493890216298007</v>
      </c>
    </row>
    <row r="1725" spans="1:5" x14ac:dyDescent="0.2">
      <c r="A1725" s="1">
        <v>44132</v>
      </c>
      <c r="B1725">
        <v>47930.58</v>
      </c>
      <c r="C1725" s="6">
        <f t="shared" si="78"/>
        <v>-3.344668637412828E-2</v>
      </c>
      <c r="D1725" s="7">
        <f t="shared" si="79"/>
        <v>-2.905966907256555</v>
      </c>
      <c r="E1725" s="8">
        <f t="shared" si="80"/>
        <v>-4.7382381940013252</v>
      </c>
    </row>
    <row r="1726" spans="1:5" x14ac:dyDescent="0.2">
      <c r="A1726" s="1">
        <v>44133</v>
      </c>
      <c r="B1726">
        <v>47576.46</v>
      </c>
      <c r="C1726" s="6">
        <f t="shared" si="78"/>
        <v>-7.4156129808283389E-3</v>
      </c>
      <c r="D1726" s="7">
        <f t="shared" si="79"/>
        <v>-0.65975851020313259</v>
      </c>
      <c r="E1726" s="8">
        <f t="shared" si="80"/>
        <v>-1.1211359880404961</v>
      </c>
    </row>
    <row r="1727" spans="1:5" x14ac:dyDescent="0.2">
      <c r="A1727" s="1">
        <v>44134</v>
      </c>
      <c r="B1727">
        <v>47472.92</v>
      </c>
      <c r="C1727" s="6">
        <f t="shared" si="78"/>
        <v>-2.1786578924516027E-3</v>
      </c>
      <c r="D1727" s="7">
        <f t="shared" si="79"/>
        <v>-0.20786425610252418</v>
      </c>
      <c r="E1727" s="8">
        <f t="shared" si="80"/>
        <v>-0.73240300079922804</v>
      </c>
    </row>
    <row r="1728" spans="1:5" x14ac:dyDescent="0.2">
      <c r="A1728" s="1">
        <v>44137</v>
      </c>
      <c r="B1728">
        <v>48392.97</v>
      </c>
      <c r="C1728" s="6">
        <f t="shared" si="78"/>
        <v>1.9195112033558569E-2</v>
      </c>
      <c r="D1728" s="7">
        <f t="shared" si="79"/>
        <v>1.6364677374006362</v>
      </c>
      <c r="E1728" s="8">
        <f t="shared" si="80"/>
        <v>-2.6727192063399192</v>
      </c>
    </row>
    <row r="1729" spans="1:5" x14ac:dyDescent="0.2">
      <c r="A1729" s="1">
        <v>44138</v>
      </c>
      <c r="B1729">
        <v>48853.14</v>
      </c>
      <c r="C1729" s="6">
        <f t="shared" si="78"/>
        <v>9.4640995870999452E-3</v>
      </c>
      <c r="D1729" s="7">
        <f t="shared" si="79"/>
        <v>0.79678350545142029</v>
      </c>
      <c r="E1729" s="8">
        <f t="shared" si="80"/>
        <v>-1.2999891001297768</v>
      </c>
    </row>
    <row r="1730" spans="1:5" x14ac:dyDescent="0.2">
      <c r="A1730" s="1">
        <v>44139</v>
      </c>
      <c r="B1730">
        <v>49300.89</v>
      </c>
      <c r="C1730" s="6">
        <f t="shared" si="78"/>
        <v>9.1234787977332987E-3</v>
      </c>
      <c r="D1730" s="7">
        <f t="shared" si="79"/>
        <v>0.76739150667647715</v>
      </c>
      <c r="E1730" s="8">
        <f t="shared" si="80"/>
        <v>-1.2597948335110605</v>
      </c>
    </row>
    <row r="1731" spans="1:5" x14ac:dyDescent="0.2">
      <c r="A1731" s="1">
        <v>44140</v>
      </c>
      <c r="B1731">
        <v>50762.83</v>
      </c>
      <c r="C1731" s="6">
        <f t="shared" ref="C1731:C1794" si="81">LN(B1731/B1730)</f>
        <v>2.9222260229109967E-2</v>
      </c>
      <c r="D1731" s="7">
        <f t="shared" ref="D1731:D1794" si="82">(C1731-$G$4)/$G$5</f>
        <v>2.5017053760891645</v>
      </c>
      <c r="E1731" s="8">
        <f t="shared" ref="E1731:E1794" si="83">LN((PI()*(G$3-2))^(-1/2)*EXP(GAMMALN((G$3+1)/2))*((1+D1731^2/(G$3-2))^(-(G$3+1)/2))/EXP(GAMMALN(G$3/2)))</f>
        <v>-4.121682318614627</v>
      </c>
    </row>
    <row r="1732" spans="1:5" x14ac:dyDescent="0.2">
      <c r="A1732" s="1">
        <v>44141</v>
      </c>
      <c r="B1732">
        <v>51876.24</v>
      </c>
      <c r="C1732" s="6">
        <f t="shared" si="81"/>
        <v>2.1696488026490865E-2</v>
      </c>
      <c r="D1732" s="7">
        <f t="shared" si="82"/>
        <v>1.8523102297412908</v>
      </c>
      <c r="E1732" s="8">
        <f t="shared" si="83"/>
        <v>-3.0461438097813671</v>
      </c>
    </row>
    <row r="1733" spans="1:5" x14ac:dyDescent="0.2">
      <c r="A1733" s="1">
        <v>44144</v>
      </c>
      <c r="B1733">
        <v>52684.37</v>
      </c>
      <c r="C1733" s="6">
        <f t="shared" si="81"/>
        <v>1.545794523759254E-2</v>
      </c>
      <c r="D1733" s="7">
        <f t="shared" si="82"/>
        <v>1.3139894703135497</v>
      </c>
      <c r="E1733" s="8">
        <f t="shared" si="83"/>
        <v>-2.1157698261453666</v>
      </c>
    </row>
    <row r="1734" spans="1:5" x14ac:dyDescent="0.2">
      <c r="A1734" s="1">
        <v>44145</v>
      </c>
      <c r="B1734">
        <v>52922.51</v>
      </c>
      <c r="C1734" s="6">
        <f t="shared" si="81"/>
        <v>4.5099410879026218E-3</v>
      </c>
      <c r="D1734" s="7">
        <f t="shared" si="82"/>
        <v>0.36929162860492692</v>
      </c>
      <c r="E1734" s="8">
        <f t="shared" si="83"/>
        <v>-0.82980406085453007</v>
      </c>
    </row>
    <row r="1735" spans="1:5" x14ac:dyDescent="0.2">
      <c r="A1735" s="1">
        <v>44146</v>
      </c>
      <c r="B1735">
        <v>52784.39</v>
      </c>
      <c r="C1735" s="6">
        <f t="shared" si="81"/>
        <v>-2.6132651435917106E-3</v>
      </c>
      <c r="D1735" s="7">
        <f t="shared" si="82"/>
        <v>-0.24536629999374851</v>
      </c>
      <c r="E1735" s="8">
        <f t="shared" si="83"/>
        <v>-0.75042771177546153</v>
      </c>
    </row>
    <row r="1736" spans="1:5" x14ac:dyDescent="0.2">
      <c r="A1736" s="1">
        <v>44147</v>
      </c>
      <c r="B1736">
        <v>52335.71</v>
      </c>
      <c r="C1736" s="6">
        <f t="shared" si="81"/>
        <v>-8.5365733997847318E-3</v>
      </c>
      <c r="D1736" s="7">
        <f t="shared" si="82"/>
        <v>-0.75648562812799125</v>
      </c>
      <c r="E1736" s="8">
        <f t="shared" si="83"/>
        <v>-1.245121289892579</v>
      </c>
    </row>
    <row r="1737" spans="1:5" x14ac:dyDescent="0.2">
      <c r="A1737" s="1">
        <v>44148</v>
      </c>
      <c r="B1737">
        <v>52517.57</v>
      </c>
      <c r="C1737" s="6">
        <f t="shared" si="81"/>
        <v>3.4688506140949983E-3</v>
      </c>
      <c r="D1737" s="7">
        <f t="shared" si="82"/>
        <v>0.27945644858653734</v>
      </c>
      <c r="E1737" s="8">
        <f t="shared" si="83"/>
        <v>-0.7692757042657008</v>
      </c>
    </row>
    <row r="1738" spans="1:5" x14ac:dyDescent="0.2">
      <c r="A1738" s="1">
        <v>44151</v>
      </c>
      <c r="B1738">
        <v>52551.86</v>
      </c>
      <c r="C1738" s="6">
        <f t="shared" si="81"/>
        <v>6.527112827658853E-4</v>
      </c>
      <c r="D1738" s="7">
        <f t="shared" si="82"/>
        <v>3.6453184075285999E-2</v>
      </c>
      <c r="E1738" s="8">
        <f t="shared" si="83"/>
        <v>-0.68748882550418344</v>
      </c>
    </row>
    <row r="1739" spans="1:5" x14ac:dyDescent="0.2">
      <c r="A1739" s="1">
        <v>44152</v>
      </c>
      <c r="B1739">
        <v>52288.79</v>
      </c>
      <c r="C1739" s="6">
        <f t="shared" si="81"/>
        <v>-5.0184838060784278E-3</v>
      </c>
      <c r="D1739" s="7">
        <f t="shared" si="82"/>
        <v>-0.45291142403837698</v>
      </c>
      <c r="E1739" s="8">
        <f t="shared" si="83"/>
        <v>-0.89955965647029201</v>
      </c>
    </row>
    <row r="1740" spans="1:5" x14ac:dyDescent="0.2">
      <c r="A1740" s="1">
        <v>44153</v>
      </c>
      <c r="B1740">
        <v>52518.35</v>
      </c>
      <c r="C1740" s="6">
        <f t="shared" si="81"/>
        <v>4.380624585350228E-3</v>
      </c>
      <c r="D1740" s="7">
        <f t="shared" si="82"/>
        <v>0.35813297181340442</v>
      </c>
      <c r="E1740" s="8">
        <f t="shared" si="83"/>
        <v>-0.82145221167629356</v>
      </c>
    </row>
    <row r="1741" spans="1:5" x14ac:dyDescent="0.2">
      <c r="A1741" s="1">
        <v>44154</v>
      </c>
      <c r="B1741">
        <v>51977.91</v>
      </c>
      <c r="C1741" s="6">
        <f t="shared" si="81"/>
        <v>-1.034381170511482E-2</v>
      </c>
      <c r="D1741" s="7">
        <f t="shared" si="82"/>
        <v>-0.91243132408818495</v>
      </c>
      <c r="E1741" s="8">
        <f t="shared" si="83"/>
        <v>-1.4664956112510268</v>
      </c>
    </row>
    <row r="1742" spans="1:5" x14ac:dyDescent="0.2">
      <c r="A1742" s="1">
        <v>44155</v>
      </c>
      <c r="B1742">
        <v>51915.4</v>
      </c>
      <c r="C1742" s="6">
        <f t="shared" si="81"/>
        <v>-1.2033500047913558E-3</v>
      </c>
      <c r="D1742" s="7">
        <f t="shared" si="82"/>
        <v>-0.12370542277762749</v>
      </c>
      <c r="E1742" s="8">
        <f t="shared" si="83"/>
        <v>-0.70255644654643012</v>
      </c>
    </row>
    <row r="1743" spans="1:5" x14ac:dyDescent="0.2">
      <c r="A1743" s="1">
        <v>44158</v>
      </c>
      <c r="B1743">
        <v>52478.55</v>
      </c>
      <c r="C1743" s="6">
        <f t="shared" si="81"/>
        <v>1.0789044052980472E-2</v>
      </c>
      <c r="D1743" s="7">
        <f t="shared" si="82"/>
        <v>0.91111230549453759</v>
      </c>
      <c r="E1743" s="8">
        <f t="shared" si="83"/>
        <v>-1.4645280910514227</v>
      </c>
    </row>
    <row r="1744" spans="1:5" x14ac:dyDescent="0.2">
      <c r="A1744" s="1">
        <v>44159</v>
      </c>
      <c r="B1744">
        <v>53049.43</v>
      </c>
      <c r="C1744" s="6">
        <f t="shared" si="81"/>
        <v>1.0819605740725127E-2</v>
      </c>
      <c r="D1744" s="7">
        <f t="shared" si="82"/>
        <v>0.91374945835423638</v>
      </c>
      <c r="E1744" s="8">
        <f t="shared" si="83"/>
        <v>-1.4684632673028268</v>
      </c>
    </row>
    <row r="1745" spans="1:5" x14ac:dyDescent="0.2">
      <c r="A1745" s="1">
        <v>44160</v>
      </c>
      <c r="B1745">
        <v>52940.79</v>
      </c>
      <c r="C1745" s="6">
        <f t="shared" si="81"/>
        <v>-2.0500011802348328E-3</v>
      </c>
      <c r="D1745" s="7">
        <f t="shared" si="82"/>
        <v>-0.19676253229143553</v>
      </c>
      <c r="E1745" s="8">
        <f t="shared" si="83"/>
        <v>-0.72761983371043304</v>
      </c>
    </row>
    <row r="1746" spans="1:5" x14ac:dyDescent="0.2">
      <c r="A1746" s="1">
        <v>44161</v>
      </c>
      <c r="B1746">
        <v>53084.13</v>
      </c>
      <c r="C1746" s="6">
        <f t="shared" si="81"/>
        <v>2.7038942793902797E-3</v>
      </c>
      <c r="D1746" s="7">
        <f t="shared" si="82"/>
        <v>0.21344874631348387</v>
      </c>
      <c r="E1746" s="8">
        <f t="shared" si="83"/>
        <v>-0.7349050265741448</v>
      </c>
    </row>
    <row r="1747" spans="1:5" x14ac:dyDescent="0.2">
      <c r="A1747" s="1">
        <v>44162</v>
      </c>
      <c r="B1747">
        <v>53021.58</v>
      </c>
      <c r="C1747" s="6">
        <f t="shared" si="81"/>
        <v>-1.1790130285305445E-3</v>
      </c>
      <c r="D1747" s="7">
        <f t="shared" si="82"/>
        <v>-0.12160539718091141</v>
      </c>
      <c r="E1747" s="8">
        <f t="shared" si="83"/>
        <v>-0.70200242104672939</v>
      </c>
    </row>
    <row r="1748" spans="1:5" x14ac:dyDescent="0.2">
      <c r="A1748" s="1">
        <v>44165</v>
      </c>
      <c r="B1748">
        <v>52375.5</v>
      </c>
      <c r="C1748" s="6">
        <f t="shared" si="81"/>
        <v>-1.2260075756195957E-2</v>
      </c>
      <c r="D1748" s="7">
        <f t="shared" si="82"/>
        <v>-1.0777847975111416</v>
      </c>
      <c r="E1748" s="8">
        <f t="shared" si="83"/>
        <v>-1.7233928335637145</v>
      </c>
    </row>
    <row r="1749" spans="1:5" x14ac:dyDescent="0.2">
      <c r="A1749" s="1">
        <v>44166</v>
      </c>
      <c r="B1749">
        <v>52764.09</v>
      </c>
      <c r="C1749" s="6">
        <f t="shared" si="81"/>
        <v>7.391920957542898E-3</v>
      </c>
      <c r="D1749" s="7">
        <f t="shared" si="82"/>
        <v>0.6179762404731074</v>
      </c>
      <c r="E1749" s="8">
        <f t="shared" si="83"/>
        <v>-1.0712843001466514</v>
      </c>
    </row>
    <row r="1750" spans="1:5" x14ac:dyDescent="0.2">
      <c r="A1750" s="1">
        <v>44167</v>
      </c>
      <c r="B1750">
        <v>53482.74</v>
      </c>
      <c r="C1750" s="6">
        <f t="shared" si="81"/>
        <v>1.3528139333872063E-2</v>
      </c>
      <c r="D1750" s="7">
        <f t="shared" si="82"/>
        <v>1.1474674771507203</v>
      </c>
      <c r="E1750" s="8">
        <f t="shared" si="83"/>
        <v>-1.8366988567013751</v>
      </c>
    </row>
    <row r="1751" spans="1:5" x14ac:dyDescent="0.2">
      <c r="A1751" s="1">
        <v>44168</v>
      </c>
      <c r="B1751">
        <v>54171.85</v>
      </c>
      <c r="C1751" s="6">
        <f t="shared" si="81"/>
        <v>1.2802415803629541E-2</v>
      </c>
      <c r="D1751" s="7">
        <f t="shared" si="82"/>
        <v>1.0848451540931707</v>
      </c>
      <c r="E1751" s="8">
        <f t="shared" si="83"/>
        <v>-1.7347566335321778</v>
      </c>
    </row>
    <row r="1752" spans="1:5" x14ac:dyDescent="0.2">
      <c r="A1752" s="1">
        <v>44169</v>
      </c>
      <c r="B1752">
        <v>54500.04</v>
      </c>
      <c r="C1752" s="6">
        <f t="shared" si="81"/>
        <v>6.0400347827252211E-3</v>
      </c>
      <c r="D1752" s="7">
        <f t="shared" si="82"/>
        <v>0.50132265374404528</v>
      </c>
      <c r="E1752" s="8">
        <f t="shared" si="83"/>
        <v>-0.94546822836275013</v>
      </c>
    </row>
    <row r="1753" spans="1:5" x14ac:dyDescent="0.2">
      <c r="A1753" s="1">
        <v>44172</v>
      </c>
      <c r="B1753">
        <v>54646.92</v>
      </c>
      <c r="C1753" s="6">
        <f t="shared" si="81"/>
        <v>2.6914187745276244E-3</v>
      </c>
      <c r="D1753" s="7">
        <f t="shared" si="82"/>
        <v>0.212372241193753</v>
      </c>
      <c r="E1753" s="8">
        <f t="shared" si="83"/>
        <v>-0.73441773409228028</v>
      </c>
    </row>
    <row r="1754" spans="1:5" x14ac:dyDescent="0.2">
      <c r="A1754" s="1">
        <v>44173</v>
      </c>
      <c r="B1754">
        <v>54262.51</v>
      </c>
      <c r="C1754" s="6">
        <f t="shared" si="81"/>
        <v>-7.0592894733814944E-3</v>
      </c>
      <c r="D1754" s="7">
        <f t="shared" si="82"/>
        <v>-0.62901153168242996</v>
      </c>
      <c r="E1754" s="8">
        <f t="shared" si="83"/>
        <v>-1.0842194806061978</v>
      </c>
    </row>
    <row r="1755" spans="1:5" x14ac:dyDescent="0.2">
      <c r="A1755" s="1">
        <v>44174</v>
      </c>
      <c r="B1755">
        <v>54349.61</v>
      </c>
      <c r="C1755" s="6">
        <f t="shared" si="81"/>
        <v>1.6038729134722209E-3</v>
      </c>
      <c r="D1755" s="7">
        <f t="shared" si="82"/>
        <v>0.11852844887775499</v>
      </c>
      <c r="E1755" s="8">
        <f t="shared" si="83"/>
        <v>-0.70120760423323369</v>
      </c>
    </row>
    <row r="1756" spans="1:5" x14ac:dyDescent="0.2">
      <c r="A1756" s="1">
        <v>44175</v>
      </c>
      <c r="B1756">
        <v>54334.2</v>
      </c>
      <c r="C1756" s="6">
        <f t="shared" si="81"/>
        <v>-2.8357489681798178E-4</v>
      </c>
      <c r="D1756" s="7">
        <f t="shared" si="82"/>
        <v>-4.4338485436416109E-2</v>
      </c>
      <c r="E1756" s="8">
        <f t="shared" si="83"/>
        <v>-0.68817751370595226</v>
      </c>
    </row>
    <row r="1757" spans="1:5" x14ac:dyDescent="0.2">
      <c r="A1757" s="1">
        <v>44176</v>
      </c>
      <c r="B1757">
        <v>54458.61</v>
      </c>
      <c r="C1757" s="6">
        <f t="shared" si="81"/>
        <v>2.2871006683367738E-3</v>
      </c>
      <c r="D1757" s="7">
        <f t="shared" si="82"/>
        <v>0.17748383257974709</v>
      </c>
      <c r="E1757" s="8">
        <f t="shared" si="83"/>
        <v>-0.71992006728135172</v>
      </c>
    </row>
    <row r="1758" spans="1:5" x14ac:dyDescent="0.2">
      <c r="A1758" s="1">
        <v>44179</v>
      </c>
      <c r="B1758">
        <v>54520.69</v>
      </c>
      <c r="C1758" s="6">
        <f t="shared" si="81"/>
        <v>1.1392990543158598E-3</v>
      </c>
      <c r="D1758" s="7">
        <f t="shared" si="82"/>
        <v>7.8440601261101445E-2</v>
      </c>
      <c r="E1758" s="8">
        <f t="shared" si="83"/>
        <v>-0.69269958890491201</v>
      </c>
    </row>
    <row r="1759" spans="1:5" x14ac:dyDescent="0.2">
      <c r="A1759" s="1">
        <v>44180</v>
      </c>
      <c r="B1759">
        <v>54466.51</v>
      </c>
      <c r="C1759" s="6">
        <f t="shared" si="81"/>
        <v>-9.9424527766906043E-4</v>
      </c>
      <c r="D1759" s="7">
        <f t="shared" si="82"/>
        <v>-0.10566187970780704</v>
      </c>
      <c r="E1759" s="8">
        <f t="shared" si="83"/>
        <v>-0.69810249635794397</v>
      </c>
    </row>
    <row r="1760" spans="1:5" x14ac:dyDescent="0.2">
      <c r="A1760" s="1">
        <v>44182</v>
      </c>
      <c r="B1760">
        <v>55484.28</v>
      </c>
      <c r="C1760" s="6">
        <f t="shared" si="81"/>
        <v>1.8513720011534812E-2</v>
      </c>
      <c r="D1760" s="7">
        <f t="shared" si="82"/>
        <v>1.5776707581739202</v>
      </c>
      <c r="E1760" s="8">
        <f t="shared" si="83"/>
        <v>-2.5705937099093505</v>
      </c>
    </row>
    <row r="1761" spans="1:5" x14ac:dyDescent="0.2">
      <c r="A1761" s="1">
        <v>44183</v>
      </c>
      <c r="B1761">
        <v>54692.4</v>
      </c>
      <c r="C1761" s="6">
        <f t="shared" si="81"/>
        <v>-1.437497728420894E-2</v>
      </c>
      <c r="D1761" s="7">
        <f t="shared" si="82"/>
        <v>-1.2602786001826287</v>
      </c>
      <c r="E1761" s="8">
        <f t="shared" si="83"/>
        <v>-2.0247174587648957</v>
      </c>
    </row>
    <row r="1762" spans="1:5" x14ac:dyDescent="0.2">
      <c r="A1762" s="1">
        <v>44186</v>
      </c>
      <c r="B1762">
        <v>53784.25</v>
      </c>
      <c r="C1762" s="6">
        <f t="shared" si="81"/>
        <v>-1.6744086725540685E-2</v>
      </c>
      <c r="D1762" s="7">
        <f t="shared" si="82"/>
        <v>-1.4647078774642792</v>
      </c>
      <c r="E1762" s="8">
        <f t="shared" si="83"/>
        <v>-2.3747097582243772</v>
      </c>
    </row>
    <row r="1763" spans="1:5" x14ac:dyDescent="0.2">
      <c r="A1763" s="1">
        <v>44187</v>
      </c>
      <c r="B1763">
        <v>53648.03</v>
      </c>
      <c r="C1763" s="6">
        <f t="shared" si="81"/>
        <v>-2.5359244540201493E-3</v>
      </c>
      <c r="D1763" s="7">
        <f t="shared" si="82"/>
        <v>-0.2386926102951033</v>
      </c>
      <c r="E1763" s="8">
        <f t="shared" si="83"/>
        <v>-0.74701089325225845</v>
      </c>
    </row>
    <row r="1764" spans="1:5" x14ac:dyDescent="0.2">
      <c r="A1764" s="1">
        <v>44188</v>
      </c>
      <c r="B1764">
        <v>53958.73</v>
      </c>
      <c r="C1764" s="6">
        <f t="shared" si="81"/>
        <v>5.774746185590777E-3</v>
      </c>
      <c r="D1764" s="7">
        <f t="shared" si="82"/>
        <v>0.47843103242967849</v>
      </c>
      <c r="E1764" s="8">
        <f t="shared" si="83"/>
        <v>-0.92327380842229978</v>
      </c>
    </row>
    <row r="1765" spans="1:5" x14ac:dyDescent="0.2">
      <c r="A1765" s="1">
        <v>44189</v>
      </c>
      <c r="B1765">
        <v>54125.23</v>
      </c>
      <c r="C1765" s="6">
        <f t="shared" si="81"/>
        <v>3.0809406262352155E-3</v>
      </c>
      <c r="D1765" s="7">
        <f t="shared" si="82"/>
        <v>0.24598388835566332</v>
      </c>
      <c r="E1765" s="8">
        <f t="shared" si="83"/>
        <v>-0.75074845461504192</v>
      </c>
    </row>
    <row r="1766" spans="1:5" x14ac:dyDescent="0.2">
      <c r="A1766" s="1">
        <v>44193</v>
      </c>
      <c r="B1766">
        <v>53956.26</v>
      </c>
      <c r="C1766" s="6">
        <f t="shared" si="81"/>
        <v>-3.126717399238308E-3</v>
      </c>
      <c r="D1766" s="7">
        <f t="shared" si="82"/>
        <v>-0.28967184017236663</v>
      </c>
      <c r="E1766" s="8">
        <f t="shared" si="83"/>
        <v>-0.77537314330933294</v>
      </c>
    </row>
    <row r="1767" spans="1:5" x14ac:dyDescent="0.2">
      <c r="A1767" s="1">
        <v>44194</v>
      </c>
      <c r="B1767">
        <v>54196.13</v>
      </c>
      <c r="C1767" s="6">
        <f t="shared" si="81"/>
        <v>4.4357853452991541E-3</v>
      </c>
      <c r="D1767" s="7">
        <f t="shared" si="82"/>
        <v>0.36289276639863333</v>
      </c>
      <c r="E1767" s="8">
        <f t="shared" si="83"/>
        <v>-0.8249864587250435</v>
      </c>
    </row>
    <row r="1768" spans="1:5" x14ac:dyDescent="0.2">
      <c r="A1768" s="1">
        <v>44195</v>
      </c>
      <c r="B1768">
        <v>54615.33</v>
      </c>
      <c r="C1768" s="6">
        <f t="shared" si="81"/>
        <v>7.7051088910056005E-3</v>
      </c>
      <c r="D1768" s="7">
        <f t="shared" si="82"/>
        <v>0.64500107173422627</v>
      </c>
      <c r="E1768" s="8">
        <f t="shared" si="83"/>
        <v>-1.1032585852382604</v>
      </c>
    </row>
    <row r="1769" spans="1:5" x14ac:dyDescent="0.2">
      <c r="A1769" s="1">
        <v>44196</v>
      </c>
      <c r="B1769">
        <v>54379.58</v>
      </c>
      <c r="C1769" s="6">
        <f t="shared" si="81"/>
        <v>-4.325896826556359E-3</v>
      </c>
      <c r="D1769" s="7">
        <f t="shared" si="82"/>
        <v>-0.39314843748812767</v>
      </c>
      <c r="E1769" s="8">
        <f t="shared" si="83"/>
        <v>-0.84842921936117577</v>
      </c>
    </row>
    <row r="1770" spans="1:5" x14ac:dyDescent="0.2">
      <c r="A1770" s="1">
        <v>44200</v>
      </c>
      <c r="B1770">
        <v>55438.07</v>
      </c>
      <c r="C1770" s="6">
        <f t="shared" si="81"/>
        <v>1.9277826119101227E-2</v>
      </c>
      <c r="D1770" s="7">
        <f t="shared" si="82"/>
        <v>1.6436050947694003</v>
      </c>
      <c r="E1770" s="8">
        <f t="shared" si="83"/>
        <v>-2.6851141317371212</v>
      </c>
    </row>
    <row r="1771" spans="1:5" x14ac:dyDescent="0.2">
      <c r="A1771" s="1">
        <v>44201</v>
      </c>
      <c r="B1771">
        <v>55976.32</v>
      </c>
      <c r="C1771" s="6">
        <f t="shared" si="81"/>
        <v>9.6622022971295674E-3</v>
      </c>
      <c r="D1771" s="7">
        <f t="shared" si="82"/>
        <v>0.81387768992950293</v>
      </c>
      <c r="E1771" s="8">
        <f t="shared" si="83"/>
        <v>-1.3237861379205647</v>
      </c>
    </row>
    <row r="1772" spans="1:5" x14ac:dyDescent="0.2">
      <c r="A1772" s="1">
        <v>44202</v>
      </c>
      <c r="B1772">
        <v>56877.599999999999</v>
      </c>
      <c r="C1772" s="6">
        <f t="shared" si="81"/>
        <v>1.597284634896352E-2</v>
      </c>
      <c r="D1772" s="7">
        <f t="shared" si="82"/>
        <v>1.3584200315331774</v>
      </c>
      <c r="E1772" s="8">
        <f t="shared" si="83"/>
        <v>-2.1916572140523276</v>
      </c>
    </row>
    <row r="1773" spans="1:5" x14ac:dyDescent="0.2">
      <c r="A1773" s="1">
        <v>44203</v>
      </c>
      <c r="B1773">
        <v>58006.23</v>
      </c>
      <c r="C1773" s="6">
        <f t="shared" si="81"/>
        <v>1.9648828059111872E-2</v>
      </c>
      <c r="D1773" s="7">
        <f t="shared" si="82"/>
        <v>1.6756186679472744</v>
      </c>
      <c r="E1773" s="8">
        <f t="shared" si="83"/>
        <v>-2.7406911420109403</v>
      </c>
    </row>
    <row r="1774" spans="1:5" x14ac:dyDescent="0.2">
      <c r="A1774" s="1">
        <v>44204</v>
      </c>
      <c r="B1774">
        <v>58423.34</v>
      </c>
      <c r="C1774" s="6">
        <f t="shared" si="81"/>
        <v>7.1650489555534144E-3</v>
      </c>
      <c r="D1774" s="7">
        <f t="shared" si="82"/>
        <v>0.59839956807755945</v>
      </c>
      <c r="E1774" s="8">
        <f t="shared" si="83"/>
        <v>-1.0487578339040597</v>
      </c>
    </row>
    <row r="1775" spans="1:5" x14ac:dyDescent="0.2">
      <c r="A1775" s="1">
        <v>44207</v>
      </c>
      <c r="B1775">
        <v>58717.77</v>
      </c>
      <c r="C1775" s="6">
        <f t="shared" si="81"/>
        <v>5.0269392192568534E-3</v>
      </c>
      <c r="D1775" s="7">
        <f t="shared" si="82"/>
        <v>0.41390314063760797</v>
      </c>
      <c r="E1775" s="8">
        <f t="shared" si="83"/>
        <v>-0.86547132070783162</v>
      </c>
    </row>
    <row r="1776" spans="1:5" x14ac:dyDescent="0.2">
      <c r="A1776" s="1">
        <v>44208</v>
      </c>
      <c r="B1776">
        <v>58492.92</v>
      </c>
      <c r="C1776" s="6">
        <f t="shared" si="81"/>
        <v>-3.8366854732932885E-3</v>
      </c>
      <c r="D1776" s="7">
        <f t="shared" si="82"/>
        <v>-0.35093463273906139</v>
      </c>
      <c r="E1776" s="8">
        <f t="shared" si="83"/>
        <v>-0.81618764260450383</v>
      </c>
    </row>
    <row r="1777" spans="1:5" x14ac:dyDescent="0.2">
      <c r="A1777" s="1">
        <v>44209</v>
      </c>
      <c r="B1777">
        <v>58337.66</v>
      </c>
      <c r="C1777" s="6">
        <f t="shared" si="81"/>
        <v>-2.6578673391798868E-3</v>
      </c>
      <c r="D1777" s="7">
        <f t="shared" si="82"/>
        <v>-0.24921500130327526</v>
      </c>
      <c r="E1777" s="8">
        <f t="shared" si="83"/>
        <v>-0.75243905884077522</v>
      </c>
    </row>
    <row r="1778" spans="1:5" x14ac:dyDescent="0.2">
      <c r="A1778" s="1">
        <v>44210</v>
      </c>
      <c r="B1778">
        <v>58735.95</v>
      </c>
      <c r="C1778" s="6">
        <f t="shared" si="81"/>
        <v>6.8041215540197318E-3</v>
      </c>
      <c r="D1778" s="7">
        <f t="shared" si="82"/>
        <v>0.56725532182222449</v>
      </c>
      <c r="E1778" s="8">
        <f t="shared" si="83"/>
        <v>-1.0140611895741718</v>
      </c>
    </row>
    <row r="1779" spans="1:5" x14ac:dyDescent="0.2">
      <c r="A1779" s="1">
        <v>44211</v>
      </c>
      <c r="B1779">
        <v>58446.35</v>
      </c>
      <c r="C1779" s="6">
        <f t="shared" si="81"/>
        <v>-4.9427360547203356E-3</v>
      </c>
      <c r="D1779" s="7">
        <f t="shared" si="82"/>
        <v>-0.4463751881871787</v>
      </c>
      <c r="E1779" s="8">
        <f t="shared" si="83"/>
        <v>-0.89366367064472019</v>
      </c>
    </row>
    <row r="1780" spans="1:5" x14ac:dyDescent="0.2">
      <c r="A1780" s="1">
        <v>44214</v>
      </c>
      <c r="B1780">
        <v>58548.17</v>
      </c>
      <c r="C1780" s="6">
        <f t="shared" si="81"/>
        <v>1.7405947852386537E-3</v>
      </c>
      <c r="D1780" s="7">
        <f t="shared" si="82"/>
        <v>0.13032611130152841</v>
      </c>
      <c r="E1780" s="8">
        <f t="shared" si="83"/>
        <v>-0.70436443377370739</v>
      </c>
    </row>
    <row r="1781" spans="1:5" x14ac:dyDescent="0.2">
      <c r="A1781" s="1">
        <v>44215</v>
      </c>
      <c r="B1781">
        <v>58358.85</v>
      </c>
      <c r="C1781" s="6">
        <f t="shared" si="81"/>
        <v>-3.2388160351036095E-3</v>
      </c>
      <c r="D1781" s="7">
        <f t="shared" si="82"/>
        <v>-0.29934477579720659</v>
      </c>
      <c r="E1781" s="8">
        <f t="shared" si="83"/>
        <v>-0.78133565505355496</v>
      </c>
    </row>
    <row r="1782" spans="1:5" x14ac:dyDescent="0.2">
      <c r="A1782" s="1">
        <v>44216</v>
      </c>
      <c r="B1782">
        <v>58857.760000000002</v>
      </c>
      <c r="C1782" s="6">
        <f t="shared" si="81"/>
        <v>8.5126674932886042E-3</v>
      </c>
      <c r="D1782" s="7">
        <f t="shared" si="82"/>
        <v>0.71468490252192218</v>
      </c>
      <c r="E1782" s="8">
        <f t="shared" si="83"/>
        <v>-1.1901435214013212</v>
      </c>
    </row>
    <row r="1783" spans="1:5" x14ac:dyDescent="0.2">
      <c r="A1783" s="1">
        <v>44217</v>
      </c>
      <c r="B1783">
        <v>58969.37</v>
      </c>
      <c r="C1783" s="6">
        <f t="shared" si="81"/>
        <v>1.8944708808723062E-3</v>
      </c>
      <c r="D1783" s="7">
        <f t="shared" si="82"/>
        <v>0.14360400318466021</v>
      </c>
      <c r="E1783" s="8">
        <f t="shared" si="83"/>
        <v>-0.70827040117518059</v>
      </c>
    </row>
    <row r="1784" spans="1:5" x14ac:dyDescent="0.2">
      <c r="A1784" s="1">
        <v>44218</v>
      </c>
      <c r="B1784">
        <v>58886.26</v>
      </c>
      <c r="C1784" s="6">
        <f t="shared" si="81"/>
        <v>-1.410369852954363E-3</v>
      </c>
      <c r="D1784" s="7">
        <f t="shared" si="82"/>
        <v>-0.14156906267732361</v>
      </c>
      <c r="E1784" s="8">
        <f t="shared" si="83"/>
        <v>-0.70764757856754401</v>
      </c>
    </row>
    <row r="1785" spans="1:5" x14ac:dyDescent="0.2">
      <c r="A1785" s="1">
        <v>44221</v>
      </c>
      <c r="B1785">
        <v>59408.05</v>
      </c>
      <c r="C1785" s="6">
        <f t="shared" si="81"/>
        <v>8.8219523678077158E-3</v>
      </c>
      <c r="D1785" s="7">
        <f t="shared" si="82"/>
        <v>0.74137294076491123</v>
      </c>
      <c r="E1785" s="8">
        <f t="shared" si="83"/>
        <v>-1.2250097880185638</v>
      </c>
    </row>
    <row r="1786" spans="1:5" x14ac:dyDescent="0.2">
      <c r="A1786" s="1">
        <v>44222</v>
      </c>
      <c r="B1786">
        <v>58720.55</v>
      </c>
      <c r="C1786" s="6">
        <f t="shared" si="81"/>
        <v>-1.1639988324451454E-2</v>
      </c>
      <c r="D1786" s="7">
        <f t="shared" si="82"/>
        <v>-1.0242777609380631</v>
      </c>
      <c r="E1786" s="8">
        <f t="shared" si="83"/>
        <v>-1.6382261649523393</v>
      </c>
    </row>
    <row r="1787" spans="1:5" x14ac:dyDescent="0.2">
      <c r="A1787" s="1">
        <v>44223</v>
      </c>
      <c r="B1787">
        <v>57644.44</v>
      </c>
      <c r="C1787" s="6">
        <f t="shared" si="81"/>
        <v>-1.8495952742344387E-2</v>
      </c>
      <c r="D1787" s="7">
        <f t="shared" si="82"/>
        <v>-1.6158755261433322</v>
      </c>
      <c r="E1787" s="8">
        <f t="shared" si="83"/>
        <v>-2.6369533124583193</v>
      </c>
    </row>
    <row r="1788" spans="1:5" x14ac:dyDescent="0.2">
      <c r="A1788" s="1">
        <v>44224</v>
      </c>
      <c r="B1788">
        <v>58084.46</v>
      </c>
      <c r="C1788" s="6">
        <f t="shared" si="81"/>
        <v>7.604360196835554E-3</v>
      </c>
      <c r="D1788" s="7">
        <f t="shared" si="82"/>
        <v>0.63630751694231469</v>
      </c>
      <c r="E1788" s="8">
        <f t="shared" si="83"/>
        <v>-1.0928637985000409</v>
      </c>
    </row>
    <row r="1789" spans="1:5" x14ac:dyDescent="0.2">
      <c r="A1789" s="1">
        <v>44225</v>
      </c>
      <c r="B1789">
        <v>57312.45</v>
      </c>
      <c r="C1789" s="6">
        <f t="shared" si="81"/>
        <v>-1.3380280595629377E-2</v>
      </c>
      <c r="D1789" s="7">
        <f t="shared" si="82"/>
        <v>-1.1744467168541555</v>
      </c>
      <c r="E1789" s="8">
        <f t="shared" si="83"/>
        <v>-1.8811993354520111</v>
      </c>
    </row>
    <row r="1790" spans="1:5" x14ac:dyDescent="0.2">
      <c r="A1790" s="1">
        <v>44228</v>
      </c>
      <c r="B1790">
        <v>57670.400000000001</v>
      </c>
      <c r="C1790" s="6">
        <f t="shared" si="81"/>
        <v>6.2261660122561414E-3</v>
      </c>
      <c r="D1790" s="7">
        <f t="shared" si="82"/>
        <v>0.517383825114483</v>
      </c>
      <c r="E1790" s="8">
        <f t="shared" si="83"/>
        <v>-0.96154865051422023</v>
      </c>
    </row>
    <row r="1791" spans="1:5" x14ac:dyDescent="0.2">
      <c r="A1791" s="1">
        <v>44229</v>
      </c>
      <c r="B1791">
        <v>57585.13</v>
      </c>
      <c r="C1791" s="6">
        <f t="shared" si="81"/>
        <v>-1.4796689678605187E-3</v>
      </c>
      <c r="D1791" s="7">
        <f t="shared" si="82"/>
        <v>-0.14754884889123523</v>
      </c>
      <c r="E1791" s="8">
        <f t="shared" si="83"/>
        <v>-0.70950268512842041</v>
      </c>
    </row>
    <row r="1792" spans="1:5" x14ac:dyDescent="0.2">
      <c r="A1792" s="1">
        <v>44230</v>
      </c>
      <c r="B1792">
        <v>57828.55</v>
      </c>
      <c r="C1792" s="6">
        <f t="shared" si="81"/>
        <v>4.2182237138481881E-3</v>
      </c>
      <c r="D1792" s="7">
        <f t="shared" si="82"/>
        <v>0.34411948125367331</v>
      </c>
      <c r="E1792" s="8">
        <f t="shared" si="83"/>
        <v>-0.81129292171372647</v>
      </c>
    </row>
    <row r="1793" spans="1:5" x14ac:dyDescent="0.2">
      <c r="A1793" s="1">
        <v>44231</v>
      </c>
      <c r="B1793">
        <v>58493.74</v>
      </c>
      <c r="C1793" s="6">
        <f t="shared" si="81"/>
        <v>1.1437141600465023E-2</v>
      </c>
      <c r="D1793" s="7">
        <f t="shared" si="82"/>
        <v>0.96703632104605242</v>
      </c>
      <c r="E1793" s="8">
        <f t="shared" si="83"/>
        <v>-1.5491780758934588</v>
      </c>
    </row>
    <row r="1794" spans="1:5" x14ac:dyDescent="0.2">
      <c r="A1794" s="1">
        <v>44232</v>
      </c>
      <c r="B1794">
        <v>58877.36</v>
      </c>
      <c r="C1794" s="6">
        <f t="shared" si="81"/>
        <v>6.5368964939135875E-3</v>
      </c>
      <c r="D1794" s="7">
        <f t="shared" si="82"/>
        <v>0.54419660407960457</v>
      </c>
      <c r="E1794" s="8">
        <f t="shared" si="83"/>
        <v>-0.98930434072157469</v>
      </c>
    </row>
    <row r="1795" spans="1:5" x14ac:dyDescent="0.2">
      <c r="A1795" s="1">
        <v>44235</v>
      </c>
      <c r="B1795">
        <v>59647.94</v>
      </c>
      <c r="C1795" s="6">
        <f t="shared" ref="C1795:C1858" si="84">LN(B1795/B1794)</f>
        <v>1.3002976702439887E-2</v>
      </c>
      <c r="D1795" s="7">
        <f t="shared" ref="D1795:D1858" si="85">(C1795-$G$4)/$G$5</f>
        <v>1.1021514544604978</v>
      </c>
      <c r="E1795" s="8">
        <f t="shared" ref="E1795:E1858" si="86">LN((PI()*(G$3-2))^(-1/2)*EXP(GAMMALN((G$3+1)/2))*((1+D1795^2/(G$3-2))^(-(G$3+1)/2))/EXP(GAMMALN(G$3/2)))</f>
        <v>-1.7627273338978777</v>
      </c>
    </row>
    <row r="1796" spans="1:5" x14ac:dyDescent="0.2">
      <c r="A1796" s="1">
        <v>44236</v>
      </c>
      <c r="B1796">
        <v>59663.77</v>
      </c>
      <c r="C1796" s="6">
        <f t="shared" si="84"/>
        <v>2.6535534681174116E-4</v>
      </c>
      <c r="D1796" s="7">
        <f t="shared" si="85"/>
        <v>3.0284327082281191E-3</v>
      </c>
      <c r="E1796" s="8">
        <f t="shared" si="86"/>
        <v>-0.68606168874201179</v>
      </c>
    </row>
    <row r="1797" spans="1:5" x14ac:dyDescent="0.2">
      <c r="A1797" s="1">
        <v>44237</v>
      </c>
      <c r="B1797">
        <v>60637.7</v>
      </c>
      <c r="C1797" s="6">
        <f t="shared" si="84"/>
        <v>1.6191843346763619E-2</v>
      </c>
      <c r="D1797" s="7">
        <f t="shared" si="85"/>
        <v>1.3773171737276548</v>
      </c>
      <c r="E1797" s="8">
        <f t="shared" si="86"/>
        <v>-2.224063964521465</v>
      </c>
    </row>
    <row r="1798" spans="1:5" x14ac:dyDescent="0.2">
      <c r="A1798" s="1">
        <v>44238</v>
      </c>
      <c r="B1798">
        <v>60420.45</v>
      </c>
      <c r="C1798" s="6">
        <f t="shared" si="84"/>
        <v>-3.5891880591720684E-3</v>
      </c>
      <c r="D1798" s="7">
        <f t="shared" si="85"/>
        <v>-0.32957820377247177</v>
      </c>
      <c r="E1798" s="8">
        <f t="shared" si="86"/>
        <v>-0.80114277109346776</v>
      </c>
    </row>
    <row r="1799" spans="1:5" x14ac:dyDescent="0.2">
      <c r="A1799" s="1">
        <v>44239</v>
      </c>
      <c r="B1799">
        <v>60673.94</v>
      </c>
      <c r="C1799" s="6">
        <f t="shared" si="84"/>
        <v>4.1866575365949298E-3</v>
      </c>
      <c r="D1799" s="7">
        <f t="shared" si="85"/>
        <v>0.341395651493069</v>
      </c>
      <c r="E1799" s="8">
        <f t="shared" si="86"/>
        <v>-0.80936112108203218</v>
      </c>
    </row>
    <row r="1800" spans="1:5" x14ac:dyDescent="0.2">
      <c r="A1800" s="1">
        <v>44242</v>
      </c>
      <c r="B1800">
        <v>61674.76</v>
      </c>
      <c r="C1800" s="6">
        <f t="shared" si="84"/>
        <v>1.6360489709486472E-2</v>
      </c>
      <c r="D1800" s="7">
        <f t="shared" si="85"/>
        <v>1.3918695846235534</v>
      </c>
      <c r="E1800" s="8">
        <f t="shared" si="86"/>
        <v>-2.2490664860558782</v>
      </c>
    </row>
    <row r="1801" spans="1:5" x14ac:dyDescent="0.2">
      <c r="A1801" s="1">
        <v>44243</v>
      </c>
      <c r="B1801">
        <v>61775.45</v>
      </c>
      <c r="C1801" s="6">
        <f t="shared" si="84"/>
        <v>1.6312653065268801E-3</v>
      </c>
      <c r="D1801" s="7">
        <f t="shared" si="85"/>
        <v>0.12089212487240683</v>
      </c>
      <c r="E1801" s="8">
        <f t="shared" si="86"/>
        <v>-0.70181638001220026</v>
      </c>
    </row>
    <row r="1802" spans="1:5" x14ac:dyDescent="0.2">
      <c r="A1802" s="1">
        <v>44244</v>
      </c>
      <c r="B1802">
        <v>61738.47</v>
      </c>
      <c r="C1802" s="6">
        <f t="shared" si="84"/>
        <v>-5.9879892250131524E-4</v>
      </c>
      <c r="D1802" s="7">
        <f t="shared" si="85"/>
        <v>-7.1539010084206184E-2</v>
      </c>
      <c r="E1802" s="8">
        <f t="shared" si="86"/>
        <v>-0.69158234373333516</v>
      </c>
    </row>
    <row r="1803" spans="1:5" x14ac:dyDescent="0.2">
      <c r="A1803" s="1">
        <v>44245</v>
      </c>
      <c r="B1803">
        <v>61206.58</v>
      </c>
      <c r="C1803" s="6">
        <f t="shared" si="84"/>
        <v>-8.6525373471605504E-3</v>
      </c>
      <c r="D1803" s="7">
        <f t="shared" si="85"/>
        <v>-0.76649209956370501</v>
      </c>
      <c r="E1803" s="8">
        <f t="shared" si="86"/>
        <v>-1.2585796947547154</v>
      </c>
    </row>
    <row r="1804" spans="1:5" x14ac:dyDescent="0.2">
      <c r="A1804" s="1">
        <v>44246</v>
      </c>
      <c r="B1804">
        <v>62105.24</v>
      </c>
      <c r="C1804" s="6">
        <f t="shared" si="84"/>
        <v>1.4575665333162182E-2</v>
      </c>
      <c r="D1804" s="7">
        <f t="shared" si="85"/>
        <v>1.2378579754673538</v>
      </c>
      <c r="E1804" s="8">
        <f t="shared" si="86"/>
        <v>-1.986970474732537</v>
      </c>
    </row>
    <row r="1805" spans="1:5" x14ac:dyDescent="0.2">
      <c r="A1805" s="1">
        <v>44249</v>
      </c>
      <c r="B1805">
        <v>61903.64</v>
      </c>
      <c r="C1805" s="6">
        <f t="shared" si="84"/>
        <v>-3.25138292678739E-3</v>
      </c>
      <c r="D1805" s="7">
        <f t="shared" si="85"/>
        <v>-0.30042916664035307</v>
      </c>
      <c r="E1805" s="8">
        <f t="shared" si="86"/>
        <v>-0.7820154842463295</v>
      </c>
    </row>
    <row r="1806" spans="1:5" x14ac:dyDescent="0.2">
      <c r="A1806" s="1">
        <v>44250</v>
      </c>
      <c r="B1806">
        <v>60493.97</v>
      </c>
      <c r="C1806" s="6">
        <f t="shared" si="84"/>
        <v>-2.3035291837075714E-2</v>
      </c>
      <c r="D1806" s="7">
        <f t="shared" si="85"/>
        <v>-2.0075728425622081</v>
      </c>
      <c r="E1806" s="8">
        <f t="shared" si="86"/>
        <v>-3.3112876178177135</v>
      </c>
    </row>
    <row r="1807" spans="1:5" x14ac:dyDescent="0.2">
      <c r="A1807" s="1">
        <v>44251</v>
      </c>
      <c r="B1807">
        <v>60747.41</v>
      </c>
      <c r="C1807" s="6">
        <f t="shared" si="84"/>
        <v>4.1807569189766993E-3</v>
      </c>
      <c r="D1807" s="7">
        <f t="shared" si="85"/>
        <v>0.34088649012881722</v>
      </c>
      <c r="E1807" s="8">
        <f t="shared" si="86"/>
        <v>-0.80900156790207545</v>
      </c>
    </row>
    <row r="1808" spans="1:5" x14ac:dyDescent="0.2">
      <c r="A1808" s="1">
        <v>44252</v>
      </c>
      <c r="B1808">
        <v>62063.35</v>
      </c>
      <c r="C1808" s="6">
        <f t="shared" si="84"/>
        <v>2.1431190015743493E-2</v>
      </c>
      <c r="D1808" s="7">
        <f t="shared" si="85"/>
        <v>1.829417796130939</v>
      </c>
      <c r="E1808" s="8">
        <f t="shared" si="86"/>
        <v>-3.0067477630834323</v>
      </c>
    </row>
    <row r="1809" spans="1:5" x14ac:dyDescent="0.2">
      <c r="A1809" s="1">
        <v>44253</v>
      </c>
      <c r="B1809">
        <v>60754.3</v>
      </c>
      <c r="C1809" s="6">
        <f t="shared" si="84"/>
        <v>-2.1317775973959417E-2</v>
      </c>
      <c r="D1809" s="7">
        <f t="shared" si="85"/>
        <v>-1.8593692515878437</v>
      </c>
      <c r="E1809" s="8">
        <f t="shared" si="86"/>
        <v>-3.0582781330770907</v>
      </c>
    </row>
    <row r="1810" spans="1:5" x14ac:dyDescent="0.2">
      <c r="A1810" s="1">
        <v>44256</v>
      </c>
      <c r="B1810">
        <v>62107.040000000001</v>
      </c>
      <c r="C1810" s="6">
        <f t="shared" si="84"/>
        <v>2.2021486444756367E-2</v>
      </c>
      <c r="D1810" s="7">
        <f t="shared" si="85"/>
        <v>1.8803541818713996</v>
      </c>
      <c r="E1810" s="8">
        <f t="shared" si="86"/>
        <v>-3.0943106902340749</v>
      </c>
    </row>
    <row r="1811" spans="1:5" x14ac:dyDescent="0.2">
      <c r="A1811" s="1">
        <v>44257</v>
      </c>
      <c r="B1811">
        <v>63104.7</v>
      </c>
      <c r="C1811" s="6">
        <f t="shared" si="84"/>
        <v>1.5935903664335848E-2</v>
      </c>
      <c r="D1811" s="7">
        <f t="shared" si="85"/>
        <v>1.3552322656210067</v>
      </c>
      <c r="E1811" s="8">
        <f t="shared" si="86"/>
        <v>-2.1861976760963104</v>
      </c>
    </row>
    <row r="1812" spans="1:5" x14ac:dyDescent="0.2">
      <c r="A1812" s="1">
        <v>44258</v>
      </c>
      <c r="B1812">
        <v>62861.62</v>
      </c>
      <c r="C1812" s="6">
        <f t="shared" si="84"/>
        <v>-3.859449124655032E-3</v>
      </c>
      <c r="D1812" s="7">
        <f t="shared" si="85"/>
        <v>-0.35289889691149101</v>
      </c>
      <c r="E1812" s="8">
        <f t="shared" si="86"/>
        <v>-0.81761460179111234</v>
      </c>
    </row>
    <row r="1813" spans="1:5" x14ac:dyDescent="0.2">
      <c r="A1813" s="1">
        <v>44259</v>
      </c>
      <c r="B1813">
        <v>62250.03</v>
      </c>
      <c r="C1813" s="6">
        <f t="shared" si="84"/>
        <v>-9.7767853207674105E-3</v>
      </c>
      <c r="D1813" s="7">
        <f t="shared" si="85"/>
        <v>-0.86350289894687615</v>
      </c>
      <c r="E1813" s="8">
        <f t="shared" si="86"/>
        <v>-1.3945211730227449</v>
      </c>
    </row>
    <row r="1814" spans="1:5" x14ac:dyDescent="0.2">
      <c r="A1814" s="1">
        <v>44260</v>
      </c>
      <c r="B1814">
        <v>62788.639999999999</v>
      </c>
      <c r="C1814" s="6">
        <f t="shared" si="84"/>
        <v>8.6151481191155659E-3</v>
      </c>
      <c r="D1814" s="7">
        <f t="shared" si="85"/>
        <v>0.72352790483649676</v>
      </c>
      <c r="E1814" s="8">
        <f t="shared" si="86"/>
        <v>-1.2016028145325761</v>
      </c>
    </row>
    <row r="1815" spans="1:5" x14ac:dyDescent="0.2">
      <c r="A1815" s="1">
        <v>44263</v>
      </c>
      <c r="B1815">
        <v>62910.6</v>
      </c>
      <c r="C1815" s="6">
        <f t="shared" si="84"/>
        <v>1.9405055793600288E-3</v>
      </c>
      <c r="D1815" s="7">
        <f t="shared" si="85"/>
        <v>0.14757631445806163</v>
      </c>
      <c r="E1815" s="8">
        <f t="shared" si="86"/>
        <v>-0.70951137989489588</v>
      </c>
    </row>
    <row r="1816" spans="1:5" x14ac:dyDescent="0.2">
      <c r="A1816" s="1">
        <v>44264</v>
      </c>
      <c r="B1816">
        <v>63098.33</v>
      </c>
      <c r="C1816" s="6">
        <f t="shared" si="84"/>
        <v>2.9796322989514902E-3</v>
      </c>
      <c r="D1816" s="7">
        <f t="shared" si="85"/>
        <v>0.23724204310026517</v>
      </c>
      <c r="E1816" s="8">
        <f t="shared" si="86"/>
        <v>-0.74628014837448053</v>
      </c>
    </row>
    <row r="1817" spans="1:5" x14ac:dyDescent="0.2">
      <c r="A1817" s="1">
        <v>44265</v>
      </c>
      <c r="B1817">
        <v>62886.16</v>
      </c>
      <c r="C1817" s="6">
        <f t="shared" si="84"/>
        <v>-3.3681955704934949E-3</v>
      </c>
      <c r="D1817" s="7">
        <f t="shared" si="85"/>
        <v>-0.31050887166097646</v>
      </c>
      <c r="E1817" s="8">
        <f t="shared" si="86"/>
        <v>-0.78844410595674819</v>
      </c>
    </row>
    <row r="1818" spans="1:5" x14ac:dyDescent="0.2">
      <c r="A1818" s="1">
        <v>44266</v>
      </c>
      <c r="B1818">
        <v>63187.54</v>
      </c>
      <c r="C1818" s="6">
        <f t="shared" si="84"/>
        <v>4.7810221177418321E-3</v>
      </c>
      <c r="D1818" s="7">
        <f t="shared" si="85"/>
        <v>0.39268307606108321</v>
      </c>
      <c r="E1818" s="8">
        <f t="shared" si="86"/>
        <v>-0.84805598499872603</v>
      </c>
    </row>
    <row r="1819" spans="1:5" x14ac:dyDescent="0.2">
      <c r="A1819" s="1">
        <v>44267</v>
      </c>
      <c r="B1819">
        <v>62587.78</v>
      </c>
      <c r="C1819" s="6">
        <f t="shared" si="84"/>
        <v>-9.5370784342627274E-3</v>
      </c>
      <c r="D1819" s="7">
        <f t="shared" si="85"/>
        <v>-0.84281871073983361</v>
      </c>
      <c r="E1819" s="8">
        <f t="shared" si="86"/>
        <v>-1.3647483081770595</v>
      </c>
    </row>
    <row r="1820" spans="1:5" x14ac:dyDescent="0.2">
      <c r="A1820" s="1">
        <v>44270</v>
      </c>
      <c r="B1820">
        <v>61921.05</v>
      </c>
      <c r="C1820" s="6">
        <f t="shared" si="84"/>
        <v>-1.0709864880786256E-2</v>
      </c>
      <c r="D1820" s="7">
        <f t="shared" si="85"/>
        <v>-0.94401787084859945</v>
      </c>
      <c r="E1820" s="8">
        <f t="shared" si="86"/>
        <v>-1.5140376432675375</v>
      </c>
    </row>
    <row r="1821" spans="1:5" x14ac:dyDescent="0.2">
      <c r="A1821" s="1">
        <v>44271</v>
      </c>
      <c r="B1821">
        <v>61623.63</v>
      </c>
      <c r="C1821" s="6">
        <f t="shared" si="84"/>
        <v>-4.8147856236243798E-3</v>
      </c>
      <c r="D1821" s="7">
        <f t="shared" si="85"/>
        <v>-0.4353344090232924</v>
      </c>
      <c r="E1821" s="8">
        <f t="shared" si="86"/>
        <v>-0.8838715429689693</v>
      </c>
    </row>
    <row r="1822" spans="1:5" x14ac:dyDescent="0.2">
      <c r="A1822" s="1">
        <v>44272</v>
      </c>
      <c r="B1822">
        <v>60810.17</v>
      </c>
      <c r="C1822" s="6">
        <f t="shared" si="84"/>
        <v>-1.3288356157473176E-2</v>
      </c>
      <c r="D1822" s="7">
        <f t="shared" si="85"/>
        <v>-1.166514602731884</v>
      </c>
      <c r="E1822" s="8">
        <f t="shared" si="86"/>
        <v>-1.8680823819591195</v>
      </c>
    </row>
    <row r="1823" spans="1:5" x14ac:dyDescent="0.2">
      <c r="A1823" s="1">
        <v>44273</v>
      </c>
      <c r="B1823">
        <v>61050.33</v>
      </c>
      <c r="C1823" s="6">
        <f t="shared" si="84"/>
        <v>3.9415612265691451E-3</v>
      </c>
      <c r="D1823" s="7">
        <f t="shared" si="85"/>
        <v>0.32024641260657621</v>
      </c>
      <c r="E1823" s="8">
        <f t="shared" si="86"/>
        <v>-0.79484122723544615</v>
      </c>
    </row>
    <row r="1824" spans="1:5" x14ac:dyDescent="0.2">
      <c r="A1824" s="1">
        <v>44274</v>
      </c>
      <c r="B1824">
        <v>60313.4</v>
      </c>
      <c r="C1824" s="6">
        <f t="shared" si="84"/>
        <v>-1.2144304679848629E-2</v>
      </c>
      <c r="D1824" s="7">
        <f t="shared" si="85"/>
        <v>-1.0677949688207038</v>
      </c>
      <c r="E1824" s="8">
        <f t="shared" si="86"/>
        <v>-1.7073622322704807</v>
      </c>
    </row>
    <row r="1825" spans="1:5" x14ac:dyDescent="0.2">
      <c r="A1825" s="1">
        <v>44278</v>
      </c>
      <c r="B1825">
        <v>59793.26</v>
      </c>
      <c r="C1825" s="6">
        <f t="shared" si="84"/>
        <v>-8.661355693315647E-3</v>
      </c>
      <c r="D1825" s="7">
        <f t="shared" si="85"/>
        <v>-0.76725303027456848</v>
      </c>
      <c r="E1825" s="8">
        <f t="shared" si="86"/>
        <v>-1.2596076874499862</v>
      </c>
    </row>
    <row r="1826" spans="1:5" x14ac:dyDescent="0.2">
      <c r="A1826" s="1">
        <v>44279</v>
      </c>
      <c r="B1826">
        <v>59768.81</v>
      </c>
      <c r="C1826" s="6">
        <f t="shared" si="84"/>
        <v>-4.0899259005508878E-4</v>
      </c>
      <c r="D1826" s="7">
        <f t="shared" si="85"/>
        <v>-5.5160715908124949E-2</v>
      </c>
      <c r="E1826" s="8">
        <f t="shared" si="86"/>
        <v>-0.68934118394745791</v>
      </c>
    </row>
    <row r="1827" spans="1:5" x14ac:dyDescent="0.2">
      <c r="A1827" s="1">
        <v>44280</v>
      </c>
      <c r="B1827">
        <v>59278.89</v>
      </c>
      <c r="C1827" s="6">
        <f t="shared" si="84"/>
        <v>-8.2306968681247761E-3</v>
      </c>
      <c r="D1827" s="7">
        <f t="shared" si="85"/>
        <v>-0.73009169409786356</v>
      </c>
      <c r="E1827" s="8">
        <f t="shared" si="86"/>
        <v>-1.2101688818702618</v>
      </c>
    </row>
    <row r="1828" spans="1:5" x14ac:dyDescent="0.2">
      <c r="A1828" s="1">
        <v>44281</v>
      </c>
      <c r="B1828">
        <v>61244.27</v>
      </c>
      <c r="C1828" s="6">
        <f t="shared" si="84"/>
        <v>3.261703791209257E-2</v>
      </c>
      <c r="D1828" s="7">
        <f t="shared" si="85"/>
        <v>2.794639056634499</v>
      </c>
      <c r="E1828" s="8">
        <f t="shared" si="86"/>
        <v>-4.572843534968678</v>
      </c>
    </row>
    <row r="1829" spans="1:5" x14ac:dyDescent="0.2">
      <c r="A1829" s="1">
        <v>44284</v>
      </c>
      <c r="B1829">
        <v>61443.9</v>
      </c>
      <c r="C1829" s="6">
        <f t="shared" si="84"/>
        <v>3.2542693591066001E-3</v>
      </c>
      <c r="D1829" s="7">
        <f t="shared" si="85"/>
        <v>0.26094033864658916</v>
      </c>
      <c r="E1829" s="8">
        <f t="shared" si="86"/>
        <v>-0.75875030175936309</v>
      </c>
    </row>
    <row r="1830" spans="1:5" x14ac:dyDescent="0.2">
      <c r="A1830" s="1">
        <v>44285</v>
      </c>
      <c r="B1830">
        <v>61589.91</v>
      </c>
      <c r="C1830" s="6">
        <f t="shared" si="84"/>
        <v>2.3734950343379854E-3</v>
      </c>
      <c r="D1830" s="7">
        <f t="shared" si="85"/>
        <v>0.18493875952179076</v>
      </c>
      <c r="E1830" s="8">
        <f t="shared" si="86"/>
        <v>-0.72280593061202625</v>
      </c>
    </row>
    <row r="1831" spans="1:5" x14ac:dyDescent="0.2">
      <c r="A1831" s="1">
        <v>44286</v>
      </c>
      <c r="B1831">
        <v>60881.15</v>
      </c>
      <c r="C1831" s="6">
        <f t="shared" si="84"/>
        <v>-1.1574455427756768E-2</v>
      </c>
      <c r="D1831" s="7">
        <f t="shared" si="85"/>
        <v>-1.0186229598234566</v>
      </c>
      <c r="E1831" s="8">
        <f t="shared" si="86"/>
        <v>-1.6293297038137673</v>
      </c>
    </row>
    <row r="1832" spans="1:5" x14ac:dyDescent="0.2">
      <c r="A1832" s="1">
        <v>44287</v>
      </c>
      <c r="B1832">
        <v>61590.239999999998</v>
      </c>
      <c r="C1832" s="6">
        <f t="shared" si="84"/>
        <v>1.1579813433896548E-2</v>
      </c>
      <c r="D1832" s="7">
        <f t="shared" si="85"/>
        <v>0.97934740270737886</v>
      </c>
      <c r="E1832" s="8">
        <f t="shared" si="86"/>
        <v>-1.5681352325892444</v>
      </c>
    </row>
    <row r="1833" spans="1:5" x14ac:dyDescent="0.2">
      <c r="A1833" s="1">
        <v>44292</v>
      </c>
      <c r="B1833">
        <v>62372.24</v>
      </c>
      <c r="C1833" s="6">
        <f t="shared" si="84"/>
        <v>1.2616888167852235E-2</v>
      </c>
      <c r="D1833" s="7">
        <f t="shared" si="85"/>
        <v>1.0688360665280106</v>
      </c>
      <c r="E1833" s="8">
        <f t="shared" si="86"/>
        <v>-1.7090301969951758</v>
      </c>
    </row>
    <row r="1834" spans="1:5" x14ac:dyDescent="0.2">
      <c r="A1834" s="1">
        <v>44293</v>
      </c>
      <c r="B1834">
        <v>61409.52</v>
      </c>
      <c r="C1834" s="6">
        <f t="shared" si="84"/>
        <v>-1.5555432601495674E-2</v>
      </c>
      <c r="D1834" s="7">
        <f t="shared" si="85"/>
        <v>-1.362139503341478</v>
      </c>
      <c r="E1834" s="8">
        <f t="shared" si="86"/>
        <v>-2.1980300624615374</v>
      </c>
    </row>
    <row r="1835" spans="1:5" x14ac:dyDescent="0.2">
      <c r="A1835" s="1">
        <v>44294</v>
      </c>
      <c r="B1835">
        <v>61303.19</v>
      </c>
      <c r="C1835" s="6">
        <f t="shared" si="84"/>
        <v>-1.7329912543104127E-3</v>
      </c>
      <c r="D1835" s="7">
        <f t="shared" si="85"/>
        <v>-0.16940790319865315</v>
      </c>
      <c r="E1835" s="8">
        <f t="shared" si="86"/>
        <v>-0.71692462169749827</v>
      </c>
    </row>
    <row r="1836" spans="1:5" x14ac:dyDescent="0.2">
      <c r="A1836" s="1">
        <v>44295</v>
      </c>
      <c r="B1836">
        <v>61458.47</v>
      </c>
      <c r="C1836" s="6">
        <f t="shared" si="84"/>
        <v>2.5297814124267018E-3</v>
      </c>
      <c r="D1836" s="7">
        <f t="shared" si="85"/>
        <v>0.19842463348111419</v>
      </c>
      <c r="E1836" s="8">
        <f t="shared" si="86"/>
        <v>-0.72831975423552442</v>
      </c>
    </row>
    <row r="1837" spans="1:5" x14ac:dyDescent="0.2">
      <c r="A1837" s="1">
        <v>44298</v>
      </c>
      <c r="B1837">
        <v>60672.56</v>
      </c>
      <c r="C1837" s="6">
        <f t="shared" si="84"/>
        <v>-1.2870125604549006E-2</v>
      </c>
      <c r="D1837" s="7">
        <f t="shared" si="85"/>
        <v>-1.1304256959976591</v>
      </c>
      <c r="E1837" s="8">
        <f t="shared" si="86"/>
        <v>-1.8087618905090481</v>
      </c>
    </row>
    <row r="1838" spans="1:5" x14ac:dyDescent="0.2">
      <c r="A1838" s="1">
        <v>44299</v>
      </c>
      <c r="B1838">
        <v>61382.99</v>
      </c>
      <c r="C1838" s="6">
        <f t="shared" si="84"/>
        <v>1.164122439319659E-2</v>
      </c>
      <c r="D1838" s="7">
        <f t="shared" si="85"/>
        <v>0.98464652389100105</v>
      </c>
      <c r="E1838" s="8">
        <f t="shared" si="86"/>
        <v>-1.5763289217283269</v>
      </c>
    </row>
    <row r="1839" spans="1:5" x14ac:dyDescent="0.2">
      <c r="A1839" s="1">
        <v>44300</v>
      </c>
      <c r="B1839">
        <v>62084.39</v>
      </c>
      <c r="C1839" s="6">
        <f t="shared" si="84"/>
        <v>1.1361827639983228E-2</v>
      </c>
      <c r="D1839" s="7">
        <f t="shared" si="85"/>
        <v>0.96053751679416544</v>
      </c>
      <c r="E1839" s="8">
        <f t="shared" si="86"/>
        <v>-1.5392161115933263</v>
      </c>
    </row>
    <row r="1840" spans="1:5" x14ac:dyDescent="0.2">
      <c r="A1840" s="1">
        <v>44301</v>
      </c>
      <c r="B1840">
        <v>62080.02</v>
      </c>
      <c r="C1840" s="6">
        <f t="shared" si="84"/>
        <v>-7.0390541086729128E-5</v>
      </c>
      <c r="D1840" s="7">
        <f t="shared" si="85"/>
        <v>-2.5942913239719256E-2</v>
      </c>
      <c r="E1840" s="8">
        <f t="shared" si="86"/>
        <v>-0.68677970846910552</v>
      </c>
    </row>
    <row r="1841" spans="1:5" x14ac:dyDescent="0.2">
      <c r="A1841" s="1">
        <v>44302</v>
      </c>
      <c r="B1841">
        <v>62898.13</v>
      </c>
      <c r="C1841" s="6">
        <f t="shared" si="84"/>
        <v>1.3092235494867968E-2</v>
      </c>
      <c r="D1841" s="7">
        <f t="shared" si="85"/>
        <v>1.1098535513365493</v>
      </c>
      <c r="E1841" s="8">
        <f t="shared" si="86"/>
        <v>-1.7752269562107474</v>
      </c>
    </row>
    <row r="1842" spans="1:5" x14ac:dyDescent="0.2">
      <c r="A1842" s="1">
        <v>44305</v>
      </c>
      <c r="B1842">
        <v>62325.85</v>
      </c>
      <c r="C1842" s="6">
        <f t="shared" si="84"/>
        <v>-9.1401660311821314E-3</v>
      </c>
      <c r="D1842" s="7">
        <f t="shared" si="85"/>
        <v>-0.80856933656981733</v>
      </c>
      <c r="E1842" s="8">
        <f t="shared" si="86"/>
        <v>-1.3163640335361364</v>
      </c>
    </row>
    <row r="1843" spans="1:5" x14ac:dyDescent="0.2">
      <c r="A1843" s="1">
        <v>44306</v>
      </c>
      <c r="B1843">
        <v>61116.77</v>
      </c>
      <c r="C1843" s="6">
        <f t="shared" si="84"/>
        <v>-1.9589970900363875E-2</v>
      </c>
      <c r="D1843" s="7">
        <f t="shared" si="85"/>
        <v>-1.7102778097504612</v>
      </c>
      <c r="E1843" s="8">
        <f t="shared" si="86"/>
        <v>-2.8008095936659334</v>
      </c>
    </row>
    <row r="1844" spans="1:5" x14ac:dyDescent="0.2">
      <c r="A1844" s="1">
        <v>44307</v>
      </c>
      <c r="B1844">
        <v>61399.26</v>
      </c>
      <c r="C1844" s="6">
        <f t="shared" si="84"/>
        <v>4.6114863600238368E-3</v>
      </c>
      <c r="D1844" s="7">
        <f t="shared" si="85"/>
        <v>0.37805391971269414</v>
      </c>
      <c r="E1844" s="8">
        <f t="shared" si="86"/>
        <v>-0.83652374092748449</v>
      </c>
    </row>
    <row r="1845" spans="1:5" x14ac:dyDescent="0.2">
      <c r="A1845" s="1">
        <v>44308</v>
      </c>
      <c r="B1845">
        <v>61182.94</v>
      </c>
      <c r="C1845" s="6">
        <f t="shared" si="84"/>
        <v>-3.5293904751404017E-3</v>
      </c>
      <c r="D1845" s="7">
        <f t="shared" si="85"/>
        <v>-0.32441829993961602</v>
      </c>
      <c r="E1845" s="8">
        <f t="shared" si="86"/>
        <v>-0.79763779406280999</v>
      </c>
    </row>
    <row r="1846" spans="1:5" x14ac:dyDescent="0.2">
      <c r="A1846" s="1">
        <v>44309</v>
      </c>
      <c r="B1846">
        <v>61478.76</v>
      </c>
      <c r="C1846" s="6">
        <f t="shared" si="84"/>
        <v>4.8233568182269714E-3</v>
      </c>
      <c r="D1846" s="7">
        <f t="shared" si="85"/>
        <v>0.39633611634412191</v>
      </c>
      <c r="E1846" s="8">
        <f t="shared" si="86"/>
        <v>-0.85099636832880132</v>
      </c>
    </row>
    <row r="1847" spans="1:5" x14ac:dyDescent="0.2">
      <c r="A1847" s="1">
        <v>44312</v>
      </c>
      <c r="B1847">
        <v>61716.82</v>
      </c>
      <c r="C1847" s="6">
        <f t="shared" si="84"/>
        <v>3.8647538541831511E-3</v>
      </c>
      <c r="D1847" s="7">
        <f t="shared" si="85"/>
        <v>0.31361874258304828</v>
      </c>
      <c r="E1847" s="8">
        <f t="shared" si="86"/>
        <v>-0.79046726839325698</v>
      </c>
    </row>
    <row r="1848" spans="1:5" x14ac:dyDescent="0.2">
      <c r="A1848" s="1">
        <v>44314</v>
      </c>
      <c r="B1848">
        <v>61838.559999999998</v>
      </c>
      <c r="C1848" s="6">
        <f t="shared" si="84"/>
        <v>1.9706149484758108E-3</v>
      </c>
      <c r="D1848" s="7">
        <f t="shared" si="85"/>
        <v>0.15017443696787938</v>
      </c>
      <c r="E1848" s="8">
        <f t="shared" si="86"/>
        <v>-0.71034105935302982</v>
      </c>
    </row>
    <row r="1849" spans="1:5" x14ac:dyDescent="0.2">
      <c r="A1849" s="1">
        <v>44315</v>
      </c>
      <c r="B1849">
        <v>61508.38</v>
      </c>
      <c r="C1849" s="6">
        <f t="shared" si="84"/>
        <v>-5.3536924164502382E-3</v>
      </c>
      <c r="D1849" s="7">
        <f t="shared" si="85"/>
        <v>-0.48183640857534077</v>
      </c>
      <c r="E1849" s="8">
        <f t="shared" si="86"/>
        <v>-0.92652081989572821</v>
      </c>
    </row>
    <row r="1850" spans="1:5" x14ac:dyDescent="0.2">
      <c r="A1850" s="1">
        <v>44316</v>
      </c>
      <c r="B1850">
        <v>61096.37</v>
      </c>
      <c r="C1850" s="6">
        <f t="shared" si="84"/>
        <v>-6.7209720818069358E-3</v>
      </c>
      <c r="D1850" s="7">
        <f t="shared" si="85"/>
        <v>-0.59981829195918512</v>
      </c>
      <c r="E1850" s="8">
        <f t="shared" si="86"/>
        <v>-1.0503720040099385</v>
      </c>
    </row>
    <row r="1851" spans="1:5" x14ac:dyDescent="0.2">
      <c r="A1851" s="1">
        <v>44319</v>
      </c>
      <c r="B1851">
        <v>60769.69</v>
      </c>
      <c r="C1851" s="6">
        <f t="shared" si="84"/>
        <v>-5.3613086776919724E-3</v>
      </c>
      <c r="D1851" s="7">
        <f t="shared" si="85"/>
        <v>-0.48249361197594037</v>
      </c>
      <c r="E1851" s="8">
        <f t="shared" si="86"/>
        <v>-0.92714967458479025</v>
      </c>
    </row>
    <row r="1852" spans="1:5" x14ac:dyDescent="0.2">
      <c r="A1852" s="1">
        <v>44320</v>
      </c>
      <c r="B1852">
        <v>60376.47</v>
      </c>
      <c r="C1852" s="6">
        <f t="shared" si="84"/>
        <v>-6.4916854305819291E-3</v>
      </c>
      <c r="D1852" s="7">
        <f t="shared" si="85"/>
        <v>-0.58003326068012806</v>
      </c>
      <c r="E1852" s="8">
        <f t="shared" si="86"/>
        <v>-1.0281243137229177</v>
      </c>
    </row>
    <row r="1853" spans="1:5" x14ac:dyDescent="0.2">
      <c r="A1853" s="1">
        <v>44321</v>
      </c>
      <c r="B1853">
        <v>61536.47</v>
      </c>
      <c r="C1853" s="6">
        <f t="shared" si="84"/>
        <v>1.9030547680293407E-2</v>
      </c>
      <c r="D1853" s="7">
        <f t="shared" si="85"/>
        <v>1.622267561073869</v>
      </c>
      <c r="E1853" s="8">
        <f t="shared" si="86"/>
        <v>-2.6480559876407375</v>
      </c>
    </row>
    <row r="1854" spans="1:5" x14ac:dyDescent="0.2">
      <c r="A1854" s="1">
        <v>44322</v>
      </c>
      <c r="B1854">
        <v>61705.88</v>
      </c>
      <c r="C1854" s="6">
        <f t="shared" si="84"/>
        <v>2.7492190258128994E-3</v>
      </c>
      <c r="D1854" s="7">
        <f t="shared" si="85"/>
        <v>0.2173597961757231</v>
      </c>
      <c r="E1854" s="8">
        <f t="shared" si="86"/>
        <v>-0.73669541343464928</v>
      </c>
    </row>
    <row r="1855" spans="1:5" x14ac:dyDescent="0.2">
      <c r="A1855" s="1">
        <v>44323</v>
      </c>
      <c r="B1855">
        <v>62573.36</v>
      </c>
      <c r="C1855" s="6">
        <f t="shared" si="84"/>
        <v>1.3960402216121078E-2</v>
      </c>
      <c r="D1855" s="7">
        <f t="shared" si="85"/>
        <v>1.1847672266144578</v>
      </c>
      <c r="E1855" s="8">
        <f t="shared" si="86"/>
        <v>-1.8983059887406122</v>
      </c>
    </row>
    <row r="1856" spans="1:5" x14ac:dyDescent="0.2">
      <c r="A1856" s="1">
        <v>44326</v>
      </c>
      <c r="B1856">
        <v>62389.39</v>
      </c>
      <c r="C1856" s="6">
        <f t="shared" si="84"/>
        <v>-2.9443995576356632E-3</v>
      </c>
      <c r="D1856" s="7">
        <f t="shared" si="85"/>
        <v>-0.27393972415267442</v>
      </c>
      <c r="E1856" s="8">
        <f t="shared" si="86"/>
        <v>-0.76606851823510835</v>
      </c>
    </row>
    <row r="1857" spans="1:5" x14ac:dyDescent="0.2">
      <c r="A1857" s="1">
        <v>44327</v>
      </c>
      <c r="B1857">
        <v>61320.37</v>
      </c>
      <c r="C1857" s="6">
        <f t="shared" si="84"/>
        <v>-1.7283140961185054E-2</v>
      </c>
      <c r="D1857" s="7">
        <f t="shared" si="85"/>
        <v>-1.5112225997839224</v>
      </c>
      <c r="E1857" s="8">
        <f t="shared" si="86"/>
        <v>-2.4552689879096312</v>
      </c>
    </row>
    <row r="1858" spans="1:5" x14ac:dyDescent="0.2">
      <c r="A1858" s="1">
        <v>44328</v>
      </c>
      <c r="B1858">
        <v>61529.14</v>
      </c>
      <c r="C1858" s="6">
        <f t="shared" si="84"/>
        <v>3.3987958270673027E-3</v>
      </c>
      <c r="D1858" s="7">
        <f t="shared" si="85"/>
        <v>0.27341145580049647</v>
      </c>
      <c r="E1858" s="8">
        <f t="shared" si="86"/>
        <v>-0.76576456922772995</v>
      </c>
    </row>
    <row r="1859" spans="1:5" x14ac:dyDescent="0.2">
      <c r="A1859" s="1">
        <v>44329</v>
      </c>
      <c r="B1859">
        <v>60211.08</v>
      </c>
      <c r="C1859" s="6">
        <f t="shared" ref="C1859:C1922" si="87">LN(B1859/B1858)</f>
        <v>-2.165449519767661E-2</v>
      </c>
      <c r="D1859" s="7">
        <f t="shared" ref="D1859:D1922" si="88">(C1859-$G$4)/$G$5</f>
        <v>-1.8884245862002667</v>
      </c>
      <c r="E1859" s="8">
        <f t="shared" ref="E1859:E1922" si="89">LN((PI()*(G$3-2))^(-1/2)*EXP(GAMMALN((G$3+1)/2))*((1+D1859^2/(G$3-2))^(-(G$3+1)/2))/EXP(GAMMALN(G$3/2)))</f>
        <v>-3.1081515764531789</v>
      </c>
    </row>
    <row r="1860" spans="1:5" x14ac:dyDescent="0.2">
      <c r="A1860" s="1">
        <v>44330</v>
      </c>
      <c r="B1860">
        <v>60573.37</v>
      </c>
      <c r="C1860" s="6">
        <f t="shared" si="87"/>
        <v>5.9989690145687514E-3</v>
      </c>
      <c r="D1860" s="7">
        <f t="shared" si="88"/>
        <v>0.49777910900154332</v>
      </c>
      <c r="E1860" s="8">
        <f t="shared" si="89"/>
        <v>-0.94197647879844226</v>
      </c>
    </row>
    <row r="1861" spans="1:5" x14ac:dyDescent="0.2">
      <c r="A1861" s="1">
        <v>44333</v>
      </c>
      <c r="B1861">
        <v>61193.22</v>
      </c>
      <c r="C1861" s="6">
        <f t="shared" si="87"/>
        <v>1.0181041517733422E-2</v>
      </c>
      <c r="D1861" s="7">
        <f t="shared" si="88"/>
        <v>0.85864806863931809</v>
      </c>
      <c r="E1861" s="8">
        <f t="shared" si="89"/>
        <v>-1.3874969631794469</v>
      </c>
    </row>
    <row r="1862" spans="1:5" x14ac:dyDescent="0.2">
      <c r="A1862" s="1">
        <v>44334</v>
      </c>
      <c r="B1862">
        <v>61189.94</v>
      </c>
      <c r="C1862" s="6">
        <f t="shared" si="87"/>
        <v>-5.3602145928914317E-5</v>
      </c>
      <c r="D1862" s="7">
        <f t="shared" si="88"/>
        <v>-2.4494250958038595E-2</v>
      </c>
      <c r="E1862" s="8">
        <f t="shared" si="89"/>
        <v>-0.68670069051958693</v>
      </c>
    </row>
    <row r="1863" spans="1:5" x14ac:dyDescent="0.2">
      <c r="A1863" s="1">
        <v>44335</v>
      </c>
      <c r="B1863">
        <v>59776.91</v>
      </c>
      <c r="C1863" s="6">
        <f t="shared" si="87"/>
        <v>-2.336333093001881E-2</v>
      </c>
      <c r="D1863" s="7">
        <f t="shared" si="88"/>
        <v>-2.0358791730003616</v>
      </c>
      <c r="E1863" s="8">
        <f t="shared" si="89"/>
        <v>-3.3591797770848801</v>
      </c>
    </row>
    <row r="1864" spans="1:5" x14ac:dyDescent="0.2">
      <c r="A1864" s="1">
        <v>44336</v>
      </c>
      <c r="B1864">
        <v>60068.05</v>
      </c>
      <c r="C1864" s="6">
        <f t="shared" si="87"/>
        <v>4.8586202160740529E-3</v>
      </c>
      <c r="D1864" s="7">
        <f t="shared" si="88"/>
        <v>0.39937897743386619</v>
      </c>
      <c r="E1864" s="8">
        <f t="shared" si="89"/>
        <v>-0.85346400169777725</v>
      </c>
    </row>
    <row r="1865" spans="1:5" x14ac:dyDescent="0.2">
      <c r="A1865" s="1">
        <v>44337</v>
      </c>
      <c r="B1865">
        <v>60210</v>
      </c>
      <c r="C1865" s="6">
        <f t="shared" si="87"/>
        <v>2.3603652687104633E-3</v>
      </c>
      <c r="D1865" s="7">
        <f t="shared" si="88"/>
        <v>0.18380579856554091</v>
      </c>
      <c r="E1865" s="8">
        <f t="shared" si="89"/>
        <v>-0.72235989683729862</v>
      </c>
    </row>
    <row r="1866" spans="1:5" x14ac:dyDescent="0.2">
      <c r="A1866" s="1">
        <v>44340</v>
      </c>
      <c r="B1866">
        <v>60056.92</v>
      </c>
      <c r="C1866" s="6">
        <f t="shared" si="87"/>
        <v>-2.5456722874237273E-3</v>
      </c>
      <c r="D1866" s="7">
        <f t="shared" si="88"/>
        <v>-0.23953374599908969</v>
      </c>
      <c r="E1866" s="8">
        <f t="shared" si="89"/>
        <v>-0.7474365800177144</v>
      </c>
    </row>
    <row r="1867" spans="1:5" x14ac:dyDescent="0.2">
      <c r="A1867" s="1">
        <v>44341</v>
      </c>
      <c r="B1867">
        <v>60106.11</v>
      </c>
      <c r="C1867" s="6">
        <f t="shared" si="87"/>
        <v>8.1872107831647278E-4</v>
      </c>
      <c r="D1867" s="7">
        <f t="shared" si="88"/>
        <v>5.0778086899109974E-2</v>
      </c>
      <c r="E1867" s="8">
        <f t="shared" si="89"/>
        <v>-0.68883949816741752</v>
      </c>
    </row>
    <row r="1868" spans="1:5" x14ac:dyDescent="0.2">
      <c r="A1868" s="1">
        <v>44342</v>
      </c>
      <c r="B1868">
        <v>60093.24</v>
      </c>
      <c r="C1868" s="6">
        <f t="shared" si="87"/>
        <v>-2.1414425367836341E-4</v>
      </c>
      <c r="D1868" s="7">
        <f t="shared" si="88"/>
        <v>-3.8347349716550967E-2</v>
      </c>
      <c r="E1868" s="8">
        <f t="shared" si="89"/>
        <v>-0.6876420055188589</v>
      </c>
    </row>
    <row r="1869" spans="1:5" x14ac:dyDescent="0.2">
      <c r="A1869" s="1">
        <v>44343</v>
      </c>
      <c r="B1869">
        <v>60802.01</v>
      </c>
      <c r="C1869" s="6">
        <f t="shared" si="87"/>
        <v>1.1725491622632988E-2</v>
      </c>
      <c r="D1869" s="7">
        <f t="shared" si="88"/>
        <v>0.99191790127512325</v>
      </c>
      <c r="E1869" s="8">
        <f t="shared" si="89"/>
        <v>-1.587604720025559</v>
      </c>
    </row>
    <row r="1870" spans="1:5" x14ac:dyDescent="0.2">
      <c r="A1870" s="1">
        <v>44344</v>
      </c>
      <c r="B1870">
        <v>61345.49</v>
      </c>
      <c r="C1870" s="6">
        <f t="shared" si="87"/>
        <v>8.8988081860934872E-3</v>
      </c>
      <c r="D1870" s="7">
        <f t="shared" si="88"/>
        <v>0.74800479116107454</v>
      </c>
      <c r="E1870" s="8">
        <f t="shared" si="89"/>
        <v>-1.2338031198539368</v>
      </c>
    </row>
    <row r="1871" spans="1:5" x14ac:dyDescent="0.2">
      <c r="A1871" s="1">
        <v>44347</v>
      </c>
      <c r="B1871">
        <v>61782.86</v>
      </c>
      <c r="C1871" s="6">
        <f t="shared" si="87"/>
        <v>7.1043238954385211E-3</v>
      </c>
      <c r="D1871" s="7">
        <f t="shared" si="88"/>
        <v>0.59315963279403194</v>
      </c>
      <c r="E1871" s="8">
        <f t="shared" si="89"/>
        <v>-1.0428211360807509</v>
      </c>
    </row>
    <row r="1872" spans="1:5" x14ac:dyDescent="0.2">
      <c r="A1872" s="1">
        <v>44348</v>
      </c>
      <c r="B1872">
        <v>62698.9</v>
      </c>
      <c r="C1872" s="6">
        <f t="shared" si="87"/>
        <v>1.4717923907594348E-2</v>
      </c>
      <c r="D1872" s="7">
        <f t="shared" si="88"/>
        <v>1.2501333972148345</v>
      </c>
      <c r="E1872" s="8">
        <f t="shared" si="89"/>
        <v>-2.0076165403366555</v>
      </c>
    </row>
    <row r="1873" spans="1:5" x14ac:dyDescent="0.2">
      <c r="A1873" s="1">
        <v>44349</v>
      </c>
      <c r="B1873">
        <v>62786.67</v>
      </c>
      <c r="C1873" s="6">
        <f t="shared" si="87"/>
        <v>1.3988861717401547E-3</v>
      </c>
      <c r="D1873" s="7">
        <f t="shared" si="88"/>
        <v>0.10084024472242037</v>
      </c>
      <c r="E1873" s="8">
        <f t="shared" si="89"/>
        <v>-0.69702988801292509</v>
      </c>
    </row>
    <row r="1874" spans="1:5" x14ac:dyDescent="0.2">
      <c r="A1874" s="1">
        <v>44350</v>
      </c>
      <c r="B1874">
        <v>61573.32</v>
      </c>
      <c r="C1874" s="6">
        <f t="shared" si="87"/>
        <v>-1.9514129962922355E-2</v>
      </c>
      <c r="D1874" s="7">
        <f t="shared" si="88"/>
        <v>-1.7037335329183965</v>
      </c>
      <c r="E1874" s="8">
        <f t="shared" si="89"/>
        <v>-2.7894632981805554</v>
      </c>
    </row>
    <row r="1875" spans="1:5" x14ac:dyDescent="0.2">
      <c r="A1875" s="1">
        <v>44351</v>
      </c>
      <c r="B1875">
        <v>61616.800000000003</v>
      </c>
      <c r="C1875" s="6">
        <f t="shared" si="87"/>
        <v>7.0590079473096504E-4</v>
      </c>
      <c r="D1875" s="7">
        <f t="shared" si="88"/>
        <v>4.1042880650836618E-2</v>
      </c>
      <c r="E1875" s="8">
        <f t="shared" si="89"/>
        <v>-0.6878733509366024</v>
      </c>
    </row>
    <row r="1876" spans="1:5" x14ac:dyDescent="0.2">
      <c r="A1876" s="1">
        <v>44354</v>
      </c>
      <c r="B1876">
        <v>61387.75</v>
      </c>
      <c r="C1876" s="6">
        <f t="shared" si="87"/>
        <v>-3.7242567814810123E-3</v>
      </c>
      <c r="D1876" s="7">
        <f t="shared" si="88"/>
        <v>-0.34123321675045043</v>
      </c>
      <c r="E1876" s="8">
        <f t="shared" si="89"/>
        <v>-0.80924636169847675</v>
      </c>
    </row>
    <row r="1877" spans="1:5" x14ac:dyDescent="0.2">
      <c r="A1877" s="1">
        <v>44355</v>
      </c>
      <c r="B1877">
        <v>61452.39</v>
      </c>
      <c r="C1877" s="6">
        <f t="shared" si="87"/>
        <v>1.0524248175922981E-3</v>
      </c>
      <c r="D1877" s="7">
        <f t="shared" si="88"/>
        <v>7.0944266512711962E-2</v>
      </c>
      <c r="E1877" s="8">
        <f t="shared" si="89"/>
        <v>-0.69149085770238616</v>
      </c>
    </row>
    <row r="1878" spans="1:5" x14ac:dyDescent="0.2">
      <c r="A1878" s="1">
        <v>44356</v>
      </c>
      <c r="B1878">
        <v>61433.18</v>
      </c>
      <c r="C1878" s="6">
        <f t="shared" si="87"/>
        <v>-3.1264859098558784E-4</v>
      </c>
      <c r="D1878" s="7">
        <f t="shared" si="88"/>
        <v>-4.6847240069233083E-2</v>
      </c>
      <c r="E1878" s="8">
        <f t="shared" si="89"/>
        <v>-0.68842477147516867</v>
      </c>
    </row>
    <row r="1879" spans="1:5" x14ac:dyDescent="0.2">
      <c r="A1879" s="1">
        <v>44357</v>
      </c>
      <c r="B1879">
        <v>61291.03</v>
      </c>
      <c r="C1879" s="6">
        <f t="shared" si="87"/>
        <v>-2.3165773659659552E-3</v>
      </c>
      <c r="D1879" s="7">
        <f t="shared" si="88"/>
        <v>-0.2197652589864415</v>
      </c>
      <c r="E1879" s="8">
        <f t="shared" si="89"/>
        <v>-0.73781214104410087</v>
      </c>
    </row>
    <row r="1880" spans="1:5" x14ac:dyDescent="0.2">
      <c r="A1880" s="1">
        <v>44358</v>
      </c>
      <c r="B1880">
        <v>61444.66</v>
      </c>
      <c r="C1880" s="6">
        <f t="shared" si="87"/>
        <v>2.5034296093551138E-3</v>
      </c>
      <c r="D1880" s="7">
        <f t="shared" si="88"/>
        <v>0.19615074947938363</v>
      </c>
      <c r="E1880" s="8">
        <f t="shared" si="89"/>
        <v>-0.72736364684922572</v>
      </c>
    </row>
    <row r="1881" spans="1:5" x14ac:dyDescent="0.2">
      <c r="A1881" s="1">
        <v>44361</v>
      </c>
      <c r="B1881">
        <v>61653.75</v>
      </c>
      <c r="C1881" s="6">
        <f t="shared" si="87"/>
        <v>3.3971226936652375E-3</v>
      </c>
      <c r="D1881" s="7">
        <f t="shared" si="88"/>
        <v>0.27326708195004756</v>
      </c>
      <c r="E1881" s="8">
        <f t="shared" si="89"/>
        <v>-0.76568159737976371</v>
      </c>
    </row>
    <row r="1882" spans="1:5" x14ac:dyDescent="0.2">
      <c r="A1882" s="1">
        <v>44362</v>
      </c>
      <c r="B1882">
        <v>61061.79</v>
      </c>
      <c r="C1882" s="6">
        <f t="shared" si="87"/>
        <v>-9.647752706567864E-3</v>
      </c>
      <c r="D1882" s="7">
        <f t="shared" si="88"/>
        <v>-0.85236873874035246</v>
      </c>
      <c r="E1882" s="8">
        <f t="shared" si="89"/>
        <v>-1.3784444057162155</v>
      </c>
    </row>
    <row r="1883" spans="1:5" x14ac:dyDescent="0.2">
      <c r="A1883" s="1">
        <v>44364</v>
      </c>
      <c r="B1883">
        <v>60399.88</v>
      </c>
      <c r="C1883" s="6">
        <f t="shared" si="87"/>
        <v>-1.089918412066271E-2</v>
      </c>
      <c r="D1883" s="7">
        <f t="shared" si="88"/>
        <v>-0.96035413404870695</v>
      </c>
      <c r="E1883" s="8">
        <f t="shared" si="89"/>
        <v>-1.5389354651995348</v>
      </c>
    </row>
    <row r="1884" spans="1:5" x14ac:dyDescent="0.2">
      <c r="A1884" s="1">
        <v>44365</v>
      </c>
      <c r="B1884">
        <v>59503.87</v>
      </c>
      <c r="C1884" s="6">
        <f t="shared" si="87"/>
        <v>-1.494576573057816E-2</v>
      </c>
      <c r="D1884" s="7">
        <f t="shared" si="88"/>
        <v>-1.3095316517877007</v>
      </c>
      <c r="E1884" s="8">
        <f t="shared" si="89"/>
        <v>-2.1081822407452919</v>
      </c>
    </row>
    <row r="1885" spans="1:5" x14ac:dyDescent="0.2">
      <c r="A1885" s="1">
        <v>44368</v>
      </c>
      <c r="B1885">
        <v>59472.25</v>
      </c>
      <c r="C1885" s="6">
        <f t="shared" si="87"/>
        <v>-5.3153524832490727E-4</v>
      </c>
      <c r="D1885" s="7">
        <f t="shared" si="88"/>
        <v>-6.5734861040140979E-2</v>
      </c>
      <c r="E1885" s="8">
        <f t="shared" si="89"/>
        <v>-0.69072204868366327</v>
      </c>
    </row>
    <row r="1886" spans="1:5" x14ac:dyDescent="0.2">
      <c r="A1886" s="1">
        <v>44369</v>
      </c>
      <c r="B1886">
        <v>59493.46</v>
      </c>
      <c r="C1886" s="6">
        <f t="shared" si="87"/>
        <v>3.5657333906939984E-4</v>
      </c>
      <c r="D1886" s="7">
        <f t="shared" si="88"/>
        <v>1.0899587964708791E-2</v>
      </c>
      <c r="E1886" s="8">
        <f t="shared" si="89"/>
        <v>-0.68618027441894081</v>
      </c>
    </row>
    <row r="1887" spans="1:5" x14ac:dyDescent="0.2">
      <c r="A1887" s="1">
        <v>44370</v>
      </c>
      <c r="B1887">
        <v>59764.05</v>
      </c>
      <c r="C1887" s="6">
        <f t="shared" si="87"/>
        <v>4.5379190685480089E-3</v>
      </c>
      <c r="D1887" s="7">
        <f t="shared" si="88"/>
        <v>0.37170583466200185</v>
      </c>
      <c r="E1887" s="8">
        <f t="shared" si="89"/>
        <v>-0.83164136357086427</v>
      </c>
    </row>
    <row r="1888" spans="1:5" x14ac:dyDescent="0.2">
      <c r="A1888" s="1">
        <v>44371</v>
      </c>
      <c r="B1888">
        <v>60188.42</v>
      </c>
      <c r="C1888" s="6">
        <f t="shared" si="87"/>
        <v>7.0756653949178702E-3</v>
      </c>
      <c r="D1888" s="7">
        <f t="shared" si="88"/>
        <v>0.59068670501484111</v>
      </c>
      <c r="E1888" s="8">
        <f t="shared" si="89"/>
        <v>-1.0400331573877035</v>
      </c>
    </row>
    <row r="1889" spans="1:5" x14ac:dyDescent="0.2">
      <c r="A1889" s="1">
        <v>44372</v>
      </c>
      <c r="B1889">
        <v>60140.15</v>
      </c>
      <c r="C1889" s="6">
        <f t="shared" si="87"/>
        <v>-8.023032699423149E-4</v>
      </c>
      <c r="D1889" s="7">
        <f t="shared" si="88"/>
        <v>-8.9099299172266042E-2</v>
      </c>
      <c r="E1889" s="8">
        <f t="shared" si="89"/>
        <v>-0.69462601557321413</v>
      </c>
    </row>
    <row r="1890" spans="1:5" x14ac:dyDescent="0.2">
      <c r="A1890" s="1">
        <v>44375</v>
      </c>
      <c r="B1890">
        <v>59820.66</v>
      </c>
      <c r="C1890" s="6">
        <f t="shared" si="87"/>
        <v>-5.3265854972829596E-3</v>
      </c>
      <c r="D1890" s="7">
        <f t="shared" si="88"/>
        <v>-0.47949736598067538</v>
      </c>
      <c r="E1890" s="8">
        <f t="shared" si="89"/>
        <v>-0.92428848226166649</v>
      </c>
    </row>
    <row r="1891" spans="1:5" x14ac:dyDescent="0.2">
      <c r="A1891" s="1">
        <v>44376</v>
      </c>
      <c r="B1891">
        <v>60495.83</v>
      </c>
      <c r="C1891" s="6">
        <f t="shared" si="87"/>
        <v>1.1223350801245752E-2</v>
      </c>
      <c r="D1891" s="7">
        <f t="shared" si="88"/>
        <v>0.9485884191419115</v>
      </c>
      <c r="E1891" s="8">
        <f t="shared" si="89"/>
        <v>-1.5209828372673937</v>
      </c>
    </row>
    <row r="1892" spans="1:5" x14ac:dyDescent="0.2">
      <c r="A1892" s="1">
        <v>44377</v>
      </c>
      <c r="B1892">
        <v>60161.760000000002</v>
      </c>
      <c r="C1892" s="6">
        <f t="shared" si="87"/>
        <v>-5.5375025086765216E-3</v>
      </c>
      <c r="D1892" s="7">
        <f t="shared" si="88"/>
        <v>-0.49769729016035102</v>
      </c>
      <c r="E1892" s="8">
        <f t="shared" si="89"/>
        <v>-0.94189609697472199</v>
      </c>
    </row>
    <row r="1893" spans="1:5" x14ac:dyDescent="0.2">
      <c r="A1893" s="1">
        <v>44378</v>
      </c>
      <c r="B1893">
        <v>60476.77</v>
      </c>
      <c r="C1893" s="6">
        <f t="shared" si="87"/>
        <v>5.2223898276607594E-3</v>
      </c>
      <c r="D1893" s="7">
        <f t="shared" si="88"/>
        <v>0.43076847658334166</v>
      </c>
      <c r="E1893" s="8">
        <f t="shared" si="89"/>
        <v>-0.8798838317629688</v>
      </c>
    </row>
    <row r="1894" spans="1:5" x14ac:dyDescent="0.2">
      <c r="A1894" s="1">
        <v>44379</v>
      </c>
      <c r="B1894">
        <v>60292.639999999999</v>
      </c>
      <c r="C1894" s="6">
        <f t="shared" si="87"/>
        <v>-3.0492844615555657E-3</v>
      </c>
      <c r="D1894" s="7">
        <f t="shared" si="88"/>
        <v>-0.28299019043001455</v>
      </c>
      <c r="E1894" s="8">
        <f t="shared" si="89"/>
        <v>-0.77136168739307287</v>
      </c>
    </row>
    <row r="1895" spans="1:5" x14ac:dyDescent="0.2">
      <c r="A1895" s="1">
        <v>44382</v>
      </c>
      <c r="B1895">
        <v>60082.2</v>
      </c>
      <c r="C1895" s="6">
        <f t="shared" si="87"/>
        <v>-3.4964152705715401E-3</v>
      </c>
      <c r="D1895" s="7">
        <f t="shared" si="88"/>
        <v>-0.32157288591161842</v>
      </c>
      <c r="E1895" s="8">
        <f t="shared" si="89"/>
        <v>-0.79572678889856541</v>
      </c>
    </row>
    <row r="1896" spans="1:5" x14ac:dyDescent="0.2">
      <c r="A1896" s="1">
        <v>44383</v>
      </c>
      <c r="B1896">
        <v>59756.87</v>
      </c>
      <c r="C1896" s="6">
        <f t="shared" si="87"/>
        <v>-5.4294613468083277E-3</v>
      </c>
      <c r="D1896" s="7">
        <f t="shared" si="88"/>
        <v>-0.48837447195193212</v>
      </c>
      <c r="E1896" s="8">
        <f t="shared" si="89"/>
        <v>-0.93280863028390681</v>
      </c>
    </row>
    <row r="1897" spans="1:5" x14ac:dyDescent="0.2">
      <c r="A1897" s="1">
        <v>44384</v>
      </c>
      <c r="B1897">
        <v>60705.57</v>
      </c>
      <c r="C1897" s="6">
        <f t="shared" si="87"/>
        <v>1.5751293341687202E-2</v>
      </c>
      <c r="D1897" s="7">
        <f t="shared" si="88"/>
        <v>1.3393023325502151</v>
      </c>
      <c r="E1897" s="8">
        <f t="shared" si="89"/>
        <v>-2.1589482260368036</v>
      </c>
    </row>
    <row r="1898" spans="1:5" x14ac:dyDescent="0.2">
      <c r="A1898" s="1">
        <v>44385</v>
      </c>
      <c r="B1898">
        <v>59106.400000000001</v>
      </c>
      <c r="C1898" s="6">
        <f t="shared" si="87"/>
        <v>-2.6696247042066558E-2</v>
      </c>
      <c r="D1898" s="7">
        <f t="shared" si="88"/>
        <v>-2.3234748493078627</v>
      </c>
      <c r="E1898" s="8">
        <f t="shared" si="89"/>
        <v>-3.8361068000700369</v>
      </c>
    </row>
    <row r="1899" spans="1:5" x14ac:dyDescent="0.2">
      <c r="A1899" s="1">
        <v>44386</v>
      </c>
      <c r="B1899">
        <v>60221.84</v>
      </c>
      <c r="C1899" s="6">
        <f t="shared" si="87"/>
        <v>1.8695867638665851E-2</v>
      </c>
      <c r="D1899" s="7">
        <f t="shared" si="88"/>
        <v>1.5933881864713797</v>
      </c>
      <c r="E1899" s="8">
        <f t="shared" si="89"/>
        <v>-2.597892801401124</v>
      </c>
    </row>
    <row r="1900" spans="1:5" x14ac:dyDescent="0.2">
      <c r="A1900" s="1">
        <v>44389</v>
      </c>
      <c r="B1900">
        <v>61080.800000000003</v>
      </c>
      <c r="C1900" s="6">
        <f t="shared" si="87"/>
        <v>1.4162500621790846E-2</v>
      </c>
      <c r="D1900" s="7">
        <f t="shared" si="88"/>
        <v>1.2022061976852161</v>
      </c>
      <c r="E1900" s="8">
        <f t="shared" si="89"/>
        <v>-1.9273110584698578</v>
      </c>
    </row>
    <row r="1901" spans="1:5" x14ac:dyDescent="0.2">
      <c r="A1901" s="1">
        <v>44390</v>
      </c>
      <c r="B1901">
        <v>60943.22</v>
      </c>
      <c r="C1901" s="6">
        <f t="shared" si="87"/>
        <v>-2.2549668220747062E-3</v>
      </c>
      <c r="D1901" s="7">
        <f t="shared" si="88"/>
        <v>-0.21444891574755023</v>
      </c>
      <c r="E1901" s="8">
        <f t="shared" si="89"/>
        <v>-0.73535989594317064</v>
      </c>
    </row>
    <row r="1902" spans="1:5" x14ac:dyDescent="0.2">
      <c r="A1902" s="1">
        <v>44391</v>
      </c>
      <c r="B1902">
        <v>61753.54</v>
      </c>
      <c r="C1902" s="6">
        <f t="shared" si="87"/>
        <v>1.3208690780593179E-2</v>
      </c>
      <c r="D1902" s="7">
        <f t="shared" si="88"/>
        <v>1.1199024201144521</v>
      </c>
      <c r="E1902" s="8">
        <f t="shared" si="89"/>
        <v>-1.7915811737103133</v>
      </c>
    </row>
    <row r="1903" spans="1:5" x14ac:dyDescent="0.2">
      <c r="A1903" s="1">
        <v>44392</v>
      </c>
      <c r="B1903">
        <v>61439.11</v>
      </c>
      <c r="C1903" s="6">
        <f t="shared" si="87"/>
        <v>-5.1046987427110641E-3</v>
      </c>
      <c r="D1903" s="7">
        <f t="shared" si="88"/>
        <v>-0.4603508681093042</v>
      </c>
      <c r="E1903" s="8">
        <f t="shared" si="89"/>
        <v>-0.90635917586716941</v>
      </c>
    </row>
    <row r="1904" spans="1:5" x14ac:dyDescent="0.2">
      <c r="A1904" s="1">
        <v>44393</v>
      </c>
      <c r="B1904">
        <v>60437.58</v>
      </c>
      <c r="C1904" s="6">
        <f t="shared" si="87"/>
        <v>-1.6435506163288729E-2</v>
      </c>
      <c r="D1904" s="7">
        <f t="shared" si="88"/>
        <v>-1.4380806139770881</v>
      </c>
      <c r="E1904" s="8">
        <f t="shared" si="89"/>
        <v>-2.3286938338063874</v>
      </c>
    </row>
    <row r="1905" spans="1:5" x14ac:dyDescent="0.2">
      <c r="A1905" s="1">
        <v>44396</v>
      </c>
      <c r="B1905">
        <v>58795.32</v>
      </c>
      <c r="C1905" s="6">
        <f t="shared" si="87"/>
        <v>-2.7548836993877945E-2</v>
      </c>
      <c r="D1905" s="7">
        <f t="shared" si="88"/>
        <v>-2.3970444128854842</v>
      </c>
      <c r="E1905" s="8">
        <f t="shared" si="89"/>
        <v>-3.9549703630420918</v>
      </c>
    </row>
    <row r="1906" spans="1:5" x14ac:dyDescent="0.2">
      <c r="A1906" s="1">
        <v>44397</v>
      </c>
      <c r="B1906">
        <v>59668.22</v>
      </c>
      <c r="C1906" s="6">
        <f t="shared" si="87"/>
        <v>1.4737290453084086E-2</v>
      </c>
      <c r="D1906" s="7">
        <f t="shared" si="88"/>
        <v>1.2518045268084441</v>
      </c>
      <c r="E1906" s="8">
        <f t="shared" si="89"/>
        <v>-2.0104311178716125</v>
      </c>
    </row>
    <row r="1907" spans="1:5" x14ac:dyDescent="0.2">
      <c r="A1907" s="1">
        <v>44398</v>
      </c>
      <c r="B1907">
        <v>60502.39</v>
      </c>
      <c r="C1907" s="6">
        <f t="shared" si="87"/>
        <v>1.3883318035427389E-2</v>
      </c>
      <c r="D1907" s="7">
        <f t="shared" si="88"/>
        <v>1.1781156709395115</v>
      </c>
      <c r="E1907" s="8">
        <f t="shared" si="89"/>
        <v>-1.8872756370154147</v>
      </c>
    </row>
    <row r="1908" spans="1:5" x14ac:dyDescent="0.2">
      <c r="A1908" s="1">
        <v>44399</v>
      </c>
      <c r="B1908">
        <v>61309.13</v>
      </c>
      <c r="C1908" s="6">
        <f t="shared" si="87"/>
        <v>1.3245903104108409E-2</v>
      </c>
      <c r="D1908" s="7">
        <f t="shared" si="88"/>
        <v>1.1231134530323374</v>
      </c>
      <c r="E1908" s="8">
        <f t="shared" si="89"/>
        <v>-1.7968178057570323</v>
      </c>
    </row>
    <row r="1909" spans="1:5" x14ac:dyDescent="0.2">
      <c r="A1909" s="1">
        <v>44400</v>
      </c>
      <c r="B1909">
        <v>61932.98</v>
      </c>
      <c r="C1909" s="6">
        <f t="shared" si="87"/>
        <v>1.0124061143283377E-2</v>
      </c>
      <c r="D1909" s="7">
        <f t="shared" si="88"/>
        <v>0.85373126042233982</v>
      </c>
      <c r="E1909" s="8">
        <f t="shared" si="89"/>
        <v>-1.3804055243855704</v>
      </c>
    </row>
    <row r="1910" spans="1:5" x14ac:dyDescent="0.2">
      <c r="A1910" s="1">
        <v>44403</v>
      </c>
      <c r="B1910">
        <v>61946.37</v>
      </c>
      <c r="C1910" s="6">
        <f t="shared" si="87"/>
        <v>2.1617808056212655E-4</v>
      </c>
      <c r="D1910" s="7">
        <f t="shared" si="88"/>
        <v>-1.215049176865708E-3</v>
      </c>
      <c r="E1910" s="8">
        <f t="shared" si="89"/>
        <v>-0.68605336485348833</v>
      </c>
    </row>
    <row r="1911" spans="1:5" x14ac:dyDescent="0.2">
      <c r="A1911" s="1">
        <v>44404</v>
      </c>
      <c r="B1911">
        <v>61208.33</v>
      </c>
      <c r="C1911" s="6">
        <f t="shared" si="87"/>
        <v>-1.1985719349598594E-2</v>
      </c>
      <c r="D1911" s="7">
        <f t="shared" si="88"/>
        <v>-1.0541107194209536</v>
      </c>
      <c r="E1911" s="8">
        <f t="shared" si="89"/>
        <v>-1.6854975169754289</v>
      </c>
    </row>
    <row r="1912" spans="1:5" x14ac:dyDescent="0.2">
      <c r="A1912" s="1">
        <v>44405</v>
      </c>
      <c r="B1912">
        <v>62368.63</v>
      </c>
      <c r="C1912" s="6">
        <f t="shared" si="87"/>
        <v>1.8779133241034886E-2</v>
      </c>
      <c r="D1912" s="7">
        <f t="shared" si="88"/>
        <v>1.6005731339532294</v>
      </c>
      <c r="E1912" s="8">
        <f t="shared" si="89"/>
        <v>-2.6103729619115996</v>
      </c>
    </row>
    <row r="1913" spans="1:5" x14ac:dyDescent="0.2">
      <c r="A1913" s="1">
        <v>44406</v>
      </c>
      <c r="B1913">
        <v>63394.89</v>
      </c>
      <c r="C1913" s="6">
        <f t="shared" si="87"/>
        <v>1.6320834217641786E-2</v>
      </c>
      <c r="D1913" s="7">
        <f t="shared" si="88"/>
        <v>1.388447731923705</v>
      </c>
      <c r="E1913" s="8">
        <f t="shared" si="89"/>
        <v>-2.2431839423805289</v>
      </c>
    </row>
    <row r="1914" spans="1:5" x14ac:dyDescent="0.2">
      <c r="A1914" s="1">
        <v>44407</v>
      </c>
      <c r="B1914">
        <v>62852.28</v>
      </c>
      <c r="C1914" s="6">
        <f t="shared" si="87"/>
        <v>-8.5960475978819843E-3</v>
      </c>
      <c r="D1914" s="7">
        <f t="shared" si="88"/>
        <v>-0.76161762714914771</v>
      </c>
      <c r="E1914" s="8">
        <f t="shared" si="89"/>
        <v>-1.2520096959959035</v>
      </c>
    </row>
    <row r="1915" spans="1:5" x14ac:dyDescent="0.2">
      <c r="A1915" s="1">
        <v>44410</v>
      </c>
      <c r="B1915">
        <v>62704</v>
      </c>
      <c r="C1915" s="6">
        <f t="shared" si="87"/>
        <v>-2.3619697706337532E-3</v>
      </c>
      <c r="D1915" s="7">
        <f t="shared" si="88"/>
        <v>-0.22368214704506062</v>
      </c>
      <c r="E1915" s="8">
        <f t="shared" si="89"/>
        <v>-0.73965586418718055</v>
      </c>
    </row>
    <row r="1916" spans="1:5" x14ac:dyDescent="0.2">
      <c r="A1916" s="1">
        <v>44411</v>
      </c>
      <c r="B1916">
        <v>62543.44</v>
      </c>
      <c r="C1916" s="6">
        <f t="shared" si="87"/>
        <v>-2.5638861433587923E-3</v>
      </c>
      <c r="D1916" s="7">
        <f t="shared" si="88"/>
        <v>-0.24110541058340892</v>
      </c>
      <c r="E1916" s="8">
        <f t="shared" si="89"/>
        <v>-0.74823581452504562</v>
      </c>
    </row>
    <row r="1917" spans="1:5" x14ac:dyDescent="0.2">
      <c r="A1917" s="1">
        <v>44412</v>
      </c>
      <c r="B1917">
        <v>62750.03</v>
      </c>
      <c r="C1917" s="6">
        <f t="shared" si="87"/>
        <v>3.2977007855114833E-3</v>
      </c>
      <c r="D1917" s="7">
        <f t="shared" si="88"/>
        <v>0.26468801486464966</v>
      </c>
      <c r="E1917" s="8">
        <f t="shared" si="89"/>
        <v>-0.76082557433271314</v>
      </c>
    </row>
    <row r="1918" spans="1:5" x14ac:dyDescent="0.2">
      <c r="A1918" s="1">
        <v>44413</v>
      </c>
      <c r="B1918">
        <v>62199.85</v>
      </c>
      <c r="C1918" s="6">
        <f t="shared" si="87"/>
        <v>-8.8064679327651951E-3</v>
      </c>
      <c r="D1918" s="7">
        <f t="shared" si="88"/>
        <v>-0.7797746933593761</v>
      </c>
      <c r="E1918" s="8">
        <f t="shared" si="89"/>
        <v>-1.2766154453235372</v>
      </c>
    </row>
    <row r="1919" spans="1:5" x14ac:dyDescent="0.2">
      <c r="A1919" s="1">
        <v>44414</v>
      </c>
      <c r="B1919">
        <v>62509.23</v>
      </c>
      <c r="C1919" s="6">
        <f t="shared" si="87"/>
        <v>4.9616376720749309E-3</v>
      </c>
      <c r="D1919" s="7">
        <f t="shared" si="88"/>
        <v>0.40826830255757823</v>
      </c>
      <c r="E1919" s="8">
        <f t="shared" si="89"/>
        <v>-0.86076816687473567</v>
      </c>
    </row>
    <row r="1920" spans="1:5" x14ac:dyDescent="0.2">
      <c r="A1920" s="1">
        <v>44418</v>
      </c>
      <c r="B1920">
        <v>63541.21</v>
      </c>
      <c r="C1920" s="6">
        <f t="shared" si="87"/>
        <v>1.6374445943756422E-2</v>
      </c>
      <c r="D1920" s="7">
        <f t="shared" si="88"/>
        <v>1.3930738611485649</v>
      </c>
      <c r="E1920" s="8">
        <f t="shared" si="89"/>
        <v>-2.2511372613999567</v>
      </c>
    </row>
    <row r="1921" spans="1:5" x14ac:dyDescent="0.2">
      <c r="A1921" s="1">
        <v>44419</v>
      </c>
      <c r="B1921">
        <v>63488.73</v>
      </c>
      <c r="C1921" s="6">
        <f t="shared" si="87"/>
        <v>-8.2626195030413487E-4</v>
      </c>
      <c r="D1921" s="7">
        <f t="shared" si="88"/>
        <v>-9.1166681803705685E-2</v>
      </c>
      <c r="E1921" s="8">
        <f t="shared" si="89"/>
        <v>-0.69502788360849976</v>
      </c>
    </row>
    <row r="1922" spans="1:5" x14ac:dyDescent="0.2">
      <c r="A1922" s="1">
        <v>44420</v>
      </c>
      <c r="B1922">
        <v>63276.98</v>
      </c>
      <c r="C1922" s="6">
        <f t="shared" si="87"/>
        <v>-3.3408119111317789E-3</v>
      </c>
      <c r="D1922" s="7">
        <f t="shared" si="88"/>
        <v>-0.3081459492923519</v>
      </c>
      <c r="E1922" s="8">
        <f t="shared" si="89"/>
        <v>-0.78691938961433083</v>
      </c>
    </row>
    <row r="1923" spans="1:5" x14ac:dyDescent="0.2">
      <c r="A1923" s="1">
        <v>44421</v>
      </c>
      <c r="B1923">
        <v>63269.04</v>
      </c>
      <c r="C1923" s="6">
        <f t="shared" ref="C1923:C1986" si="90">LN(B1923/B1922)</f>
        <v>-1.2548794518268619E-4</v>
      </c>
      <c r="D1923" s="7">
        <f t="shared" ref="D1923:D1986" si="91">(C1923-$G$4)/$G$5</f>
        <v>-3.0697240879855626E-2</v>
      </c>
      <c r="E1923" s="8">
        <f t="shared" ref="E1923:E1986" si="92">LN((PI()*(G$3-2))^(-1/2)*EXP(GAMMALN((G$3+1)/2))*((1+D1923^2/(G$3-2))^(-(G$3+1)/2))/EXP(GAMMALN(G$3/2)))</f>
        <v>-0.68707090932982073</v>
      </c>
    </row>
    <row r="1924" spans="1:5" x14ac:dyDescent="0.2">
      <c r="A1924" s="1">
        <v>44424</v>
      </c>
      <c r="B1924">
        <v>62607.03</v>
      </c>
      <c r="C1924" s="6">
        <f t="shared" si="90"/>
        <v>-1.051853785554332E-2</v>
      </c>
      <c r="D1924" s="7">
        <f t="shared" si="91"/>
        <v>-0.92750835684620914</v>
      </c>
      <c r="E1924" s="8">
        <f t="shared" si="92"/>
        <v>-1.4890878057833701</v>
      </c>
    </row>
    <row r="1925" spans="1:5" x14ac:dyDescent="0.2">
      <c r="A1925" s="1">
        <v>44425</v>
      </c>
      <c r="B1925">
        <v>62657.34</v>
      </c>
      <c r="C1925" s="6">
        <f t="shared" si="90"/>
        <v>8.0326117802071535E-4</v>
      </c>
      <c r="D1925" s="7">
        <f t="shared" si="91"/>
        <v>4.944405977939554E-2</v>
      </c>
      <c r="E1925" s="8">
        <f t="shared" si="92"/>
        <v>-0.68869501385810072</v>
      </c>
    </row>
    <row r="1926" spans="1:5" x14ac:dyDescent="0.2">
      <c r="A1926" s="1">
        <v>44426</v>
      </c>
      <c r="B1926">
        <v>61608.959999999999</v>
      </c>
      <c r="C1926" s="6">
        <f t="shared" si="90"/>
        <v>-1.6873518790911698E-2</v>
      </c>
      <c r="D1926" s="7">
        <f t="shared" si="91"/>
        <v>-1.4758765061140362</v>
      </c>
      <c r="E1926" s="8">
        <f t="shared" si="92"/>
        <v>-2.3940346446372094</v>
      </c>
    </row>
    <row r="1927" spans="1:5" x14ac:dyDescent="0.2">
      <c r="A1927" s="1">
        <v>44427</v>
      </c>
      <c r="B1927">
        <v>59854.78</v>
      </c>
      <c r="C1927" s="6">
        <f t="shared" si="90"/>
        <v>-2.8886019360107641E-2</v>
      </c>
      <c r="D1927" s="7">
        <f t="shared" si="91"/>
        <v>-2.5124292152728489</v>
      </c>
      <c r="E1927" s="8">
        <f t="shared" si="92"/>
        <v>-4.138602737501472</v>
      </c>
    </row>
    <row r="1928" spans="1:5" x14ac:dyDescent="0.2">
      <c r="A1928" s="1">
        <v>44428</v>
      </c>
      <c r="B1928">
        <v>59800.02</v>
      </c>
      <c r="C1928" s="6">
        <f t="shared" si="90"/>
        <v>-9.1529974264372023E-4</v>
      </c>
      <c r="D1928" s="7">
        <f t="shared" si="91"/>
        <v>-9.8849708691861299E-2</v>
      </c>
      <c r="E1928" s="8">
        <f t="shared" si="92"/>
        <v>-0.69660157089945962</v>
      </c>
    </row>
    <row r="1929" spans="1:5" x14ac:dyDescent="0.2">
      <c r="A1929" s="1">
        <v>44431</v>
      </c>
      <c r="B1929">
        <v>60562.05</v>
      </c>
      <c r="C1929" s="6">
        <f t="shared" si="90"/>
        <v>1.2662463878131967E-2</v>
      </c>
      <c r="D1929" s="7">
        <f t="shared" si="91"/>
        <v>1.0727687719368608</v>
      </c>
      <c r="E1929" s="8">
        <f t="shared" si="92"/>
        <v>-1.7153365126469322</v>
      </c>
    </row>
    <row r="1930" spans="1:5" x14ac:dyDescent="0.2">
      <c r="A1930" s="1">
        <v>44432</v>
      </c>
      <c r="B1930">
        <v>61180.29</v>
      </c>
      <c r="C1930" s="6">
        <f t="shared" si="90"/>
        <v>1.0156619539847875E-2</v>
      </c>
      <c r="D1930" s="7">
        <f t="shared" si="91"/>
        <v>0.85654070829461215</v>
      </c>
      <c r="E1930" s="8">
        <f t="shared" si="92"/>
        <v>-1.3844547706038244</v>
      </c>
    </row>
    <row r="1931" spans="1:5" x14ac:dyDescent="0.2">
      <c r="A1931" s="1">
        <v>44433</v>
      </c>
      <c r="B1931">
        <v>61212.12</v>
      </c>
      <c r="C1931" s="6">
        <f t="shared" si="90"/>
        <v>5.2013030411938175E-4</v>
      </c>
      <c r="D1931" s="7">
        <f t="shared" si="91"/>
        <v>2.501283726261911E-2</v>
      </c>
      <c r="E1931" s="8">
        <f t="shared" si="92"/>
        <v>-0.68672845569103946</v>
      </c>
    </row>
    <row r="1932" spans="1:5" x14ac:dyDescent="0.2">
      <c r="A1932" s="1">
        <v>44434</v>
      </c>
      <c r="B1932">
        <v>60854.92</v>
      </c>
      <c r="C1932" s="6">
        <f t="shared" si="90"/>
        <v>-5.8525384014130244E-3</v>
      </c>
      <c r="D1932" s="7">
        <f t="shared" si="91"/>
        <v>-0.52488158090957882</v>
      </c>
      <c r="E1932" s="8">
        <f t="shared" si="92"/>
        <v>-0.9691964058673358</v>
      </c>
    </row>
    <row r="1933" spans="1:5" x14ac:dyDescent="0.2">
      <c r="A1933" s="1">
        <v>44435</v>
      </c>
      <c r="B1933">
        <v>61393.15</v>
      </c>
      <c r="C1933" s="6">
        <f t="shared" si="90"/>
        <v>8.8055946861324876E-3</v>
      </c>
      <c r="D1933" s="7">
        <f t="shared" si="91"/>
        <v>0.73996144453576684</v>
      </c>
      <c r="E1933" s="8">
        <f t="shared" si="92"/>
        <v>-1.2231447974444198</v>
      </c>
    </row>
    <row r="1934" spans="1:5" x14ac:dyDescent="0.2">
      <c r="A1934" s="1">
        <v>44438</v>
      </c>
      <c r="B1934">
        <v>60750.09</v>
      </c>
      <c r="C1934" s="6">
        <f t="shared" si="90"/>
        <v>-1.0529701710467514E-2</v>
      </c>
      <c r="D1934" s="7">
        <f t="shared" si="91"/>
        <v>-0.92847168034406635</v>
      </c>
      <c r="E1934" s="8">
        <f t="shared" si="92"/>
        <v>-1.4905376251757687</v>
      </c>
    </row>
    <row r="1935" spans="1:5" x14ac:dyDescent="0.2">
      <c r="A1935" s="1">
        <v>44439</v>
      </c>
      <c r="B1935">
        <v>61039.26</v>
      </c>
      <c r="C1935" s="6">
        <f t="shared" si="90"/>
        <v>4.7487000037702348E-3</v>
      </c>
      <c r="D1935" s="7">
        <f t="shared" si="91"/>
        <v>0.38989401689642322</v>
      </c>
      <c r="E1935" s="8">
        <f t="shared" si="92"/>
        <v>-0.84582729735072726</v>
      </c>
    </row>
    <row r="1936" spans="1:5" x14ac:dyDescent="0.2">
      <c r="A1936" s="1">
        <v>44440</v>
      </c>
      <c r="B1936">
        <v>60612.639999999999</v>
      </c>
      <c r="C1936" s="6">
        <f t="shared" si="90"/>
        <v>-7.0138115214202585E-3</v>
      </c>
      <c r="D1936" s="7">
        <f t="shared" si="91"/>
        <v>-0.62508726179033958</v>
      </c>
      <c r="E1936" s="8">
        <f t="shared" si="92"/>
        <v>-1.0796002456315121</v>
      </c>
    </row>
    <row r="1937" spans="1:5" x14ac:dyDescent="0.2">
      <c r="A1937" s="1">
        <v>44441</v>
      </c>
      <c r="B1937">
        <v>60357.49</v>
      </c>
      <c r="C1937" s="6">
        <f t="shared" si="90"/>
        <v>-4.2184029787263166E-3</v>
      </c>
      <c r="D1937" s="7">
        <f t="shared" si="91"/>
        <v>-0.38387284673628524</v>
      </c>
      <c r="E1937" s="8">
        <f t="shared" si="92"/>
        <v>-0.84106408812760347</v>
      </c>
    </row>
    <row r="1938" spans="1:5" x14ac:dyDescent="0.2">
      <c r="A1938" s="1">
        <v>44442</v>
      </c>
      <c r="B1938">
        <v>60106.720000000001</v>
      </c>
      <c r="C1938" s="6">
        <f t="shared" si="90"/>
        <v>-4.1634002702562551E-3</v>
      </c>
      <c r="D1938" s="7">
        <f t="shared" si="91"/>
        <v>-0.3791266903346851</v>
      </c>
      <c r="E1938" s="8">
        <f t="shared" si="92"/>
        <v>-0.83735613310894941</v>
      </c>
    </row>
    <row r="1939" spans="1:5" x14ac:dyDescent="0.2">
      <c r="A1939" s="1">
        <v>44445</v>
      </c>
      <c r="B1939">
        <v>60035.8</v>
      </c>
      <c r="C1939" s="6">
        <f t="shared" si="90"/>
        <v>-1.1805979804222844E-3</v>
      </c>
      <c r="D1939" s="7">
        <f t="shared" si="91"/>
        <v>-0.12174216189262201</v>
      </c>
      <c r="E1939" s="8">
        <f t="shared" si="92"/>
        <v>-0.70203821666398158</v>
      </c>
    </row>
    <row r="1940" spans="1:5" x14ac:dyDescent="0.2">
      <c r="A1940" s="1">
        <v>44446</v>
      </c>
      <c r="B1940">
        <v>60340.77</v>
      </c>
      <c r="C1940" s="6">
        <f t="shared" si="90"/>
        <v>5.0669437163886489E-3</v>
      </c>
      <c r="D1940" s="7">
        <f t="shared" si="91"/>
        <v>0.41735510883037819</v>
      </c>
      <c r="E1940" s="8">
        <f t="shared" si="92"/>
        <v>-0.86838039975922843</v>
      </c>
    </row>
    <row r="1941" spans="1:5" x14ac:dyDescent="0.2">
      <c r="A1941" s="1">
        <v>44447</v>
      </c>
      <c r="B1941">
        <v>59378.55</v>
      </c>
      <c r="C1941" s="6">
        <f t="shared" si="90"/>
        <v>-1.6074944629205275E-2</v>
      </c>
      <c r="D1941" s="7">
        <f t="shared" si="91"/>
        <v>-1.4069679382423572</v>
      </c>
      <c r="E1941" s="8">
        <f t="shared" si="92"/>
        <v>-2.2750462245819518</v>
      </c>
    </row>
    <row r="1942" spans="1:5" x14ac:dyDescent="0.2">
      <c r="A1942" s="1">
        <v>44448</v>
      </c>
      <c r="B1942">
        <v>58020.55</v>
      </c>
      <c r="C1942" s="6">
        <f t="shared" si="90"/>
        <v>-2.3135791903011134E-2</v>
      </c>
      <c r="D1942" s="7">
        <f t="shared" si="91"/>
        <v>-2.0162449433472132</v>
      </c>
      <c r="E1942" s="8">
        <f t="shared" si="92"/>
        <v>-3.3259762354667641</v>
      </c>
    </row>
    <row r="1943" spans="1:5" x14ac:dyDescent="0.2">
      <c r="A1943" s="1">
        <v>44449</v>
      </c>
      <c r="B1943">
        <v>58175.75</v>
      </c>
      <c r="C1943" s="6">
        <f t="shared" si="90"/>
        <v>2.6713431028907173E-3</v>
      </c>
      <c r="D1943" s="7">
        <f t="shared" si="91"/>
        <v>0.21063992145702964</v>
      </c>
      <c r="E1943" s="8">
        <f t="shared" si="92"/>
        <v>-0.73363857516704345</v>
      </c>
    </row>
    <row r="1944" spans="1:5" x14ac:dyDescent="0.2">
      <c r="A1944" s="1">
        <v>44452</v>
      </c>
      <c r="B1944">
        <v>58494.78</v>
      </c>
      <c r="C1944" s="6">
        <f t="shared" si="90"/>
        <v>5.4689182462284531E-3</v>
      </c>
      <c r="D1944" s="7">
        <f t="shared" si="91"/>
        <v>0.45204129140478438</v>
      </c>
      <c r="E1944" s="8">
        <f t="shared" si="92"/>
        <v>-0.89877053394764461</v>
      </c>
    </row>
    <row r="1945" spans="1:5" x14ac:dyDescent="0.2">
      <c r="A1945" s="1">
        <v>44453</v>
      </c>
      <c r="B1945">
        <v>58115.08</v>
      </c>
      <c r="C1945" s="6">
        <f t="shared" si="90"/>
        <v>-6.5123368116370784E-3</v>
      </c>
      <c r="D1945" s="7">
        <f t="shared" si="91"/>
        <v>-0.58181525809667578</v>
      </c>
      <c r="E1945" s="8">
        <f t="shared" si="92"/>
        <v>-1.0301047294313301</v>
      </c>
    </row>
    <row r="1946" spans="1:5" x14ac:dyDescent="0.2">
      <c r="A1946" s="1">
        <v>44454</v>
      </c>
      <c r="B1946">
        <v>58229.94</v>
      </c>
      <c r="C1946" s="6">
        <f t="shared" si="90"/>
        <v>1.9744727761541077E-3</v>
      </c>
      <c r="D1946" s="7">
        <f t="shared" si="91"/>
        <v>0.15050732700258712</v>
      </c>
      <c r="E1946" s="8">
        <f t="shared" si="92"/>
        <v>-0.71044839223340739</v>
      </c>
    </row>
    <row r="1947" spans="1:5" x14ac:dyDescent="0.2">
      <c r="A1947" s="1">
        <v>44455</v>
      </c>
      <c r="B1947">
        <v>57098.19</v>
      </c>
      <c r="C1947" s="6">
        <f t="shared" si="90"/>
        <v>-1.9627238066327785E-2</v>
      </c>
      <c r="D1947" s="7">
        <f t="shared" si="91"/>
        <v>-1.7134935749960105</v>
      </c>
      <c r="E1947" s="8">
        <f t="shared" si="92"/>
        <v>-2.8063840112722249</v>
      </c>
    </row>
    <row r="1948" spans="1:5" x14ac:dyDescent="0.2">
      <c r="A1948" s="1">
        <v>44456</v>
      </c>
      <c r="B1948">
        <v>56605.25</v>
      </c>
      <c r="C1948" s="6">
        <f t="shared" si="90"/>
        <v>-8.6706802941731876E-3</v>
      </c>
      <c r="D1948" s="7">
        <f t="shared" si="91"/>
        <v>-0.76805764545231869</v>
      </c>
      <c r="E1948" s="8">
        <f t="shared" si="92"/>
        <v>-1.2606953933919267</v>
      </c>
    </row>
    <row r="1949" spans="1:5" x14ac:dyDescent="0.2">
      <c r="A1949" s="1">
        <v>44459</v>
      </c>
      <c r="B1949">
        <v>55246.07</v>
      </c>
      <c r="C1949" s="6">
        <f t="shared" si="90"/>
        <v>-2.4304530445096627E-2</v>
      </c>
      <c r="D1949" s="7">
        <f t="shared" si="91"/>
        <v>-2.1170948117920583</v>
      </c>
      <c r="E1949" s="8">
        <f t="shared" si="92"/>
        <v>-3.4957109816564627</v>
      </c>
    </row>
    <row r="1950" spans="1:5" x14ac:dyDescent="0.2">
      <c r="A1950" s="1">
        <v>44460</v>
      </c>
      <c r="B1950">
        <v>56085.63</v>
      </c>
      <c r="C1950" s="6">
        <f t="shared" si="90"/>
        <v>1.508242333788681E-2</v>
      </c>
      <c r="D1950" s="7">
        <f t="shared" si="91"/>
        <v>1.2815858720580289</v>
      </c>
      <c r="E1950" s="8">
        <f t="shared" si="92"/>
        <v>-2.060738479474777</v>
      </c>
    </row>
    <row r="1951" spans="1:5" x14ac:dyDescent="0.2">
      <c r="A1951" s="1">
        <v>44461</v>
      </c>
      <c r="B1951">
        <v>56938.31</v>
      </c>
      <c r="C1951" s="6">
        <f t="shared" si="90"/>
        <v>1.5088771060039727E-2</v>
      </c>
      <c r="D1951" s="7">
        <f t="shared" si="91"/>
        <v>1.2821336138505635</v>
      </c>
      <c r="E1951" s="8">
        <f t="shared" si="92"/>
        <v>-2.061666267334862</v>
      </c>
    </row>
    <row r="1952" spans="1:5" x14ac:dyDescent="0.2">
      <c r="A1952" s="1">
        <v>44462</v>
      </c>
      <c r="B1952">
        <v>57642.54</v>
      </c>
      <c r="C1952" s="6">
        <f t="shared" si="90"/>
        <v>1.2292435736694873E-2</v>
      </c>
      <c r="D1952" s="7">
        <f t="shared" si="91"/>
        <v>1.0408392273543465</v>
      </c>
      <c r="E1952" s="8">
        <f t="shared" si="92"/>
        <v>-1.664399827250626</v>
      </c>
    </row>
    <row r="1953" spans="1:5" x14ac:dyDescent="0.2">
      <c r="A1953" s="1">
        <v>44466</v>
      </c>
      <c r="B1953">
        <v>57784.27</v>
      </c>
      <c r="C1953" s="6">
        <f t="shared" si="90"/>
        <v>2.4557565305332453E-3</v>
      </c>
      <c r="D1953" s="7">
        <f t="shared" si="91"/>
        <v>0.19203706318050698</v>
      </c>
      <c r="E1953" s="8">
        <f t="shared" si="92"/>
        <v>-0.72566114176603824</v>
      </c>
    </row>
    <row r="1954" spans="1:5" x14ac:dyDescent="0.2">
      <c r="A1954" s="1">
        <v>44467</v>
      </c>
      <c r="B1954">
        <v>57462.19</v>
      </c>
      <c r="C1954" s="6">
        <f t="shared" si="90"/>
        <v>-5.5894270162681935E-3</v>
      </c>
      <c r="D1954" s="7">
        <f t="shared" si="91"/>
        <v>-0.50217783013667394</v>
      </c>
      <c r="E1954" s="8">
        <f t="shared" si="92"/>
        <v>-0.94631395708959265</v>
      </c>
    </row>
    <row r="1955" spans="1:5" x14ac:dyDescent="0.2">
      <c r="A1955" s="1">
        <v>44468</v>
      </c>
      <c r="B1955">
        <v>58022.33</v>
      </c>
      <c r="C1955" s="6">
        <f t="shared" si="90"/>
        <v>9.7007701578521333E-3</v>
      </c>
      <c r="D1955" s="7">
        <f t="shared" si="91"/>
        <v>0.81720569147990041</v>
      </c>
      <c r="E1955" s="8">
        <f t="shared" si="92"/>
        <v>-1.328453970359939</v>
      </c>
    </row>
    <row r="1956" spans="1:5" x14ac:dyDescent="0.2">
      <c r="A1956" s="1">
        <v>44469</v>
      </c>
      <c r="B1956">
        <v>57863.4</v>
      </c>
      <c r="C1956" s="6">
        <f t="shared" si="90"/>
        <v>-2.7428761011514223E-3</v>
      </c>
      <c r="D1956" s="7">
        <f t="shared" si="91"/>
        <v>-0.25655036516163715</v>
      </c>
      <c r="E1956" s="8">
        <f t="shared" si="92"/>
        <v>-0.75635507421315362</v>
      </c>
    </row>
    <row r="1957" spans="1:5" x14ac:dyDescent="0.2">
      <c r="A1957" s="1">
        <v>44470</v>
      </c>
      <c r="B1957">
        <v>57265.62</v>
      </c>
      <c r="C1957" s="6">
        <f t="shared" si="90"/>
        <v>-1.0384616703123073E-2</v>
      </c>
      <c r="D1957" s="7">
        <f t="shared" si="91"/>
        <v>-0.91595236710408601</v>
      </c>
      <c r="E1957" s="8">
        <f t="shared" si="92"/>
        <v>-1.471754913434145</v>
      </c>
    </row>
    <row r="1958" spans="1:5" x14ac:dyDescent="0.2">
      <c r="A1958" s="1">
        <v>44473</v>
      </c>
      <c r="B1958">
        <v>57754.97</v>
      </c>
      <c r="C1958" s="6">
        <f t="shared" si="90"/>
        <v>8.5089626563004811E-3</v>
      </c>
      <c r="D1958" s="7">
        <f t="shared" si="91"/>
        <v>0.71436521397790009</v>
      </c>
      <c r="E1958" s="8">
        <f t="shared" si="92"/>
        <v>-1.1897310118538094</v>
      </c>
    </row>
    <row r="1959" spans="1:5" x14ac:dyDescent="0.2">
      <c r="A1959" s="1">
        <v>44474</v>
      </c>
      <c r="B1959">
        <v>58097.72</v>
      </c>
      <c r="C1959" s="6">
        <f t="shared" si="90"/>
        <v>5.9170140978633875E-3</v>
      </c>
      <c r="D1959" s="7">
        <f t="shared" si="91"/>
        <v>0.49070725993477432</v>
      </c>
      <c r="E1959" s="8">
        <f t="shared" si="92"/>
        <v>-0.93506917432021108</v>
      </c>
    </row>
    <row r="1960" spans="1:5" x14ac:dyDescent="0.2">
      <c r="A1960" s="1">
        <v>44475</v>
      </c>
      <c r="B1960">
        <v>57523.81</v>
      </c>
      <c r="C1960" s="6">
        <f t="shared" si="90"/>
        <v>-9.927471353342569E-3</v>
      </c>
      <c r="D1960" s="7">
        <f t="shared" si="91"/>
        <v>-0.8765055218727561</v>
      </c>
      <c r="E1960" s="8">
        <f t="shared" si="92"/>
        <v>-1.413440864623015</v>
      </c>
    </row>
    <row r="1961" spans="1:5" x14ac:dyDescent="0.2">
      <c r="A1961" s="1">
        <v>44476</v>
      </c>
      <c r="B1961">
        <v>58721.8</v>
      </c>
      <c r="C1961" s="6">
        <f t="shared" si="90"/>
        <v>2.0612088737908148E-2</v>
      </c>
      <c r="D1961" s="7">
        <f t="shared" si="91"/>
        <v>1.7587379536014911</v>
      </c>
      <c r="E1961" s="8">
        <f t="shared" si="92"/>
        <v>-2.884733465140751</v>
      </c>
    </row>
    <row r="1962" spans="1:5" x14ac:dyDescent="0.2">
      <c r="A1962" s="1">
        <v>44477</v>
      </c>
      <c r="B1962">
        <v>58839.09</v>
      </c>
      <c r="C1962" s="6">
        <f t="shared" si="90"/>
        <v>1.9953921566383628E-3</v>
      </c>
      <c r="D1962" s="7">
        <f t="shared" si="91"/>
        <v>0.15231244995679399</v>
      </c>
      <c r="E1962" s="8">
        <f t="shared" si="92"/>
        <v>-0.71103447903372929</v>
      </c>
    </row>
    <row r="1963" spans="1:5" x14ac:dyDescent="0.2">
      <c r="A1963" s="1">
        <v>44480</v>
      </c>
      <c r="B1963">
        <v>59662.98</v>
      </c>
      <c r="C1963" s="6">
        <f t="shared" si="90"/>
        <v>1.3905297610179558E-2</v>
      </c>
      <c r="D1963" s="7">
        <f t="shared" si="91"/>
        <v>1.1800122775306439</v>
      </c>
      <c r="E1963" s="8">
        <f t="shared" si="92"/>
        <v>-1.8904189152598934</v>
      </c>
    </row>
    <row r="1964" spans="1:5" x14ac:dyDescent="0.2">
      <c r="A1964" s="1">
        <v>44481</v>
      </c>
      <c r="B1964">
        <v>59501.73</v>
      </c>
      <c r="C1964" s="6">
        <f t="shared" si="90"/>
        <v>-2.7063397950607433E-3</v>
      </c>
      <c r="D1964" s="7">
        <f t="shared" si="91"/>
        <v>-0.25339766545163134</v>
      </c>
      <c r="E1964" s="8">
        <f t="shared" si="92"/>
        <v>-0.75465874793242116</v>
      </c>
    </row>
    <row r="1965" spans="1:5" x14ac:dyDescent="0.2">
      <c r="A1965" s="1">
        <v>44482</v>
      </c>
      <c r="B1965">
        <v>59516.75</v>
      </c>
      <c r="C1965" s="6">
        <f t="shared" si="90"/>
        <v>2.5239778023935979E-4</v>
      </c>
      <c r="D1965" s="7">
        <f t="shared" si="91"/>
        <v>1.9103307229387566E-3</v>
      </c>
      <c r="E1965" s="8">
        <f t="shared" si="92"/>
        <v>-0.6860557154507072</v>
      </c>
    </row>
    <row r="1966" spans="1:5" x14ac:dyDescent="0.2">
      <c r="A1966" s="1">
        <v>44483</v>
      </c>
      <c r="B1966">
        <v>60391.05</v>
      </c>
      <c r="C1966" s="6">
        <f t="shared" si="90"/>
        <v>1.4583129613870314E-2</v>
      </c>
      <c r="D1966" s="7">
        <f t="shared" si="91"/>
        <v>1.2385020645431768</v>
      </c>
      <c r="E1966" s="8">
        <f t="shared" si="92"/>
        <v>-1.9880524959933765</v>
      </c>
    </row>
    <row r="1967" spans="1:5" x14ac:dyDescent="0.2">
      <c r="A1967" s="1">
        <v>44484</v>
      </c>
      <c r="B1967">
        <v>60494.02</v>
      </c>
      <c r="C1967" s="6">
        <f t="shared" si="90"/>
        <v>1.7036020230422543E-3</v>
      </c>
      <c r="D1967" s="7">
        <f t="shared" si="91"/>
        <v>0.12713402422081893</v>
      </c>
      <c r="E1967" s="8">
        <f t="shared" si="92"/>
        <v>-0.70348111529824509</v>
      </c>
    </row>
    <row r="1968" spans="1:5" x14ac:dyDescent="0.2">
      <c r="A1968" s="1">
        <v>44487</v>
      </c>
      <c r="B1968">
        <v>60220.45</v>
      </c>
      <c r="C1968" s="6">
        <f t="shared" si="90"/>
        <v>-4.5325215501674128E-3</v>
      </c>
      <c r="D1968" s="7">
        <f t="shared" si="91"/>
        <v>-0.41097798228643978</v>
      </c>
      <c r="E1968" s="8">
        <f t="shared" si="92"/>
        <v>-0.863022761460006</v>
      </c>
    </row>
    <row r="1969" spans="1:5" x14ac:dyDescent="0.2">
      <c r="A1969" s="1">
        <v>44488</v>
      </c>
      <c r="B1969">
        <v>60190.06</v>
      </c>
      <c r="C1969" s="6">
        <f t="shared" si="90"/>
        <v>-5.047732236208803E-4</v>
      </c>
      <c r="D1969" s="7">
        <f t="shared" si="91"/>
        <v>-6.3425579217447917E-2</v>
      </c>
      <c r="E1969" s="8">
        <f t="shared" si="92"/>
        <v>-0.69039992734595557</v>
      </c>
    </row>
    <row r="1970" spans="1:5" x14ac:dyDescent="0.2">
      <c r="A1970" s="1">
        <v>44489</v>
      </c>
      <c r="B1970">
        <v>60347.45</v>
      </c>
      <c r="C1970" s="6">
        <f t="shared" si="90"/>
        <v>2.6114707271966218E-3</v>
      </c>
      <c r="D1970" s="7">
        <f t="shared" si="91"/>
        <v>0.20547356388876165</v>
      </c>
      <c r="E1970" s="8">
        <f t="shared" si="92"/>
        <v>-0.73135150183081377</v>
      </c>
    </row>
    <row r="1971" spans="1:5" x14ac:dyDescent="0.2">
      <c r="A1971" s="1">
        <v>44490</v>
      </c>
      <c r="B1971">
        <v>59535.08</v>
      </c>
      <c r="C1971" s="6">
        <f t="shared" si="90"/>
        <v>-1.3552974480097471E-2</v>
      </c>
      <c r="D1971" s="7">
        <f t="shared" si="91"/>
        <v>-1.1893483863916032</v>
      </c>
      <c r="E1971" s="8">
        <f t="shared" si="92"/>
        <v>-1.9059136366010618</v>
      </c>
    </row>
    <row r="1972" spans="1:5" x14ac:dyDescent="0.2">
      <c r="A1972" s="1">
        <v>44491</v>
      </c>
      <c r="B1972">
        <v>60524.55</v>
      </c>
      <c r="C1972" s="6">
        <f t="shared" si="90"/>
        <v>1.6483349202633921E-2</v>
      </c>
      <c r="D1972" s="7">
        <f t="shared" si="91"/>
        <v>1.4024710692798319</v>
      </c>
      <c r="E1972" s="8">
        <f t="shared" si="92"/>
        <v>-2.2673044784424015</v>
      </c>
    </row>
    <row r="1973" spans="1:5" x14ac:dyDescent="0.2">
      <c r="A1973" s="1">
        <v>44494</v>
      </c>
      <c r="B1973">
        <v>60445.78</v>
      </c>
      <c r="C1973" s="6">
        <f t="shared" si="90"/>
        <v>-1.3023029883903971E-3</v>
      </c>
      <c r="D1973" s="7">
        <f t="shared" si="91"/>
        <v>-0.13224402659604956</v>
      </c>
      <c r="E1973" s="8">
        <f t="shared" si="92"/>
        <v>-0.70490555734515759</v>
      </c>
    </row>
    <row r="1974" spans="1:5" x14ac:dyDescent="0.2">
      <c r="A1974" s="1">
        <v>44495</v>
      </c>
      <c r="B1974">
        <v>61024.55</v>
      </c>
      <c r="C1974" s="6">
        <f t="shared" si="90"/>
        <v>9.5294773609429003E-3</v>
      </c>
      <c r="D1974" s="7">
        <f t="shared" si="91"/>
        <v>0.80242492109217922</v>
      </c>
      <c r="E1974" s="8">
        <f t="shared" si="92"/>
        <v>-1.30780913125663</v>
      </c>
    </row>
    <row r="1975" spans="1:5" x14ac:dyDescent="0.2">
      <c r="A1975" s="1">
        <v>44496</v>
      </c>
      <c r="B1975">
        <v>60874.44</v>
      </c>
      <c r="C1975" s="6">
        <f t="shared" si="90"/>
        <v>-2.462860043001041E-3</v>
      </c>
      <c r="D1975" s="7">
        <f t="shared" si="91"/>
        <v>-0.23238791854930976</v>
      </c>
      <c r="E1975" s="8">
        <f t="shared" si="92"/>
        <v>-0.74386584331303929</v>
      </c>
    </row>
    <row r="1976" spans="1:5" x14ac:dyDescent="0.2">
      <c r="A1976" s="1">
        <v>44497</v>
      </c>
      <c r="B1976">
        <v>61093.41</v>
      </c>
      <c r="C1976" s="6">
        <f t="shared" si="90"/>
        <v>3.5906222050661341E-3</v>
      </c>
      <c r="D1976" s="7">
        <f t="shared" si="91"/>
        <v>0.28996405870423314</v>
      </c>
      <c r="E1976" s="8">
        <f t="shared" si="92"/>
        <v>-0.77555058549873335</v>
      </c>
    </row>
    <row r="1977" spans="1:5" x14ac:dyDescent="0.2">
      <c r="A1977" s="1">
        <v>44498</v>
      </c>
      <c r="B1977">
        <v>60807.87</v>
      </c>
      <c r="C1977" s="6">
        <f t="shared" si="90"/>
        <v>-4.6847830020035298E-3</v>
      </c>
      <c r="D1977" s="7">
        <f t="shared" si="91"/>
        <v>-0.42411654735805376</v>
      </c>
      <c r="E1977" s="8">
        <f t="shared" si="92"/>
        <v>-0.87413952445774401</v>
      </c>
    </row>
    <row r="1978" spans="1:5" x14ac:dyDescent="0.2">
      <c r="A1978" s="1">
        <v>44502</v>
      </c>
      <c r="B1978">
        <v>61158.14</v>
      </c>
      <c r="C1978" s="6">
        <f t="shared" si="90"/>
        <v>5.7437471795382172E-3</v>
      </c>
      <c r="D1978" s="7">
        <f t="shared" si="91"/>
        <v>0.47575614359034651</v>
      </c>
      <c r="E1978" s="8">
        <f t="shared" si="92"/>
        <v>-0.92073683369521653</v>
      </c>
    </row>
    <row r="1979" spans="1:5" x14ac:dyDescent="0.2">
      <c r="A1979" s="1">
        <v>44503</v>
      </c>
      <c r="B1979">
        <v>61876.97</v>
      </c>
      <c r="C1979" s="6">
        <f t="shared" si="90"/>
        <v>1.1685090201464984E-2</v>
      </c>
      <c r="D1979" s="7">
        <f t="shared" si="91"/>
        <v>0.9884316827043661</v>
      </c>
      <c r="E1979" s="8">
        <f t="shared" si="92"/>
        <v>-1.5821939416679933</v>
      </c>
    </row>
    <row r="1980" spans="1:5" x14ac:dyDescent="0.2">
      <c r="A1980" s="1">
        <v>44504</v>
      </c>
      <c r="B1980">
        <v>61409.93</v>
      </c>
      <c r="C1980" s="6">
        <f t="shared" si="90"/>
        <v>-7.576510304702448E-3</v>
      </c>
      <c r="D1980" s="7">
        <f t="shared" si="91"/>
        <v>-0.67364226038465491</v>
      </c>
      <c r="E1980" s="8">
        <f t="shared" si="92"/>
        <v>-1.1382168185874644</v>
      </c>
    </row>
    <row r="1981" spans="1:5" x14ac:dyDescent="0.2">
      <c r="A1981" s="1">
        <v>44505</v>
      </c>
      <c r="B1981">
        <v>61115.79</v>
      </c>
      <c r="C1981" s="6">
        <f t="shared" si="90"/>
        <v>-4.8012868653445166E-3</v>
      </c>
      <c r="D1981" s="7">
        <f t="shared" si="91"/>
        <v>-0.43416960787429992</v>
      </c>
      <c r="E1981" s="8">
        <f t="shared" si="92"/>
        <v>-0.88285079818510581</v>
      </c>
    </row>
    <row r="1982" spans="1:5" x14ac:dyDescent="0.2">
      <c r="A1982" s="1">
        <v>44508</v>
      </c>
      <c r="B1982">
        <v>61317.75</v>
      </c>
      <c r="C1982" s="6">
        <f t="shared" si="90"/>
        <v>3.2990989753068785E-3</v>
      </c>
      <c r="D1982" s="7">
        <f t="shared" si="91"/>
        <v>0.26480866396780572</v>
      </c>
      <c r="E1982" s="8">
        <f t="shared" si="92"/>
        <v>-0.76089284950975244</v>
      </c>
    </row>
    <row r="1983" spans="1:5" x14ac:dyDescent="0.2">
      <c r="A1983" s="1">
        <v>44509</v>
      </c>
      <c r="B1983">
        <v>61246.7</v>
      </c>
      <c r="C1983" s="6">
        <f t="shared" si="90"/>
        <v>-1.1593901487535971E-3</v>
      </c>
      <c r="D1983" s="7">
        <f t="shared" si="91"/>
        <v>-0.11991214862894452</v>
      </c>
      <c r="E1983" s="8">
        <f t="shared" si="92"/>
        <v>-0.70156254001186025</v>
      </c>
    </row>
    <row r="1984" spans="1:5" x14ac:dyDescent="0.2">
      <c r="A1984" s="1">
        <v>44510</v>
      </c>
      <c r="B1984">
        <v>61537.83</v>
      </c>
      <c r="C1984" s="6">
        <f t="shared" si="90"/>
        <v>4.7421372313623134E-3</v>
      </c>
      <c r="D1984" s="7">
        <f t="shared" si="91"/>
        <v>0.38932771852417025</v>
      </c>
      <c r="E1984" s="8">
        <f t="shared" si="92"/>
        <v>-0.84537650210234838</v>
      </c>
    </row>
    <row r="1985" spans="1:5" x14ac:dyDescent="0.2">
      <c r="A1985" s="1">
        <v>44511</v>
      </c>
      <c r="B1985">
        <v>62381.97</v>
      </c>
      <c r="C1985" s="6">
        <f t="shared" si="90"/>
        <v>1.3624183662087482E-2</v>
      </c>
      <c r="D1985" s="7">
        <f t="shared" si="91"/>
        <v>1.1557550945404187</v>
      </c>
      <c r="E1985" s="8">
        <f t="shared" si="92"/>
        <v>-1.8503340552969236</v>
      </c>
    </row>
    <row r="1986" spans="1:5" x14ac:dyDescent="0.2">
      <c r="A1986" s="1">
        <v>44512</v>
      </c>
      <c r="B1986">
        <v>63263.4</v>
      </c>
      <c r="C1986" s="6">
        <f t="shared" si="90"/>
        <v>1.4030671560646321E-2</v>
      </c>
      <c r="D1986" s="7">
        <f t="shared" si="91"/>
        <v>1.1908307334604207</v>
      </c>
      <c r="E1986" s="8">
        <f t="shared" si="92"/>
        <v>-1.9083771147551614</v>
      </c>
    </row>
    <row r="1987" spans="1:5" x14ac:dyDescent="0.2">
      <c r="A1987" s="1">
        <v>44515</v>
      </c>
      <c r="B1987">
        <v>63480.76</v>
      </c>
      <c r="C1987" s="6">
        <f t="shared" ref="C1987:C2050" si="93">LN(B1987/B1986)</f>
        <v>3.4299049848088427E-3</v>
      </c>
      <c r="D1987" s="7">
        <f t="shared" ref="D1987:D2050" si="94">(C1987-$G$4)/$G$5</f>
        <v>0.27609584957437339</v>
      </c>
      <c r="E1987" s="8">
        <f t="shared" ref="E1987:E2050" si="95">LN((PI()*(G$3-2))^(-1/2)*EXP(GAMMALN((G$3+1)/2))*((1+D1987^2/(G$3-2))^(-(G$3+1)/2))/EXP(GAMMALN(G$3/2)))</f>
        <v>-0.7673148227957759</v>
      </c>
    </row>
    <row r="1988" spans="1:5" x14ac:dyDescent="0.2">
      <c r="A1988" s="1">
        <v>44516</v>
      </c>
      <c r="B1988">
        <v>64281.45</v>
      </c>
      <c r="C1988" s="6">
        <f t="shared" si="93"/>
        <v>1.253423031429248E-2</v>
      </c>
      <c r="D1988" s="7">
        <f t="shared" si="94"/>
        <v>1.0617035613891281</v>
      </c>
      <c r="E1988" s="8">
        <f t="shared" si="95"/>
        <v>-1.6976157197954271</v>
      </c>
    </row>
    <row r="1989" spans="1:5" x14ac:dyDescent="0.2">
      <c r="A1989" s="1">
        <v>44517</v>
      </c>
      <c r="B1989">
        <v>64337.17</v>
      </c>
      <c r="C1989" s="6">
        <f t="shared" si="93"/>
        <v>8.6643758867608462E-4</v>
      </c>
      <c r="D1989" s="7">
        <f t="shared" si="94"/>
        <v>5.4895520883812034E-2</v>
      </c>
      <c r="E1989" s="8">
        <f t="shared" si="95"/>
        <v>-0.68930964948366635</v>
      </c>
    </row>
    <row r="1990" spans="1:5" x14ac:dyDescent="0.2">
      <c r="A1990" s="1">
        <v>44518</v>
      </c>
      <c r="B1990">
        <v>64288.72</v>
      </c>
      <c r="C1990" s="6">
        <f t="shared" si="93"/>
        <v>-7.533475926410928E-4</v>
      </c>
      <c r="D1990" s="7">
        <f t="shared" si="94"/>
        <v>-8.4874938087496243E-2</v>
      </c>
      <c r="E1990" s="8">
        <f t="shared" si="95"/>
        <v>-0.69383335402312296</v>
      </c>
    </row>
    <row r="1991" spans="1:5" x14ac:dyDescent="0.2">
      <c r="A1991" s="1">
        <v>44519</v>
      </c>
      <c r="B1991">
        <v>63870.65</v>
      </c>
      <c r="C1991" s="6">
        <f t="shared" si="93"/>
        <v>-6.5242437280148861E-3</v>
      </c>
      <c r="D1991" s="7">
        <f t="shared" si="94"/>
        <v>-0.58284269999838889</v>
      </c>
      <c r="E1991" s="8">
        <f t="shared" si="95"/>
        <v>-1.0312486930863776</v>
      </c>
    </row>
    <row r="1992" spans="1:5" x14ac:dyDescent="0.2">
      <c r="A1992" s="1">
        <v>44522</v>
      </c>
      <c r="B1992">
        <v>64384.46</v>
      </c>
      <c r="C1992" s="6">
        <f t="shared" si="93"/>
        <v>8.0123552003173535E-3</v>
      </c>
      <c r="D1992" s="7">
        <f t="shared" si="94"/>
        <v>0.67151320319774732</v>
      </c>
      <c r="E1992" s="8">
        <f t="shared" si="95"/>
        <v>-1.1355812313914242</v>
      </c>
    </row>
    <row r="1993" spans="1:5" x14ac:dyDescent="0.2">
      <c r="A1993" s="1">
        <v>44523</v>
      </c>
      <c r="B1993">
        <v>64566.39</v>
      </c>
      <c r="C1993" s="6">
        <f t="shared" si="93"/>
        <v>2.8216971149883879E-3</v>
      </c>
      <c r="D1993" s="7">
        <f t="shared" si="94"/>
        <v>0.22361389450077612</v>
      </c>
      <c r="E1993" s="8">
        <f t="shared" si="95"/>
        <v>-0.73962346863973394</v>
      </c>
    </row>
    <row r="1994" spans="1:5" x14ac:dyDescent="0.2">
      <c r="A1994" s="1">
        <v>44524</v>
      </c>
      <c r="B1994">
        <v>64169.17</v>
      </c>
      <c r="C1994" s="6">
        <f t="shared" si="93"/>
        <v>-6.171119473136334E-3</v>
      </c>
      <c r="D1994" s="7">
        <f t="shared" si="94"/>
        <v>-0.55237178339317528</v>
      </c>
      <c r="E1994" s="8">
        <f t="shared" si="95"/>
        <v>-0.99798904461429072</v>
      </c>
    </row>
    <row r="1995" spans="1:5" x14ac:dyDescent="0.2">
      <c r="A1995" s="1">
        <v>44525</v>
      </c>
      <c r="B1995">
        <v>64062.74</v>
      </c>
      <c r="C1995" s="6">
        <f t="shared" si="93"/>
        <v>-1.659961618582177E-3</v>
      </c>
      <c r="D1995" s="7">
        <f t="shared" si="94"/>
        <v>-0.16310621219544089</v>
      </c>
      <c r="E1995" s="8">
        <f t="shared" si="95"/>
        <v>-0.71468203132999231</v>
      </c>
    </row>
    <row r="1996" spans="1:5" x14ac:dyDescent="0.2">
      <c r="A1996" s="1">
        <v>44526</v>
      </c>
      <c r="B1996">
        <v>62410.83</v>
      </c>
      <c r="C1996" s="6">
        <f t="shared" si="93"/>
        <v>-2.6124097658877368E-2</v>
      </c>
      <c r="D1996" s="7">
        <f t="shared" si="94"/>
        <v>-2.2741043631403857</v>
      </c>
      <c r="E1996" s="8">
        <f t="shared" si="95"/>
        <v>-3.7555880084025932</v>
      </c>
    </row>
    <row r="1997" spans="1:5" x14ac:dyDescent="0.2">
      <c r="A1997" s="1">
        <v>44529</v>
      </c>
      <c r="B1997">
        <v>63600.61</v>
      </c>
      <c r="C1997" s="6">
        <f t="shared" si="93"/>
        <v>1.8884243486754035E-2</v>
      </c>
      <c r="D1997" s="7">
        <f t="shared" si="94"/>
        <v>1.6096430448625303</v>
      </c>
      <c r="E1997" s="8">
        <f t="shared" si="95"/>
        <v>-2.6261275087077851</v>
      </c>
    </row>
    <row r="1998" spans="1:5" x14ac:dyDescent="0.2">
      <c r="A1998" s="1">
        <v>44530</v>
      </c>
      <c r="B1998">
        <v>64063.82</v>
      </c>
      <c r="C1998" s="6">
        <f t="shared" si="93"/>
        <v>7.2567125034487291E-3</v>
      </c>
      <c r="D1998" s="7">
        <f t="shared" si="94"/>
        <v>0.60630917010876728</v>
      </c>
      <c r="E1998" s="8">
        <f t="shared" si="95"/>
        <v>-1.0577937949446774</v>
      </c>
    </row>
    <row r="1999" spans="1:5" x14ac:dyDescent="0.2">
      <c r="A1999" s="1">
        <v>44531</v>
      </c>
      <c r="B1999">
        <v>64785.66</v>
      </c>
      <c r="C1999" s="6">
        <f t="shared" si="93"/>
        <v>1.1204508573795796E-2</v>
      </c>
      <c r="D1999" s="7">
        <f t="shared" si="94"/>
        <v>0.94696253269159802</v>
      </c>
      <c r="E1999" s="8">
        <f t="shared" si="95"/>
        <v>-1.5185103539559555</v>
      </c>
    </row>
    <row r="2000" spans="1:5" x14ac:dyDescent="0.2">
      <c r="A2000" s="1">
        <v>44532</v>
      </c>
      <c r="B2000">
        <v>64555.25</v>
      </c>
      <c r="C2000" s="6">
        <f t="shared" si="93"/>
        <v>-3.5628362863928346E-3</v>
      </c>
      <c r="D2000" s="7">
        <f t="shared" si="94"/>
        <v>-0.3273043223846534</v>
      </c>
      <c r="E2000" s="8">
        <f t="shared" si="95"/>
        <v>-0.79959191481854874</v>
      </c>
    </row>
    <row r="2001" spans="1:5" x14ac:dyDescent="0.2">
      <c r="A2001" s="1">
        <v>44533</v>
      </c>
      <c r="B2001">
        <v>64306.68</v>
      </c>
      <c r="C2001" s="6">
        <f t="shared" si="93"/>
        <v>-3.8579324134315539E-3</v>
      </c>
      <c r="D2001" s="7">
        <f t="shared" si="94"/>
        <v>-0.35276802065315904</v>
      </c>
      <c r="E2001" s="8">
        <f t="shared" si="95"/>
        <v>-0.81751930052586297</v>
      </c>
    </row>
    <row r="2002" spans="1:5" x14ac:dyDescent="0.2">
      <c r="A2002" s="1">
        <v>44536</v>
      </c>
      <c r="B2002">
        <v>64598.46</v>
      </c>
      <c r="C2002" s="6">
        <f t="shared" si="93"/>
        <v>4.5270576226445897E-3</v>
      </c>
      <c r="D2002" s="7">
        <f t="shared" si="94"/>
        <v>0.37076860588838234</v>
      </c>
      <c r="E2002" s="8">
        <f t="shared" si="95"/>
        <v>-0.83092681890592657</v>
      </c>
    </row>
    <row r="2003" spans="1:5" x14ac:dyDescent="0.2">
      <c r="A2003" s="1">
        <v>44537</v>
      </c>
      <c r="B2003">
        <v>66513.460000000006</v>
      </c>
      <c r="C2003" s="6">
        <f t="shared" si="93"/>
        <v>2.9213761700397845E-2</v>
      </c>
      <c r="D2003" s="7">
        <f t="shared" si="94"/>
        <v>2.5009720422666462</v>
      </c>
      <c r="E2003" s="8">
        <f t="shared" si="95"/>
        <v>-4.1205241357366438</v>
      </c>
    </row>
    <row r="2004" spans="1:5" x14ac:dyDescent="0.2">
      <c r="A2004" s="1">
        <v>44538</v>
      </c>
      <c r="B2004">
        <v>65992.710000000006</v>
      </c>
      <c r="C2004" s="6">
        <f t="shared" si="93"/>
        <v>-7.8600518150937302E-3</v>
      </c>
      <c r="D2004" s="7">
        <f t="shared" si="94"/>
        <v>-0.69810891652024232</v>
      </c>
      <c r="E2004" s="8">
        <f t="shared" si="95"/>
        <v>-1.1689190537252481</v>
      </c>
    </row>
    <row r="2005" spans="1:5" x14ac:dyDescent="0.2">
      <c r="A2005" s="1">
        <v>44539</v>
      </c>
      <c r="B2005">
        <v>65779.5</v>
      </c>
      <c r="C2005" s="6">
        <f t="shared" si="93"/>
        <v>-3.2360417429537431E-3</v>
      </c>
      <c r="D2005" s="7">
        <f t="shared" si="94"/>
        <v>-0.29910538350520399</v>
      </c>
      <c r="E2005" s="8">
        <f t="shared" si="95"/>
        <v>-0.7811858835773835</v>
      </c>
    </row>
    <row r="2006" spans="1:5" x14ac:dyDescent="0.2">
      <c r="A2006" s="1">
        <v>44540</v>
      </c>
      <c r="B2006">
        <v>65390.32</v>
      </c>
      <c r="C2006" s="6">
        <f t="shared" si="93"/>
        <v>-5.9340043616191388E-3</v>
      </c>
      <c r="D2006" s="7">
        <f t="shared" si="94"/>
        <v>-0.53191123816282504</v>
      </c>
      <c r="E2006" s="8">
        <f t="shared" si="95"/>
        <v>-0.97644724924149406</v>
      </c>
    </row>
    <row r="2007" spans="1:5" x14ac:dyDescent="0.2">
      <c r="A2007" s="1">
        <v>44543</v>
      </c>
      <c r="B2007">
        <v>65177.02</v>
      </c>
      <c r="C2007" s="6">
        <f t="shared" si="93"/>
        <v>-3.2672824574734661E-3</v>
      </c>
      <c r="D2007" s="7">
        <f t="shared" si="94"/>
        <v>-0.30180112924814412</v>
      </c>
      <c r="E2007" s="8">
        <f t="shared" si="95"/>
        <v>-0.7828788823829872</v>
      </c>
    </row>
    <row r="2008" spans="1:5" x14ac:dyDescent="0.2">
      <c r="A2008" s="1">
        <v>44544</v>
      </c>
      <c r="B2008">
        <v>65212.46</v>
      </c>
      <c r="C2008" s="6">
        <f t="shared" si="93"/>
        <v>5.4360215061407462E-4</v>
      </c>
      <c r="D2008" s="7">
        <f t="shared" si="94"/>
        <v>2.7038211241407793E-2</v>
      </c>
      <c r="E2008" s="8">
        <f t="shared" si="95"/>
        <v>-0.68684246376364011</v>
      </c>
    </row>
    <row r="2009" spans="1:5" x14ac:dyDescent="0.2">
      <c r="A2009" s="1">
        <v>44545</v>
      </c>
      <c r="B2009">
        <v>65102.29</v>
      </c>
      <c r="C2009" s="6">
        <f t="shared" si="93"/>
        <v>-1.6908297218408707E-3</v>
      </c>
      <c r="D2009" s="7">
        <f t="shared" si="94"/>
        <v>-0.1657698054976916</v>
      </c>
      <c r="E2009" s="8">
        <f t="shared" si="95"/>
        <v>-0.71561977571881585</v>
      </c>
    </row>
    <row r="2010" spans="1:5" x14ac:dyDescent="0.2">
      <c r="A2010" s="1">
        <v>44547</v>
      </c>
      <c r="B2010">
        <v>64680.34</v>
      </c>
      <c r="C2010" s="6">
        <f t="shared" si="93"/>
        <v>-6.5024339039416222E-3</v>
      </c>
      <c r="D2010" s="7">
        <f t="shared" si="94"/>
        <v>-0.58096074110904738</v>
      </c>
      <c r="E2010" s="8">
        <f t="shared" si="95"/>
        <v>-1.0291544827727392</v>
      </c>
    </row>
    <row r="2011" spans="1:5" x14ac:dyDescent="0.2">
      <c r="A2011" s="1">
        <v>44550</v>
      </c>
      <c r="B2011">
        <v>63652.47</v>
      </c>
      <c r="C2011" s="6">
        <f t="shared" si="93"/>
        <v>-1.601916112257112E-2</v>
      </c>
      <c r="D2011" s="7">
        <f t="shared" si="94"/>
        <v>-1.4021544071548926</v>
      </c>
      <c r="E2011" s="8">
        <f t="shared" si="95"/>
        <v>-2.2667594422368467</v>
      </c>
    </row>
    <row r="2012" spans="1:5" x14ac:dyDescent="0.2">
      <c r="A2012" s="1">
        <v>44551</v>
      </c>
      <c r="B2012">
        <v>64611.7</v>
      </c>
      <c r="C2012" s="6">
        <f t="shared" si="93"/>
        <v>1.4957378719746752E-2</v>
      </c>
      <c r="D2012" s="7">
        <f t="shared" si="94"/>
        <v>1.2707958340511893</v>
      </c>
      <c r="E2012" s="8">
        <f t="shared" si="95"/>
        <v>-2.0424800344536096</v>
      </c>
    </row>
    <row r="2013" spans="1:5" x14ac:dyDescent="0.2">
      <c r="A2013" s="1">
        <v>44552</v>
      </c>
      <c r="B2013">
        <v>64803.839999999997</v>
      </c>
      <c r="C2013" s="6">
        <f t="shared" si="93"/>
        <v>2.9693519213482207E-3</v>
      </c>
      <c r="D2013" s="7">
        <f t="shared" si="94"/>
        <v>0.23635495442172885</v>
      </c>
      <c r="E2013" s="8">
        <f t="shared" si="95"/>
        <v>-0.74583536546203111</v>
      </c>
    </row>
    <row r="2014" spans="1:5" x14ac:dyDescent="0.2">
      <c r="A2014" s="1">
        <v>44553</v>
      </c>
      <c r="B2014">
        <v>65125.68</v>
      </c>
      <c r="C2014" s="6">
        <f t="shared" si="93"/>
        <v>4.954080616024847E-3</v>
      </c>
      <c r="D2014" s="7">
        <f t="shared" si="94"/>
        <v>0.40761620794356701</v>
      </c>
      <c r="E2014" s="8">
        <f t="shared" si="95"/>
        <v>-0.86022754584106065</v>
      </c>
    </row>
    <row r="2015" spans="1:5" x14ac:dyDescent="0.2">
      <c r="A2015" s="1">
        <v>44554</v>
      </c>
      <c r="B2015">
        <v>65023.34</v>
      </c>
      <c r="C2015" s="6">
        <f t="shared" si="93"/>
        <v>-1.5726591117283901E-3</v>
      </c>
      <c r="D2015" s="7">
        <f t="shared" si="94"/>
        <v>-0.15557292223017716</v>
      </c>
      <c r="E2015" s="8">
        <f t="shared" si="95"/>
        <v>-0.71211047610026912</v>
      </c>
    </row>
    <row r="2016" spans="1:5" x14ac:dyDescent="0.2">
      <c r="A2016" s="1">
        <v>44558</v>
      </c>
      <c r="B2016">
        <v>65864.13</v>
      </c>
      <c r="C2016" s="6">
        <f t="shared" si="93"/>
        <v>1.284770139227299E-2</v>
      </c>
      <c r="D2016" s="7">
        <f t="shared" si="94"/>
        <v>1.0887528250500897</v>
      </c>
      <c r="E2016" s="8">
        <f t="shared" si="95"/>
        <v>-1.7410580313810575</v>
      </c>
    </row>
    <row r="2017" spans="1:5" x14ac:dyDescent="0.2">
      <c r="A2017" s="1">
        <v>44559</v>
      </c>
      <c r="B2017">
        <v>66613.94</v>
      </c>
      <c r="C2017" s="6">
        <f t="shared" si="93"/>
        <v>1.1319881195218446E-2</v>
      </c>
      <c r="D2017" s="7">
        <f t="shared" si="94"/>
        <v>0.95691797890444319</v>
      </c>
      <c r="E2017" s="8">
        <f t="shared" si="95"/>
        <v>-1.5336815210224128</v>
      </c>
    </row>
    <row r="2018" spans="1:5" x14ac:dyDescent="0.2">
      <c r="A2018" s="1">
        <v>44560</v>
      </c>
      <c r="B2018">
        <v>67129.53</v>
      </c>
      <c r="C2018" s="6">
        <f t="shared" si="93"/>
        <v>7.7101716319528061E-3</v>
      </c>
      <c r="D2018" s="7">
        <f t="shared" si="94"/>
        <v>0.64543793313659337</v>
      </c>
      <c r="E2018" s="8">
        <f t="shared" si="95"/>
        <v>-1.1037836292895438</v>
      </c>
    </row>
    <row r="2019" spans="1:5" x14ac:dyDescent="0.2">
      <c r="A2019" s="1">
        <v>44561</v>
      </c>
      <c r="B2019">
        <v>67052.399999999994</v>
      </c>
      <c r="C2019" s="6">
        <f t="shared" si="93"/>
        <v>-1.1496333149322068E-3</v>
      </c>
      <c r="D2019" s="7">
        <f t="shared" si="94"/>
        <v>-0.11907023628337438</v>
      </c>
      <c r="E2019" s="8">
        <f t="shared" si="95"/>
        <v>-0.70134609394277458</v>
      </c>
    </row>
    <row r="2020" spans="1:5" x14ac:dyDescent="0.2">
      <c r="A2020" s="1">
        <v>44564</v>
      </c>
      <c r="B2020">
        <v>67025.539999999994</v>
      </c>
      <c r="C2020" s="6">
        <f t="shared" si="93"/>
        <v>-4.006624857052464E-4</v>
      </c>
      <c r="D2020" s="7">
        <f t="shared" si="94"/>
        <v>-5.4441915340194352E-2</v>
      </c>
      <c r="E2020" s="8">
        <f t="shared" si="95"/>
        <v>-0.68925606250306415</v>
      </c>
    </row>
    <row r="2021" spans="1:5" x14ac:dyDescent="0.2">
      <c r="A2021" s="1">
        <v>44565</v>
      </c>
      <c r="B2021">
        <v>68398.98</v>
      </c>
      <c r="C2021" s="6">
        <f t="shared" si="93"/>
        <v>2.0284171451783014E-2</v>
      </c>
      <c r="D2021" s="7">
        <f t="shared" si="94"/>
        <v>1.730442133813175</v>
      </c>
      <c r="E2021" s="8">
        <f t="shared" si="95"/>
        <v>-2.8357521202161662</v>
      </c>
    </row>
    <row r="2022" spans="1:5" x14ac:dyDescent="0.2">
      <c r="A2022" s="1">
        <v>44566</v>
      </c>
      <c r="B2022">
        <v>68367.16</v>
      </c>
      <c r="C2022" s="6">
        <f t="shared" si="93"/>
        <v>-4.6531986022472647E-4</v>
      </c>
      <c r="D2022" s="7">
        <f t="shared" si="94"/>
        <v>-6.0021168081053879E-2</v>
      </c>
      <c r="E2022" s="8">
        <f t="shared" si="95"/>
        <v>-0.68994599084019481</v>
      </c>
    </row>
    <row r="2023" spans="1:5" x14ac:dyDescent="0.2">
      <c r="A2023" s="1">
        <v>44567</v>
      </c>
      <c r="B2023">
        <v>67420.2</v>
      </c>
      <c r="C2023" s="6">
        <f t="shared" si="93"/>
        <v>-1.3947916096084806E-2</v>
      </c>
      <c r="D2023" s="7">
        <f t="shared" si="94"/>
        <v>-1.2234277023219611</v>
      </c>
      <c r="E2023" s="8">
        <f t="shared" si="95"/>
        <v>-1.9627668844637045</v>
      </c>
    </row>
    <row r="2024" spans="1:5" x14ac:dyDescent="0.2">
      <c r="A2024" s="1">
        <v>44568</v>
      </c>
      <c r="B2024">
        <v>67251.03</v>
      </c>
      <c r="C2024" s="6">
        <f t="shared" si="93"/>
        <v>-2.5123419305142234E-3</v>
      </c>
      <c r="D2024" s="7">
        <f t="shared" si="94"/>
        <v>-0.23665768605197338</v>
      </c>
      <c r="E2024" s="8">
        <f t="shared" si="95"/>
        <v>-0.7459869746381772</v>
      </c>
    </row>
    <row r="2025" spans="1:5" x14ac:dyDescent="0.2">
      <c r="A2025" s="1">
        <v>44571</v>
      </c>
      <c r="B2025">
        <v>67114.14</v>
      </c>
      <c r="C2025" s="6">
        <f t="shared" si="93"/>
        <v>-2.037582319301796E-3</v>
      </c>
      <c r="D2025" s="7">
        <f t="shared" si="94"/>
        <v>-0.19569091494826421</v>
      </c>
      <c r="E2025" s="8">
        <f t="shared" si="95"/>
        <v>-0.72717159877301873</v>
      </c>
    </row>
    <row r="2026" spans="1:5" x14ac:dyDescent="0.2">
      <c r="A2026" s="1">
        <v>44572</v>
      </c>
      <c r="B2026">
        <v>67302.2</v>
      </c>
      <c r="C2026" s="6">
        <f t="shared" si="93"/>
        <v>2.7981735361281546E-3</v>
      </c>
      <c r="D2026" s="7">
        <f t="shared" si="94"/>
        <v>0.22158405656185332</v>
      </c>
      <c r="E2026" s="8">
        <f t="shared" si="95"/>
        <v>-0.73866437031607957</v>
      </c>
    </row>
    <row r="2027" spans="1:5" x14ac:dyDescent="0.2">
      <c r="A2027" s="1">
        <v>44573</v>
      </c>
      <c r="B2027">
        <v>69206.77</v>
      </c>
      <c r="C2027" s="6">
        <f t="shared" si="93"/>
        <v>2.79057646416754E-2</v>
      </c>
      <c r="D2027" s="7">
        <f t="shared" si="94"/>
        <v>2.388105625571753</v>
      </c>
      <c r="E2027" s="8">
        <f t="shared" si="95"/>
        <v>-3.9406011700908512</v>
      </c>
    </row>
    <row r="2028" spans="1:5" x14ac:dyDescent="0.2">
      <c r="A2028" s="1">
        <v>44574</v>
      </c>
      <c r="B2028">
        <v>69187.73</v>
      </c>
      <c r="C2028" s="6">
        <f t="shared" si="93"/>
        <v>-2.7515544505216734E-4</v>
      </c>
      <c r="D2028" s="7">
        <f t="shared" si="94"/>
        <v>-4.3611975124327858E-2</v>
      </c>
      <c r="E2028" s="8">
        <f t="shared" si="95"/>
        <v>-0.68810844689102424</v>
      </c>
    </row>
    <row r="2029" spans="1:5" x14ac:dyDescent="0.2">
      <c r="A2029" s="1">
        <v>44575</v>
      </c>
      <c r="B2029">
        <v>68448.149999999994</v>
      </c>
      <c r="C2029" s="6">
        <f t="shared" si="93"/>
        <v>-1.0747010421045712E-2</v>
      </c>
      <c r="D2029" s="7">
        <f t="shared" si="94"/>
        <v>-0.94722314107250627</v>
      </c>
      <c r="E2029" s="8">
        <f t="shared" si="95"/>
        <v>-1.5189065227619403</v>
      </c>
    </row>
    <row r="2030" spans="1:5" x14ac:dyDescent="0.2">
      <c r="A2030" s="1">
        <v>44578</v>
      </c>
      <c r="B2030">
        <v>68889.240000000005</v>
      </c>
      <c r="C2030" s="6">
        <f t="shared" si="93"/>
        <v>6.4234731219289217E-3</v>
      </c>
      <c r="D2030" s="7">
        <f t="shared" si="94"/>
        <v>0.53440935763283892</v>
      </c>
      <c r="E2030" s="8">
        <f t="shared" si="95"/>
        <v>-0.97904261812819438</v>
      </c>
    </row>
    <row r="2031" spans="1:5" x14ac:dyDescent="0.2">
      <c r="A2031" s="1">
        <v>44579</v>
      </c>
      <c r="B2031">
        <v>68281.899999999994</v>
      </c>
      <c r="C2031" s="6">
        <f t="shared" si="93"/>
        <v>-8.8552733286678034E-3</v>
      </c>
      <c r="D2031" s="7">
        <f t="shared" si="94"/>
        <v>-0.78398608673688353</v>
      </c>
      <c r="E2031" s="8">
        <f t="shared" si="95"/>
        <v>-1.2823739709665953</v>
      </c>
    </row>
    <row r="2032" spans="1:5" x14ac:dyDescent="0.2">
      <c r="A2032" s="1">
        <v>44580</v>
      </c>
      <c r="B2032">
        <v>69512.97</v>
      </c>
      <c r="C2032" s="6">
        <f t="shared" si="93"/>
        <v>1.7868629729222842E-2</v>
      </c>
      <c r="D2032" s="7">
        <f t="shared" si="94"/>
        <v>1.5220062380408523</v>
      </c>
      <c r="E2032" s="8">
        <f t="shared" si="95"/>
        <v>-2.4739697541094512</v>
      </c>
    </row>
    <row r="2033" spans="1:5" x14ac:dyDescent="0.2">
      <c r="A2033" s="1">
        <v>44581</v>
      </c>
      <c r="B2033">
        <v>69586.740000000005</v>
      </c>
      <c r="C2033" s="6">
        <f t="shared" si="93"/>
        <v>1.0606780836017878E-3</v>
      </c>
      <c r="D2033" s="7">
        <f t="shared" si="94"/>
        <v>7.1656436738408574E-2</v>
      </c>
      <c r="E2033" s="8">
        <f t="shared" si="95"/>
        <v>-0.69160049673705126</v>
      </c>
    </row>
    <row r="2034" spans="1:5" x14ac:dyDescent="0.2">
      <c r="A2034" s="1">
        <v>44582</v>
      </c>
      <c r="B2034">
        <v>68186.16</v>
      </c>
      <c r="C2034" s="6">
        <f t="shared" si="93"/>
        <v>-2.0332420243779178E-2</v>
      </c>
      <c r="D2034" s="7">
        <f t="shared" si="94"/>
        <v>-1.7743433949212783</v>
      </c>
      <c r="E2034" s="8">
        <f t="shared" si="95"/>
        <v>-2.9117173622576153</v>
      </c>
    </row>
    <row r="2035" spans="1:5" x14ac:dyDescent="0.2">
      <c r="A2035" s="1">
        <v>44585</v>
      </c>
      <c r="B2035">
        <v>65653.179999999993</v>
      </c>
      <c r="C2035" s="6">
        <f t="shared" si="93"/>
        <v>-3.7855573438787989E-2</v>
      </c>
      <c r="D2035" s="7">
        <f t="shared" si="94"/>
        <v>-3.2864075827781347</v>
      </c>
      <c r="E2035" s="8">
        <f t="shared" si="95"/>
        <v>-5.2784837549246957</v>
      </c>
    </row>
    <row r="2036" spans="1:5" x14ac:dyDescent="0.2">
      <c r="A2036" s="1">
        <v>44586</v>
      </c>
      <c r="B2036">
        <v>65869.53</v>
      </c>
      <c r="C2036" s="6">
        <f t="shared" si="93"/>
        <v>3.2899290949991718E-3</v>
      </c>
      <c r="D2036" s="7">
        <f t="shared" si="94"/>
        <v>0.26401739954947223</v>
      </c>
      <c r="E2036" s="8">
        <f t="shared" si="95"/>
        <v>-0.76045216166762131</v>
      </c>
    </row>
    <row r="2037" spans="1:5" x14ac:dyDescent="0.2">
      <c r="A2037" s="1">
        <v>44587</v>
      </c>
      <c r="B2037">
        <v>67363.61</v>
      </c>
      <c r="C2037" s="6">
        <f t="shared" si="93"/>
        <v>2.2428993773905354E-2</v>
      </c>
      <c r="D2037" s="7">
        <f t="shared" si="94"/>
        <v>1.9155177869508146</v>
      </c>
      <c r="E2037" s="8">
        <f t="shared" si="95"/>
        <v>-3.1545462649360387</v>
      </c>
    </row>
    <row r="2038" spans="1:5" x14ac:dyDescent="0.2">
      <c r="A2038" s="1">
        <v>44588</v>
      </c>
      <c r="B2038">
        <v>67070.039999999994</v>
      </c>
      <c r="C2038" s="6">
        <f t="shared" si="93"/>
        <v>-4.3675146313195039E-3</v>
      </c>
      <c r="D2038" s="7">
        <f t="shared" si="94"/>
        <v>-0.39673961719529899</v>
      </c>
      <c r="E2038" s="8">
        <f t="shared" si="95"/>
        <v>-0.85132263052058055</v>
      </c>
    </row>
    <row r="2039" spans="1:5" x14ac:dyDescent="0.2">
      <c r="A2039" s="1">
        <v>44589</v>
      </c>
      <c r="B2039">
        <v>67021.38</v>
      </c>
      <c r="C2039" s="6">
        <f t="shared" si="93"/>
        <v>-7.2577353772447463E-4</v>
      </c>
      <c r="D2039" s="7">
        <f t="shared" si="94"/>
        <v>-8.2495586580982438E-2</v>
      </c>
      <c r="E2039" s="8">
        <f t="shared" si="95"/>
        <v>-0.69340374384970371</v>
      </c>
    </row>
    <row r="2040" spans="1:5" x14ac:dyDescent="0.2">
      <c r="A2040" s="1">
        <v>44592</v>
      </c>
      <c r="B2040">
        <v>67820.89</v>
      </c>
      <c r="C2040" s="6">
        <f t="shared" si="93"/>
        <v>1.1858586618388612E-2</v>
      </c>
      <c r="D2040" s="7">
        <f t="shared" si="94"/>
        <v>1.0034026023688944</v>
      </c>
      <c r="E2040" s="8">
        <f t="shared" si="95"/>
        <v>-1.6054894088684359</v>
      </c>
    </row>
    <row r="2041" spans="1:5" x14ac:dyDescent="0.2">
      <c r="A2041" s="1">
        <v>44593</v>
      </c>
      <c r="B2041">
        <v>68374.94</v>
      </c>
      <c r="C2041" s="6">
        <f t="shared" si="93"/>
        <v>8.1361236440875544E-3</v>
      </c>
      <c r="D2041" s="7">
        <f t="shared" si="94"/>
        <v>0.68219312075191219</v>
      </c>
      <c r="E2041" s="8">
        <f t="shared" si="95"/>
        <v>-1.1488607065896492</v>
      </c>
    </row>
    <row r="2042" spans="1:5" x14ac:dyDescent="0.2">
      <c r="A2042" s="1">
        <v>44594</v>
      </c>
      <c r="B2042">
        <v>68655.58</v>
      </c>
      <c r="C2042" s="6">
        <f t="shared" si="93"/>
        <v>4.0960275472693933E-3</v>
      </c>
      <c r="D2042" s="7">
        <f t="shared" si="94"/>
        <v>0.33357523471762096</v>
      </c>
      <c r="E2042" s="8">
        <f t="shared" si="95"/>
        <v>-0.8038927713554237</v>
      </c>
    </row>
    <row r="2043" spans="1:5" x14ac:dyDescent="0.2">
      <c r="A2043" s="1">
        <v>44595</v>
      </c>
      <c r="B2043">
        <v>68461.210000000006</v>
      </c>
      <c r="C2043" s="6">
        <f t="shared" si="93"/>
        <v>-2.8351032749879121E-3</v>
      </c>
      <c r="D2043" s="7">
        <f t="shared" si="94"/>
        <v>-0.26450860219543343</v>
      </c>
      <c r="E2043" s="8">
        <f t="shared" si="95"/>
        <v>-0.76072558568397941</v>
      </c>
    </row>
    <row r="2044" spans="1:5" x14ac:dyDescent="0.2">
      <c r="A2044" s="1">
        <v>44596</v>
      </c>
      <c r="B2044">
        <v>68678.91</v>
      </c>
      <c r="C2044" s="6">
        <f t="shared" si="93"/>
        <v>3.1748576982858069E-3</v>
      </c>
      <c r="D2044" s="7">
        <f t="shared" si="94"/>
        <v>0.25408794586721439</v>
      </c>
      <c r="E2044" s="8">
        <f t="shared" si="95"/>
        <v>-0.75502845132412344</v>
      </c>
    </row>
    <row r="2045" spans="1:5" x14ac:dyDescent="0.2">
      <c r="A2045" s="1">
        <v>44599</v>
      </c>
      <c r="B2045">
        <v>69197.64</v>
      </c>
      <c r="C2045" s="6">
        <f t="shared" si="93"/>
        <v>7.5245927972084721E-3</v>
      </c>
      <c r="D2045" s="7">
        <f t="shared" si="94"/>
        <v>0.62942442763799178</v>
      </c>
      <c r="E2045" s="8">
        <f t="shared" si="95"/>
        <v>-1.084706732673518</v>
      </c>
    </row>
    <row r="2046" spans="1:5" x14ac:dyDescent="0.2">
      <c r="A2046" s="1">
        <v>44600</v>
      </c>
      <c r="B2046">
        <v>69526.759999999995</v>
      </c>
      <c r="C2046" s="6">
        <f t="shared" si="93"/>
        <v>4.7449564388170884E-3</v>
      </c>
      <c r="D2046" s="7">
        <f t="shared" si="94"/>
        <v>0.38957098653553013</v>
      </c>
      <c r="E2046" s="8">
        <f t="shared" si="95"/>
        <v>-0.84557008142674761</v>
      </c>
    </row>
    <row r="2047" spans="1:5" x14ac:dyDescent="0.2">
      <c r="A2047" s="1">
        <v>44601</v>
      </c>
      <c r="B2047">
        <v>70105.789999999994</v>
      </c>
      <c r="C2047" s="6">
        <f t="shared" si="93"/>
        <v>8.2936724860294183E-3</v>
      </c>
      <c r="D2047" s="7">
        <f t="shared" si="94"/>
        <v>0.6957879320902316</v>
      </c>
      <c r="E2047" s="8">
        <f t="shared" si="95"/>
        <v>-1.1659741972149233</v>
      </c>
    </row>
    <row r="2048" spans="1:5" x14ac:dyDescent="0.2">
      <c r="A2048" s="1">
        <v>44602</v>
      </c>
      <c r="B2048">
        <v>69944.22</v>
      </c>
      <c r="C2048" s="6">
        <f t="shared" si="93"/>
        <v>-2.307319673586509E-3</v>
      </c>
      <c r="D2048" s="7">
        <f t="shared" si="94"/>
        <v>-0.21896641730804178</v>
      </c>
      <c r="E2048" s="8">
        <f t="shared" si="95"/>
        <v>-0.73743996822518076</v>
      </c>
    </row>
    <row r="2049" spans="1:5" x14ac:dyDescent="0.2">
      <c r="A2049" s="1">
        <v>44603</v>
      </c>
      <c r="B2049">
        <v>69681.320000000007</v>
      </c>
      <c r="C2049" s="6">
        <f t="shared" si="93"/>
        <v>-3.7657911394434378E-3</v>
      </c>
      <c r="D2049" s="7">
        <f t="shared" si="94"/>
        <v>-0.34481719587462423</v>
      </c>
      <c r="E2049" s="8">
        <f t="shared" si="95"/>
        <v>-0.81179000978820148</v>
      </c>
    </row>
    <row r="2050" spans="1:5" x14ac:dyDescent="0.2">
      <c r="A2050" s="1">
        <v>44606</v>
      </c>
      <c r="B2050">
        <v>69130.81</v>
      </c>
      <c r="C2050" s="6">
        <f t="shared" si="93"/>
        <v>-7.9317691642876356E-3</v>
      </c>
      <c r="D2050" s="7">
        <f t="shared" si="94"/>
        <v>-0.70429737097003942</v>
      </c>
      <c r="E2050" s="8">
        <f t="shared" si="95"/>
        <v>-1.1768035531677601</v>
      </c>
    </row>
    <row r="2051" spans="1:5" x14ac:dyDescent="0.2">
      <c r="A2051" s="1">
        <v>44607</v>
      </c>
      <c r="B2051">
        <v>69169.36</v>
      </c>
      <c r="C2051" s="6">
        <f t="shared" ref="C2051:C2114" si="96">LN(B2051/B2050)</f>
        <v>5.574830601929112E-4</v>
      </c>
      <c r="D2051" s="7">
        <f t="shared" ref="D2051:D2114" si="97">(C2051-$G$4)/$G$5</f>
        <v>2.8235988036226681E-2</v>
      </c>
      <c r="E2051" s="8">
        <f t="shared" ref="E2051:E2114" si="98">LN((PI()*(G$3-2))^(-1/2)*EXP(GAMMALN((G$3+1)/2))*((1+D2051^2/(G$3-2))^(-(G$3+1)/2))/EXP(GAMMALN(G$3/2)))</f>
        <v>-0.68691405911107561</v>
      </c>
    </row>
    <row r="2052" spans="1:5" x14ac:dyDescent="0.2">
      <c r="A2052" s="1">
        <v>44608</v>
      </c>
      <c r="B2052">
        <v>69735.63</v>
      </c>
      <c r="C2052" s="6">
        <f t="shared" si="96"/>
        <v>8.1533879672063877E-3</v>
      </c>
      <c r="D2052" s="7">
        <f t="shared" si="97"/>
        <v>0.68368285062102119</v>
      </c>
      <c r="E2052" s="8">
        <f t="shared" si="98"/>
        <v>-1.150724633260255</v>
      </c>
    </row>
    <row r="2053" spans="1:5" x14ac:dyDescent="0.2">
      <c r="A2053" s="1">
        <v>44609</v>
      </c>
      <c r="B2053">
        <v>69406.880000000005</v>
      </c>
      <c r="C2053" s="6">
        <f t="shared" si="96"/>
        <v>-4.7253799249020005E-3</v>
      </c>
      <c r="D2053" s="7">
        <f t="shared" si="97"/>
        <v>-0.42761963567605399</v>
      </c>
      <c r="E2053" s="8">
        <f t="shared" si="98"/>
        <v>-0.8771549667385008</v>
      </c>
    </row>
    <row r="2054" spans="1:5" x14ac:dyDescent="0.2">
      <c r="A2054" s="1">
        <v>44610</v>
      </c>
      <c r="B2054">
        <v>69650.100000000006</v>
      </c>
      <c r="C2054" s="6">
        <f t="shared" si="96"/>
        <v>3.4981379291124702E-3</v>
      </c>
      <c r="D2054" s="7">
        <f t="shared" si="97"/>
        <v>0.28198363645641317</v>
      </c>
      <c r="E2054" s="8">
        <f t="shared" si="98"/>
        <v>-0.77076500378209345</v>
      </c>
    </row>
    <row r="2055" spans="1:5" x14ac:dyDescent="0.2">
      <c r="A2055" s="1">
        <v>44613</v>
      </c>
      <c r="B2055">
        <v>68876.899999999994</v>
      </c>
      <c r="C2055" s="6">
        <f t="shared" si="96"/>
        <v>-1.1163282675480977E-2</v>
      </c>
      <c r="D2055" s="7">
        <f t="shared" si="97"/>
        <v>-0.98314306720254108</v>
      </c>
      <c r="E2055" s="8">
        <f t="shared" si="98"/>
        <v>-1.5740021784408422</v>
      </c>
    </row>
    <row r="2056" spans="1:5" x14ac:dyDescent="0.2">
      <c r="A2056" s="1">
        <v>44614</v>
      </c>
      <c r="B2056">
        <v>69058.61</v>
      </c>
      <c r="C2056" s="6">
        <f t="shared" si="96"/>
        <v>2.6347110343772052E-3</v>
      </c>
      <c r="D2056" s="7">
        <f t="shared" si="97"/>
        <v>0.20747895845510955</v>
      </c>
      <c r="E2056" s="8">
        <f t="shared" si="98"/>
        <v>-0.73223273990350013</v>
      </c>
    </row>
    <row r="2057" spans="1:5" x14ac:dyDescent="0.2">
      <c r="A2057" s="1">
        <v>44615</v>
      </c>
      <c r="B2057">
        <v>68369.73</v>
      </c>
      <c r="C2057" s="6">
        <f t="shared" si="96"/>
        <v>-1.0025381516437615E-2</v>
      </c>
      <c r="D2057" s="7">
        <f t="shared" si="97"/>
        <v>-0.88495414122771399</v>
      </c>
      <c r="E2057" s="8">
        <f t="shared" si="98"/>
        <v>-1.4258161243881595</v>
      </c>
    </row>
    <row r="2058" spans="1:5" x14ac:dyDescent="0.2">
      <c r="A2058" s="1">
        <v>44616</v>
      </c>
      <c r="B2058">
        <v>67235.990000000005</v>
      </c>
      <c r="C2058" s="6">
        <f t="shared" si="96"/>
        <v>-1.6721513176132449E-2</v>
      </c>
      <c r="D2058" s="7">
        <f t="shared" si="97"/>
        <v>-1.4627600170950203</v>
      </c>
      <c r="E2058" s="8">
        <f t="shared" si="98"/>
        <v>-2.3713407583754464</v>
      </c>
    </row>
    <row r="2059" spans="1:5" x14ac:dyDescent="0.2">
      <c r="A2059" s="1">
        <v>44617</v>
      </c>
      <c r="B2059">
        <v>67719.42</v>
      </c>
      <c r="C2059" s="6">
        <f t="shared" si="96"/>
        <v>7.1643229088814856E-3</v>
      </c>
      <c r="D2059" s="7">
        <f t="shared" si="97"/>
        <v>0.59833691787076626</v>
      </c>
      <c r="E2059" s="8">
        <f t="shared" si="98"/>
        <v>-1.0486866194929854</v>
      </c>
    </row>
    <row r="2060" spans="1:5" x14ac:dyDescent="0.2">
      <c r="A2060" s="1">
        <v>44620</v>
      </c>
      <c r="B2060">
        <v>69624.289999999994</v>
      </c>
      <c r="C2060" s="6">
        <f t="shared" si="96"/>
        <v>2.7740508158747096E-2</v>
      </c>
      <c r="D2060" s="7">
        <f t="shared" si="97"/>
        <v>2.3738457257200389</v>
      </c>
      <c r="E2060" s="8">
        <f t="shared" si="98"/>
        <v>-3.9176362264288715</v>
      </c>
    </row>
    <row r="2061" spans="1:5" x14ac:dyDescent="0.2">
      <c r="A2061" s="1">
        <v>44621</v>
      </c>
      <c r="B2061">
        <v>70584.100000000006</v>
      </c>
      <c r="C2061" s="6">
        <f t="shared" si="96"/>
        <v>1.3691405961553604E-2</v>
      </c>
      <c r="D2061" s="7">
        <f t="shared" si="97"/>
        <v>1.1615556733812784</v>
      </c>
      <c r="E2061" s="8">
        <f t="shared" si="98"/>
        <v>-1.8598959903072645</v>
      </c>
    </row>
    <row r="2062" spans="1:5" x14ac:dyDescent="0.2">
      <c r="A2062" s="1">
        <v>44622</v>
      </c>
      <c r="B2062">
        <v>71057.56</v>
      </c>
      <c r="C2062" s="6">
        <f t="shared" si="96"/>
        <v>6.6853461530266963E-3</v>
      </c>
      <c r="D2062" s="7">
        <f t="shared" si="97"/>
        <v>0.55700625144994342</v>
      </c>
      <c r="E2062" s="8">
        <f t="shared" si="98"/>
        <v>-1.0029576974995953</v>
      </c>
    </row>
    <row r="2063" spans="1:5" x14ac:dyDescent="0.2">
      <c r="A2063" s="1">
        <v>44623</v>
      </c>
      <c r="B2063">
        <v>70882.48</v>
      </c>
      <c r="C2063" s="6">
        <f t="shared" si="96"/>
        <v>-2.4669584254455733E-3</v>
      </c>
      <c r="D2063" s="7">
        <f t="shared" si="97"/>
        <v>-0.23274156593534551</v>
      </c>
      <c r="E2063" s="8">
        <f t="shared" si="98"/>
        <v>-0.74404012195074598</v>
      </c>
    </row>
    <row r="2064" spans="1:5" x14ac:dyDescent="0.2">
      <c r="A2064" s="1">
        <v>44624</v>
      </c>
      <c r="B2064">
        <v>68357.850000000006</v>
      </c>
      <c r="C2064" s="6">
        <f t="shared" si="96"/>
        <v>-3.626688778627845E-2</v>
      </c>
      <c r="D2064" s="7">
        <f t="shared" si="97"/>
        <v>-3.1493206867047783</v>
      </c>
      <c r="E2064" s="8">
        <f t="shared" si="98"/>
        <v>-5.0882051527827841</v>
      </c>
    </row>
    <row r="2065" spans="1:5" x14ac:dyDescent="0.2">
      <c r="A2065" s="1">
        <v>44627</v>
      </c>
      <c r="B2065">
        <v>67143.64</v>
      </c>
      <c r="C2065" s="6">
        <f t="shared" si="96"/>
        <v>-1.7922201456487864E-2</v>
      </c>
      <c r="D2065" s="7">
        <f t="shared" si="97"/>
        <v>-1.5663668125901355</v>
      </c>
      <c r="E2065" s="8">
        <f t="shared" si="98"/>
        <v>-2.5509630668863976</v>
      </c>
    </row>
    <row r="2066" spans="1:5" x14ac:dyDescent="0.2">
      <c r="A2066" s="1">
        <v>44628</v>
      </c>
      <c r="B2066">
        <v>66302.289999999994</v>
      </c>
      <c r="C2066" s="6">
        <f t="shared" si="96"/>
        <v>-1.2609768590126918E-2</v>
      </c>
      <c r="D2066" s="7">
        <f t="shared" si="97"/>
        <v>-1.1079596185067027</v>
      </c>
      <c r="E2066" s="8">
        <f t="shared" si="98"/>
        <v>-1.7721504479595285</v>
      </c>
    </row>
    <row r="2067" spans="1:5" x14ac:dyDescent="0.2">
      <c r="A2067" s="1">
        <v>44629</v>
      </c>
      <c r="B2067">
        <v>66484.69</v>
      </c>
      <c r="C2067" s="6">
        <f t="shared" si="96"/>
        <v>2.7472590267654151E-3</v>
      </c>
      <c r="D2067" s="7">
        <f t="shared" si="97"/>
        <v>0.21719066883117769</v>
      </c>
      <c r="E2067" s="8">
        <f t="shared" si="98"/>
        <v>-0.73661734239291676</v>
      </c>
    </row>
    <row r="2068" spans="1:5" x14ac:dyDescent="0.2">
      <c r="A2068" s="1">
        <v>44630</v>
      </c>
      <c r="B2068">
        <v>67572.11</v>
      </c>
      <c r="C2068" s="6">
        <f t="shared" si="96"/>
        <v>1.6223628360441642E-2</v>
      </c>
      <c r="D2068" s="7">
        <f t="shared" si="97"/>
        <v>1.3800598867746863</v>
      </c>
      <c r="E2068" s="8">
        <f t="shared" si="98"/>
        <v>-2.228773243196188</v>
      </c>
    </row>
    <row r="2069" spans="1:5" x14ac:dyDescent="0.2">
      <c r="A2069" s="1">
        <v>44631</v>
      </c>
      <c r="B2069">
        <v>67331.100000000006</v>
      </c>
      <c r="C2069" s="6">
        <f t="shared" si="96"/>
        <v>-3.5730840861842327E-3</v>
      </c>
      <c r="D2069" s="7">
        <f t="shared" si="97"/>
        <v>-0.32818859993998023</v>
      </c>
      <c r="E2069" s="8">
        <f t="shared" si="98"/>
        <v>-0.80019384555920037</v>
      </c>
    </row>
    <row r="2070" spans="1:5" x14ac:dyDescent="0.2">
      <c r="A2070" s="1">
        <v>44634</v>
      </c>
      <c r="B2070">
        <v>65500.56</v>
      </c>
      <c r="C2070" s="6">
        <f t="shared" si="96"/>
        <v>-2.7563547643203672E-2</v>
      </c>
      <c r="D2070" s="7">
        <f t="shared" si="97"/>
        <v>-2.3983137875110443</v>
      </c>
      <c r="E2070" s="8">
        <f t="shared" si="98"/>
        <v>-3.9570092454078063</v>
      </c>
    </row>
    <row r="2071" spans="1:5" x14ac:dyDescent="0.2">
      <c r="A2071" s="1">
        <v>44635</v>
      </c>
      <c r="B2071">
        <v>64292.26</v>
      </c>
      <c r="C2071" s="6">
        <f t="shared" si="96"/>
        <v>-1.8619441475235209E-2</v>
      </c>
      <c r="D2071" s="7">
        <f t="shared" si="97"/>
        <v>-1.6265313075846095</v>
      </c>
      <c r="E2071" s="8">
        <f t="shared" si="98"/>
        <v>-2.6554616845067862</v>
      </c>
    </row>
    <row r="2072" spans="1:5" x14ac:dyDescent="0.2">
      <c r="A2072" s="1">
        <v>44636</v>
      </c>
      <c r="B2072">
        <v>66971.88</v>
      </c>
      <c r="C2072" s="6">
        <f t="shared" si="96"/>
        <v>4.0833579051362548E-2</v>
      </c>
      <c r="D2072" s="7">
        <f t="shared" si="97"/>
        <v>3.5036403115160391</v>
      </c>
      <c r="E2072" s="8">
        <f t="shared" si="98"/>
        <v>-5.5701977415545425</v>
      </c>
    </row>
    <row r="2073" spans="1:5" x14ac:dyDescent="0.2">
      <c r="A2073" s="1">
        <v>44637</v>
      </c>
      <c r="B2073">
        <v>67570.25</v>
      </c>
      <c r="C2073" s="6">
        <f t="shared" si="96"/>
        <v>8.8949676249372462E-3</v>
      </c>
      <c r="D2073" s="7">
        <f t="shared" si="97"/>
        <v>0.74767339104598107</v>
      </c>
      <c r="E2073" s="8">
        <f t="shared" si="98"/>
        <v>-1.2333625095863854</v>
      </c>
    </row>
    <row r="2074" spans="1:5" x14ac:dyDescent="0.2">
      <c r="A2074" s="1">
        <v>44638</v>
      </c>
      <c r="B2074">
        <v>68275.27</v>
      </c>
      <c r="C2074" s="6">
        <f t="shared" si="96"/>
        <v>1.0379824523292235E-2</v>
      </c>
      <c r="D2074" s="7">
        <f t="shared" si="97"/>
        <v>0.87580095548080528</v>
      </c>
      <c r="E2074" s="8">
        <f t="shared" si="98"/>
        <v>-1.4124117310121764</v>
      </c>
    </row>
    <row r="2075" spans="1:5" x14ac:dyDescent="0.2">
      <c r="A2075" s="1">
        <v>44641</v>
      </c>
      <c r="B2075">
        <v>68275.27</v>
      </c>
      <c r="C2075" s="6">
        <f t="shared" si="96"/>
        <v>0</v>
      </c>
      <c r="D2075" s="7">
        <f t="shared" si="97"/>
        <v>-1.9868948402647236E-2</v>
      </c>
      <c r="E2075" s="8">
        <f t="shared" si="98"/>
        <v>-0.68647877157625115</v>
      </c>
    </row>
    <row r="2076" spans="1:5" x14ac:dyDescent="0.2">
      <c r="A2076" s="1">
        <v>44642</v>
      </c>
      <c r="B2076">
        <v>69145.89</v>
      </c>
      <c r="C2076" s="6">
        <f t="shared" si="96"/>
        <v>1.2670998388365128E-2</v>
      </c>
      <c r="D2076" s="7">
        <f t="shared" si="97"/>
        <v>1.0735052105869627</v>
      </c>
      <c r="E2076" s="8">
        <f t="shared" si="98"/>
        <v>-1.7165184210221096</v>
      </c>
    </row>
    <row r="2077" spans="1:5" x14ac:dyDescent="0.2">
      <c r="A2077" s="1">
        <v>44643</v>
      </c>
      <c r="B2077">
        <v>68235.42</v>
      </c>
      <c r="C2077" s="6">
        <f t="shared" si="96"/>
        <v>-1.3254835465622127E-2</v>
      </c>
      <c r="D2077" s="7">
        <f t="shared" si="97"/>
        <v>-1.1636221188771749</v>
      </c>
      <c r="E2077" s="8">
        <f t="shared" si="98"/>
        <v>-1.8633060391769143</v>
      </c>
    </row>
    <row r="2078" spans="1:5" x14ac:dyDescent="0.2">
      <c r="A2078" s="1">
        <v>44644</v>
      </c>
      <c r="B2078">
        <v>67690.25</v>
      </c>
      <c r="C2078" s="6">
        <f t="shared" si="96"/>
        <v>-8.0216330486563691E-3</v>
      </c>
      <c r="D2078" s="7">
        <f t="shared" si="97"/>
        <v>-0.71205168092918392</v>
      </c>
      <c r="E2078" s="8">
        <f t="shared" si="98"/>
        <v>-1.1867494359850945</v>
      </c>
    </row>
    <row r="2079" spans="1:5" x14ac:dyDescent="0.2">
      <c r="A2079" s="1">
        <v>44645</v>
      </c>
      <c r="B2079">
        <v>67578.28</v>
      </c>
      <c r="C2079" s="6">
        <f t="shared" si="96"/>
        <v>-1.6555221761264728E-3</v>
      </c>
      <c r="D2079" s="7">
        <f t="shared" si="97"/>
        <v>-0.16272313491039875</v>
      </c>
      <c r="E2079" s="8">
        <f t="shared" si="98"/>
        <v>-0.71454838889986239</v>
      </c>
    </row>
    <row r="2080" spans="1:5" x14ac:dyDescent="0.2">
      <c r="A2080" s="1">
        <v>44648</v>
      </c>
      <c r="B2080">
        <v>67436.210000000006</v>
      </c>
      <c r="C2080" s="6">
        <f t="shared" si="96"/>
        <v>-2.1045156328848807E-3</v>
      </c>
      <c r="D2080" s="7">
        <f t="shared" si="97"/>
        <v>-0.20146655734077623</v>
      </c>
      <c r="E2080" s="8">
        <f t="shared" si="98"/>
        <v>-0.72961551028796967</v>
      </c>
    </row>
    <row r="2081" spans="1:5" x14ac:dyDescent="0.2">
      <c r="A2081" s="1">
        <v>44649</v>
      </c>
      <c r="B2081">
        <v>67911.149999999994</v>
      </c>
      <c r="C2081" s="6">
        <f t="shared" si="96"/>
        <v>7.0181191474953716E-3</v>
      </c>
      <c r="D2081" s="7">
        <f t="shared" si="97"/>
        <v>0.58572106790006118</v>
      </c>
      <c r="E2081" s="8">
        <f t="shared" si="98"/>
        <v>-1.0344617325345153</v>
      </c>
    </row>
    <row r="2082" spans="1:5" x14ac:dyDescent="0.2">
      <c r="A2082" s="1">
        <v>44650</v>
      </c>
      <c r="B2082">
        <v>68529.72</v>
      </c>
      <c r="C2082" s="6">
        <f t="shared" si="96"/>
        <v>9.0672866276404508E-3</v>
      </c>
      <c r="D2082" s="7">
        <f t="shared" si="97"/>
        <v>0.7625427122220888</v>
      </c>
      <c r="E2082" s="8">
        <f t="shared" si="98"/>
        <v>-1.2532545262221098</v>
      </c>
    </row>
    <row r="2083" spans="1:5" x14ac:dyDescent="0.2">
      <c r="A2083" s="1">
        <v>44651</v>
      </c>
      <c r="B2083">
        <v>68507.850000000006</v>
      </c>
      <c r="C2083" s="6">
        <f t="shared" si="96"/>
        <v>-3.1918254513226316E-4</v>
      </c>
      <c r="D2083" s="7">
        <f t="shared" si="97"/>
        <v>-4.7411051728033199E-2</v>
      </c>
      <c r="E2083" s="8">
        <f t="shared" si="98"/>
        <v>-0.6884822088785133</v>
      </c>
    </row>
    <row r="2084" spans="1:5" x14ac:dyDescent="0.2">
      <c r="A2084" s="1">
        <v>44652</v>
      </c>
      <c r="B2084">
        <v>68934.929999999993</v>
      </c>
      <c r="C2084" s="6">
        <f t="shared" si="96"/>
        <v>6.2146789313257981E-3</v>
      </c>
      <c r="D2084" s="7">
        <f t="shared" si="97"/>
        <v>0.51639261060505703</v>
      </c>
      <c r="E2084" s="8">
        <f t="shared" si="98"/>
        <v>-0.9605442836904895</v>
      </c>
    </row>
    <row r="2085" spans="1:5" x14ac:dyDescent="0.2">
      <c r="A2085" s="1">
        <v>44655</v>
      </c>
      <c r="B2085">
        <v>68940.52</v>
      </c>
      <c r="C2085" s="6">
        <f t="shared" si="96"/>
        <v>8.1087677364909203E-5</v>
      </c>
      <c r="D2085" s="7">
        <f t="shared" si="97"/>
        <v>-1.2871932987927603E-2</v>
      </c>
      <c r="E2085" s="8">
        <f t="shared" si="98"/>
        <v>-0.68623098878880762</v>
      </c>
    </row>
    <row r="2086" spans="1:5" x14ac:dyDescent="0.2">
      <c r="A2086" s="1">
        <v>44656</v>
      </c>
      <c r="B2086">
        <v>68343.649999999994</v>
      </c>
      <c r="C2086" s="6">
        <f t="shared" si="96"/>
        <v>-8.6954491667211517E-3</v>
      </c>
      <c r="D2086" s="7">
        <f t="shared" si="97"/>
        <v>-0.77019493916518966</v>
      </c>
      <c r="E2086" s="8">
        <f t="shared" si="98"/>
        <v>-1.2635881305577819</v>
      </c>
    </row>
    <row r="2087" spans="1:5" x14ac:dyDescent="0.2">
      <c r="A2087" s="1">
        <v>44657</v>
      </c>
      <c r="B2087">
        <v>67308.61</v>
      </c>
      <c r="C2087" s="6">
        <f t="shared" si="96"/>
        <v>-1.5260491595538109E-2</v>
      </c>
      <c r="D2087" s="7">
        <f t="shared" si="97"/>
        <v>-1.3366891903940379</v>
      </c>
      <c r="E2087" s="8">
        <f t="shared" si="98"/>
        <v>-2.1544836684024515</v>
      </c>
    </row>
    <row r="2088" spans="1:5" x14ac:dyDescent="0.2">
      <c r="A2088" s="1">
        <v>44658</v>
      </c>
      <c r="B2088">
        <v>67003.12</v>
      </c>
      <c r="C2088" s="6">
        <f t="shared" si="96"/>
        <v>-4.5489776179176459E-3</v>
      </c>
      <c r="D2088" s="7">
        <f t="shared" si="97"/>
        <v>-0.41239796820114155</v>
      </c>
      <c r="E2088" s="8">
        <f t="shared" si="98"/>
        <v>-0.86420948711278656</v>
      </c>
    </row>
    <row r="2089" spans="1:5" x14ac:dyDescent="0.2">
      <c r="A2089" s="1">
        <v>44659</v>
      </c>
      <c r="B2089">
        <v>67747.070000000007</v>
      </c>
      <c r="C2089" s="6">
        <f t="shared" si="96"/>
        <v>1.104202612122125E-2</v>
      </c>
      <c r="D2089" s="7">
        <f t="shared" si="97"/>
        <v>0.93294200254163051</v>
      </c>
      <c r="E2089" s="8">
        <f t="shared" si="98"/>
        <v>-1.4972753407219055</v>
      </c>
    </row>
    <row r="2090" spans="1:5" x14ac:dyDescent="0.2">
      <c r="A2090" s="1">
        <v>44662</v>
      </c>
      <c r="B2090">
        <v>67405.960000000006</v>
      </c>
      <c r="C2090" s="6">
        <f t="shared" si="96"/>
        <v>-5.0477702836480088E-3</v>
      </c>
      <c r="D2090" s="7">
        <f t="shared" si="97"/>
        <v>-0.45543853964529013</v>
      </c>
      <c r="E2090" s="8">
        <f t="shared" si="98"/>
        <v>-0.90185882587232169</v>
      </c>
    </row>
    <row r="2091" spans="1:5" x14ac:dyDescent="0.2">
      <c r="A2091" s="1">
        <v>44663</v>
      </c>
      <c r="B2091">
        <v>66780.070000000007</v>
      </c>
      <c r="C2091" s="6">
        <f t="shared" si="96"/>
        <v>-9.3287585755129302E-3</v>
      </c>
      <c r="D2091" s="7">
        <f t="shared" si="97"/>
        <v>-0.82484289357213991</v>
      </c>
      <c r="E2091" s="8">
        <f t="shared" si="98"/>
        <v>-1.3392080941837314</v>
      </c>
    </row>
    <row r="2092" spans="1:5" x14ac:dyDescent="0.2">
      <c r="A2092" s="1">
        <v>44664</v>
      </c>
      <c r="B2092">
        <v>66200.31</v>
      </c>
      <c r="C2092" s="6">
        <f t="shared" si="96"/>
        <v>-8.7195370215340639E-3</v>
      </c>
      <c r="D2092" s="7">
        <f t="shared" si="97"/>
        <v>-0.77227346819587084</v>
      </c>
      <c r="E2092" s="8">
        <f t="shared" si="98"/>
        <v>-1.2664061559381985</v>
      </c>
    </row>
    <row r="2093" spans="1:5" x14ac:dyDescent="0.2">
      <c r="A2093" s="1">
        <v>44665</v>
      </c>
      <c r="B2093">
        <v>66481.94</v>
      </c>
      <c r="C2093" s="6">
        <f t="shared" si="96"/>
        <v>4.2451861187451957E-3</v>
      </c>
      <c r="D2093" s="7">
        <f t="shared" si="97"/>
        <v>0.3464460537837174</v>
      </c>
      <c r="E2093" s="8">
        <f t="shared" si="98"/>
        <v>-0.81295406494773048</v>
      </c>
    </row>
    <row r="2094" spans="1:5" x14ac:dyDescent="0.2">
      <c r="A2094" s="1">
        <v>44670</v>
      </c>
      <c r="B2094">
        <v>66867.429999999993</v>
      </c>
      <c r="C2094" s="6">
        <f t="shared" si="96"/>
        <v>5.7816707171083753E-3</v>
      </c>
      <c r="D2094" s="7">
        <f t="shared" si="97"/>
        <v>0.47902854681586948</v>
      </c>
      <c r="E2094" s="8">
        <f t="shared" si="98"/>
        <v>-0.9238421427718736</v>
      </c>
    </row>
    <row r="2095" spans="1:5" x14ac:dyDescent="0.2">
      <c r="A2095" s="1">
        <v>44671</v>
      </c>
      <c r="B2095">
        <v>66765.06</v>
      </c>
      <c r="C2095" s="6">
        <f t="shared" si="96"/>
        <v>-1.5321127373292159E-3</v>
      </c>
      <c r="D2095" s="7">
        <f t="shared" si="97"/>
        <v>-0.15207419571708075</v>
      </c>
      <c r="E2095" s="8">
        <f t="shared" si="98"/>
        <v>-0.7109567295390381</v>
      </c>
    </row>
    <row r="2096" spans="1:5" x14ac:dyDescent="0.2">
      <c r="A2096" s="1">
        <v>44672</v>
      </c>
      <c r="B2096">
        <v>66417.55</v>
      </c>
      <c r="C2096" s="6">
        <f t="shared" si="96"/>
        <v>-5.2185610216769884E-3</v>
      </c>
      <c r="D2096" s="7">
        <f t="shared" si="97"/>
        <v>-0.47017598762153789</v>
      </c>
      <c r="E2096" s="8">
        <f t="shared" si="98"/>
        <v>-0.9154828390553309</v>
      </c>
    </row>
    <row r="2097" spans="1:5" x14ac:dyDescent="0.2">
      <c r="A2097" s="1">
        <v>44673</v>
      </c>
      <c r="B2097">
        <v>65385.48</v>
      </c>
      <c r="C2097" s="6">
        <f t="shared" si="96"/>
        <v>-1.5661113323494642E-2</v>
      </c>
      <c r="D2097" s="7">
        <f t="shared" si="97"/>
        <v>-1.3712586403656872</v>
      </c>
      <c r="E2097" s="8">
        <f t="shared" si="98"/>
        <v>-2.2136664638338557</v>
      </c>
    </row>
    <row r="2098" spans="1:5" x14ac:dyDescent="0.2">
      <c r="A2098" s="1">
        <v>44676</v>
      </c>
      <c r="B2098">
        <v>62895.89</v>
      </c>
      <c r="C2098" s="6">
        <f t="shared" si="96"/>
        <v>-3.8819395705682103E-2</v>
      </c>
      <c r="D2098" s="7">
        <f t="shared" si="97"/>
        <v>-3.3695753275904501</v>
      </c>
      <c r="E2098" s="8">
        <f t="shared" si="98"/>
        <v>-5.3915676912847408</v>
      </c>
    </row>
    <row r="2099" spans="1:5" x14ac:dyDescent="0.2">
      <c r="A2099" s="1">
        <v>44677</v>
      </c>
      <c r="B2099">
        <v>63336.92</v>
      </c>
      <c r="C2099" s="6">
        <f t="shared" si="96"/>
        <v>6.9875937086914123E-3</v>
      </c>
      <c r="D2099" s="7">
        <f t="shared" si="97"/>
        <v>0.58308704294345515</v>
      </c>
      <c r="E2099" s="8">
        <f t="shared" si="98"/>
        <v>-1.0315209748076295</v>
      </c>
    </row>
    <row r="2100" spans="1:5" x14ac:dyDescent="0.2">
      <c r="A2100" s="1">
        <v>44679</v>
      </c>
      <c r="B2100">
        <v>64551.99</v>
      </c>
      <c r="C2100" s="6">
        <f t="shared" si="96"/>
        <v>1.9002532164508996E-2</v>
      </c>
      <c r="D2100" s="7">
        <f t="shared" si="97"/>
        <v>1.6198501161282863</v>
      </c>
      <c r="E2100" s="8">
        <f t="shared" si="98"/>
        <v>-2.6438570385256934</v>
      </c>
    </row>
    <row r="2101" spans="1:5" x14ac:dyDescent="0.2">
      <c r="A2101" s="1">
        <v>44680</v>
      </c>
      <c r="B2101">
        <v>65475.55</v>
      </c>
      <c r="C2101" s="6">
        <f t="shared" si="96"/>
        <v>1.4205844878899145E-2</v>
      </c>
      <c r="D2101" s="7">
        <f t="shared" si="97"/>
        <v>1.2059463521079592</v>
      </c>
      <c r="E2101" s="8">
        <f t="shared" si="98"/>
        <v>-1.9335475062672887</v>
      </c>
    </row>
    <row r="2102" spans="1:5" x14ac:dyDescent="0.2">
      <c r="A2102" s="1">
        <v>44684</v>
      </c>
      <c r="B2102">
        <v>64401.3</v>
      </c>
      <c r="C2102" s="6">
        <f t="shared" si="96"/>
        <v>-1.6542971269254279E-2</v>
      </c>
      <c r="D2102" s="7">
        <f t="shared" si="97"/>
        <v>-1.4473537246077155</v>
      </c>
      <c r="E2102" s="8">
        <f t="shared" si="98"/>
        <v>-2.3447094161642661</v>
      </c>
    </row>
    <row r="2103" spans="1:5" x14ac:dyDescent="0.2">
      <c r="A2103" s="1">
        <v>44685</v>
      </c>
      <c r="B2103">
        <v>63573.87</v>
      </c>
      <c r="C2103" s="6">
        <f t="shared" si="96"/>
        <v>-1.2931282374095078E-2</v>
      </c>
      <c r="D2103" s="7">
        <f t="shared" si="97"/>
        <v>-1.1357028832736322</v>
      </c>
      <c r="E2103" s="8">
        <f t="shared" si="98"/>
        <v>-1.8173980803478356</v>
      </c>
    </row>
    <row r="2104" spans="1:5" x14ac:dyDescent="0.2">
      <c r="A2104" s="1">
        <v>44686</v>
      </c>
      <c r="B2104">
        <v>62902.26</v>
      </c>
      <c r="C2104" s="6">
        <f t="shared" si="96"/>
        <v>-1.0620443759254352E-2</v>
      </c>
      <c r="D2104" s="7">
        <f t="shared" si="97"/>
        <v>-0.9363017666747856</v>
      </c>
      <c r="E2104" s="8">
        <f t="shared" si="98"/>
        <v>-1.5023497575461113</v>
      </c>
    </row>
    <row r="2105" spans="1:5" x14ac:dyDescent="0.2">
      <c r="A2105" s="1">
        <v>44687</v>
      </c>
      <c r="B2105">
        <v>61290.1</v>
      </c>
      <c r="C2105" s="6">
        <f t="shared" si="96"/>
        <v>-2.5963764024776959E-2</v>
      </c>
      <c r="D2105" s="7">
        <f t="shared" si="97"/>
        <v>-2.2602692534695286</v>
      </c>
      <c r="E2105" s="8">
        <f t="shared" si="98"/>
        <v>-3.7329182068360049</v>
      </c>
    </row>
    <row r="2106" spans="1:5" x14ac:dyDescent="0.2">
      <c r="A2106" s="1">
        <v>44690</v>
      </c>
      <c r="B2106">
        <v>60161.02</v>
      </c>
      <c r="C2106" s="6">
        <f t="shared" si="96"/>
        <v>-1.8593694798756444E-2</v>
      </c>
      <c r="D2106" s="7">
        <f t="shared" si="97"/>
        <v>-1.6243096396560903</v>
      </c>
      <c r="E2106" s="8">
        <f t="shared" si="98"/>
        <v>-2.6516028997027932</v>
      </c>
    </row>
    <row r="2107" spans="1:5" x14ac:dyDescent="0.2">
      <c r="A2107" s="1">
        <v>44691</v>
      </c>
      <c r="B2107">
        <v>60359.4</v>
      </c>
      <c r="C2107" s="6">
        <f t="shared" si="96"/>
        <v>3.2920592073020947E-3</v>
      </c>
      <c r="D2107" s="7">
        <f t="shared" si="97"/>
        <v>0.26420120588235757</v>
      </c>
      <c r="E2107" s="8">
        <f t="shared" si="98"/>
        <v>-0.76055441962025228</v>
      </c>
    </row>
    <row r="2108" spans="1:5" x14ac:dyDescent="0.2">
      <c r="A2108" s="1">
        <v>44692</v>
      </c>
      <c r="B2108">
        <v>61786.27</v>
      </c>
      <c r="C2108" s="6">
        <f t="shared" si="96"/>
        <v>2.3364478003436575E-2</v>
      </c>
      <c r="D2108" s="7">
        <f t="shared" si="97"/>
        <v>1.9962402565906923</v>
      </c>
      <c r="E2108" s="8">
        <f t="shared" si="98"/>
        <v>-3.292071738906051</v>
      </c>
    </row>
    <row r="2109" spans="1:5" x14ac:dyDescent="0.2">
      <c r="A2109" s="1">
        <v>44693</v>
      </c>
      <c r="B2109">
        <v>60641.2</v>
      </c>
      <c r="C2109" s="6">
        <f t="shared" si="96"/>
        <v>-1.8706641439302122E-2</v>
      </c>
      <c r="D2109" s="7">
        <f t="shared" si="97"/>
        <v>-1.6340557491837127</v>
      </c>
      <c r="E2109" s="8">
        <f t="shared" si="98"/>
        <v>-2.668530240435393</v>
      </c>
    </row>
    <row r="2110" spans="1:5" x14ac:dyDescent="0.2">
      <c r="A2110" s="1">
        <v>44694</v>
      </c>
      <c r="B2110">
        <v>61991.97</v>
      </c>
      <c r="C2110" s="6">
        <f t="shared" si="96"/>
        <v>2.2030330471597231E-2</v>
      </c>
      <c r="D2110" s="7">
        <f t="shared" si="97"/>
        <v>1.8811173285558858</v>
      </c>
      <c r="E2110" s="8">
        <f t="shared" si="98"/>
        <v>-3.0956199016994588</v>
      </c>
    </row>
    <row r="2111" spans="1:5" x14ac:dyDescent="0.2">
      <c r="A2111" s="1">
        <v>44697</v>
      </c>
      <c r="B2111">
        <v>62495.81</v>
      </c>
      <c r="C2111" s="6">
        <f t="shared" si="96"/>
        <v>8.0946539669533614E-3</v>
      </c>
      <c r="D2111" s="7">
        <f t="shared" si="97"/>
        <v>0.67861472290428848</v>
      </c>
      <c r="E2111" s="8">
        <f t="shared" si="98"/>
        <v>-1.1443950205531974</v>
      </c>
    </row>
    <row r="2112" spans="1:5" x14ac:dyDescent="0.2">
      <c r="A2112" s="1">
        <v>44698</v>
      </c>
      <c r="B2112">
        <v>63026.74</v>
      </c>
      <c r="C2112" s="6">
        <f t="shared" si="96"/>
        <v>8.4595662898394892E-3</v>
      </c>
      <c r="D2112" s="7">
        <f t="shared" si="97"/>
        <v>0.71010282604436348</v>
      </c>
      <c r="E2112" s="8">
        <f t="shared" si="98"/>
        <v>-1.1842428810477548</v>
      </c>
    </row>
    <row r="2113" spans="1:5" x14ac:dyDescent="0.2">
      <c r="A2113" s="1">
        <v>44699</v>
      </c>
      <c r="B2113">
        <v>62494.43</v>
      </c>
      <c r="C2113" s="6">
        <f t="shared" si="96"/>
        <v>-8.4816480139814823E-3</v>
      </c>
      <c r="D2113" s="7">
        <f t="shared" si="97"/>
        <v>-0.75174614386091476</v>
      </c>
      <c r="E2113" s="8">
        <f t="shared" si="98"/>
        <v>-1.2387861016996475</v>
      </c>
    </row>
    <row r="2114" spans="1:5" x14ac:dyDescent="0.2">
      <c r="A2114" s="1">
        <v>44700</v>
      </c>
      <c r="B2114">
        <v>61725.52</v>
      </c>
      <c r="C2114" s="6">
        <f t="shared" si="96"/>
        <v>-1.2379973111829607E-2</v>
      </c>
      <c r="D2114" s="7">
        <f t="shared" si="97"/>
        <v>-1.0881306807922408</v>
      </c>
      <c r="E2114" s="8">
        <f t="shared" si="98"/>
        <v>-1.7400542164596235</v>
      </c>
    </row>
    <row r="2115" spans="1:5" x14ac:dyDescent="0.2">
      <c r="A2115" s="1">
        <v>44701</v>
      </c>
      <c r="B2115">
        <v>60999.46</v>
      </c>
      <c r="C2115" s="6">
        <f t="shared" ref="C2115:C2178" si="99">LN(B2115/B2114)</f>
        <v>-1.1832447983991459E-2</v>
      </c>
      <c r="D2115" s="7">
        <f t="shared" ref="D2115:D2178" si="100">(C2115-$G$4)/$G$5</f>
        <v>-1.0408850093915238</v>
      </c>
      <c r="E2115" s="8">
        <f t="shared" ref="E2115:E2178" si="101">LN((PI()*(G$3-2))^(-1/2)*EXP(GAMMALN((G$3+1)/2))*((1+D2115^2/(G$3-2))^(-(G$3+1)/2))/EXP(GAMMALN(G$3/2)))</f>
        <v>-1.6644724207385799</v>
      </c>
    </row>
    <row r="2116" spans="1:5" x14ac:dyDescent="0.2">
      <c r="A2116" s="1">
        <v>44704</v>
      </c>
      <c r="B2116">
        <v>61787.53</v>
      </c>
      <c r="C2116" s="6">
        <f t="shared" si="99"/>
        <v>1.2836552492948445E-2</v>
      </c>
      <c r="D2116" s="7">
        <f t="shared" si="100"/>
        <v>1.0877907920634999</v>
      </c>
      <c r="E2116" s="8">
        <f t="shared" si="101"/>
        <v>-1.7395059039201792</v>
      </c>
    </row>
    <row r="2117" spans="1:5" x14ac:dyDescent="0.2">
      <c r="A2117" s="1">
        <v>44705</v>
      </c>
      <c r="B2117">
        <v>61176.93</v>
      </c>
      <c r="C2117" s="6">
        <f t="shared" si="99"/>
        <v>-9.9314065016700773E-3</v>
      </c>
      <c r="D2117" s="7">
        <f t="shared" si="100"/>
        <v>-0.87684508386788973</v>
      </c>
      <c r="E2117" s="8">
        <f t="shared" si="101"/>
        <v>-1.4139370099152362</v>
      </c>
    </row>
    <row r="2118" spans="1:5" x14ac:dyDescent="0.2">
      <c r="A2118" s="1">
        <v>44706</v>
      </c>
      <c r="B2118">
        <v>61176.02</v>
      </c>
      <c r="C2118" s="6">
        <f t="shared" si="99"/>
        <v>-1.4874998927572235E-5</v>
      </c>
      <c r="D2118" s="7">
        <f t="shared" si="100"/>
        <v>-2.1152504673741048E-2</v>
      </c>
      <c r="E2118" s="8">
        <f t="shared" si="101"/>
        <v>-0.68653571848663486</v>
      </c>
    </row>
    <row r="2119" spans="1:5" x14ac:dyDescent="0.2">
      <c r="A2119" s="1">
        <v>44707</v>
      </c>
      <c r="B2119">
        <v>63019</v>
      </c>
      <c r="C2119" s="6">
        <f t="shared" si="99"/>
        <v>2.9680985557349004E-2</v>
      </c>
      <c r="D2119" s="7">
        <f t="shared" si="100"/>
        <v>2.5412885568771233</v>
      </c>
      <c r="E2119" s="8">
        <f t="shared" si="101"/>
        <v>-4.1839872451366356</v>
      </c>
    </row>
    <row r="2120" spans="1:5" x14ac:dyDescent="0.2">
      <c r="A2120" s="1">
        <v>44708</v>
      </c>
      <c r="B2120">
        <v>63882.81</v>
      </c>
      <c r="C2120" s="6">
        <f t="shared" si="99"/>
        <v>1.3614042883391212E-2</v>
      </c>
      <c r="D2120" s="7">
        <f t="shared" si="100"/>
        <v>1.1548800517822477</v>
      </c>
      <c r="E2120" s="8">
        <f t="shared" si="101"/>
        <v>-1.8488929104642642</v>
      </c>
    </row>
    <row r="2121" spans="1:5" x14ac:dyDescent="0.2">
      <c r="A2121" s="1">
        <v>44711</v>
      </c>
      <c r="B2121">
        <v>65335.09</v>
      </c>
      <c r="C2121" s="6">
        <f t="shared" si="99"/>
        <v>2.2478946847837897E-2</v>
      </c>
      <c r="D2121" s="7">
        <f t="shared" si="100"/>
        <v>1.9198282128956314</v>
      </c>
      <c r="E2121" s="8">
        <f t="shared" si="101"/>
        <v>-3.1619171213640276</v>
      </c>
    </row>
    <row r="2122" spans="1:5" x14ac:dyDescent="0.2">
      <c r="A2122" s="1">
        <v>44712</v>
      </c>
      <c r="B2122">
        <v>65431.16</v>
      </c>
      <c r="C2122" s="6">
        <f t="shared" si="99"/>
        <v>1.4693396390012797E-3</v>
      </c>
      <c r="D2122" s="7">
        <f t="shared" si="100"/>
        <v>0.10691963942783424</v>
      </c>
      <c r="E2122" s="8">
        <f t="shared" si="101"/>
        <v>-0.69839046127947169</v>
      </c>
    </row>
    <row r="2123" spans="1:5" x14ac:dyDescent="0.2">
      <c r="A2123" s="1">
        <v>44713</v>
      </c>
      <c r="B2123">
        <v>64237.1</v>
      </c>
      <c r="C2123" s="6">
        <f t="shared" si="99"/>
        <v>-1.8417672188472289E-2</v>
      </c>
      <c r="D2123" s="7">
        <f t="shared" si="100"/>
        <v>-1.609120736020895</v>
      </c>
      <c r="E2123" s="8">
        <f t="shared" si="101"/>
        <v>-2.6252202528075106</v>
      </c>
    </row>
    <row r="2124" spans="1:5" x14ac:dyDescent="0.2">
      <c r="A2124" s="1">
        <v>44714</v>
      </c>
      <c r="B2124">
        <v>64427.33</v>
      </c>
      <c r="C2124" s="6">
        <f t="shared" si="99"/>
        <v>2.9569965624768376E-3</v>
      </c>
      <c r="D2124" s="7">
        <f t="shared" si="100"/>
        <v>0.2352888166399249</v>
      </c>
      <c r="E2124" s="8">
        <f t="shared" si="101"/>
        <v>-0.74530291938409599</v>
      </c>
    </row>
    <row r="2125" spans="1:5" x14ac:dyDescent="0.2">
      <c r="A2125" s="1">
        <v>44715</v>
      </c>
      <c r="B2125">
        <v>64318.95</v>
      </c>
      <c r="C2125" s="6">
        <f t="shared" si="99"/>
        <v>-1.6836218584491212E-3</v>
      </c>
      <c r="D2125" s="7">
        <f t="shared" si="100"/>
        <v>-0.16514784254477208</v>
      </c>
      <c r="E2125" s="8">
        <f t="shared" si="101"/>
        <v>-0.71539947650408109</v>
      </c>
    </row>
    <row r="2126" spans="1:5" x14ac:dyDescent="0.2">
      <c r="A2126" s="1">
        <v>44718</v>
      </c>
      <c r="B2126">
        <v>64535.61</v>
      </c>
      <c r="C2126" s="6">
        <f t="shared" si="99"/>
        <v>3.3628643671030634E-3</v>
      </c>
      <c r="D2126" s="7">
        <f t="shared" si="100"/>
        <v>0.27031094796239724</v>
      </c>
      <c r="E2126" s="8">
        <f t="shared" si="101"/>
        <v>-0.76399180162746627</v>
      </c>
    </row>
    <row r="2127" spans="1:5" x14ac:dyDescent="0.2">
      <c r="A2127" s="1">
        <v>44719</v>
      </c>
      <c r="B2127">
        <v>63734.22</v>
      </c>
      <c r="C2127" s="6">
        <f t="shared" si="99"/>
        <v>-1.2495540491390527E-2</v>
      </c>
      <c r="D2127" s="7">
        <f t="shared" si="100"/>
        <v>-1.0981029325881275</v>
      </c>
      <c r="E2127" s="8">
        <f t="shared" si="101"/>
        <v>-1.756169580412217</v>
      </c>
    </row>
    <row r="2128" spans="1:5" x14ac:dyDescent="0.2">
      <c r="A2128" s="1">
        <v>44720</v>
      </c>
      <c r="B2128">
        <v>63449.35</v>
      </c>
      <c r="C2128" s="6">
        <f t="shared" si="99"/>
        <v>-4.4796741652261057E-3</v>
      </c>
      <c r="D2128" s="7">
        <f t="shared" si="100"/>
        <v>-0.40641780768188301</v>
      </c>
      <c r="E2128" s="8">
        <f t="shared" si="101"/>
        <v>-0.8592359895717494</v>
      </c>
    </row>
    <row r="2129" spans="1:5" x14ac:dyDescent="0.2">
      <c r="A2129" s="1">
        <v>44721</v>
      </c>
      <c r="B2129">
        <v>62427.08</v>
      </c>
      <c r="C2129" s="6">
        <f t="shared" si="99"/>
        <v>-1.6242794226364168E-2</v>
      </c>
      <c r="D2129" s="7">
        <f t="shared" si="100"/>
        <v>-1.4214515966333856</v>
      </c>
      <c r="E2129" s="8">
        <f t="shared" si="101"/>
        <v>-2.3000027599762252</v>
      </c>
    </row>
    <row r="2130" spans="1:5" x14ac:dyDescent="0.2">
      <c r="A2130" s="1">
        <v>44722</v>
      </c>
      <c r="B2130">
        <v>61348.19</v>
      </c>
      <c r="C2130" s="6">
        <f t="shared" si="99"/>
        <v>-1.7433487725502333E-2</v>
      </c>
      <c r="D2130" s="7">
        <f t="shared" si="100"/>
        <v>-1.5241959474202977</v>
      </c>
      <c r="E2130" s="8">
        <f t="shared" si="101"/>
        <v>-2.4777680022488133</v>
      </c>
    </row>
    <row r="2131" spans="1:5" x14ac:dyDescent="0.2">
      <c r="A2131" s="1">
        <v>44725</v>
      </c>
      <c r="B2131">
        <v>60074.62</v>
      </c>
      <c r="C2131" s="6">
        <f t="shared" si="99"/>
        <v>-2.0978211693240073E-2</v>
      </c>
      <c r="D2131" s="7">
        <f t="shared" si="100"/>
        <v>-1.8300684184194538</v>
      </c>
      <c r="E2131" s="8">
        <f t="shared" si="101"/>
        <v>-3.0078683393180827</v>
      </c>
    </row>
    <row r="2132" spans="1:5" x14ac:dyDescent="0.2">
      <c r="A2132" s="1">
        <v>44726</v>
      </c>
      <c r="B2132">
        <v>59436.5</v>
      </c>
      <c r="C2132" s="6">
        <f t="shared" si="99"/>
        <v>-1.0678940407272875E-2</v>
      </c>
      <c r="D2132" s="7">
        <f t="shared" si="100"/>
        <v>-0.94134941338506317</v>
      </c>
      <c r="E2132" s="8">
        <f t="shared" si="101"/>
        <v>-1.5099903199390454</v>
      </c>
    </row>
    <row r="2133" spans="1:5" x14ac:dyDescent="0.2">
      <c r="A2133" s="1">
        <v>44727</v>
      </c>
      <c r="B2133">
        <v>61163.02</v>
      </c>
      <c r="C2133" s="6">
        <f t="shared" si="99"/>
        <v>2.8634242751945784E-2</v>
      </c>
      <c r="D2133" s="7">
        <f t="shared" si="100"/>
        <v>2.4509656399720856</v>
      </c>
      <c r="E2133" s="8">
        <f t="shared" si="101"/>
        <v>-4.0412149448370771</v>
      </c>
    </row>
    <row r="2134" spans="1:5" x14ac:dyDescent="0.2">
      <c r="A2134" s="1">
        <v>44729</v>
      </c>
      <c r="B2134">
        <v>59082.87</v>
      </c>
      <c r="C2134" s="6">
        <f t="shared" si="99"/>
        <v>-3.4601723838301075E-2</v>
      </c>
      <c r="D2134" s="7">
        <f t="shared" si="100"/>
        <v>-3.0056345164917548</v>
      </c>
      <c r="E2134" s="8">
        <f t="shared" si="101"/>
        <v>-4.8834785264577683</v>
      </c>
    </row>
    <row r="2135" spans="1:5" x14ac:dyDescent="0.2">
      <c r="A2135" s="1">
        <v>44732</v>
      </c>
      <c r="B2135">
        <v>60073.83</v>
      </c>
      <c r="C2135" s="6">
        <f t="shared" si="99"/>
        <v>1.6633271095100134E-2</v>
      </c>
      <c r="D2135" s="7">
        <f t="shared" si="100"/>
        <v>1.4154077549351542</v>
      </c>
      <c r="E2135" s="8">
        <f t="shared" si="101"/>
        <v>-2.289584805971649</v>
      </c>
    </row>
    <row r="2136" spans="1:5" x14ac:dyDescent="0.2">
      <c r="A2136" s="1">
        <v>44733</v>
      </c>
      <c r="B2136">
        <v>60374.38</v>
      </c>
      <c r="C2136" s="6">
        <f t="shared" si="99"/>
        <v>4.9905369914209543E-3</v>
      </c>
      <c r="D2136" s="7">
        <f t="shared" si="100"/>
        <v>0.41076201047362887</v>
      </c>
      <c r="E2136" s="8">
        <f t="shared" si="101"/>
        <v>-0.86284258168869965</v>
      </c>
    </row>
    <row r="2137" spans="1:5" x14ac:dyDescent="0.2">
      <c r="A2137" s="1">
        <v>44734</v>
      </c>
      <c r="B2137">
        <v>59414.81</v>
      </c>
      <c r="C2137" s="6">
        <f t="shared" si="99"/>
        <v>-1.6021320877655291E-2</v>
      </c>
      <c r="D2137" s="7">
        <f t="shared" si="100"/>
        <v>-1.4023407713486524</v>
      </c>
      <c r="E2137" s="8">
        <f t="shared" si="101"/>
        <v>-2.2670802087243698</v>
      </c>
    </row>
    <row r="2138" spans="1:5" x14ac:dyDescent="0.2">
      <c r="A2138" s="1">
        <v>44735</v>
      </c>
      <c r="B2138">
        <v>59018.91</v>
      </c>
      <c r="C2138" s="6">
        <f t="shared" si="99"/>
        <v>-6.6856208627878531E-3</v>
      </c>
      <c r="D2138" s="7">
        <f t="shared" si="100"/>
        <v>-0.5967678528241176</v>
      </c>
      <c r="E2138" s="8">
        <f t="shared" si="101"/>
        <v>-1.0469049053855708</v>
      </c>
    </row>
    <row r="2139" spans="1:5" x14ac:dyDescent="0.2">
      <c r="A2139" s="1">
        <v>44736</v>
      </c>
      <c r="B2139">
        <v>59992.87</v>
      </c>
      <c r="C2139" s="6">
        <f t="shared" si="99"/>
        <v>1.6367820799100617E-2</v>
      </c>
      <c r="D2139" s="7">
        <f t="shared" si="100"/>
        <v>1.3925021807060138</v>
      </c>
      <c r="E2139" s="8">
        <f t="shared" si="101"/>
        <v>-2.250154214891138</v>
      </c>
    </row>
    <row r="2140" spans="1:5" x14ac:dyDescent="0.2">
      <c r="A2140" s="1">
        <v>44739</v>
      </c>
      <c r="B2140">
        <v>61524.81</v>
      </c>
      <c r="C2140" s="6">
        <f t="shared" si="99"/>
        <v>2.5214786269285229E-2</v>
      </c>
      <c r="D2140" s="7">
        <f t="shared" si="100"/>
        <v>2.1559024380571064</v>
      </c>
      <c r="E2140" s="8">
        <f t="shared" si="101"/>
        <v>-3.5604619678038913</v>
      </c>
    </row>
    <row r="2141" spans="1:5" x14ac:dyDescent="0.2">
      <c r="A2141" s="1">
        <v>44740</v>
      </c>
      <c r="B2141">
        <v>61789.23</v>
      </c>
      <c r="C2141" s="6">
        <f t="shared" si="99"/>
        <v>4.2885693350697938E-3</v>
      </c>
      <c r="D2141" s="7">
        <f t="shared" si="100"/>
        <v>0.35018956997788936</v>
      </c>
      <c r="E2141" s="8">
        <f t="shared" si="101"/>
        <v>-0.81564827779884019</v>
      </c>
    </row>
    <row r="2142" spans="1:5" x14ac:dyDescent="0.2">
      <c r="A2142" s="1">
        <v>44741</v>
      </c>
      <c r="B2142">
        <v>61553.81</v>
      </c>
      <c r="C2142" s="6">
        <f t="shared" si="99"/>
        <v>-3.817325823618916E-3</v>
      </c>
      <c r="D2142" s="7">
        <f t="shared" si="100"/>
        <v>-0.34926409818193549</v>
      </c>
      <c r="E2142" s="8">
        <f t="shared" si="101"/>
        <v>-0.81497976309797604</v>
      </c>
    </row>
    <row r="2143" spans="1:5" x14ac:dyDescent="0.2">
      <c r="A2143" s="1">
        <v>44742</v>
      </c>
      <c r="B2143">
        <v>60109.04</v>
      </c>
      <c r="C2143" s="6">
        <f t="shared" si="99"/>
        <v>-2.3751505405072371E-2</v>
      </c>
      <c r="D2143" s="7">
        <f t="shared" si="100"/>
        <v>-2.0693745556998522</v>
      </c>
      <c r="E2143" s="8">
        <f t="shared" si="101"/>
        <v>-3.4156509311264909</v>
      </c>
    </row>
    <row r="2144" spans="1:5" x14ac:dyDescent="0.2">
      <c r="A2144" s="1">
        <v>44743</v>
      </c>
      <c r="B2144">
        <v>59640.36</v>
      </c>
      <c r="C2144" s="6">
        <f t="shared" si="99"/>
        <v>-7.8277201075677774E-3</v>
      </c>
      <c r="D2144" s="7">
        <f t="shared" si="100"/>
        <v>-0.69531902953254088</v>
      </c>
      <c r="E2144" s="8">
        <f t="shared" si="101"/>
        <v>-1.1653800693349736</v>
      </c>
    </row>
    <row r="2145" spans="1:5" x14ac:dyDescent="0.2">
      <c r="A2145" s="1">
        <v>44746</v>
      </c>
      <c r="B2145">
        <v>60901.62</v>
      </c>
      <c r="C2145" s="6">
        <f t="shared" si="99"/>
        <v>2.0927249251649547E-2</v>
      </c>
      <c r="D2145" s="7">
        <f t="shared" si="100"/>
        <v>1.7859329978353493</v>
      </c>
      <c r="E2145" s="8">
        <f t="shared" si="101"/>
        <v>-2.931742169869072</v>
      </c>
    </row>
    <row r="2146" spans="1:5" x14ac:dyDescent="0.2">
      <c r="A2146" s="1">
        <v>44747</v>
      </c>
      <c r="B2146">
        <v>58952.59</v>
      </c>
      <c r="C2146" s="6">
        <f t="shared" si="99"/>
        <v>-3.2526213790438685E-2</v>
      </c>
      <c r="D2146" s="7">
        <f t="shared" si="100"/>
        <v>-2.8265397850821312</v>
      </c>
      <c r="E2146" s="8">
        <f t="shared" si="101"/>
        <v>-4.6205791800072546</v>
      </c>
    </row>
    <row r="2147" spans="1:5" x14ac:dyDescent="0.2">
      <c r="A2147" s="1">
        <v>44748</v>
      </c>
      <c r="B2147">
        <v>59702.98</v>
      </c>
      <c r="C2147" s="6">
        <f t="shared" si="99"/>
        <v>1.2648373843853731E-2</v>
      </c>
      <c r="D2147" s="7">
        <f t="shared" si="100"/>
        <v>1.0715529498755743</v>
      </c>
      <c r="E2147" s="8">
        <f t="shared" si="101"/>
        <v>-1.7133859230583779</v>
      </c>
    </row>
    <row r="2148" spans="1:5" x14ac:dyDescent="0.2">
      <c r="A2148" s="1">
        <v>44749</v>
      </c>
      <c r="B2148">
        <v>61771.44</v>
      </c>
      <c r="C2148" s="6">
        <f t="shared" si="99"/>
        <v>3.4059186322910648E-2</v>
      </c>
      <c r="D2148" s="7">
        <f t="shared" si="100"/>
        <v>2.9190813268871958</v>
      </c>
      <c r="E2148" s="8">
        <f t="shared" si="101"/>
        <v>-4.7575015629574509</v>
      </c>
    </row>
    <row r="2149" spans="1:5" x14ac:dyDescent="0.2">
      <c r="A2149" s="1">
        <v>44750</v>
      </c>
      <c r="B2149">
        <v>62107.37</v>
      </c>
      <c r="C2149" s="6">
        <f t="shared" si="99"/>
        <v>5.4235397230880467E-3</v>
      </c>
      <c r="D2149" s="7">
        <f t="shared" si="100"/>
        <v>0.44812560117627082</v>
      </c>
      <c r="E2149" s="8">
        <f t="shared" si="101"/>
        <v>-0.89523543907635938</v>
      </c>
    </row>
    <row r="2150" spans="1:5" x14ac:dyDescent="0.2">
      <c r="A2150" s="1">
        <v>44753</v>
      </c>
      <c r="B2150">
        <v>61008.160000000003</v>
      </c>
      <c r="C2150" s="6">
        <f t="shared" si="99"/>
        <v>-1.7857035728046696E-2</v>
      </c>
      <c r="D2150" s="7">
        <f t="shared" si="100"/>
        <v>-1.5607436942418031</v>
      </c>
      <c r="E2150" s="8">
        <f t="shared" si="101"/>
        <v>-2.5411991008947612</v>
      </c>
    </row>
    <row r="2151" spans="1:5" x14ac:dyDescent="0.2">
      <c r="A2151" s="1">
        <v>44754</v>
      </c>
      <c r="B2151">
        <v>60964.89</v>
      </c>
      <c r="C2151" s="6">
        <f t="shared" si="99"/>
        <v>-7.0950102199047993E-4</v>
      </c>
      <c r="D2151" s="7">
        <f t="shared" si="100"/>
        <v>-8.1091439278616853E-2</v>
      </c>
      <c r="E2151" s="8">
        <f t="shared" si="101"/>
        <v>-0.69315591535468246</v>
      </c>
    </row>
    <row r="2152" spans="1:5" x14ac:dyDescent="0.2">
      <c r="A2152" s="1">
        <v>44755</v>
      </c>
      <c r="B2152">
        <v>60031.68</v>
      </c>
      <c r="C2152" s="6">
        <f t="shared" si="99"/>
        <v>-1.5425701817502359E-2</v>
      </c>
      <c r="D2152" s="7">
        <f t="shared" si="100"/>
        <v>-1.3509450984101352</v>
      </c>
      <c r="E2152" s="8">
        <f t="shared" si="101"/>
        <v>-2.1788586527816247</v>
      </c>
    </row>
    <row r="2153" spans="1:5" x14ac:dyDescent="0.2">
      <c r="A2153" s="1">
        <v>44756</v>
      </c>
      <c r="B2153">
        <v>58639.21</v>
      </c>
      <c r="C2153" s="6">
        <f t="shared" si="99"/>
        <v>-2.3468837424242005E-2</v>
      </c>
      <c r="D2153" s="7">
        <f t="shared" si="100"/>
        <v>-2.044983275996314</v>
      </c>
      <c r="E2153" s="8">
        <f t="shared" si="101"/>
        <v>-3.3745506095615725</v>
      </c>
    </row>
    <row r="2154" spans="1:5" x14ac:dyDescent="0.2">
      <c r="A2154" s="1">
        <v>44757</v>
      </c>
      <c r="B2154">
        <v>58905.46</v>
      </c>
      <c r="C2154" s="6">
        <f t="shared" si="99"/>
        <v>4.5302003969656729E-3</v>
      </c>
      <c r="D2154" s="7">
        <f t="shared" si="100"/>
        <v>0.37103979432396478</v>
      </c>
      <c r="E2154" s="8">
        <f t="shared" si="101"/>
        <v>-0.83113340672861769</v>
      </c>
    </row>
    <row r="2155" spans="1:5" x14ac:dyDescent="0.2">
      <c r="A2155" s="1">
        <v>44760</v>
      </c>
      <c r="B2155">
        <v>60760.87</v>
      </c>
      <c r="C2155" s="6">
        <f t="shared" si="99"/>
        <v>3.1012210403868843E-2</v>
      </c>
      <c r="D2155" s="7">
        <f t="shared" si="100"/>
        <v>2.6561592878470055</v>
      </c>
      <c r="E2155" s="8">
        <f t="shared" si="101"/>
        <v>-4.3624365502888134</v>
      </c>
    </row>
    <row r="2156" spans="1:5" x14ac:dyDescent="0.2">
      <c r="A2156" s="1">
        <v>44761</v>
      </c>
      <c r="B2156">
        <v>61499.12</v>
      </c>
      <c r="C2156" s="6">
        <f t="shared" si="99"/>
        <v>1.207686951126931E-2</v>
      </c>
      <c r="D2156" s="7">
        <f t="shared" si="100"/>
        <v>1.0222381248044747</v>
      </c>
      <c r="E2156" s="8">
        <f t="shared" si="101"/>
        <v>-1.6350148857134621</v>
      </c>
    </row>
    <row r="2157" spans="1:5" x14ac:dyDescent="0.2">
      <c r="A2157" s="1">
        <v>44762</v>
      </c>
      <c r="B2157">
        <v>61379.040000000001</v>
      </c>
      <c r="C2157" s="6">
        <f t="shared" si="99"/>
        <v>-1.9544569714339331E-3</v>
      </c>
      <c r="D2157" s="7">
        <f t="shared" si="100"/>
        <v>-0.18851806995767542</v>
      </c>
      <c r="E2157" s="8">
        <f t="shared" si="101"/>
        <v>-0.72423259282990271</v>
      </c>
    </row>
    <row r="2158" spans="1:5" x14ac:dyDescent="0.2">
      <c r="A2158" s="1">
        <v>44763</v>
      </c>
      <c r="B2158">
        <v>61646.59</v>
      </c>
      <c r="C2158" s="6">
        <f t="shared" si="99"/>
        <v>4.3495070384463336E-3</v>
      </c>
      <c r="D2158" s="7">
        <f t="shared" si="100"/>
        <v>0.35544785414287372</v>
      </c>
      <c r="E2158" s="8">
        <f t="shared" si="101"/>
        <v>-0.81947709230671661</v>
      </c>
    </row>
    <row r="2159" spans="1:5" x14ac:dyDescent="0.2">
      <c r="A2159" s="1">
        <v>44764</v>
      </c>
      <c r="B2159">
        <v>61766.74</v>
      </c>
      <c r="C2159" s="6">
        <f t="shared" si="99"/>
        <v>1.9471160523744655E-3</v>
      </c>
      <c r="D2159" s="7">
        <f t="shared" si="100"/>
        <v>0.14814672889196448</v>
      </c>
      <c r="E2159" s="8">
        <f t="shared" si="101"/>
        <v>-0.70969231549533096</v>
      </c>
    </row>
    <row r="2160" spans="1:5" x14ac:dyDescent="0.2">
      <c r="A2160" s="1">
        <v>44767</v>
      </c>
      <c r="B2160">
        <v>61432.89</v>
      </c>
      <c r="C2160" s="6">
        <f t="shared" si="99"/>
        <v>-5.4196723996124E-3</v>
      </c>
      <c r="D2160" s="7">
        <f t="shared" si="100"/>
        <v>-0.48752978855921947</v>
      </c>
      <c r="E2160" s="8">
        <f t="shared" si="101"/>
        <v>-0.93199231210014599</v>
      </c>
    </row>
    <row r="2161" spans="1:5" x14ac:dyDescent="0.2">
      <c r="A2161" s="1">
        <v>44768</v>
      </c>
      <c r="B2161">
        <v>62017.11</v>
      </c>
      <c r="C2161" s="6">
        <f t="shared" si="99"/>
        <v>9.4649552281504783E-3</v>
      </c>
      <c r="D2161" s="7">
        <f t="shared" si="100"/>
        <v>0.79685733829279159</v>
      </c>
      <c r="E2161" s="8">
        <f t="shared" si="101"/>
        <v>-1.3000912308357342</v>
      </c>
    </row>
    <row r="2162" spans="1:5" x14ac:dyDescent="0.2">
      <c r="A2162" s="1">
        <v>44769</v>
      </c>
      <c r="B2162">
        <v>61985.48</v>
      </c>
      <c r="C2162" s="6">
        <f t="shared" si="99"/>
        <v>-5.1015064582093407E-4</v>
      </c>
      <c r="D2162" s="7">
        <f t="shared" si="100"/>
        <v>-6.3889594308864442E-2</v>
      </c>
      <c r="E2162" s="8">
        <f t="shared" si="101"/>
        <v>-0.69046373098104863</v>
      </c>
    </row>
    <row r="2163" spans="1:5" x14ac:dyDescent="0.2">
      <c r="A2163" s="1">
        <v>44770</v>
      </c>
      <c r="B2163">
        <v>62169.99</v>
      </c>
      <c r="C2163" s="6">
        <f t="shared" si="99"/>
        <v>2.9722433628358814E-3</v>
      </c>
      <c r="D2163" s="7">
        <f t="shared" si="100"/>
        <v>0.23660445547191775</v>
      </c>
      <c r="E2163" s="8">
        <f t="shared" si="101"/>
        <v>-0.74596030309289596</v>
      </c>
    </row>
    <row r="2164" spans="1:5" x14ac:dyDescent="0.2">
      <c r="A2164" s="1">
        <v>44771</v>
      </c>
      <c r="B2164">
        <v>62473.81</v>
      </c>
      <c r="C2164" s="6">
        <f t="shared" si="99"/>
        <v>4.8750214886112489E-3</v>
      </c>
      <c r="D2164" s="7">
        <f t="shared" si="100"/>
        <v>0.40079423509684425</v>
      </c>
      <c r="E2164" s="8">
        <f t="shared" si="101"/>
        <v>-0.85461739797778424</v>
      </c>
    </row>
    <row r="2165" spans="1:5" x14ac:dyDescent="0.2">
      <c r="A2165" s="1">
        <v>44774</v>
      </c>
      <c r="B2165">
        <v>62155.49</v>
      </c>
      <c r="C2165" s="6">
        <f t="shared" si="99"/>
        <v>-5.1082801909422956E-3</v>
      </c>
      <c r="D2165" s="7">
        <f t="shared" si="100"/>
        <v>-0.46065990949876434</v>
      </c>
      <c r="E2165" s="8">
        <f t="shared" si="101"/>
        <v>-0.90664366925675899</v>
      </c>
    </row>
    <row r="2166" spans="1:5" x14ac:dyDescent="0.2">
      <c r="A2166" s="1">
        <v>44775</v>
      </c>
      <c r="B2166">
        <v>61588.2</v>
      </c>
      <c r="C2166" s="6">
        <f t="shared" si="99"/>
        <v>-9.1688549813639091E-3</v>
      </c>
      <c r="D2166" s="7">
        <f t="shared" si="100"/>
        <v>-0.81104489183514661</v>
      </c>
      <c r="E2166" s="8">
        <f t="shared" si="101"/>
        <v>-1.3198217521466764</v>
      </c>
    </row>
    <row r="2167" spans="1:5" x14ac:dyDescent="0.2">
      <c r="A2167" s="1">
        <v>44776</v>
      </c>
      <c r="B2167">
        <v>62199.1</v>
      </c>
      <c r="C2167" s="6">
        <f t="shared" si="99"/>
        <v>9.8702364388200837E-3</v>
      </c>
      <c r="D2167" s="7">
        <f t="shared" si="100"/>
        <v>0.83182885271402762</v>
      </c>
      <c r="E2167" s="8">
        <f t="shared" si="101"/>
        <v>-1.3490961358714015</v>
      </c>
    </row>
    <row r="2168" spans="1:5" x14ac:dyDescent="0.2">
      <c r="A2168" s="1">
        <v>44777</v>
      </c>
      <c r="B2168">
        <v>62327.03</v>
      </c>
      <c r="C2168" s="6">
        <f t="shared" si="99"/>
        <v>2.0546698914758539E-3</v>
      </c>
      <c r="D2168" s="7">
        <f t="shared" si="100"/>
        <v>0.15742749626082192</v>
      </c>
      <c r="E2168" s="8">
        <f t="shared" si="101"/>
        <v>-0.71273248761310415</v>
      </c>
    </row>
    <row r="2169" spans="1:5" x14ac:dyDescent="0.2">
      <c r="A2169" s="1">
        <v>44778</v>
      </c>
      <c r="B2169">
        <v>63114.01</v>
      </c>
      <c r="C2169" s="6">
        <f t="shared" si="99"/>
        <v>1.2547573350081402E-2</v>
      </c>
      <c r="D2169" s="7">
        <f t="shared" si="100"/>
        <v>1.0628549253217034</v>
      </c>
      <c r="E2169" s="8">
        <f t="shared" si="101"/>
        <v>-1.6994562852134514</v>
      </c>
    </row>
    <row r="2170" spans="1:5" x14ac:dyDescent="0.2">
      <c r="A2170" s="1">
        <v>44781</v>
      </c>
      <c r="B2170">
        <v>63770.91</v>
      </c>
      <c r="C2170" s="6">
        <f t="shared" si="99"/>
        <v>1.0354356829664055E-2</v>
      </c>
      <c r="D2170" s="7">
        <f t="shared" si="100"/>
        <v>0.87360336084393075</v>
      </c>
      <c r="E2170" s="8">
        <f t="shared" si="101"/>
        <v>-1.4092046692623943</v>
      </c>
    </row>
    <row r="2171" spans="1:5" x14ac:dyDescent="0.2">
      <c r="A2171" s="1">
        <v>44783</v>
      </c>
      <c r="B2171">
        <v>63161.18</v>
      </c>
      <c r="C2171" s="6">
        <f t="shared" si="99"/>
        <v>-9.6072583347972633E-3</v>
      </c>
      <c r="D2171" s="7">
        <f t="shared" si="100"/>
        <v>-0.84887449950825311</v>
      </c>
      <c r="E2171" s="8">
        <f t="shared" si="101"/>
        <v>-1.3734230781276278</v>
      </c>
    </row>
    <row r="2172" spans="1:5" x14ac:dyDescent="0.2">
      <c r="A2172" s="1">
        <v>44784</v>
      </c>
      <c r="B2172">
        <v>64616.68</v>
      </c>
      <c r="C2172" s="6">
        <f t="shared" si="99"/>
        <v>2.2782709870421407E-2</v>
      </c>
      <c r="D2172" s="7">
        <f t="shared" si="100"/>
        <v>1.9460397732770418</v>
      </c>
      <c r="E2172" s="8">
        <f t="shared" si="101"/>
        <v>-3.2066750842852429</v>
      </c>
    </row>
    <row r="2173" spans="1:5" x14ac:dyDescent="0.2">
      <c r="A2173" s="1">
        <v>44785</v>
      </c>
      <c r="B2173">
        <v>63996.11</v>
      </c>
      <c r="C2173" s="6">
        <f t="shared" si="99"/>
        <v>-9.6502815315025123E-3</v>
      </c>
      <c r="D2173" s="7">
        <f t="shared" si="100"/>
        <v>-0.85258694978824368</v>
      </c>
      <c r="E2173" s="8">
        <f t="shared" si="101"/>
        <v>-1.378758365514662</v>
      </c>
    </row>
    <row r="2174" spans="1:5" x14ac:dyDescent="0.2">
      <c r="A2174" s="1">
        <v>44788</v>
      </c>
      <c r="B2174">
        <v>64021.599999999999</v>
      </c>
      <c r="C2174" s="6">
        <f t="shared" si="99"/>
        <v>3.9822615694111793E-4</v>
      </c>
      <c r="D2174" s="7">
        <f t="shared" si="100"/>
        <v>1.4493788935632695E-2</v>
      </c>
      <c r="E2174" s="8">
        <f t="shared" si="101"/>
        <v>-0.68627899557987482</v>
      </c>
    </row>
    <row r="2175" spans="1:5" x14ac:dyDescent="0.2">
      <c r="A2175" s="1">
        <v>44789</v>
      </c>
      <c r="B2175">
        <v>64726.06</v>
      </c>
      <c r="C2175" s="6">
        <f t="shared" si="99"/>
        <v>1.0943376063670851E-2</v>
      </c>
      <c r="D2175" s="7">
        <f t="shared" si="100"/>
        <v>0.92442953806152406</v>
      </c>
      <c r="E2175" s="8">
        <f t="shared" si="101"/>
        <v>-1.4844591790198536</v>
      </c>
    </row>
    <row r="2176" spans="1:5" x14ac:dyDescent="0.2">
      <c r="A2176" s="1">
        <v>44790</v>
      </c>
      <c r="B2176">
        <v>64167.49</v>
      </c>
      <c r="C2176" s="6">
        <f t="shared" si="99"/>
        <v>-8.6672063367871869E-3</v>
      </c>
      <c r="D2176" s="7">
        <f t="shared" si="100"/>
        <v>-0.76775787939451756</v>
      </c>
      <c r="E2176" s="8">
        <f t="shared" si="101"/>
        <v>-1.2602900758515054</v>
      </c>
    </row>
    <row r="2177" spans="1:5" x14ac:dyDescent="0.2">
      <c r="A2177" s="1">
        <v>44791</v>
      </c>
      <c r="B2177">
        <v>64183.99</v>
      </c>
      <c r="C2177" s="6">
        <f t="shared" si="99"/>
        <v>2.5710650303200874E-4</v>
      </c>
      <c r="D2177" s="7">
        <f t="shared" si="100"/>
        <v>2.3166440745413541E-3</v>
      </c>
      <c r="E2177" s="8">
        <f t="shared" si="101"/>
        <v>-0.6860575732770855</v>
      </c>
    </row>
    <row r="2178" spans="1:5" x14ac:dyDescent="0.2">
      <c r="A2178" s="1">
        <v>44792</v>
      </c>
      <c r="B2178">
        <v>62974.06</v>
      </c>
      <c r="C2178" s="6">
        <f t="shared" si="99"/>
        <v>-1.9030907080159934E-2</v>
      </c>
      <c r="D2178" s="7">
        <f t="shared" si="100"/>
        <v>-1.6620364703151815</v>
      </c>
      <c r="E2178" s="8">
        <f t="shared" si="101"/>
        <v>-2.7171162064594458</v>
      </c>
    </row>
    <row r="2179" spans="1:5" x14ac:dyDescent="0.2">
      <c r="A2179" s="1">
        <v>44795</v>
      </c>
      <c r="B2179">
        <v>62482.18</v>
      </c>
      <c r="C2179" s="6">
        <f t="shared" ref="C2179:C2242" si="102">LN(B2179/B2178)</f>
        <v>-7.8414994811927818E-3</v>
      </c>
      <c r="D2179" s="7">
        <f t="shared" ref="D2179:D2242" si="103">(C2179-$G$4)/$G$5</f>
        <v>-0.69650804484032247</v>
      </c>
      <c r="E2179" s="8">
        <f t="shared" ref="E2179:E2242" si="104">LN((PI()*(G$3-2))^(-1/2)*EXP(GAMMALN((G$3+1)/2))*((1+D2179^2/(G$3-2))^(-(G$3+1)/2))/EXP(GAMMALN(G$3/2)))</f>
        <v>-1.1668871567874664</v>
      </c>
    </row>
    <row r="2180" spans="1:5" x14ac:dyDescent="0.2">
      <c r="A2180" s="1">
        <v>44796</v>
      </c>
      <c r="B2180">
        <v>63032.89</v>
      </c>
      <c r="C2180" s="6">
        <f t="shared" si="102"/>
        <v>8.775257567941468E-3</v>
      </c>
      <c r="D2180" s="7">
        <f t="shared" si="103"/>
        <v>0.73734366967133846</v>
      </c>
      <c r="E2180" s="8">
        <f t="shared" si="104"/>
        <v>-1.2196920860605254</v>
      </c>
    </row>
    <row r="2181" spans="1:5" x14ac:dyDescent="0.2">
      <c r="A2181" s="1">
        <v>44797</v>
      </c>
      <c r="B2181">
        <v>63079.74</v>
      </c>
      <c r="C2181" s="6">
        <f t="shared" si="102"/>
        <v>7.4298668032240014E-4</v>
      </c>
      <c r="D2181" s="7">
        <f t="shared" si="103"/>
        <v>4.4243003303062134E-2</v>
      </c>
      <c r="E2181" s="8">
        <f t="shared" si="104"/>
        <v>-0.68816837152209231</v>
      </c>
    </row>
    <row r="2182" spans="1:5" x14ac:dyDescent="0.2">
      <c r="A2182" s="1">
        <v>44798</v>
      </c>
      <c r="B2182">
        <v>63685.65</v>
      </c>
      <c r="C2182" s="6">
        <f t="shared" si="102"/>
        <v>9.5596221384958678E-3</v>
      </c>
      <c r="D2182" s="7">
        <f t="shared" si="103"/>
        <v>0.80502609897845923</v>
      </c>
      <c r="E2182" s="8">
        <f t="shared" si="104"/>
        <v>-1.3114260009045209</v>
      </c>
    </row>
    <row r="2183" spans="1:5" x14ac:dyDescent="0.2">
      <c r="A2183" s="1">
        <v>44799</v>
      </c>
      <c r="B2183">
        <v>63507.94</v>
      </c>
      <c r="C2183" s="6">
        <f t="shared" si="102"/>
        <v>-2.7943250227262868E-3</v>
      </c>
      <c r="D2183" s="7">
        <f t="shared" si="103"/>
        <v>-0.260989867056728</v>
      </c>
      <c r="E2183" s="8">
        <f t="shared" si="104"/>
        <v>-0.7587775451130806</v>
      </c>
    </row>
    <row r="2184" spans="1:5" x14ac:dyDescent="0.2">
      <c r="A2184" s="1">
        <v>44802</v>
      </c>
      <c r="B2184">
        <v>62546.78</v>
      </c>
      <c r="C2184" s="6">
        <f t="shared" si="102"/>
        <v>-1.5250180681060363E-2</v>
      </c>
      <c r="D2184" s="7">
        <f t="shared" si="103"/>
        <v>-1.3357994667037665</v>
      </c>
      <c r="E2184" s="8">
        <f t="shared" si="104"/>
        <v>-2.1529639342913032</v>
      </c>
    </row>
    <row r="2185" spans="1:5" x14ac:dyDescent="0.2">
      <c r="A2185" s="1">
        <v>44803</v>
      </c>
      <c r="B2185">
        <v>61321.55</v>
      </c>
      <c r="C2185" s="6">
        <f t="shared" si="102"/>
        <v>-1.9783425852563045E-2</v>
      </c>
      <c r="D2185" s="7">
        <f t="shared" si="103"/>
        <v>-1.7269709415132561</v>
      </c>
      <c r="E2185" s="8">
        <f t="shared" si="104"/>
        <v>-2.8297389729758011</v>
      </c>
    </row>
    <row r="2186" spans="1:5" x14ac:dyDescent="0.2">
      <c r="A2186" s="1">
        <v>44804</v>
      </c>
      <c r="B2186">
        <v>60735.7</v>
      </c>
      <c r="C2186" s="6">
        <f t="shared" si="102"/>
        <v>-9.5996673529723867E-3</v>
      </c>
      <c r="D2186" s="7">
        <f t="shared" si="103"/>
        <v>-0.84821947745598125</v>
      </c>
      <c r="E2186" s="8">
        <f t="shared" si="104"/>
        <v>-1.3724830832846102</v>
      </c>
    </row>
    <row r="2187" spans="1:5" x14ac:dyDescent="0.2">
      <c r="A2187" s="1">
        <v>44805</v>
      </c>
      <c r="B2187">
        <v>59516.37</v>
      </c>
      <c r="C2187" s="6">
        <f t="shared" si="102"/>
        <v>-2.0280262803585653E-2</v>
      </c>
      <c r="D2187" s="7">
        <f t="shared" si="103"/>
        <v>-1.7698427553064071</v>
      </c>
      <c r="E2187" s="8">
        <f t="shared" si="104"/>
        <v>-2.9039374938899254</v>
      </c>
    </row>
    <row r="2188" spans="1:5" x14ac:dyDescent="0.2">
      <c r="A2188" s="1">
        <v>44806</v>
      </c>
      <c r="B2188">
        <v>60854.02</v>
      </c>
      <c r="C2188" s="6">
        <f t="shared" si="102"/>
        <v>2.2226480581656827E-2</v>
      </c>
      <c r="D2188" s="7">
        <f t="shared" si="103"/>
        <v>1.8980430241521427</v>
      </c>
      <c r="E2188" s="8">
        <f t="shared" si="104"/>
        <v>-3.1246349387556784</v>
      </c>
    </row>
    <row r="2189" spans="1:5" x14ac:dyDescent="0.2">
      <c r="A2189" s="1">
        <v>44809</v>
      </c>
      <c r="B2189">
        <v>60843.9</v>
      </c>
      <c r="C2189" s="6">
        <f t="shared" si="102"/>
        <v>-1.6631344271657943E-4</v>
      </c>
      <c r="D2189" s="7">
        <f t="shared" si="103"/>
        <v>-3.4220052789644864E-2</v>
      </c>
      <c r="E2189" s="8">
        <f t="shared" si="104"/>
        <v>-0.68731818823070823</v>
      </c>
    </row>
    <row r="2190" spans="1:5" x14ac:dyDescent="0.2">
      <c r="A2190" s="1">
        <v>44810</v>
      </c>
      <c r="B2190">
        <v>60943.44</v>
      </c>
      <c r="C2190" s="6">
        <f t="shared" si="102"/>
        <v>1.6346530298632939E-3</v>
      </c>
      <c r="D2190" s="7">
        <f t="shared" si="103"/>
        <v>0.12118444983688967</v>
      </c>
      <c r="E2190" s="8">
        <f t="shared" si="104"/>
        <v>-0.7018924955475172</v>
      </c>
    </row>
    <row r="2191" spans="1:5" x14ac:dyDescent="0.2">
      <c r="A2191" s="1">
        <v>44811</v>
      </c>
      <c r="B2191">
        <v>60174.38</v>
      </c>
      <c r="C2191" s="6">
        <f t="shared" si="102"/>
        <v>-1.2699540596613771E-2</v>
      </c>
      <c r="D2191" s="7">
        <f t="shared" si="103"/>
        <v>-1.1157060003690427</v>
      </c>
      <c r="E2191" s="8">
        <f t="shared" si="104"/>
        <v>-1.7847453726476641</v>
      </c>
    </row>
    <row r="2192" spans="1:5" x14ac:dyDescent="0.2">
      <c r="A2192" s="1">
        <v>44812</v>
      </c>
      <c r="B2192">
        <v>60637.95</v>
      </c>
      <c r="C2192" s="6">
        <f t="shared" si="102"/>
        <v>7.6742543601140949E-3</v>
      </c>
      <c r="D2192" s="7">
        <f t="shared" si="103"/>
        <v>0.64233864958480069</v>
      </c>
      <c r="E2192" s="8">
        <f t="shared" si="104"/>
        <v>-1.1000642962664022</v>
      </c>
    </row>
    <row r="2193" spans="1:5" x14ac:dyDescent="0.2">
      <c r="A2193" s="1">
        <v>44813</v>
      </c>
      <c r="B2193">
        <v>62126.76</v>
      </c>
      <c r="C2193" s="6">
        <f t="shared" si="102"/>
        <v>2.4255879301309218E-2</v>
      </c>
      <c r="D2193" s="7">
        <f t="shared" si="103"/>
        <v>2.0731588319476812</v>
      </c>
      <c r="E2193" s="8">
        <f t="shared" si="104"/>
        <v>-3.4220169214229776</v>
      </c>
    </row>
    <row r="2194" spans="1:5" x14ac:dyDescent="0.2">
      <c r="A2194" s="1">
        <v>44816</v>
      </c>
      <c r="B2194">
        <v>63111.95</v>
      </c>
      <c r="C2194" s="6">
        <f t="shared" si="102"/>
        <v>1.5733319554726122E-2</v>
      </c>
      <c r="D2194" s="7">
        <f t="shared" si="103"/>
        <v>1.3377513833984518</v>
      </c>
      <c r="E2194" s="8">
        <f t="shared" si="104"/>
        <v>-2.1562982370197052</v>
      </c>
    </row>
    <row r="2195" spans="1:5" x14ac:dyDescent="0.2">
      <c r="A2195" s="1">
        <v>44817</v>
      </c>
      <c r="B2195">
        <v>61706.559999999998</v>
      </c>
      <c r="C2195" s="6">
        <f t="shared" si="102"/>
        <v>-2.2519887382819345E-2</v>
      </c>
      <c r="D2195" s="7">
        <f t="shared" si="103"/>
        <v>-1.9630988481349412</v>
      </c>
      <c r="E2195" s="8">
        <f t="shared" si="104"/>
        <v>-3.2357435573324134</v>
      </c>
    </row>
    <row r="2196" spans="1:5" x14ac:dyDescent="0.2">
      <c r="A2196" s="1">
        <v>44818</v>
      </c>
      <c r="B2196">
        <v>61385.53</v>
      </c>
      <c r="C2196" s="6">
        <f t="shared" si="102"/>
        <v>-5.2161065406472222E-3</v>
      </c>
      <c r="D2196" s="7">
        <f t="shared" si="103"/>
        <v>-0.46996419167228254</v>
      </c>
      <c r="E2196" s="8">
        <f t="shared" si="104"/>
        <v>-0.91528444981743828</v>
      </c>
    </row>
    <row r="2197" spans="1:5" x14ac:dyDescent="0.2">
      <c r="A2197" s="1">
        <v>44819</v>
      </c>
      <c r="B2197">
        <v>60991.46</v>
      </c>
      <c r="C2197" s="6">
        <f t="shared" si="102"/>
        <v>-6.4402852542488403E-3</v>
      </c>
      <c r="D2197" s="7">
        <f t="shared" si="103"/>
        <v>-0.57559796498774496</v>
      </c>
      <c r="E2197" s="8">
        <f t="shared" si="104"/>
        <v>-1.0232154845825547</v>
      </c>
    </row>
    <row r="2198" spans="1:5" x14ac:dyDescent="0.2">
      <c r="A2198" s="1">
        <v>44820</v>
      </c>
      <c r="B2198">
        <v>60013.72</v>
      </c>
      <c r="C2198" s="6">
        <f t="shared" si="102"/>
        <v>-1.6160651623866505E-2</v>
      </c>
      <c r="D2198" s="7">
        <f t="shared" si="103"/>
        <v>-1.4143635522527969</v>
      </c>
      <c r="E2198" s="8">
        <f t="shared" si="104"/>
        <v>-2.2877854418145231</v>
      </c>
    </row>
    <row r="2199" spans="1:5" x14ac:dyDescent="0.2">
      <c r="A2199" s="1">
        <v>44823</v>
      </c>
      <c r="B2199">
        <v>59967.3</v>
      </c>
      <c r="C2199" s="6">
        <f t="shared" si="102"/>
        <v>-7.7378909291086898E-4</v>
      </c>
      <c r="D2199" s="7">
        <f t="shared" si="103"/>
        <v>-8.6638824995293115E-2</v>
      </c>
      <c r="E2199" s="8">
        <f t="shared" si="104"/>
        <v>-0.6941596771368217</v>
      </c>
    </row>
    <row r="2200" spans="1:5" x14ac:dyDescent="0.2">
      <c r="A2200" s="1">
        <v>44824</v>
      </c>
      <c r="B2200">
        <v>60119.49</v>
      </c>
      <c r="C2200" s="6">
        <f t="shared" si="102"/>
        <v>2.5346681592414069E-3</v>
      </c>
      <c r="D2200" s="7">
        <f t="shared" si="103"/>
        <v>0.19884630843717996</v>
      </c>
      <c r="E2200" s="8">
        <f t="shared" si="104"/>
        <v>-0.72849823222403576</v>
      </c>
    </row>
    <row r="2201" spans="1:5" x14ac:dyDescent="0.2">
      <c r="A2201" s="1">
        <v>44825</v>
      </c>
      <c r="B2201">
        <v>59817.68</v>
      </c>
      <c r="C2201" s="6">
        <f t="shared" si="102"/>
        <v>-5.0328123808528885E-3</v>
      </c>
      <c r="D2201" s="7">
        <f t="shared" si="103"/>
        <v>-0.45414782964063255</v>
      </c>
      <c r="E2201" s="8">
        <f t="shared" si="104"/>
        <v>-0.90068317648913432</v>
      </c>
    </row>
    <row r="2202" spans="1:5" x14ac:dyDescent="0.2">
      <c r="A2202" s="1">
        <v>44826</v>
      </c>
      <c r="B2202">
        <v>58852.41</v>
      </c>
      <c r="C2202" s="6">
        <f t="shared" si="102"/>
        <v>-1.6268484994421767E-2</v>
      </c>
      <c r="D2202" s="7">
        <f t="shared" si="103"/>
        <v>-1.4236684402520041</v>
      </c>
      <c r="E2202" s="8">
        <f t="shared" si="104"/>
        <v>-2.3038253593508502</v>
      </c>
    </row>
    <row r="2203" spans="1:5" x14ac:dyDescent="0.2">
      <c r="A2203" s="1">
        <v>44827</v>
      </c>
      <c r="B2203">
        <v>57109.52</v>
      </c>
      <c r="C2203" s="6">
        <f t="shared" si="102"/>
        <v>-3.0061956630913909E-2</v>
      </c>
      <c r="D2203" s="7">
        <f t="shared" si="103"/>
        <v>-2.6139002584443913</v>
      </c>
      <c r="E2203" s="8">
        <f t="shared" si="104"/>
        <v>-4.297198500791815</v>
      </c>
    </row>
    <row r="2204" spans="1:5" x14ac:dyDescent="0.2">
      <c r="A2204" s="1">
        <v>44830</v>
      </c>
      <c r="B2204">
        <v>57289.97</v>
      </c>
      <c r="C2204" s="6">
        <f t="shared" si="102"/>
        <v>3.154736960080326E-3</v>
      </c>
      <c r="D2204" s="7">
        <f t="shared" si="103"/>
        <v>0.25235173735866717</v>
      </c>
      <c r="E2204" s="8">
        <f t="shared" si="104"/>
        <v>-0.75410038882252894</v>
      </c>
    </row>
    <row r="2205" spans="1:5" x14ac:dyDescent="0.2">
      <c r="A2205" s="1">
        <v>44831</v>
      </c>
      <c r="B2205">
        <v>57621.38</v>
      </c>
      <c r="C2205" s="6">
        <f t="shared" si="102"/>
        <v>5.768114618188238E-3</v>
      </c>
      <c r="D2205" s="7">
        <f t="shared" si="103"/>
        <v>0.47785879777150098</v>
      </c>
      <c r="E2205" s="8">
        <f t="shared" si="104"/>
        <v>-0.92273007583665301</v>
      </c>
    </row>
    <row r="2206" spans="1:5" x14ac:dyDescent="0.2">
      <c r="A2206" s="1">
        <v>44832</v>
      </c>
      <c r="B2206">
        <v>57413.11</v>
      </c>
      <c r="C2206" s="6">
        <f t="shared" si="102"/>
        <v>-3.6210049275486648E-3</v>
      </c>
      <c r="D2206" s="7">
        <f t="shared" si="103"/>
        <v>-0.33232366554562509</v>
      </c>
      <c r="E2206" s="8">
        <f t="shared" si="104"/>
        <v>-0.80302840556208532</v>
      </c>
    </row>
    <row r="2207" spans="1:5" x14ac:dyDescent="0.2">
      <c r="A2207" s="1">
        <v>44833</v>
      </c>
      <c r="B2207">
        <v>56920.94</v>
      </c>
      <c r="C2207" s="6">
        <f t="shared" si="102"/>
        <v>-8.6093869679172968E-3</v>
      </c>
      <c r="D2207" s="7">
        <f t="shared" si="103"/>
        <v>-0.76276867476566412</v>
      </c>
      <c r="E2207" s="8">
        <f t="shared" si="104"/>
        <v>-1.2535587353016717</v>
      </c>
    </row>
    <row r="2208" spans="1:5" x14ac:dyDescent="0.2">
      <c r="A2208" s="1">
        <v>44834</v>
      </c>
      <c r="B2208">
        <v>57389.7</v>
      </c>
      <c r="C2208" s="6">
        <f t="shared" si="102"/>
        <v>8.2015572236022911E-3</v>
      </c>
      <c r="D2208" s="7">
        <f t="shared" si="103"/>
        <v>0.68783935183637812</v>
      </c>
      <c r="E2208" s="8">
        <f t="shared" si="104"/>
        <v>-1.1559400569942793</v>
      </c>
    </row>
    <row r="2209" spans="1:5" x14ac:dyDescent="0.2">
      <c r="A2209" s="1">
        <v>44837</v>
      </c>
      <c r="B2209">
        <v>57849.66</v>
      </c>
      <c r="C2209" s="6">
        <f t="shared" si="102"/>
        <v>7.9827316385392526E-3</v>
      </c>
      <c r="D2209" s="7">
        <f t="shared" si="103"/>
        <v>0.66895700076186437</v>
      </c>
      <c r="E2209" s="8">
        <f t="shared" si="104"/>
        <v>-1.1324246215149389</v>
      </c>
    </row>
    <row r="2210" spans="1:5" x14ac:dyDescent="0.2">
      <c r="A2210" s="1">
        <v>44838</v>
      </c>
      <c r="B2210">
        <v>59839.46</v>
      </c>
      <c r="C2210" s="6">
        <f t="shared" si="102"/>
        <v>3.3817733207717825E-2</v>
      </c>
      <c r="D2210" s="7">
        <f t="shared" si="103"/>
        <v>2.8982464574737654</v>
      </c>
      <c r="E2210" s="8">
        <f t="shared" si="104"/>
        <v>-4.7268762045886064</v>
      </c>
    </row>
    <row r="2211" spans="1:5" x14ac:dyDescent="0.2">
      <c r="A2211" s="1">
        <v>44839</v>
      </c>
      <c r="B2211">
        <v>59202.29</v>
      </c>
      <c r="C2211" s="6">
        <f t="shared" si="102"/>
        <v>-1.0705085987087066E-2</v>
      </c>
      <c r="D2211" s="7">
        <f t="shared" si="103"/>
        <v>-0.94360550248431574</v>
      </c>
      <c r="E2211" s="8">
        <f t="shared" si="104"/>
        <v>-1.5134118282133908</v>
      </c>
    </row>
    <row r="2212" spans="1:5" x14ac:dyDescent="0.2">
      <c r="A2212" s="1">
        <v>44840</v>
      </c>
      <c r="B2212">
        <v>59416.01</v>
      </c>
      <c r="C2212" s="6">
        <f t="shared" si="102"/>
        <v>3.6034950975683462E-3</v>
      </c>
      <c r="D2212" s="7">
        <f t="shared" si="103"/>
        <v>0.29107485420605356</v>
      </c>
      <c r="E2212" s="8">
        <f t="shared" si="104"/>
        <v>-0.77622661670598481</v>
      </c>
    </row>
    <row r="2213" spans="1:5" x14ac:dyDescent="0.2">
      <c r="A2213" s="1">
        <v>44841</v>
      </c>
      <c r="B2213">
        <v>59279.98</v>
      </c>
      <c r="C2213" s="6">
        <f t="shared" si="102"/>
        <v>-2.2920750659566787E-3</v>
      </c>
      <c r="D2213" s="7">
        <f t="shared" si="103"/>
        <v>-0.21765096768556394</v>
      </c>
      <c r="E2213" s="8">
        <f t="shared" si="104"/>
        <v>-0.73682995864890233</v>
      </c>
    </row>
    <row r="2214" spans="1:5" x14ac:dyDescent="0.2">
      <c r="A2214" s="1">
        <v>44844</v>
      </c>
      <c r="B2214">
        <v>58385.4</v>
      </c>
      <c r="C2214" s="6">
        <f t="shared" si="102"/>
        <v>-1.5205785026886224E-2</v>
      </c>
      <c r="D2214" s="7">
        <f t="shared" si="103"/>
        <v>-1.3319685877502963</v>
      </c>
      <c r="E2214" s="8">
        <f t="shared" si="104"/>
        <v>-2.1464225365873459</v>
      </c>
    </row>
    <row r="2215" spans="1:5" x14ac:dyDescent="0.2">
      <c r="A2215" s="1">
        <v>44845</v>
      </c>
      <c r="B2215">
        <v>58208.74</v>
      </c>
      <c r="C2215" s="6">
        <f t="shared" si="102"/>
        <v>-3.0303432949333694E-3</v>
      </c>
      <c r="D2215" s="7">
        <f t="shared" si="103"/>
        <v>-0.28135576656765798</v>
      </c>
      <c r="E2215" s="8">
        <f t="shared" si="104"/>
        <v>-0.77039381585054589</v>
      </c>
    </row>
    <row r="2216" spans="1:5" x14ac:dyDescent="0.2">
      <c r="A2216" s="1">
        <v>44846</v>
      </c>
      <c r="B2216">
        <v>58177.440000000002</v>
      </c>
      <c r="C2216" s="6">
        <f t="shared" si="102"/>
        <v>-5.3786456011499886E-4</v>
      </c>
      <c r="D2216" s="7">
        <f t="shared" si="103"/>
        <v>-6.6281014211609202E-2</v>
      </c>
      <c r="E2216" s="8">
        <f t="shared" si="104"/>
        <v>-0.69079991013967978</v>
      </c>
    </row>
    <row r="2217" spans="1:5" x14ac:dyDescent="0.2">
      <c r="A2217" s="1">
        <v>44847</v>
      </c>
      <c r="B2217">
        <v>57960.88</v>
      </c>
      <c r="C2217" s="6">
        <f t="shared" si="102"/>
        <v>-3.7293505019528475E-3</v>
      </c>
      <c r="D2217" s="7">
        <f t="shared" si="103"/>
        <v>-0.34167275136061459</v>
      </c>
      <c r="E2217" s="8">
        <f t="shared" si="104"/>
        <v>-0.80955700598334757</v>
      </c>
    </row>
    <row r="2218" spans="1:5" x14ac:dyDescent="0.2">
      <c r="A2218" s="1">
        <v>44848</v>
      </c>
      <c r="B2218">
        <v>57844.49</v>
      </c>
      <c r="C2218" s="6">
        <f t="shared" si="102"/>
        <v>-2.0100974452116867E-3</v>
      </c>
      <c r="D2218" s="7">
        <f t="shared" si="103"/>
        <v>-0.19331925881098599</v>
      </c>
      <c r="E2218" s="8">
        <f t="shared" si="104"/>
        <v>-0.72618803625924433</v>
      </c>
    </row>
    <row r="2219" spans="1:5" x14ac:dyDescent="0.2">
      <c r="A2219" s="1">
        <v>44851</v>
      </c>
      <c r="B2219">
        <v>59638.26</v>
      </c>
      <c r="C2219" s="6">
        <f t="shared" si="102"/>
        <v>3.0539111643876685E-2</v>
      </c>
      <c r="D2219" s="7">
        <f t="shared" si="103"/>
        <v>2.6153358307703769</v>
      </c>
      <c r="E2219" s="8">
        <f t="shared" si="104"/>
        <v>-4.2994225522188003</v>
      </c>
    </row>
    <row r="2220" spans="1:5" x14ac:dyDescent="0.2">
      <c r="A2220" s="1">
        <v>44852</v>
      </c>
      <c r="B2220">
        <v>59829.23</v>
      </c>
      <c r="C2220" s="6">
        <f t="shared" si="102"/>
        <v>3.1970231007277788E-3</v>
      </c>
      <c r="D2220" s="7">
        <f t="shared" si="103"/>
        <v>0.25600058743742488</v>
      </c>
      <c r="E2220" s="8">
        <f t="shared" si="104"/>
        <v>-0.7560578281330087</v>
      </c>
    </row>
    <row r="2221" spans="1:5" x14ac:dyDescent="0.2">
      <c r="A2221" s="1">
        <v>44853</v>
      </c>
      <c r="B2221">
        <v>59209.55</v>
      </c>
      <c r="C2221" s="6">
        <f t="shared" si="102"/>
        <v>-1.0411491074115658E-2</v>
      </c>
      <c r="D2221" s="7">
        <f t="shared" si="103"/>
        <v>-0.91827134323223181</v>
      </c>
      <c r="E2221" s="8">
        <f t="shared" si="104"/>
        <v>-1.4752243466699204</v>
      </c>
    </row>
    <row r="2222" spans="1:5" x14ac:dyDescent="0.2">
      <c r="A2222" s="1">
        <v>44854</v>
      </c>
      <c r="B2222">
        <v>59347.28</v>
      </c>
      <c r="C2222" s="6">
        <f t="shared" si="102"/>
        <v>2.323443735127198E-3</v>
      </c>
      <c r="D2222" s="7">
        <f t="shared" si="103"/>
        <v>0.18061985776648931</v>
      </c>
      <c r="E2222" s="8">
        <f t="shared" si="104"/>
        <v>-0.72111994424575343</v>
      </c>
    </row>
    <row r="2223" spans="1:5" x14ac:dyDescent="0.2">
      <c r="A2223" s="1">
        <v>44855</v>
      </c>
      <c r="B2223">
        <v>59091.06</v>
      </c>
      <c r="C2223" s="6">
        <f t="shared" si="102"/>
        <v>-4.3266462481701944E-3</v>
      </c>
      <c r="D2223" s="7">
        <f t="shared" si="103"/>
        <v>-0.39321310470705084</v>
      </c>
      <c r="E2223" s="8">
        <f t="shared" si="104"/>
        <v>-0.84848111551244942</v>
      </c>
    </row>
    <row r="2224" spans="1:5" x14ac:dyDescent="0.2">
      <c r="A2224" s="1">
        <v>44858</v>
      </c>
      <c r="B2224">
        <v>58461.97</v>
      </c>
      <c r="C2224" s="6">
        <f t="shared" si="102"/>
        <v>-1.0703186563661302E-2</v>
      </c>
      <c r="D2224" s="7">
        <f t="shared" si="103"/>
        <v>-0.94344160218008888</v>
      </c>
      <c r="E2224" s="8">
        <f t="shared" si="104"/>
        <v>-1.5131631281460363</v>
      </c>
    </row>
    <row r="2225" spans="1:5" x14ac:dyDescent="0.2">
      <c r="A2225" s="1">
        <v>44859</v>
      </c>
      <c r="B2225">
        <v>59268</v>
      </c>
      <c r="C2225" s="6">
        <f t="shared" si="102"/>
        <v>1.3693073975944457E-2</v>
      </c>
      <c r="D2225" s="7">
        <f t="shared" si="103"/>
        <v>1.1616996055147917</v>
      </c>
      <c r="E2225" s="8">
        <f t="shared" si="104"/>
        <v>-1.8601334457851271</v>
      </c>
    </row>
    <row r="2226" spans="1:5" x14ac:dyDescent="0.2">
      <c r="A2226" s="1">
        <v>44860</v>
      </c>
      <c r="B2226">
        <v>60566.29</v>
      </c>
      <c r="C2226" s="6">
        <f t="shared" si="102"/>
        <v>2.1668936325811825E-2</v>
      </c>
      <c r="D2226" s="7">
        <f t="shared" si="103"/>
        <v>1.8499328071708374</v>
      </c>
      <c r="E2226" s="8">
        <f t="shared" si="104"/>
        <v>-3.0420555817057435</v>
      </c>
    </row>
    <row r="2227" spans="1:5" x14ac:dyDescent="0.2">
      <c r="A2227" s="1">
        <v>44861</v>
      </c>
      <c r="B2227">
        <v>60469.9</v>
      </c>
      <c r="C2227" s="6">
        <f t="shared" si="102"/>
        <v>-1.5927471011305489E-3</v>
      </c>
      <c r="D2227" s="7">
        <f t="shared" si="103"/>
        <v>-0.15730630486074756</v>
      </c>
      <c r="E2227" s="8">
        <f t="shared" si="104"/>
        <v>-0.71269161999947217</v>
      </c>
    </row>
    <row r="2228" spans="1:5" x14ac:dyDescent="0.2">
      <c r="A2228" s="1">
        <v>44862</v>
      </c>
      <c r="B2228">
        <v>59687.06</v>
      </c>
      <c r="C2228" s="6">
        <f t="shared" si="102"/>
        <v>-1.3030474085140428E-2</v>
      </c>
      <c r="D2228" s="7">
        <f t="shared" si="103"/>
        <v>-1.1442620867648532</v>
      </c>
      <c r="E2228" s="8">
        <f t="shared" si="104"/>
        <v>-1.8314336922771521</v>
      </c>
    </row>
    <row r="2229" spans="1:5" x14ac:dyDescent="0.2">
      <c r="A2229" s="1">
        <v>44865</v>
      </c>
      <c r="B2229">
        <v>60030.53</v>
      </c>
      <c r="C2229" s="6">
        <f t="shared" si="102"/>
        <v>5.7380196576219105E-3</v>
      </c>
      <c r="D2229" s="7">
        <f t="shared" si="103"/>
        <v>0.47526191856826089</v>
      </c>
      <c r="E2229" s="8">
        <f t="shared" si="104"/>
        <v>-0.92026939546224162</v>
      </c>
    </row>
    <row r="2230" spans="1:5" x14ac:dyDescent="0.2">
      <c r="A2230" s="1">
        <v>44866</v>
      </c>
      <c r="B2230">
        <v>60799.41</v>
      </c>
      <c r="C2230" s="6">
        <f t="shared" si="102"/>
        <v>1.2726818834018392E-2</v>
      </c>
      <c r="D2230" s="7">
        <f t="shared" si="103"/>
        <v>1.0783219291240438</v>
      </c>
      <c r="E2230" s="8">
        <f t="shared" si="104"/>
        <v>-1.7242563755341409</v>
      </c>
    </row>
    <row r="2231" spans="1:5" x14ac:dyDescent="0.2">
      <c r="A2231" s="1">
        <v>44867</v>
      </c>
      <c r="B2231">
        <v>60512.800000000003</v>
      </c>
      <c r="C2231" s="6">
        <f t="shared" si="102"/>
        <v>-4.7251720707683371E-3</v>
      </c>
      <c r="D2231" s="7">
        <f t="shared" si="103"/>
        <v>-0.42760170004607273</v>
      </c>
      <c r="E2231" s="8">
        <f t="shared" si="104"/>
        <v>-0.87713947299107631</v>
      </c>
    </row>
    <row r="2232" spans="1:5" x14ac:dyDescent="0.2">
      <c r="A2232" s="1">
        <v>44868</v>
      </c>
      <c r="B2232">
        <v>59504.05</v>
      </c>
      <c r="C2232" s="6">
        <f t="shared" si="102"/>
        <v>-1.6810535444894765E-2</v>
      </c>
      <c r="D2232" s="7">
        <f t="shared" si="103"/>
        <v>-1.4704417044614018</v>
      </c>
      <c r="E2232" s="8">
        <f t="shared" si="104"/>
        <v>-2.3846292890024987</v>
      </c>
    </row>
    <row r="2233" spans="1:5" x14ac:dyDescent="0.2">
      <c r="A2233" s="1">
        <v>44869</v>
      </c>
      <c r="B2233">
        <v>62769.279999999999</v>
      </c>
      <c r="C2233" s="6">
        <f t="shared" si="102"/>
        <v>5.3421404353981856E-2</v>
      </c>
      <c r="D2233" s="7">
        <f t="shared" si="103"/>
        <v>4.5898375062372763</v>
      </c>
      <c r="E2233" s="8">
        <f t="shared" si="104"/>
        <v>-6.8668941446044371</v>
      </c>
    </row>
    <row r="2234" spans="1:5" x14ac:dyDescent="0.2">
      <c r="A2234" s="1">
        <v>44872</v>
      </c>
      <c r="B2234">
        <v>62812.67</v>
      </c>
      <c r="C2234" s="6">
        <f t="shared" si="102"/>
        <v>6.9102290140592572E-4</v>
      </c>
      <c r="D2234" s="7">
        <f t="shared" si="103"/>
        <v>3.9759074623622617E-2</v>
      </c>
      <c r="E2234" s="8">
        <f t="shared" si="104"/>
        <v>-0.68776121068664797</v>
      </c>
    </row>
    <row r="2235" spans="1:5" x14ac:dyDescent="0.2">
      <c r="A2235" s="1">
        <v>44873</v>
      </c>
      <c r="B2235">
        <v>62408.05</v>
      </c>
      <c r="C2235" s="6">
        <f t="shared" si="102"/>
        <v>-6.4625312523669412E-3</v>
      </c>
      <c r="D2235" s="7">
        <f t="shared" si="103"/>
        <v>-0.5775175611188279</v>
      </c>
      <c r="E2235" s="8">
        <f t="shared" si="104"/>
        <v>-1.0253364609851572</v>
      </c>
    </row>
    <row r="2236" spans="1:5" x14ac:dyDescent="0.2">
      <c r="A2236" s="1">
        <v>44874</v>
      </c>
      <c r="B2236">
        <v>63027.83</v>
      </c>
      <c r="C2236" s="6">
        <f t="shared" si="102"/>
        <v>9.8821014171980026E-3</v>
      </c>
      <c r="D2236" s="7">
        <f t="shared" si="103"/>
        <v>0.8328526758065552</v>
      </c>
      <c r="E2236" s="8">
        <f t="shared" si="104"/>
        <v>-1.3505493217317788</v>
      </c>
    </row>
    <row r="2237" spans="1:5" x14ac:dyDescent="0.2">
      <c r="A2237" s="1">
        <v>44875</v>
      </c>
      <c r="B2237">
        <v>64087.41</v>
      </c>
      <c r="C2237" s="6">
        <f t="shared" si="102"/>
        <v>1.6671557896590406E-2</v>
      </c>
      <c r="D2237" s="7">
        <f t="shared" si="103"/>
        <v>1.4187115040239606</v>
      </c>
      <c r="E2237" s="8">
        <f t="shared" si="104"/>
        <v>-2.2952789003461209</v>
      </c>
    </row>
    <row r="2238" spans="1:5" x14ac:dyDescent="0.2">
      <c r="A2238" s="1">
        <v>44876</v>
      </c>
      <c r="B2238">
        <v>66453.08</v>
      </c>
      <c r="C2238" s="6">
        <f t="shared" si="102"/>
        <v>3.6248201945859884E-2</v>
      </c>
      <c r="D2238" s="7">
        <f t="shared" si="103"/>
        <v>3.1079703980084532</v>
      </c>
      <c r="E2238" s="8">
        <f t="shared" si="104"/>
        <v>-5.0298480176356648</v>
      </c>
    </row>
    <row r="2239" spans="1:5" x14ac:dyDescent="0.2">
      <c r="A2239" s="1">
        <v>44879</v>
      </c>
      <c r="B2239">
        <v>66289.27</v>
      </c>
      <c r="C2239" s="6">
        <f t="shared" si="102"/>
        <v>-2.4680907510475736E-3</v>
      </c>
      <c r="D2239" s="7">
        <f t="shared" si="103"/>
        <v>-0.23283927374927169</v>
      </c>
      <c r="E2239" s="8">
        <f t="shared" si="104"/>
        <v>-0.74408831749734694</v>
      </c>
    </row>
    <row r="2240" spans="1:5" x14ac:dyDescent="0.2">
      <c r="A2240" s="1">
        <v>44880</v>
      </c>
      <c r="B2240">
        <v>66524.92</v>
      </c>
      <c r="C2240" s="6">
        <f t="shared" si="102"/>
        <v>3.5485703339718459E-3</v>
      </c>
      <c r="D2240" s="7">
        <f t="shared" si="103"/>
        <v>0.28633542362888853</v>
      </c>
      <c r="E2240" s="8">
        <f t="shared" si="104"/>
        <v>-0.77335908200857917</v>
      </c>
    </row>
    <row r="2241" spans="1:5" x14ac:dyDescent="0.2">
      <c r="A2241" s="1">
        <v>44881</v>
      </c>
      <c r="B2241">
        <v>66222.28</v>
      </c>
      <c r="C2241" s="6">
        <f t="shared" si="102"/>
        <v>-4.5596520956282848E-3</v>
      </c>
      <c r="D2241" s="7">
        <f t="shared" si="103"/>
        <v>-0.4133190635822474</v>
      </c>
      <c r="E2241" s="8">
        <f t="shared" si="104"/>
        <v>-0.86498119244311611</v>
      </c>
    </row>
    <row r="2242" spans="1:5" x14ac:dyDescent="0.2">
      <c r="A2242" s="1">
        <v>44882</v>
      </c>
      <c r="B2242">
        <v>65831.78</v>
      </c>
      <c r="C2242" s="6">
        <f t="shared" si="102"/>
        <v>-5.9142617539781799E-3</v>
      </c>
      <c r="D2242" s="7">
        <f t="shared" si="103"/>
        <v>-0.53020765835292494</v>
      </c>
      <c r="E2242" s="8">
        <f t="shared" si="104"/>
        <v>-0.97468294643904829</v>
      </c>
    </row>
    <row r="2243" spans="1:5" x14ac:dyDescent="0.2">
      <c r="A2243" s="1">
        <v>44883</v>
      </c>
      <c r="B2243">
        <v>66227.03</v>
      </c>
      <c r="C2243" s="6">
        <f t="shared" ref="C2243:C2306" si="105">LN(B2243/B2242)</f>
        <v>5.9859873069769273E-3</v>
      </c>
      <c r="D2243" s="7">
        <f t="shared" ref="D2243:D2306" si="106">(C2243-$G$4)/$G$5</f>
        <v>0.49665892389967375</v>
      </c>
      <c r="E2243" s="8">
        <f t="shared" ref="E2243:E2306" si="107">LN((PI()*(G$3-2))^(-1/2)*EXP(GAMMALN((G$3+1)/2))*((1+D2243^2/(G$3-2))^(-(G$3+1)/2))/EXP(GAMMALN(G$3/2)))</f>
        <v>-0.94087691502681081</v>
      </c>
    </row>
    <row r="2244" spans="1:5" x14ac:dyDescent="0.2">
      <c r="A2244" s="1">
        <v>44886</v>
      </c>
      <c r="B2244">
        <v>65590.86</v>
      </c>
      <c r="C2244" s="6">
        <f t="shared" si="105"/>
        <v>-9.6523307904435949E-3</v>
      </c>
      <c r="D2244" s="7">
        <f t="shared" si="106"/>
        <v>-0.85276377932468461</v>
      </c>
      <c r="E2244" s="8">
        <f t="shared" si="107"/>
        <v>-1.3790128190438935</v>
      </c>
    </row>
    <row r="2245" spans="1:5" x14ac:dyDescent="0.2">
      <c r="A2245" s="1">
        <v>44887</v>
      </c>
      <c r="B2245">
        <v>65853.53</v>
      </c>
      <c r="C2245" s="6">
        <f t="shared" si="105"/>
        <v>3.9966764598294534E-3</v>
      </c>
      <c r="D2245" s="7">
        <f t="shared" si="106"/>
        <v>0.32500227871645115</v>
      </c>
      <c r="E2245" s="8">
        <f t="shared" si="107"/>
        <v>-0.79803191858994105</v>
      </c>
    </row>
    <row r="2246" spans="1:5" x14ac:dyDescent="0.2">
      <c r="A2246" s="1">
        <v>44888</v>
      </c>
      <c r="B2246">
        <v>66521.48</v>
      </c>
      <c r="C2246" s="6">
        <f t="shared" si="105"/>
        <v>1.0091869590551654E-2</v>
      </c>
      <c r="D2246" s="7">
        <f t="shared" si="106"/>
        <v>0.85095346732223687</v>
      </c>
      <c r="E2246" s="8">
        <f t="shared" si="107"/>
        <v>-1.3764092219590782</v>
      </c>
    </row>
    <row r="2247" spans="1:5" x14ac:dyDescent="0.2">
      <c r="A2247" s="1">
        <v>44889</v>
      </c>
      <c r="B2247">
        <v>66764.87</v>
      </c>
      <c r="C2247" s="6">
        <f t="shared" si="105"/>
        <v>3.6521409811378445E-3</v>
      </c>
      <c r="D2247" s="7">
        <f t="shared" si="106"/>
        <v>0.29527248334354489</v>
      </c>
      <c r="E2247" s="8">
        <f t="shared" si="107"/>
        <v>-0.77880313487414543</v>
      </c>
    </row>
    <row r="2248" spans="1:5" x14ac:dyDescent="0.2">
      <c r="A2248" s="1">
        <v>44890</v>
      </c>
      <c r="B2248">
        <v>66753.48</v>
      </c>
      <c r="C2248" s="6">
        <f t="shared" si="105"/>
        <v>-1.7061325319896997E-4</v>
      </c>
      <c r="D2248" s="7">
        <f t="shared" si="106"/>
        <v>-3.4591081301045774E-2</v>
      </c>
      <c r="E2248" s="8">
        <f t="shared" si="107"/>
        <v>-0.68734579285237396</v>
      </c>
    </row>
    <row r="2249" spans="1:5" x14ac:dyDescent="0.2">
      <c r="A2249" s="1">
        <v>44893</v>
      </c>
      <c r="B2249">
        <v>66993.69</v>
      </c>
      <c r="C2249" s="6">
        <f t="shared" si="105"/>
        <v>3.5920050985117275E-3</v>
      </c>
      <c r="D2249" s="7">
        <f t="shared" si="106"/>
        <v>0.2900833878929604</v>
      </c>
      <c r="E2249" s="8">
        <f t="shared" si="107"/>
        <v>-0.77562309327844281</v>
      </c>
    </row>
    <row r="2250" spans="1:5" x14ac:dyDescent="0.2">
      <c r="A2250" s="1">
        <v>44894</v>
      </c>
      <c r="B2250">
        <v>66815.87</v>
      </c>
      <c r="C2250" s="6">
        <f t="shared" si="105"/>
        <v>-2.6578086748946434E-3</v>
      </c>
      <c r="D2250" s="7">
        <f t="shared" si="106"/>
        <v>-0.24920993919123208</v>
      </c>
      <c r="E2250" s="8">
        <f t="shared" si="107"/>
        <v>-0.75243639376067228</v>
      </c>
    </row>
    <row r="2251" spans="1:5" x14ac:dyDescent="0.2">
      <c r="A2251" s="1">
        <v>44895</v>
      </c>
      <c r="B2251">
        <v>68564.289999999994</v>
      </c>
      <c r="C2251" s="6">
        <f t="shared" si="105"/>
        <v>2.5831218084278164E-2</v>
      </c>
      <c r="D2251" s="7">
        <f t="shared" si="106"/>
        <v>2.2090940332759343</v>
      </c>
      <c r="E2251" s="8">
        <f t="shared" si="107"/>
        <v>-3.6486698328064326</v>
      </c>
    </row>
    <row r="2252" spans="1:5" x14ac:dyDescent="0.2">
      <c r="A2252" s="1">
        <v>44896</v>
      </c>
      <c r="B2252">
        <v>68867.7</v>
      </c>
      <c r="C2252" s="6">
        <f t="shared" si="105"/>
        <v>4.4154274843863778E-3</v>
      </c>
      <c r="D2252" s="7">
        <f t="shared" si="106"/>
        <v>0.36113609668941982</v>
      </c>
      <c r="E2252" s="8">
        <f t="shared" si="107"/>
        <v>-0.82367718417163371</v>
      </c>
    </row>
    <row r="2253" spans="1:5" x14ac:dyDescent="0.2">
      <c r="A2253" s="1">
        <v>44897</v>
      </c>
      <c r="B2253">
        <v>68237.460000000006</v>
      </c>
      <c r="C2253" s="6">
        <f t="shared" si="105"/>
        <v>-9.1935918253702592E-3</v>
      </c>
      <c r="D2253" s="7">
        <f t="shared" si="106"/>
        <v>-0.81317942182106584</v>
      </c>
      <c r="E2253" s="8">
        <f t="shared" si="107"/>
        <v>-1.3228081800260787</v>
      </c>
    </row>
    <row r="2254" spans="1:5" x14ac:dyDescent="0.2">
      <c r="A2254" s="1">
        <v>44900</v>
      </c>
      <c r="B2254">
        <v>68543.44</v>
      </c>
      <c r="C2254" s="6">
        <f t="shared" si="105"/>
        <v>4.4740239375112316E-3</v>
      </c>
      <c r="D2254" s="7">
        <f t="shared" si="106"/>
        <v>0.36619235553276325</v>
      </c>
      <c r="E2254" s="8">
        <f t="shared" si="107"/>
        <v>-0.82746119108842409</v>
      </c>
    </row>
    <row r="2255" spans="1:5" x14ac:dyDescent="0.2">
      <c r="A2255" s="1">
        <v>44901</v>
      </c>
      <c r="B2255">
        <v>68419.789999999994</v>
      </c>
      <c r="C2255" s="6">
        <f t="shared" si="105"/>
        <v>-1.8055945905095469E-3</v>
      </c>
      <c r="D2255" s="7">
        <f t="shared" si="106"/>
        <v>-0.17567280902718357</v>
      </c>
      <c r="E2255" s="8">
        <f t="shared" si="107"/>
        <v>-0.71923649178886429</v>
      </c>
    </row>
    <row r="2256" spans="1:5" x14ac:dyDescent="0.2">
      <c r="A2256" s="1">
        <v>44902</v>
      </c>
      <c r="B2256">
        <v>67863.45</v>
      </c>
      <c r="C2256" s="6">
        <f t="shared" si="105"/>
        <v>-8.1645122383494292E-3</v>
      </c>
      <c r="D2256" s="7">
        <f t="shared" si="106"/>
        <v>-0.72438065525935302</v>
      </c>
      <c r="E2256" s="8">
        <f t="shared" si="107"/>
        <v>-1.2027128063892334</v>
      </c>
    </row>
    <row r="2257" spans="1:5" x14ac:dyDescent="0.2">
      <c r="A2257" s="1">
        <v>44903</v>
      </c>
      <c r="B2257">
        <v>68281.75</v>
      </c>
      <c r="C2257" s="6">
        <f t="shared" si="105"/>
        <v>6.1449293292057724E-3</v>
      </c>
      <c r="D2257" s="7">
        <f t="shared" si="106"/>
        <v>0.51037395207315561</v>
      </c>
      <c r="E2257" s="8">
        <f t="shared" si="107"/>
        <v>-0.95447943792449474</v>
      </c>
    </row>
    <row r="2258" spans="1:5" x14ac:dyDescent="0.2">
      <c r="A2258" s="1">
        <v>44904</v>
      </c>
      <c r="B2258">
        <v>68350.460000000006</v>
      </c>
      <c r="C2258" s="6">
        <f t="shared" si="105"/>
        <v>1.0057658555337233E-3</v>
      </c>
      <c r="D2258" s="7">
        <f t="shared" si="106"/>
        <v>6.6918087845767582E-2</v>
      </c>
      <c r="E2258" s="8">
        <f t="shared" si="107"/>
        <v>-0.6908915447706131</v>
      </c>
    </row>
    <row r="2259" spans="1:5" x14ac:dyDescent="0.2">
      <c r="A2259" s="1">
        <v>44907</v>
      </c>
      <c r="B2259">
        <v>68277.929999999993</v>
      </c>
      <c r="C2259" s="6">
        <f t="shared" si="105"/>
        <v>-1.0617120909233559E-3</v>
      </c>
      <c r="D2259" s="7">
        <f t="shared" si="106"/>
        <v>-0.11148355752203191</v>
      </c>
      <c r="E2259" s="8">
        <f t="shared" si="107"/>
        <v>-0.69946372699546788</v>
      </c>
    </row>
    <row r="2260" spans="1:5" x14ac:dyDescent="0.2">
      <c r="A2260" s="1">
        <v>44908</v>
      </c>
      <c r="B2260">
        <v>69675.69</v>
      </c>
      <c r="C2260" s="6">
        <f t="shared" si="105"/>
        <v>2.0264895318386354E-2</v>
      </c>
      <c r="D2260" s="7">
        <f t="shared" si="106"/>
        <v>1.7287788058341818</v>
      </c>
      <c r="E2260" s="8">
        <f t="shared" si="107"/>
        <v>-2.8328708477123796</v>
      </c>
    </row>
    <row r="2261" spans="1:5" x14ac:dyDescent="0.2">
      <c r="A2261" s="1">
        <v>44909</v>
      </c>
      <c r="B2261">
        <v>68179.520000000004</v>
      </c>
      <c r="C2261" s="6">
        <f t="shared" si="105"/>
        <v>-2.1707249943375997E-2</v>
      </c>
      <c r="D2261" s="7">
        <f t="shared" si="106"/>
        <v>-1.8929767670106392</v>
      </c>
      <c r="E2261" s="8">
        <f t="shared" si="107"/>
        <v>-3.1159544678168816</v>
      </c>
    </row>
    <row r="2262" spans="1:5" x14ac:dyDescent="0.2">
      <c r="A2262" s="1">
        <v>44910</v>
      </c>
      <c r="B2262">
        <v>66897.11</v>
      </c>
      <c r="C2262" s="6">
        <f t="shared" si="105"/>
        <v>-1.8988459100334268E-2</v>
      </c>
      <c r="D2262" s="7">
        <f t="shared" si="106"/>
        <v>-1.6583736552140991</v>
      </c>
      <c r="E2262" s="8">
        <f t="shared" si="107"/>
        <v>-2.7107573752710836</v>
      </c>
    </row>
    <row r="2263" spans="1:5" x14ac:dyDescent="0.2">
      <c r="A2263" s="1">
        <v>44914</v>
      </c>
      <c r="B2263">
        <v>67261.97</v>
      </c>
      <c r="C2263" s="6">
        <f t="shared" si="105"/>
        <v>5.439227811304982E-3</v>
      </c>
      <c r="D2263" s="7">
        <f t="shared" si="106"/>
        <v>0.44947931851839418</v>
      </c>
      <c r="E2263" s="8">
        <f t="shared" si="107"/>
        <v>-0.89645460621787998</v>
      </c>
    </row>
    <row r="2264" spans="1:5" x14ac:dyDescent="0.2">
      <c r="A2264" s="1">
        <v>44915</v>
      </c>
      <c r="B2264">
        <v>66921.509999999995</v>
      </c>
      <c r="C2264" s="6">
        <f t="shared" si="105"/>
        <v>-5.0745550883250752E-3</v>
      </c>
      <c r="D2264" s="7">
        <f t="shared" si="106"/>
        <v>-0.45774978714054509</v>
      </c>
      <c r="E2264" s="8">
        <f t="shared" si="107"/>
        <v>-0.90397112796236934</v>
      </c>
    </row>
    <row r="2265" spans="1:5" x14ac:dyDescent="0.2">
      <c r="A2265" s="1">
        <v>44916</v>
      </c>
      <c r="B2265">
        <v>67672.38</v>
      </c>
      <c r="C2265" s="6">
        <f t="shared" si="105"/>
        <v>1.1157680187025516E-2</v>
      </c>
      <c r="D2265" s="7">
        <f t="shared" si="106"/>
        <v>0.94292173445041061</v>
      </c>
      <c r="E2265" s="8">
        <f t="shared" si="107"/>
        <v>-1.5123744271854329</v>
      </c>
    </row>
    <row r="2266" spans="1:5" x14ac:dyDescent="0.2">
      <c r="A2266" s="1">
        <v>44917</v>
      </c>
      <c r="B2266">
        <v>67100.070000000007</v>
      </c>
      <c r="C2266" s="6">
        <f t="shared" si="105"/>
        <v>-8.4930331107394442E-3</v>
      </c>
      <c r="D2266" s="7">
        <f t="shared" si="106"/>
        <v>-0.75272855820674733</v>
      </c>
      <c r="E2266" s="8">
        <f t="shared" si="107"/>
        <v>-1.2400971876200577</v>
      </c>
    </row>
    <row r="2267" spans="1:5" x14ac:dyDescent="0.2">
      <c r="A2267" s="1">
        <v>44918</v>
      </c>
      <c r="B2267">
        <v>67323.759999999995</v>
      </c>
      <c r="C2267" s="6">
        <f t="shared" si="105"/>
        <v>3.3281332108241451E-3</v>
      </c>
      <c r="D2267" s="7">
        <f t="shared" si="106"/>
        <v>0.26731401373327857</v>
      </c>
      <c r="E2267" s="8">
        <f t="shared" si="107"/>
        <v>-0.76229641645997581</v>
      </c>
    </row>
    <row r="2268" spans="1:5" x14ac:dyDescent="0.2">
      <c r="A2268" s="1">
        <v>44923</v>
      </c>
      <c r="B2268">
        <v>68157.48</v>
      </c>
      <c r="C2268" s="6">
        <f t="shared" si="105"/>
        <v>1.2307689599607046E-2</v>
      </c>
      <c r="D2268" s="7">
        <f t="shared" si="106"/>
        <v>1.0421554756105418</v>
      </c>
      <c r="E2268" s="8">
        <f t="shared" si="107"/>
        <v>-1.6664874328145995</v>
      </c>
    </row>
    <row r="2269" spans="1:5" x14ac:dyDescent="0.2">
      <c r="A2269" s="1">
        <v>44924</v>
      </c>
      <c r="B2269">
        <v>67497.42</v>
      </c>
      <c r="C2269" s="6">
        <f t="shared" si="105"/>
        <v>-9.7315350808251308E-3</v>
      </c>
      <c r="D2269" s="7">
        <f t="shared" si="106"/>
        <v>-0.85959827821182833</v>
      </c>
      <c r="E2269" s="8">
        <f t="shared" si="107"/>
        <v>-1.3888700471199564</v>
      </c>
    </row>
    <row r="2270" spans="1:5" x14ac:dyDescent="0.2">
      <c r="A2270" s="1">
        <v>44925</v>
      </c>
      <c r="B2270">
        <v>66955.47</v>
      </c>
      <c r="C2270" s="6">
        <f t="shared" si="105"/>
        <v>-8.0616033628254213E-3</v>
      </c>
      <c r="D2270" s="7">
        <f t="shared" si="106"/>
        <v>-0.71550069949107309</v>
      </c>
      <c r="E2270" s="8">
        <f t="shared" si="107"/>
        <v>-1.1911967432264026</v>
      </c>
    </row>
    <row r="2271" spans="1:5" x14ac:dyDescent="0.2">
      <c r="A2271" s="1">
        <v>44929</v>
      </c>
      <c r="B2271">
        <v>68360.710000000006</v>
      </c>
      <c r="C2271" s="6">
        <f t="shared" si="105"/>
        <v>2.0770472821260308E-2</v>
      </c>
      <c r="D2271" s="7">
        <f t="shared" si="106"/>
        <v>1.7724048375063555</v>
      </c>
      <c r="E2271" s="8">
        <f t="shared" si="107"/>
        <v>-2.9083665829681404</v>
      </c>
    </row>
    <row r="2272" spans="1:5" x14ac:dyDescent="0.2">
      <c r="A2272" s="1">
        <v>44930</v>
      </c>
      <c r="B2272">
        <v>68530.460000000006</v>
      </c>
      <c r="C2272" s="6">
        <f t="shared" si="105"/>
        <v>2.4800735797302306E-3</v>
      </c>
      <c r="D2272" s="7">
        <f t="shared" si="106"/>
        <v>0.19413536928078051</v>
      </c>
      <c r="E2272" s="8">
        <f t="shared" si="107"/>
        <v>-0.726525175586484</v>
      </c>
    </row>
    <row r="2273" spans="1:5" x14ac:dyDescent="0.2">
      <c r="A2273" s="1">
        <v>44931</v>
      </c>
      <c r="B2273">
        <v>69395.649999999994</v>
      </c>
      <c r="C2273" s="6">
        <f t="shared" si="105"/>
        <v>1.2545867469065148E-2</v>
      </c>
      <c r="D2273" s="7">
        <f t="shared" si="106"/>
        <v>1.0627077256958872</v>
      </c>
      <c r="E2273" s="8">
        <f t="shared" si="107"/>
        <v>-1.6992209290351237</v>
      </c>
    </row>
    <row r="2274" spans="1:5" x14ac:dyDescent="0.2">
      <c r="A2274" s="1">
        <v>44932</v>
      </c>
      <c r="B2274">
        <v>70810.320000000007</v>
      </c>
      <c r="C2274" s="6">
        <f t="shared" si="105"/>
        <v>2.0180567356182351E-2</v>
      </c>
      <c r="D2274" s="7">
        <f t="shared" si="106"/>
        <v>1.7215021878497008</v>
      </c>
      <c r="E2274" s="8">
        <f t="shared" si="107"/>
        <v>-2.8202636774698435</v>
      </c>
    </row>
    <row r="2275" spans="1:5" x14ac:dyDescent="0.2">
      <c r="A2275" s="1">
        <v>44935</v>
      </c>
      <c r="B2275">
        <v>72223.3</v>
      </c>
      <c r="C2275" s="6">
        <f t="shared" si="105"/>
        <v>1.9757955729851825E-2</v>
      </c>
      <c r="D2275" s="7">
        <f t="shared" si="106"/>
        <v>1.6850352404667179</v>
      </c>
      <c r="E2275" s="8">
        <f t="shared" si="107"/>
        <v>-2.7570310244699612</v>
      </c>
    </row>
    <row r="2276" spans="1:5" x14ac:dyDescent="0.2">
      <c r="A2276" s="1">
        <v>44936</v>
      </c>
      <c r="B2276">
        <v>71833.490000000005</v>
      </c>
      <c r="C2276" s="6">
        <f t="shared" si="105"/>
        <v>-5.4119066712460077E-3</v>
      </c>
      <c r="D2276" s="7">
        <f t="shared" si="106"/>
        <v>-0.48685968771465282</v>
      </c>
      <c r="E2276" s="8">
        <f t="shared" si="107"/>
        <v>-0.93134554941777981</v>
      </c>
    </row>
    <row r="2277" spans="1:5" x14ac:dyDescent="0.2">
      <c r="A2277" s="1">
        <v>44937</v>
      </c>
      <c r="B2277">
        <v>72383.97</v>
      </c>
      <c r="C2277" s="6">
        <f t="shared" si="105"/>
        <v>7.634064189543377E-3</v>
      </c>
      <c r="D2277" s="7">
        <f t="shared" si="106"/>
        <v>0.63887065972318435</v>
      </c>
      <c r="E2277" s="8">
        <f t="shared" si="107"/>
        <v>-1.0959178744338913</v>
      </c>
    </row>
    <row r="2278" spans="1:5" x14ac:dyDescent="0.2">
      <c r="A2278" s="1">
        <v>44938</v>
      </c>
      <c r="B2278">
        <v>72486.23</v>
      </c>
      <c r="C2278" s="6">
        <f t="shared" si="105"/>
        <v>1.4117467496271318E-3</v>
      </c>
      <c r="D2278" s="7">
        <f t="shared" si="106"/>
        <v>0.10194997760220714</v>
      </c>
      <c r="E2278" s="8">
        <f t="shared" si="107"/>
        <v>-0.69727235488651851</v>
      </c>
    </row>
    <row r="2279" spans="1:5" x14ac:dyDescent="0.2">
      <c r="A2279" s="1">
        <v>44939</v>
      </c>
      <c r="B2279">
        <v>73193.279999999999</v>
      </c>
      <c r="C2279" s="6">
        <f t="shared" si="105"/>
        <v>9.7070006874351855E-3</v>
      </c>
      <c r="D2279" s="7">
        <f t="shared" si="106"/>
        <v>0.81774332078377476</v>
      </c>
      <c r="E2279" s="8">
        <f t="shared" si="107"/>
        <v>-1.329209098385258</v>
      </c>
    </row>
    <row r="2280" spans="1:5" x14ac:dyDescent="0.2">
      <c r="A2280" s="1">
        <v>44942</v>
      </c>
      <c r="B2280">
        <v>73046.649999999994</v>
      </c>
      <c r="C2280" s="6">
        <f t="shared" si="105"/>
        <v>-2.0053353299305976E-3</v>
      </c>
      <c r="D2280" s="7">
        <f t="shared" si="106"/>
        <v>-0.19290833824806861</v>
      </c>
      <c r="E2280" s="8">
        <f t="shared" si="107"/>
        <v>-0.72601880514591211</v>
      </c>
    </row>
    <row r="2281" spans="1:5" x14ac:dyDescent="0.2">
      <c r="A2281" s="1">
        <v>44943</v>
      </c>
      <c r="B2281">
        <v>73281.62</v>
      </c>
      <c r="C2281" s="6">
        <f t="shared" si="105"/>
        <v>3.2115489639505728E-3</v>
      </c>
      <c r="D2281" s="7">
        <f t="shared" si="106"/>
        <v>0.25725401696192107</v>
      </c>
      <c r="E2281" s="8">
        <f t="shared" si="107"/>
        <v>-0.75673639873270093</v>
      </c>
    </row>
    <row r="2282" spans="1:5" x14ac:dyDescent="0.2">
      <c r="A2282" s="1">
        <v>44944</v>
      </c>
      <c r="B2282">
        <v>73757.69</v>
      </c>
      <c r="C2282" s="6">
        <f t="shared" si="105"/>
        <v>6.4754338620890885E-3</v>
      </c>
      <c r="D2282" s="7">
        <f t="shared" si="106"/>
        <v>0.53889302409950557</v>
      </c>
      <c r="E2282" s="8">
        <f t="shared" si="107"/>
        <v>-0.98372521589696971</v>
      </c>
    </row>
    <row r="2283" spans="1:5" x14ac:dyDescent="0.2">
      <c r="A2283" s="1">
        <v>44945</v>
      </c>
      <c r="B2283">
        <v>73329.039999999994</v>
      </c>
      <c r="C2283" s="6">
        <f t="shared" si="105"/>
        <v>-5.8285504546533055E-3</v>
      </c>
      <c r="D2283" s="7">
        <f t="shared" si="106"/>
        <v>-0.52281167289519703</v>
      </c>
      <c r="E2283" s="8">
        <f t="shared" si="107"/>
        <v>-0.96707619347608875</v>
      </c>
    </row>
    <row r="2284" spans="1:5" x14ac:dyDescent="0.2">
      <c r="A2284" s="1">
        <v>44946</v>
      </c>
      <c r="B2284">
        <v>73192.92</v>
      </c>
      <c r="C2284" s="6">
        <f t="shared" si="105"/>
        <v>-1.8580155378715212E-3</v>
      </c>
      <c r="D2284" s="7">
        <f t="shared" si="106"/>
        <v>-0.18019618654477254</v>
      </c>
      <c r="E2284" s="8">
        <f t="shared" si="107"/>
        <v>-0.72095664563570627</v>
      </c>
    </row>
    <row r="2285" spans="1:5" x14ac:dyDescent="0.2">
      <c r="A2285" s="1">
        <v>44949</v>
      </c>
      <c r="B2285">
        <v>74023.77</v>
      </c>
      <c r="C2285" s="6">
        <f t="shared" si="105"/>
        <v>1.128756286351947E-2</v>
      </c>
      <c r="D2285" s="7">
        <f t="shared" si="106"/>
        <v>0.95412924611020966</v>
      </c>
      <c r="E2285" s="8">
        <f t="shared" si="107"/>
        <v>-1.5294240887610984</v>
      </c>
    </row>
    <row r="2286" spans="1:5" x14ac:dyDescent="0.2">
      <c r="A2286" s="1">
        <v>44950</v>
      </c>
      <c r="B2286">
        <v>73952.28</v>
      </c>
      <c r="C2286" s="6">
        <f t="shared" si="105"/>
        <v>-9.6623751697681335E-4</v>
      </c>
      <c r="D2286" s="7">
        <f t="shared" si="106"/>
        <v>-0.10324510394527622</v>
      </c>
      <c r="E2286" s="8">
        <f t="shared" si="107"/>
        <v>-0.69755865720582322</v>
      </c>
    </row>
    <row r="2287" spans="1:5" x14ac:dyDescent="0.2">
      <c r="A2287" s="1">
        <v>44951</v>
      </c>
      <c r="B2287">
        <v>73712.45</v>
      </c>
      <c r="C2287" s="6">
        <f t="shared" si="105"/>
        <v>-3.2483073091386086E-3</v>
      </c>
      <c r="D2287" s="7">
        <f t="shared" si="106"/>
        <v>-0.30016377312067605</v>
      </c>
      <c r="E2287" s="8">
        <f t="shared" si="107"/>
        <v>-0.7818488911667395</v>
      </c>
    </row>
    <row r="2288" spans="1:5" x14ac:dyDescent="0.2">
      <c r="A2288" s="1">
        <v>44952</v>
      </c>
      <c r="B2288">
        <v>74479.77</v>
      </c>
      <c r="C2288" s="6">
        <f t="shared" si="105"/>
        <v>1.0355831871320565E-2</v>
      </c>
      <c r="D2288" s="7">
        <f t="shared" si="106"/>
        <v>0.87373064145602075</v>
      </c>
      <c r="E2288" s="8">
        <f t="shared" si="107"/>
        <v>-1.4093902970419019</v>
      </c>
    </row>
    <row r="2289" spans="1:5" x14ac:dyDescent="0.2">
      <c r="A2289" s="1">
        <v>44953</v>
      </c>
      <c r="B2289">
        <v>74766.05</v>
      </c>
      <c r="C2289" s="6">
        <f t="shared" si="105"/>
        <v>3.8363600550312127E-3</v>
      </c>
      <c r="D2289" s="7">
        <f t="shared" si="106"/>
        <v>0.31116865575352293</v>
      </c>
      <c r="E2289" s="8">
        <f t="shared" si="107"/>
        <v>-0.78887177342903581</v>
      </c>
    </row>
    <row r="2290" spans="1:5" x14ac:dyDescent="0.2">
      <c r="A2290" s="1">
        <v>44956</v>
      </c>
      <c r="B2290">
        <v>74343.78</v>
      </c>
      <c r="C2290" s="6">
        <f t="shared" si="105"/>
        <v>-5.6638939076934791E-3</v>
      </c>
      <c r="D2290" s="7">
        <f t="shared" si="106"/>
        <v>-0.50860354122029738</v>
      </c>
      <c r="E2290" s="8">
        <f t="shared" si="107"/>
        <v>-0.95270648481188525</v>
      </c>
    </row>
    <row r="2291" spans="1:5" x14ac:dyDescent="0.2">
      <c r="A2291" s="1">
        <v>44957</v>
      </c>
      <c r="B2291">
        <v>73431.039999999994</v>
      </c>
      <c r="C2291" s="6">
        <f t="shared" si="105"/>
        <v>-1.2353276522245556E-2</v>
      </c>
      <c r="D2291" s="7">
        <f t="shared" si="106"/>
        <v>-1.0858270453335579</v>
      </c>
      <c r="E2291" s="8">
        <f t="shared" si="107"/>
        <v>-1.7363392102466924</v>
      </c>
    </row>
    <row r="2292" spans="1:5" x14ac:dyDescent="0.2">
      <c r="A2292" s="1">
        <v>44958</v>
      </c>
      <c r="B2292">
        <v>73723.259999999995</v>
      </c>
      <c r="C2292" s="6">
        <f t="shared" si="105"/>
        <v>3.9716186902743981E-3</v>
      </c>
      <c r="D2292" s="7">
        <f t="shared" si="106"/>
        <v>0.32284005622429368</v>
      </c>
      <c r="E2292" s="8">
        <f t="shared" si="107"/>
        <v>-0.79657591407665229</v>
      </c>
    </row>
    <row r="2293" spans="1:5" x14ac:dyDescent="0.2">
      <c r="A2293" s="1">
        <v>44959</v>
      </c>
      <c r="B2293">
        <v>73629.3</v>
      </c>
      <c r="C2293" s="6">
        <f t="shared" si="105"/>
        <v>-1.2753088610717089E-3</v>
      </c>
      <c r="D2293" s="7">
        <f t="shared" si="106"/>
        <v>-0.12991471675399083</v>
      </c>
      <c r="E2293" s="8">
        <f t="shared" si="107"/>
        <v>-0.70424937844281088</v>
      </c>
    </row>
    <row r="2294" spans="1:5" x14ac:dyDescent="0.2">
      <c r="A2294" s="1">
        <v>44960</v>
      </c>
      <c r="B2294">
        <v>74082.09</v>
      </c>
      <c r="C2294" s="6">
        <f t="shared" si="105"/>
        <v>6.1307583419303617E-3</v>
      </c>
      <c r="D2294" s="7">
        <f t="shared" si="106"/>
        <v>0.50915114461794109</v>
      </c>
      <c r="E2294" s="8">
        <f t="shared" si="107"/>
        <v>-0.95325433677456672</v>
      </c>
    </row>
    <row r="2295" spans="1:5" x14ac:dyDescent="0.2">
      <c r="A2295" s="1">
        <v>44963</v>
      </c>
      <c r="B2295">
        <v>73489.37</v>
      </c>
      <c r="C2295" s="6">
        <f t="shared" si="105"/>
        <v>-8.0330327738085058E-3</v>
      </c>
      <c r="D2295" s="7">
        <f t="shared" si="106"/>
        <v>-0.71303535755188607</v>
      </c>
      <c r="E2295" s="8">
        <f t="shared" si="107"/>
        <v>-1.1880163610464392</v>
      </c>
    </row>
    <row r="2296" spans="1:5" x14ac:dyDescent="0.2">
      <c r="A2296" s="1">
        <v>44964</v>
      </c>
      <c r="B2296">
        <v>73434.080000000002</v>
      </c>
      <c r="C2296" s="6">
        <f t="shared" si="105"/>
        <v>-7.5263686783789171E-4</v>
      </c>
      <c r="D2296" s="7">
        <f t="shared" si="106"/>
        <v>-8.4813609997147293E-2</v>
      </c>
      <c r="E2296" s="8">
        <f t="shared" si="107"/>
        <v>-0.69382212824696987</v>
      </c>
    </row>
    <row r="2297" spans="1:5" x14ac:dyDescent="0.2">
      <c r="A2297" s="1">
        <v>44965</v>
      </c>
      <c r="B2297">
        <v>73968.070000000007</v>
      </c>
      <c r="C2297" s="6">
        <f t="shared" si="105"/>
        <v>7.2453805593164196E-3</v>
      </c>
      <c r="D2297" s="7">
        <f t="shared" si="106"/>
        <v>0.60533134227660856</v>
      </c>
      <c r="E2297" s="8">
        <f t="shared" si="107"/>
        <v>-1.0566718852269308</v>
      </c>
    </row>
    <row r="2298" spans="1:5" x14ac:dyDescent="0.2">
      <c r="A2298" s="1">
        <v>44966</v>
      </c>
      <c r="B2298">
        <v>74037.05</v>
      </c>
      <c r="C2298" s="6">
        <f t="shared" si="105"/>
        <v>9.321299829969658E-4</v>
      </c>
      <c r="D2298" s="7">
        <f t="shared" si="106"/>
        <v>6.0564084969382453E-2</v>
      </c>
      <c r="E2298" s="8">
        <f t="shared" si="107"/>
        <v>-0.6900167089821132</v>
      </c>
    </row>
    <row r="2299" spans="1:5" x14ac:dyDescent="0.2">
      <c r="A2299" s="1">
        <v>44967</v>
      </c>
      <c r="B2299">
        <v>73017.05</v>
      </c>
      <c r="C2299" s="6">
        <f t="shared" si="105"/>
        <v>-1.3872668062647135E-2</v>
      </c>
      <c r="D2299" s="7">
        <f t="shared" si="106"/>
        <v>-1.2169345868819748</v>
      </c>
      <c r="E2299" s="8">
        <f t="shared" si="107"/>
        <v>-1.9519005780136718</v>
      </c>
    </row>
    <row r="2300" spans="1:5" x14ac:dyDescent="0.2">
      <c r="A2300" s="1">
        <v>44970</v>
      </c>
      <c r="B2300">
        <v>73757.009999999995</v>
      </c>
      <c r="C2300" s="6">
        <f t="shared" si="105"/>
        <v>1.0083066029388932E-2</v>
      </c>
      <c r="D2300" s="7">
        <f t="shared" si="106"/>
        <v>0.85019381240102376</v>
      </c>
      <c r="E2300" s="8">
        <f t="shared" si="107"/>
        <v>-1.3753176087447003</v>
      </c>
    </row>
    <row r="2301" spans="1:5" x14ac:dyDescent="0.2">
      <c r="A2301" s="1">
        <v>44971</v>
      </c>
      <c r="B2301">
        <v>73824.350000000006</v>
      </c>
      <c r="C2301" s="6">
        <f t="shared" si="105"/>
        <v>9.125814353985257E-4</v>
      </c>
      <c r="D2301" s="7">
        <f t="shared" si="106"/>
        <v>5.8877250504188385E-2</v>
      </c>
      <c r="E2301" s="8">
        <f t="shared" si="107"/>
        <v>-0.68979906741449759</v>
      </c>
    </row>
    <row r="2302" spans="1:5" x14ac:dyDescent="0.2">
      <c r="A2302" s="1">
        <v>44972</v>
      </c>
      <c r="B2302">
        <v>73462.98</v>
      </c>
      <c r="C2302" s="6">
        <f t="shared" si="105"/>
        <v>-4.9070171224263274E-3</v>
      </c>
      <c r="D2302" s="7">
        <f t="shared" si="106"/>
        <v>-0.4432930192562104</v>
      </c>
      <c r="E2302" s="8">
        <f t="shared" si="107"/>
        <v>-0.89090887980890077</v>
      </c>
    </row>
    <row r="2303" spans="1:5" x14ac:dyDescent="0.2">
      <c r="A2303" s="1">
        <v>44973</v>
      </c>
      <c r="B2303">
        <v>74196.28</v>
      </c>
      <c r="C2303" s="6">
        <f t="shared" si="105"/>
        <v>9.932408282342254E-3</v>
      </c>
      <c r="D2303" s="7">
        <f t="shared" si="106"/>
        <v>0.83719363021935078</v>
      </c>
      <c r="E2303" s="8">
        <f t="shared" si="107"/>
        <v>-1.3567221620862524</v>
      </c>
    </row>
    <row r="2304" spans="1:5" x14ac:dyDescent="0.2">
      <c r="A2304" s="1">
        <v>44974</v>
      </c>
      <c r="B2304">
        <v>73231.61</v>
      </c>
      <c r="C2304" s="6">
        <f t="shared" si="105"/>
        <v>-1.3086855789297254E-2</v>
      </c>
      <c r="D2304" s="7">
        <f t="shared" si="106"/>
        <v>-1.1491272360195068</v>
      </c>
      <c r="E2304" s="8">
        <f t="shared" si="107"/>
        <v>-1.8394270476176133</v>
      </c>
    </row>
    <row r="2305" spans="1:5" x14ac:dyDescent="0.2">
      <c r="A2305" s="1">
        <v>44977</v>
      </c>
      <c r="B2305">
        <v>73786.509999999995</v>
      </c>
      <c r="C2305" s="6">
        <f t="shared" si="105"/>
        <v>7.5487652137843104E-3</v>
      </c>
      <c r="D2305" s="7">
        <f t="shared" si="106"/>
        <v>0.6315102534612056</v>
      </c>
      <c r="E2305" s="8">
        <f t="shared" si="107"/>
        <v>-1.0871717655773261</v>
      </c>
    </row>
    <row r="2306" spans="1:5" x14ac:dyDescent="0.2">
      <c r="A2306" s="1">
        <v>44978</v>
      </c>
      <c r="B2306">
        <v>72785.850000000006</v>
      </c>
      <c r="C2306" s="6">
        <f t="shared" si="105"/>
        <v>-1.3654355391303703E-2</v>
      </c>
      <c r="D2306" s="7">
        <f t="shared" si="106"/>
        <v>-1.198096494877632</v>
      </c>
      <c r="E2306" s="8">
        <f t="shared" si="107"/>
        <v>-1.9204647150815171</v>
      </c>
    </row>
    <row r="2307" spans="1:5" x14ac:dyDescent="0.2">
      <c r="A2307" s="1">
        <v>44979</v>
      </c>
      <c r="B2307">
        <v>72154.820000000007</v>
      </c>
      <c r="C2307" s="6">
        <f t="shared" ref="C2307:C2370" si="108">LN(B2307/B2306)</f>
        <v>-8.7074799235260895E-3</v>
      </c>
      <c r="D2307" s="7">
        <f t="shared" ref="D2307:D2370" si="109">(C2307-$G$4)/$G$5</f>
        <v>-0.77123306719586526</v>
      </c>
      <c r="E2307" s="8">
        <f t="shared" ref="E2307:E2370" si="110">LN((PI()*(G$3-2))^(-1/2)*EXP(GAMMALN((G$3+1)/2))*((1+D2307^2/(G$3-2))^(-(G$3+1)/2))/EXP(GAMMALN(G$3/2)))</f>
        <v>-1.2649950089636322</v>
      </c>
    </row>
    <row r="2308" spans="1:5" x14ac:dyDescent="0.2">
      <c r="A2308" s="1">
        <v>44980</v>
      </c>
      <c r="B2308">
        <v>72948.399999999994</v>
      </c>
      <c r="C2308" s="6">
        <f t="shared" si="108"/>
        <v>1.0938253642247766E-2</v>
      </c>
      <c r="D2308" s="7">
        <f t="shared" si="109"/>
        <v>0.92398752686052832</v>
      </c>
      <c r="E2308" s="8">
        <f t="shared" si="110"/>
        <v>-1.4837953030725324</v>
      </c>
    </row>
    <row r="2309" spans="1:5" x14ac:dyDescent="0.2">
      <c r="A2309" s="1">
        <v>44981</v>
      </c>
      <c r="B2309">
        <v>70884.679999999993</v>
      </c>
      <c r="C2309" s="6">
        <f t="shared" si="108"/>
        <v>-2.8698010692391224E-2</v>
      </c>
      <c r="D2309" s="7">
        <f t="shared" si="109"/>
        <v>-2.4962060406936502</v>
      </c>
      <c r="E2309" s="8">
        <f t="shared" si="110"/>
        <v>-4.1129935591497544</v>
      </c>
    </row>
    <row r="2310" spans="1:5" x14ac:dyDescent="0.2">
      <c r="A2310" s="1">
        <v>44984</v>
      </c>
      <c r="B2310">
        <v>71518.039999999994</v>
      </c>
      <c r="C2310" s="6">
        <f t="shared" si="108"/>
        <v>8.8953943628674367E-3</v>
      </c>
      <c r="D2310" s="7">
        <f t="shared" si="109"/>
        <v>0.74771021405007521</v>
      </c>
      <c r="E2310" s="8">
        <f t="shared" si="110"/>
        <v>-1.2334114610996909</v>
      </c>
    </row>
    <row r="2311" spans="1:5" x14ac:dyDescent="0.2">
      <c r="A2311" s="1">
        <v>44985</v>
      </c>
      <c r="B2311">
        <v>71693.89</v>
      </c>
      <c r="C2311" s="6">
        <f t="shared" si="108"/>
        <v>2.4558022279115473E-3</v>
      </c>
      <c r="D2311" s="7">
        <f t="shared" si="109"/>
        <v>0.19204100638458904</v>
      </c>
      <c r="E2311" s="8">
        <f t="shared" si="110"/>
        <v>-0.72566275692970894</v>
      </c>
    </row>
    <row r="2312" spans="1:5" x14ac:dyDescent="0.2">
      <c r="A2312" s="1">
        <v>44986</v>
      </c>
      <c r="B2312">
        <v>72603.990000000005</v>
      </c>
      <c r="C2312" s="6">
        <f t="shared" si="108"/>
        <v>1.2614351202315476E-2</v>
      </c>
      <c r="D2312" s="7">
        <f t="shared" si="109"/>
        <v>1.0686171530316055</v>
      </c>
      <c r="E2312" s="8">
        <f t="shared" si="110"/>
        <v>-1.7086794189064858</v>
      </c>
    </row>
    <row r="2313" spans="1:5" x14ac:dyDescent="0.2">
      <c r="A2313" s="1">
        <v>44987</v>
      </c>
      <c r="B2313">
        <v>71584.490000000005</v>
      </c>
      <c r="C2313" s="6">
        <f t="shared" si="108"/>
        <v>-1.4141448608920686E-2</v>
      </c>
      <c r="D2313" s="7">
        <f t="shared" si="109"/>
        <v>-1.2401275267535841</v>
      </c>
      <c r="E2313" s="8">
        <f t="shared" si="110"/>
        <v>-1.990783785258277</v>
      </c>
    </row>
    <row r="2314" spans="1:5" x14ac:dyDescent="0.2">
      <c r="A2314" s="1">
        <v>44988</v>
      </c>
      <c r="B2314">
        <v>72318.710000000006</v>
      </c>
      <c r="C2314" s="6">
        <f t="shared" si="108"/>
        <v>1.020444814610961E-2</v>
      </c>
      <c r="D2314" s="7">
        <f t="shared" si="109"/>
        <v>0.86066781497904576</v>
      </c>
      <c r="E2314" s="8">
        <f t="shared" si="110"/>
        <v>-1.390416569862245</v>
      </c>
    </row>
    <row r="2315" spans="1:5" x14ac:dyDescent="0.2">
      <c r="A2315" s="1">
        <v>44991</v>
      </c>
      <c r="B2315">
        <v>72769.42</v>
      </c>
      <c r="C2315" s="6">
        <f t="shared" si="108"/>
        <v>6.2129334743409774E-3</v>
      </c>
      <c r="D2315" s="7">
        <f t="shared" si="109"/>
        <v>0.51624199598856535</v>
      </c>
      <c r="E2315" s="8">
        <f t="shared" si="110"/>
        <v>-0.96039180753311071</v>
      </c>
    </row>
    <row r="2316" spans="1:5" x14ac:dyDescent="0.2">
      <c r="A2316" s="1">
        <v>44992</v>
      </c>
      <c r="B2316">
        <v>72675.31</v>
      </c>
      <c r="C2316" s="6">
        <f t="shared" si="108"/>
        <v>-1.2941000080758842E-3</v>
      </c>
      <c r="D2316" s="7">
        <f t="shared" si="109"/>
        <v>-0.13153619549800249</v>
      </c>
      <c r="E2316" s="8">
        <f t="shared" si="110"/>
        <v>-0.70470494065629774</v>
      </c>
    </row>
    <row r="2317" spans="1:5" x14ac:dyDescent="0.2">
      <c r="A2317" s="1">
        <v>44993</v>
      </c>
      <c r="B2317">
        <v>71868.39</v>
      </c>
      <c r="C2317" s="6">
        <f t="shared" si="108"/>
        <v>-1.1165182330654255E-2</v>
      </c>
      <c r="D2317" s="7">
        <f t="shared" si="109"/>
        <v>-0.9833069875041458</v>
      </c>
      <c r="E2317" s="8">
        <f t="shared" si="110"/>
        <v>-1.5742557823606047</v>
      </c>
    </row>
    <row r="2318" spans="1:5" x14ac:dyDescent="0.2">
      <c r="A2318" s="1">
        <v>44994</v>
      </c>
      <c r="B2318">
        <v>71844.69</v>
      </c>
      <c r="C2318" s="6">
        <f t="shared" si="108"/>
        <v>-3.2982384365914995E-4</v>
      </c>
      <c r="D2318" s="7">
        <f t="shared" si="109"/>
        <v>-4.8329284093848651E-2</v>
      </c>
      <c r="E2318" s="8">
        <f t="shared" si="110"/>
        <v>-0.68857722052750936</v>
      </c>
    </row>
    <row r="2319" spans="1:5" x14ac:dyDescent="0.2">
      <c r="A2319" s="1">
        <v>44995</v>
      </c>
      <c r="B2319">
        <v>70692.59</v>
      </c>
      <c r="C2319" s="6">
        <f t="shared" si="108"/>
        <v>-1.6165947470063502E-2</v>
      </c>
      <c r="D2319" s="7">
        <f t="shared" si="109"/>
        <v>-1.414820528191417</v>
      </c>
      <c r="E2319" s="8">
        <f t="shared" si="110"/>
        <v>-2.2885728795923166</v>
      </c>
    </row>
    <row r="2320" spans="1:5" x14ac:dyDescent="0.2">
      <c r="A2320" s="1">
        <v>44998</v>
      </c>
      <c r="B2320">
        <v>69731.53</v>
      </c>
      <c r="C2320" s="6">
        <f t="shared" si="108"/>
        <v>-1.3688175589719116E-2</v>
      </c>
      <c r="D2320" s="7">
        <f t="shared" si="109"/>
        <v>-1.2010148230050564</v>
      </c>
      <c r="E2320" s="8">
        <f t="shared" si="110"/>
        <v>-1.9253256676930028</v>
      </c>
    </row>
    <row r="2321" spans="1:5" x14ac:dyDescent="0.2">
      <c r="A2321" s="1">
        <v>44999</v>
      </c>
      <c r="B2321">
        <v>69363.58</v>
      </c>
      <c r="C2321" s="6">
        <f t="shared" si="108"/>
        <v>-5.2906368637787677E-3</v>
      </c>
      <c r="D2321" s="7">
        <f t="shared" si="109"/>
        <v>-0.47639537624634132</v>
      </c>
      <c r="E2321" s="8">
        <f t="shared" si="110"/>
        <v>-0.92134202440115098</v>
      </c>
    </row>
    <row r="2322" spans="1:5" x14ac:dyDescent="0.2">
      <c r="A2322" s="1">
        <v>45000</v>
      </c>
      <c r="B2322">
        <v>67306.53</v>
      </c>
      <c r="C2322" s="6">
        <f t="shared" si="108"/>
        <v>-3.0104685728297255E-2</v>
      </c>
      <c r="D2322" s="7">
        <f t="shared" si="109"/>
        <v>-2.6175873310399336</v>
      </c>
      <c r="E2322" s="8">
        <f t="shared" si="110"/>
        <v>-4.3029095625334586</v>
      </c>
    </row>
    <row r="2323" spans="1:5" x14ac:dyDescent="0.2">
      <c r="A2323" s="1">
        <v>45001</v>
      </c>
      <c r="B2323">
        <v>67445.990000000005</v>
      </c>
      <c r="C2323" s="6">
        <f t="shared" si="108"/>
        <v>2.0698692653970362E-3</v>
      </c>
      <c r="D2323" s="7">
        <f t="shared" si="109"/>
        <v>0.1587390426890419</v>
      </c>
      <c r="E2323" s="8">
        <f t="shared" si="110"/>
        <v>-0.71317673603762499</v>
      </c>
    </row>
    <row r="2324" spans="1:5" x14ac:dyDescent="0.2">
      <c r="A2324" s="1">
        <v>45002</v>
      </c>
      <c r="B2324">
        <v>67001.16</v>
      </c>
      <c r="C2324" s="6">
        <f t="shared" si="108"/>
        <v>-6.6171967670163763E-3</v>
      </c>
      <c r="D2324" s="7">
        <f t="shared" si="109"/>
        <v>-0.59086357157683567</v>
      </c>
      <c r="E2324" s="8">
        <f t="shared" si="110"/>
        <v>-1.0402322623966589</v>
      </c>
    </row>
    <row r="2325" spans="1:5" x14ac:dyDescent="0.2">
      <c r="A2325" s="1">
        <v>45005</v>
      </c>
      <c r="B2325">
        <v>68799.28</v>
      </c>
      <c r="C2325" s="6">
        <f t="shared" si="108"/>
        <v>2.6483347094332938E-2</v>
      </c>
      <c r="D2325" s="7">
        <f t="shared" si="109"/>
        <v>2.2653659217307607</v>
      </c>
      <c r="E2325" s="8">
        <f t="shared" si="110"/>
        <v>-3.7412747958768859</v>
      </c>
    </row>
    <row r="2326" spans="1:5" x14ac:dyDescent="0.2">
      <c r="A2326" s="1">
        <v>45007</v>
      </c>
      <c r="B2326">
        <v>69756.56</v>
      </c>
      <c r="C2326" s="6">
        <f t="shared" si="108"/>
        <v>1.3818186689986496E-2</v>
      </c>
      <c r="D2326" s="7">
        <f t="shared" si="109"/>
        <v>1.1724955194831994</v>
      </c>
      <c r="E2326" s="8">
        <f t="shared" si="110"/>
        <v>-1.8779702168898313</v>
      </c>
    </row>
    <row r="2327" spans="1:5" x14ac:dyDescent="0.2">
      <c r="A2327" s="1">
        <v>45008</v>
      </c>
      <c r="B2327">
        <v>70066.09</v>
      </c>
      <c r="C2327" s="6">
        <f t="shared" si="108"/>
        <v>4.427473025728385E-3</v>
      </c>
      <c r="D2327" s="7">
        <f t="shared" si="109"/>
        <v>0.36217550047045771</v>
      </c>
      <c r="E2327" s="8">
        <f t="shared" si="110"/>
        <v>-0.82445117556320879</v>
      </c>
    </row>
    <row r="2328" spans="1:5" x14ac:dyDescent="0.2">
      <c r="A2328" s="1">
        <v>45009</v>
      </c>
      <c r="B2328">
        <v>69180.7</v>
      </c>
      <c r="C2328" s="6">
        <f t="shared" si="108"/>
        <v>-1.2717017494775986E-2</v>
      </c>
      <c r="D2328" s="7">
        <f t="shared" si="109"/>
        <v>-1.1172140732330884</v>
      </c>
      <c r="E2328" s="8">
        <f t="shared" si="110"/>
        <v>-1.7872009372209805</v>
      </c>
    </row>
    <row r="2329" spans="1:5" x14ac:dyDescent="0.2">
      <c r="A2329" s="1">
        <v>45012</v>
      </c>
      <c r="B2329">
        <v>69785.100000000006</v>
      </c>
      <c r="C2329" s="6">
        <f t="shared" si="108"/>
        <v>8.6985979430849007E-3</v>
      </c>
      <c r="D2329" s="7">
        <f t="shared" si="109"/>
        <v>0.73072874870875892</v>
      </c>
      <c r="E2329" s="8">
        <f t="shared" si="110"/>
        <v>-1.21100298153371</v>
      </c>
    </row>
    <row r="2330" spans="1:5" x14ac:dyDescent="0.2">
      <c r="A2330" s="1">
        <v>45013</v>
      </c>
      <c r="B2330">
        <v>70444.91</v>
      </c>
      <c r="C2330" s="6">
        <f t="shared" si="108"/>
        <v>9.4104659796931181E-3</v>
      </c>
      <c r="D2330" s="7">
        <f t="shared" si="109"/>
        <v>0.79215548810072245</v>
      </c>
      <c r="E2330" s="8">
        <f t="shared" si="110"/>
        <v>-1.2935987618347171</v>
      </c>
    </row>
    <row r="2331" spans="1:5" x14ac:dyDescent="0.2">
      <c r="A2331" s="1">
        <v>45014</v>
      </c>
      <c r="B2331">
        <v>70864.87</v>
      </c>
      <c r="C2331" s="6">
        <f t="shared" si="108"/>
        <v>5.9438382312101872E-3</v>
      </c>
      <c r="D2331" s="7">
        <f t="shared" si="109"/>
        <v>0.49302190108141142</v>
      </c>
      <c r="E2331" s="8">
        <f t="shared" si="110"/>
        <v>-0.93732095807608162</v>
      </c>
    </row>
    <row r="2332" spans="1:5" x14ac:dyDescent="0.2">
      <c r="A2332" s="1">
        <v>45015</v>
      </c>
      <c r="B2332">
        <v>71089.320000000007</v>
      </c>
      <c r="C2332" s="6">
        <f t="shared" si="108"/>
        <v>3.1622904127472369E-3</v>
      </c>
      <c r="D2332" s="7">
        <f t="shared" si="109"/>
        <v>0.25300352103853369</v>
      </c>
      <c r="E2332" s="8">
        <f t="shared" si="110"/>
        <v>-0.75444807952035209</v>
      </c>
    </row>
    <row r="2333" spans="1:5" x14ac:dyDescent="0.2">
      <c r="A2333" s="1">
        <v>45016</v>
      </c>
      <c r="B2333">
        <v>70497.7</v>
      </c>
      <c r="C2333" s="6">
        <f t="shared" si="108"/>
        <v>-8.357029383363657E-3</v>
      </c>
      <c r="D2333" s="7">
        <f t="shared" si="109"/>
        <v>-0.7409928641058392</v>
      </c>
      <c r="E2333" s="8">
        <f t="shared" si="110"/>
        <v>-1.224507371010126</v>
      </c>
    </row>
    <row r="2334" spans="1:5" x14ac:dyDescent="0.2">
      <c r="A2334" s="1">
        <v>45019</v>
      </c>
      <c r="B2334">
        <v>70958.740000000005</v>
      </c>
      <c r="C2334" s="6">
        <f t="shared" si="108"/>
        <v>6.5184961885807512E-3</v>
      </c>
      <c r="D2334" s="7">
        <f t="shared" si="109"/>
        <v>0.54260885086933541</v>
      </c>
      <c r="E2334" s="8">
        <f t="shared" si="110"/>
        <v>-0.98762953868848136</v>
      </c>
    </row>
    <row r="2335" spans="1:5" x14ac:dyDescent="0.2">
      <c r="A2335" s="1">
        <v>45020</v>
      </c>
      <c r="B2335">
        <v>71693.22</v>
      </c>
      <c r="C2335" s="6">
        <f t="shared" si="108"/>
        <v>1.0297601103826182E-2</v>
      </c>
      <c r="D2335" s="7">
        <f t="shared" si="109"/>
        <v>0.86870593744414482</v>
      </c>
      <c r="E2335" s="8">
        <f t="shared" si="110"/>
        <v>-1.4020733939986141</v>
      </c>
    </row>
    <row r="2336" spans="1:5" x14ac:dyDescent="0.2">
      <c r="A2336" s="1">
        <v>45021</v>
      </c>
      <c r="B2336">
        <v>70925.8</v>
      </c>
      <c r="C2336" s="6">
        <f t="shared" si="108"/>
        <v>-1.0761922313054515E-2</v>
      </c>
      <c r="D2336" s="7">
        <f t="shared" si="109"/>
        <v>-0.94850988082925969</v>
      </c>
      <c r="E2336" s="8">
        <f t="shared" si="110"/>
        <v>-1.5208633570711836</v>
      </c>
    </row>
    <row r="2337" spans="1:5" x14ac:dyDescent="0.2">
      <c r="A2337" s="1">
        <v>45022</v>
      </c>
      <c r="B2337">
        <v>71378.91</v>
      </c>
      <c r="C2337" s="6">
        <f t="shared" si="108"/>
        <v>6.3681874096375895E-3</v>
      </c>
      <c r="D2337" s="7">
        <f t="shared" si="109"/>
        <v>0.52963878097203043</v>
      </c>
      <c r="E2337" s="8">
        <f t="shared" si="110"/>
        <v>-0.97409480434820883</v>
      </c>
    </row>
    <row r="2338" spans="1:5" x14ac:dyDescent="0.2">
      <c r="A2338" s="1">
        <v>45027</v>
      </c>
      <c r="B2338">
        <v>72252.61</v>
      </c>
      <c r="C2338" s="6">
        <f t="shared" si="108"/>
        <v>1.2166003345979413E-2</v>
      </c>
      <c r="D2338" s="7">
        <f t="shared" si="109"/>
        <v>1.0299294391410914</v>
      </c>
      <c r="E2338" s="8">
        <f t="shared" si="110"/>
        <v>-1.6471384268547202</v>
      </c>
    </row>
    <row r="2339" spans="1:5" x14ac:dyDescent="0.2">
      <c r="A2339" s="1">
        <v>45028</v>
      </c>
      <c r="B2339">
        <v>71964.649999999994</v>
      </c>
      <c r="C2339" s="6">
        <f t="shared" si="108"/>
        <v>-3.9934246800323366E-3</v>
      </c>
      <c r="D2339" s="7">
        <f t="shared" si="109"/>
        <v>-0.36445958105776427</v>
      </c>
      <c r="E2339" s="8">
        <f t="shared" si="110"/>
        <v>-0.82615906979622611</v>
      </c>
    </row>
    <row r="2340" spans="1:5" x14ac:dyDescent="0.2">
      <c r="A2340" s="1">
        <v>45029</v>
      </c>
      <c r="B2340">
        <v>72704.95</v>
      </c>
      <c r="C2340" s="6">
        <f t="shared" si="108"/>
        <v>1.0234444027094336E-2</v>
      </c>
      <c r="D2340" s="7">
        <f t="shared" si="109"/>
        <v>0.86325614465438871</v>
      </c>
      <c r="E2340" s="8">
        <f t="shared" si="110"/>
        <v>-1.3941636287972539</v>
      </c>
    </row>
    <row r="2341" spans="1:5" x14ac:dyDescent="0.2">
      <c r="A2341" s="1">
        <v>45030</v>
      </c>
      <c r="B2341">
        <v>73133.740000000005</v>
      </c>
      <c r="C2341" s="6">
        <f t="shared" si="108"/>
        <v>5.8803495228314309E-3</v>
      </c>
      <c r="D2341" s="7">
        <f t="shared" si="109"/>
        <v>0.48754349196151919</v>
      </c>
      <c r="E2341" s="8">
        <f t="shared" si="110"/>
        <v>-0.93200554595864982</v>
      </c>
    </row>
    <row r="2342" spans="1:5" x14ac:dyDescent="0.2">
      <c r="A2342" s="1">
        <v>45033</v>
      </c>
      <c r="B2342">
        <v>73035.7</v>
      </c>
      <c r="C2342" s="6">
        <f t="shared" si="108"/>
        <v>-1.341457074775377E-3</v>
      </c>
      <c r="D2342" s="7">
        <f t="shared" si="109"/>
        <v>-0.13562261326775912</v>
      </c>
      <c r="E2342" s="8">
        <f t="shared" si="110"/>
        <v>-0.70587776173293415</v>
      </c>
    </row>
    <row r="2343" spans="1:5" x14ac:dyDescent="0.2">
      <c r="A2343" s="1">
        <v>45034</v>
      </c>
      <c r="B2343">
        <v>73676.509999999995</v>
      </c>
      <c r="C2343" s="6">
        <f t="shared" si="108"/>
        <v>8.7356611301432647E-3</v>
      </c>
      <c r="D2343" s="7">
        <f t="shared" si="109"/>
        <v>0.73392691271583699</v>
      </c>
      <c r="E2343" s="8">
        <f t="shared" si="110"/>
        <v>-1.2151975683233145</v>
      </c>
    </row>
    <row r="2344" spans="1:5" x14ac:dyDescent="0.2">
      <c r="A2344" s="1">
        <v>45035</v>
      </c>
      <c r="B2344">
        <v>73243.33</v>
      </c>
      <c r="C2344" s="6">
        <f t="shared" si="108"/>
        <v>-5.8968381021347448E-3</v>
      </c>
      <c r="D2344" s="7">
        <f t="shared" si="109"/>
        <v>-0.5287041800872867</v>
      </c>
      <c r="E2344" s="8">
        <f t="shared" si="110"/>
        <v>-0.97312965574434984</v>
      </c>
    </row>
    <row r="2345" spans="1:5" x14ac:dyDescent="0.2">
      <c r="A2345" s="1">
        <v>45036</v>
      </c>
      <c r="B2345">
        <v>73284.149999999994</v>
      </c>
      <c r="C2345" s="6">
        <f t="shared" si="108"/>
        <v>5.5716512774223463E-4</v>
      </c>
      <c r="D2345" s="7">
        <f t="shared" si="109"/>
        <v>2.8208553802931125E-2</v>
      </c>
      <c r="E2345" s="8">
        <f t="shared" si="110"/>
        <v>-0.68691238457008774</v>
      </c>
    </row>
    <row r="2346" spans="1:5" x14ac:dyDescent="0.2">
      <c r="A2346" s="1">
        <v>45037</v>
      </c>
      <c r="B2346">
        <v>72344.55</v>
      </c>
      <c r="C2346" s="6">
        <f t="shared" si="108"/>
        <v>-1.2904228883608029E-2</v>
      </c>
      <c r="D2346" s="7">
        <f t="shared" si="109"/>
        <v>-1.1333684510132533</v>
      </c>
      <c r="E2346" s="8">
        <f t="shared" si="110"/>
        <v>-1.8135760872155298</v>
      </c>
    </row>
    <row r="2347" spans="1:5" x14ac:dyDescent="0.2">
      <c r="A2347" s="1">
        <v>45040</v>
      </c>
      <c r="B2347">
        <v>72510.210000000006</v>
      </c>
      <c r="C2347" s="6">
        <f t="shared" si="108"/>
        <v>2.287257556762394E-3</v>
      </c>
      <c r="D2347" s="7">
        <f t="shared" si="109"/>
        <v>0.17749737040408894</v>
      </c>
      <c r="E2347" s="8">
        <f t="shared" si="110"/>
        <v>-0.71992520293377593</v>
      </c>
    </row>
    <row r="2348" spans="1:5" x14ac:dyDescent="0.2">
      <c r="A2348" s="1">
        <v>45041</v>
      </c>
      <c r="B2348">
        <v>72322.990000000005</v>
      </c>
      <c r="C2348" s="6">
        <f t="shared" si="108"/>
        <v>-2.5853202757334048E-3</v>
      </c>
      <c r="D2348" s="7">
        <f t="shared" si="109"/>
        <v>-0.24295495122262825</v>
      </c>
      <c r="E2348" s="8">
        <f t="shared" si="110"/>
        <v>-0.74918275497516862</v>
      </c>
    </row>
    <row r="2349" spans="1:5" x14ac:dyDescent="0.2">
      <c r="A2349" s="1">
        <v>45042</v>
      </c>
      <c r="B2349">
        <v>72533.14</v>
      </c>
      <c r="C2349" s="6">
        <f t="shared" si="108"/>
        <v>2.9015016131199822E-3</v>
      </c>
      <c r="D2349" s="7">
        <f t="shared" si="109"/>
        <v>0.23050018501663166</v>
      </c>
      <c r="E2349" s="8">
        <f t="shared" si="110"/>
        <v>-0.74293986205249596</v>
      </c>
    </row>
    <row r="2350" spans="1:5" x14ac:dyDescent="0.2">
      <c r="A2350" s="1">
        <v>45044</v>
      </c>
      <c r="B2350">
        <v>72582.820000000007</v>
      </c>
      <c r="C2350" s="6">
        <f t="shared" si="108"/>
        <v>6.8469383989005529E-4</v>
      </c>
      <c r="D2350" s="7">
        <f t="shared" si="109"/>
        <v>3.9212943048192658E-2</v>
      </c>
      <c r="E2350" s="8">
        <f t="shared" si="110"/>
        <v>-0.68771458522765783</v>
      </c>
    </row>
    <row r="2351" spans="1:5" x14ac:dyDescent="0.2">
      <c r="A2351" s="1">
        <v>45048</v>
      </c>
      <c r="B2351">
        <v>71883.89</v>
      </c>
      <c r="C2351" s="6">
        <f t="shared" si="108"/>
        <v>-9.6760762834038408E-3</v>
      </c>
      <c r="D2351" s="7">
        <f t="shared" si="109"/>
        <v>-0.85481276612110324</v>
      </c>
      <c r="E2351" s="8">
        <f t="shared" si="110"/>
        <v>-1.3819634151471663</v>
      </c>
    </row>
    <row r="2352" spans="1:5" x14ac:dyDescent="0.2">
      <c r="A2352" s="1">
        <v>45049</v>
      </c>
      <c r="B2352">
        <v>72572.850000000006</v>
      </c>
      <c r="C2352" s="6">
        <f t="shared" si="108"/>
        <v>9.5387065200912453E-3</v>
      </c>
      <c r="D2352" s="7">
        <f t="shared" si="109"/>
        <v>0.80322130065223574</v>
      </c>
      <c r="E2352" s="8">
        <f t="shared" si="110"/>
        <v>-1.3089157307718009</v>
      </c>
    </row>
    <row r="2353" spans="1:5" x14ac:dyDescent="0.2">
      <c r="A2353" s="1">
        <v>45050</v>
      </c>
      <c r="B2353">
        <v>71700.66</v>
      </c>
      <c r="C2353" s="6">
        <f t="shared" si="108"/>
        <v>-1.2090932361397447E-2</v>
      </c>
      <c r="D2353" s="7">
        <f t="shared" si="109"/>
        <v>-1.0631894979642422</v>
      </c>
      <c r="E2353" s="8">
        <f t="shared" si="110"/>
        <v>-1.6999912778143926</v>
      </c>
    </row>
    <row r="2354" spans="1:5" x14ac:dyDescent="0.2">
      <c r="A2354" s="1">
        <v>45051</v>
      </c>
      <c r="B2354">
        <v>72510.48</v>
      </c>
      <c r="C2354" s="6">
        <f t="shared" si="108"/>
        <v>1.1231150554043823E-2</v>
      </c>
      <c r="D2354" s="7">
        <f t="shared" si="109"/>
        <v>0.94926145593779243</v>
      </c>
      <c r="E2354" s="8">
        <f t="shared" si="110"/>
        <v>-1.522006922632968</v>
      </c>
    </row>
    <row r="2355" spans="1:5" x14ac:dyDescent="0.2">
      <c r="A2355" s="1">
        <v>45054</v>
      </c>
      <c r="B2355">
        <v>72963.3</v>
      </c>
      <c r="C2355" s="6">
        <f t="shared" si="108"/>
        <v>6.2254718682031281E-3</v>
      </c>
      <c r="D2355" s="7">
        <f t="shared" si="109"/>
        <v>0.51732392776883429</v>
      </c>
      <c r="E2355" s="8">
        <f t="shared" si="110"/>
        <v>-0.96148791399489208</v>
      </c>
    </row>
    <row r="2356" spans="1:5" x14ac:dyDescent="0.2">
      <c r="A2356" s="1">
        <v>45055</v>
      </c>
      <c r="B2356">
        <v>72233.399999999994</v>
      </c>
      <c r="C2356" s="6">
        <f t="shared" si="108"/>
        <v>-1.0054032197665545E-2</v>
      </c>
      <c r="D2356" s="7">
        <f t="shared" si="109"/>
        <v>-0.88742639428401859</v>
      </c>
      <c r="E2356" s="8">
        <f t="shared" si="110"/>
        <v>-1.4294494123601316</v>
      </c>
    </row>
    <row r="2357" spans="1:5" x14ac:dyDescent="0.2">
      <c r="A2357" s="1">
        <v>45056</v>
      </c>
      <c r="B2357">
        <v>72352.66</v>
      </c>
      <c r="C2357" s="6">
        <f t="shared" si="108"/>
        <v>1.6496753151233042E-3</v>
      </c>
      <c r="D2357" s="7">
        <f t="shared" si="109"/>
        <v>0.12248071537247268</v>
      </c>
      <c r="E2357" s="8">
        <f t="shared" si="110"/>
        <v>-0.70223220660463925</v>
      </c>
    </row>
    <row r="2358" spans="1:5" x14ac:dyDescent="0.2">
      <c r="A2358" s="1">
        <v>45057</v>
      </c>
      <c r="B2358">
        <v>71633.929999999993</v>
      </c>
      <c r="C2358" s="6">
        <f t="shared" si="108"/>
        <v>-9.9833737226081715E-3</v>
      </c>
      <c r="D2358" s="7">
        <f t="shared" si="109"/>
        <v>-0.88132930955766564</v>
      </c>
      <c r="E2358" s="8">
        <f t="shared" si="110"/>
        <v>-1.4204987780537373</v>
      </c>
    </row>
    <row r="2359" spans="1:5" x14ac:dyDescent="0.2">
      <c r="A2359" s="1">
        <v>45058</v>
      </c>
      <c r="B2359">
        <v>72961.36</v>
      </c>
      <c r="C2359" s="6">
        <f t="shared" si="108"/>
        <v>1.8361141541998E-2</v>
      </c>
      <c r="D2359" s="7">
        <f t="shared" si="109"/>
        <v>1.5645048378023323</v>
      </c>
      <c r="E2359" s="8">
        <f t="shared" si="110"/>
        <v>-2.5477298365822452</v>
      </c>
    </row>
    <row r="2360" spans="1:5" x14ac:dyDescent="0.2">
      <c r="A2360" s="1">
        <v>45061</v>
      </c>
      <c r="B2360">
        <v>72918.289999999994</v>
      </c>
      <c r="C2360" s="6">
        <f t="shared" si="108"/>
        <v>-5.9048676428077537E-4</v>
      </c>
      <c r="D2360" s="7">
        <f t="shared" si="109"/>
        <v>-7.0821758078861721E-2</v>
      </c>
      <c r="E2360" s="8">
        <f t="shared" si="110"/>
        <v>-0.69147210741765341</v>
      </c>
    </row>
    <row r="2361" spans="1:5" x14ac:dyDescent="0.2">
      <c r="A2361" s="1">
        <v>45062</v>
      </c>
      <c r="B2361">
        <v>72652.62</v>
      </c>
      <c r="C2361" s="6">
        <f t="shared" si="108"/>
        <v>-3.6500464956424538E-3</v>
      </c>
      <c r="D2361" s="7">
        <f t="shared" si="109"/>
        <v>-0.33482964803548504</v>
      </c>
      <c r="E2361" s="8">
        <f t="shared" si="110"/>
        <v>-0.80476209144892086</v>
      </c>
    </row>
    <row r="2362" spans="1:5" x14ac:dyDescent="0.2">
      <c r="A2362" s="1">
        <v>45063</v>
      </c>
      <c r="B2362">
        <v>73189.17</v>
      </c>
      <c r="C2362" s="6">
        <f t="shared" si="108"/>
        <v>7.3580065184909293E-3</v>
      </c>
      <c r="D2362" s="7">
        <f t="shared" si="109"/>
        <v>0.6150497803679511</v>
      </c>
      <c r="E2362" s="8">
        <f t="shared" si="110"/>
        <v>-1.0678824626889483</v>
      </c>
    </row>
    <row r="2363" spans="1:5" x14ac:dyDescent="0.2">
      <c r="A2363" s="1">
        <v>45064</v>
      </c>
      <c r="B2363">
        <v>72513.94</v>
      </c>
      <c r="C2363" s="6">
        <f t="shared" si="108"/>
        <v>-9.2686399617278852E-3</v>
      </c>
      <c r="D2363" s="7">
        <f t="shared" si="109"/>
        <v>-0.81965528824127654</v>
      </c>
      <c r="E2363" s="8">
        <f t="shared" si="110"/>
        <v>-1.331896919151949</v>
      </c>
    </row>
    <row r="2364" spans="1:5" x14ac:dyDescent="0.2">
      <c r="A2364" s="1">
        <v>45065</v>
      </c>
      <c r="B2364">
        <v>72985.41</v>
      </c>
      <c r="C2364" s="6">
        <f t="shared" si="108"/>
        <v>6.4807389193552107E-3</v>
      </c>
      <c r="D2364" s="7">
        <f t="shared" si="109"/>
        <v>0.53935079485670689</v>
      </c>
      <c r="E2364" s="8">
        <f t="shared" si="110"/>
        <v>-0.98420505389538582</v>
      </c>
    </row>
    <row r="2365" spans="1:5" x14ac:dyDescent="0.2">
      <c r="A2365" s="1">
        <v>45068</v>
      </c>
      <c r="B2365">
        <v>72763.460000000006</v>
      </c>
      <c r="C2365" s="6">
        <f t="shared" si="108"/>
        <v>-3.0456520392542173E-3</v>
      </c>
      <c r="D2365" s="7">
        <f t="shared" si="109"/>
        <v>-0.28267675051335583</v>
      </c>
      <c r="E2365" s="8">
        <f t="shared" si="110"/>
        <v>-0.77117566644891655</v>
      </c>
    </row>
    <row r="2366" spans="1:5" x14ac:dyDescent="0.2">
      <c r="A2366" s="1">
        <v>45069</v>
      </c>
      <c r="B2366">
        <v>71478.89</v>
      </c>
      <c r="C2366" s="6">
        <f t="shared" si="108"/>
        <v>-1.7811744768760834E-2</v>
      </c>
      <c r="D2366" s="7">
        <f t="shared" si="109"/>
        <v>-1.5568355598548174</v>
      </c>
      <c r="E2366" s="8">
        <f t="shared" si="110"/>
        <v>-2.5344136095887566</v>
      </c>
    </row>
    <row r="2367" spans="1:5" x14ac:dyDescent="0.2">
      <c r="A2367" s="1">
        <v>45070</v>
      </c>
      <c r="B2367">
        <v>70331.94</v>
      </c>
      <c r="C2367" s="6">
        <f t="shared" si="108"/>
        <v>-1.6176127166216303E-2</v>
      </c>
      <c r="D2367" s="7">
        <f t="shared" si="109"/>
        <v>-1.4156989291175872</v>
      </c>
      <c r="E2367" s="8">
        <f t="shared" si="110"/>
        <v>-2.2900865854355623</v>
      </c>
    </row>
    <row r="2368" spans="1:5" x14ac:dyDescent="0.2">
      <c r="A2368" s="1">
        <v>45071</v>
      </c>
      <c r="B2368">
        <v>70971.240000000005</v>
      </c>
      <c r="C2368" s="6">
        <f t="shared" si="108"/>
        <v>9.0486903704076107E-3</v>
      </c>
      <c r="D2368" s="7">
        <f t="shared" si="109"/>
        <v>0.76093805041967066</v>
      </c>
      <c r="E2368" s="8">
        <f t="shared" si="110"/>
        <v>-1.251095840487024</v>
      </c>
    </row>
    <row r="2369" spans="1:5" x14ac:dyDescent="0.2">
      <c r="A2369" s="1">
        <v>45072</v>
      </c>
      <c r="B2369">
        <v>71404.27</v>
      </c>
      <c r="C2369" s="6">
        <f t="shared" si="108"/>
        <v>6.082946923329044E-3</v>
      </c>
      <c r="D2369" s="7">
        <f t="shared" si="109"/>
        <v>0.5050255210481901</v>
      </c>
      <c r="E2369" s="8">
        <f t="shared" si="110"/>
        <v>-0.94913872022484169</v>
      </c>
    </row>
    <row r="2370" spans="1:5" x14ac:dyDescent="0.2">
      <c r="A2370" s="1">
        <v>45075</v>
      </c>
      <c r="B2370">
        <v>71444.160000000003</v>
      </c>
      <c r="C2370" s="6">
        <f t="shared" si="108"/>
        <v>5.5849407706979389E-4</v>
      </c>
      <c r="D2370" s="7">
        <f t="shared" si="109"/>
        <v>2.8323228180499836E-2</v>
      </c>
      <c r="E2370" s="8">
        <f t="shared" si="110"/>
        <v>-0.68691939491932952</v>
      </c>
    </row>
    <row r="2371" spans="1:5" x14ac:dyDescent="0.2">
      <c r="A2371" s="1">
        <v>45076</v>
      </c>
      <c r="B2371">
        <v>70921.14</v>
      </c>
      <c r="C2371" s="6">
        <f t="shared" ref="C2371:C2434" si="111">LN(B2371/B2370)</f>
        <v>-7.3476100290947787E-3</v>
      </c>
      <c r="D2371" s="7">
        <f t="shared" ref="D2371:D2434" si="112">(C2371-$G$4)/$G$5</f>
        <v>-0.65389056926575828</v>
      </c>
      <c r="E2371" s="8">
        <f t="shared" ref="E2371:E2434" si="113">LN((PI()*(G$3-2))^(-1/2)*EXP(GAMMALN((G$3+1)/2))*((1+D2371^2/(G$3-2))^(-(G$3+1)/2))/EXP(GAMMALN(G$3/2)))</f>
        <v>-1.1139927847650652</v>
      </c>
    </row>
    <row r="2372" spans="1:5" x14ac:dyDescent="0.2">
      <c r="A2372" s="1">
        <v>45077</v>
      </c>
      <c r="B2372">
        <v>69997.84</v>
      </c>
      <c r="C2372" s="6">
        <f t="shared" si="111"/>
        <v>-1.3104171096488804E-2</v>
      </c>
      <c r="D2372" s="7">
        <f t="shared" si="112"/>
        <v>-1.1506213652789337</v>
      </c>
      <c r="E2372" s="8">
        <f t="shared" si="113"/>
        <v>-1.8418840765147106</v>
      </c>
    </row>
    <row r="2373" spans="1:5" x14ac:dyDescent="0.2">
      <c r="A2373" s="1">
        <v>45078</v>
      </c>
      <c r="B2373">
        <v>70656.08</v>
      </c>
      <c r="C2373" s="6">
        <f t="shared" si="111"/>
        <v>9.3597790299009571E-3</v>
      </c>
      <c r="D2373" s="7">
        <f t="shared" si="112"/>
        <v>0.78778173637239446</v>
      </c>
      <c r="E2373" s="8">
        <f t="shared" si="113"/>
        <v>-1.2875803535462655</v>
      </c>
    </row>
    <row r="2374" spans="1:5" x14ac:dyDescent="0.2">
      <c r="A2374" s="1">
        <v>45079</v>
      </c>
      <c r="B2374">
        <v>71993.27</v>
      </c>
      <c r="C2374" s="6">
        <f t="shared" si="111"/>
        <v>1.8748478964721472E-2</v>
      </c>
      <c r="D2374" s="7">
        <f t="shared" si="112"/>
        <v>1.5979279916719085</v>
      </c>
      <c r="E2374" s="8">
        <f t="shared" si="113"/>
        <v>-2.6057783494747424</v>
      </c>
    </row>
    <row r="2375" spans="1:5" x14ac:dyDescent="0.2">
      <c r="A2375" s="1">
        <v>45082</v>
      </c>
      <c r="B2375">
        <v>71421.55</v>
      </c>
      <c r="C2375" s="6">
        <f t="shared" si="111"/>
        <v>-7.9729978899158987E-3</v>
      </c>
      <c r="D2375" s="7">
        <f t="shared" si="112"/>
        <v>-0.70785497723186397</v>
      </c>
      <c r="E2375" s="8">
        <f t="shared" si="113"/>
        <v>-1.1813575137281962</v>
      </c>
    </row>
    <row r="2376" spans="1:5" x14ac:dyDescent="0.2">
      <c r="A2376" s="1">
        <v>45083</v>
      </c>
      <c r="B2376">
        <v>71631.94</v>
      </c>
      <c r="C2376" s="6">
        <f t="shared" si="111"/>
        <v>2.9414193486682139E-3</v>
      </c>
      <c r="D2376" s="7">
        <f t="shared" si="112"/>
        <v>0.23394466659543872</v>
      </c>
      <c r="E2376" s="8">
        <f t="shared" si="113"/>
        <v>-0.7446349164103877</v>
      </c>
    </row>
    <row r="2377" spans="1:5" x14ac:dyDescent="0.2">
      <c r="A2377" s="1">
        <v>45084</v>
      </c>
      <c r="B2377">
        <v>71833.070000000007</v>
      </c>
      <c r="C2377" s="6">
        <f t="shared" si="111"/>
        <v>2.8038910919170172E-3</v>
      </c>
      <c r="D2377" s="7">
        <f t="shared" si="112"/>
        <v>0.22207742161175056</v>
      </c>
      <c r="E2377" s="8">
        <f t="shared" si="113"/>
        <v>-0.7388967110156498</v>
      </c>
    </row>
    <row r="2378" spans="1:5" x14ac:dyDescent="0.2">
      <c r="A2378" s="1">
        <v>45085</v>
      </c>
      <c r="B2378">
        <v>71696.22</v>
      </c>
      <c r="C2378" s="6">
        <f t="shared" si="111"/>
        <v>-1.9069284251296819E-3</v>
      </c>
      <c r="D2378" s="7">
        <f t="shared" si="112"/>
        <v>-0.18441685529797452</v>
      </c>
      <c r="E2378" s="8">
        <f t="shared" si="113"/>
        <v>-0.72260013126265021</v>
      </c>
    </row>
    <row r="2379" spans="1:5" x14ac:dyDescent="0.2">
      <c r="A2379" s="1">
        <v>45086</v>
      </c>
      <c r="B2379">
        <v>71602.070000000007</v>
      </c>
      <c r="C2379" s="6">
        <f t="shared" si="111"/>
        <v>-1.3140423873509142E-3</v>
      </c>
      <c r="D2379" s="7">
        <f t="shared" si="112"/>
        <v>-0.13325701350300748</v>
      </c>
      <c r="E2379" s="8">
        <f t="shared" si="113"/>
        <v>-0.70519451029662839</v>
      </c>
    </row>
    <row r="2380" spans="1:5" x14ac:dyDescent="0.2">
      <c r="A2380" s="1">
        <v>45089</v>
      </c>
      <c r="B2380">
        <v>70968.679999999993</v>
      </c>
      <c r="C2380" s="6">
        <f t="shared" si="111"/>
        <v>-8.8853312075017812E-3</v>
      </c>
      <c r="D2380" s="7">
        <f t="shared" si="112"/>
        <v>-0.78657976617585257</v>
      </c>
      <c r="E2380" s="8">
        <f t="shared" si="113"/>
        <v>-1.2859299773651589</v>
      </c>
    </row>
    <row r="2381" spans="1:5" x14ac:dyDescent="0.2">
      <c r="A2381" s="1">
        <v>45090</v>
      </c>
      <c r="B2381">
        <v>72485.8</v>
      </c>
      <c r="C2381" s="6">
        <f t="shared" si="111"/>
        <v>2.1152027652463906E-2</v>
      </c>
      <c r="D2381" s="7">
        <f t="shared" si="112"/>
        <v>1.8053290144250995</v>
      </c>
      <c r="E2381" s="8">
        <f t="shared" si="113"/>
        <v>-2.965223948519252</v>
      </c>
    </row>
    <row r="2382" spans="1:5" x14ac:dyDescent="0.2">
      <c r="A2382" s="1">
        <v>45091</v>
      </c>
      <c r="B2382">
        <v>72628.89</v>
      </c>
      <c r="C2382" s="6">
        <f t="shared" si="111"/>
        <v>1.9720959521742736E-3</v>
      </c>
      <c r="D2382" s="7">
        <f t="shared" si="112"/>
        <v>0.15030223204160886</v>
      </c>
      <c r="E2382" s="8">
        <f t="shared" si="113"/>
        <v>-0.71038223637363451</v>
      </c>
    </row>
    <row r="2383" spans="1:5" x14ac:dyDescent="0.2">
      <c r="A2383" s="1">
        <v>45092</v>
      </c>
      <c r="B2383">
        <v>73035.28</v>
      </c>
      <c r="C2383" s="6">
        <f t="shared" si="111"/>
        <v>5.5798355133925767E-3</v>
      </c>
      <c r="D2383" s="7">
        <f t="shared" si="112"/>
        <v>0.46161228731102305</v>
      </c>
      <c r="E2383" s="8">
        <f t="shared" si="113"/>
        <v>-0.90752141498057215</v>
      </c>
    </row>
    <row r="2384" spans="1:5" x14ac:dyDescent="0.2">
      <c r="A2384" s="1">
        <v>45096</v>
      </c>
      <c r="B2384">
        <v>72530.490000000005</v>
      </c>
      <c r="C2384" s="6">
        <f t="shared" si="111"/>
        <v>-6.9355868960740107E-3</v>
      </c>
      <c r="D2384" s="7">
        <f t="shared" si="112"/>
        <v>-0.61833729771262602</v>
      </c>
      <c r="E2384" s="8">
        <f t="shared" si="113"/>
        <v>-1.0717048387262222</v>
      </c>
    </row>
    <row r="2385" spans="1:5" x14ac:dyDescent="0.2">
      <c r="A2385" s="1">
        <v>45097</v>
      </c>
      <c r="B2385">
        <v>71338.62</v>
      </c>
      <c r="C2385" s="6">
        <f t="shared" si="111"/>
        <v>-1.656918942057168E-2</v>
      </c>
      <c r="D2385" s="7">
        <f t="shared" si="112"/>
        <v>-1.4496160758659438</v>
      </c>
      <c r="E2385" s="8">
        <f t="shared" si="113"/>
        <v>-2.3486183608465279</v>
      </c>
    </row>
    <row r="2386" spans="1:5" x14ac:dyDescent="0.2">
      <c r="A2386" s="1">
        <v>45098</v>
      </c>
      <c r="B2386">
        <v>70240.25</v>
      </c>
      <c r="C2386" s="6">
        <f t="shared" si="111"/>
        <v>-1.5516327211065082E-2</v>
      </c>
      <c r="D2386" s="7">
        <f t="shared" si="112"/>
        <v>-1.358765118619492</v>
      </c>
      <c r="E2386" s="8">
        <f t="shared" si="113"/>
        <v>-2.1922483566096442</v>
      </c>
    </row>
    <row r="2387" spans="1:5" x14ac:dyDescent="0.2">
      <c r="A2387" s="1">
        <v>45099</v>
      </c>
      <c r="B2387">
        <v>69749.48</v>
      </c>
      <c r="C2387" s="6">
        <f t="shared" si="111"/>
        <v>-7.0115430694874942E-3</v>
      </c>
      <c r="D2387" s="7">
        <f t="shared" si="112"/>
        <v>-0.62489151819948952</v>
      </c>
      <c r="E2387" s="8">
        <f t="shared" si="113"/>
        <v>-1.0793703942163391</v>
      </c>
    </row>
    <row r="2388" spans="1:5" x14ac:dyDescent="0.2">
      <c r="A2388" s="1">
        <v>45100</v>
      </c>
      <c r="B2388">
        <v>69130.75</v>
      </c>
      <c r="C2388" s="6">
        <f t="shared" si="111"/>
        <v>-8.910326453392698E-3</v>
      </c>
      <c r="D2388" s="7">
        <f t="shared" si="112"/>
        <v>-0.78873659353207848</v>
      </c>
      <c r="E2388" s="8">
        <f t="shared" si="113"/>
        <v>-1.2888925280215227</v>
      </c>
    </row>
    <row r="2389" spans="1:5" x14ac:dyDescent="0.2">
      <c r="A2389" s="1">
        <v>45103</v>
      </c>
      <c r="B2389">
        <v>68980.52</v>
      </c>
      <c r="C2389" s="6">
        <f t="shared" si="111"/>
        <v>-2.1754931259458923E-3</v>
      </c>
      <c r="D2389" s="7">
        <f t="shared" si="112"/>
        <v>-0.20759116997225074</v>
      </c>
      <c r="E2389" s="8">
        <f t="shared" si="113"/>
        <v>-0.73228229402114775</v>
      </c>
    </row>
    <row r="2390" spans="1:5" x14ac:dyDescent="0.2">
      <c r="A2390" s="1">
        <v>45104</v>
      </c>
      <c r="B2390">
        <v>69357.19</v>
      </c>
      <c r="C2390" s="6">
        <f t="shared" si="111"/>
        <v>5.4456724902592398E-3</v>
      </c>
      <c r="D2390" s="7">
        <f t="shared" si="112"/>
        <v>0.45003542666517127</v>
      </c>
      <c r="E2390" s="8">
        <f t="shared" si="113"/>
        <v>-0.89695635185552969</v>
      </c>
    </row>
    <row r="2391" spans="1:5" x14ac:dyDescent="0.2">
      <c r="A2391" s="1">
        <v>45105</v>
      </c>
      <c r="B2391">
        <v>69603.16</v>
      </c>
      <c r="C2391" s="6">
        <f t="shared" si="111"/>
        <v>3.5401502210986552E-3</v>
      </c>
      <c r="D2391" s="7">
        <f t="shared" si="112"/>
        <v>0.28560885627017307</v>
      </c>
      <c r="E2391" s="8">
        <f t="shared" si="113"/>
        <v>-0.77292338479042721</v>
      </c>
    </row>
    <row r="2392" spans="1:5" x14ac:dyDescent="0.2">
      <c r="A2392" s="1">
        <v>45106</v>
      </c>
      <c r="B2392">
        <v>69607.81</v>
      </c>
      <c r="C2392" s="6">
        <f t="shared" si="111"/>
        <v>6.6805080112840808E-5</v>
      </c>
      <c r="D2392" s="7">
        <f t="shared" si="112"/>
        <v>-1.4104371212606635E-2</v>
      </c>
      <c r="E2392" s="8">
        <f t="shared" si="113"/>
        <v>-0.68626694981179848</v>
      </c>
    </row>
    <row r="2393" spans="1:5" x14ac:dyDescent="0.2">
      <c r="A2393" s="1">
        <v>45107</v>
      </c>
      <c r="B2393">
        <v>70705.47</v>
      </c>
      <c r="C2393" s="6">
        <f t="shared" si="111"/>
        <v>1.5646165386491245E-2</v>
      </c>
      <c r="D2393" s="7">
        <f t="shared" si="112"/>
        <v>1.3302308934989544</v>
      </c>
      <c r="E2393" s="8">
        <f t="shared" si="113"/>
        <v>-2.1434564880341234</v>
      </c>
    </row>
    <row r="2394" spans="1:5" x14ac:dyDescent="0.2">
      <c r="A2394" s="1">
        <v>45110</v>
      </c>
      <c r="B2394">
        <v>70932.92</v>
      </c>
      <c r="C2394" s="6">
        <f t="shared" si="111"/>
        <v>3.2117026395574399E-3</v>
      </c>
      <c r="D2394" s="7">
        <f t="shared" si="112"/>
        <v>0.25726727755372808</v>
      </c>
      <c r="E2394" s="8">
        <f t="shared" si="113"/>
        <v>-0.7567435944673303</v>
      </c>
    </row>
    <row r="2395" spans="1:5" x14ac:dyDescent="0.2">
      <c r="A2395" s="1">
        <v>45111</v>
      </c>
      <c r="B2395">
        <v>70887.839999999997</v>
      </c>
      <c r="C2395" s="6">
        <f t="shared" si="111"/>
        <v>-6.3573205387246895E-4</v>
      </c>
      <c r="D2395" s="7">
        <f t="shared" si="112"/>
        <v>-7.472595165061563E-2</v>
      </c>
      <c r="E2395" s="8">
        <f t="shared" si="113"/>
        <v>-0.69208553053637101</v>
      </c>
    </row>
    <row r="2396" spans="1:5" x14ac:dyDescent="0.2">
      <c r="A2396" s="1">
        <v>45112</v>
      </c>
      <c r="B2396">
        <v>70587.399999999994</v>
      </c>
      <c r="C2396" s="6">
        <f t="shared" si="111"/>
        <v>-4.2472513443327573E-3</v>
      </c>
      <c r="D2396" s="7">
        <f t="shared" si="112"/>
        <v>-0.38636215787944894</v>
      </c>
      <c r="E2396" s="8">
        <f t="shared" si="113"/>
        <v>-0.84302532136660357</v>
      </c>
    </row>
    <row r="2397" spans="1:5" x14ac:dyDescent="0.2">
      <c r="A2397" s="1">
        <v>45113</v>
      </c>
      <c r="B2397">
        <v>68813.08</v>
      </c>
      <c r="C2397" s="6">
        <f t="shared" si="111"/>
        <v>-2.5457815167969577E-2</v>
      </c>
      <c r="D2397" s="7">
        <f t="shared" si="112"/>
        <v>-2.2166111778508402</v>
      </c>
      <c r="E2397" s="8">
        <f t="shared" si="113"/>
        <v>-3.6610834991383205</v>
      </c>
    </row>
    <row r="2398" spans="1:5" x14ac:dyDescent="0.2">
      <c r="A2398" s="1">
        <v>45114</v>
      </c>
      <c r="B2398">
        <v>69509.98</v>
      </c>
      <c r="C2398" s="6">
        <f t="shared" si="111"/>
        <v>1.0076496235410494E-2</v>
      </c>
      <c r="D2398" s="7">
        <f t="shared" si="112"/>
        <v>0.84962690814093755</v>
      </c>
      <c r="E2398" s="8">
        <f t="shared" si="113"/>
        <v>-1.374503332567335</v>
      </c>
    </row>
    <row r="2399" spans="1:5" x14ac:dyDescent="0.2">
      <c r="A2399" s="1">
        <v>45117</v>
      </c>
      <c r="B2399">
        <v>69098.37</v>
      </c>
      <c r="C2399" s="6">
        <f t="shared" si="111"/>
        <v>-5.9391978900166049E-3</v>
      </c>
      <c r="D2399" s="7">
        <f t="shared" si="112"/>
        <v>-0.53235938514933101</v>
      </c>
      <c r="E2399" s="8">
        <f t="shared" si="113"/>
        <v>-0.97691212459623511</v>
      </c>
    </row>
    <row r="2400" spans="1:5" x14ac:dyDescent="0.2">
      <c r="A2400" s="1">
        <v>45118</v>
      </c>
      <c r="B2400">
        <v>69532.28</v>
      </c>
      <c r="C2400" s="6">
        <f t="shared" si="111"/>
        <v>6.2599636800894252E-3</v>
      </c>
      <c r="D2400" s="7">
        <f t="shared" si="112"/>
        <v>0.52030020908916319</v>
      </c>
      <c r="E2400" s="8">
        <f t="shared" si="113"/>
        <v>-0.96451279212629548</v>
      </c>
    </row>
    <row r="2401" spans="1:5" x14ac:dyDescent="0.2">
      <c r="A2401" s="1">
        <v>45119</v>
      </c>
      <c r="B2401">
        <v>71206.63</v>
      </c>
      <c r="C2401" s="6">
        <f t="shared" si="111"/>
        <v>2.3794826886206922E-2</v>
      </c>
      <c r="D2401" s="7">
        <f t="shared" si="112"/>
        <v>2.0333748479898359</v>
      </c>
      <c r="E2401" s="8">
        <f t="shared" si="113"/>
        <v>-3.3549488037874591</v>
      </c>
    </row>
    <row r="2402" spans="1:5" x14ac:dyDescent="0.2">
      <c r="A2402" s="1">
        <v>45120</v>
      </c>
      <c r="B2402">
        <v>71995.97</v>
      </c>
      <c r="C2402" s="6">
        <f t="shared" si="111"/>
        <v>1.1024213167081305E-2</v>
      </c>
      <c r="D2402" s="7">
        <f t="shared" si="112"/>
        <v>0.93140493157413939</v>
      </c>
      <c r="E2402" s="8">
        <f t="shared" si="113"/>
        <v>-1.4949568377825313</v>
      </c>
    </row>
    <row r="2403" spans="1:5" x14ac:dyDescent="0.2">
      <c r="A2403" s="1">
        <v>45121</v>
      </c>
      <c r="B2403">
        <v>72480.19</v>
      </c>
      <c r="C2403" s="6">
        <f t="shared" si="111"/>
        <v>6.7031379167617868E-3</v>
      </c>
      <c r="D2403" s="7">
        <f t="shared" si="112"/>
        <v>0.55854149390792207</v>
      </c>
      <c r="E2403" s="8">
        <f t="shared" si="113"/>
        <v>-1.0046108346174363</v>
      </c>
    </row>
    <row r="2404" spans="1:5" x14ac:dyDescent="0.2">
      <c r="A2404" s="1">
        <v>45124</v>
      </c>
      <c r="B2404">
        <v>71989.17</v>
      </c>
      <c r="C2404" s="6">
        <f t="shared" si="111"/>
        <v>-6.7975921084242816E-3</v>
      </c>
      <c r="D2404" s="7">
        <f t="shared" si="112"/>
        <v>-0.6064297960093652</v>
      </c>
      <c r="E2404" s="8">
        <f t="shared" si="113"/>
        <v>-1.0579322891203515</v>
      </c>
    </row>
    <row r="2405" spans="1:5" x14ac:dyDescent="0.2">
      <c r="A2405" s="1">
        <v>45125</v>
      </c>
      <c r="B2405">
        <v>71858.37</v>
      </c>
      <c r="C2405" s="6">
        <f t="shared" si="111"/>
        <v>-1.8185926022696659E-3</v>
      </c>
      <c r="D2405" s="7">
        <f t="shared" si="112"/>
        <v>-0.17679440100763927</v>
      </c>
      <c r="E2405" s="8">
        <f t="shared" si="113"/>
        <v>-0.71965903287667921</v>
      </c>
    </row>
    <row r="2406" spans="1:5" x14ac:dyDescent="0.2">
      <c r="A2406" s="1">
        <v>45126</v>
      </c>
      <c r="B2406">
        <v>71859.33</v>
      </c>
      <c r="C2406" s="6">
        <f t="shared" si="111"/>
        <v>1.3359523566298184E-5</v>
      </c>
      <c r="D2406" s="7">
        <f t="shared" si="112"/>
        <v>-1.8716161747949555E-2</v>
      </c>
      <c r="E2406" s="8">
        <f t="shared" si="113"/>
        <v>-0.68643066315811674</v>
      </c>
    </row>
    <row r="2407" spans="1:5" x14ac:dyDescent="0.2">
      <c r="A2407" s="1">
        <v>45127</v>
      </c>
      <c r="B2407">
        <v>71806.48</v>
      </c>
      <c r="C2407" s="6">
        <f t="shared" si="111"/>
        <v>-7.3573527875569241E-4</v>
      </c>
      <c r="D2407" s="7">
        <f t="shared" si="112"/>
        <v>-8.3355180267939366E-2</v>
      </c>
      <c r="E2407" s="8">
        <f t="shared" si="113"/>
        <v>-0.69355754838676131</v>
      </c>
    </row>
    <row r="2408" spans="1:5" x14ac:dyDescent="0.2">
      <c r="A2408" s="1">
        <v>45128</v>
      </c>
      <c r="B2408">
        <v>71578.77</v>
      </c>
      <c r="C2408" s="6">
        <f t="shared" si="111"/>
        <v>-3.1762010587975129E-3</v>
      </c>
      <c r="D2408" s="7">
        <f t="shared" si="112"/>
        <v>-0.29394176058400157</v>
      </c>
      <c r="E2408" s="8">
        <f t="shared" si="113"/>
        <v>-0.77798259759427968</v>
      </c>
    </row>
    <row r="2409" spans="1:5" x14ac:dyDescent="0.2">
      <c r="A2409" s="1">
        <v>45131</v>
      </c>
      <c r="B2409">
        <v>71524.42</v>
      </c>
      <c r="C2409" s="6">
        <f t="shared" si="111"/>
        <v>-7.5959176889411775E-4</v>
      </c>
      <c r="D2409" s="7">
        <f t="shared" si="112"/>
        <v>-8.5413744955746121E-2</v>
      </c>
      <c r="E2409" s="8">
        <f t="shared" si="113"/>
        <v>-0.69393232656708781</v>
      </c>
    </row>
    <row r="2410" spans="1:5" x14ac:dyDescent="0.2">
      <c r="A2410" s="1">
        <v>45132</v>
      </c>
      <c r="B2410">
        <v>72212.09</v>
      </c>
      <c r="C2410" s="6">
        <f t="shared" si="111"/>
        <v>9.5685535533681209E-3</v>
      </c>
      <c r="D2410" s="7">
        <f t="shared" si="112"/>
        <v>0.8057967863327804</v>
      </c>
      <c r="E2410" s="8">
        <f t="shared" si="113"/>
        <v>-1.3124989670029417</v>
      </c>
    </row>
    <row r="2411" spans="1:5" x14ac:dyDescent="0.2">
      <c r="A2411" s="1">
        <v>45133</v>
      </c>
      <c r="B2411">
        <v>72250.89</v>
      </c>
      <c r="C2411" s="6">
        <f t="shared" si="111"/>
        <v>5.3716185188708505E-4</v>
      </c>
      <c r="D2411" s="7">
        <f t="shared" si="112"/>
        <v>2.6482481062266586E-2</v>
      </c>
      <c r="E2411" s="8">
        <f t="shared" si="113"/>
        <v>-0.68681029901008017</v>
      </c>
    </row>
    <row r="2412" spans="1:5" x14ac:dyDescent="0.2">
      <c r="A2412" s="1">
        <v>45134</v>
      </c>
      <c r="B2412">
        <v>72871.47</v>
      </c>
      <c r="C2412" s="6">
        <f t="shared" si="111"/>
        <v>8.5525591336115606E-3</v>
      </c>
      <c r="D2412" s="7">
        <f t="shared" si="112"/>
        <v>0.71812713235669823</v>
      </c>
      <c r="E2412" s="8">
        <f t="shared" si="113"/>
        <v>-1.1945930090038397</v>
      </c>
    </row>
    <row r="2413" spans="1:5" x14ac:dyDescent="0.2">
      <c r="A2413" s="1">
        <v>45135</v>
      </c>
      <c r="B2413">
        <v>73120.28</v>
      </c>
      <c r="C2413" s="6">
        <f t="shared" si="111"/>
        <v>3.4085520708424305E-3</v>
      </c>
      <c r="D2413" s="7">
        <f t="shared" si="112"/>
        <v>0.27425331723126761</v>
      </c>
      <c r="E2413" s="8">
        <f t="shared" si="113"/>
        <v>-0.76624921165380899</v>
      </c>
    </row>
    <row r="2414" spans="1:5" x14ac:dyDescent="0.2">
      <c r="A2414" s="1">
        <v>45138</v>
      </c>
      <c r="B2414">
        <v>73634.070000000007</v>
      </c>
      <c r="C2414" s="6">
        <f t="shared" si="111"/>
        <v>7.0020697746263749E-3</v>
      </c>
      <c r="D2414" s="7">
        <f t="shared" si="112"/>
        <v>0.58433617548471184</v>
      </c>
      <c r="E2414" s="8">
        <f t="shared" si="113"/>
        <v>-1.032914303169967</v>
      </c>
    </row>
    <row r="2415" spans="1:5" x14ac:dyDescent="0.2">
      <c r="A2415" s="1">
        <v>45139</v>
      </c>
      <c r="B2415">
        <v>73286.240000000005</v>
      </c>
      <c r="C2415" s="6">
        <f t="shared" si="111"/>
        <v>-4.734956655846511E-3</v>
      </c>
      <c r="D2415" s="7">
        <f t="shared" si="112"/>
        <v>-0.42844600703381053</v>
      </c>
      <c r="E2415" s="8">
        <f t="shared" si="113"/>
        <v>-0.87786944135340395</v>
      </c>
    </row>
    <row r="2416" spans="1:5" x14ac:dyDescent="0.2">
      <c r="A2416" s="1">
        <v>45140</v>
      </c>
      <c r="B2416">
        <v>71164.44</v>
      </c>
      <c r="C2416" s="6">
        <f t="shared" si="111"/>
        <v>-2.9379614124123595E-2</v>
      </c>
      <c r="D2416" s="7">
        <f t="shared" si="112"/>
        <v>-2.5550212623591442</v>
      </c>
      <c r="E2416" s="8">
        <f t="shared" si="113"/>
        <v>-4.2055060130104325</v>
      </c>
    </row>
    <row r="2417" spans="1:5" x14ac:dyDescent="0.2">
      <c r="A2417" s="1">
        <v>45141</v>
      </c>
      <c r="B2417">
        <v>71431.289999999994</v>
      </c>
      <c r="C2417" s="6">
        <f t="shared" si="111"/>
        <v>3.7427531877329738E-3</v>
      </c>
      <c r="D2417" s="7">
        <f t="shared" si="112"/>
        <v>0.3030913656560163</v>
      </c>
      <c r="E2417" s="8">
        <f t="shared" si="113"/>
        <v>-0.78369419287829101</v>
      </c>
    </row>
    <row r="2418" spans="1:5" x14ac:dyDescent="0.2">
      <c r="A2418" s="1">
        <v>45142</v>
      </c>
      <c r="B2418">
        <v>71603.86</v>
      </c>
      <c r="C2418" s="6">
        <f t="shared" si="111"/>
        <v>2.4129744853851093E-3</v>
      </c>
      <c r="D2418" s="7">
        <f t="shared" si="112"/>
        <v>0.18834542174863286</v>
      </c>
      <c r="E2418" s="8">
        <f t="shared" si="113"/>
        <v>-0.72416316687279791</v>
      </c>
    </row>
    <row r="2419" spans="1:5" x14ac:dyDescent="0.2">
      <c r="A2419" s="1">
        <v>45145</v>
      </c>
      <c r="B2419">
        <v>71586.14</v>
      </c>
      <c r="C2419" s="6">
        <f t="shared" si="111"/>
        <v>-2.4750331853424682E-4</v>
      </c>
      <c r="D2419" s="7">
        <f t="shared" si="112"/>
        <v>-4.1225886858105083E-2</v>
      </c>
      <c r="E2419" s="8">
        <f t="shared" si="113"/>
        <v>-0.68788962631347117</v>
      </c>
    </row>
    <row r="2420" spans="1:5" x14ac:dyDescent="0.2">
      <c r="A2420" s="1">
        <v>45146</v>
      </c>
      <c r="B2420">
        <v>71341.31</v>
      </c>
      <c r="C2420" s="6">
        <f t="shared" si="111"/>
        <v>-3.4259372774794019E-3</v>
      </c>
      <c r="D2420" s="7">
        <f t="shared" si="112"/>
        <v>-0.31549137488442502</v>
      </c>
      <c r="E2420" s="8">
        <f t="shared" si="113"/>
        <v>-0.79169454124840155</v>
      </c>
    </row>
    <row r="2421" spans="1:5" x14ac:dyDescent="0.2">
      <c r="A2421" s="1">
        <v>45148</v>
      </c>
      <c r="B2421">
        <v>72215.94</v>
      </c>
      <c r="C2421" s="6">
        <f t="shared" si="111"/>
        <v>1.218525462271132E-2</v>
      </c>
      <c r="D2421" s="7">
        <f t="shared" si="112"/>
        <v>1.0315906222508258</v>
      </c>
      <c r="E2421" s="8">
        <f t="shared" si="113"/>
        <v>-1.6497618808029735</v>
      </c>
    </row>
    <row r="2422" spans="1:5" x14ac:dyDescent="0.2">
      <c r="A2422" s="1">
        <v>45149</v>
      </c>
      <c r="B2422">
        <v>71434.25</v>
      </c>
      <c r="C2422" s="6">
        <f t="shared" si="111"/>
        <v>-1.0883350947776817E-2</v>
      </c>
      <c r="D2422" s="7">
        <f t="shared" si="112"/>
        <v>-0.95898789742254287</v>
      </c>
      <c r="E2422" s="8">
        <f t="shared" si="113"/>
        <v>-1.5368453945021814</v>
      </c>
    </row>
    <row r="2423" spans="1:5" x14ac:dyDescent="0.2">
      <c r="A2423" s="1">
        <v>45152</v>
      </c>
      <c r="B2423">
        <v>70633.37</v>
      </c>
      <c r="C2423" s="6">
        <f t="shared" si="111"/>
        <v>-1.1274750488122988E-2</v>
      </c>
      <c r="D2423" s="7">
        <f t="shared" si="112"/>
        <v>-0.99276156940468652</v>
      </c>
      <c r="E2423" s="8">
        <f t="shared" si="113"/>
        <v>-1.5889154163585339</v>
      </c>
    </row>
    <row r="2424" spans="1:5" x14ac:dyDescent="0.2">
      <c r="A2424" s="1">
        <v>45153</v>
      </c>
      <c r="B2424">
        <v>70045.37</v>
      </c>
      <c r="C2424" s="6">
        <f t="shared" si="111"/>
        <v>-8.3595207661625939E-3</v>
      </c>
      <c r="D2424" s="7">
        <f t="shared" si="112"/>
        <v>-0.74120784429043229</v>
      </c>
      <c r="E2424" s="8">
        <f t="shared" si="113"/>
        <v>-1.2247915292049345</v>
      </c>
    </row>
    <row r="2425" spans="1:5" x14ac:dyDescent="0.2">
      <c r="A2425" s="1">
        <v>45154</v>
      </c>
      <c r="B2425">
        <v>69342.570000000007</v>
      </c>
      <c r="C2425" s="6">
        <f t="shared" si="111"/>
        <v>-1.008417163873067E-2</v>
      </c>
      <c r="D2425" s="7">
        <f t="shared" si="112"/>
        <v>-0.89002711168741266</v>
      </c>
      <c r="E2425" s="8">
        <f t="shared" si="113"/>
        <v>-1.4332773114294659</v>
      </c>
    </row>
    <row r="2426" spans="1:5" x14ac:dyDescent="0.2">
      <c r="A2426" s="1">
        <v>45155</v>
      </c>
      <c r="B2426">
        <v>68878.759999999995</v>
      </c>
      <c r="C2426" s="6">
        <f t="shared" si="111"/>
        <v>-6.7111456793535499E-3</v>
      </c>
      <c r="D2426" s="7">
        <f t="shared" si="112"/>
        <v>-0.59897037657090524</v>
      </c>
      <c r="E2426" s="8">
        <f t="shared" si="113"/>
        <v>-1.049406930823318</v>
      </c>
    </row>
    <row r="2427" spans="1:5" x14ac:dyDescent="0.2">
      <c r="A2427" s="1">
        <v>45156</v>
      </c>
      <c r="B2427">
        <v>67620.789999999994</v>
      </c>
      <c r="C2427" s="6">
        <f t="shared" si="111"/>
        <v>-1.8432377489013115E-2</v>
      </c>
      <c r="D2427" s="7">
        <f t="shared" si="112"/>
        <v>-1.6103896491024623</v>
      </c>
      <c r="E2427" s="8">
        <f t="shared" si="113"/>
        <v>-2.6274243668028494</v>
      </c>
    </row>
    <row r="2428" spans="1:5" x14ac:dyDescent="0.2">
      <c r="A2428" s="1">
        <v>45159</v>
      </c>
      <c r="B2428">
        <v>68284.710000000006</v>
      </c>
      <c r="C2428" s="6">
        <f t="shared" si="111"/>
        <v>9.7703960694833E-3</v>
      </c>
      <c r="D2428" s="7">
        <f t="shared" si="112"/>
        <v>0.82321367682093827</v>
      </c>
      <c r="E2428" s="8">
        <f t="shared" si="113"/>
        <v>-1.3369090477022962</v>
      </c>
    </row>
    <row r="2429" spans="1:5" x14ac:dyDescent="0.2">
      <c r="A2429" s="1">
        <v>45160</v>
      </c>
      <c r="B2429">
        <v>67797.63</v>
      </c>
      <c r="C2429" s="6">
        <f t="shared" si="111"/>
        <v>-7.1586376318503991E-3</v>
      </c>
      <c r="D2429" s="7">
        <f t="shared" si="112"/>
        <v>-0.63758423494414351</v>
      </c>
      <c r="E2429" s="8">
        <f t="shared" si="113"/>
        <v>-1.0943839368022108</v>
      </c>
    </row>
    <row r="2430" spans="1:5" x14ac:dyDescent="0.2">
      <c r="A2430" s="1">
        <v>45161</v>
      </c>
      <c r="B2430">
        <v>68404.39</v>
      </c>
      <c r="C2430" s="6">
        <f t="shared" si="111"/>
        <v>8.9097652723527428E-3</v>
      </c>
      <c r="D2430" s="7">
        <f t="shared" si="112"/>
        <v>0.74895027269350778</v>
      </c>
      <c r="E2430" s="8">
        <f t="shared" si="113"/>
        <v>-1.2350608671503989</v>
      </c>
    </row>
    <row r="2431" spans="1:5" x14ac:dyDescent="0.2">
      <c r="A2431" s="1">
        <v>45162</v>
      </c>
      <c r="B2431">
        <v>68637.100000000006</v>
      </c>
      <c r="C2431" s="6">
        <f t="shared" si="111"/>
        <v>3.3962010144018367E-3</v>
      </c>
      <c r="D2431" s="7">
        <f t="shared" si="112"/>
        <v>0.27318755070408002</v>
      </c>
      <c r="E2431" s="8">
        <f t="shared" si="113"/>
        <v>-0.76563590833119999</v>
      </c>
    </row>
    <row r="2432" spans="1:5" x14ac:dyDescent="0.2">
      <c r="A2432" s="1">
        <v>45163</v>
      </c>
      <c r="B2432">
        <v>68162.289999999994</v>
      </c>
      <c r="C2432" s="6">
        <f t="shared" si="111"/>
        <v>-6.9417254954057131E-3</v>
      </c>
      <c r="D2432" s="7">
        <f t="shared" si="112"/>
        <v>-0.61886699440076054</v>
      </c>
      <c r="E2432" s="8">
        <f t="shared" si="113"/>
        <v>-1.0723221284405304</v>
      </c>
    </row>
    <row r="2433" spans="1:5" x14ac:dyDescent="0.2">
      <c r="A2433" s="1">
        <v>45166</v>
      </c>
      <c r="B2433">
        <v>69370.36</v>
      </c>
      <c r="C2433" s="6">
        <f t="shared" si="111"/>
        <v>1.7568207572435983E-2</v>
      </c>
      <c r="D2433" s="7">
        <f t="shared" si="112"/>
        <v>1.4960829593100864</v>
      </c>
      <c r="E2433" s="8">
        <f t="shared" si="113"/>
        <v>-2.429028011564085</v>
      </c>
    </row>
    <row r="2434" spans="1:5" x14ac:dyDescent="0.2">
      <c r="A2434" s="1">
        <v>45167</v>
      </c>
      <c r="B2434">
        <v>69093.97</v>
      </c>
      <c r="C2434" s="6">
        <f t="shared" si="111"/>
        <v>-3.9922248147034193E-3</v>
      </c>
      <c r="D2434" s="7">
        <f t="shared" si="112"/>
        <v>-0.36435604527434007</v>
      </c>
      <c r="E2434" s="8">
        <f t="shared" si="113"/>
        <v>-0.82608144250589188</v>
      </c>
    </row>
    <row r="2435" spans="1:5" x14ac:dyDescent="0.2">
      <c r="A2435" s="1">
        <v>45168</v>
      </c>
      <c r="B2435">
        <v>69516.14</v>
      </c>
      <c r="C2435" s="6">
        <f t="shared" ref="C2435:C2498" si="114">LN(B2435/B2434)</f>
        <v>6.0914936930585853E-3</v>
      </c>
      <c r="D2435" s="7">
        <f t="shared" ref="D2435:D2498" si="115">(C2435-$G$4)/$G$5</f>
        <v>0.50576301756414699</v>
      </c>
      <c r="E2435" s="8">
        <f t="shared" ref="E2435:E2498" si="116">LN((PI()*(G$3-2))^(-1/2)*EXP(GAMMALN((G$3+1)/2))*((1+D2435^2/(G$3-2))^(-(G$3+1)/2))/EXP(GAMMALN(G$3/2)))</f>
        <v>-0.94987241478018725</v>
      </c>
    </row>
    <row r="2436" spans="1:5" x14ac:dyDescent="0.2">
      <c r="A2436" s="1">
        <v>45169</v>
      </c>
      <c r="B2436">
        <v>69278.44</v>
      </c>
      <c r="C2436" s="6">
        <f t="shared" si="114"/>
        <v>-3.4252091456663169E-3</v>
      </c>
      <c r="D2436" s="7">
        <f t="shared" si="115"/>
        <v>-0.31542854475183685</v>
      </c>
      <c r="E2436" s="8">
        <f t="shared" si="116"/>
        <v>-0.79165325439000089</v>
      </c>
    </row>
    <row r="2437" spans="1:5" x14ac:dyDescent="0.2">
      <c r="A2437" s="1">
        <v>45170</v>
      </c>
      <c r="B2437">
        <v>69069.25</v>
      </c>
      <c r="C2437" s="6">
        <f t="shared" si="114"/>
        <v>-3.0241221870156063E-3</v>
      </c>
      <c r="D2437" s="7">
        <f t="shared" si="115"/>
        <v>-0.28081895025460296</v>
      </c>
      <c r="E2437" s="8">
        <f t="shared" si="116"/>
        <v>-0.77007707459556207</v>
      </c>
    </row>
    <row r="2438" spans="1:5" x14ac:dyDescent="0.2">
      <c r="A2438" s="1">
        <v>45173</v>
      </c>
      <c r="B2438">
        <v>69662.429999999993</v>
      </c>
      <c r="C2438" s="6">
        <f t="shared" si="114"/>
        <v>8.5515235577332139E-3</v>
      </c>
      <c r="D2438" s="7">
        <f t="shared" si="115"/>
        <v>0.71803777302838379</v>
      </c>
      <c r="E2438" s="8">
        <f t="shared" si="116"/>
        <v>-1.1944773211463102</v>
      </c>
    </row>
    <row r="2439" spans="1:5" x14ac:dyDescent="0.2">
      <c r="A2439" s="1">
        <v>45174</v>
      </c>
      <c r="B2439">
        <v>69322.259999999995</v>
      </c>
      <c r="C2439" s="6">
        <f t="shared" si="114"/>
        <v>-4.8950813108616219E-3</v>
      </c>
      <c r="D2439" s="7">
        <f t="shared" si="115"/>
        <v>-0.44226308400316822</v>
      </c>
      <c r="E2439" s="8">
        <f t="shared" si="116"/>
        <v>-0.88999199245550187</v>
      </c>
    </row>
    <row r="2440" spans="1:5" x14ac:dyDescent="0.2">
      <c r="A2440" s="1">
        <v>45175</v>
      </c>
      <c r="B2440">
        <v>68754.210000000006</v>
      </c>
      <c r="C2440" s="6">
        <f t="shared" si="114"/>
        <v>-8.2280957040531816E-3</v>
      </c>
      <c r="D2440" s="7">
        <f t="shared" si="115"/>
        <v>-0.72986724094176614</v>
      </c>
      <c r="E2440" s="8">
        <f t="shared" si="116"/>
        <v>-1.2098751178466283</v>
      </c>
    </row>
    <row r="2441" spans="1:5" x14ac:dyDescent="0.2">
      <c r="A2441" s="1">
        <v>45176</v>
      </c>
      <c r="B2441">
        <v>67583.929999999993</v>
      </c>
      <c r="C2441" s="6">
        <f t="shared" si="114"/>
        <v>-1.7167738140348537E-2</v>
      </c>
      <c r="D2441" s="7">
        <f t="shared" si="115"/>
        <v>-1.5012645476786504</v>
      </c>
      <c r="E2441" s="8">
        <f t="shared" si="116"/>
        <v>-2.4380070977681716</v>
      </c>
    </row>
    <row r="2442" spans="1:5" x14ac:dyDescent="0.2">
      <c r="A2442" s="1">
        <v>45177</v>
      </c>
      <c r="B2442">
        <v>68020.84</v>
      </c>
      <c r="C2442" s="6">
        <f t="shared" si="114"/>
        <v>6.4438959167250455E-3</v>
      </c>
      <c r="D2442" s="7">
        <f t="shared" si="115"/>
        <v>0.53617163045460281</v>
      </c>
      <c r="E2442" s="8">
        <f t="shared" si="116"/>
        <v>-0.98087934985605829</v>
      </c>
    </row>
    <row r="2443" spans="1:5" x14ac:dyDescent="0.2">
      <c r="A2443" s="1">
        <v>45180</v>
      </c>
      <c r="B2443">
        <v>68518.460000000006</v>
      </c>
      <c r="C2443" s="6">
        <f t="shared" si="114"/>
        <v>7.2890692017987743E-3</v>
      </c>
      <c r="D2443" s="7">
        <f t="shared" si="115"/>
        <v>0.6091012135422702</v>
      </c>
      <c r="E2443" s="8">
        <f t="shared" si="116"/>
        <v>-1.0610047151038893</v>
      </c>
    </row>
    <row r="2444" spans="1:5" x14ac:dyDescent="0.2">
      <c r="A2444" s="1">
        <v>45181</v>
      </c>
      <c r="B2444">
        <v>68540.41</v>
      </c>
      <c r="C2444" s="6">
        <f t="shared" si="114"/>
        <v>3.2030032332308806E-4</v>
      </c>
      <c r="D2444" s="7">
        <f t="shared" si="115"/>
        <v>7.7696074477782992E-3</v>
      </c>
      <c r="E2444" s="8">
        <f t="shared" si="116"/>
        <v>-0.68611706711299192</v>
      </c>
    </row>
    <row r="2445" spans="1:5" x14ac:dyDescent="0.2">
      <c r="A2445" s="1">
        <v>45182</v>
      </c>
      <c r="B2445">
        <v>67777.55</v>
      </c>
      <c r="C2445" s="6">
        <f t="shared" si="114"/>
        <v>-1.1192479167193074E-2</v>
      </c>
      <c r="D2445" s="7">
        <f t="shared" si="115"/>
        <v>-0.98566241797449561</v>
      </c>
      <c r="E2445" s="8">
        <f t="shared" si="116"/>
        <v>-1.5779020279526763</v>
      </c>
    </row>
    <row r="2446" spans="1:5" x14ac:dyDescent="0.2">
      <c r="A2446" s="1">
        <v>45183</v>
      </c>
      <c r="B2446">
        <v>68806.22</v>
      </c>
      <c r="C2446" s="6">
        <f t="shared" si="114"/>
        <v>1.5063128659824773E-2</v>
      </c>
      <c r="D2446" s="7">
        <f t="shared" si="115"/>
        <v>1.2799209438690691</v>
      </c>
      <c r="E2446" s="8">
        <f t="shared" si="116"/>
        <v>-2.0579188954339487</v>
      </c>
    </row>
    <row r="2447" spans="1:5" x14ac:dyDescent="0.2">
      <c r="A2447" s="1">
        <v>45184</v>
      </c>
      <c r="B2447">
        <v>69029.17</v>
      </c>
      <c r="C2447" s="6">
        <f t="shared" si="114"/>
        <v>3.2350210557339442E-3</v>
      </c>
      <c r="D2447" s="7">
        <f t="shared" si="115"/>
        <v>0.25927941210654804</v>
      </c>
      <c r="E2447" s="8">
        <f t="shared" si="116"/>
        <v>-0.75783954157994926</v>
      </c>
    </row>
    <row r="2448" spans="1:5" x14ac:dyDescent="0.2">
      <c r="A2448" s="1">
        <v>45187</v>
      </c>
      <c r="B2448">
        <v>68299.44</v>
      </c>
      <c r="C2448" s="6">
        <f t="shared" si="114"/>
        <v>-1.0627601463702958E-2</v>
      </c>
      <c r="D2448" s="7">
        <f t="shared" si="115"/>
        <v>-0.93691940143740837</v>
      </c>
      <c r="E2448" s="8">
        <f t="shared" si="116"/>
        <v>-1.5032835804202613</v>
      </c>
    </row>
    <row r="2449" spans="1:5" x14ac:dyDescent="0.2">
      <c r="A2449" s="1">
        <v>45188</v>
      </c>
      <c r="B2449">
        <v>68041.259999999995</v>
      </c>
      <c r="C2449" s="6">
        <f t="shared" si="114"/>
        <v>-3.7872815468949867E-3</v>
      </c>
      <c r="D2449" s="7">
        <f t="shared" si="115"/>
        <v>-0.34667159246228829</v>
      </c>
      <c r="E2449" s="8">
        <f t="shared" si="116"/>
        <v>-0.81311563902330986</v>
      </c>
    </row>
    <row r="2450" spans="1:5" x14ac:dyDescent="0.2">
      <c r="A2450" s="1">
        <v>45189</v>
      </c>
      <c r="B2450">
        <v>68995.31</v>
      </c>
      <c r="C2450" s="6">
        <f t="shared" si="114"/>
        <v>1.3924245397918627E-2</v>
      </c>
      <c r="D2450" s="7">
        <f t="shared" si="115"/>
        <v>1.1816472727258875</v>
      </c>
      <c r="E2450" s="8">
        <f t="shared" si="116"/>
        <v>-1.8931298323181016</v>
      </c>
    </row>
    <row r="2451" spans="1:5" x14ac:dyDescent="0.2">
      <c r="A2451" s="1">
        <v>45190</v>
      </c>
      <c r="B2451">
        <v>67430.92</v>
      </c>
      <c r="C2451" s="6">
        <f t="shared" si="114"/>
        <v>-2.2934864840484008E-2</v>
      </c>
      <c r="D2451" s="7">
        <f t="shared" si="115"/>
        <v>-1.9989070468945884</v>
      </c>
      <c r="E2451" s="8">
        <f t="shared" si="116"/>
        <v>-3.2965957502171177</v>
      </c>
    </row>
    <row r="2452" spans="1:5" x14ac:dyDescent="0.2">
      <c r="A2452" s="1">
        <v>45191</v>
      </c>
      <c r="B2452">
        <v>67680.649999999994</v>
      </c>
      <c r="C2452" s="6">
        <f t="shared" si="114"/>
        <v>3.6966528386133731E-3</v>
      </c>
      <c r="D2452" s="7">
        <f t="shared" si="115"/>
        <v>0.29911338942218979</v>
      </c>
      <c r="E2452" s="8">
        <f t="shared" si="116"/>
        <v>-0.78119089052849433</v>
      </c>
    </row>
    <row r="2453" spans="1:5" x14ac:dyDescent="0.2">
      <c r="A2453" s="1">
        <v>45195</v>
      </c>
      <c r="B2453">
        <v>66857.83</v>
      </c>
      <c r="C2453" s="6">
        <f t="shared" si="114"/>
        <v>-1.2231894683466714E-2</v>
      </c>
      <c r="D2453" s="7">
        <f t="shared" si="115"/>
        <v>-1.0753530667389988</v>
      </c>
      <c r="E2453" s="8">
        <f t="shared" si="116"/>
        <v>-1.7194854036154532</v>
      </c>
    </row>
    <row r="2454" spans="1:5" x14ac:dyDescent="0.2">
      <c r="A2454" s="1">
        <v>45196</v>
      </c>
      <c r="B2454">
        <v>66371.27</v>
      </c>
      <c r="C2454" s="6">
        <f t="shared" si="114"/>
        <v>-7.3041424611124707E-3</v>
      </c>
      <c r="D2454" s="7">
        <f t="shared" si="115"/>
        <v>-0.65013977440892834</v>
      </c>
      <c r="E2454" s="8">
        <f t="shared" si="116"/>
        <v>-1.1094507684341242</v>
      </c>
    </row>
    <row r="2455" spans="1:5" x14ac:dyDescent="0.2">
      <c r="A2455" s="1">
        <v>45197</v>
      </c>
      <c r="B2455">
        <v>66679.05</v>
      </c>
      <c r="C2455" s="6">
        <f t="shared" si="114"/>
        <v>4.6265285043489502E-3</v>
      </c>
      <c r="D2455" s="7">
        <f t="shared" si="115"/>
        <v>0.37935189887714366</v>
      </c>
      <c r="E2455" s="8">
        <f t="shared" si="116"/>
        <v>-0.83753114654704353</v>
      </c>
    </row>
    <row r="2456" spans="1:5" x14ac:dyDescent="0.2">
      <c r="A2456" s="1">
        <v>45198</v>
      </c>
      <c r="B2456">
        <v>66500.11</v>
      </c>
      <c r="C2456" s="6">
        <f t="shared" si="114"/>
        <v>-2.6872088347531034E-3</v>
      </c>
      <c r="D2456" s="7">
        <f t="shared" si="115"/>
        <v>-0.2517468643864022</v>
      </c>
      <c r="E2456" s="8">
        <f t="shared" si="116"/>
        <v>-0.75377848613610277</v>
      </c>
    </row>
    <row r="2457" spans="1:5" x14ac:dyDescent="0.2">
      <c r="A2457" s="1">
        <v>45201</v>
      </c>
      <c r="B2457">
        <v>65417.440000000002</v>
      </c>
      <c r="C2457" s="6">
        <f t="shared" si="114"/>
        <v>-1.6414712215194853E-2</v>
      </c>
      <c r="D2457" s="7">
        <f t="shared" si="115"/>
        <v>-1.4362863145215619</v>
      </c>
      <c r="E2457" s="8">
        <f t="shared" si="116"/>
        <v>-2.3255961878201177</v>
      </c>
    </row>
    <row r="2458" spans="1:5" x14ac:dyDescent="0.2">
      <c r="A2458" s="1">
        <v>45202</v>
      </c>
      <c r="B2458">
        <v>65050.39</v>
      </c>
      <c r="C2458" s="6">
        <f t="shared" si="114"/>
        <v>-5.6266892518789004E-3</v>
      </c>
      <c r="D2458" s="7">
        <f t="shared" si="115"/>
        <v>-0.50539316994449368</v>
      </c>
      <c r="E2458" s="8">
        <f t="shared" si="116"/>
        <v>-0.94950436410272987</v>
      </c>
    </row>
    <row r="2459" spans="1:5" x14ac:dyDescent="0.2">
      <c r="A2459" s="1">
        <v>45203</v>
      </c>
      <c r="B2459">
        <v>64882.3</v>
      </c>
      <c r="C2459" s="6">
        <f t="shared" si="114"/>
        <v>-2.587341088233689E-3</v>
      </c>
      <c r="D2459" s="7">
        <f t="shared" si="115"/>
        <v>-0.24312932612981811</v>
      </c>
      <c r="E2459" s="8">
        <f t="shared" si="116"/>
        <v>-0.74927238925561135</v>
      </c>
    </row>
    <row r="2460" spans="1:5" x14ac:dyDescent="0.2">
      <c r="A2460" s="1">
        <v>45204</v>
      </c>
      <c r="B2460">
        <v>65546.19</v>
      </c>
      <c r="C2460" s="6">
        <f t="shared" si="114"/>
        <v>1.0180225710203527E-2</v>
      </c>
      <c r="D2460" s="7">
        <f t="shared" si="115"/>
        <v>0.85857767301266286</v>
      </c>
      <c r="E2460" s="8">
        <f t="shared" si="116"/>
        <v>-1.3873952727355379</v>
      </c>
    </row>
    <row r="2461" spans="1:5" x14ac:dyDescent="0.2">
      <c r="A2461" s="1">
        <v>45205</v>
      </c>
      <c r="B2461">
        <v>65926.41</v>
      </c>
      <c r="C2461" s="6">
        <f t="shared" si="114"/>
        <v>5.7840350007988851E-3</v>
      </c>
      <c r="D2461" s="7">
        <f t="shared" si="115"/>
        <v>0.47923255968150902</v>
      </c>
      <c r="E2461" s="8">
        <f t="shared" si="116"/>
        <v>-0.92403632842769545</v>
      </c>
    </row>
    <row r="2462" spans="1:5" x14ac:dyDescent="0.2">
      <c r="A2462" s="1">
        <v>45208</v>
      </c>
      <c r="B2462">
        <v>65967.350000000006</v>
      </c>
      <c r="C2462" s="6">
        <f t="shared" si="114"/>
        <v>6.2080270233936749E-4</v>
      </c>
      <c r="D2462" s="7">
        <f t="shared" si="115"/>
        <v>3.3699808514885687E-2</v>
      </c>
      <c r="E2462" s="8">
        <f t="shared" si="116"/>
        <v>-0.68727998280677405</v>
      </c>
    </row>
    <row r="2463" spans="1:5" x14ac:dyDescent="0.2">
      <c r="A2463" s="1">
        <v>45209</v>
      </c>
      <c r="B2463">
        <v>68119.039999999994</v>
      </c>
      <c r="C2463" s="6">
        <f t="shared" si="114"/>
        <v>3.2096840263918805E-2</v>
      </c>
      <c r="D2463" s="7">
        <f t="shared" si="115"/>
        <v>2.7497514598842208</v>
      </c>
      <c r="E2463" s="8">
        <f t="shared" si="116"/>
        <v>-4.5052085652416718</v>
      </c>
    </row>
    <row r="2464" spans="1:5" x14ac:dyDescent="0.2">
      <c r="A2464" s="1">
        <v>45210</v>
      </c>
      <c r="B2464">
        <v>68080.490000000005</v>
      </c>
      <c r="C2464" s="6">
        <f t="shared" si="114"/>
        <v>-5.6608126370815066E-4</v>
      </c>
      <c r="D2464" s="7">
        <f t="shared" si="115"/>
        <v>-6.8715819553305885E-2</v>
      </c>
      <c r="E2464" s="8">
        <f t="shared" si="116"/>
        <v>-0.69115483468694605</v>
      </c>
    </row>
    <row r="2465" spans="1:5" x14ac:dyDescent="0.2">
      <c r="A2465" s="1">
        <v>45211</v>
      </c>
      <c r="B2465">
        <v>67600.06</v>
      </c>
      <c r="C2465" s="6">
        <f t="shared" si="114"/>
        <v>-7.0818110315346685E-3</v>
      </c>
      <c r="D2465" s="7">
        <f t="shared" si="115"/>
        <v>-0.63095490575210644</v>
      </c>
      <c r="E2465" s="8">
        <f t="shared" si="116"/>
        <v>-1.0865148709262256</v>
      </c>
    </row>
    <row r="2466" spans="1:5" x14ac:dyDescent="0.2">
      <c r="A2466" s="1">
        <v>45212</v>
      </c>
      <c r="B2466">
        <v>67153.070000000007</v>
      </c>
      <c r="C2466" s="6">
        <f t="shared" si="114"/>
        <v>-6.6342301577221301E-3</v>
      </c>
      <c r="D2466" s="7">
        <f t="shared" si="115"/>
        <v>-0.5923333744026924</v>
      </c>
      <c r="E2466" s="8">
        <f t="shared" si="116"/>
        <v>-1.0418886268738592</v>
      </c>
    </row>
    <row r="2467" spans="1:5" x14ac:dyDescent="0.2">
      <c r="A2467" s="1">
        <v>45215</v>
      </c>
      <c r="B2467">
        <v>67369.78</v>
      </c>
      <c r="C2467" s="6">
        <f t="shared" si="114"/>
        <v>3.2219089540058985E-3</v>
      </c>
      <c r="D2467" s="7">
        <f t="shared" si="115"/>
        <v>0.25814797535941275</v>
      </c>
      <c r="E2467" s="8">
        <f t="shared" si="116"/>
        <v>-0.75722228543421422</v>
      </c>
    </row>
    <row r="2468" spans="1:5" x14ac:dyDescent="0.2">
      <c r="A2468" s="1">
        <v>45216</v>
      </c>
      <c r="B2468">
        <v>67120.179999999993</v>
      </c>
      <c r="C2468" s="6">
        <f t="shared" si="114"/>
        <v>-3.7118054994133764E-3</v>
      </c>
      <c r="D2468" s="7">
        <f t="shared" si="115"/>
        <v>-0.34015880180367364</v>
      </c>
      <c r="E2468" s="8">
        <f t="shared" si="116"/>
        <v>-0.80848854940874737</v>
      </c>
    </row>
    <row r="2469" spans="1:5" x14ac:dyDescent="0.2">
      <c r="A2469" s="1">
        <v>45217</v>
      </c>
      <c r="B2469">
        <v>66310.899999999994</v>
      </c>
      <c r="C2469" s="6">
        <f t="shared" si="114"/>
        <v>-1.213045601720826E-2</v>
      </c>
      <c r="D2469" s="7">
        <f t="shared" si="115"/>
        <v>-1.0665999745981927</v>
      </c>
      <c r="E2469" s="8">
        <f t="shared" si="116"/>
        <v>-1.7054484820003337</v>
      </c>
    </row>
    <row r="2470" spans="1:5" x14ac:dyDescent="0.2">
      <c r="A2470" s="1">
        <v>45218</v>
      </c>
      <c r="B2470">
        <v>65319.78</v>
      </c>
      <c r="C2470" s="6">
        <f t="shared" si="114"/>
        <v>-1.5059387839851468E-2</v>
      </c>
      <c r="D2470" s="7">
        <f t="shared" si="115"/>
        <v>-1.3193360471764179</v>
      </c>
      <c r="E2470" s="8">
        <f t="shared" si="116"/>
        <v>-2.1248768664287798</v>
      </c>
    </row>
    <row r="2471" spans="1:5" x14ac:dyDescent="0.2">
      <c r="A2471" s="1">
        <v>45219</v>
      </c>
      <c r="B2471">
        <v>64598.64</v>
      </c>
      <c r="C2471" s="6">
        <f t="shared" si="114"/>
        <v>-1.110154212693232E-2</v>
      </c>
      <c r="D2471" s="7">
        <f t="shared" si="115"/>
        <v>-0.97781550592631761</v>
      </c>
      <c r="E2471" s="8">
        <f t="shared" si="116"/>
        <v>-1.5657703253610822</v>
      </c>
    </row>
    <row r="2472" spans="1:5" x14ac:dyDescent="0.2">
      <c r="A2472" s="1">
        <v>45222</v>
      </c>
      <c r="B2472">
        <v>64340.67</v>
      </c>
      <c r="C2472" s="6">
        <f t="shared" si="114"/>
        <v>-4.0014227500463316E-3</v>
      </c>
      <c r="D2472" s="7">
        <f t="shared" si="115"/>
        <v>-0.36514973054773037</v>
      </c>
      <c r="E2472" s="8">
        <f t="shared" si="116"/>
        <v>-0.82667702648925045</v>
      </c>
    </row>
    <row r="2473" spans="1:5" x14ac:dyDescent="0.2">
      <c r="A2473" s="1">
        <v>45223</v>
      </c>
      <c r="B2473">
        <v>64849.33</v>
      </c>
      <c r="C2473" s="6">
        <f t="shared" si="114"/>
        <v>7.874643989451249E-3</v>
      </c>
      <c r="D2473" s="7">
        <f t="shared" si="115"/>
        <v>0.65963017119433187</v>
      </c>
      <c r="E2473" s="8">
        <f t="shared" si="116"/>
        <v>-1.1209792712387217</v>
      </c>
    </row>
    <row r="2474" spans="1:5" x14ac:dyDescent="0.2">
      <c r="A2474" s="1">
        <v>45224</v>
      </c>
      <c r="B2474">
        <v>64556.37</v>
      </c>
      <c r="C2474" s="6">
        <f t="shared" si="114"/>
        <v>-4.5277835596619909E-3</v>
      </c>
      <c r="D2474" s="7">
        <f t="shared" si="115"/>
        <v>-0.41056914343843526</v>
      </c>
      <c r="E2474" s="8">
        <f t="shared" si="116"/>
        <v>-0.86268174786660234</v>
      </c>
    </row>
    <row r="2475" spans="1:5" x14ac:dyDescent="0.2">
      <c r="A2475" s="1">
        <v>45225</v>
      </c>
      <c r="B2475">
        <v>64267.78</v>
      </c>
      <c r="C2475" s="6">
        <f t="shared" si="114"/>
        <v>-4.4803786053751911E-3</v>
      </c>
      <c r="D2475" s="7">
        <f t="shared" si="115"/>
        <v>-0.40647859347254905</v>
      </c>
      <c r="E2475" s="8">
        <f t="shared" si="116"/>
        <v>-0.8592862219190428</v>
      </c>
    </row>
    <row r="2476" spans="1:5" x14ac:dyDescent="0.2">
      <c r="A2476" s="1">
        <v>45226</v>
      </c>
      <c r="B2476">
        <v>63785.89</v>
      </c>
      <c r="C2476" s="6">
        <f t="shared" si="114"/>
        <v>-7.5264109930504785E-3</v>
      </c>
      <c r="D2476" s="7">
        <f t="shared" si="115"/>
        <v>-0.66931921565964503</v>
      </c>
      <c r="E2476" s="8">
        <f t="shared" si="116"/>
        <v>-1.1328713992841208</v>
      </c>
    </row>
    <row r="2477" spans="1:5" x14ac:dyDescent="0.2">
      <c r="A2477" s="1">
        <v>45229</v>
      </c>
      <c r="B2477">
        <v>64243.68</v>
      </c>
      <c r="C2477" s="6">
        <f t="shared" si="114"/>
        <v>7.1513471616611946E-3</v>
      </c>
      <c r="D2477" s="7">
        <f t="shared" si="115"/>
        <v>0.59721724708639656</v>
      </c>
      <c r="E2477" s="8">
        <f t="shared" si="116"/>
        <v>-1.047414842399552</v>
      </c>
    </row>
    <row r="2478" spans="1:5" x14ac:dyDescent="0.2">
      <c r="A2478" s="1">
        <v>45230</v>
      </c>
      <c r="B2478">
        <v>63873.91</v>
      </c>
      <c r="C2478" s="6">
        <f t="shared" si="114"/>
        <v>-5.7723693793352328E-3</v>
      </c>
      <c r="D2478" s="7">
        <f t="shared" si="115"/>
        <v>-0.51796383580341487</v>
      </c>
      <c r="E2478" s="8">
        <f t="shared" si="116"/>
        <v>-0.96213708251699059</v>
      </c>
    </row>
    <row r="2479" spans="1:5" x14ac:dyDescent="0.2">
      <c r="A2479" s="1">
        <v>45231</v>
      </c>
      <c r="B2479">
        <v>63887.58</v>
      </c>
      <c r="C2479" s="6">
        <f t="shared" si="114"/>
        <v>2.139924957381097E-4</v>
      </c>
      <c r="D2479" s="7">
        <f t="shared" si="115"/>
        <v>-1.4036422060506963E-3</v>
      </c>
      <c r="E2479" s="8">
        <f t="shared" si="116"/>
        <v>-0.68605389907921366</v>
      </c>
    </row>
    <row r="2480" spans="1:5" x14ac:dyDescent="0.2">
      <c r="A2480" s="1">
        <v>45232</v>
      </c>
      <c r="B2480">
        <v>65437.25</v>
      </c>
      <c r="C2480" s="6">
        <f t="shared" si="114"/>
        <v>2.3966691889358471E-2</v>
      </c>
      <c r="D2480" s="7">
        <f t="shared" si="115"/>
        <v>2.0482049937700704</v>
      </c>
      <c r="E2480" s="8">
        <f t="shared" si="116"/>
        <v>-3.3799860930306838</v>
      </c>
    </row>
    <row r="2481" spans="1:5" x14ac:dyDescent="0.2">
      <c r="A2481" s="1">
        <v>45233</v>
      </c>
      <c r="B2481">
        <v>66916.23</v>
      </c>
      <c r="C2481" s="6">
        <f t="shared" si="114"/>
        <v>2.2349870424097536E-2</v>
      </c>
      <c r="D2481" s="7">
        <f t="shared" si="115"/>
        <v>1.908690272385585</v>
      </c>
      <c r="E2481" s="8">
        <f t="shared" si="116"/>
        <v>-3.1428652555725236</v>
      </c>
    </row>
    <row r="2482" spans="1:5" x14ac:dyDescent="0.2">
      <c r="A2482" s="1">
        <v>45236</v>
      </c>
      <c r="B2482">
        <v>67353.06</v>
      </c>
      <c r="C2482" s="6">
        <f t="shared" si="114"/>
        <v>6.5067975145028777E-3</v>
      </c>
      <c r="D2482" s="7">
        <f t="shared" si="115"/>
        <v>0.54159937809227843</v>
      </c>
      <c r="E2482" s="8">
        <f t="shared" si="116"/>
        <v>-0.98656674465226246</v>
      </c>
    </row>
    <row r="2483" spans="1:5" x14ac:dyDescent="0.2">
      <c r="A2483" s="1">
        <v>45237</v>
      </c>
      <c r="B2483">
        <v>65630.37</v>
      </c>
      <c r="C2483" s="6">
        <f t="shared" si="114"/>
        <v>-2.5909789987266049E-2</v>
      </c>
      <c r="D2483" s="7">
        <f t="shared" si="115"/>
        <v>-2.2556118605741942</v>
      </c>
      <c r="E2483" s="8">
        <f t="shared" si="116"/>
        <v>-3.7252764357590897</v>
      </c>
    </row>
    <row r="2484" spans="1:5" x14ac:dyDescent="0.2">
      <c r="A2484" s="1">
        <v>45238</v>
      </c>
      <c r="B2484">
        <v>66557.34</v>
      </c>
      <c r="C2484" s="6">
        <f t="shared" si="114"/>
        <v>1.4025285636624455E-2</v>
      </c>
      <c r="D2484" s="7">
        <f t="shared" si="115"/>
        <v>1.1903659847510217</v>
      </c>
      <c r="E2484" s="8">
        <f t="shared" si="116"/>
        <v>-1.9076046636333088</v>
      </c>
    </row>
    <row r="2485" spans="1:5" x14ac:dyDescent="0.2">
      <c r="A2485" s="1">
        <v>45239</v>
      </c>
      <c r="B2485">
        <v>66351.8</v>
      </c>
      <c r="C2485" s="6">
        <f t="shared" si="114"/>
        <v>-3.092942499735192E-3</v>
      </c>
      <c r="D2485" s="7">
        <f t="shared" si="115"/>
        <v>-0.2867574208655907</v>
      </c>
      <c r="E2485" s="8">
        <f t="shared" si="116"/>
        <v>-0.77361261595661701</v>
      </c>
    </row>
    <row r="2486" spans="1:5" x14ac:dyDescent="0.2">
      <c r="A2486" s="1">
        <v>45240</v>
      </c>
      <c r="B2486">
        <v>65434.45</v>
      </c>
      <c r="C2486" s="6">
        <f t="shared" si="114"/>
        <v>-1.3922011087901384E-2</v>
      </c>
      <c r="D2486" s="7">
        <f t="shared" si="115"/>
        <v>-1.2211923720292688</v>
      </c>
      <c r="E2486" s="8">
        <f t="shared" si="116"/>
        <v>-1.9590242858428639</v>
      </c>
    </row>
    <row r="2487" spans="1:5" x14ac:dyDescent="0.2">
      <c r="A2487" s="1">
        <v>45243</v>
      </c>
      <c r="B2487">
        <v>65653.66</v>
      </c>
      <c r="C2487" s="6">
        <f t="shared" si="114"/>
        <v>3.344471200795578E-3</v>
      </c>
      <c r="D2487" s="7">
        <f t="shared" si="115"/>
        <v>0.26872381077508067</v>
      </c>
      <c r="E2487" s="8">
        <f t="shared" si="116"/>
        <v>-0.76309172171233475</v>
      </c>
    </row>
    <row r="2488" spans="1:5" x14ac:dyDescent="0.2">
      <c r="A2488" s="1">
        <v>45244</v>
      </c>
      <c r="B2488">
        <v>67317.52</v>
      </c>
      <c r="C2488" s="6">
        <f t="shared" si="114"/>
        <v>2.502718028079334E-2</v>
      </c>
      <c r="D2488" s="7">
        <f t="shared" si="115"/>
        <v>2.1397140104682366</v>
      </c>
      <c r="E2488" s="8">
        <f t="shared" si="116"/>
        <v>-3.533491175531438</v>
      </c>
    </row>
    <row r="2489" spans="1:5" x14ac:dyDescent="0.2">
      <c r="A2489" s="1">
        <v>45245</v>
      </c>
      <c r="B2489">
        <v>68691.16</v>
      </c>
      <c r="C2489" s="6">
        <f t="shared" si="114"/>
        <v>2.0199985882604951E-2</v>
      </c>
      <c r="D2489" s="7">
        <f t="shared" si="115"/>
        <v>1.7231778028521951</v>
      </c>
      <c r="E2489" s="8">
        <f t="shared" si="116"/>
        <v>-2.8231671150310187</v>
      </c>
    </row>
    <row r="2490" spans="1:5" x14ac:dyDescent="0.2">
      <c r="A2490" s="1">
        <v>45246</v>
      </c>
      <c r="B2490">
        <v>67759.75</v>
      </c>
      <c r="C2490" s="6">
        <f t="shared" si="114"/>
        <v>-1.3652154703956103E-2</v>
      </c>
      <c r="D2490" s="7">
        <f t="shared" si="115"/>
        <v>-1.1979065986591864</v>
      </c>
      <c r="E2490" s="8">
        <f t="shared" si="116"/>
        <v>-1.9201485283391613</v>
      </c>
    </row>
    <row r="2491" spans="1:5" x14ac:dyDescent="0.2">
      <c r="A2491" s="1">
        <v>45247</v>
      </c>
      <c r="B2491">
        <v>67925.67</v>
      </c>
      <c r="C2491" s="6">
        <f t="shared" si="114"/>
        <v>2.4456582394874098E-3</v>
      </c>
      <c r="D2491" s="7">
        <f t="shared" si="115"/>
        <v>0.1911656866605943</v>
      </c>
      <c r="E2491" s="8">
        <f t="shared" si="116"/>
        <v>-0.72530501050829443</v>
      </c>
    </row>
    <row r="2492" spans="1:5" x14ac:dyDescent="0.2">
      <c r="A2492" s="1">
        <v>45250</v>
      </c>
      <c r="B2492">
        <v>68245.09</v>
      </c>
      <c r="C2492" s="6">
        <f t="shared" si="114"/>
        <v>4.6914710010671498E-3</v>
      </c>
      <c r="D2492" s="7">
        <f t="shared" si="115"/>
        <v>0.38495575467094972</v>
      </c>
      <c r="E2492" s="8">
        <f t="shared" si="116"/>
        <v>-0.84191588149676289</v>
      </c>
    </row>
    <row r="2493" spans="1:5" x14ac:dyDescent="0.2">
      <c r="A2493" s="1">
        <v>45251</v>
      </c>
      <c r="B2493">
        <v>68204.11</v>
      </c>
      <c r="C2493" s="6">
        <f t="shared" si="114"/>
        <v>-6.0066312198411289E-4</v>
      </c>
      <c r="D2493" s="7">
        <f t="shared" si="115"/>
        <v>-7.1699870931885262E-2</v>
      </c>
      <c r="E2493" s="8">
        <f t="shared" si="116"/>
        <v>-0.69160721874826203</v>
      </c>
    </row>
    <row r="2494" spans="1:5" x14ac:dyDescent="0.2">
      <c r="A2494" s="1">
        <v>45252</v>
      </c>
      <c r="B2494">
        <v>68689.75</v>
      </c>
      <c r="C2494" s="6">
        <f t="shared" si="114"/>
        <v>7.0951617159675188E-3</v>
      </c>
      <c r="D2494" s="7">
        <f t="shared" si="115"/>
        <v>0.59236903287707365</v>
      </c>
      <c r="E2494" s="8">
        <f t="shared" si="116"/>
        <v>-1.0419288503634372</v>
      </c>
    </row>
    <row r="2495" spans="1:5" x14ac:dyDescent="0.2">
      <c r="A2495" s="1">
        <v>45253</v>
      </c>
      <c r="B2495">
        <v>69340.5</v>
      </c>
      <c r="C2495" s="6">
        <f t="shared" si="114"/>
        <v>9.4291623967855554E-3</v>
      </c>
      <c r="D2495" s="7">
        <f t="shared" si="115"/>
        <v>0.79376879264768951</v>
      </c>
      <c r="E2495" s="8">
        <f t="shared" si="116"/>
        <v>-1.2958238376138229</v>
      </c>
    </row>
    <row r="2496" spans="1:5" x14ac:dyDescent="0.2">
      <c r="A2496" s="1">
        <v>45254</v>
      </c>
      <c r="B2496">
        <v>69662.789999999994</v>
      </c>
      <c r="C2496" s="6">
        <f t="shared" si="114"/>
        <v>4.6371647394041577E-3</v>
      </c>
      <c r="D2496" s="7">
        <f t="shared" si="115"/>
        <v>0.38026969431850222</v>
      </c>
      <c r="E2496" s="8">
        <f t="shared" si="116"/>
        <v>-0.83824534216643831</v>
      </c>
    </row>
    <row r="2497" spans="1:5" x14ac:dyDescent="0.2">
      <c r="A2497" s="1">
        <v>45257</v>
      </c>
      <c r="B2497">
        <v>69366.89</v>
      </c>
      <c r="C2497" s="6">
        <f t="shared" si="114"/>
        <v>-4.256651483139735E-3</v>
      </c>
      <c r="D2497" s="7">
        <f t="shared" si="115"/>
        <v>-0.38717329118934679</v>
      </c>
      <c r="E2497" s="8">
        <f t="shared" si="116"/>
        <v>-0.84366682135200166</v>
      </c>
    </row>
    <row r="2498" spans="1:5" x14ac:dyDescent="0.2">
      <c r="A2498" s="1">
        <v>45258</v>
      </c>
      <c r="B2498">
        <v>69574.16</v>
      </c>
      <c r="C2498" s="6">
        <f t="shared" si="114"/>
        <v>2.9835697046250317E-3</v>
      </c>
      <c r="D2498" s="7">
        <f t="shared" si="115"/>
        <v>0.23758179988066713</v>
      </c>
      <c r="E2498" s="8">
        <f t="shared" si="116"/>
        <v>-0.7464509235920278</v>
      </c>
    </row>
    <row r="2499" spans="1:5" x14ac:dyDescent="0.2">
      <c r="A2499" s="1">
        <v>45259</v>
      </c>
      <c r="B2499">
        <v>69303.490000000005</v>
      </c>
      <c r="C2499" s="6">
        <f t="shared" ref="C2499:C2562" si="117">LN(B2499/B2498)</f>
        <v>-3.8979683587213499E-3</v>
      </c>
      <c r="D2499" s="7">
        <f t="shared" ref="D2499:D2562" si="118">(C2499-$G$4)/$G$5</f>
        <v>-0.3562227024918671</v>
      </c>
      <c r="E2499" s="8">
        <f t="shared" ref="E2499:E2562" si="119">LN((PI()*(G$3-2))^(-1/2)*EXP(GAMMALN((G$3+1)/2))*((1+D2499^2/(G$3-2))^(-(G$3+1)/2))/EXP(GAMMALN(G$3/2)))</f>
        <v>-0.82004567295229702</v>
      </c>
    </row>
    <row r="2500" spans="1:5" x14ac:dyDescent="0.2">
      <c r="A2500" s="1">
        <v>45260</v>
      </c>
      <c r="B2500">
        <v>69647.14</v>
      </c>
      <c r="C2500" s="6">
        <f t="shared" si="117"/>
        <v>4.9463712494378842E-3</v>
      </c>
      <c r="D2500" s="7">
        <f t="shared" si="118"/>
        <v>0.40695097052896023</v>
      </c>
      <c r="E2500" s="8">
        <f t="shared" si="119"/>
        <v>-0.85967681147941544</v>
      </c>
    </row>
    <row r="2501" spans="1:5" x14ac:dyDescent="0.2">
      <c r="A2501" s="1">
        <v>45261</v>
      </c>
      <c r="B2501">
        <v>69800.58</v>
      </c>
      <c r="C2501" s="6">
        <f t="shared" si="117"/>
        <v>2.2006822617946942E-3</v>
      </c>
      <c r="D2501" s="7">
        <f t="shared" si="118"/>
        <v>0.17002683119136955</v>
      </c>
      <c r="E2501" s="8">
        <f t="shared" si="119"/>
        <v>-0.71714936517529571</v>
      </c>
    </row>
    <row r="2502" spans="1:5" x14ac:dyDescent="0.2">
      <c r="A2502" s="1">
        <v>45264</v>
      </c>
      <c r="B2502">
        <v>69908.27</v>
      </c>
      <c r="C2502" s="6">
        <f t="shared" si="117"/>
        <v>1.5416349261817663E-3</v>
      </c>
      <c r="D2502" s="7">
        <f t="shared" si="118"/>
        <v>0.11315796385951114</v>
      </c>
      <c r="E2502" s="8">
        <f t="shared" si="119"/>
        <v>-0.69986862556331098</v>
      </c>
    </row>
    <row r="2503" spans="1:5" x14ac:dyDescent="0.2">
      <c r="A2503" s="1">
        <v>45265</v>
      </c>
      <c r="B2503">
        <v>69134.61</v>
      </c>
      <c r="C2503" s="6">
        <f t="shared" si="117"/>
        <v>-1.112848042780875E-2</v>
      </c>
      <c r="D2503" s="7">
        <f t="shared" si="118"/>
        <v>-0.9801399985323952</v>
      </c>
      <c r="E2503" s="8">
        <f t="shared" si="119"/>
        <v>-1.5693594892484404</v>
      </c>
    </row>
    <row r="2504" spans="1:5" x14ac:dyDescent="0.2">
      <c r="A2504" s="1">
        <v>45266</v>
      </c>
      <c r="B2504">
        <v>69287.64</v>
      </c>
      <c r="C2504" s="6">
        <f t="shared" si="117"/>
        <v>2.2110616225979544E-3</v>
      </c>
      <c r="D2504" s="7">
        <f t="shared" si="118"/>
        <v>0.17092246108108169</v>
      </c>
      <c r="E2504" s="8">
        <f t="shared" si="119"/>
        <v>-0.71747600274579892</v>
      </c>
    </row>
    <row r="2505" spans="1:5" x14ac:dyDescent="0.2">
      <c r="A2505" s="1">
        <v>45267</v>
      </c>
      <c r="B2505">
        <v>68720.960000000006</v>
      </c>
      <c r="C2505" s="6">
        <f t="shared" si="117"/>
        <v>-8.2122879996909086E-3</v>
      </c>
      <c r="D2505" s="7">
        <f t="shared" si="118"/>
        <v>-0.72850320198185858</v>
      </c>
      <c r="E2505" s="8">
        <f t="shared" si="119"/>
        <v>-1.2080911434136159</v>
      </c>
    </row>
    <row r="2506" spans="1:5" x14ac:dyDescent="0.2">
      <c r="A2506" s="1">
        <v>45268</v>
      </c>
      <c r="B2506">
        <v>67667.22</v>
      </c>
      <c r="C2506" s="6">
        <f t="shared" si="117"/>
        <v>-1.5452379630526184E-2</v>
      </c>
      <c r="D2506" s="7">
        <f t="shared" si="118"/>
        <v>-1.35324711364876</v>
      </c>
      <c r="E2506" s="8">
        <f t="shared" si="119"/>
        <v>-2.1827988868977957</v>
      </c>
    </row>
    <row r="2507" spans="1:5" x14ac:dyDescent="0.2">
      <c r="A2507" s="1">
        <v>45271</v>
      </c>
      <c r="B2507">
        <v>67796.69</v>
      </c>
      <c r="C2507" s="6">
        <f t="shared" si="117"/>
        <v>1.9115060154702016E-3</v>
      </c>
      <c r="D2507" s="7">
        <f t="shared" si="118"/>
        <v>0.14507395649010388</v>
      </c>
      <c r="E2507" s="8">
        <f t="shared" si="119"/>
        <v>-0.70872574282605494</v>
      </c>
    </row>
    <row r="2508" spans="1:5" x14ac:dyDescent="0.2">
      <c r="A2508" s="1">
        <v>45272</v>
      </c>
      <c r="B2508">
        <v>66496.06</v>
      </c>
      <c r="C2508" s="6">
        <f t="shared" si="117"/>
        <v>-1.9370675909346539E-2</v>
      </c>
      <c r="D2508" s="7">
        <f t="shared" si="118"/>
        <v>-1.6913549538692405</v>
      </c>
      <c r="E2508" s="8">
        <f t="shared" si="119"/>
        <v>-2.7679947217603713</v>
      </c>
    </row>
    <row r="2509" spans="1:5" x14ac:dyDescent="0.2">
      <c r="A2509" s="1">
        <v>45273</v>
      </c>
      <c r="B2509">
        <v>66563.75</v>
      </c>
      <c r="C2509" s="6">
        <f t="shared" si="117"/>
        <v>1.017437283869045E-3</v>
      </c>
      <c r="D2509" s="7">
        <f t="shared" si="118"/>
        <v>6.7925209601229067E-2</v>
      </c>
      <c r="E2509" s="8">
        <f t="shared" si="119"/>
        <v>-0.69103818782495785</v>
      </c>
    </row>
    <row r="2510" spans="1:5" x14ac:dyDescent="0.2">
      <c r="A2510" s="1">
        <v>45274</v>
      </c>
      <c r="B2510">
        <v>69154.73</v>
      </c>
      <c r="C2510" s="6">
        <f t="shared" si="117"/>
        <v>3.8186322725902028E-2</v>
      </c>
      <c r="D2510" s="7">
        <f t="shared" si="118"/>
        <v>3.2752098777202239</v>
      </c>
      <c r="E2510" s="8">
        <f t="shared" si="119"/>
        <v>-5.2631233593888833</v>
      </c>
    </row>
    <row r="2511" spans="1:5" x14ac:dyDescent="0.2">
      <c r="A2511" s="1">
        <v>45278</v>
      </c>
      <c r="B2511">
        <v>68201.23</v>
      </c>
      <c r="C2511" s="6">
        <f t="shared" si="117"/>
        <v>-1.3883857918639508E-2</v>
      </c>
      <c r="D2511" s="7">
        <f t="shared" si="118"/>
        <v>-1.2179001539990939</v>
      </c>
      <c r="E2511" s="8">
        <f t="shared" si="119"/>
        <v>-1.953515482990017</v>
      </c>
    </row>
    <row r="2512" spans="1:5" x14ac:dyDescent="0.2">
      <c r="A2512" s="1">
        <v>45279</v>
      </c>
      <c r="B2512">
        <v>68708.56</v>
      </c>
      <c r="C2512" s="6">
        <f t="shared" si="117"/>
        <v>7.4111912978837621E-3</v>
      </c>
      <c r="D2512" s="7">
        <f t="shared" si="118"/>
        <v>0.61963906857219253</v>
      </c>
      <c r="E2512" s="8">
        <f t="shared" si="119"/>
        <v>-1.0732225779543731</v>
      </c>
    </row>
    <row r="2513" spans="1:5" x14ac:dyDescent="0.2">
      <c r="A2513" s="1">
        <v>45280</v>
      </c>
      <c r="B2513">
        <v>68718.28</v>
      </c>
      <c r="C2513" s="6">
        <f t="shared" si="117"/>
        <v>1.4145708387403781E-4</v>
      </c>
      <c r="D2513" s="7">
        <f t="shared" si="118"/>
        <v>-7.6626868774372662E-3</v>
      </c>
      <c r="E2513" s="8">
        <f t="shared" si="119"/>
        <v>-0.68611528228294583</v>
      </c>
    </row>
    <row r="2514" spans="1:5" x14ac:dyDescent="0.2">
      <c r="A2514" s="1">
        <v>45281</v>
      </c>
      <c r="B2514">
        <v>69195.95</v>
      </c>
      <c r="C2514" s="6">
        <f t="shared" si="117"/>
        <v>6.9270866401914787E-3</v>
      </c>
      <c r="D2514" s="7">
        <f t="shared" si="118"/>
        <v>0.57786591804813603</v>
      </c>
      <c r="E2514" s="8">
        <f t="shared" si="119"/>
        <v>-1.0257219470102137</v>
      </c>
    </row>
    <row r="2515" spans="1:5" x14ac:dyDescent="0.2">
      <c r="A2515" s="1">
        <v>45282</v>
      </c>
      <c r="B2515">
        <v>67966.89</v>
      </c>
      <c r="C2515" s="6">
        <f t="shared" si="117"/>
        <v>-1.7921660067975319E-2</v>
      </c>
      <c r="D2515" s="7">
        <f t="shared" si="118"/>
        <v>-1.5663200964442214</v>
      </c>
      <c r="E2515" s="8">
        <f t="shared" si="119"/>
        <v>-2.550881945342149</v>
      </c>
    </row>
    <row r="2516" spans="1:5" x14ac:dyDescent="0.2">
      <c r="A2516" s="1">
        <v>45287</v>
      </c>
      <c r="B2516">
        <v>70273.03</v>
      </c>
      <c r="C2516" s="6">
        <f t="shared" si="117"/>
        <v>3.3367408839730973E-2</v>
      </c>
      <c r="D2516" s="7">
        <f t="shared" si="118"/>
        <v>2.8593881913743662</v>
      </c>
      <c r="E2516" s="8">
        <f t="shared" si="119"/>
        <v>-4.6694455036451412</v>
      </c>
    </row>
    <row r="2517" spans="1:5" x14ac:dyDescent="0.2">
      <c r="A2517" s="1">
        <v>45288</v>
      </c>
      <c r="B2517">
        <v>70076.25</v>
      </c>
      <c r="C2517" s="6">
        <f t="shared" si="117"/>
        <v>-2.8041487486672881E-3</v>
      </c>
      <c r="D2517" s="7">
        <f t="shared" si="118"/>
        <v>-0.26183755149008325</v>
      </c>
      <c r="E2517" s="8">
        <f t="shared" si="119"/>
        <v>-0.75924457839771731</v>
      </c>
    </row>
    <row r="2518" spans="1:5" x14ac:dyDescent="0.2">
      <c r="A2518" s="1">
        <v>45289</v>
      </c>
      <c r="B2518">
        <v>70494.8</v>
      </c>
      <c r="C2518" s="6">
        <f t="shared" si="117"/>
        <v>5.9550133102182871E-3</v>
      </c>
      <c r="D2518" s="7">
        <f t="shared" si="118"/>
        <v>0.49398619309989539</v>
      </c>
      <c r="E2518" s="8">
        <f t="shared" si="119"/>
        <v>-0.93826165175695675</v>
      </c>
    </row>
    <row r="2519" spans="1:5" x14ac:dyDescent="0.2">
      <c r="A2519" s="1">
        <v>45293</v>
      </c>
      <c r="B2519">
        <v>69337.929999999993</v>
      </c>
      <c r="C2519" s="6">
        <f t="shared" si="117"/>
        <v>-1.6546861320145045E-2</v>
      </c>
      <c r="D2519" s="7">
        <f t="shared" si="118"/>
        <v>-1.4476893951674263</v>
      </c>
      <c r="E2519" s="8">
        <f t="shared" si="119"/>
        <v>-2.345289356092628</v>
      </c>
    </row>
    <row r="2520" spans="1:5" x14ac:dyDescent="0.2">
      <c r="A2520" s="1">
        <v>45294</v>
      </c>
      <c r="B2520">
        <v>68096.740000000005</v>
      </c>
      <c r="C2520" s="6">
        <f t="shared" si="117"/>
        <v>-1.8062745681153649E-2</v>
      </c>
      <c r="D2520" s="7">
        <f t="shared" si="118"/>
        <v>-1.5784943039475572</v>
      </c>
      <c r="E2520" s="8">
        <f t="shared" si="119"/>
        <v>-2.5720240044278224</v>
      </c>
    </row>
    <row r="2521" spans="1:5" x14ac:dyDescent="0.2">
      <c r="A2521" s="1">
        <v>45295</v>
      </c>
      <c r="B2521">
        <v>68195.81</v>
      </c>
      <c r="C2521" s="6">
        <f t="shared" si="117"/>
        <v>1.4537847805858096E-3</v>
      </c>
      <c r="D2521" s="7">
        <f t="shared" si="118"/>
        <v>0.10557741841912244</v>
      </c>
      <c r="E2521" s="8">
        <f t="shared" si="119"/>
        <v>-0.69808327992686625</v>
      </c>
    </row>
    <row r="2522" spans="1:5" x14ac:dyDescent="0.2">
      <c r="A2522" s="1">
        <v>45296</v>
      </c>
      <c r="B2522">
        <v>68156.39</v>
      </c>
      <c r="C2522" s="6">
        <f t="shared" si="117"/>
        <v>-5.7820850852799953E-4</v>
      </c>
      <c r="D2522" s="7">
        <f t="shared" si="118"/>
        <v>-6.9762273486875845E-2</v>
      </c>
      <c r="E2522" s="8">
        <f t="shared" si="119"/>
        <v>-0.69131129694227234</v>
      </c>
    </row>
    <row r="2523" spans="1:5" x14ac:dyDescent="0.2">
      <c r="A2523" s="1">
        <v>45299</v>
      </c>
      <c r="B2523">
        <v>67756.98</v>
      </c>
      <c r="C2523" s="6">
        <f t="shared" si="117"/>
        <v>-5.8774372201428572E-3</v>
      </c>
      <c r="D2523" s="7">
        <f t="shared" si="118"/>
        <v>-0.52703008761395687</v>
      </c>
      <c r="E2523" s="8">
        <f t="shared" si="119"/>
        <v>-0.97140427443019128</v>
      </c>
    </row>
    <row r="2524" spans="1:5" x14ac:dyDescent="0.2">
      <c r="A2524" s="1">
        <v>45300</v>
      </c>
      <c r="B2524">
        <v>67347.679999999993</v>
      </c>
      <c r="C2524" s="6">
        <f t="shared" si="117"/>
        <v>-6.0590249392874782E-3</v>
      </c>
      <c r="D2524" s="7">
        <f t="shared" si="118"/>
        <v>-0.54269920172929753</v>
      </c>
      <c r="E2524" s="8">
        <f t="shared" si="119"/>
        <v>-0.98772473869229993</v>
      </c>
    </row>
    <row r="2525" spans="1:5" x14ac:dyDescent="0.2">
      <c r="A2525" s="1">
        <v>45301</v>
      </c>
      <c r="B2525">
        <v>67141.679999999993</v>
      </c>
      <c r="C2525" s="6">
        <f t="shared" si="117"/>
        <v>-3.0634417637732891E-3</v>
      </c>
      <c r="D2525" s="7">
        <f t="shared" si="118"/>
        <v>-0.28421181700839676</v>
      </c>
      <c r="E2525" s="8">
        <f t="shared" si="119"/>
        <v>-0.77208854929375781</v>
      </c>
    </row>
    <row r="2526" spans="1:5" x14ac:dyDescent="0.2">
      <c r="A2526" s="1">
        <v>45302</v>
      </c>
      <c r="B2526">
        <v>67381.69</v>
      </c>
      <c r="C2526" s="6">
        <f t="shared" si="117"/>
        <v>3.5683057102521279E-3</v>
      </c>
      <c r="D2526" s="7">
        <f t="shared" si="118"/>
        <v>0.2880383794482666</v>
      </c>
      <c r="E2526" s="8">
        <f t="shared" si="119"/>
        <v>-0.77438435483761048</v>
      </c>
    </row>
    <row r="2527" spans="1:5" x14ac:dyDescent="0.2">
      <c r="A2527" s="1">
        <v>45303</v>
      </c>
      <c r="B2527">
        <v>67844.509999999995</v>
      </c>
      <c r="C2527" s="6">
        <f t="shared" si="117"/>
        <v>6.8451499363201282E-3</v>
      </c>
      <c r="D2527" s="7">
        <f t="shared" si="118"/>
        <v>0.57079564055777032</v>
      </c>
      <c r="E2527" s="8">
        <f t="shared" si="119"/>
        <v>-1.0179332864173531</v>
      </c>
    </row>
    <row r="2528" spans="1:5" x14ac:dyDescent="0.2">
      <c r="A2528" s="1">
        <v>45306</v>
      </c>
      <c r="B2528">
        <v>67253.56</v>
      </c>
      <c r="C2528" s="6">
        <f t="shared" si="117"/>
        <v>-8.7485153429643289E-3</v>
      </c>
      <c r="D2528" s="7">
        <f t="shared" si="118"/>
        <v>-0.77477399316254114</v>
      </c>
      <c r="E2528" s="8">
        <f t="shared" si="119"/>
        <v>-1.2698025928503085</v>
      </c>
    </row>
    <row r="2529" spans="1:5" x14ac:dyDescent="0.2">
      <c r="A2529" s="1">
        <v>45307</v>
      </c>
      <c r="B2529">
        <v>66608.240000000005</v>
      </c>
      <c r="C2529" s="6">
        <f t="shared" si="117"/>
        <v>-9.6416602669007288E-3</v>
      </c>
      <c r="D2529" s="7">
        <f t="shared" si="118"/>
        <v>-0.85184302514675236</v>
      </c>
      <c r="E2529" s="8">
        <f t="shared" si="119"/>
        <v>-1.3776881994212318</v>
      </c>
    </row>
    <row r="2530" spans="1:5" x14ac:dyDescent="0.2">
      <c r="A2530" s="1">
        <v>45308</v>
      </c>
      <c r="B2530">
        <v>65353.15</v>
      </c>
      <c r="C2530" s="6">
        <f t="shared" si="117"/>
        <v>-1.9022652719077781E-2</v>
      </c>
      <c r="D2530" s="7">
        <f t="shared" si="118"/>
        <v>-1.6613242055962087</v>
      </c>
      <c r="E2530" s="8">
        <f t="shared" si="119"/>
        <v>-2.7158797159359258</v>
      </c>
    </row>
    <row r="2531" spans="1:5" x14ac:dyDescent="0.2">
      <c r="A2531" s="1">
        <v>45309</v>
      </c>
      <c r="B2531">
        <v>66009.279999999999</v>
      </c>
      <c r="C2531" s="6">
        <f t="shared" si="117"/>
        <v>9.9896973050851816E-3</v>
      </c>
      <c r="D2531" s="7">
        <f t="shared" si="118"/>
        <v>0.84213707154425865</v>
      </c>
      <c r="E2531" s="8">
        <f t="shared" si="119"/>
        <v>-1.3637740814062804</v>
      </c>
    </row>
    <row r="2532" spans="1:5" x14ac:dyDescent="0.2">
      <c r="A2532" s="1">
        <v>45310</v>
      </c>
      <c r="B2532">
        <v>66346.3</v>
      </c>
      <c r="C2532" s="6">
        <f t="shared" si="117"/>
        <v>5.0926561371764595E-3</v>
      </c>
      <c r="D2532" s="7">
        <f t="shared" si="118"/>
        <v>0.41957382085233486</v>
      </c>
      <c r="E2532" s="8">
        <f t="shared" si="119"/>
        <v>-0.87026131572575283</v>
      </c>
    </row>
    <row r="2533" spans="1:5" x14ac:dyDescent="0.2">
      <c r="A2533" s="1">
        <v>45313</v>
      </c>
      <c r="B2533">
        <v>66028.539999999994</v>
      </c>
      <c r="C2533" s="6">
        <f t="shared" si="117"/>
        <v>-4.8009215396711599E-3</v>
      </c>
      <c r="D2533" s="7">
        <f t="shared" si="118"/>
        <v>-0.43413808410335297</v>
      </c>
      <c r="E2533" s="8">
        <f t="shared" si="119"/>
        <v>-0.88282320592890207</v>
      </c>
    </row>
    <row r="2534" spans="1:5" x14ac:dyDescent="0.2">
      <c r="A2534" s="1">
        <v>45314</v>
      </c>
      <c r="B2534">
        <v>67019.59</v>
      </c>
      <c r="C2534" s="6">
        <f t="shared" si="117"/>
        <v>1.4897891913177787E-2</v>
      </c>
      <c r="D2534" s="7">
        <f t="shared" si="118"/>
        <v>1.2656627470512698</v>
      </c>
      <c r="E2534" s="8">
        <f t="shared" si="119"/>
        <v>-2.0338064448733437</v>
      </c>
    </row>
    <row r="2535" spans="1:5" x14ac:dyDescent="0.2">
      <c r="A2535" s="1">
        <v>45315</v>
      </c>
      <c r="B2535">
        <v>67952.429999999993</v>
      </c>
      <c r="C2535" s="6">
        <f t="shared" si="117"/>
        <v>1.3822936833517183E-2</v>
      </c>
      <c r="D2535" s="7">
        <f t="shared" si="118"/>
        <v>1.1729054070097193</v>
      </c>
      <c r="E2535" s="8">
        <f t="shared" si="119"/>
        <v>-1.8786484215919215</v>
      </c>
    </row>
    <row r="2536" spans="1:5" x14ac:dyDescent="0.2">
      <c r="A2536" s="1">
        <v>45316</v>
      </c>
      <c r="B2536">
        <v>67586.95</v>
      </c>
      <c r="C2536" s="6">
        <f t="shared" si="117"/>
        <v>-5.392984471521577E-3</v>
      </c>
      <c r="D2536" s="7">
        <f t="shared" si="118"/>
        <v>-0.48522690049648615</v>
      </c>
      <c r="E2536" s="8">
        <f t="shared" si="119"/>
        <v>-0.92977272755251161</v>
      </c>
    </row>
    <row r="2537" spans="1:5" x14ac:dyDescent="0.2">
      <c r="A2537" s="1">
        <v>45317</v>
      </c>
      <c r="B2537">
        <v>68621.009999999995</v>
      </c>
      <c r="C2537" s="6">
        <f t="shared" si="117"/>
        <v>1.5183838987271332E-2</v>
      </c>
      <c r="D2537" s="7">
        <f t="shared" si="118"/>
        <v>1.2903369780842129</v>
      </c>
      <c r="E2537" s="8">
        <f t="shared" si="119"/>
        <v>-2.0755718592343686</v>
      </c>
    </row>
    <row r="2538" spans="1:5" x14ac:dyDescent="0.2">
      <c r="A2538" s="1">
        <v>45320</v>
      </c>
      <c r="B2538">
        <v>67910.179999999993</v>
      </c>
      <c r="C2538" s="6">
        <f t="shared" si="117"/>
        <v>-1.0412806373761845E-2</v>
      </c>
      <c r="D2538" s="7">
        <f t="shared" si="118"/>
        <v>-0.91838483978557273</v>
      </c>
      <c r="E2538" s="8">
        <f t="shared" si="119"/>
        <v>-1.4753942638115662</v>
      </c>
    </row>
    <row r="2539" spans="1:5" x14ac:dyDescent="0.2">
      <c r="A2539" s="1">
        <v>45321</v>
      </c>
      <c r="B2539">
        <v>68099.8</v>
      </c>
      <c r="C2539" s="6">
        <f t="shared" si="117"/>
        <v>2.7883266044778539E-3</v>
      </c>
      <c r="D2539" s="7">
        <f t="shared" si="118"/>
        <v>0.22073436971936569</v>
      </c>
      <c r="E2539" s="8">
        <f t="shared" si="119"/>
        <v>-0.73826539294591564</v>
      </c>
    </row>
    <row r="2540" spans="1:5" x14ac:dyDescent="0.2">
      <c r="A2540" s="1">
        <v>45322</v>
      </c>
      <c r="B2540">
        <v>68034.460000000006</v>
      </c>
      <c r="C2540" s="6">
        <f t="shared" si="117"/>
        <v>-9.5993477347183635E-4</v>
      </c>
      <c r="D2540" s="7">
        <f t="shared" si="118"/>
        <v>-0.10270124333793773</v>
      </c>
      <c r="E2540" s="8">
        <f t="shared" si="119"/>
        <v>-0.69743799407646301</v>
      </c>
    </row>
    <row r="2541" spans="1:5" x14ac:dyDescent="0.2">
      <c r="A2541" s="1">
        <v>45323</v>
      </c>
      <c r="B2541">
        <v>67934.27</v>
      </c>
      <c r="C2541" s="6">
        <f t="shared" si="117"/>
        <v>-1.4737214671811305E-3</v>
      </c>
      <c r="D2541" s="7">
        <f t="shared" si="118"/>
        <v>-0.14703564201091654</v>
      </c>
      <c r="E2541" s="8">
        <f t="shared" si="119"/>
        <v>-0.7093405120478965</v>
      </c>
    </row>
    <row r="2542" spans="1:5" x14ac:dyDescent="0.2">
      <c r="A2542" s="1">
        <v>45324</v>
      </c>
      <c r="B2542">
        <v>67838.8</v>
      </c>
      <c r="C2542" s="6">
        <f t="shared" si="117"/>
        <v>-1.406317404982888E-3</v>
      </c>
      <c r="D2542" s="7">
        <f t="shared" si="118"/>
        <v>-0.14121937895415865</v>
      </c>
      <c r="E2542" s="8">
        <f t="shared" si="119"/>
        <v>-0.70754143395146574</v>
      </c>
    </row>
    <row r="2543" spans="1:5" x14ac:dyDescent="0.2">
      <c r="A2543" s="1">
        <v>45327</v>
      </c>
      <c r="B2543">
        <v>67476.47</v>
      </c>
      <c r="C2543" s="6">
        <f t="shared" si="117"/>
        <v>-5.355358134585729E-3</v>
      </c>
      <c r="D2543" s="7">
        <f t="shared" si="118"/>
        <v>-0.4819801425661191</v>
      </c>
      <c r="E2543" s="8">
        <f t="shared" si="119"/>
        <v>-0.92665829274494993</v>
      </c>
    </row>
    <row r="2544" spans="1:5" x14ac:dyDescent="0.2">
      <c r="A2544" s="1">
        <v>45328</v>
      </c>
      <c r="B2544">
        <v>68059.89</v>
      </c>
      <c r="C2544" s="6">
        <f t="shared" si="117"/>
        <v>8.6091083371020432E-3</v>
      </c>
      <c r="D2544" s="7">
        <f t="shared" si="118"/>
        <v>0.72300673504567903</v>
      </c>
      <c r="E2544" s="8">
        <f t="shared" si="119"/>
        <v>-1.2009248546732618</v>
      </c>
    </row>
    <row r="2545" spans="1:5" x14ac:dyDescent="0.2">
      <c r="A2545" s="1">
        <v>45329</v>
      </c>
      <c r="B2545">
        <v>67775.460000000006</v>
      </c>
      <c r="C2545" s="6">
        <f t="shared" si="117"/>
        <v>-4.1878703253671167E-3</v>
      </c>
      <c r="D2545" s="7">
        <f t="shared" si="118"/>
        <v>-0.38123819923929003</v>
      </c>
      <c r="E2545" s="8">
        <f t="shared" si="119"/>
        <v>-0.83900067057937122</v>
      </c>
    </row>
    <row r="2546" spans="1:5" x14ac:dyDescent="0.2">
      <c r="A2546" s="1">
        <v>45330</v>
      </c>
      <c r="B2546">
        <v>67199.91</v>
      </c>
      <c r="C2546" s="6">
        <f t="shared" si="117"/>
        <v>-8.5282742826121288E-3</v>
      </c>
      <c r="D2546" s="7">
        <f t="shared" si="118"/>
        <v>-0.75576950142819754</v>
      </c>
      <c r="E2546" s="8">
        <f t="shared" si="119"/>
        <v>-1.2441624263147153</v>
      </c>
    </row>
    <row r="2547" spans="1:5" x14ac:dyDescent="0.2">
      <c r="A2547" s="1">
        <v>45331</v>
      </c>
      <c r="B2547">
        <v>66853.53</v>
      </c>
      <c r="C2547" s="6">
        <f t="shared" si="117"/>
        <v>-5.1678013018281229E-3</v>
      </c>
      <c r="D2547" s="7">
        <f t="shared" si="118"/>
        <v>-0.46579595660115181</v>
      </c>
      <c r="E2547" s="8">
        <f t="shared" si="119"/>
        <v>-0.91139540660211948</v>
      </c>
    </row>
    <row r="2548" spans="1:5" x14ac:dyDescent="0.2">
      <c r="A2548" s="1">
        <v>45334</v>
      </c>
      <c r="B2548">
        <v>67202.86</v>
      </c>
      <c r="C2548" s="6">
        <f t="shared" si="117"/>
        <v>5.2116992066179469E-3</v>
      </c>
      <c r="D2548" s="7">
        <f t="shared" si="118"/>
        <v>0.42984598820211872</v>
      </c>
      <c r="E2548" s="8">
        <f t="shared" si="119"/>
        <v>-0.87908258343280066</v>
      </c>
    </row>
    <row r="2549" spans="1:5" x14ac:dyDescent="0.2">
      <c r="A2549" s="1">
        <v>45335</v>
      </c>
      <c r="B2549">
        <v>66490.080000000002</v>
      </c>
      <c r="C2549" s="6">
        <f t="shared" si="117"/>
        <v>-1.0663042545193385E-2</v>
      </c>
      <c r="D2549" s="7">
        <f t="shared" si="118"/>
        <v>-0.9399775947605058</v>
      </c>
      <c r="E2549" s="8">
        <f t="shared" si="119"/>
        <v>-1.5079118221751986</v>
      </c>
    </row>
    <row r="2550" spans="1:5" x14ac:dyDescent="0.2">
      <c r="A2550" s="1">
        <v>45336</v>
      </c>
      <c r="B2550">
        <v>66420.899999999994</v>
      </c>
      <c r="C2550" s="6">
        <f t="shared" si="117"/>
        <v>-1.0409976097896904E-3</v>
      </c>
      <c r="D2550" s="7">
        <f t="shared" si="118"/>
        <v>-0.1096961152310421</v>
      </c>
      <c r="E2550" s="8">
        <f t="shared" si="119"/>
        <v>-0.69903809207889411</v>
      </c>
    </row>
    <row r="2551" spans="1:5" x14ac:dyDescent="0.2">
      <c r="A2551" s="1">
        <v>45337</v>
      </c>
      <c r="B2551">
        <v>66708.03</v>
      </c>
      <c r="C2551" s="6">
        <f t="shared" si="117"/>
        <v>4.3135694881049668E-3</v>
      </c>
      <c r="D2551" s="7">
        <f t="shared" si="118"/>
        <v>0.35234682076915641</v>
      </c>
      <c r="E2551" s="8">
        <f t="shared" si="119"/>
        <v>-0.81721280974410337</v>
      </c>
    </row>
    <row r="2552" spans="1:5" x14ac:dyDescent="0.2">
      <c r="A2552" s="1">
        <v>45338</v>
      </c>
      <c r="B2552">
        <v>67152.570000000007</v>
      </c>
      <c r="C2552" s="6">
        <f t="shared" si="117"/>
        <v>6.6418592806673608E-3</v>
      </c>
      <c r="D2552" s="7">
        <f t="shared" si="118"/>
        <v>0.55325379082800574</v>
      </c>
      <c r="E2552" s="8">
        <f t="shared" si="119"/>
        <v>-0.99893213424909588</v>
      </c>
    </row>
    <row r="2553" spans="1:5" x14ac:dyDescent="0.2">
      <c r="A2553" s="1">
        <v>45341</v>
      </c>
      <c r="B2553">
        <v>67099.899999999994</v>
      </c>
      <c r="C2553" s="6">
        <f t="shared" si="117"/>
        <v>-7.8464109751203511E-4</v>
      </c>
      <c r="D2553" s="7">
        <f t="shared" si="118"/>
        <v>-8.7575239083629394E-2</v>
      </c>
      <c r="E2553" s="8">
        <f t="shared" si="119"/>
        <v>-0.69433562750213584</v>
      </c>
    </row>
    <row r="2554" spans="1:5" x14ac:dyDescent="0.2">
      <c r="A2554" s="1">
        <v>45342</v>
      </c>
      <c r="B2554">
        <v>66513.5</v>
      </c>
      <c r="C2554" s="6">
        <f t="shared" si="117"/>
        <v>-8.7776190861923609E-3</v>
      </c>
      <c r="D2554" s="7">
        <f t="shared" si="118"/>
        <v>-0.77728534071386102</v>
      </c>
      <c r="E2554" s="8">
        <f t="shared" si="119"/>
        <v>-1.2732206030126458</v>
      </c>
    </row>
    <row r="2555" spans="1:5" x14ac:dyDescent="0.2">
      <c r="A2555" s="1">
        <v>45343</v>
      </c>
      <c r="B2555">
        <v>66557.7</v>
      </c>
      <c r="C2555" s="6">
        <f t="shared" si="117"/>
        <v>6.6430605007637103E-4</v>
      </c>
      <c r="D2555" s="7">
        <f t="shared" si="118"/>
        <v>3.7453690788981371E-2</v>
      </c>
      <c r="E2555" s="8">
        <f t="shared" si="119"/>
        <v>-0.68756877026406615</v>
      </c>
    </row>
    <row r="2556" spans="1:5" x14ac:dyDescent="0.2">
      <c r="A2556" s="1">
        <v>45344</v>
      </c>
      <c r="B2556">
        <v>67636.509999999995</v>
      </c>
      <c r="C2556" s="6">
        <f t="shared" si="117"/>
        <v>1.6078685383430616E-2</v>
      </c>
      <c r="D2556" s="7">
        <f t="shared" si="118"/>
        <v>1.3675528292616492</v>
      </c>
      <c r="E2556" s="8">
        <f t="shared" si="119"/>
        <v>-2.2073101753301172</v>
      </c>
    </row>
    <row r="2557" spans="1:5" x14ac:dyDescent="0.2">
      <c r="A2557" s="1">
        <v>45345</v>
      </c>
      <c r="B2557">
        <v>67768.63</v>
      </c>
      <c r="C2557" s="6">
        <f t="shared" si="117"/>
        <v>1.951477498254477E-3</v>
      </c>
      <c r="D2557" s="7">
        <f t="shared" si="118"/>
        <v>0.14852307589122027</v>
      </c>
      <c r="E2557" s="8">
        <f t="shared" si="119"/>
        <v>-0.70981206859051726</v>
      </c>
    </row>
    <row r="2558" spans="1:5" x14ac:dyDescent="0.2">
      <c r="A2558" s="1">
        <v>45348</v>
      </c>
      <c r="B2558">
        <v>67218.27</v>
      </c>
      <c r="C2558" s="6">
        <f t="shared" si="117"/>
        <v>-8.154317931335614E-3</v>
      </c>
      <c r="D2558" s="7">
        <f t="shared" si="118"/>
        <v>-0.72350099356924125</v>
      </c>
      <c r="E2558" s="8">
        <f t="shared" si="119"/>
        <v>-1.2015677992843343</v>
      </c>
    </row>
    <row r="2559" spans="1:5" x14ac:dyDescent="0.2">
      <c r="A2559" s="1">
        <v>45349</v>
      </c>
      <c r="B2559">
        <v>66776.710000000006</v>
      </c>
      <c r="C2559" s="6">
        <f t="shared" si="117"/>
        <v>-6.5907185232856472E-3</v>
      </c>
      <c r="D2559" s="7">
        <f t="shared" si="118"/>
        <v>-0.58857877707341355</v>
      </c>
      <c r="E2559" s="8">
        <f t="shared" si="119"/>
        <v>-1.0376636855813592</v>
      </c>
    </row>
    <row r="2560" spans="1:5" x14ac:dyDescent="0.2">
      <c r="A2560" s="1">
        <v>45350</v>
      </c>
      <c r="B2560">
        <v>65816.62</v>
      </c>
      <c r="C2560" s="6">
        <f t="shared" si="117"/>
        <v>-1.4481977030473714E-2</v>
      </c>
      <c r="D2560" s="7">
        <f t="shared" si="118"/>
        <v>-1.2695115551557565</v>
      </c>
      <c r="E2560" s="8">
        <f t="shared" si="119"/>
        <v>-2.0403091734979282</v>
      </c>
    </row>
    <row r="2561" spans="1:5" x14ac:dyDescent="0.2">
      <c r="A2561" s="1">
        <v>45351</v>
      </c>
      <c r="B2561">
        <v>66349.81</v>
      </c>
      <c r="C2561" s="6">
        <f t="shared" si="117"/>
        <v>8.0685071479723626E-3</v>
      </c>
      <c r="D2561" s="7">
        <f t="shared" si="118"/>
        <v>0.67635852687794751</v>
      </c>
      <c r="E2561" s="8">
        <f t="shared" si="119"/>
        <v>-1.1415877999754054</v>
      </c>
    </row>
    <row r="2562" spans="1:5" x14ac:dyDescent="0.2">
      <c r="A2562" s="1">
        <v>45352</v>
      </c>
      <c r="B2562">
        <v>66337.429999999993</v>
      </c>
      <c r="C2562" s="6">
        <f t="shared" si="117"/>
        <v>-1.8660422864966695E-4</v>
      </c>
      <c r="D2562" s="7">
        <f t="shared" si="118"/>
        <v>-3.5970934632167953E-2</v>
      </c>
      <c r="E2562" s="8">
        <f t="shared" si="119"/>
        <v>-0.68745106400099454</v>
      </c>
    </row>
    <row r="2563" spans="1:5" x14ac:dyDescent="0.2">
      <c r="A2563" s="1">
        <v>45355</v>
      </c>
      <c r="B2563">
        <v>66177.64</v>
      </c>
      <c r="C2563" s="6">
        <f t="shared" ref="C2563:C2626" si="120">LN(B2563/B2562)</f>
        <v>-2.4116514060733376E-3</v>
      </c>
      <c r="D2563" s="7">
        <f t="shared" ref="D2563:D2626" si="121">(C2563-$G$4)/$G$5</f>
        <v>-0.22796915069710613</v>
      </c>
      <c r="E2563" s="8">
        <f t="shared" ref="E2563:E2626" si="122">LN((PI()*(G$3-2))^(-1/2)*EXP(GAMMALN((G$3+1)/2))*((1+D2563^2/(G$3-2))^(-(G$3+1)/2))/EXP(GAMMALN(G$3/2)))</f>
        <v>-0.74170970185487239</v>
      </c>
    </row>
    <row r="2564" spans="1:5" x14ac:dyDescent="0.2">
      <c r="A2564" s="1">
        <v>45356</v>
      </c>
      <c r="B2564">
        <v>65777.070000000007</v>
      </c>
      <c r="C2564" s="6">
        <f t="shared" si="120"/>
        <v>-6.0713441825226691E-3</v>
      </c>
      <c r="D2564" s="7">
        <f t="shared" si="121"/>
        <v>-0.54376222311078815</v>
      </c>
      <c r="E2564" s="8">
        <f t="shared" si="122"/>
        <v>-0.98884575846965983</v>
      </c>
    </row>
    <row r="2565" spans="1:5" x14ac:dyDescent="0.2">
      <c r="A2565" s="1">
        <v>45357</v>
      </c>
      <c r="B2565">
        <v>67122.710000000006</v>
      </c>
      <c r="C2565" s="6">
        <f t="shared" si="120"/>
        <v>2.025113943608442E-2</v>
      </c>
      <c r="D2565" s="7">
        <f t="shared" si="121"/>
        <v>1.727591817581003</v>
      </c>
      <c r="E2565" s="8">
        <f t="shared" si="122"/>
        <v>-2.8308145818419357</v>
      </c>
    </row>
    <row r="2566" spans="1:5" x14ac:dyDescent="0.2">
      <c r="A2566" s="1">
        <v>45358</v>
      </c>
      <c r="B2566">
        <v>67143.77</v>
      </c>
      <c r="C2566" s="6">
        <f t="shared" si="120"/>
        <v>3.1370451020547383E-4</v>
      </c>
      <c r="D2566" s="7">
        <f t="shared" si="121"/>
        <v>7.2004580090927039E-3</v>
      </c>
      <c r="E2566" s="8">
        <f t="shared" si="122"/>
        <v>-0.68610785083229009</v>
      </c>
    </row>
    <row r="2567" spans="1:5" x14ac:dyDescent="0.2">
      <c r="A2567" s="1">
        <v>45359</v>
      </c>
      <c r="B2567">
        <v>67297.570000000007</v>
      </c>
      <c r="C2567" s="6">
        <f t="shared" si="120"/>
        <v>2.2879877141035441E-3</v>
      </c>
      <c r="D2567" s="7">
        <f t="shared" si="121"/>
        <v>0.17756037531848803</v>
      </c>
      <c r="E2567" s="8">
        <f t="shared" si="122"/>
        <v>-0.71994910924385169</v>
      </c>
    </row>
    <row r="2568" spans="1:5" x14ac:dyDescent="0.2">
      <c r="A2568" s="1">
        <v>45362</v>
      </c>
      <c r="B2568">
        <v>67124.67</v>
      </c>
      <c r="C2568" s="6">
        <f t="shared" si="120"/>
        <v>-2.5724923993272917E-3</v>
      </c>
      <c r="D2568" s="7">
        <f t="shared" si="121"/>
        <v>-0.24184804013738692</v>
      </c>
      <c r="E2568" s="8">
        <f t="shared" si="122"/>
        <v>-0.74861520022527228</v>
      </c>
    </row>
    <row r="2569" spans="1:5" x14ac:dyDescent="0.2">
      <c r="A2569" s="1">
        <v>45363</v>
      </c>
      <c r="B2569">
        <v>67181.429999999993</v>
      </c>
      <c r="C2569" s="6">
        <f t="shared" si="120"/>
        <v>8.4523343882660779E-4</v>
      </c>
      <c r="D2569" s="7">
        <f t="shared" si="121"/>
        <v>5.3065825322485966E-2</v>
      </c>
      <c r="E2569" s="8">
        <f t="shared" si="122"/>
        <v>-0.68909621154518763</v>
      </c>
    </row>
    <row r="2570" spans="1:5" x14ac:dyDescent="0.2">
      <c r="A2570" s="1">
        <v>45364</v>
      </c>
      <c r="B2570">
        <v>67954.7</v>
      </c>
      <c r="C2570" s="6">
        <f t="shared" si="120"/>
        <v>1.1444436656722946E-2</v>
      </c>
      <c r="D2570" s="7">
        <f t="shared" si="121"/>
        <v>0.9676658078280973</v>
      </c>
      <c r="E2570" s="8">
        <f t="shared" si="122"/>
        <v>-1.5501446845017461</v>
      </c>
    </row>
    <row r="2571" spans="1:5" x14ac:dyDescent="0.2">
      <c r="A2571" s="1">
        <v>45365</v>
      </c>
      <c r="B2571">
        <v>67011.259999999995</v>
      </c>
      <c r="C2571" s="6">
        <f t="shared" si="120"/>
        <v>-1.3980641739367533E-2</v>
      </c>
      <c r="D2571" s="7">
        <f t="shared" si="121"/>
        <v>-1.2262515818305009</v>
      </c>
      <c r="E2571" s="8">
        <f t="shared" si="122"/>
        <v>-1.9674974809396637</v>
      </c>
    </row>
    <row r="2572" spans="1:5" x14ac:dyDescent="0.2">
      <c r="A2572" s="1">
        <v>45366</v>
      </c>
      <c r="B2572">
        <v>66745.72</v>
      </c>
      <c r="C2572" s="6">
        <f t="shared" si="120"/>
        <v>-3.970489597602698E-3</v>
      </c>
      <c r="D2572" s="7">
        <f t="shared" si="121"/>
        <v>-0.36248052418361221</v>
      </c>
      <c r="E2572" s="8">
        <f t="shared" si="122"/>
        <v>-0.82467869261618187</v>
      </c>
    </row>
    <row r="2573" spans="1:5" x14ac:dyDescent="0.2">
      <c r="A2573" s="1">
        <v>45369</v>
      </c>
      <c r="B2573">
        <v>66251.81</v>
      </c>
      <c r="C2573" s="6">
        <f t="shared" si="120"/>
        <v>-7.4273901265626439E-3</v>
      </c>
      <c r="D2573" s="7">
        <f t="shared" si="121"/>
        <v>-0.66077475426045706</v>
      </c>
      <c r="E2573" s="8">
        <f t="shared" si="122"/>
        <v>-1.122377705012958</v>
      </c>
    </row>
    <row r="2574" spans="1:5" x14ac:dyDescent="0.2">
      <c r="A2574" s="1">
        <v>45370</v>
      </c>
      <c r="B2574">
        <v>65607.83</v>
      </c>
      <c r="C2574" s="6">
        <f t="shared" si="120"/>
        <v>-9.767736664511471E-3</v>
      </c>
      <c r="D2574" s="7">
        <f t="shared" si="121"/>
        <v>-0.86272209489177432</v>
      </c>
      <c r="E2574" s="8">
        <f t="shared" si="122"/>
        <v>-1.3933899896857316</v>
      </c>
    </row>
    <row r="2575" spans="1:5" x14ac:dyDescent="0.2">
      <c r="A2575" s="1">
        <v>45371</v>
      </c>
      <c r="B2575">
        <v>66131.94</v>
      </c>
      <c r="C2575" s="6">
        <f t="shared" si="120"/>
        <v>7.9567888289986E-3</v>
      </c>
      <c r="D2575" s="7">
        <f t="shared" si="121"/>
        <v>0.66671840860882736</v>
      </c>
      <c r="E2575" s="8">
        <f t="shared" si="122"/>
        <v>-1.1296671894154284</v>
      </c>
    </row>
    <row r="2576" spans="1:5" x14ac:dyDescent="0.2">
      <c r="A2576" s="1">
        <v>45373</v>
      </c>
      <c r="B2576">
        <v>67023.289999999994</v>
      </c>
      <c r="C2576" s="6">
        <f t="shared" si="120"/>
        <v>1.3388333515900751E-2</v>
      </c>
      <c r="D2576" s="7">
        <f t="shared" si="121"/>
        <v>1.1354037025402999</v>
      </c>
      <c r="E2576" s="8">
        <f t="shared" si="122"/>
        <v>-1.8169081072346445</v>
      </c>
    </row>
    <row r="2577" spans="1:5" x14ac:dyDescent="0.2">
      <c r="A2577" s="1">
        <v>45376</v>
      </c>
      <c r="B2577">
        <v>67032.22</v>
      </c>
      <c r="C2577" s="6">
        <f t="shared" si="120"/>
        <v>1.332283919283444E-4</v>
      </c>
      <c r="D2577" s="7">
        <f t="shared" si="121"/>
        <v>-8.3727366193714486E-3</v>
      </c>
      <c r="E2577" s="8">
        <f t="shared" si="122"/>
        <v>-0.68612759839104787</v>
      </c>
    </row>
    <row r="2578" spans="1:5" x14ac:dyDescent="0.2">
      <c r="A2578" s="1">
        <v>45377</v>
      </c>
      <c r="B2578">
        <v>67409.47</v>
      </c>
      <c r="C2578" s="6">
        <f t="shared" si="120"/>
        <v>5.6121131793142789E-3</v>
      </c>
      <c r="D2578" s="7">
        <f t="shared" si="121"/>
        <v>0.46439751107552885</v>
      </c>
      <c r="E2578" s="8">
        <f t="shared" si="122"/>
        <v>-0.91009718532589023</v>
      </c>
    </row>
    <row r="2579" spans="1:5" x14ac:dyDescent="0.2">
      <c r="A2579" s="1">
        <v>45378</v>
      </c>
      <c r="B2579">
        <v>67678.679999999993</v>
      </c>
      <c r="C2579" s="6">
        <f t="shared" si="120"/>
        <v>3.9856990621977015E-3</v>
      </c>
      <c r="D2579" s="7">
        <f t="shared" si="121"/>
        <v>0.32405504452577111</v>
      </c>
      <c r="E2579" s="8">
        <f t="shared" si="122"/>
        <v>-0.79739296423889894</v>
      </c>
    </row>
    <row r="2580" spans="1:5" x14ac:dyDescent="0.2">
      <c r="A2580" s="1">
        <v>45379</v>
      </c>
      <c r="B2580">
        <v>68346.210000000006</v>
      </c>
      <c r="C2580" s="6">
        <f t="shared" si="120"/>
        <v>9.8149001806140997E-3</v>
      </c>
      <c r="D2580" s="7">
        <f t="shared" si="121"/>
        <v>0.82705391447134302</v>
      </c>
      <c r="E2580" s="8">
        <f t="shared" si="122"/>
        <v>-1.3423323767931772</v>
      </c>
    </row>
    <row r="2581" spans="1:5" x14ac:dyDescent="0.2">
      <c r="A2581" s="1">
        <v>45384</v>
      </c>
      <c r="B2581">
        <v>68275.31</v>
      </c>
      <c r="C2581" s="6">
        <f t="shared" si="120"/>
        <v>-1.037903931455702E-3</v>
      </c>
      <c r="D2581" s="7">
        <f t="shared" si="121"/>
        <v>-0.10942916326380683</v>
      </c>
      <c r="E2581" s="8">
        <f t="shared" si="122"/>
        <v>-0.6989751090338403</v>
      </c>
    </row>
    <row r="2582" spans="1:5" x14ac:dyDescent="0.2">
      <c r="A2582" s="1">
        <v>45385</v>
      </c>
      <c r="B2582">
        <v>67979.45</v>
      </c>
      <c r="C2582" s="6">
        <f t="shared" si="120"/>
        <v>-4.3427541904763143E-3</v>
      </c>
      <c r="D2582" s="7">
        <f t="shared" si="121"/>
        <v>-0.39460305105004612</v>
      </c>
      <c r="E2582" s="8">
        <f t="shared" si="122"/>
        <v>-0.84959839183472641</v>
      </c>
    </row>
    <row r="2583" spans="1:5" x14ac:dyDescent="0.2">
      <c r="A2583" s="1">
        <v>45386</v>
      </c>
      <c r="B2583">
        <v>69211.039999999994</v>
      </c>
      <c r="C2583" s="6">
        <f t="shared" si="120"/>
        <v>1.7954933850759094E-2</v>
      </c>
      <c r="D2583" s="7">
        <f t="shared" si="121"/>
        <v>1.5294533778328268</v>
      </c>
      <c r="E2583" s="8">
        <f t="shared" si="122"/>
        <v>-2.4868886340020184</v>
      </c>
    </row>
    <row r="2584" spans="1:5" x14ac:dyDescent="0.2">
      <c r="A2584" s="1">
        <v>45387</v>
      </c>
      <c r="B2584">
        <v>68694.720000000001</v>
      </c>
      <c r="C2584" s="6">
        <f t="shared" si="120"/>
        <v>-7.4880470915714599E-3</v>
      </c>
      <c r="D2584" s="7">
        <f t="shared" si="121"/>
        <v>-0.66600881365109466</v>
      </c>
      <c r="E2584" s="8">
        <f t="shared" si="122"/>
        <v>-1.1287944927171649</v>
      </c>
    </row>
    <row r="2585" spans="1:5" x14ac:dyDescent="0.2">
      <c r="A2585" s="1">
        <v>45390</v>
      </c>
      <c r="B2585">
        <v>69185.86</v>
      </c>
      <c r="C2585" s="6">
        <f t="shared" si="120"/>
        <v>7.1241661046732878E-3</v>
      </c>
      <c r="D2585" s="7">
        <f t="shared" si="121"/>
        <v>0.59487180717600319</v>
      </c>
      <c r="E2585" s="8">
        <f t="shared" si="122"/>
        <v>-1.0447566259165737</v>
      </c>
    </row>
    <row r="2586" spans="1:5" x14ac:dyDescent="0.2">
      <c r="A2586" s="1">
        <v>45391</v>
      </c>
      <c r="B2586">
        <v>69282.03</v>
      </c>
      <c r="C2586" s="6">
        <f t="shared" si="120"/>
        <v>1.3890587263690249E-3</v>
      </c>
      <c r="D2586" s="7">
        <f t="shared" si="121"/>
        <v>9.999223934128626E-2</v>
      </c>
      <c r="E2586" s="8">
        <f t="shared" si="122"/>
        <v>-0.69684638099486329</v>
      </c>
    </row>
    <row r="2587" spans="1:5" x14ac:dyDescent="0.2">
      <c r="A2587" s="1">
        <v>45392</v>
      </c>
      <c r="B2587">
        <v>69276.72</v>
      </c>
      <c r="C2587" s="6">
        <f t="shared" si="120"/>
        <v>-7.6646188026297343E-5</v>
      </c>
      <c r="D2587" s="7">
        <f t="shared" si="121"/>
        <v>-2.6482709907815025E-2</v>
      </c>
      <c r="E2587" s="8">
        <f t="shared" si="122"/>
        <v>-0.68681031211788746</v>
      </c>
    </row>
    <row r="2588" spans="1:5" x14ac:dyDescent="0.2">
      <c r="A2588" s="1">
        <v>45393</v>
      </c>
      <c r="B2588">
        <v>69079.320000000007</v>
      </c>
      <c r="C2588" s="6">
        <f t="shared" si="120"/>
        <v>-2.8535094520538364E-3</v>
      </c>
      <c r="D2588" s="7">
        <f t="shared" si="121"/>
        <v>-0.26609686207463507</v>
      </c>
      <c r="E2588" s="8">
        <f t="shared" si="122"/>
        <v>-0.76161297156571117</v>
      </c>
    </row>
    <row r="2589" spans="1:5" x14ac:dyDescent="0.2">
      <c r="A2589" s="1">
        <v>45394</v>
      </c>
      <c r="B2589">
        <v>69208.94</v>
      </c>
      <c r="C2589" s="6">
        <f t="shared" si="120"/>
        <v>1.8746354601588047E-3</v>
      </c>
      <c r="D2589" s="7">
        <f t="shared" si="121"/>
        <v>0.14189241458081792</v>
      </c>
      <c r="E2589" s="8">
        <f t="shared" si="122"/>
        <v>-0.7077459602949806</v>
      </c>
    </row>
    <row r="2590" spans="1:5" x14ac:dyDescent="0.2">
      <c r="A2590" s="1">
        <v>45397</v>
      </c>
      <c r="B2590">
        <v>68348.490000000005</v>
      </c>
      <c r="C2590" s="6">
        <f t="shared" si="120"/>
        <v>-1.2510574277380405E-2</v>
      </c>
      <c r="D2590" s="7">
        <f t="shared" si="121"/>
        <v>-1.09940019051598</v>
      </c>
      <c r="E2590" s="8">
        <f t="shared" si="122"/>
        <v>-1.7582699157466419</v>
      </c>
    </row>
    <row r="2591" spans="1:5" x14ac:dyDescent="0.2">
      <c r="A2591" s="1">
        <v>45398</v>
      </c>
      <c r="B2591">
        <v>66901.55</v>
      </c>
      <c r="C2591" s="6">
        <f t="shared" si="120"/>
        <v>-2.1397334978675263E-2</v>
      </c>
      <c r="D2591" s="7">
        <f t="shared" si="121"/>
        <v>-1.8662343585987571</v>
      </c>
      <c r="E2591" s="8">
        <f t="shared" si="122"/>
        <v>-3.0700726909543192</v>
      </c>
    </row>
    <row r="2592" spans="1:5" x14ac:dyDescent="0.2">
      <c r="A2592" s="1">
        <v>45399</v>
      </c>
      <c r="B2592">
        <v>66899.25</v>
      </c>
      <c r="C2592" s="6">
        <f t="shared" si="120"/>
        <v>-3.4379465597036102E-5</v>
      </c>
      <c r="D2592" s="7">
        <f t="shared" si="121"/>
        <v>-2.2835535417462693E-2</v>
      </c>
      <c r="E2592" s="8">
        <f t="shared" si="122"/>
        <v>-0.68661578671303247</v>
      </c>
    </row>
    <row r="2593" spans="1:5" x14ac:dyDescent="0.2">
      <c r="A2593" s="1">
        <v>45400</v>
      </c>
      <c r="B2593">
        <v>67189.649999999994</v>
      </c>
      <c r="C2593" s="6">
        <f t="shared" si="120"/>
        <v>4.3314615009828342E-3</v>
      </c>
      <c r="D2593" s="7">
        <f t="shared" si="121"/>
        <v>0.35389071367588526</v>
      </c>
      <c r="E2593" s="8">
        <f t="shared" si="122"/>
        <v>-0.81833786423300647</v>
      </c>
    </row>
    <row r="2594" spans="1:5" x14ac:dyDescent="0.2">
      <c r="A2594" s="1">
        <v>45401</v>
      </c>
      <c r="B2594">
        <v>67313.61</v>
      </c>
      <c r="C2594" s="6">
        <f t="shared" si="120"/>
        <v>1.8432272213482329E-3</v>
      </c>
      <c r="D2594" s="7">
        <f t="shared" si="121"/>
        <v>0.13918221325000671</v>
      </c>
      <c r="E2594" s="8">
        <f t="shared" si="122"/>
        <v>-0.70692820347143803</v>
      </c>
    </row>
    <row r="2595" spans="1:5" x14ac:dyDescent="0.2">
      <c r="A2595" s="1">
        <v>45404</v>
      </c>
      <c r="B2595">
        <v>67496.66</v>
      </c>
      <c r="C2595" s="6">
        <f t="shared" si="120"/>
        <v>2.7156701414128405E-3</v>
      </c>
      <c r="D2595" s="7">
        <f t="shared" si="121"/>
        <v>0.21446487959995936</v>
      </c>
      <c r="E2595" s="8">
        <f t="shared" si="122"/>
        <v>-0.73536717281861941</v>
      </c>
    </row>
    <row r="2596" spans="1:5" x14ac:dyDescent="0.2">
      <c r="A2596" s="1">
        <v>45405</v>
      </c>
      <c r="B2596">
        <v>68050.58</v>
      </c>
      <c r="C2596" s="6">
        <f t="shared" si="120"/>
        <v>8.1731370331460315E-3</v>
      </c>
      <c r="D2596" s="7">
        <f t="shared" si="121"/>
        <v>0.68538698771430784</v>
      </c>
      <c r="E2596" s="8">
        <f t="shared" si="122"/>
        <v>-1.1528602769302125</v>
      </c>
    </row>
    <row r="2597" spans="1:5" x14ac:dyDescent="0.2">
      <c r="A2597" s="1">
        <v>45406</v>
      </c>
      <c r="B2597">
        <v>68573.48</v>
      </c>
      <c r="C2597" s="6">
        <f t="shared" si="120"/>
        <v>7.6546188598956002E-3</v>
      </c>
      <c r="D2597" s="7">
        <f t="shared" si="121"/>
        <v>0.64064431202119954</v>
      </c>
      <c r="E2597" s="8">
        <f t="shared" si="122"/>
        <v>-1.0980364664590705</v>
      </c>
    </row>
    <row r="2598" spans="1:5" x14ac:dyDescent="0.2">
      <c r="A2598" s="1">
        <v>45407</v>
      </c>
      <c r="B2598">
        <v>68437.289999999994</v>
      </c>
      <c r="C2598" s="6">
        <f t="shared" si="120"/>
        <v>-1.9880195528339832E-3</v>
      </c>
      <c r="D2598" s="7">
        <f t="shared" si="121"/>
        <v>-0.191414168440767</v>
      </c>
      <c r="E2598" s="8">
        <f t="shared" si="122"/>
        <v>-0.7254064044725389</v>
      </c>
    </row>
    <row r="2599" spans="1:5" x14ac:dyDescent="0.2">
      <c r="A2599" s="1">
        <v>45408</v>
      </c>
      <c r="B2599">
        <v>69357.67</v>
      </c>
      <c r="C2599" s="6">
        <f t="shared" si="120"/>
        <v>1.3358887546168496E-2</v>
      </c>
      <c r="D2599" s="7">
        <f t="shared" si="121"/>
        <v>1.1328628244338672</v>
      </c>
      <c r="E2599" s="8">
        <f t="shared" si="122"/>
        <v>-1.8127486089451423</v>
      </c>
    </row>
    <row r="2600" spans="1:5" x14ac:dyDescent="0.2">
      <c r="A2600" s="1">
        <v>45411</v>
      </c>
      <c r="B2600">
        <v>70391.06</v>
      </c>
      <c r="C2600" s="6">
        <f t="shared" si="120"/>
        <v>1.478952740476381E-2</v>
      </c>
      <c r="D2600" s="7">
        <f t="shared" si="121"/>
        <v>1.2563120274299771</v>
      </c>
      <c r="E2600" s="8">
        <f t="shared" si="122"/>
        <v>-2.0180273715653887</v>
      </c>
    </row>
    <row r="2601" spans="1:5" x14ac:dyDescent="0.2">
      <c r="A2601" s="1">
        <v>45412</v>
      </c>
      <c r="B2601">
        <v>69924.83</v>
      </c>
      <c r="C2601" s="6">
        <f t="shared" si="120"/>
        <v>-6.6454585550855851E-3</v>
      </c>
      <c r="D2601" s="7">
        <f t="shared" si="121"/>
        <v>-0.5933022672355841</v>
      </c>
      <c r="E2601" s="8">
        <f t="shared" si="122"/>
        <v>-1.0429822122590526</v>
      </c>
    </row>
    <row r="2602" spans="1:5" x14ac:dyDescent="0.2">
      <c r="A2602" s="1">
        <v>45414</v>
      </c>
      <c r="B2602">
        <v>69944.03</v>
      </c>
      <c r="C2602" s="6">
        <f t="shared" si="120"/>
        <v>2.7454288425017706E-4</v>
      </c>
      <c r="D2602" s="7">
        <f t="shared" si="121"/>
        <v>3.8212207516043527E-3</v>
      </c>
      <c r="E2602" s="8">
        <f t="shared" si="122"/>
        <v>-0.68606756280801184</v>
      </c>
    </row>
    <row r="2603" spans="1:5" x14ac:dyDescent="0.2">
      <c r="A2603" s="1">
        <v>45415</v>
      </c>
      <c r="B2603">
        <v>70299.7</v>
      </c>
      <c r="C2603" s="6">
        <f t="shared" si="120"/>
        <v>5.0721805891355762E-3</v>
      </c>
      <c r="D2603" s="7">
        <f t="shared" si="121"/>
        <v>0.41780699597927601</v>
      </c>
      <c r="E2603" s="8">
        <f t="shared" si="122"/>
        <v>-0.86876278165057408</v>
      </c>
    </row>
    <row r="2604" spans="1:5" x14ac:dyDescent="0.2">
      <c r="A2604" s="1">
        <v>45418</v>
      </c>
      <c r="B2604">
        <v>70651.839999999997</v>
      </c>
      <c r="C2604" s="6">
        <f t="shared" si="120"/>
        <v>4.9966212874800325E-3</v>
      </c>
      <c r="D2604" s="7">
        <f t="shared" si="121"/>
        <v>0.41128702135933354</v>
      </c>
      <c r="E2604" s="8">
        <f t="shared" si="122"/>
        <v>-0.86328072933285394</v>
      </c>
    </row>
    <row r="2605" spans="1:5" x14ac:dyDescent="0.2">
      <c r="A2605" s="1">
        <v>45419</v>
      </c>
      <c r="B2605">
        <v>70789.820000000007</v>
      </c>
      <c r="C2605" s="6">
        <f t="shared" si="120"/>
        <v>1.9510523811672555E-3</v>
      </c>
      <c r="D2605" s="7">
        <f t="shared" si="121"/>
        <v>0.14848639274886113</v>
      </c>
      <c r="E2605" s="8">
        <f t="shared" si="122"/>
        <v>-0.70980038292754311</v>
      </c>
    </row>
    <row r="2606" spans="1:5" x14ac:dyDescent="0.2">
      <c r="A2606" s="1">
        <v>45420</v>
      </c>
      <c r="B2606">
        <v>70939.42</v>
      </c>
      <c r="C2606" s="6">
        <f t="shared" si="120"/>
        <v>2.111068337896311E-3</v>
      </c>
      <c r="D2606" s="7">
        <f t="shared" si="121"/>
        <v>0.1622940901970906</v>
      </c>
      <c r="E2606" s="8">
        <f t="shared" si="122"/>
        <v>-0.71439907551990667</v>
      </c>
    </row>
    <row r="2607" spans="1:5" x14ac:dyDescent="0.2">
      <c r="A2607" s="1">
        <v>45421</v>
      </c>
      <c r="B2607">
        <v>71339.62</v>
      </c>
      <c r="C2607" s="6">
        <f t="shared" si="120"/>
        <v>5.6255799228315979E-3</v>
      </c>
      <c r="D2607" s="7">
        <f t="shared" si="121"/>
        <v>0.46555954968655872</v>
      </c>
      <c r="E2607" s="8">
        <f t="shared" si="122"/>
        <v>-0.91117571088802052</v>
      </c>
    </row>
    <row r="2608" spans="1:5" x14ac:dyDescent="0.2">
      <c r="A2608" s="1">
        <v>45422</v>
      </c>
      <c r="B2608">
        <v>72180.820000000007</v>
      </c>
      <c r="C2608" s="6">
        <f t="shared" si="120"/>
        <v>1.1722506326213604E-2</v>
      </c>
      <c r="D2608" s="7">
        <f t="shared" si="121"/>
        <v>0.9916603015294807</v>
      </c>
      <c r="E2608" s="8">
        <f t="shared" si="122"/>
        <v>-1.5872046205235482</v>
      </c>
    </row>
    <row r="2609" spans="1:5" x14ac:dyDescent="0.2">
      <c r="A2609" s="1">
        <v>45425</v>
      </c>
      <c r="B2609">
        <v>72408.19</v>
      </c>
      <c r="C2609" s="6">
        <f t="shared" si="120"/>
        <v>3.1450549030897926E-3</v>
      </c>
      <c r="D2609" s="7">
        <f t="shared" si="121"/>
        <v>0.25151627746870031</v>
      </c>
      <c r="E2609" s="8">
        <f t="shared" si="122"/>
        <v>-0.75365596547922509</v>
      </c>
    </row>
    <row r="2610" spans="1:5" x14ac:dyDescent="0.2">
      <c r="A2610" s="1">
        <v>45426</v>
      </c>
      <c r="B2610">
        <v>72372.320000000007</v>
      </c>
      <c r="C2610" s="6">
        <f t="shared" si="120"/>
        <v>-4.9550869428383461E-4</v>
      </c>
      <c r="D2610" s="7">
        <f t="shared" si="121"/>
        <v>-6.262614758137193E-2</v>
      </c>
      <c r="E2610" s="8">
        <f t="shared" si="122"/>
        <v>-0.6902910903061783</v>
      </c>
    </row>
    <row r="2611" spans="1:5" x14ac:dyDescent="0.2">
      <c r="A2611" s="1">
        <v>45427</v>
      </c>
      <c r="B2611">
        <v>73142.16</v>
      </c>
      <c r="C2611" s="6">
        <f t="shared" si="120"/>
        <v>1.058103884218331E-2</v>
      </c>
      <c r="D2611" s="7">
        <f t="shared" si="121"/>
        <v>0.89316363914243446</v>
      </c>
      <c r="E2611" s="8">
        <f t="shared" si="122"/>
        <v>-1.4379017384074153</v>
      </c>
    </row>
    <row r="2612" spans="1:5" x14ac:dyDescent="0.2">
      <c r="A2612" s="1">
        <v>45428</v>
      </c>
      <c r="B2612">
        <v>73214</v>
      </c>
      <c r="C2612" s="6">
        <f t="shared" si="120"/>
        <v>9.8171482183910443E-4</v>
      </c>
      <c r="D2612" s="7">
        <f t="shared" si="121"/>
        <v>6.4842736091099917E-2</v>
      </c>
      <c r="E2612" s="8">
        <f t="shared" si="122"/>
        <v>-0.69059624536020403</v>
      </c>
    </row>
    <row r="2613" spans="1:5" x14ac:dyDescent="0.2">
      <c r="A2613" s="1">
        <v>45429</v>
      </c>
      <c r="B2613">
        <v>73213.759999999995</v>
      </c>
      <c r="C2613" s="6">
        <f t="shared" si="120"/>
        <v>-3.2780669458199769E-6</v>
      </c>
      <c r="D2613" s="7">
        <f t="shared" si="121"/>
        <v>-2.0151811171636981E-2</v>
      </c>
      <c r="E2613" s="8">
        <f t="shared" si="122"/>
        <v>-0.68649101516713862</v>
      </c>
    </row>
    <row r="2614" spans="1:5" x14ac:dyDescent="0.2">
      <c r="A2614" s="1">
        <v>45432</v>
      </c>
      <c r="B2614">
        <v>73733.8</v>
      </c>
      <c r="C2614" s="6">
        <f t="shared" si="120"/>
        <v>7.0779286303002138E-3</v>
      </c>
      <c r="D2614" s="7">
        <f t="shared" si="121"/>
        <v>0.59088199847214573</v>
      </c>
      <c r="E2614" s="8">
        <f t="shared" si="122"/>
        <v>-1.0402530088222002</v>
      </c>
    </row>
    <row r="2615" spans="1:5" x14ac:dyDescent="0.2">
      <c r="A2615" s="1">
        <v>45433</v>
      </c>
      <c r="B2615">
        <v>73438.759999999995</v>
      </c>
      <c r="C2615" s="6">
        <f t="shared" si="120"/>
        <v>-4.0094484358662004E-3</v>
      </c>
      <c r="D2615" s="7">
        <f t="shared" si="121"/>
        <v>-0.36584226299187239</v>
      </c>
      <c r="E2615" s="8">
        <f t="shared" si="122"/>
        <v>-0.82719765961803049</v>
      </c>
    </row>
    <row r="2616" spans="1:5" x14ac:dyDescent="0.2">
      <c r="A2616" s="1">
        <v>45434</v>
      </c>
      <c r="B2616">
        <v>73060.63</v>
      </c>
      <c r="C2616" s="6">
        <f t="shared" si="120"/>
        <v>-5.1622172585926683E-3</v>
      </c>
      <c r="D2616" s="7">
        <f t="shared" si="121"/>
        <v>-0.46531411228319081</v>
      </c>
      <c r="E2616" s="8">
        <f t="shared" si="122"/>
        <v>-0.91094772274255331</v>
      </c>
    </row>
    <row r="2617" spans="1:5" x14ac:dyDescent="0.2">
      <c r="A2617" s="1">
        <v>45435</v>
      </c>
      <c r="B2617">
        <v>72573.5</v>
      </c>
      <c r="C2617" s="6">
        <f t="shared" si="120"/>
        <v>-6.689802956603823E-3</v>
      </c>
      <c r="D2617" s="7">
        <f t="shared" si="121"/>
        <v>-0.59712872362282665</v>
      </c>
      <c r="E2617" s="8">
        <f t="shared" si="122"/>
        <v>-1.0473143699995981</v>
      </c>
    </row>
    <row r="2618" spans="1:5" x14ac:dyDescent="0.2">
      <c r="A2618" s="1">
        <v>45436</v>
      </c>
      <c r="B2618">
        <v>72746.06</v>
      </c>
      <c r="C2618" s="6">
        <f t="shared" si="120"/>
        <v>2.3749050864962993E-3</v>
      </c>
      <c r="D2618" s="7">
        <f t="shared" si="121"/>
        <v>0.18506043222235269</v>
      </c>
      <c r="E2618" s="8">
        <f t="shared" si="122"/>
        <v>-0.72285399048738697</v>
      </c>
    </row>
    <row r="2619" spans="1:5" x14ac:dyDescent="0.2">
      <c r="A2619" s="1">
        <v>45439</v>
      </c>
      <c r="B2619">
        <v>72559.399999999994</v>
      </c>
      <c r="C2619" s="6">
        <f t="shared" si="120"/>
        <v>-2.5692097554494754E-3</v>
      </c>
      <c r="D2619" s="7">
        <f t="shared" si="121"/>
        <v>-0.24156478242720794</v>
      </c>
      <c r="E2619" s="8">
        <f t="shared" si="122"/>
        <v>-0.74847036136389455</v>
      </c>
    </row>
    <row r="2620" spans="1:5" x14ac:dyDescent="0.2">
      <c r="A2620" s="1">
        <v>45440</v>
      </c>
      <c r="B2620">
        <v>72189.63</v>
      </c>
      <c r="C2620" s="6">
        <f t="shared" si="120"/>
        <v>-5.1091299796382009E-3</v>
      </c>
      <c r="D2620" s="7">
        <f t="shared" si="121"/>
        <v>-0.4607332373433608</v>
      </c>
      <c r="E2620" s="8">
        <f t="shared" si="122"/>
        <v>-0.90671119623439012</v>
      </c>
    </row>
    <row r="2621" spans="1:5" x14ac:dyDescent="0.2">
      <c r="A2621" s="1">
        <v>45442</v>
      </c>
      <c r="B2621">
        <v>70942.429999999993</v>
      </c>
      <c r="C2621" s="6">
        <f t="shared" si="120"/>
        <v>-1.742770371609273E-2</v>
      </c>
      <c r="D2621" s="7">
        <f t="shared" si="121"/>
        <v>-1.5236968481204651</v>
      </c>
      <c r="E2621" s="8">
        <f t="shared" si="122"/>
        <v>-2.4769022442490836</v>
      </c>
    </row>
    <row r="2622" spans="1:5" x14ac:dyDescent="0.2">
      <c r="A2622" s="1">
        <v>45443</v>
      </c>
      <c r="B2622">
        <v>70455.350000000006</v>
      </c>
      <c r="C2622" s="6">
        <f t="shared" si="120"/>
        <v>-6.8895272136035648E-3</v>
      </c>
      <c r="D2622" s="7">
        <f t="shared" si="121"/>
        <v>-0.61436283058376151</v>
      </c>
      <c r="E2622" s="8">
        <f t="shared" si="122"/>
        <v>-1.0670856646503686</v>
      </c>
    </row>
    <row r="2623" spans="1:5" x14ac:dyDescent="0.2">
      <c r="A2623" s="1">
        <v>45446</v>
      </c>
      <c r="B2623">
        <v>71424.87</v>
      </c>
      <c r="C2623" s="6">
        <f t="shared" si="120"/>
        <v>1.3666952179560815E-2</v>
      </c>
      <c r="D2623" s="7">
        <f t="shared" si="121"/>
        <v>1.1594455686759513</v>
      </c>
      <c r="E2623" s="8">
        <f t="shared" si="122"/>
        <v>-1.8564158539153204</v>
      </c>
    </row>
    <row r="2624" spans="1:5" x14ac:dyDescent="0.2">
      <c r="A2624" s="1">
        <v>45447</v>
      </c>
      <c r="B2624">
        <v>70562.210000000006</v>
      </c>
      <c r="C2624" s="6">
        <f t="shared" si="120"/>
        <v>-1.2151395954449761E-2</v>
      </c>
      <c r="D2624" s="7">
        <f t="shared" si="121"/>
        <v>-1.0684068713847745</v>
      </c>
      <c r="E2624" s="8">
        <f t="shared" si="122"/>
        <v>-1.7083424982692768</v>
      </c>
    </row>
    <row r="2625" spans="1:5" x14ac:dyDescent="0.2">
      <c r="A2625" s="1">
        <v>45448</v>
      </c>
      <c r="B2625">
        <v>70582.69</v>
      </c>
      <c r="C2625" s="6">
        <f t="shared" si="120"/>
        <v>2.9019823094879825E-4</v>
      </c>
      <c r="D2625" s="7">
        <f t="shared" si="121"/>
        <v>5.1721128443705531E-3</v>
      </c>
      <c r="E2625" s="8">
        <f t="shared" si="122"/>
        <v>-0.68608070455230841</v>
      </c>
    </row>
    <row r="2626" spans="1:5" x14ac:dyDescent="0.2">
      <c r="A2626" s="1">
        <v>45449</v>
      </c>
      <c r="B2626">
        <v>70937.850000000006</v>
      </c>
      <c r="C2626" s="6">
        <f t="shared" si="120"/>
        <v>5.0192112835802209E-3</v>
      </c>
      <c r="D2626" s="7">
        <f t="shared" si="121"/>
        <v>0.41323630090547425</v>
      </c>
      <c r="E2626" s="8">
        <f t="shared" si="122"/>
        <v>-0.86491179116690964</v>
      </c>
    </row>
    <row r="2627" spans="1:5" x14ac:dyDescent="0.2">
      <c r="A2627" s="1">
        <v>45450</v>
      </c>
      <c r="B2627">
        <v>70531.539999999994</v>
      </c>
      <c r="C2627" s="6">
        <f t="shared" ref="C2627:C2690" si="123">LN(B2627/B2626)</f>
        <v>-5.7441559222625423E-3</v>
      </c>
      <c r="D2627" s="7">
        <f t="shared" ref="D2627:D2690" si="124">(C2627-$G$4)/$G$5</f>
        <v>-0.51552931060235663</v>
      </c>
      <c r="E2627" s="8">
        <f t="shared" ref="E2627:E2690" si="125">LN((PI()*(G$3-2))^(-1/2)*EXP(GAMMALN((G$3+1)/2))*((1+D2627^2/(G$3-2))^(-(G$3+1)/2))/EXP(GAMMALN(G$3/2)))</f>
        <v>-0.95967080391794868</v>
      </c>
    </row>
    <row r="2628" spans="1:5" x14ac:dyDescent="0.2">
      <c r="A2628" s="1">
        <v>45453</v>
      </c>
      <c r="B2628">
        <v>69919.66</v>
      </c>
      <c r="C2628" s="6">
        <f t="shared" si="123"/>
        <v>-8.7131170267641736E-3</v>
      </c>
      <c r="D2628" s="7">
        <f t="shared" si="124"/>
        <v>-0.77171949003510554</v>
      </c>
      <c r="E2628" s="8">
        <f t="shared" si="125"/>
        <v>-1.2656546202187071</v>
      </c>
    </row>
    <row r="2629" spans="1:5" x14ac:dyDescent="0.2">
      <c r="A2629" s="1">
        <v>45454</v>
      </c>
      <c r="B2629">
        <v>69786.850000000006</v>
      </c>
      <c r="C2629" s="6">
        <f t="shared" si="123"/>
        <v>-1.9012720310197138E-3</v>
      </c>
      <c r="D2629" s="7">
        <f t="shared" si="124"/>
        <v>-0.18392876785897846</v>
      </c>
      <c r="E2629" s="8">
        <f t="shared" si="125"/>
        <v>-0.72240817928519152</v>
      </c>
    </row>
    <row r="2630" spans="1:5" x14ac:dyDescent="0.2">
      <c r="A2630" s="1">
        <v>45455</v>
      </c>
      <c r="B2630">
        <v>70706.559999999998</v>
      </c>
      <c r="C2630" s="6">
        <f t="shared" si="123"/>
        <v>1.3092758415424033E-2</v>
      </c>
      <c r="D2630" s="7">
        <f t="shared" si="124"/>
        <v>1.1098986738916694</v>
      </c>
      <c r="E2630" s="8">
        <f t="shared" si="125"/>
        <v>-1.7753002760566876</v>
      </c>
    </row>
    <row r="2631" spans="1:5" x14ac:dyDescent="0.2">
      <c r="A2631" s="1">
        <v>45456</v>
      </c>
      <c r="B2631">
        <v>69999.55</v>
      </c>
      <c r="C2631" s="6">
        <f t="shared" si="123"/>
        <v>-1.0049541562365432E-2</v>
      </c>
      <c r="D2631" s="7">
        <f t="shared" si="124"/>
        <v>-0.88703889959385296</v>
      </c>
      <c r="E2631" s="8">
        <f t="shared" si="125"/>
        <v>-1.4288795831215042</v>
      </c>
    </row>
    <row r="2632" spans="1:5" x14ac:dyDescent="0.2">
      <c r="A2632" s="1">
        <v>45457</v>
      </c>
      <c r="B2632">
        <v>70519.55</v>
      </c>
      <c r="C2632" s="6">
        <f t="shared" si="123"/>
        <v>7.4011628835798787E-3</v>
      </c>
      <c r="D2632" s="7">
        <f t="shared" si="124"/>
        <v>0.61877372168164479</v>
      </c>
      <c r="E2632" s="8">
        <f t="shared" si="125"/>
        <v>-1.0722134032944686</v>
      </c>
    </row>
    <row r="2633" spans="1:5" x14ac:dyDescent="0.2">
      <c r="A2633" s="1">
        <v>45461</v>
      </c>
      <c r="B2633">
        <v>72863.740000000005</v>
      </c>
      <c r="C2633" s="6">
        <f t="shared" si="123"/>
        <v>3.2701145242504205E-2</v>
      </c>
      <c r="D2633" s="7">
        <f t="shared" si="124"/>
        <v>2.8018966364111746</v>
      </c>
      <c r="E2633" s="8">
        <f t="shared" si="125"/>
        <v>-4.5837278177560838</v>
      </c>
    </row>
    <row r="2634" spans="1:5" x14ac:dyDescent="0.2">
      <c r="A2634" s="1">
        <v>45462</v>
      </c>
      <c r="B2634">
        <v>73796.460000000006</v>
      </c>
      <c r="C2634" s="6">
        <f t="shared" si="123"/>
        <v>1.2719641392924778E-2</v>
      </c>
      <c r="D2634" s="7">
        <f t="shared" si="124"/>
        <v>1.0777025912961238</v>
      </c>
      <c r="E2634" s="8">
        <f t="shared" si="125"/>
        <v>-1.7232606857026795</v>
      </c>
    </row>
    <row r="2635" spans="1:5" x14ac:dyDescent="0.2">
      <c r="A2635" s="1">
        <v>45463</v>
      </c>
      <c r="B2635">
        <v>73266.86</v>
      </c>
      <c r="C2635" s="6">
        <f t="shared" si="123"/>
        <v>-7.2023709158346447E-3</v>
      </c>
      <c r="D2635" s="7">
        <f t="shared" si="124"/>
        <v>-0.64135795830283593</v>
      </c>
      <c r="E2635" s="8">
        <f t="shared" si="125"/>
        <v>-1.0988901047653319</v>
      </c>
    </row>
    <row r="2636" spans="1:5" x14ac:dyDescent="0.2">
      <c r="A2636" s="1">
        <v>45464</v>
      </c>
      <c r="B2636">
        <v>72857.56</v>
      </c>
      <c r="C2636" s="6">
        <f t="shared" si="123"/>
        <v>-5.6020899235774699E-3</v>
      </c>
      <c r="D2636" s="7">
        <f t="shared" si="124"/>
        <v>-0.50327050612046675</v>
      </c>
      <c r="E2636" s="8">
        <f t="shared" si="125"/>
        <v>-0.94739628497694073</v>
      </c>
    </row>
    <row r="2637" spans="1:5" x14ac:dyDescent="0.2">
      <c r="A2637" s="1">
        <v>45467</v>
      </c>
      <c r="B2637">
        <v>73512.36</v>
      </c>
      <c r="C2637" s="6">
        <f t="shared" si="123"/>
        <v>8.9472532093766381E-3</v>
      </c>
      <c r="D2637" s="7">
        <f t="shared" si="124"/>
        <v>0.7521850881641966</v>
      </c>
      <c r="E2637" s="8">
        <f t="shared" si="125"/>
        <v>-1.2393717615362685</v>
      </c>
    </row>
    <row r="2638" spans="1:5" x14ac:dyDescent="0.2">
      <c r="A2638" s="1">
        <v>45468</v>
      </c>
      <c r="B2638">
        <v>72903.06</v>
      </c>
      <c r="C2638" s="6">
        <f t="shared" si="123"/>
        <v>-8.3229419039244166E-3</v>
      </c>
      <c r="D2638" s="7">
        <f t="shared" si="124"/>
        <v>-0.73805147243159053</v>
      </c>
      <c r="E2638" s="8">
        <f t="shared" si="125"/>
        <v>-1.2206248560997834</v>
      </c>
    </row>
    <row r="2639" spans="1:5" x14ac:dyDescent="0.2">
      <c r="A2639" s="1">
        <v>45469</v>
      </c>
      <c r="B2639">
        <v>72563.55</v>
      </c>
      <c r="C2639" s="6">
        <f t="shared" si="123"/>
        <v>-4.6678838046613552E-3</v>
      </c>
      <c r="D2639" s="7">
        <f t="shared" si="124"/>
        <v>-0.42265832401090492</v>
      </c>
      <c r="E2639" s="8">
        <f t="shared" si="125"/>
        <v>-0.87289064982995879</v>
      </c>
    </row>
    <row r="2640" spans="1:5" x14ac:dyDescent="0.2">
      <c r="A2640" s="1">
        <v>45470</v>
      </c>
      <c r="B2640">
        <v>72287.12</v>
      </c>
      <c r="C2640" s="6">
        <f t="shared" si="123"/>
        <v>-3.8167629542695041E-3</v>
      </c>
      <c r="D2640" s="7">
        <f t="shared" si="124"/>
        <v>-0.34921552846527454</v>
      </c>
      <c r="E2640" s="8">
        <f t="shared" si="125"/>
        <v>-0.81494472319393696</v>
      </c>
    </row>
    <row r="2641" spans="1:5" x14ac:dyDescent="0.2">
      <c r="A2641" s="1">
        <v>45471</v>
      </c>
      <c r="B2641">
        <v>72979.42</v>
      </c>
      <c r="C2641" s="6">
        <f t="shared" si="123"/>
        <v>9.5315169104913649E-3</v>
      </c>
      <c r="D2641" s="7">
        <f t="shared" si="124"/>
        <v>0.80260091280995238</v>
      </c>
      <c r="E2641" s="8">
        <f t="shared" si="125"/>
        <v>-1.3080536216981544</v>
      </c>
    </row>
    <row r="2642" spans="1:5" x14ac:dyDescent="0.2">
      <c r="A2642" s="1">
        <v>45474</v>
      </c>
      <c r="B2642">
        <v>72805.61</v>
      </c>
      <c r="C2642" s="6">
        <f t="shared" si="123"/>
        <v>-2.3844709206787681E-3</v>
      </c>
      <c r="D2642" s="7">
        <f t="shared" si="124"/>
        <v>-0.22562376010921803</v>
      </c>
      <c r="E2642" s="8">
        <f t="shared" si="125"/>
        <v>-0.74058141796562793</v>
      </c>
    </row>
    <row r="2643" spans="1:5" x14ac:dyDescent="0.2">
      <c r="A2643" s="1">
        <v>45475</v>
      </c>
      <c r="B2643">
        <v>72556.5</v>
      </c>
      <c r="C2643" s="6">
        <f t="shared" si="123"/>
        <v>-3.4274439723750972E-3</v>
      </c>
      <c r="D2643" s="7">
        <f t="shared" si="124"/>
        <v>-0.31562138683880642</v>
      </c>
      <c r="E2643" s="8">
        <f t="shared" si="125"/>
        <v>-0.79177999871305582</v>
      </c>
    </row>
    <row r="2644" spans="1:5" x14ac:dyDescent="0.2">
      <c r="A2644" s="1">
        <v>45476</v>
      </c>
      <c r="B2644">
        <v>73681.78</v>
      </c>
      <c r="C2644" s="6">
        <f t="shared" si="123"/>
        <v>1.5389981477760549E-2</v>
      </c>
      <c r="D2644" s="7">
        <f t="shared" si="124"/>
        <v>1.3081249112259004</v>
      </c>
      <c r="E2644" s="8">
        <f t="shared" si="125"/>
        <v>-2.105788922455984</v>
      </c>
    </row>
    <row r="2645" spans="1:5" x14ac:dyDescent="0.2">
      <c r="A2645" s="1">
        <v>45477</v>
      </c>
      <c r="B2645">
        <v>73991.94</v>
      </c>
      <c r="C2645" s="6">
        <f t="shared" si="123"/>
        <v>4.2006181745714239E-3</v>
      </c>
      <c r="D2645" s="7">
        <f t="shared" si="124"/>
        <v>0.34260030801173164</v>
      </c>
      <c r="E2645" s="8">
        <f t="shared" si="125"/>
        <v>-0.81021376183889271</v>
      </c>
    </row>
    <row r="2646" spans="1:5" x14ac:dyDescent="0.2">
      <c r="A2646" s="1">
        <v>45478</v>
      </c>
      <c r="B2646">
        <v>73729.27</v>
      </c>
      <c r="C2646" s="6">
        <f t="shared" si="123"/>
        <v>-3.5562973907095822E-3</v>
      </c>
      <c r="D2646" s="7">
        <f t="shared" si="124"/>
        <v>-0.3267400843231158</v>
      </c>
      <c r="E2646" s="8">
        <f t="shared" si="125"/>
        <v>-0.79920861710318347</v>
      </c>
    </row>
    <row r="2647" spans="1:5" x14ac:dyDescent="0.2">
      <c r="A2647" s="1">
        <v>45481</v>
      </c>
      <c r="B2647">
        <v>73717.47</v>
      </c>
      <c r="C2647" s="6">
        <f t="shared" si="123"/>
        <v>-1.6005779476970913E-4</v>
      </c>
      <c r="D2647" s="7">
        <f t="shared" si="124"/>
        <v>-3.3680256034629499E-2</v>
      </c>
      <c r="E2647" s="8">
        <f t="shared" si="125"/>
        <v>-0.68727855832372053</v>
      </c>
    </row>
    <row r="2648" spans="1:5" x14ac:dyDescent="0.2">
      <c r="A2648" s="1">
        <v>45482</v>
      </c>
      <c r="B2648">
        <v>73580.41</v>
      </c>
      <c r="C2648" s="6">
        <f t="shared" si="123"/>
        <v>-1.8609913402219489E-3</v>
      </c>
      <c r="D2648" s="7">
        <f t="shared" si="124"/>
        <v>-0.18045296705191918</v>
      </c>
      <c r="E2648" s="8">
        <f t="shared" si="125"/>
        <v>-0.72105557373452123</v>
      </c>
    </row>
    <row r="2649" spans="1:5" x14ac:dyDescent="0.2">
      <c r="A2649" s="1">
        <v>45483</v>
      </c>
      <c r="B2649">
        <v>73478</v>
      </c>
      <c r="C2649" s="6">
        <f t="shared" si="123"/>
        <v>-1.392780141644272E-3</v>
      </c>
      <c r="D2649" s="7">
        <f t="shared" si="124"/>
        <v>-0.14005125522276657</v>
      </c>
      <c r="E2649" s="8">
        <f t="shared" si="125"/>
        <v>-0.7071887303784854</v>
      </c>
    </row>
    <row r="2650" spans="1:5" x14ac:dyDescent="0.2">
      <c r="A2650" s="1">
        <v>45484</v>
      </c>
      <c r="B2650">
        <v>74121.69</v>
      </c>
      <c r="C2650" s="6">
        <f t="shared" si="123"/>
        <v>8.7221603348788916E-3</v>
      </c>
      <c r="D2650" s="7">
        <f t="shared" si="124"/>
        <v>0.73276193579646265</v>
      </c>
      <c r="E2650" s="8">
        <f t="shared" si="125"/>
        <v>-1.2136682398539793</v>
      </c>
    </row>
    <row r="2651" spans="1:5" x14ac:dyDescent="0.2">
      <c r="A2651" s="1">
        <v>45485</v>
      </c>
      <c r="B2651">
        <v>74702.990000000005</v>
      </c>
      <c r="C2651" s="6">
        <f t="shared" si="123"/>
        <v>7.8119160907955719E-3</v>
      </c>
      <c r="D2651" s="7">
        <f t="shared" si="124"/>
        <v>0.65421741196765459</v>
      </c>
      <c r="E2651" s="8">
        <f t="shared" si="125"/>
        <v>-1.1143894605017244</v>
      </c>
    </row>
    <row r="2652" spans="1:5" x14ac:dyDescent="0.2">
      <c r="A2652" s="1">
        <v>45488</v>
      </c>
      <c r="B2652">
        <v>75185.83</v>
      </c>
      <c r="C2652" s="6">
        <f t="shared" si="123"/>
        <v>6.4426642379234724E-3</v>
      </c>
      <c r="D2652" s="7">
        <f t="shared" si="124"/>
        <v>0.53606534950242057</v>
      </c>
      <c r="E2652" s="8">
        <f t="shared" si="125"/>
        <v>-0.98076844133164698</v>
      </c>
    </row>
    <row r="2653" spans="1:5" x14ac:dyDescent="0.2">
      <c r="A2653" s="1">
        <v>45489</v>
      </c>
      <c r="B2653">
        <v>74057.759999999995</v>
      </c>
      <c r="C2653" s="6">
        <f t="shared" si="123"/>
        <v>-1.5117453068044219E-2</v>
      </c>
      <c r="D2653" s="7">
        <f t="shared" si="124"/>
        <v>-1.3243464668841565</v>
      </c>
      <c r="E2653" s="8">
        <f t="shared" si="125"/>
        <v>-2.1334178210730972</v>
      </c>
    </row>
    <row r="2654" spans="1:5" x14ac:dyDescent="0.2">
      <c r="A2654" s="1">
        <v>45490</v>
      </c>
      <c r="B2654">
        <v>73463.899999999994</v>
      </c>
      <c r="C2654" s="6">
        <f t="shared" si="123"/>
        <v>-8.0512001820015576E-3</v>
      </c>
      <c r="D2654" s="7">
        <f t="shared" si="124"/>
        <v>-0.71460301418361116</v>
      </c>
      <c r="E2654" s="8">
        <f t="shared" si="125"/>
        <v>-1.1900378451582463</v>
      </c>
    </row>
    <row r="2655" spans="1:5" x14ac:dyDescent="0.2">
      <c r="A2655" s="1">
        <v>45491</v>
      </c>
      <c r="B2655">
        <v>73351.72</v>
      </c>
      <c r="C2655" s="6">
        <f t="shared" si="123"/>
        <v>-1.5281755692118822E-3</v>
      </c>
      <c r="D2655" s="7">
        <f t="shared" si="124"/>
        <v>-0.15173445943528602</v>
      </c>
      <c r="E2655" s="8">
        <f t="shared" si="125"/>
        <v>-0.71084607019738033</v>
      </c>
    </row>
    <row r="2656" spans="1:5" x14ac:dyDescent="0.2">
      <c r="A2656" s="1">
        <v>45492</v>
      </c>
      <c r="B2656">
        <v>72930.75</v>
      </c>
      <c r="C2656" s="6">
        <f t="shared" si="123"/>
        <v>-5.7555927530727278E-3</v>
      </c>
      <c r="D2656" s="7">
        <f t="shared" si="124"/>
        <v>-0.51651618905386643</v>
      </c>
      <c r="E2656" s="8">
        <f t="shared" si="125"/>
        <v>-0.96066941651501825</v>
      </c>
    </row>
    <row r="2657" spans="1:5" x14ac:dyDescent="0.2">
      <c r="A2657" s="1">
        <v>45495</v>
      </c>
      <c r="B2657">
        <v>73476.05</v>
      </c>
      <c r="C2657" s="6">
        <f t="shared" si="123"/>
        <v>7.4491420008206749E-3</v>
      </c>
      <c r="D2657" s="7">
        <f t="shared" si="124"/>
        <v>0.62291381588372352</v>
      </c>
      <c r="E2657" s="8">
        <f t="shared" si="125"/>
        <v>-1.0770510607538524</v>
      </c>
    </row>
    <row r="2658" spans="1:5" x14ac:dyDescent="0.2">
      <c r="A2658" s="1">
        <v>45496</v>
      </c>
      <c r="B2658">
        <v>73652.160000000003</v>
      </c>
      <c r="C2658" s="6">
        <f t="shared" si="123"/>
        <v>2.3939676029277571E-3</v>
      </c>
      <c r="D2658" s="7">
        <f t="shared" si="124"/>
        <v>0.18670532729949268</v>
      </c>
      <c r="E2658" s="8">
        <f t="shared" si="125"/>
        <v>-0.72350673277178956</v>
      </c>
    </row>
    <row r="2659" spans="1:5" x14ac:dyDescent="0.2">
      <c r="A2659" s="1">
        <v>45497</v>
      </c>
      <c r="B2659">
        <v>73596.11</v>
      </c>
      <c r="C2659" s="6">
        <f t="shared" si="123"/>
        <v>-7.6129930364692261E-4</v>
      </c>
      <c r="D2659" s="7">
        <f t="shared" si="124"/>
        <v>-8.5561087281667947E-2</v>
      </c>
      <c r="E2659" s="8">
        <f t="shared" si="125"/>
        <v>-0.69395950007525342</v>
      </c>
    </row>
    <row r="2660" spans="1:5" x14ac:dyDescent="0.2">
      <c r="A2660" s="1">
        <v>45498</v>
      </c>
      <c r="B2660">
        <v>73687.25</v>
      </c>
      <c r="C2660" s="6">
        <f t="shared" si="123"/>
        <v>1.237614508973523E-3</v>
      </c>
      <c r="D2660" s="7">
        <f t="shared" si="124"/>
        <v>8.6924193023744961E-2</v>
      </c>
      <c r="E2660" s="8">
        <f t="shared" si="125"/>
        <v>-0.69421309802063813</v>
      </c>
    </row>
    <row r="2661" spans="1:5" x14ac:dyDescent="0.2">
      <c r="A2661" s="1">
        <v>45499</v>
      </c>
      <c r="B2661">
        <v>74042.429999999993</v>
      </c>
      <c r="C2661" s="6">
        <f t="shared" si="123"/>
        <v>4.8085216778221609E-3</v>
      </c>
      <c r="D2661" s="7">
        <f t="shared" si="124"/>
        <v>0.39505599944516495</v>
      </c>
      <c r="E2661" s="8">
        <f t="shared" si="125"/>
        <v>-0.84996323871585799</v>
      </c>
    </row>
    <row r="2662" spans="1:5" x14ac:dyDescent="0.2">
      <c r="A2662" s="1">
        <v>45502</v>
      </c>
      <c r="B2662">
        <v>73872.66</v>
      </c>
      <c r="C2662" s="6">
        <f t="shared" si="123"/>
        <v>-2.2955071662824973E-3</v>
      </c>
      <c r="D2662" s="7">
        <f t="shared" si="124"/>
        <v>-0.21794712191842658</v>
      </c>
      <c r="E2662" s="8">
        <f t="shared" si="125"/>
        <v>-0.73696698438432795</v>
      </c>
    </row>
    <row r="2663" spans="1:5" x14ac:dyDescent="0.2">
      <c r="A2663" s="1">
        <v>45503</v>
      </c>
      <c r="B2663">
        <v>74092.710000000006</v>
      </c>
      <c r="C2663" s="6">
        <f t="shared" si="123"/>
        <v>2.9743467978629841E-3</v>
      </c>
      <c r="D2663" s="7">
        <f t="shared" si="124"/>
        <v>0.23678595983591952</v>
      </c>
      <c r="E2663" s="8">
        <f t="shared" si="125"/>
        <v>-0.74605127069387533</v>
      </c>
    </row>
    <row r="2664" spans="1:5" x14ac:dyDescent="0.2">
      <c r="A2664" s="1">
        <v>45504</v>
      </c>
      <c r="B2664">
        <v>75661.56</v>
      </c>
      <c r="C2664" s="6">
        <f t="shared" si="123"/>
        <v>2.0953090653470438E-2</v>
      </c>
      <c r="D2664" s="7">
        <f t="shared" si="124"/>
        <v>1.7881628395666034</v>
      </c>
      <c r="E2664" s="8">
        <f t="shared" si="125"/>
        <v>-2.9355933909223655</v>
      </c>
    </row>
    <row r="2665" spans="1:5" x14ac:dyDescent="0.2">
      <c r="A2665" s="1">
        <v>45505</v>
      </c>
      <c r="B2665">
        <v>74712.02</v>
      </c>
      <c r="C2665" s="6">
        <f t="shared" si="123"/>
        <v>-1.2629248047029733E-2</v>
      </c>
      <c r="D2665" s="7">
        <f t="shared" si="124"/>
        <v>-1.109640491170079</v>
      </c>
      <c r="E2665" s="8">
        <f t="shared" si="125"/>
        <v>-1.7748807680080951</v>
      </c>
    </row>
    <row r="2666" spans="1:5" x14ac:dyDescent="0.2">
      <c r="A2666" s="1">
        <v>45506</v>
      </c>
      <c r="B2666">
        <v>73449.42</v>
      </c>
      <c r="C2666" s="6">
        <f t="shared" si="123"/>
        <v>-1.7043983441536889E-2</v>
      </c>
      <c r="D2666" s="7">
        <f t="shared" si="124"/>
        <v>-1.4905858161701337</v>
      </c>
      <c r="E2666" s="8">
        <f t="shared" si="125"/>
        <v>-2.4195045099955692</v>
      </c>
    </row>
    <row r="2667" spans="1:5" x14ac:dyDescent="0.2">
      <c r="A2667" s="1">
        <v>45509</v>
      </c>
      <c r="B2667">
        <v>72595.100000000006</v>
      </c>
      <c r="C2667" s="6">
        <f t="shared" si="123"/>
        <v>-1.1699579620417844E-2</v>
      </c>
      <c r="D2667" s="7">
        <f t="shared" si="124"/>
        <v>-1.0294198642762009</v>
      </c>
      <c r="E2667" s="8">
        <f t="shared" si="125"/>
        <v>-1.646334024629116</v>
      </c>
    </row>
    <row r="2668" spans="1:5" x14ac:dyDescent="0.2">
      <c r="A2668" s="1">
        <v>45510</v>
      </c>
      <c r="B2668">
        <v>72502.259999999995</v>
      </c>
      <c r="C2668" s="6">
        <f t="shared" si="123"/>
        <v>-1.2796926514676303E-3</v>
      </c>
      <c r="D2668" s="7">
        <f t="shared" si="124"/>
        <v>-0.13029299185042903</v>
      </c>
      <c r="E2668" s="8">
        <f t="shared" si="125"/>
        <v>-0.70435515791929459</v>
      </c>
    </row>
    <row r="2669" spans="1:5" x14ac:dyDescent="0.2">
      <c r="A2669" s="1">
        <v>45511</v>
      </c>
      <c r="B2669">
        <v>73357.3</v>
      </c>
      <c r="C2669" s="6">
        <f t="shared" si="123"/>
        <v>1.1724288684068487E-2</v>
      </c>
      <c r="D2669" s="7">
        <f t="shared" si="124"/>
        <v>0.99181410030372663</v>
      </c>
      <c r="E2669" s="8">
        <f t="shared" si="125"/>
        <v>-1.5874434925422582</v>
      </c>
    </row>
    <row r="2670" spans="1:5" x14ac:dyDescent="0.2">
      <c r="A2670" s="1">
        <v>45512</v>
      </c>
      <c r="B2670">
        <v>73728.3</v>
      </c>
      <c r="C2670" s="6">
        <f t="shared" si="123"/>
        <v>5.0446921628685866E-3</v>
      </c>
      <c r="D2670" s="7">
        <f t="shared" si="124"/>
        <v>0.41543503332641868</v>
      </c>
      <c r="E2670" s="8">
        <f t="shared" si="125"/>
        <v>-0.86675968582711094</v>
      </c>
    </row>
    <row r="2671" spans="1:5" x14ac:dyDescent="0.2">
      <c r="A2671" s="1">
        <v>45516</v>
      </c>
      <c r="B2671">
        <v>73645</v>
      </c>
      <c r="C2671" s="6">
        <f t="shared" si="123"/>
        <v>-1.1304626940032484E-3</v>
      </c>
      <c r="D2671" s="7">
        <f t="shared" si="124"/>
        <v>-0.11741601292282568</v>
      </c>
      <c r="E2671" s="8">
        <f t="shared" si="125"/>
        <v>-0.70092520589452112</v>
      </c>
    </row>
    <row r="2672" spans="1:5" x14ac:dyDescent="0.2">
      <c r="A2672" s="1">
        <v>45517</v>
      </c>
      <c r="B2672">
        <v>74033.09</v>
      </c>
      <c r="C2672" s="6">
        <f t="shared" si="123"/>
        <v>5.2559034776198908E-3</v>
      </c>
      <c r="D2672" s="7">
        <f t="shared" si="124"/>
        <v>0.4336603527966939</v>
      </c>
      <c r="E2672" s="8">
        <f t="shared" si="125"/>
        <v>-0.88240526716604317</v>
      </c>
    </row>
    <row r="2673" spans="1:5" x14ac:dyDescent="0.2">
      <c r="A2673" s="1">
        <v>45518</v>
      </c>
      <c r="B2673">
        <v>74395.23</v>
      </c>
      <c r="C2673" s="6">
        <f t="shared" si="123"/>
        <v>4.8796714613739967E-3</v>
      </c>
      <c r="D2673" s="7">
        <f t="shared" si="124"/>
        <v>0.40119547893753971</v>
      </c>
      <c r="E2673" s="8">
        <f t="shared" si="125"/>
        <v>-0.85494505607263171</v>
      </c>
    </row>
    <row r="2674" spans="1:5" x14ac:dyDescent="0.2">
      <c r="A2674" s="1">
        <v>45519</v>
      </c>
      <c r="B2674">
        <v>75170.13</v>
      </c>
      <c r="C2674" s="6">
        <f t="shared" si="123"/>
        <v>1.0362117720711618E-2</v>
      </c>
      <c r="D2674" s="7">
        <f t="shared" si="124"/>
        <v>0.8742730442786576</v>
      </c>
      <c r="E2674" s="8">
        <f t="shared" si="125"/>
        <v>-1.4101815093275785</v>
      </c>
    </row>
    <row r="2675" spans="1:5" x14ac:dyDescent="0.2">
      <c r="A2675" s="1">
        <v>45520</v>
      </c>
      <c r="B2675">
        <v>75706.13</v>
      </c>
      <c r="C2675" s="6">
        <f t="shared" si="123"/>
        <v>7.1051901066196367E-3</v>
      </c>
      <c r="D2675" s="7">
        <f t="shared" si="124"/>
        <v>0.59323437772672238</v>
      </c>
      <c r="E2675" s="8">
        <f t="shared" si="125"/>
        <v>-1.042905541393583</v>
      </c>
    </row>
    <row r="2676" spans="1:5" x14ac:dyDescent="0.2">
      <c r="A2676" s="1">
        <v>45523</v>
      </c>
      <c r="B2676">
        <v>76665.23</v>
      </c>
      <c r="C2676" s="6">
        <f t="shared" si="123"/>
        <v>1.2589146241239668E-2</v>
      </c>
      <c r="D2676" s="7">
        <f t="shared" si="124"/>
        <v>1.0664422294562121</v>
      </c>
      <c r="E2676" s="8">
        <f t="shared" si="125"/>
        <v>-1.7051959195542354</v>
      </c>
    </row>
    <row r="2677" spans="1:5" x14ac:dyDescent="0.2">
      <c r="A2677" s="1">
        <v>45524</v>
      </c>
      <c r="B2677">
        <v>76637.97</v>
      </c>
      <c r="C2677" s="6">
        <f t="shared" si="123"/>
        <v>-3.5563511116930546E-4</v>
      </c>
      <c r="D2677" s="7">
        <f t="shared" si="124"/>
        <v>-5.0556525550392889E-2</v>
      </c>
      <c r="E2677" s="8">
        <f t="shared" si="125"/>
        <v>-0.68881523571041803</v>
      </c>
    </row>
    <row r="2678" spans="1:5" x14ac:dyDescent="0.2">
      <c r="A2678" s="1">
        <v>45525</v>
      </c>
      <c r="B2678">
        <v>76894.080000000002</v>
      </c>
      <c r="C2678" s="6">
        <f t="shared" si="123"/>
        <v>3.336244615417489E-3</v>
      </c>
      <c r="D2678" s="7">
        <f t="shared" si="124"/>
        <v>0.26801394280781898</v>
      </c>
      <c r="E2678" s="8">
        <f t="shared" si="125"/>
        <v>-0.76269077113482553</v>
      </c>
    </row>
    <row r="2679" spans="1:5" x14ac:dyDescent="0.2">
      <c r="A2679" s="1">
        <v>45526</v>
      </c>
      <c r="B2679">
        <v>76411.789999999994</v>
      </c>
      <c r="C2679" s="6">
        <f t="shared" si="123"/>
        <v>-6.2918868151261497E-3</v>
      </c>
      <c r="D2679" s="7">
        <f t="shared" si="124"/>
        <v>-0.56279273736494539</v>
      </c>
      <c r="E2679" s="8">
        <f t="shared" si="125"/>
        <v>-1.0092071331956485</v>
      </c>
    </row>
    <row r="2680" spans="1:5" x14ac:dyDescent="0.2">
      <c r="A2680" s="1">
        <v>45527</v>
      </c>
      <c r="B2680">
        <v>76971.360000000001</v>
      </c>
      <c r="C2680" s="6">
        <f t="shared" si="123"/>
        <v>7.2964009737088919E-3</v>
      </c>
      <c r="D2680" s="7">
        <f t="shared" si="124"/>
        <v>0.60973386849971134</v>
      </c>
      <c r="E2680" s="8">
        <f t="shared" si="125"/>
        <v>-1.0617338192120391</v>
      </c>
    </row>
    <row r="2681" spans="1:5" x14ac:dyDescent="0.2">
      <c r="A2681" s="1">
        <v>45530</v>
      </c>
      <c r="B2681">
        <v>76716.86</v>
      </c>
      <c r="C2681" s="6">
        <f t="shared" si="123"/>
        <v>-3.3119029243467387E-3</v>
      </c>
      <c r="D2681" s="7">
        <f t="shared" si="124"/>
        <v>-0.30565140717778899</v>
      </c>
      <c r="E2681" s="8">
        <f t="shared" si="125"/>
        <v>-0.78532148757291875</v>
      </c>
    </row>
    <row r="2682" spans="1:5" x14ac:dyDescent="0.2">
      <c r="A2682" s="1">
        <v>45531</v>
      </c>
      <c r="B2682">
        <v>77095.92</v>
      </c>
      <c r="C2682" s="6">
        <f t="shared" si="123"/>
        <v>4.928859193568778E-3</v>
      </c>
      <c r="D2682" s="7">
        <f t="shared" si="124"/>
        <v>0.40543986392384501</v>
      </c>
      <c r="E2682" s="8">
        <f t="shared" si="125"/>
        <v>-0.85842874202567521</v>
      </c>
    </row>
    <row r="2683" spans="1:5" x14ac:dyDescent="0.2">
      <c r="A2683" s="1">
        <v>45532</v>
      </c>
      <c r="B2683">
        <v>76526.149999999994</v>
      </c>
      <c r="C2683" s="6">
        <f t="shared" si="123"/>
        <v>-7.417848393860625E-3</v>
      </c>
      <c r="D2683" s="7">
        <f t="shared" si="124"/>
        <v>-0.65995140288366638</v>
      </c>
      <c r="E2683" s="8">
        <f t="shared" si="125"/>
        <v>-1.1213715731362708</v>
      </c>
    </row>
    <row r="2684" spans="1:5" x14ac:dyDescent="0.2">
      <c r="A2684" s="1">
        <v>45533</v>
      </c>
      <c r="B2684">
        <v>76784.41</v>
      </c>
      <c r="C2684" s="6">
        <f t="shared" si="123"/>
        <v>3.3691122684650528E-3</v>
      </c>
      <c r="D2684" s="7">
        <f t="shared" si="124"/>
        <v>0.27085007626844987</v>
      </c>
      <c r="E2684" s="8">
        <f t="shared" si="125"/>
        <v>-0.76429868581777127</v>
      </c>
    </row>
    <row r="2685" spans="1:5" x14ac:dyDescent="0.2">
      <c r="A2685" s="1">
        <v>45534</v>
      </c>
      <c r="B2685">
        <v>76290.350000000006</v>
      </c>
      <c r="C2685" s="6">
        <f t="shared" si="123"/>
        <v>-6.4551689068720573E-3</v>
      </c>
      <c r="D2685" s="7">
        <f t="shared" si="124"/>
        <v>-0.57688226798193887</v>
      </c>
      <c r="E2685" s="8">
        <f t="shared" si="125"/>
        <v>-1.0246339175954751</v>
      </c>
    </row>
    <row r="2686" spans="1:5" x14ac:dyDescent="0.2">
      <c r="A2686" s="1">
        <v>45537</v>
      </c>
      <c r="B2686">
        <v>76041.39</v>
      </c>
      <c r="C2686" s="6">
        <f t="shared" si="123"/>
        <v>-3.2686585429934226E-3</v>
      </c>
      <c r="D2686" s="7">
        <f t="shared" si="124"/>
        <v>-0.30191987098434875</v>
      </c>
      <c r="E2686" s="8">
        <f t="shared" si="125"/>
        <v>-0.78295378083898015</v>
      </c>
    </row>
    <row r="2687" spans="1:5" x14ac:dyDescent="0.2">
      <c r="A2687" s="1">
        <v>45538</v>
      </c>
      <c r="B2687">
        <v>74806.97</v>
      </c>
      <c r="C2687" s="6">
        <f t="shared" si="123"/>
        <v>-1.6366734848405624E-2</v>
      </c>
      <c r="D2687" s="7">
        <f t="shared" si="124"/>
        <v>-1.4321463713650797</v>
      </c>
      <c r="E2687" s="8">
        <f t="shared" si="125"/>
        <v>-2.3184507140644417</v>
      </c>
    </row>
    <row r="2688" spans="1:5" x14ac:dyDescent="0.2">
      <c r="A2688" s="1">
        <v>45539</v>
      </c>
      <c r="B2688">
        <v>74533.58</v>
      </c>
      <c r="C2688" s="6">
        <f t="shared" si="123"/>
        <v>-3.6613003688829187E-3</v>
      </c>
      <c r="D2688" s="7">
        <f t="shared" si="124"/>
        <v>-0.33580073916915348</v>
      </c>
      <c r="E2688" s="8">
        <f t="shared" si="125"/>
        <v>-0.80543712045834626</v>
      </c>
    </row>
    <row r="2689" spans="1:5" x14ac:dyDescent="0.2">
      <c r="A2689" s="1">
        <v>45540</v>
      </c>
      <c r="B2689">
        <v>74721.8</v>
      </c>
      <c r="C2689" s="6">
        <f t="shared" si="123"/>
        <v>2.5221214776150851E-3</v>
      </c>
      <c r="D2689" s="7">
        <f t="shared" si="124"/>
        <v>0.19776366150985605</v>
      </c>
      <c r="E2689" s="8">
        <f t="shared" si="125"/>
        <v>-0.72804073100992794</v>
      </c>
    </row>
    <row r="2690" spans="1:5" x14ac:dyDescent="0.2">
      <c r="A2690" s="1">
        <v>45541</v>
      </c>
      <c r="B2690">
        <v>73874.19</v>
      </c>
      <c r="C2690" s="6">
        <f t="shared" si="123"/>
        <v>-1.1408372367042495E-2</v>
      </c>
      <c r="D2690" s="7">
        <f t="shared" si="124"/>
        <v>-1.0042917349850389</v>
      </c>
      <c r="E2690" s="8">
        <f t="shared" si="125"/>
        <v>-1.6068778052699213</v>
      </c>
    </row>
    <row r="2691" spans="1:5" x14ac:dyDescent="0.2">
      <c r="A2691" s="1">
        <v>45544</v>
      </c>
      <c r="B2691">
        <v>73924.070000000007</v>
      </c>
      <c r="C2691" s="6">
        <f t="shared" ref="C2691:C2754" si="126">LN(B2691/B2690)</f>
        <v>6.7497414237142439E-4</v>
      </c>
      <c r="D2691" s="7">
        <f t="shared" ref="D2691:D2754" si="127">(C2691-$G$4)/$G$5</f>
        <v>3.8374235175747132E-2</v>
      </c>
      <c r="E2691" s="8">
        <f t="shared" ref="E2691:E2754" si="128">LN((PI()*(G$3-2))^(-1/2)*EXP(GAMMALN((G$3+1)/2))*((1+D2691^2/(G$3-2))^(-(G$3+1)/2))/EXP(GAMMALN(G$3/2)))</f>
        <v>-0.68764423550611253</v>
      </c>
    </row>
    <row r="2692" spans="1:5" x14ac:dyDescent="0.2">
      <c r="A2692" s="1">
        <v>45545</v>
      </c>
      <c r="B2692">
        <v>74012.679999999993</v>
      </c>
      <c r="C2692" s="6">
        <f t="shared" si="126"/>
        <v>1.1979445350366238E-3</v>
      </c>
      <c r="D2692" s="7">
        <f t="shared" si="127"/>
        <v>8.350109067135067E-2</v>
      </c>
      <c r="E2692" s="8">
        <f t="shared" si="128"/>
        <v>-0.69358381313357831</v>
      </c>
    </row>
    <row r="2693" spans="1:5" x14ac:dyDescent="0.2">
      <c r="A2693" s="1">
        <v>45546</v>
      </c>
      <c r="B2693">
        <v>73223.3</v>
      </c>
      <c r="C2693" s="6">
        <f t="shared" si="126"/>
        <v>-1.0722753546970868E-2</v>
      </c>
      <c r="D2693" s="7">
        <f t="shared" si="127"/>
        <v>-0.9451300274536415</v>
      </c>
      <c r="E2693" s="8">
        <f t="shared" si="128"/>
        <v>-1.5157261276539047</v>
      </c>
    </row>
    <row r="2694" spans="1:5" x14ac:dyDescent="0.2">
      <c r="A2694" s="1">
        <v>45547</v>
      </c>
      <c r="B2694">
        <v>74089.56</v>
      </c>
      <c r="C2694" s="6">
        <f t="shared" si="126"/>
        <v>1.1760955358172603E-2</v>
      </c>
      <c r="D2694" s="7">
        <f t="shared" si="127"/>
        <v>0.994978049404876</v>
      </c>
      <c r="E2694" s="8">
        <f t="shared" si="128"/>
        <v>-1.5923612400482399</v>
      </c>
    </row>
    <row r="2695" spans="1:5" x14ac:dyDescent="0.2">
      <c r="A2695" s="1">
        <v>45548</v>
      </c>
      <c r="B2695">
        <v>74367.5</v>
      </c>
      <c r="C2695" s="6">
        <f t="shared" si="126"/>
        <v>3.7443867571741291E-3</v>
      </c>
      <c r="D2695" s="7">
        <f t="shared" si="127"/>
        <v>0.30323232555192431</v>
      </c>
      <c r="E2695" s="8">
        <f t="shared" si="128"/>
        <v>-0.78378346281602396</v>
      </c>
    </row>
    <row r="2696" spans="1:5" x14ac:dyDescent="0.2">
      <c r="A2696" s="1">
        <v>45551</v>
      </c>
      <c r="B2696">
        <v>74282.899999999994</v>
      </c>
      <c r="C2696" s="6">
        <f t="shared" si="126"/>
        <v>-1.1382412577959195E-3</v>
      </c>
      <c r="D2696" s="7">
        <f t="shared" si="127"/>
        <v>-0.11808722132995232</v>
      </c>
      <c r="E2696" s="8">
        <f t="shared" si="128"/>
        <v>-0.70109528084001138</v>
      </c>
    </row>
    <row r="2697" spans="1:5" x14ac:dyDescent="0.2">
      <c r="A2697" s="1">
        <v>45552</v>
      </c>
      <c r="B2697">
        <v>75175.59</v>
      </c>
      <c r="C2697" s="6">
        <f t="shared" si="126"/>
        <v>1.194580001050068E-2</v>
      </c>
      <c r="D2697" s="7">
        <f t="shared" si="127"/>
        <v>1.0109282026673463</v>
      </c>
      <c r="E2697" s="8">
        <f t="shared" si="128"/>
        <v>-1.617257686017783</v>
      </c>
    </row>
    <row r="2698" spans="1:5" x14ac:dyDescent="0.2">
      <c r="A2698" s="1">
        <v>45553</v>
      </c>
      <c r="B2698">
        <v>74844.95</v>
      </c>
      <c r="C2698" s="6">
        <f t="shared" si="126"/>
        <v>-4.407936877957477E-3</v>
      </c>
      <c r="D2698" s="7">
        <f t="shared" si="127"/>
        <v>-0.40022763278551854</v>
      </c>
      <c r="E2698" s="8">
        <f t="shared" si="128"/>
        <v>-0.85415520011865254</v>
      </c>
    </row>
    <row r="2699" spans="1:5" x14ac:dyDescent="0.2">
      <c r="A2699" s="1">
        <v>45554</v>
      </c>
      <c r="B2699">
        <v>75810.2</v>
      </c>
      <c r="C2699" s="6">
        <f t="shared" si="126"/>
        <v>1.2814207919437794E-2</v>
      </c>
      <c r="D2699" s="7">
        <f t="shared" si="127"/>
        <v>1.0858626899107426</v>
      </c>
      <c r="E2699" s="8">
        <f t="shared" si="128"/>
        <v>-1.7363966709206458</v>
      </c>
    </row>
    <row r="2700" spans="1:5" x14ac:dyDescent="0.2">
      <c r="A2700" s="1">
        <v>45555</v>
      </c>
      <c r="B2700">
        <v>75830.210000000006</v>
      </c>
      <c r="C2700" s="6">
        <f t="shared" si="126"/>
        <v>2.6391382239279563E-4</v>
      </c>
      <c r="D2700" s="7">
        <f t="shared" si="127"/>
        <v>2.9040442819242536E-3</v>
      </c>
      <c r="E2700" s="8">
        <f t="shared" si="128"/>
        <v>-0.68606089050899832</v>
      </c>
    </row>
    <row r="2701" spans="1:5" x14ac:dyDescent="0.2">
      <c r="A2701" s="1">
        <v>45558</v>
      </c>
      <c r="B2701">
        <v>76753.460000000006</v>
      </c>
      <c r="C2701" s="6">
        <f t="shared" si="126"/>
        <v>1.2101704822885475E-2</v>
      </c>
      <c r="D2701" s="7">
        <f t="shared" si="127"/>
        <v>1.0243811515115495</v>
      </c>
      <c r="E2701" s="8">
        <f t="shared" si="128"/>
        <v>-1.6383890188665191</v>
      </c>
    </row>
    <row r="2702" spans="1:5" x14ac:dyDescent="0.2">
      <c r="A2702" s="1">
        <v>45560</v>
      </c>
      <c r="B2702">
        <v>77893.77</v>
      </c>
      <c r="C2702" s="6">
        <f t="shared" si="126"/>
        <v>1.4747508468132494E-2</v>
      </c>
      <c r="D2702" s="7">
        <f t="shared" si="127"/>
        <v>1.2526862342530882</v>
      </c>
      <c r="E2702" s="8">
        <f t="shared" si="128"/>
        <v>-2.0119164916657022</v>
      </c>
    </row>
    <row r="2703" spans="1:5" x14ac:dyDescent="0.2">
      <c r="A2703" s="1">
        <v>45561</v>
      </c>
      <c r="B2703">
        <v>79226.17</v>
      </c>
      <c r="C2703" s="6">
        <f t="shared" si="126"/>
        <v>1.6960698181046698E-2</v>
      </c>
      <c r="D2703" s="7">
        <f t="shared" si="127"/>
        <v>1.4436612755934766</v>
      </c>
      <c r="E2703" s="8">
        <f t="shared" si="128"/>
        <v>-2.3383308773596667</v>
      </c>
    </row>
    <row r="2704" spans="1:5" x14ac:dyDescent="0.2">
      <c r="A2704" s="1">
        <v>45562</v>
      </c>
      <c r="B2704">
        <v>79510.600000000006</v>
      </c>
      <c r="C2704" s="6">
        <f t="shared" si="126"/>
        <v>3.5836725719472903E-3</v>
      </c>
      <c r="D2704" s="7">
        <f t="shared" si="127"/>
        <v>0.28936437831333517</v>
      </c>
      <c r="E2704" s="8">
        <f t="shared" si="128"/>
        <v>-0.77518662598755961</v>
      </c>
    </row>
    <row r="2705" spans="1:5" x14ac:dyDescent="0.2">
      <c r="A2705" s="1">
        <v>45565</v>
      </c>
      <c r="B2705">
        <v>78506.28</v>
      </c>
      <c r="C2705" s="6">
        <f t="shared" si="126"/>
        <v>-1.2711724516987365E-2</v>
      </c>
      <c r="D2705" s="7">
        <f t="shared" si="127"/>
        <v>-1.1167573448080024</v>
      </c>
      <c r="E2705" s="8">
        <f t="shared" si="128"/>
        <v>-1.7864571336476875</v>
      </c>
    </row>
    <row r="2706" spans="1:5" x14ac:dyDescent="0.2">
      <c r="A2706" s="1">
        <v>45566</v>
      </c>
      <c r="B2706">
        <v>78580.399999999994</v>
      </c>
      <c r="C2706" s="6">
        <f t="shared" si="126"/>
        <v>9.4368288260401867E-4</v>
      </c>
      <c r="D2706" s="7">
        <f t="shared" si="127"/>
        <v>6.1560978939738539E-2</v>
      </c>
      <c r="E2706" s="8">
        <f t="shared" si="128"/>
        <v>-0.69014821369604684</v>
      </c>
    </row>
    <row r="2707" spans="1:5" x14ac:dyDescent="0.2">
      <c r="A2707" s="1">
        <v>45567</v>
      </c>
      <c r="B2707">
        <v>79130.179999999993</v>
      </c>
      <c r="C2707" s="6">
        <f t="shared" si="126"/>
        <v>6.9720398851505902E-3</v>
      </c>
      <c r="D2707" s="7">
        <f t="shared" si="127"/>
        <v>0.58174491123356287</v>
      </c>
      <c r="E2707" s="8">
        <f t="shared" si="128"/>
        <v>-1.0300264612411185</v>
      </c>
    </row>
    <row r="2708" spans="1:5" x14ac:dyDescent="0.2">
      <c r="A2708" s="1">
        <v>45568</v>
      </c>
      <c r="B2708">
        <v>78478.86</v>
      </c>
      <c r="C2708" s="6">
        <f t="shared" si="126"/>
        <v>-8.2650551985674267E-3</v>
      </c>
      <c r="D2708" s="7">
        <f t="shared" si="127"/>
        <v>-0.73305645737070202</v>
      </c>
      <c r="E2708" s="8">
        <f t="shared" si="128"/>
        <v>-1.2140547240312169</v>
      </c>
    </row>
    <row r="2709" spans="1:5" x14ac:dyDescent="0.2">
      <c r="A2709" s="1">
        <v>45569</v>
      </c>
      <c r="B2709">
        <v>78282.37</v>
      </c>
      <c r="C2709" s="6">
        <f t="shared" si="126"/>
        <v>-2.5068711556021283E-3</v>
      </c>
      <c r="D2709" s="7">
        <f t="shared" si="127"/>
        <v>-0.23618561560139026</v>
      </c>
      <c r="E2709" s="8">
        <f t="shared" si="128"/>
        <v>-0.74575064097050359</v>
      </c>
    </row>
    <row r="2710" spans="1:5" x14ac:dyDescent="0.2">
      <c r="A2710" s="1">
        <v>45572</v>
      </c>
      <c r="B2710">
        <v>78303.350000000006</v>
      </c>
      <c r="C2710" s="6">
        <f t="shared" si="126"/>
        <v>2.6796824289667884E-4</v>
      </c>
      <c r="D2710" s="7">
        <f t="shared" si="127"/>
        <v>3.2538982139312242E-3</v>
      </c>
      <c r="E2710" s="8">
        <f t="shared" si="128"/>
        <v>-0.68606322093822758</v>
      </c>
    </row>
    <row r="2711" spans="1:5" x14ac:dyDescent="0.2">
      <c r="A2711" s="1">
        <v>45573</v>
      </c>
      <c r="B2711">
        <v>77473</v>
      </c>
      <c r="C2711" s="6">
        <f t="shared" si="126"/>
        <v>-1.0660897683371263E-2</v>
      </c>
      <c r="D2711" s="7">
        <f t="shared" si="127"/>
        <v>-0.93979251569893285</v>
      </c>
      <c r="E2711" s="8">
        <f t="shared" si="128"/>
        <v>-1.5076315149775572</v>
      </c>
    </row>
    <row r="2712" spans="1:5" x14ac:dyDescent="0.2">
      <c r="A2712" s="1">
        <v>45574</v>
      </c>
      <c r="B2712">
        <v>77334.100000000006</v>
      </c>
      <c r="C2712" s="6">
        <f t="shared" si="126"/>
        <v>-1.7944918194813901E-3</v>
      </c>
      <c r="D2712" s="7">
        <f t="shared" si="127"/>
        <v>-0.17471475642838347</v>
      </c>
      <c r="E2712" s="8">
        <f t="shared" si="128"/>
        <v>-0.71887764075593041</v>
      </c>
    </row>
    <row r="2713" spans="1:5" x14ac:dyDescent="0.2">
      <c r="A2713" s="1">
        <v>45575</v>
      </c>
      <c r="B2713">
        <v>77368.3</v>
      </c>
      <c r="C2713" s="6">
        <f t="shared" si="126"/>
        <v>4.4213923710478733E-4</v>
      </c>
      <c r="D2713" s="7">
        <f t="shared" si="127"/>
        <v>1.8283026817367622E-2</v>
      </c>
      <c r="E2713" s="8">
        <f t="shared" si="128"/>
        <v>-0.68641333019168671</v>
      </c>
    </row>
    <row r="2714" spans="1:5" x14ac:dyDescent="0.2">
      <c r="A2714" s="1">
        <v>45576</v>
      </c>
      <c r="B2714">
        <v>78006.740000000005</v>
      </c>
      <c r="C2714" s="6">
        <f t="shared" si="126"/>
        <v>8.2180972335837432E-3</v>
      </c>
      <c r="D2714" s="7">
        <f t="shared" si="127"/>
        <v>0.68926658108452921</v>
      </c>
      <c r="E2714" s="8">
        <f t="shared" si="128"/>
        <v>-1.1577359239242901</v>
      </c>
    </row>
    <row r="2715" spans="1:5" x14ac:dyDescent="0.2">
      <c r="A2715" s="1">
        <v>45579</v>
      </c>
      <c r="B2715">
        <v>78230.44</v>
      </c>
      <c r="C2715" s="6">
        <f t="shared" si="126"/>
        <v>2.8635969090728343E-3</v>
      </c>
      <c r="D2715" s="7">
        <f t="shared" si="127"/>
        <v>0.22722940692645721</v>
      </c>
      <c r="E2715" s="8">
        <f t="shared" si="128"/>
        <v>-0.74135262713185601</v>
      </c>
    </row>
    <row r="2716" spans="1:5" x14ac:dyDescent="0.2">
      <c r="A2716" s="1">
        <v>45580</v>
      </c>
      <c r="B2716">
        <v>77823.009999999995</v>
      </c>
      <c r="C2716" s="6">
        <f t="shared" si="126"/>
        <v>-5.2216843107026978E-3</v>
      </c>
      <c r="D2716" s="7">
        <f t="shared" si="127"/>
        <v>-0.47044549468065822</v>
      </c>
      <c r="E2716" s="8">
        <f t="shared" si="128"/>
        <v>-0.91573539510580693</v>
      </c>
    </row>
    <row r="2717" spans="1:5" x14ac:dyDescent="0.2">
      <c r="A2717" s="1">
        <v>45581</v>
      </c>
      <c r="B2717">
        <v>78303.67</v>
      </c>
      <c r="C2717" s="6">
        <f t="shared" si="126"/>
        <v>6.1573270960647141E-3</v>
      </c>
      <c r="D2717" s="7">
        <f t="shared" si="127"/>
        <v>0.51144374921914781</v>
      </c>
      <c r="E2717" s="8">
        <f t="shared" si="128"/>
        <v>-0.9555532093375193</v>
      </c>
    </row>
    <row r="2718" spans="1:5" x14ac:dyDescent="0.2">
      <c r="A2718" s="1">
        <v>45582</v>
      </c>
      <c r="B2718">
        <v>78567.58</v>
      </c>
      <c r="C2718" s="6">
        <f t="shared" si="126"/>
        <v>3.3646732460870534E-3</v>
      </c>
      <c r="D2718" s="7">
        <f t="shared" si="127"/>
        <v>0.27046703523170429</v>
      </c>
      <c r="E2718" s="8">
        <f t="shared" si="128"/>
        <v>-0.76408059066223943</v>
      </c>
    </row>
    <row r="2719" spans="1:5" x14ac:dyDescent="0.2">
      <c r="A2719" s="1">
        <v>45583</v>
      </c>
      <c r="B2719">
        <v>79154.63</v>
      </c>
      <c r="C2719" s="6">
        <f t="shared" si="126"/>
        <v>7.4441349883773633E-3</v>
      </c>
      <c r="D2719" s="7">
        <f t="shared" si="127"/>
        <v>0.62248176326628468</v>
      </c>
      <c r="E2719" s="8">
        <f t="shared" si="128"/>
        <v>-1.0765450970565753</v>
      </c>
    </row>
    <row r="2720" spans="1:5" x14ac:dyDescent="0.2">
      <c r="A2720" s="1">
        <v>45586</v>
      </c>
      <c r="B2720">
        <v>79046.53</v>
      </c>
      <c r="C2720" s="6">
        <f t="shared" si="126"/>
        <v>-1.3666147179235302E-3</v>
      </c>
      <c r="D2720" s="7">
        <f t="shared" si="127"/>
        <v>-0.13779345380267152</v>
      </c>
      <c r="E2720" s="8">
        <f t="shared" si="128"/>
        <v>-0.70651518883827236</v>
      </c>
    </row>
    <row r="2721" spans="1:5" x14ac:dyDescent="0.2">
      <c r="A2721" s="1">
        <v>45587</v>
      </c>
      <c r="B2721">
        <v>78755.460000000006</v>
      </c>
      <c r="C2721" s="6">
        <f t="shared" si="126"/>
        <v>-3.6890577881955704E-3</v>
      </c>
      <c r="D2721" s="7">
        <f t="shared" si="127"/>
        <v>-0.33819591309834912</v>
      </c>
      <c r="E2721" s="8">
        <f t="shared" si="128"/>
        <v>-0.8071097171971473</v>
      </c>
    </row>
    <row r="2722" spans="1:5" x14ac:dyDescent="0.2">
      <c r="A2722" s="1">
        <v>45588</v>
      </c>
      <c r="B2722">
        <v>78525.990000000005</v>
      </c>
      <c r="C2722" s="6">
        <f t="shared" si="126"/>
        <v>-2.91795584053757E-3</v>
      </c>
      <c r="D2722" s="7">
        <f t="shared" si="127"/>
        <v>-0.27165790893523778</v>
      </c>
      <c r="E2722" s="8">
        <f t="shared" si="128"/>
        <v>-0.76475960379033125</v>
      </c>
    </row>
    <row r="2723" spans="1:5" x14ac:dyDescent="0.2">
      <c r="A2723" s="1">
        <v>45589</v>
      </c>
      <c r="B2723">
        <v>78880.66</v>
      </c>
      <c r="C2723" s="6">
        <f t="shared" si="126"/>
        <v>4.5064246042413429E-3</v>
      </c>
      <c r="D2723" s="7">
        <f t="shared" si="127"/>
        <v>0.36898819297594904</v>
      </c>
      <c r="E2723" s="8">
        <f t="shared" si="128"/>
        <v>-0.8295738964316588</v>
      </c>
    </row>
    <row r="2724" spans="1:5" x14ac:dyDescent="0.2">
      <c r="A2724" s="1">
        <v>45590</v>
      </c>
      <c r="B2724">
        <v>78929.38</v>
      </c>
      <c r="C2724" s="6">
        <f t="shared" si="126"/>
        <v>6.1745122867796402E-4</v>
      </c>
      <c r="D2724" s="7">
        <f t="shared" si="127"/>
        <v>3.3410611516859264E-2</v>
      </c>
      <c r="E2724" s="8">
        <f t="shared" si="128"/>
        <v>-0.68725899779251509</v>
      </c>
    </row>
    <row r="2725" spans="1:5" x14ac:dyDescent="0.2">
      <c r="A2725" s="1">
        <v>45593</v>
      </c>
      <c r="B2725">
        <v>79400.61</v>
      </c>
      <c r="C2725" s="6">
        <f t="shared" si="126"/>
        <v>5.9525222152130965E-3</v>
      </c>
      <c r="D2725" s="7">
        <f t="shared" si="127"/>
        <v>0.49377123774888182</v>
      </c>
      <c r="E2725" s="8">
        <f t="shared" si="128"/>
        <v>-0.93805182512475505</v>
      </c>
    </row>
    <row r="2726" spans="1:5" x14ac:dyDescent="0.2">
      <c r="A2726" s="1">
        <v>45594</v>
      </c>
      <c r="B2726">
        <v>79132.88</v>
      </c>
      <c r="C2726" s="6">
        <f t="shared" si="126"/>
        <v>-3.3775860800628094E-3</v>
      </c>
      <c r="D2726" s="7">
        <f t="shared" si="127"/>
        <v>-0.31131917406873788</v>
      </c>
      <c r="E2726" s="8">
        <f t="shared" si="128"/>
        <v>-0.78896945632482862</v>
      </c>
    </row>
    <row r="2727" spans="1:5" x14ac:dyDescent="0.2">
      <c r="A2727" s="1">
        <v>45595</v>
      </c>
      <c r="B2727">
        <v>78646.69</v>
      </c>
      <c r="C2727" s="6">
        <f t="shared" si="126"/>
        <v>-6.1629213320225891E-3</v>
      </c>
      <c r="D2727" s="7">
        <f t="shared" si="127"/>
        <v>-0.55166436986735956</v>
      </c>
      <c r="E2727" s="8">
        <f t="shared" si="128"/>
        <v>-0.99723349751045109</v>
      </c>
    </row>
    <row r="2728" spans="1:5" x14ac:dyDescent="0.2">
      <c r="A2728" s="1">
        <v>45596</v>
      </c>
      <c r="B2728">
        <v>77327.58</v>
      </c>
      <c r="C2728" s="6">
        <f t="shared" si="126"/>
        <v>-1.6914859752225366E-2</v>
      </c>
      <c r="D2728" s="7">
        <f t="shared" si="127"/>
        <v>-1.4794437971374224</v>
      </c>
      <c r="E2728" s="8">
        <f t="shared" si="128"/>
        <v>-2.4002097182801139</v>
      </c>
    </row>
    <row r="2729" spans="1:5" x14ac:dyDescent="0.2">
      <c r="A2729" s="1">
        <v>45597</v>
      </c>
      <c r="B2729">
        <v>78091.69</v>
      </c>
      <c r="C2729" s="6">
        <f t="shared" si="126"/>
        <v>9.8329654569697372E-3</v>
      </c>
      <c r="D2729" s="7">
        <f t="shared" si="127"/>
        <v>0.82861275819753255</v>
      </c>
      <c r="E2729" s="8">
        <f t="shared" si="128"/>
        <v>-1.3445380192303531</v>
      </c>
    </row>
    <row r="2730" spans="1:5" x14ac:dyDescent="0.2">
      <c r="A2730" s="1">
        <v>45600</v>
      </c>
      <c r="B2730">
        <v>78052.33</v>
      </c>
      <c r="C2730" s="6">
        <f t="shared" si="126"/>
        <v>-5.041499614735791E-4</v>
      </c>
      <c r="D2730" s="7">
        <f t="shared" si="127"/>
        <v>-6.3371798236245891E-2</v>
      </c>
      <c r="E2730" s="8">
        <f t="shared" si="128"/>
        <v>-0.69039256226230516</v>
      </c>
    </row>
    <row r="2731" spans="1:5" x14ac:dyDescent="0.2">
      <c r="A2731" s="1">
        <v>45601</v>
      </c>
      <c r="B2731">
        <v>78497.600000000006</v>
      </c>
      <c r="C2731" s="6">
        <f t="shared" si="126"/>
        <v>5.6885518981723395E-3</v>
      </c>
      <c r="D2731" s="7">
        <f t="shared" si="127"/>
        <v>0.47099337016919085</v>
      </c>
      <c r="E2731" s="8">
        <f t="shared" si="128"/>
        <v>-0.91624918679137723</v>
      </c>
    </row>
    <row r="2732" spans="1:5" x14ac:dyDescent="0.2">
      <c r="A2732" s="1">
        <v>45602</v>
      </c>
      <c r="B2732">
        <v>77232.33</v>
      </c>
      <c r="C2732" s="6">
        <f t="shared" si="126"/>
        <v>-1.624989932330187E-2</v>
      </c>
      <c r="D2732" s="7">
        <f t="shared" si="127"/>
        <v>-1.4220646919200153</v>
      </c>
      <c r="E2732" s="8">
        <f t="shared" si="128"/>
        <v>-2.3010598747835478</v>
      </c>
    </row>
    <row r="2733" spans="1:5" x14ac:dyDescent="0.2">
      <c r="A2733" s="1">
        <v>45603</v>
      </c>
      <c r="B2733">
        <v>77880.84</v>
      </c>
      <c r="C2733" s="6">
        <f t="shared" si="126"/>
        <v>8.3618145208953359E-3</v>
      </c>
      <c r="D2733" s="7">
        <f t="shared" si="127"/>
        <v>0.7016678744420336</v>
      </c>
      <c r="E2733" s="8">
        <f t="shared" si="128"/>
        <v>-1.1734476236495988</v>
      </c>
    </row>
    <row r="2734" spans="1:5" x14ac:dyDescent="0.2">
      <c r="A2734" s="1">
        <v>45604</v>
      </c>
      <c r="B2734">
        <v>76969.899999999994</v>
      </c>
      <c r="C2734" s="6">
        <f t="shared" si="126"/>
        <v>-1.1765529932278846E-2</v>
      </c>
      <c r="D2734" s="7">
        <f t="shared" si="127"/>
        <v>-1.0351106839382362</v>
      </c>
      <c r="E2734" s="8">
        <f t="shared" si="128"/>
        <v>-1.6553267996416574</v>
      </c>
    </row>
    <row r="2735" spans="1:5" x14ac:dyDescent="0.2">
      <c r="A2735" s="1">
        <v>45607</v>
      </c>
      <c r="B2735">
        <v>76638.89</v>
      </c>
      <c r="C2735" s="6">
        <f t="shared" si="126"/>
        <v>-4.3097860787160523E-3</v>
      </c>
      <c r="D2735" s="7">
        <f t="shared" si="127"/>
        <v>-0.39175824905698053</v>
      </c>
      <c r="E2735" s="8">
        <f t="shared" si="128"/>
        <v>-0.84731540927056548</v>
      </c>
    </row>
    <row r="2736" spans="1:5" x14ac:dyDescent="0.2">
      <c r="A2736" s="1">
        <v>45608</v>
      </c>
      <c r="B2736">
        <v>76130.880000000005</v>
      </c>
      <c r="C2736" s="6">
        <f t="shared" si="126"/>
        <v>-6.6506858327727335E-3</v>
      </c>
      <c r="D2736" s="7">
        <f t="shared" si="127"/>
        <v>-0.59375332643153811</v>
      </c>
      <c r="E2736" s="8">
        <f t="shared" si="128"/>
        <v>-1.0434917841971572</v>
      </c>
    </row>
    <row r="2737" spans="1:5" x14ac:dyDescent="0.2">
      <c r="A2737" s="1">
        <v>45609</v>
      </c>
      <c r="B2737">
        <v>75762.67</v>
      </c>
      <c r="C2737" s="6">
        <f t="shared" si="126"/>
        <v>-4.8482732973743545E-3</v>
      </c>
      <c r="D2737" s="7">
        <f t="shared" si="127"/>
        <v>-0.43822404376245527</v>
      </c>
      <c r="E2737" s="8">
        <f t="shared" si="128"/>
        <v>-0.88641398639097613</v>
      </c>
    </row>
    <row r="2738" spans="1:5" x14ac:dyDescent="0.2">
      <c r="A2738" s="1">
        <v>45610</v>
      </c>
      <c r="B2738">
        <v>75786.33</v>
      </c>
      <c r="C2738" s="6">
        <f t="shared" si="126"/>
        <v>3.1224224761926056E-4</v>
      </c>
      <c r="D2738" s="7">
        <f t="shared" si="127"/>
        <v>7.0742800966331005E-3</v>
      </c>
      <c r="E2738" s="8">
        <f t="shared" si="128"/>
        <v>-0.68610590252238313</v>
      </c>
    </row>
    <row r="2739" spans="1:5" x14ac:dyDescent="0.2">
      <c r="A2739" s="1">
        <v>45611</v>
      </c>
      <c r="B2739">
        <v>75773.36</v>
      </c>
      <c r="C2739" s="6">
        <f t="shared" si="126"/>
        <v>-1.7115368910642538E-4</v>
      </c>
      <c r="D2739" s="7">
        <f t="shared" si="127"/>
        <v>-3.4637715247139912E-2</v>
      </c>
      <c r="E2739" s="8">
        <f t="shared" si="128"/>
        <v>-0.68734928347040214</v>
      </c>
    </row>
    <row r="2740" spans="1:5" x14ac:dyDescent="0.2">
      <c r="A2740" s="1">
        <v>45614</v>
      </c>
      <c r="B2740">
        <v>76224.61</v>
      </c>
      <c r="C2740" s="6">
        <f t="shared" si="126"/>
        <v>5.9375967420641964E-3</v>
      </c>
      <c r="D2740" s="7">
        <f t="shared" si="127"/>
        <v>0.49248332608229323</v>
      </c>
      <c r="E2740" s="8">
        <f t="shared" si="128"/>
        <v>-0.93679622535360874</v>
      </c>
    </row>
    <row r="2741" spans="1:5" x14ac:dyDescent="0.2">
      <c r="A2741" s="1">
        <v>45615</v>
      </c>
      <c r="B2741">
        <v>76300.89</v>
      </c>
      <c r="C2741" s="6">
        <f t="shared" si="126"/>
        <v>1.0002262750759521E-3</v>
      </c>
      <c r="D2741" s="7">
        <f t="shared" si="127"/>
        <v>6.6440080198814339E-2</v>
      </c>
      <c r="E2741" s="8">
        <f t="shared" si="128"/>
        <v>-0.69082270785595912</v>
      </c>
    </row>
    <row r="2742" spans="1:5" x14ac:dyDescent="0.2">
      <c r="A2742" s="1">
        <v>45616</v>
      </c>
      <c r="B2742">
        <v>76940.98</v>
      </c>
      <c r="C2742" s="6">
        <f t="shared" si="126"/>
        <v>8.3540317361596485E-3</v>
      </c>
      <c r="D2742" s="7">
        <f t="shared" si="127"/>
        <v>0.70099630181183004</v>
      </c>
      <c r="E2742" s="8">
        <f t="shared" si="128"/>
        <v>-1.1725918867815426</v>
      </c>
    </row>
    <row r="2743" spans="1:5" x14ac:dyDescent="0.2">
      <c r="A2743" s="1">
        <v>45617</v>
      </c>
      <c r="B2743">
        <v>77113.16</v>
      </c>
      <c r="C2743" s="6">
        <f t="shared" si="126"/>
        <v>2.2353189819322209E-3</v>
      </c>
      <c r="D2743" s="7">
        <f t="shared" si="127"/>
        <v>0.17301561657274098</v>
      </c>
      <c r="E2743" s="8">
        <f t="shared" si="128"/>
        <v>-0.71824592016743438</v>
      </c>
    </row>
    <row r="2744" spans="1:5" x14ac:dyDescent="0.2">
      <c r="A2744" s="1">
        <v>45618</v>
      </c>
      <c r="B2744">
        <v>77151.13</v>
      </c>
      <c r="C2744" s="6">
        <f t="shared" si="126"/>
        <v>4.9227207109015197E-4</v>
      </c>
      <c r="D2744" s="7">
        <f t="shared" si="127"/>
        <v>2.2608964167880229E-2</v>
      </c>
      <c r="E2744" s="8">
        <f t="shared" si="128"/>
        <v>-0.68660465109550239</v>
      </c>
    </row>
    <row r="2745" spans="1:5" x14ac:dyDescent="0.2">
      <c r="A2745" s="1">
        <v>45621</v>
      </c>
      <c r="B2745">
        <v>76530.52</v>
      </c>
      <c r="C2745" s="6">
        <f t="shared" si="126"/>
        <v>-8.0766099741001879E-3</v>
      </c>
      <c r="D2745" s="7">
        <f t="shared" si="127"/>
        <v>-0.71679561252625246</v>
      </c>
      <c r="E2745" s="8">
        <f t="shared" si="128"/>
        <v>-1.1928701694178174</v>
      </c>
    </row>
    <row r="2746" spans="1:5" x14ac:dyDescent="0.2">
      <c r="A2746" s="1">
        <v>45622</v>
      </c>
      <c r="B2746">
        <v>77006.98</v>
      </c>
      <c r="C2746" s="6">
        <f t="shared" si="126"/>
        <v>6.2064515761588992E-3</v>
      </c>
      <c r="D2746" s="7">
        <f t="shared" si="127"/>
        <v>0.51568267621310127</v>
      </c>
      <c r="E2746" s="8">
        <f t="shared" si="128"/>
        <v>-0.95982589118463402</v>
      </c>
    </row>
    <row r="2747" spans="1:5" x14ac:dyDescent="0.2">
      <c r="A2747" s="1">
        <v>45623</v>
      </c>
      <c r="B2747">
        <v>76710.039999999994</v>
      </c>
      <c r="C2747" s="6">
        <f t="shared" si="126"/>
        <v>-3.8634676804591228E-3</v>
      </c>
      <c r="D2747" s="7">
        <f t="shared" si="127"/>
        <v>-0.35324565609636199</v>
      </c>
      <c r="E2747" s="8">
        <f t="shared" si="128"/>
        <v>-0.81786725948995065</v>
      </c>
    </row>
    <row r="2748" spans="1:5" x14ac:dyDescent="0.2">
      <c r="A2748" s="1">
        <v>45624</v>
      </c>
      <c r="B2748">
        <v>76338.98</v>
      </c>
      <c r="C2748" s="6">
        <f t="shared" si="126"/>
        <v>-4.8489134661399225E-3</v>
      </c>
      <c r="D2748" s="7">
        <f t="shared" si="127"/>
        <v>-0.43827928360735235</v>
      </c>
      <c r="E2748" s="8">
        <f t="shared" si="128"/>
        <v>-0.88646273033719236</v>
      </c>
    </row>
    <row r="2749" spans="1:5" x14ac:dyDescent="0.2">
      <c r="A2749" s="1">
        <v>45625</v>
      </c>
      <c r="B2749">
        <v>76052.41</v>
      </c>
      <c r="C2749" s="6">
        <f t="shared" si="126"/>
        <v>-3.7609780682917866E-3</v>
      </c>
      <c r="D2749" s="7">
        <f t="shared" si="127"/>
        <v>-0.34440187835493885</v>
      </c>
      <c r="E2749" s="8">
        <f t="shared" si="128"/>
        <v>-0.81149400543374861</v>
      </c>
    </row>
    <row r="2750" spans="1:5" x14ac:dyDescent="0.2">
      <c r="A2750" s="1">
        <v>45628</v>
      </c>
      <c r="B2750">
        <v>77278.080000000002</v>
      </c>
      <c r="C2750" s="6">
        <f t="shared" si="126"/>
        <v>1.5987636994092409E-2</v>
      </c>
      <c r="D2750" s="7">
        <f t="shared" si="127"/>
        <v>1.3596963089568697</v>
      </c>
      <c r="E2750" s="8">
        <f t="shared" si="128"/>
        <v>-2.1938436321363501</v>
      </c>
    </row>
    <row r="2751" spans="1:5" x14ac:dyDescent="0.2">
      <c r="A2751" s="1">
        <v>45629</v>
      </c>
      <c r="B2751">
        <v>77281.22</v>
      </c>
      <c r="C2751" s="6">
        <f t="shared" si="126"/>
        <v>4.0631654005105325E-5</v>
      </c>
      <c r="D2751" s="7">
        <f t="shared" si="127"/>
        <v>-1.6362863154701684E-2</v>
      </c>
      <c r="E2751" s="8">
        <f t="shared" si="128"/>
        <v>-0.68634137628034375</v>
      </c>
    </row>
    <row r="2752" spans="1:5" x14ac:dyDescent="0.2">
      <c r="A2752" s="1">
        <v>45630</v>
      </c>
      <c r="B2752">
        <v>77711.66</v>
      </c>
      <c r="C2752" s="6">
        <f t="shared" si="126"/>
        <v>5.5543339360022339E-3</v>
      </c>
      <c r="D2752" s="7">
        <f t="shared" si="127"/>
        <v>0.45941176886113699</v>
      </c>
      <c r="E2752" s="8">
        <f t="shared" si="128"/>
        <v>-0.9054956657161477</v>
      </c>
    </row>
    <row r="2753" spans="1:5" x14ac:dyDescent="0.2">
      <c r="A2753" s="1">
        <v>45631</v>
      </c>
      <c r="B2753">
        <v>78286.259999999995</v>
      </c>
      <c r="C2753" s="6">
        <f t="shared" si="126"/>
        <v>7.3667982061880006E-3</v>
      </c>
      <c r="D2753" s="7">
        <f t="shared" si="127"/>
        <v>0.61580841073370907</v>
      </c>
      <c r="E2753" s="8">
        <f t="shared" si="128"/>
        <v>-1.0687631733389977</v>
      </c>
    </row>
    <row r="2754" spans="1:5" x14ac:dyDescent="0.2">
      <c r="A2754" s="1">
        <v>45632</v>
      </c>
      <c r="B2754">
        <v>78365.23</v>
      </c>
      <c r="C2754" s="6">
        <f t="shared" si="126"/>
        <v>1.0082254141282995E-3</v>
      </c>
      <c r="D2754" s="7">
        <f t="shared" si="127"/>
        <v>6.7130321935569046E-2</v>
      </c>
      <c r="E2754" s="8">
        <f t="shared" si="128"/>
        <v>-0.69092226581600957</v>
      </c>
    </row>
    <row r="2755" spans="1:5" x14ac:dyDescent="0.2">
      <c r="A2755" s="1">
        <v>45635</v>
      </c>
      <c r="B2755">
        <v>79049.13</v>
      </c>
      <c r="C2755" s="6">
        <f t="shared" ref="C2755:C2768" si="129">LN(B2755/B2754)</f>
        <v>8.6892238168640463E-3</v>
      </c>
      <c r="D2755" s="7">
        <f t="shared" ref="D2755:D2818" si="130">(C2755-$G$4)/$G$5</f>
        <v>0.72991986001200082</v>
      </c>
      <c r="E2755" s="8">
        <f t="shared" ref="E2755:E2818" si="131">LN((PI()*(G$3-2))^(-1/2)*EXP(GAMMALN((G$3+1)/2))*((1+D2755^2/(G$3-2))^(-(G$3+1)/2))/EXP(GAMMALN(G$3/2)))</f>
        <v>-1.2099439802937395</v>
      </c>
    </row>
    <row r="2756" spans="1:5" x14ac:dyDescent="0.2">
      <c r="A2756" s="1">
        <v>45636</v>
      </c>
      <c r="B2756">
        <v>78703.600000000006</v>
      </c>
      <c r="C2756" s="6">
        <f t="shared" si="129"/>
        <v>-4.38066019605712E-3</v>
      </c>
      <c r="D2756" s="7">
        <f t="shared" si="130"/>
        <v>-0.39787394144891358</v>
      </c>
      <c r="E2756" s="8">
        <f t="shared" si="131"/>
        <v>-0.85224139436025026</v>
      </c>
    </row>
    <row r="2757" spans="1:5" x14ac:dyDescent="0.2">
      <c r="A2757" s="1">
        <v>45637</v>
      </c>
      <c r="B2757">
        <v>78478.820000000007</v>
      </c>
      <c r="C2757" s="6">
        <f t="shared" si="129"/>
        <v>-2.8601182400701717E-3</v>
      </c>
      <c r="D2757" s="7">
        <f t="shared" si="130"/>
        <v>-0.26666713111088847</v>
      </c>
      <c r="E2757" s="8">
        <f t="shared" si="131"/>
        <v>-0.76193281681613712</v>
      </c>
    </row>
    <row r="2758" spans="1:5" x14ac:dyDescent="0.2">
      <c r="A2758" s="1">
        <v>45638</v>
      </c>
      <c r="B2758">
        <v>78341.48</v>
      </c>
      <c r="C2758" s="6">
        <f t="shared" si="129"/>
        <v>-1.7515593977669287E-3</v>
      </c>
      <c r="D2758" s="7">
        <f t="shared" si="130"/>
        <v>-0.1710101390772725</v>
      </c>
      <c r="E2758" s="8">
        <f t="shared" si="131"/>
        <v>-0.71750806920179588</v>
      </c>
    </row>
    <row r="2759" spans="1:5" x14ac:dyDescent="0.2">
      <c r="A2759" s="1">
        <v>45639</v>
      </c>
      <c r="B2759">
        <v>78481.179999999993</v>
      </c>
      <c r="C2759" s="6">
        <f t="shared" si="129"/>
        <v>1.7816307535283582E-3</v>
      </c>
      <c r="D2759" s="7">
        <f t="shared" si="130"/>
        <v>0.1338670846283247</v>
      </c>
      <c r="E2759" s="8">
        <f t="shared" si="131"/>
        <v>-0.7053695814088381</v>
      </c>
    </row>
    <row r="2760" spans="1:5" x14ac:dyDescent="0.2">
      <c r="A2760" s="1">
        <v>45643</v>
      </c>
      <c r="B2760">
        <v>77192.960000000006</v>
      </c>
      <c r="C2760" s="6">
        <f t="shared" si="129"/>
        <v>-1.6550589659283382E-2</v>
      </c>
      <c r="D2760" s="7">
        <f t="shared" si="130"/>
        <v>-1.4480111117003203</v>
      </c>
      <c r="E2760" s="8">
        <f t="shared" si="131"/>
        <v>-2.3458452006038768</v>
      </c>
    </row>
    <row r="2761" spans="1:5" x14ac:dyDescent="0.2">
      <c r="A2761" s="1">
        <v>45644</v>
      </c>
      <c r="B2761">
        <v>77018.679999999993</v>
      </c>
      <c r="C2761" s="6">
        <f t="shared" si="129"/>
        <v>-2.2602713283795496E-3</v>
      </c>
      <c r="D2761" s="7">
        <f t="shared" si="130"/>
        <v>-0.21490663896257636</v>
      </c>
      <c r="E2761" s="8">
        <f t="shared" si="131"/>
        <v>-0.7355687493459323</v>
      </c>
    </row>
    <row r="2762" spans="1:5" x14ac:dyDescent="0.2">
      <c r="A2762" s="1">
        <v>45645</v>
      </c>
      <c r="B2762">
        <v>75920.25</v>
      </c>
      <c r="C2762" s="6">
        <f t="shared" si="129"/>
        <v>-1.4364542598102218E-2</v>
      </c>
      <c r="D2762" s="7">
        <f t="shared" si="130"/>
        <v>-1.2593781962999533</v>
      </c>
      <c r="E2762" s="8">
        <f t="shared" si="131"/>
        <v>-2.0231983808146388</v>
      </c>
    </row>
    <row r="2763" spans="1:5" x14ac:dyDescent="0.2">
      <c r="A2763" s="1">
        <v>45646</v>
      </c>
      <c r="B2763">
        <v>75888.86</v>
      </c>
      <c r="C2763" s="6">
        <f t="shared" si="129"/>
        <v>-4.1354567518849737E-4</v>
      </c>
      <c r="D2763" s="7">
        <f t="shared" si="130"/>
        <v>-5.5553599363395524E-2</v>
      </c>
      <c r="E2763" s="8">
        <f t="shared" si="131"/>
        <v>-0.68938818058924689</v>
      </c>
    </row>
    <row r="2764" spans="1:5" x14ac:dyDescent="0.2">
      <c r="A2764" s="1">
        <v>45649</v>
      </c>
      <c r="B2764">
        <v>76067.929999999993</v>
      </c>
      <c r="C2764" s="6">
        <f t="shared" si="129"/>
        <v>2.3568552993386226E-3</v>
      </c>
      <c r="D2764" s="7">
        <f t="shared" si="130"/>
        <v>0.18350292505136387</v>
      </c>
      <c r="E2764" s="8">
        <f t="shared" si="131"/>
        <v>-0.72224111126510482</v>
      </c>
    </row>
    <row r="2765" spans="1:5" x14ac:dyDescent="0.2">
      <c r="A2765" s="1">
        <v>45650</v>
      </c>
      <c r="B2765">
        <v>76320.990000000005</v>
      </c>
      <c r="C2765" s="6">
        <f t="shared" si="129"/>
        <v>3.3212418936750211E-3</v>
      </c>
      <c r="D2765" s="7">
        <f t="shared" si="130"/>
        <v>0.2667193653984502</v>
      </c>
      <c r="E2765" s="8">
        <f t="shared" si="131"/>
        <v>-0.76196214571501908</v>
      </c>
    </row>
    <row r="2766" spans="1:5" x14ac:dyDescent="0.2">
      <c r="A2766" s="1">
        <v>45653</v>
      </c>
      <c r="B2766">
        <v>76197.460000000006</v>
      </c>
      <c r="C2766" s="6">
        <f t="shared" si="129"/>
        <v>-1.6198699503131493E-3</v>
      </c>
      <c r="D2766" s="7">
        <f t="shared" si="130"/>
        <v>-0.15964672204852481</v>
      </c>
      <c r="E2766" s="8">
        <f t="shared" si="131"/>
        <v>-0.71348630238226318</v>
      </c>
    </row>
    <row r="2767" spans="1:5" x14ac:dyDescent="0.2">
      <c r="A2767" s="1">
        <v>45656</v>
      </c>
      <c r="B2767">
        <v>75427.05</v>
      </c>
      <c r="C2767" s="6">
        <f t="shared" si="129"/>
        <v>-1.0162164810723084E-2</v>
      </c>
      <c r="D2767" s="7">
        <f t="shared" si="130"/>
        <v>-0.89675710377015483</v>
      </c>
      <c r="E2767" s="8">
        <f t="shared" si="131"/>
        <v>-1.4432103981678313</v>
      </c>
    </row>
    <row r="2768" spans="1:5" x14ac:dyDescent="0.2">
      <c r="A2768" s="1">
        <v>45657</v>
      </c>
      <c r="B2768">
        <v>75381.31</v>
      </c>
      <c r="C2768" s="6">
        <f t="shared" si="129"/>
        <v>-6.0659768997618118E-4</v>
      </c>
      <c r="D2768" s="7">
        <f t="shared" si="130"/>
        <v>-7.221196185703703E-2</v>
      </c>
      <c r="E2768" s="8">
        <f t="shared" si="131"/>
        <v>-0.69168677742133056</v>
      </c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</sheetData>
  <mergeCells count="2">
    <mergeCell ref="F1:G1"/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0F73-1FC0-C845-A0BA-A446BE739115}">
  <dimension ref="A1:G3038"/>
  <sheetViews>
    <sheetView tabSelected="1" workbookViewId="0">
      <selection activeCell="F2" sqref="F2:G2"/>
    </sheetView>
  </sheetViews>
  <sheetFormatPr baseColWidth="10" defaultRowHeight="15" x14ac:dyDescent="0.2"/>
  <cols>
    <col min="1" max="1" width="10.6640625" bestFit="1" customWidth="1"/>
    <col min="2" max="2" width="22.33203125" bestFit="1" customWidth="1"/>
    <col min="3" max="4" width="14.6640625" style="9" customWidth="1"/>
    <col min="5" max="5" width="16" style="15" customWidth="1"/>
    <col min="6" max="6" width="22.83203125" style="9" customWidth="1"/>
    <col min="7" max="7" width="14.6640625" style="9" customWidth="1"/>
  </cols>
  <sheetData>
    <row r="1" spans="1:7" x14ac:dyDescent="0.2">
      <c r="A1" s="2" t="s">
        <v>0</v>
      </c>
      <c r="B1" s="2" t="s">
        <v>3</v>
      </c>
      <c r="C1" s="9" t="s">
        <v>8</v>
      </c>
      <c r="D1" s="9" t="s">
        <v>9</v>
      </c>
      <c r="E1" s="15" t="s">
        <v>4</v>
      </c>
      <c r="F1" s="22" t="s">
        <v>11</v>
      </c>
      <c r="G1" s="23"/>
    </row>
    <row r="2" spans="1:7" x14ac:dyDescent="0.2">
      <c r="A2" s="1">
        <v>41610</v>
      </c>
      <c r="B2">
        <v>51982.76</v>
      </c>
      <c r="C2" s="6"/>
      <c r="D2" s="7"/>
      <c r="E2" s="8">
        <f>SUM(E3:E573)</f>
        <v>-725.48751027549019</v>
      </c>
      <c r="F2" s="24" t="s">
        <v>10</v>
      </c>
      <c r="G2" s="24"/>
    </row>
    <row r="3" spans="1:7" x14ac:dyDescent="0.2">
      <c r="A3" s="1">
        <v>41611</v>
      </c>
      <c r="B3">
        <v>51077.8</v>
      </c>
      <c r="C3" s="6">
        <f t="shared" ref="C3:C66" si="0">LN(B3/B2)</f>
        <v>-1.7562164606646852E-2</v>
      </c>
      <c r="D3" s="7">
        <f t="shared" ref="D3:D66" si="1">(C3-$G$4)/$G$5</f>
        <v>-1.5005776507970436</v>
      </c>
      <c r="E3" s="8">
        <f t="shared" ref="E3:E66" si="2">LN((PI()*(G$3-2))^(-1/2)*EXP(GAMMALN((G$3+1)/2))*((1+D3^2/(G$3-2))^(-(G$3+1)/2))/EXP(GAMMALN(G$3/2)))</f>
        <v>-2.5211761773246741</v>
      </c>
      <c r="F3" s="9" t="s">
        <v>5</v>
      </c>
      <c r="G3" s="9">
        <v>3.9916227487439837</v>
      </c>
    </row>
    <row r="4" spans="1:7" x14ac:dyDescent="0.2">
      <c r="A4" s="1">
        <v>41612</v>
      </c>
      <c r="B4">
        <v>50980.37</v>
      </c>
      <c r="C4" s="6">
        <f t="shared" si="0"/>
        <v>-1.9093038724473238E-3</v>
      </c>
      <c r="D4" s="7">
        <f t="shared" si="1"/>
        <v>-0.18548762471200944</v>
      </c>
      <c r="E4" s="8">
        <f t="shared" si="2"/>
        <v>-0.67608011579919303</v>
      </c>
      <c r="F4" s="9" t="s">
        <v>6</v>
      </c>
      <c r="G4" s="10">
        <f>AVERAGE(C3:C2768)</f>
        <v>2.984628202846419E-4</v>
      </c>
    </row>
    <row r="5" spans="1:7" x14ac:dyDescent="0.2">
      <c r="A5" s="1">
        <v>41613</v>
      </c>
      <c r="B5">
        <v>51532.38</v>
      </c>
      <c r="C5" s="6">
        <f t="shared" si="0"/>
        <v>1.0769691291158496E-2</v>
      </c>
      <c r="D5" s="7">
        <f t="shared" si="1"/>
        <v>0.8797502486441221</v>
      </c>
      <c r="E5" s="8">
        <f t="shared" si="2"/>
        <v>-1.4527120371740363</v>
      </c>
      <c r="F5" s="9" t="s">
        <v>7</v>
      </c>
      <c r="G5" s="10">
        <f>STDEV(C3:C2768)</f>
        <v>1.190250129171568E-2</v>
      </c>
    </row>
    <row r="6" spans="1:7" x14ac:dyDescent="0.2">
      <c r="A6" s="1">
        <v>41614</v>
      </c>
      <c r="B6">
        <v>51835.47</v>
      </c>
      <c r="C6" s="6">
        <f t="shared" si="0"/>
        <v>5.864316005605952E-3</v>
      </c>
      <c r="D6" s="7">
        <f t="shared" si="1"/>
        <v>0.46762046471654051</v>
      </c>
      <c r="E6" s="8">
        <f t="shared" si="2"/>
        <v>-0.89333312545009647</v>
      </c>
    </row>
    <row r="7" spans="1:7" x14ac:dyDescent="0.2">
      <c r="A7" s="1">
        <v>41617</v>
      </c>
      <c r="B7">
        <v>52277.47</v>
      </c>
      <c r="C7" s="6">
        <f t="shared" si="0"/>
        <v>8.4908303514724167E-3</v>
      </c>
      <c r="D7" s="7">
        <f t="shared" si="1"/>
        <v>0.68828957295638238</v>
      </c>
      <c r="E7" s="8">
        <f t="shared" si="2"/>
        <v>-1.1659144400940329</v>
      </c>
    </row>
    <row r="8" spans="1:7" x14ac:dyDescent="0.2">
      <c r="A8" s="1">
        <v>41618</v>
      </c>
      <c r="B8">
        <v>52150.99</v>
      </c>
      <c r="C8" s="6">
        <f t="shared" si="0"/>
        <v>-2.4223293505494835E-3</v>
      </c>
      <c r="D8" s="7">
        <f t="shared" si="1"/>
        <v>-0.228589949637547</v>
      </c>
      <c r="E8" s="8">
        <f t="shared" si="2"/>
        <v>-0.69796996276501888</v>
      </c>
    </row>
    <row r="9" spans="1:7" x14ac:dyDescent="0.2">
      <c r="A9" s="1">
        <v>41619</v>
      </c>
      <c r="B9">
        <v>52104.9</v>
      </c>
      <c r="C9" s="6">
        <f t="shared" si="0"/>
        <v>-8.8417072651916318E-4</v>
      </c>
      <c r="D9" s="7">
        <f t="shared" si="1"/>
        <v>-9.9360085566798956E-2</v>
      </c>
      <c r="E9" s="8">
        <f t="shared" si="2"/>
        <v>-0.64567379968883321</v>
      </c>
    </row>
    <row r="10" spans="1:7" x14ac:dyDescent="0.2">
      <c r="A10" s="1">
        <v>41620</v>
      </c>
      <c r="B10">
        <v>50583.65</v>
      </c>
      <c r="C10" s="6">
        <f t="shared" si="0"/>
        <v>-2.9630592692494226E-2</v>
      </c>
      <c r="D10" s="7">
        <f t="shared" si="1"/>
        <v>-2.5145181486861032</v>
      </c>
      <c r="E10" s="8">
        <f t="shared" si="2"/>
        <v>-4.1999522420210527</v>
      </c>
    </row>
    <row r="11" spans="1:7" x14ac:dyDescent="0.2">
      <c r="A11" s="1">
        <v>41621</v>
      </c>
      <c r="B11">
        <v>50657.45</v>
      </c>
      <c r="C11" s="6">
        <f t="shared" si="0"/>
        <v>1.4579061877391805E-3</v>
      </c>
      <c r="D11" s="7">
        <f t="shared" si="1"/>
        <v>9.7411740527306528E-2</v>
      </c>
      <c r="E11" s="8">
        <f t="shared" si="2"/>
        <v>-0.64519568994427468</v>
      </c>
    </row>
    <row r="12" spans="1:7" x14ac:dyDescent="0.2">
      <c r="A12" s="1">
        <v>41625</v>
      </c>
      <c r="B12">
        <v>51364.480000000003</v>
      </c>
      <c r="C12" s="6">
        <f t="shared" si="0"/>
        <v>1.3860575255764345E-2</v>
      </c>
      <c r="D12" s="7">
        <f t="shared" si="1"/>
        <v>1.1394338133715758</v>
      </c>
      <c r="E12" s="8">
        <f t="shared" si="2"/>
        <v>-1.8860233099428689</v>
      </c>
      <c r="F12" s="13"/>
      <c r="G12" s="13"/>
    </row>
    <row r="13" spans="1:7" x14ac:dyDescent="0.2">
      <c r="A13" s="1">
        <v>41626</v>
      </c>
      <c r="B13">
        <v>51535.99</v>
      </c>
      <c r="C13" s="6">
        <f t="shared" si="0"/>
        <v>3.3335155577594346E-3</v>
      </c>
      <c r="D13" s="7">
        <f t="shared" si="1"/>
        <v>0.25499285092178353</v>
      </c>
      <c r="E13" s="8">
        <f t="shared" si="2"/>
        <v>-0.71351267117418815</v>
      </c>
      <c r="F13" s="13"/>
      <c r="G13" s="20"/>
    </row>
    <row r="14" spans="1:7" x14ac:dyDescent="0.2">
      <c r="A14" s="1">
        <v>41627</v>
      </c>
      <c r="B14">
        <v>52189.13</v>
      </c>
      <c r="C14" s="6">
        <f t="shared" si="0"/>
        <v>1.2593837106545859E-2</v>
      </c>
      <c r="D14" s="7">
        <f t="shared" si="1"/>
        <v>1.0330075994042516</v>
      </c>
      <c r="E14" s="8">
        <f t="shared" si="2"/>
        <v>-1.7041585704553284</v>
      </c>
      <c r="F14" s="15"/>
      <c r="G14" s="13"/>
    </row>
    <row r="15" spans="1:7" x14ac:dyDescent="0.2">
      <c r="A15" s="1">
        <v>41628</v>
      </c>
      <c r="B15">
        <v>52394.879999999997</v>
      </c>
      <c r="C15" s="6">
        <f t="shared" si="0"/>
        <v>3.9346409731549859E-3</v>
      </c>
      <c r="D15" s="7">
        <f t="shared" si="1"/>
        <v>0.30549697611889176</v>
      </c>
      <c r="E15" s="8">
        <f t="shared" si="2"/>
        <v>-0.74763003377455761</v>
      </c>
      <c r="F15" s="13"/>
      <c r="G15" s="16"/>
    </row>
    <row r="16" spans="1:7" x14ac:dyDescent="0.2">
      <c r="A16" s="1">
        <v>41631</v>
      </c>
      <c r="B16">
        <v>52696.32</v>
      </c>
      <c r="C16" s="6">
        <f t="shared" si="0"/>
        <v>5.7367472577247829E-3</v>
      </c>
      <c r="D16" s="7">
        <f t="shared" si="1"/>
        <v>0.45690265467354069</v>
      </c>
      <c r="E16" s="8">
        <f t="shared" si="2"/>
        <v>-0.88211910573417995</v>
      </c>
      <c r="F16" s="13"/>
      <c r="G16" s="21"/>
    </row>
    <row r="17" spans="1:7" x14ac:dyDescent="0.2">
      <c r="A17" s="1">
        <v>41632</v>
      </c>
      <c r="B17">
        <v>52889.21</v>
      </c>
      <c r="C17" s="6">
        <f t="shared" si="0"/>
        <v>3.6537244182094138E-3</v>
      </c>
      <c r="D17" s="7">
        <f t="shared" si="1"/>
        <v>0.28189550378457712</v>
      </c>
      <c r="E17" s="8">
        <f t="shared" si="2"/>
        <v>-0.73097938219874858</v>
      </c>
      <c r="F17" s="13"/>
      <c r="G17" s="21"/>
    </row>
    <row r="18" spans="1:7" x14ac:dyDescent="0.2">
      <c r="A18" s="1">
        <v>41635</v>
      </c>
      <c r="B18">
        <v>53782.5</v>
      </c>
      <c r="C18" s="6">
        <f t="shared" si="0"/>
        <v>1.6748787137361623E-2</v>
      </c>
      <c r="D18" s="7">
        <f t="shared" si="1"/>
        <v>1.3820896897130903</v>
      </c>
      <c r="E18" s="8">
        <f t="shared" si="2"/>
        <v>-2.3117330340640327</v>
      </c>
      <c r="F18" s="13"/>
      <c r="G18" s="21"/>
    </row>
    <row r="19" spans="1:7" x14ac:dyDescent="0.2">
      <c r="A19" s="1">
        <v>41638</v>
      </c>
      <c r="B19">
        <v>54221.14</v>
      </c>
      <c r="C19" s="6">
        <f t="shared" si="0"/>
        <v>8.1227338586479757E-3</v>
      </c>
      <c r="D19" s="7">
        <f t="shared" si="1"/>
        <v>0.6573635949789095</v>
      </c>
      <c r="E19" s="8">
        <f t="shared" si="2"/>
        <v>-1.1234252377439329</v>
      </c>
    </row>
    <row r="20" spans="1:7" x14ac:dyDescent="0.2">
      <c r="A20" s="1">
        <v>41639</v>
      </c>
      <c r="B20">
        <v>54481.85</v>
      </c>
      <c r="C20" s="6">
        <f t="shared" si="0"/>
        <v>4.7967493789316416E-3</v>
      </c>
      <c r="D20" s="7">
        <f t="shared" si="1"/>
        <v>0.3779278362085014</v>
      </c>
      <c r="E20" s="8">
        <f t="shared" si="2"/>
        <v>-0.80619326384180567</v>
      </c>
      <c r="F20" s="17"/>
    </row>
    <row r="21" spans="1:7" x14ac:dyDescent="0.2">
      <c r="A21" s="1">
        <v>41641</v>
      </c>
      <c r="B21">
        <v>54997.19</v>
      </c>
      <c r="C21" s="6">
        <f t="shared" si="0"/>
        <v>9.4144743379127368E-3</v>
      </c>
      <c r="D21" s="7">
        <f t="shared" si="1"/>
        <v>0.76589040355517335</v>
      </c>
      <c r="E21" s="8">
        <f t="shared" si="2"/>
        <v>-1.2776162444933929</v>
      </c>
    </row>
    <row r="22" spans="1:7" x14ac:dyDescent="0.2">
      <c r="A22" s="1">
        <v>41642</v>
      </c>
      <c r="B22">
        <v>54322.54</v>
      </c>
      <c r="C22" s="6">
        <f t="shared" si="0"/>
        <v>-1.2342850919876493E-2</v>
      </c>
      <c r="D22" s="7">
        <f t="shared" si="1"/>
        <v>-1.0620720326205451</v>
      </c>
      <c r="E22" s="8">
        <f t="shared" si="2"/>
        <v>-1.7533563951129603</v>
      </c>
    </row>
    <row r="23" spans="1:7" x14ac:dyDescent="0.2">
      <c r="A23" s="1">
        <v>41645</v>
      </c>
      <c r="B23">
        <v>53986.87</v>
      </c>
      <c r="C23" s="6">
        <f t="shared" si="0"/>
        <v>-6.1983732474958963E-3</v>
      </c>
      <c r="D23" s="7">
        <f t="shared" si="1"/>
        <v>-0.54583787966504427</v>
      </c>
      <c r="E23" s="8">
        <f t="shared" si="2"/>
        <v>-0.98127539785528561</v>
      </c>
    </row>
    <row r="24" spans="1:7" x14ac:dyDescent="0.2">
      <c r="A24" s="1">
        <v>41646</v>
      </c>
      <c r="B24">
        <v>53907.02</v>
      </c>
      <c r="C24" s="6">
        <f t="shared" si="0"/>
        <v>-1.4801582291343437E-3</v>
      </c>
      <c r="D24" s="7">
        <f t="shared" si="1"/>
        <v>-0.14943254412053142</v>
      </c>
      <c r="E24" s="8">
        <f t="shared" si="2"/>
        <v>-0.66116002479279579</v>
      </c>
    </row>
    <row r="25" spans="1:7" x14ac:dyDescent="0.2">
      <c r="A25" s="1">
        <v>41647</v>
      </c>
      <c r="B25">
        <v>53642.19</v>
      </c>
      <c r="C25" s="6">
        <f t="shared" si="0"/>
        <v>-4.9248253011478322E-3</v>
      </c>
      <c r="D25" s="7">
        <f t="shared" si="1"/>
        <v>-0.43883953409590981</v>
      </c>
      <c r="E25" s="8">
        <f t="shared" si="2"/>
        <v>-0.86369904842196854</v>
      </c>
    </row>
    <row r="26" spans="1:7" x14ac:dyDescent="0.2">
      <c r="A26" s="1">
        <v>41648</v>
      </c>
      <c r="B26">
        <v>53394.53</v>
      </c>
      <c r="C26" s="6">
        <f t="shared" si="0"/>
        <v>-4.6275790580874695E-3</v>
      </c>
      <c r="D26" s="7">
        <f t="shared" si="1"/>
        <v>-0.41386610743749386</v>
      </c>
      <c r="E26" s="8">
        <f t="shared" si="2"/>
        <v>-0.83924663139929878</v>
      </c>
    </row>
    <row r="27" spans="1:7" x14ac:dyDescent="0.2">
      <c r="A27" s="1">
        <v>41649</v>
      </c>
      <c r="B27">
        <v>53712.51</v>
      </c>
      <c r="C27" s="6">
        <f t="shared" si="0"/>
        <v>5.9376290150453632E-3</v>
      </c>
      <c r="D27" s="7">
        <f t="shared" si="1"/>
        <v>0.47377992713898431</v>
      </c>
      <c r="E27" s="8">
        <f t="shared" si="2"/>
        <v>-0.89987211006315471</v>
      </c>
    </row>
    <row r="28" spans="1:7" x14ac:dyDescent="0.2">
      <c r="A28" s="1">
        <v>41652</v>
      </c>
      <c r="B28">
        <v>54222.47</v>
      </c>
      <c r="C28" s="6">
        <f t="shared" si="0"/>
        <v>9.4494629011196134E-3</v>
      </c>
      <c r="D28" s="7">
        <f t="shared" si="1"/>
        <v>0.76883000106912025</v>
      </c>
      <c r="E28" s="8">
        <f t="shared" si="2"/>
        <v>-1.2819797021767154</v>
      </c>
    </row>
    <row r="29" spans="1:7" x14ac:dyDescent="0.2">
      <c r="A29" s="1">
        <v>41653</v>
      </c>
      <c r="B29">
        <v>54174.93</v>
      </c>
      <c r="C29" s="6">
        <f t="shared" si="0"/>
        <v>-8.771428659363423E-4</v>
      </c>
      <c r="D29" s="7">
        <f t="shared" si="1"/>
        <v>-9.8769633155950456E-2</v>
      </c>
      <c r="E29" s="8">
        <f t="shared" si="2"/>
        <v>-0.64552791677552301</v>
      </c>
    </row>
    <row r="30" spans="1:7" x14ac:dyDescent="0.2">
      <c r="A30" s="1">
        <v>41654</v>
      </c>
      <c r="B30">
        <v>54636.74</v>
      </c>
      <c r="C30" s="6">
        <f t="shared" si="0"/>
        <v>8.4882949195642706E-3</v>
      </c>
      <c r="D30" s="7">
        <f t="shared" si="1"/>
        <v>0.68807655622603248</v>
      </c>
      <c r="E30" s="8">
        <f t="shared" si="2"/>
        <v>-1.1656176126863127</v>
      </c>
    </row>
    <row r="31" spans="1:7" x14ac:dyDescent="0.2">
      <c r="A31" s="1">
        <v>41655</v>
      </c>
      <c r="B31">
        <v>54595.47</v>
      </c>
      <c r="C31" s="6">
        <f t="shared" si="0"/>
        <v>-7.556379563083644E-4</v>
      </c>
      <c r="D31" s="7">
        <f t="shared" si="1"/>
        <v>-8.8561282268179747E-2</v>
      </c>
      <c r="E31" s="8">
        <f t="shared" si="2"/>
        <v>-0.64314200043677938</v>
      </c>
    </row>
    <row r="32" spans="1:7" x14ac:dyDescent="0.2">
      <c r="A32" s="1">
        <v>41656</v>
      </c>
      <c r="B32">
        <v>54343.57</v>
      </c>
      <c r="C32" s="6">
        <f t="shared" si="0"/>
        <v>-4.624612975285311E-3</v>
      </c>
      <c r="D32" s="7">
        <f t="shared" si="1"/>
        <v>-0.41361690916147914</v>
      </c>
      <c r="E32" s="8">
        <f t="shared" si="2"/>
        <v>-0.83900867435945636</v>
      </c>
    </row>
    <row r="33" spans="1:5" x14ac:dyDescent="0.2">
      <c r="A33" s="1">
        <v>41659</v>
      </c>
      <c r="B33">
        <v>54759.9</v>
      </c>
      <c r="C33" s="6">
        <f t="shared" si="0"/>
        <v>7.6318749674535117E-3</v>
      </c>
      <c r="D33" s="7">
        <f t="shared" si="1"/>
        <v>0.61612361699746543</v>
      </c>
      <c r="E33" s="8">
        <f t="shared" si="2"/>
        <v>-1.0687506808639535</v>
      </c>
    </row>
    <row r="34" spans="1:5" x14ac:dyDescent="0.2">
      <c r="A34" s="1">
        <v>41660</v>
      </c>
      <c r="B34">
        <v>54907.28</v>
      </c>
      <c r="C34" s="6">
        <f t="shared" si="0"/>
        <v>2.6877701920315603E-3</v>
      </c>
      <c r="D34" s="7">
        <f t="shared" si="1"/>
        <v>0.20073993803385781</v>
      </c>
      <c r="E34" s="8">
        <f t="shared" si="2"/>
        <v>-0.68332638724908534</v>
      </c>
    </row>
    <row r="35" spans="1:5" x14ac:dyDescent="0.2">
      <c r="A35" s="1">
        <v>41661</v>
      </c>
      <c r="B35">
        <v>54957.11</v>
      </c>
      <c r="C35" s="6">
        <f t="shared" si="0"/>
        <v>9.0711837415090215E-4</v>
      </c>
      <c r="D35" s="7">
        <f t="shared" si="1"/>
        <v>5.113677696383815E-2</v>
      </c>
      <c r="E35" s="8">
        <f t="shared" si="2"/>
        <v>-0.63660749658817706</v>
      </c>
    </row>
    <row r="36" spans="1:5" x14ac:dyDescent="0.2">
      <c r="A36" s="1">
        <v>41662</v>
      </c>
      <c r="B36">
        <v>54699.99</v>
      </c>
      <c r="C36" s="6">
        <f t="shared" si="0"/>
        <v>-4.6895362217262235E-3</v>
      </c>
      <c r="D36" s="7">
        <f t="shared" si="1"/>
        <v>-0.41907149764248186</v>
      </c>
      <c r="E36" s="8">
        <f t="shared" si="2"/>
        <v>-0.8442447270386394</v>
      </c>
    </row>
    <row r="37" spans="1:5" x14ac:dyDescent="0.2">
      <c r="A37" s="1">
        <v>41663</v>
      </c>
      <c r="B37">
        <v>53667.95</v>
      </c>
      <c r="C37" s="6">
        <f t="shared" si="0"/>
        <v>-1.9047537538643074E-2</v>
      </c>
      <c r="D37" s="7">
        <f t="shared" si="1"/>
        <v>-1.6253726745984747</v>
      </c>
      <c r="E37" s="8">
        <f t="shared" si="2"/>
        <v>-2.7406808331827048</v>
      </c>
    </row>
    <row r="38" spans="1:5" x14ac:dyDescent="0.2">
      <c r="A38" s="1">
        <v>41666</v>
      </c>
      <c r="B38">
        <v>52717.46</v>
      </c>
      <c r="C38" s="6">
        <f t="shared" si="0"/>
        <v>-1.7869279099496243E-2</v>
      </c>
      <c r="D38" s="7">
        <f t="shared" si="1"/>
        <v>-1.526380167874958</v>
      </c>
      <c r="E38" s="8">
        <f t="shared" si="2"/>
        <v>-2.5666963855878255</v>
      </c>
    </row>
    <row r="39" spans="1:5" x14ac:dyDescent="0.2">
      <c r="A39" s="1">
        <v>41667</v>
      </c>
      <c r="B39">
        <v>52617.73</v>
      </c>
      <c r="C39" s="6">
        <f t="shared" si="0"/>
        <v>-1.8935747834988679E-3</v>
      </c>
      <c r="D39" s="7">
        <f t="shared" si="1"/>
        <v>-0.1841661302997884</v>
      </c>
      <c r="E39" s="8">
        <f t="shared" si="2"/>
        <v>-0.67547827857732967</v>
      </c>
    </row>
    <row r="40" spans="1:5" x14ac:dyDescent="0.2">
      <c r="A40" s="1">
        <v>41668</v>
      </c>
      <c r="B40">
        <v>52320.1</v>
      </c>
      <c r="C40" s="6">
        <f t="shared" si="0"/>
        <v>-5.6725167288227806E-3</v>
      </c>
      <c r="D40" s="7">
        <f t="shared" si="1"/>
        <v>-0.50165754262621365</v>
      </c>
      <c r="E40" s="8">
        <f t="shared" si="2"/>
        <v>-0.93031096956929593</v>
      </c>
    </row>
    <row r="41" spans="1:5" x14ac:dyDescent="0.2">
      <c r="A41" s="1">
        <v>41669</v>
      </c>
      <c r="B41">
        <v>51756.65</v>
      </c>
      <c r="C41" s="6">
        <f t="shared" si="0"/>
        <v>-1.0827692156892142E-2</v>
      </c>
      <c r="D41" s="7">
        <f t="shared" si="1"/>
        <v>-0.93477452381549031</v>
      </c>
      <c r="E41" s="8">
        <f t="shared" si="2"/>
        <v>-1.5412273181985041</v>
      </c>
    </row>
    <row r="42" spans="1:5" x14ac:dyDescent="0.2">
      <c r="A42" s="1">
        <v>41670</v>
      </c>
      <c r="B42">
        <v>51757.74</v>
      </c>
      <c r="C42" s="6">
        <f t="shared" si="0"/>
        <v>2.1059873898463389E-5</v>
      </c>
      <c r="D42" s="7">
        <f t="shared" si="1"/>
        <v>-2.3306273159512707E-2</v>
      </c>
      <c r="E42" s="8">
        <f t="shared" si="2"/>
        <v>-0.63401328288011316</v>
      </c>
    </row>
    <row r="43" spans="1:5" x14ac:dyDescent="0.2">
      <c r="A43" s="1">
        <v>41673</v>
      </c>
      <c r="B43">
        <v>51578.66</v>
      </c>
      <c r="C43" s="6">
        <f t="shared" si="0"/>
        <v>-3.4659651250224209E-3</v>
      </c>
      <c r="D43" s="7">
        <f t="shared" si="1"/>
        <v>-0.31627200476988493</v>
      </c>
      <c r="E43" s="8">
        <f t="shared" si="2"/>
        <v>-0.7556369730280168</v>
      </c>
    </row>
    <row r="44" spans="1:5" x14ac:dyDescent="0.2">
      <c r="A44" s="1">
        <v>41674</v>
      </c>
      <c r="B44">
        <v>50890.8</v>
      </c>
      <c r="C44" s="6">
        <f t="shared" si="0"/>
        <v>-1.3425860396122679E-2</v>
      </c>
      <c r="D44" s="7">
        <f t="shared" si="1"/>
        <v>-1.1530621068665337</v>
      </c>
      <c r="E44" s="8">
        <f t="shared" si="2"/>
        <v>-1.9096129243821862</v>
      </c>
    </row>
    <row r="45" spans="1:5" x14ac:dyDescent="0.2">
      <c r="A45" s="1">
        <v>41675</v>
      </c>
      <c r="B45">
        <v>50947.4</v>
      </c>
      <c r="C45" s="6">
        <f t="shared" si="0"/>
        <v>1.1115672866926455E-3</v>
      </c>
      <c r="D45" s="7">
        <f t="shared" si="1"/>
        <v>6.8313747377951262E-2</v>
      </c>
      <c r="E45" s="8">
        <f t="shared" si="2"/>
        <v>-0.6391740253906375</v>
      </c>
    </row>
    <row r="46" spans="1:5" x14ac:dyDescent="0.2">
      <c r="A46" s="1">
        <v>41676</v>
      </c>
      <c r="B46">
        <v>51721.64</v>
      </c>
      <c r="C46" s="6">
        <f t="shared" si="0"/>
        <v>1.5082534659678175E-2</v>
      </c>
      <c r="D46" s="7">
        <f t="shared" si="1"/>
        <v>1.242097898337005</v>
      </c>
      <c r="E46" s="8">
        <f t="shared" si="2"/>
        <v>-2.0649357439707079</v>
      </c>
    </row>
    <row r="47" spans="1:5" x14ac:dyDescent="0.2">
      <c r="A47" s="1">
        <v>41677</v>
      </c>
      <c r="B47">
        <v>52155.27</v>
      </c>
      <c r="C47" s="6">
        <f t="shared" si="0"/>
        <v>8.3489683868187212E-3</v>
      </c>
      <c r="D47" s="7">
        <f t="shared" si="1"/>
        <v>0.67637090467172245</v>
      </c>
      <c r="E47" s="8">
        <f t="shared" si="2"/>
        <v>-1.1493940847203632</v>
      </c>
    </row>
    <row r="48" spans="1:5" x14ac:dyDescent="0.2">
      <c r="A48" s="1">
        <v>41680</v>
      </c>
      <c r="B48">
        <v>52712.52</v>
      </c>
      <c r="C48" s="6">
        <f t="shared" si="0"/>
        <v>1.0627767498101039E-2</v>
      </c>
      <c r="D48" s="7">
        <f t="shared" si="1"/>
        <v>0.86782638578714111</v>
      </c>
      <c r="E48" s="8">
        <f t="shared" si="2"/>
        <v>-1.4338356217497814</v>
      </c>
    </row>
    <row r="49" spans="1:5" x14ac:dyDescent="0.2">
      <c r="A49" s="1">
        <v>41681</v>
      </c>
      <c r="B49">
        <v>52493.89</v>
      </c>
      <c r="C49" s="6">
        <f t="shared" si="0"/>
        <v>-4.1562166168445094E-3</v>
      </c>
      <c r="D49" s="7">
        <f t="shared" si="1"/>
        <v>-0.3742641422966847</v>
      </c>
      <c r="E49" s="8">
        <f t="shared" si="2"/>
        <v>-0.80296882816433934</v>
      </c>
    </row>
    <row r="50" spans="1:5" x14ac:dyDescent="0.2">
      <c r="A50" s="1">
        <v>41682</v>
      </c>
      <c r="B50">
        <v>52821.31</v>
      </c>
      <c r="C50" s="6">
        <f t="shared" si="0"/>
        <v>6.2179259006948087E-3</v>
      </c>
      <c r="D50" s="7">
        <f t="shared" si="1"/>
        <v>0.49732933736627294</v>
      </c>
      <c r="E50" s="8">
        <f t="shared" si="2"/>
        <v>-0.92549577104372382</v>
      </c>
    </row>
    <row r="51" spans="1:5" x14ac:dyDescent="0.2">
      <c r="A51" s="1">
        <v>41683</v>
      </c>
      <c r="B51">
        <v>52737.34</v>
      </c>
      <c r="C51" s="6">
        <f t="shared" si="0"/>
        <v>-1.5909642215364563E-3</v>
      </c>
      <c r="D51" s="7">
        <f t="shared" si="1"/>
        <v>-0.15874201527171164</v>
      </c>
      <c r="E51" s="8">
        <f t="shared" si="2"/>
        <v>-0.66471286036534494</v>
      </c>
    </row>
    <row r="52" spans="1:5" x14ac:dyDescent="0.2">
      <c r="A52" s="1">
        <v>41684</v>
      </c>
      <c r="B52">
        <v>53048.17</v>
      </c>
      <c r="C52" s="6">
        <f t="shared" si="0"/>
        <v>5.8766251547145276E-3</v>
      </c>
      <c r="D52" s="7">
        <f t="shared" si="1"/>
        <v>0.46865462962078153</v>
      </c>
      <c r="E52" s="8">
        <f t="shared" si="2"/>
        <v>-0.89442622655922621</v>
      </c>
    </row>
    <row r="53" spans="1:5" x14ac:dyDescent="0.2">
      <c r="A53" s="1">
        <v>41687</v>
      </c>
      <c r="B53">
        <v>53739.78</v>
      </c>
      <c r="C53" s="6">
        <f t="shared" si="0"/>
        <v>1.2953140687793886E-2</v>
      </c>
      <c r="D53" s="7">
        <f t="shared" si="1"/>
        <v>1.0631948325279401</v>
      </c>
      <c r="E53" s="8">
        <f t="shared" si="2"/>
        <v>-1.7552647532939234</v>
      </c>
    </row>
    <row r="54" spans="1:5" x14ac:dyDescent="0.2">
      <c r="A54" s="1">
        <v>41688</v>
      </c>
      <c r="B54">
        <v>53619.22</v>
      </c>
      <c r="C54" s="6">
        <f t="shared" si="0"/>
        <v>-2.2459235029594574E-3</v>
      </c>
      <c r="D54" s="7">
        <f t="shared" si="1"/>
        <v>-0.2137690440760574</v>
      </c>
      <c r="E54" s="8">
        <f t="shared" si="2"/>
        <v>-0.68995125713085614</v>
      </c>
    </row>
    <row r="55" spans="1:5" x14ac:dyDescent="0.2">
      <c r="A55" s="1">
        <v>41689</v>
      </c>
      <c r="B55">
        <v>54038.36</v>
      </c>
      <c r="C55" s="6">
        <f t="shared" si="0"/>
        <v>7.786578849924221E-3</v>
      </c>
      <c r="D55" s="7">
        <f t="shared" si="1"/>
        <v>0.62912121125762199</v>
      </c>
      <c r="E55" s="8">
        <f t="shared" si="2"/>
        <v>-1.0857283331465</v>
      </c>
    </row>
    <row r="56" spans="1:5" x14ac:dyDescent="0.2">
      <c r="A56" s="1">
        <v>41690</v>
      </c>
      <c r="B56">
        <v>53542.12</v>
      </c>
      <c r="C56" s="6">
        <f t="shared" si="0"/>
        <v>-9.2255308694395993E-3</v>
      </c>
      <c r="D56" s="7">
        <f t="shared" si="1"/>
        <v>-0.80016741492421295</v>
      </c>
      <c r="E56" s="8">
        <f t="shared" si="2"/>
        <v>-1.3290468550068404</v>
      </c>
    </row>
    <row r="57" spans="1:5" x14ac:dyDescent="0.2">
      <c r="A57" s="1">
        <v>41691</v>
      </c>
      <c r="B57">
        <v>53944.74</v>
      </c>
      <c r="C57" s="6">
        <f t="shared" si="0"/>
        <v>7.4915553962953242E-3</v>
      </c>
      <c r="D57" s="7">
        <f t="shared" si="1"/>
        <v>0.60433453437364326</v>
      </c>
      <c r="E57" s="8">
        <f t="shared" si="2"/>
        <v>-1.0535605424554912</v>
      </c>
    </row>
    <row r="58" spans="1:5" x14ac:dyDescent="0.2">
      <c r="A58" s="1">
        <v>41694</v>
      </c>
      <c r="B58">
        <v>54177.72</v>
      </c>
      <c r="C58" s="6">
        <f t="shared" si="0"/>
        <v>4.3095645545245809E-3</v>
      </c>
      <c r="D58" s="7">
        <f t="shared" si="1"/>
        <v>0.33699653845294908</v>
      </c>
      <c r="E58" s="8">
        <f t="shared" si="2"/>
        <v>-0.77173962281985231</v>
      </c>
    </row>
    <row r="59" spans="1:5" x14ac:dyDescent="0.2">
      <c r="A59" s="1">
        <v>41695</v>
      </c>
      <c r="B59">
        <v>53920.5</v>
      </c>
      <c r="C59" s="6">
        <f t="shared" si="0"/>
        <v>-4.7590142643301097E-3</v>
      </c>
      <c r="D59" s="7">
        <f t="shared" si="1"/>
        <v>-0.42490876166800595</v>
      </c>
      <c r="E59" s="8">
        <f t="shared" si="2"/>
        <v>-0.84991171767055596</v>
      </c>
    </row>
    <row r="60" spans="1:5" x14ac:dyDescent="0.2">
      <c r="A60" s="1">
        <v>41696</v>
      </c>
      <c r="B60">
        <v>54134.66</v>
      </c>
      <c r="C60" s="6">
        <f t="shared" si="0"/>
        <v>3.9639065902390752E-3</v>
      </c>
      <c r="D60" s="7">
        <f t="shared" si="1"/>
        <v>0.30795575485512755</v>
      </c>
      <c r="E60" s="8">
        <f t="shared" si="2"/>
        <v>-0.74943495969469598</v>
      </c>
    </row>
    <row r="61" spans="1:5" x14ac:dyDescent="0.2">
      <c r="A61" s="1">
        <v>41697</v>
      </c>
      <c r="B61">
        <v>54248.66</v>
      </c>
      <c r="C61" s="6">
        <f t="shared" si="0"/>
        <v>2.1036455063487679E-3</v>
      </c>
      <c r="D61" s="7">
        <f t="shared" si="1"/>
        <v>0.15166414536082096</v>
      </c>
      <c r="E61" s="8">
        <f t="shared" si="2"/>
        <v>-0.66199257915530429</v>
      </c>
    </row>
    <row r="62" spans="1:5" x14ac:dyDescent="0.2">
      <c r="A62" s="1">
        <v>41698</v>
      </c>
      <c r="B62">
        <v>54391.9</v>
      </c>
      <c r="C62" s="6">
        <f t="shared" si="0"/>
        <v>2.6369540621278384E-3</v>
      </c>
      <c r="D62" s="7">
        <f t="shared" si="1"/>
        <v>0.19647057240571958</v>
      </c>
      <c r="E62" s="8">
        <f t="shared" si="2"/>
        <v>-0.6812425169484605</v>
      </c>
    </row>
    <row r="63" spans="1:5" x14ac:dyDescent="0.2">
      <c r="A63" s="1">
        <v>41701</v>
      </c>
      <c r="B63">
        <v>54202.59</v>
      </c>
      <c r="C63" s="6">
        <f t="shared" si="0"/>
        <v>-3.4865524350591649E-3</v>
      </c>
      <c r="D63" s="7">
        <f t="shared" si="1"/>
        <v>-0.31800166726116924</v>
      </c>
      <c r="E63" s="8">
        <f t="shared" si="2"/>
        <v>-0.75694569313763427</v>
      </c>
    </row>
    <row r="64" spans="1:5" x14ac:dyDescent="0.2">
      <c r="A64" s="1">
        <v>41702</v>
      </c>
      <c r="B64">
        <v>54930.1</v>
      </c>
      <c r="C64" s="6">
        <f t="shared" si="0"/>
        <v>1.3332774569941825E-2</v>
      </c>
      <c r="D64" s="7">
        <f t="shared" si="1"/>
        <v>1.0950901352751172</v>
      </c>
      <c r="E64" s="8">
        <f t="shared" si="2"/>
        <v>-1.8096985886564194</v>
      </c>
    </row>
    <row r="65" spans="1:5" x14ac:dyDescent="0.2">
      <c r="A65" s="1">
        <v>41703</v>
      </c>
      <c r="B65">
        <v>54791.19</v>
      </c>
      <c r="C65" s="6">
        <f t="shared" si="0"/>
        <v>-2.5320532453830392E-3</v>
      </c>
      <c r="D65" s="7">
        <f t="shared" si="1"/>
        <v>-0.23780850732927564</v>
      </c>
      <c r="E65" s="8">
        <f t="shared" si="2"/>
        <v>-0.70321466553555245</v>
      </c>
    </row>
    <row r="66" spans="1:5" x14ac:dyDescent="0.2">
      <c r="A66" s="1">
        <v>41704</v>
      </c>
      <c r="B66">
        <v>54994.54</v>
      </c>
      <c r="C66" s="6">
        <f t="shared" si="0"/>
        <v>3.7044929710292399E-3</v>
      </c>
      <c r="D66" s="7">
        <f t="shared" si="1"/>
        <v>0.28616087217862735</v>
      </c>
      <c r="E66" s="8">
        <f t="shared" si="2"/>
        <v>-0.73389753018577764</v>
      </c>
    </row>
    <row r="67" spans="1:5" x14ac:dyDescent="0.2">
      <c r="A67" s="1">
        <v>41705</v>
      </c>
      <c r="B67">
        <v>55261.1</v>
      </c>
      <c r="C67" s="6">
        <f t="shared" ref="C67:C130" si="3">LN(B67/B66)</f>
        <v>4.8353176192005186E-3</v>
      </c>
      <c r="D67" s="7">
        <f t="shared" ref="D67:D130" si="4">(C67-$G$4)/$G$5</f>
        <v>0.38116818370552047</v>
      </c>
      <c r="E67" s="8">
        <f t="shared" ref="E67:E130" si="5">LN((PI()*(G$3-2))^(-1/2)*EXP(GAMMALN((G$3+1)/2))*((1+D67^2/(G$3-2))^(-(G$3+1)/2))/EXP(GAMMALN(G$3/2)))</f>
        <v>-0.80906777175162403</v>
      </c>
    </row>
    <row r="68" spans="1:5" x14ac:dyDescent="0.2">
      <c r="A68" s="1">
        <v>41708</v>
      </c>
      <c r="B68">
        <v>54917.96</v>
      </c>
      <c r="C68" s="6">
        <f t="shared" si="3"/>
        <v>-6.2287899247471358E-3</v>
      </c>
      <c r="D68" s="7">
        <f t="shared" si="4"/>
        <v>-0.54839336581923692</v>
      </c>
      <c r="E68" s="8">
        <f t="shared" si="5"/>
        <v>-0.98432172803272067</v>
      </c>
    </row>
    <row r="69" spans="1:5" x14ac:dyDescent="0.2">
      <c r="A69" s="1">
        <v>41709</v>
      </c>
      <c r="B69">
        <v>55359.42</v>
      </c>
      <c r="C69" s="6">
        <f t="shared" si="3"/>
        <v>8.0063991041302365E-3</v>
      </c>
      <c r="D69" s="7">
        <f t="shared" si="4"/>
        <v>0.64758961960461492</v>
      </c>
      <c r="E69" s="8">
        <f t="shared" si="5"/>
        <v>-1.1102567653375459</v>
      </c>
    </row>
    <row r="70" spans="1:5" x14ac:dyDescent="0.2">
      <c r="A70" s="1">
        <v>41710</v>
      </c>
      <c r="B70">
        <v>54862.02</v>
      </c>
      <c r="C70" s="6">
        <f t="shared" si="3"/>
        <v>-9.0255285454314497E-3</v>
      </c>
      <c r="D70" s="7">
        <f t="shared" si="4"/>
        <v>-0.78336402888741796</v>
      </c>
      <c r="E70" s="8">
        <f t="shared" si="5"/>
        <v>-1.3036855204980184</v>
      </c>
    </row>
    <row r="71" spans="1:5" x14ac:dyDescent="0.2">
      <c r="A71" s="1">
        <v>41711</v>
      </c>
      <c r="B71">
        <v>54185.599999999999</v>
      </c>
      <c r="C71" s="6">
        <f t="shared" si="3"/>
        <v>-1.2406115341602764E-2</v>
      </c>
      <c r="D71" s="7">
        <f t="shared" si="4"/>
        <v>-1.0673872533607691</v>
      </c>
      <c r="E71" s="8">
        <f t="shared" si="5"/>
        <v>-1.762395263933932</v>
      </c>
    </row>
    <row r="72" spans="1:5" x14ac:dyDescent="0.2">
      <c r="A72" s="1">
        <v>41712</v>
      </c>
      <c r="B72">
        <v>53465.32</v>
      </c>
      <c r="C72" s="6">
        <f t="shared" si="3"/>
        <v>-1.3381971074197497E-2</v>
      </c>
      <c r="D72" s="7">
        <f t="shared" si="4"/>
        <v>-1.1493747036182995</v>
      </c>
      <c r="E72" s="8">
        <f t="shared" si="5"/>
        <v>-1.9032246428255033</v>
      </c>
    </row>
    <row r="73" spans="1:5" x14ac:dyDescent="0.2">
      <c r="A73" s="1">
        <v>41715</v>
      </c>
      <c r="B73">
        <v>53590.58</v>
      </c>
      <c r="C73" s="6">
        <f t="shared" si="3"/>
        <v>2.3400869482275745E-3</v>
      </c>
      <c r="D73" s="7">
        <f t="shared" si="4"/>
        <v>0.17152899864534638</v>
      </c>
      <c r="E73" s="8">
        <f t="shared" si="5"/>
        <v>-0.66993355743123362</v>
      </c>
    </row>
    <row r="74" spans="1:5" x14ac:dyDescent="0.2">
      <c r="A74" s="1">
        <v>41716</v>
      </c>
      <c r="B74">
        <v>54194.47</v>
      </c>
      <c r="C74" s="6">
        <f t="shared" si="3"/>
        <v>1.1205567357025218E-2</v>
      </c>
      <c r="D74" s="7">
        <f t="shared" si="4"/>
        <v>0.91637079210670491</v>
      </c>
      <c r="E74" s="8">
        <f t="shared" si="5"/>
        <v>-1.5113759968365486</v>
      </c>
    </row>
    <row r="75" spans="1:5" x14ac:dyDescent="0.2">
      <c r="A75" s="1">
        <v>41717</v>
      </c>
      <c r="B75">
        <v>53600.67</v>
      </c>
      <c r="C75" s="6">
        <f t="shared" si="3"/>
        <v>-1.1017305721307796E-2</v>
      </c>
      <c r="D75" s="7">
        <f t="shared" si="4"/>
        <v>-0.95070508830512646</v>
      </c>
      <c r="E75" s="8">
        <f t="shared" si="5"/>
        <v>-1.567253423559942</v>
      </c>
    </row>
    <row r="76" spans="1:5" x14ac:dyDescent="0.2">
      <c r="A76" s="1">
        <v>41718</v>
      </c>
      <c r="B76">
        <v>53434.39</v>
      </c>
      <c r="C76" s="6">
        <f t="shared" si="3"/>
        <v>-3.1070218256799061E-3</v>
      </c>
      <c r="D76" s="7">
        <f t="shared" si="4"/>
        <v>-0.28611504107416619</v>
      </c>
      <c r="E76" s="8">
        <f t="shared" si="5"/>
        <v>-0.7338659602283466</v>
      </c>
    </row>
    <row r="77" spans="1:5" x14ac:dyDescent="0.2">
      <c r="A77" s="1">
        <v>41722</v>
      </c>
      <c r="B77">
        <v>53952.79</v>
      </c>
      <c r="C77" s="6">
        <f t="shared" si="3"/>
        <v>9.6548587445501721E-3</v>
      </c>
      <c r="D77" s="7">
        <f t="shared" si="4"/>
        <v>0.78608652878514895</v>
      </c>
      <c r="E77" s="8">
        <f t="shared" si="5"/>
        <v>-1.3077754577729761</v>
      </c>
    </row>
    <row r="78" spans="1:5" x14ac:dyDescent="0.2">
      <c r="A78" s="1">
        <v>41723</v>
      </c>
      <c r="B78">
        <v>54247.88</v>
      </c>
      <c r="C78" s="6">
        <f t="shared" si="3"/>
        <v>5.4545083984747483E-3</v>
      </c>
      <c r="D78" s="7">
        <f t="shared" si="4"/>
        <v>0.43319008768172046</v>
      </c>
      <c r="E78" s="8">
        <f t="shared" si="5"/>
        <v>-0.85806337066683991</v>
      </c>
    </row>
    <row r="79" spans="1:5" x14ac:dyDescent="0.2">
      <c r="A79" s="1">
        <v>41724</v>
      </c>
      <c r="B79">
        <v>54451.61</v>
      </c>
      <c r="C79" s="6">
        <f t="shared" si="3"/>
        <v>3.748504037242497E-3</v>
      </c>
      <c r="D79" s="7">
        <f t="shared" si="4"/>
        <v>0.28985850388935774</v>
      </c>
      <c r="E79" s="8">
        <f t="shared" si="5"/>
        <v>-0.73645990847739384</v>
      </c>
    </row>
    <row r="80" spans="1:5" x14ac:dyDescent="0.2">
      <c r="A80" s="1">
        <v>41725</v>
      </c>
      <c r="B80">
        <v>54111.09</v>
      </c>
      <c r="C80" s="6">
        <f t="shared" si="3"/>
        <v>-6.2732617506622004E-3</v>
      </c>
      <c r="D80" s="7">
        <f t="shared" si="4"/>
        <v>-0.55212970869584033</v>
      </c>
      <c r="E80" s="8">
        <f t="shared" si="5"/>
        <v>-0.98879459486843557</v>
      </c>
    </row>
    <row r="81" spans="1:5" x14ac:dyDescent="0.2">
      <c r="A81" s="1">
        <v>41726</v>
      </c>
      <c r="B81">
        <v>54699.03</v>
      </c>
      <c r="C81" s="6">
        <f t="shared" si="3"/>
        <v>1.0806820578565862E-2</v>
      </c>
      <c r="D81" s="7">
        <f t="shared" si="4"/>
        <v>0.88286970114384233</v>
      </c>
      <c r="E81" s="8">
        <f t="shared" si="5"/>
        <v>-1.4576691718339747</v>
      </c>
    </row>
    <row r="82" spans="1:5" x14ac:dyDescent="0.2">
      <c r="A82" s="1">
        <v>41729</v>
      </c>
      <c r="B82">
        <v>54571.34</v>
      </c>
      <c r="C82" s="6">
        <f t="shared" si="3"/>
        <v>-2.3371396678274494E-3</v>
      </c>
      <c r="D82" s="7">
        <f t="shared" si="4"/>
        <v>-0.22143265717992489</v>
      </c>
      <c r="E82" s="8">
        <f t="shared" si="5"/>
        <v>-0.69403371240744605</v>
      </c>
    </row>
    <row r="83" spans="1:5" x14ac:dyDescent="0.2">
      <c r="A83" s="1">
        <v>41730</v>
      </c>
      <c r="B83">
        <v>55066.98</v>
      </c>
      <c r="C83" s="6">
        <f t="shared" si="3"/>
        <v>9.0414259619234095E-3</v>
      </c>
      <c r="D83" s="7">
        <f t="shared" si="4"/>
        <v>0.7345483883899262</v>
      </c>
      <c r="E83" s="8">
        <f t="shared" si="5"/>
        <v>-1.2316721448011916</v>
      </c>
    </row>
    <row r="84" spans="1:5" x14ac:dyDescent="0.2">
      <c r="A84" s="1">
        <v>41731</v>
      </c>
      <c r="B84">
        <v>55158.85</v>
      </c>
      <c r="C84" s="6">
        <f t="shared" si="3"/>
        <v>1.6669417916512488E-3</v>
      </c>
      <c r="D84" s="7">
        <f t="shared" si="4"/>
        <v>0.11497406619221195</v>
      </c>
      <c r="E84" s="8">
        <f t="shared" si="5"/>
        <v>-0.64984344770646751</v>
      </c>
    </row>
    <row r="85" spans="1:5" x14ac:dyDescent="0.2">
      <c r="A85" s="1">
        <v>41732</v>
      </c>
      <c r="B85">
        <v>55042</v>
      </c>
      <c r="C85" s="6">
        <f t="shared" si="3"/>
        <v>-2.1206740926599326E-3</v>
      </c>
      <c r="D85" s="7">
        <f t="shared" si="4"/>
        <v>-0.20324609539243069</v>
      </c>
      <c r="E85" s="8">
        <f t="shared" si="5"/>
        <v>-0.68456967547605663</v>
      </c>
    </row>
    <row r="86" spans="1:5" x14ac:dyDescent="0.2">
      <c r="A86" s="1">
        <v>41733</v>
      </c>
      <c r="B86">
        <v>54832.63</v>
      </c>
      <c r="C86" s="6">
        <f t="shared" si="3"/>
        <v>-3.8110754668770879E-3</v>
      </c>
      <c r="D86" s="7">
        <f t="shared" si="4"/>
        <v>-0.34526677934679412</v>
      </c>
      <c r="E86" s="8">
        <f t="shared" si="5"/>
        <v>-0.77842012943727945</v>
      </c>
    </row>
    <row r="87" spans="1:5" x14ac:dyDescent="0.2">
      <c r="A87" s="1">
        <v>41736</v>
      </c>
      <c r="B87">
        <v>54096.1</v>
      </c>
      <c r="C87" s="6">
        <f t="shared" si="3"/>
        <v>-1.3523360177998309E-2</v>
      </c>
      <c r="D87" s="7">
        <f t="shared" si="4"/>
        <v>-1.1612536440473353</v>
      </c>
      <c r="E87" s="8">
        <f t="shared" si="5"/>
        <v>-1.9238189125193066</v>
      </c>
    </row>
    <row r="88" spans="1:5" x14ac:dyDescent="0.2">
      <c r="A88" s="1">
        <v>41737</v>
      </c>
      <c r="B88">
        <v>54374.8</v>
      </c>
      <c r="C88" s="6">
        <f t="shared" si="3"/>
        <v>5.1387167118294268E-3</v>
      </c>
      <c r="D88" s="7">
        <f t="shared" si="4"/>
        <v>0.40665854788973427</v>
      </c>
      <c r="E88" s="8">
        <f t="shared" si="5"/>
        <v>-0.83241305547693822</v>
      </c>
    </row>
    <row r="89" spans="1:5" x14ac:dyDescent="0.2">
      <c r="A89" s="1">
        <v>41738</v>
      </c>
      <c r="B89">
        <v>54744.21</v>
      </c>
      <c r="C89" s="6">
        <f t="shared" si="3"/>
        <v>6.7707984385006808E-3</v>
      </c>
      <c r="D89" s="7">
        <f t="shared" si="4"/>
        <v>0.54377945102353253</v>
      </c>
      <c r="E89" s="8">
        <f t="shared" si="5"/>
        <v>-0.97882925381083141</v>
      </c>
    </row>
    <row r="90" spans="1:5" x14ac:dyDescent="0.2">
      <c r="A90" s="1">
        <v>41739</v>
      </c>
      <c r="B90">
        <v>55300.81</v>
      </c>
      <c r="C90" s="6">
        <f t="shared" si="3"/>
        <v>1.0115946119290831E-2</v>
      </c>
      <c r="D90" s="7">
        <f t="shared" si="4"/>
        <v>0.8248252244122255</v>
      </c>
      <c r="E90" s="8">
        <f t="shared" si="5"/>
        <v>-1.3667575617882453</v>
      </c>
    </row>
    <row r="91" spans="1:5" x14ac:dyDescent="0.2">
      <c r="A91" s="1">
        <v>41740</v>
      </c>
      <c r="B91">
        <v>54529.66</v>
      </c>
      <c r="C91" s="6">
        <f t="shared" si="3"/>
        <v>-1.4042781980368837E-2</v>
      </c>
      <c r="D91" s="7">
        <f t="shared" si="4"/>
        <v>-1.2048933622578306</v>
      </c>
      <c r="E91" s="8">
        <f t="shared" si="5"/>
        <v>-1.9998066696947185</v>
      </c>
    </row>
    <row r="92" spans="1:5" x14ac:dyDescent="0.2">
      <c r="A92" s="1">
        <v>41743</v>
      </c>
      <c r="B92">
        <v>54791.11</v>
      </c>
      <c r="C92" s="6">
        <f t="shared" si="3"/>
        <v>4.7831806979048985E-3</v>
      </c>
      <c r="D92" s="7">
        <f t="shared" si="4"/>
        <v>0.37678785052866892</v>
      </c>
      <c r="E92" s="8">
        <f t="shared" si="5"/>
        <v>-0.80518703759190724</v>
      </c>
    </row>
    <row r="93" spans="1:5" x14ac:dyDescent="0.2">
      <c r="A93" s="1">
        <v>41744</v>
      </c>
      <c r="B93">
        <v>54300.02</v>
      </c>
      <c r="C93" s="6">
        <f t="shared" si="3"/>
        <v>-9.0033592525447046E-3</v>
      </c>
      <c r="D93" s="7">
        <f t="shared" si="4"/>
        <v>-0.78150145459791331</v>
      </c>
      <c r="E93" s="8">
        <f t="shared" si="5"/>
        <v>-1.3008917502217583</v>
      </c>
    </row>
    <row r="94" spans="1:5" x14ac:dyDescent="0.2">
      <c r="A94" s="1">
        <v>41745</v>
      </c>
      <c r="B94">
        <v>54608.14</v>
      </c>
      <c r="C94" s="6">
        <f t="shared" si="3"/>
        <v>5.6583606240442827E-3</v>
      </c>
      <c r="D94" s="7">
        <f t="shared" si="4"/>
        <v>0.45031692687067471</v>
      </c>
      <c r="E94" s="8">
        <f t="shared" si="5"/>
        <v>-0.87533300969373951</v>
      </c>
    </row>
    <row r="95" spans="1:5" x14ac:dyDescent="0.2">
      <c r="A95" s="1">
        <v>41746</v>
      </c>
      <c r="B95">
        <v>54866.52</v>
      </c>
      <c r="C95" s="6">
        <f t="shared" si="3"/>
        <v>4.7203705362723431E-3</v>
      </c>
      <c r="D95" s="7">
        <f t="shared" si="4"/>
        <v>0.37151079488354399</v>
      </c>
      <c r="E95" s="8">
        <f t="shared" si="5"/>
        <v>-0.8005635547038451</v>
      </c>
    </row>
    <row r="96" spans="1:5" x14ac:dyDescent="0.2">
      <c r="A96" s="1">
        <v>41751</v>
      </c>
      <c r="B96">
        <v>55223.83</v>
      </c>
      <c r="C96" s="6">
        <f t="shared" si="3"/>
        <v>6.4912366004500335E-3</v>
      </c>
      <c r="D96" s="7">
        <f t="shared" si="4"/>
        <v>0.52029179652142998</v>
      </c>
      <c r="E96" s="8">
        <f t="shared" si="5"/>
        <v>-0.95140852728089409</v>
      </c>
    </row>
    <row r="97" spans="1:5" x14ac:dyDescent="0.2">
      <c r="A97" s="1">
        <v>41752</v>
      </c>
      <c r="B97">
        <v>55226.68</v>
      </c>
      <c r="C97" s="6">
        <f t="shared" si="3"/>
        <v>5.1606823737255388E-5</v>
      </c>
      <c r="D97" s="7">
        <f t="shared" si="4"/>
        <v>-2.0739842029607845E-2</v>
      </c>
      <c r="E97" s="8">
        <f t="shared" si="5"/>
        <v>-0.63387165922543287</v>
      </c>
    </row>
    <row r="98" spans="1:5" x14ac:dyDescent="0.2">
      <c r="A98" s="1">
        <v>41753</v>
      </c>
      <c r="B98">
        <v>55468.32</v>
      </c>
      <c r="C98" s="6">
        <f t="shared" si="3"/>
        <v>4.365877118614663E-3</v>
      </c>
      <c r="D98" s="7">
        <f t="shared" si="4"/>
        <v>0.34172769224238631</v>
      </c>
      <c r="E98" s="8">
        <f t="shared" si="5"/>
        <v>-0.77554370583683474</v>
      </c>
    </row>
    <row r="99" spans="1:5" x14ac:dyDescent="0.2">
      <c r="A99" s="1">
        <v>41754</v>
      </c>
      <c r="B99">
        <v>55430.37</v>
      </c>
      <c r="C99" s="6">
        <f t="shared" si="3"/>
        <v>-6.8440847193699107E-4</v>
      </c>
      <c r="D99" s="7">
        <f t="shared" si="4"/>
        <v>-8.2576869191833324E-2</v>
      </c>
      <c r="E99" s="8">
        <f t="shared" si="5"/>
        <v>-0.64186327466240067</v>
      </c>
    </row>
    <row r="100" spans="1:5" x14ac:dyDescent="0.2">
      <c r="A100" s="1">
        <v>41758</v>
      </c>
      <c r="B100">
        <v>55609.56</v>
      </c>
      <c r="C100" s="6">
        <f t="shared" si="3"/>
        <v>3.227490427042999E-3</v>
      </c>
      <c r="D100" s="7">
        <f t="shared" si="4"/>
        <v>0.24608504842566192</v>
      </c>
      <c r="E100" s="8">
        <f t="shared" si="5"/>
        <v>-0.70809016393573498</v>
      </c>
    </row>
    <row r="101" spans="1:5" x14ac:dyDescent="0.2">
      <c r="A101" s="1">
        <v>41759</v>
      </c>
      <c r="B101">
        <v>55241.61</v>
      </c>
      <c r="C101" s="6">
        <f t="shared" si="3"/>
        <v>-6.638655259098224E-3</v>
      </c>
      <c r="D101" s="7">
        <f t="shared" si="4"/>
        <v>-0.58282859286150246</v>
      </c>
      <c r="E101" s="8">
        <f t="shared" si="5"/>
        <v>-1.0263765678405381</v>
      </c>
    </row>
    <row r="102" spans="1:5" x14ac:dyDescent="0.2">
      <c r="A102" s="1">
        <v>41761</v>
      </c>
      <c r="B102">
        <v>55483.26</v>
      </c>
      <c r="C102" s="6">
        <f t="shared" si="3"/>
        <v>4.3648799707437227E-3</v>
      </c>
      <c r="D102" s="7">
        <f t="shared" si="4"/>
        <v>0.34164391591281479</v>
      </c>
      <c r="E102" s="8">
        <f t="shared" si="5"/>
        <v>-0.77547593500870549</v>
      </c>
    </row>
    <row r="103" spans="1:5" x14ac:dyDescent="0.2">
      <c r="A103" s="1">
        <v>41764</v>
      </c>
      <c r="B103">
        <v>55192.480000000003</v>
      </c>
      <c r="C103" s="6">
        <f t="shared" si="3"/>
        <v>-5.2546415152313983E-3</v>
      </c>
      <c r="D103" s="7">
        <f t="shared" si="4"/>
        <v>-0.46654935793882957</v>
      </c>
      <c r="E103" s="8">
        <f t="shared" si="5"/>
        <v>-0.89220301966265259</v>
      </c>
    </row>
    <row r="104" spans="1:5" x14ac:dyDescent="0.2">
      <c r="A104" s="1">
        <v>41765</v>
      </c>
      <c r="B104">
        <v>55375.94</v>
      </c>
      <c r="C104" s="6">
        <f t="shared" si="3"/>
        <v>3.318491271937589E-3</v>
      </c>
      <c r="D104" s="7">
        <f t="shared" si="4"/>
        <v>0.25373057121656706</v>
      </c>
      <c r="E104" s="8">
        <f t="shared" si="5"/>
        <v>-0.71273327591915392</v>
      </c>
    </row>
    <row r="105" spans="1:5" x14ac:dyDescent="0.2">
      <c r="A105" s="1">
        <v>41767</v>
      </c>
      <c r="B105">
        <v>55471.05</v>
      </c>
      <c r="C105" s="6">
        <f t="shared" si="3"/>
        <v>1.7160596483579821E-3</v>
      </c>
      <c r="D105" s="7">
        <f t="shared" si="4"/>
        <v>0.11910074977769664</v>
      </c>
      <c r="E105" s="8">
        <f t="shared" si="5"/>
        <v>-0.65104566483925808</v>
      </c>
    </row>
    <row r="106" spans="1:5" x14ac:dyDescent="0.2">
      <c r="A106" s="1">
        <v>41768</v>
      </c>
      <c r="B106">
        <v>55310.8</v>
      </c>
      <c r="C106" s="6">
        <f t="shared" si="3"/>
        <v>-2.8930752063233006E-3</v>
      </c>
      <c r="D106" s="7">
        <f t="shared" si="4"/>
        <v>-0.26814011176199587</v>
      </c>
      <c r="E106" s="8">
        <f t="shared" si="5"/>
        <v>-0.72184516140214094</v>
      </c>
    </row>
    <row r="107" spans="1:5" x14ac:dyDescent="0.2">
      <c r="A107" s="1">
        <v>41771</v>
      </c>
      <c r="B107">
        <v>55638.82</v>
      </c>
      <c r="C107" s="6">
        <f t="shared" si="3"/>
        <v>5.9129712335977977E-3</v>
      </c>
      <c r="D107" s="7">
        <f t="shared" si="4"/>
        <v>0.47170828010923538</v>
      </c>
      <c r="E107" s="8">
        <f t="shared" si="5"/>
        <v>-0.89766518183497979</v>
      </c>
    </row>
    <row r="108" spans="1:5" x14ac:dyDescent="0.2">
      <c r="A108" s="1">
        <v>41772</v>
      </c>
      <c r="B108">
        <v>55491.34</v>
      </c>
      <c r="C108" s="6">
        <f t="shared" si="3"/>
        <v>-2.6541865246920118E-3</v>
      </c>
      <c r="D108" s="7">
        <f t="shared" si="4"/>
        <v>-0.2480696512952065</v>
      </c>
      <c r="E108" s="8">
        <f t="shared" si="5"/>
        <v>-0.70928258318116144</v>
      </c>
    </row>
    <row r="109" spans="1:5" x14ac:dyDescent="0.2">
      <c r="A109" s="1">
        <v>41773</v>
      </c>
      <c r="B109">
        <v>56391</v>
      </c>
      <c r="C109" s="6">
        <f t="shared" si="3"/>
        <v>1.6082598761104003E-2</v>
      </c>
      <c r="D109" s="7">
        <f t="shared" si="4"/>
        <v>1.3261192377946103</v>
      </c>
      <c r="E109" s="8">
        <f t="shared" si="5"/>
        <v>-2.2128403780088144</v>
      </c>
    </row>
    <row r="110" spans="1:5" x14ac:dyDescent="0.2">
      <c r="A110" s="1">
        <v>41774</v>
      </c>
      <c r="B110">
        <v>56450.31</v>
      </c>
      <c r="C110" s="6">
        <f t="shared" si="3"/>
        <v>1.051210863498178E-3</v>
      </c>
      <c r="D110" s="7">
        <f t="shared" si="4"/>
        <v>6.3242844908360574E-2</v>
      </c>
      <c r="E110" s="8">
        <f t="shared" si="5"/>
        <v>-0.638339847486593</v>
      </c>
    </row>
    <row r="111" spans="1:5" x14ac:dyDescent="0.2">
      <c r="A111" s="1">
        <v>41775</v>
      </c>
      <c r="B111">
        <v>56438.19</v>
      </c>
      <c r="C111" s="6">
        <f t="shared" si="3"/>
        <v>-2.1472514997658286E-4</v>
      </c>
      <c r="D111" s="7">
        <f t="shared" si="4"/>
        <v>-4.3115976859285143E-2</v>
      </c>
      <c r="E111" s="8">
        <f t="shared" si="5"/>
        <v>-0.63566119644817376</v>
      </c>
    </row>
    <row r="112" spans="1:5" x14ac:dyDescent="0.2">
      <c r="A112" s="1">
        <v>41778</v>
      </c>
      <c r="B112">
        <v>56947.03</v>
      </c>
      <c r="C112" s="6">
        <f t="shared" si="3"/>
        <v>8.9754805075327564E-3</v>
      </c>
      <c r="D112" s="7">
        <f t="shared" si="4"/>
        <v>0.72900791813292631</v>
      </c>
      <c r="E112" s="8">
        <f t="shared" si="5"/>
        <v>-1.223663838684758</v>
      </c>
    </row>
    <row r="113" spans="1:5" x14ac:dyDescent="0.2">
      <c r="A113" s="1">
        <v>41779</v>
      </c>
      <c r="B113">
        <v>57426.84</v>
      </c>
      <c r="C113" s="6">
        <f t="shared" si="3"/>
        <v>8.3902523318560296E-3</v>
      </c>
      <c r="D113" s="7">
        <f t="shared" si="4"/>
        <v>0.6798394146954132</v>
      </c>
      <c r="E113" s="8">
        <f t="shared" si="5"/>
        <v>-1.1541832346445289</v>
      </c>
    </row>
    <row r="114" spans="1:5" x14ac:dyDescent="0.2">
      <c r="A114" s="1">
        <v>41780</v>
      </c>
      <c r="B114">
        <v>57622.68</v>
      </c>
      <c r="C114" s="6">
        <f t="shared" si="3"/>
        <v>3.4044503471786849E-3</v>
      </c>
      <c r="D114" s="7">
        <f t="shared" si="4"/>
        <v>0.26095250492061334</v>
      </c>
      <c r="E114" s="8">
        <f t="shared" si="5"/>
        <v>-0.71724133232531495</v>
      </c>
    </row>
    <row r="115" spans="1:5" x14ac:dyDescent="0.2">
      <c r="A115" s="1">
        <v>41781</v>
      </c>
      <c r="B115">
        <v>57998.19</v>
      </c>
      <c r="C115" s="6">
        <f t="shared" si="3"/>
        <v>6.4955629602651815E-3</v>
      </c>
      <c r="D115" s="7">
        <f t="shared" si="4"/>
        <v>0.52065527976827986</v>
      </c>
      <c r="E115" s="8">
        <f t="shared" si="5"/>
        <v>-0.95182590883205986</v>
      </c>
    </row>
    <row r="116" spans="1:5" x14ac:dyDescent="0.2">
      <c r="A116" s="1">
        <v>41782</v>
      </c>
      <c r="B116">
        <v>57888.9</v>
      </c>
      <c r="C116" s="6">
        <f t="shared" si="3"/>
        <v>-1.8861468072135818E-3</v>
      </c>
      <c r="D116" s="7">
        <f t="shared" si="4"/>
        <v>-0.18354206178652085</v>
      </c>
      <c r="E116" s="8">
        <f t="shared" si="5"/>
        <v>-0.67519551000886879</v>
      </c>
    </row>
    <row r="117" spans="1:5" x14ac:dyDescent="0.2">
      <c r="A117" s="1">
        <v>41785</v>
      </c>
      <c r="B117">
        <v>58018.1</v>
      </c>
      <c r="C117" s="6">
        <f t="shared" si="3"/>
        <v>2.2293744728362663E-3</v>
      </c>
      <c r="D117" s="7">
        <f t="shared" si="4"/>
        <v>0.1622273844150362</v>
      </c>
      <c r="E117" s="8">
        <f t="shared" si="5"/>
        <v>-0.66609686080994124</v>
      </c>
    </row>
    <row r="118" spans="1:5" x14ac:dyDescent="0.2">
      <c r="A118" s="1">
        <v>41786</v>
      </c>
      <c r="B118">
        <v>57940.45</v>
      </c>
      <c r="C118" s="6">
        <f t="shared" si="3"/>
        <v>-1.3392718623405286E-3</v>
      </c>
      <c r="D118" s="7">
        <f t="shared" si="4"/>
        <v>-0.13759584162070693</v>
      </c>
      <c r="E118" s="8">
        <f t="shared" si="5"/>
        <v>-0.65694612093390281</v>
      </c>
    </row>
    <row r="119" spans="1:5" x14ac:dyDescent="0.2">
      <c r="A119" s="1">
        <v>41787</v>
      </c>
      <c r="B119">
        <v>57837.7</v>
      </c>
      <c r="C119" s="6">
        <f t="shared" si="3"/>
        <v>-1.7749467749417114E-3</v>
      </c>
      <c r="D119" s="7">
        <f t="shared" si="4"/>
        <v>-0.17419948499980231</v>
      </c>
      <c r="E119" s="8">
        <f t="shared" si="5"/>
        <v>-0.67107344530316215</v>
      </c>
    </row>
    <row r="120" spans="1:5" x14ac:dyDescent="0.2">
      <c r="A120" s="1">
        <v>41788</v>
      </c>
      <c r="B120">
        <v>57886.5</v>
      </c>
      <c r="C120" s="6">
        <f t="shared" si="3"/>
        <v>8.4338457976150505E-4</v>
      </c>
      <c r="D120" s="7">
        <f t="shared" si="4"/>
        <v>4.5782121431579843E-2</v>
      </c>
      <c r="E120" s="8">
        <f t="shared" si="5"/>
        <v>-0.63595791851684547</v>
      </c>
    </row>
    <row r="121" spans="1:5" x14ac:dyDescent="0.2">
      <c r="A121" s="1">
        <v>41789</v>
      </c>
      <c r="B121">
        <v>58060.9</v>
      </c>
      <c r="C121" s="6">
        <f t="shared" si="3"/>
        <v>3.0082629109665772E-3</v>
      </c>
      <c r="D121" s="7">
        <f t="shared" si="4"/>
        <v>0.22766643953804874</v>
      </c>
      <c r="E121" s="8">
        <f t="shared" si="5"/>
        <v>-0.69745538315931421</v>
      </c>
    </row>
    <row r="122" spans="1:5" x14ac:dyDescent="0.2">
      <c r="A122" s="1">
        <v>41792</v>
      </c>
      <c r="B122">
        <v>58027.05</v>
      </c>
      <c r="C122" s="6">
        <f t="shared" si="3"/>
        <v>-5.8317854625491744E-4</v>
      </c>
      <c r="D122" s="7">
        <f t="shared" si="4"/>
        <v>-7.4071940420892463E-2</v>
      </c>
      <c r="E122" s="8">
        <f t="shared" si="5"/>
        <v>-0.64019885490291828</v>
      </c>
    </row>
    <row r="123" spans="1:5" x14ac:dyDescent="0.2">
      <c r="A123" s="1">
        <v>41793</v>
      </c>
      <c r="B123">
        <v>58318.66</v>
      </c>
      <c r="C123" s="6">
        <f t="shared" si="3"/>
        <v>5.0128296203149503E-3</v>
      </c>
      <c r="D123" s="7">
        <f t="shared" si="4"/>
        <v>0.39608202381053964</v>
      </c>
      <c r="E123" s="8">
        <f t="shared" si="5"/>
        <v>-0.82256983668804418</v>
      </c>
    </row>
    <row r="124" spans="1:5" x14ac:dyDescent="0.2">
      <c r="A124" s="1">
        <v>41794</v>
      </c>
      <c r="B124">
        <v>58252.28</v>
      </c>
      <c r="C124" s="6">
        <f t="shared" si="3"/>
        <v>-1.1388774453531775E-3</v>
      </c>
      <c r="D124" s="7">
        <f t="shared" si="4"/>
        <v>-0.12075951351824088</v>
      </c>
      <c r="E124" s="8">
        <f t="shared" si="5"/>
        <v>-0.65154068424804779</v>
      </c>
    </row>
    <row r="125" spans="1:5" x14ac:dyDescent="0.2">
      <c r="A125" s="1">
        <v>41795</v>
      </c>
      <c r="B125">
        <v>58127.63</v>
      </c>
      <c r="C125" s="6">
        <f t="shared" si="3"/>
        <v>-2.142123114978055E-3</v>
      </c>
      <c r="D125" s="7">
        <f t="shared" si="4"/>
        <v>-0.20504815546303545</v>
      </c>
      <c r="E125" s="8">
        <f t="shared" si="5"/>
        <v>-0.68547281098031432</v>
      </c>
    </row>
    <row r="126" spans="1:5" x14ac:dyDescent="0.2">
      <c r="A126" s="1">
        <v>41796</v>
      </c>
      <c r="B126">
        <v>57999.51</v>
      </c>
      <c r="C126" s="6">
        <f t="shared" si="3"/>
        <v>-2.2065479608491044E-3</v>
      </c>
      <c r="D126" s="7">
        <f t="shared" si="4"/>
        <v>-0.21046087034472927</v>
      </c>
      <c r="E126" s="8">
        <f t="shared" si="5"/>
        <v>-0.68823140247658066</v>
      </c>
    </row>
    <row r="127" spans="1:5" x14ac:dyDescent="0.2">
      <c r="A127" s="1">
        <v>41799</v>
      </c>
      <c r="B127">
        <v>58304.86</v>
      </c>
      <c r="C127" s="6">
        <f t="shared" si="3"/>
        <v>5.2508895682621768E-3</v>
      </c>
      <c r="D127" s="7">
        <f t="shared" si="4"/>
        <v>0.41608285742632084</v>
      </c>
      <c r="E127" s="8">
        <f t="shared" si="5"/>
        <v>-0.84136868911933926</v>
      </c>
    </row>
    <row r="128" spans="1:5" x14ac:dyDescent="0.2">
      <c r="A128" s="1">
        <v>41800</v>
      </c>
      <c r="B128">
        <v>59574.2</v>
      </c>
      <c r="C128" s="6">
        <f t="shared" si="3"/>
        <v>2.1537142639978975E-2</v>
      </c>
      <c r="D128" s="7">
        <f t="shared" si="4"/>
        <v>1.7843879449504259</v>
      </c>
      <c r="E128" s="8">
        <f t="shared" si="5"/>
        <v>-3.0168767365139111</v>
      </c>
    </row>
    <row r="129" spans="1:5" x14ac:dyDescent="0.2">
      <c r="A129" s="1">
        <v>41801</v>
      </c>
      <c r="B129">
        <v>59250.239999999998</v>
      </c>
      <c r="C129" s="6">
        <f t="shared" si="3"/>
        <v>-5.4527638031634379E-3</v>
      </c>
      <c r="D129" s="7">
        <f t="shared" si="4"/>
        <v>-0.48319479095129519</v>
      </c>
      <c r="E129" s="8">
        <f t="shared" si="5"/>
        <v>-0.9099985663552852</v>
      </c>
    </row>
    <row r="130" spans="1:5" x14ac:dyDescent="0.2">
      <c r="A130" s="1">
        <v>41802</v>
      </c>
      <c r="B130">
        <v>59425.57</v>
      </c>
      <c r="C130" s="6">
        <f t="shared" si="3"/>
        <v>2.9547744828988328E-3</v>
      </c>
      <c r="D130" s="7">
        <f t="shared" si="4"/>
        <v>0.22317255823051441</v>
      </c>
      <c r="E130" s="8">
        <f t="shared" si="5"/>
        <v>-0.69497964226970321</v>
      </c>
    </row>
    <row r="131" spans="1:5" x14ac:dyDescent="0.2">
      <c r="A131" s="1">
        <v>41803</v>
      </c>
      <c r="B131">
        <v>59575.42</v>
      </c>
      <c r="C131" s="6">
        <f t="shared" ref="C131:C194" si="6">LN(B131/B130)</f>
        <v>2.5184677741623258E-3</v>
      </c>
      <c r="D131" s="7">
        <f t="shared" ref="D131:D194" si="7">(C131-$G$4)/$G$5</f>
        <v>0.18651583389642987</v>
      </c>
      <c r="E131" s="8">
        <f t="shared" ref="E131:E194" si="8">LN((PI()*(G$3-2))^(-1/2)*EXP(GAMMALN((G$3+1)/2))*((1+D131^2/(G$3-2))^(-(G$3+1)/2))/EXP(GAMMALN(G$3/2)))</f>
        <v>-0.67655125983014097</v>
      </c>
    </row>
    <row r="132" spans="1:5" x14ac:dyDescent="0.2">
      <c r="A132" s="1">
        <v>41807</v>
      </c>
      <c r="B132">
        <v>59682.39</v>
      </c>
      <c r="C132" s="6">
        <f t="shared" si="6"/>
        <v>1.7939291135299893E-3</v>
      </c>
      <c r="D132" s="7">
        <f t="shared" si="7"/>
        <v>0.12564302717498668</v>
      </c>
      <c r="E132" s="8">
        <f t="shared" si="8"/>
        <v>-0.65303720828374212</v>
      </c>
    </row>
    <row r="133" spans="1:5" x14ac:dyDescent="0.2">
      <c r="A133" s="1">
        <v>41808</v>
      </c>
      <c r="B133">
        <v>59378.63</v>
      </c>
      <c r="C133" s="6">
        <f t="shared" si="6"/>
        <v>-5.1026046824091684E-3</v>
      </c>
      <c r="D133" s="7">
        <f t="shared" si="7"/>
        <v>-0.45377583839902913</v>
      </c>
      <c r="E133" s="8">
        <f t="shared" si="8"/>
        <v>-0.87888717437952268</v>
      </c>
    </row>
    <row r="134" spans="1:5" x14ac:dyDescent="0.2">
      <c r="A134" s="1">
        <v>41809</v>
      </c>
      <c r="B134">
        <v>59985.33</v>
      </c>
      <c r="C134" s="6">
        <f t="shared" si="6"/>
        <v>1.01656349989728E-2</v>
      </c>
      <c r="D134" s="7">
        <f t="shared" si="7"/>
        <v>0.82899988303768202</v>
      </c>
      <c r="E134" s="8">
        <f t="shared" si="8"/>
        <v>-1.3731982453662694</v>
      </c>
    </row>
    <row r="135" spans="1:5" x14ac:dyDescent="0.2">
      <c r="A135" s="1">
        <v>41810</v>
      </c>
      <c r="B135">
        <v>60053.32</v>
      </c>
      <c r="C135" s="6">
        <f t="shared" si="6"/>
        <v>1.1328019312215991E-3</v>
      </c>
      <c r="D135" s="7">
        <f t="shared" si="7"/>
        <v>7.0097796294100789E-2</v>
      </c>
      <c r="E135" s="8">
        <f t="shared" si="8"/>
        <v>-0.63948272810263718</v>
      </c>
    </row>
    <row r="136" spans="1:5" x14ac:dyDescent="0.2">
      <c r="A136" s="1">
        <v>41813</v>
      </c>
      <c r="B136">
        <v>59308.09</v>
      </c>
      <c r="C136" s="6">
        <f t="shared" si="6"/>
        <v>-1.2487112601841493E-2</v>
      </c>
      <c r="D136" s="7">
        <f t="shared" si="7"/>
        <v>-1.074192315444241</v>
      </c>
      <c r="E136" s="8">
        <f t="shared" si="8"/>
        <v>-1.7739855660540811</v>
      </c>
    </row>
    <row r="137" spans="1:5" x14ac:dyDescent="0.2">
      <c r="A137" s="1">
        <v>41814</v>
      </c>
      <c r="B137">
        <v>59197.42</v>
      </c>
      <c r="C137" s="6">
        <f t="shared" si="6"/>
        <v>-1.867761797286943E-3</v>
      </c>
      <c r="D137" s="7">
        <f t="shared" si="7"/>
        <v>-0.18199742763979448</v>
      </c>
      <c r="E137" s="8">
        <f t="shared" si="8"/>
        <v>-0.67449961994520935</v>
      </c>
    </row>
    <row r="138" spans="1:5" x14ac:dyDescent="0.2">
      <c r="A138" s="1">
        <v>41815</v>
      </c>
      <c r="B138">
        <v>58819.68</v>
      </c>
      <c r="C138" s="6">
        <f t="shared" si="6"/>
        <v>-6.4014670745651927E-3</v>
      </c>
      <c r="D138" s="7">
        <f t="shared" si="7"/>
        <v>-0.5629010012805532</v>
      </c>
      <c r="E138" s="8">
        <f t="shared" si="8"/>
        <v>-1.0018134396523577</v>
      </c>
    </row>
    <row r="139" spans="1:5" x14ac:dyDescent="0.2">
      <c r="A139" s="1">
        <v>41816</v>
      </c>
      <c r="B139">
        <v>59451.09</v>
      </c>
      <c r="C139" s="6">
        <f t="shared" si="6"/>
        <v>1.067746491915228E-2</v>
      </c>
      <c r="D139" s="7">
        <f t="shared" si="7"/>
        <v>0.8720017620238848</v>
      </c>
      <c r="E139" s="8">
        <f t="shared" si="8"/>
        <v>-1.4404324864921998</v>
      </c>
    </row>
    <row r="140" spans="1:5" x14ac:dyDescent="0.2">
      <c r="A140" s="1">
        <v>41817</v>
      </c>
      <c r="B140">
        <v>59156.51</v>
      </c>
      <c r="C140" s="6">
        <f t="shared" si="6"/>
        <v>-4.9673141638559007E-3</v>
      </c>
      <c r="D140" s="7">
        <f t="shared" si="7"/>
        <v>-0.44240927642709876</v>
      </c>
      <c r="E140" s="8">
        <f t="shared" si="8"/>
        <v>-0.8672910923088899</v>
      </c>
    </row>
    <row r="141" spans="1:5" x14ac:dyDescent="0.2">
      <c r="A141" s="1">
        <v>41820</v>
      </c>
      <c r="B141">
        <v>59612.56</v>
      </c>
      <c r="C141" s="6">
        <f t="shared" si="6"/>
        <v>7.6796465842235906E-3</v>
      </c>
      <c r="D141" s="7">
        <f t="shared" si="7"/>
        <v>0.62013719495047348</v>
      </c>
      <c r="E141" s="8">
        <f t="shared" si="8"/>
        <v>-1.0739677393124196</v>
      </c>
    </row>
    <row r="142" spans="1:5" x14ac:dyDescent="0.2">
      <c r="A142" s="1">
        <v>41821</v>
      </c>
      <c r="B142">
        <v>59925.68</v>
      </c>
      <c r="C142" s="6">
        <f t="shared" si="6"/>
        <v>5.2388376496451932E-3</v>
      </c>
      <c r="D142" s="7">
        <f t="shared" si="7"/>
        <v>0.41507030398720701</v>
      </c>
      <c r="E142" s="8">
        <f t="shared" si="8"/>
        <v>-0.84039820614185323</v>
      </c>
    </row>
    <row r="143" spans="1:5" x14ac:dyDescent="0.2">
      <c r="A143" s="1">
        <v>41822</v>
      </c>
      <c r="B143">
        <v>60545.24</v>
      </c>
      <c r="C143" s="6">
        <f t="shared" si="6"/>
        <v>1.0285726418400726E-2</v>
      </c>
      <c r="D143" s="7">
        <f t="shared" si="7"/>
        <v>0.83908947819794566</v>
      </c>
      <c r="E143" s="8">
        <f t="shared" si="8"/>
        <v>-1.3888294884943313</v>
      </c>
    </row>
    <row r="144" spans="1:5" x14ac:dyDescent="0.2">
      <c r="A144" s="1">
        <v>41823</v>
      </c>
      <c r="B144">
        <v>60381</v>
      </c>
      <c r="C144" s="6">
        <f t="shared" si="6"/>
        <v>-2.7163682752262344E-3</v>
      </c>
      <c r="D144" s="7">
        <f t="shared" si="7"/>
        <v>-0.25329391038245419</v>
      </c>
      <c r="E144" s="8">
        <f t="shared" si="8"/>
        <v>-0.71246450344384427</v>
      </c>
    </row>
    <row r="145" spans="1:5" x14ac:dyDescent="0.2">
      <c r="A145" s="1">
        <v>41824</v>
      </c>
      <c r="B145">
        <v>60511.38</v>
      </c>
      <c r="C145" s="6">
        <f t="shared" si="6"/>
        <v>2.1569606049475329E-3</v>
      </c>
      <c r="D145" s="7">
        <f t="shared" si="7"/>
        <v>0.15614346422767736</v>
      </c>
      <c r="E145" s="8">
        <f t="shared" si="8"/>
        <v>-0.66370007774991491</v>
      </c>
    </row>
    <row r="146" spans="1:5" x14ac:dyDescent="0.2">
      <c r="A146" s="1">
        <v>41827</v>
      </c>
      <c r="B146">
        <v>60150.01</v>
      </c>
      <c r="C146" s="6">
        <f t="shared" si="6"/>
        <v>-5.9898378502048306E-3</v>
      </c>
      <c r="D146" s="7">
        <f t="shared" si="7"/>
        <v>-0.5283175793365571</v>
      </c>
      <c r="E146" s="8">
        <f t="shared" si="8"/>
        <v>-0.96067578222346639</v>
      </c>
    </row>
    <row r="147" spans="1:5" x14ac:dyDescent="0.2">
      <c r="A147" s="1">
        <v>41828</v>
      </c>
      <c r="B147">
        <v>59704.95</v>
      </c>
      <c r="C147" s="6">
        <f t="shared" si="6"/>
        <v>-7.426677137515744E-3</v>
      </c>
      <c r="D147" s="7">
        <f t="shared" si="7"/>
        <v>-0.64903500268277214</v>
      </c>
      <c r="E147" s="8">
        <f t="shared" si="8"/>
        <v>-1.1121960605708276</v>
      </c>
    </row>
    <row r="148" spans="1:5" x14ac:dyDescent="0.2">
      <c r="A148" s="1">
        <v>41829</v>
      </c>
      <c r="B148">
        <v>59245.29</v>
      </c>
      <c r="C148" s="6">
        <f t="shared" si="6"/>
        <v>-7.7286483496323269E-3</v>
      </c>
      <c r="D148" s="7">
        <f t="shared" si="7"/>
        <v>-0.67440540212366618</v>
      </c>
      <c r="E148" s="8">
        <f t="shared" si="8"/>
        <v>-1.1466870256638368</v>
      </c>
    </row>
    <row r="149" spans="1:5" x14ac:dyDescent="0.2">
      <c r="A149" s="1">
        <v>41830</v>
      </c>
      <c r="B149">
        <v>58798.97</v>
      </c>
      <c r="C149" s="6">
        <f t="shared" si="6"/>
        <v>-7.5619454402112559E-3</v>
      </c>
      <c r="D149" s="7">
        <f t="shared" si="7"/>
        <v>-0.66039969816822119</v>
      </c>
      <c r="E149" s="8">
        <f t="shared" si="8"/>
        <v>-1.127541658298626</v>
      </c>
    </row>
    <row r="150" spans="1:5" x14ac:dyDescent="0.2">
      <c r="A150" s="1">
        <v>41831</v>
      </c>
      <c r="B150">
        <v>59072.95</v>
      </c>
      <c r="C150" s="6">
        <f t="shared" si="6"/>
        <v>4.6487830760568883E-3</v>
      </c>
      <c r="D150" s="7">
        <f t="shared" si="7"/>
        <v>0.36549630612517847</v>
      </c>
      <c r="E150" s="8">
        <f t="shared" si="8"/>
        <v>-0.79536326295376547</v>
      </c>
    </row>
    <row r="151" spans="1:5" x14ac:dyDescent="0.2">
      <c r="A151" s="1">
        <v>41834</v>
      </c>
      <c r="B151">
        <v>59601.04</v>
      </c>
      <c r="C151" s="6">
        <f t="shared" si="6"/>
        <v>8.899902763078971E-3</v>
      </c>
      <c r="D151" s="7">
        <f t="shared" si="7"/>
        <v>0.72265818183788488</v>
      </c>
      <c r="E151" s="8">
        <f t="shared" si="8"/>
        <v>-1.2145290501096384</v>
      </c>
    </row>
    <row r="152" spans="1:5" x14ac:dyDescent="0.2">
      <c r="A152" s="1">
        <v>41835</v>
      </c>
      <c r="B152">
        <v>59866.8</v>
      </c>
      <c r="C152" s="6">
        <f t="shared" si="6"/>
        <v>4.4490707855116326E-3</v>
      </c>
      <c r="D152" s="7">
        <f t="shared" si="7"/>
        <v>0.34871728752643583</v>
      </c>
      <c r="E152" s="8">
        <f t="shared" si="8"/>
        <v>-0.7812498558563119</v>
      </c>
    </row>
    <row r="153" spans="1:5" x14ac:dyDescent="0.2">
      <c r="A153" s="1">
        <v>41836</v>
      </c>
      <c r="B153">
        <v>60094.12</v>
      </c>
      <c r="C153" s="6">
        <f t="shared" si="6"/>
        <v>3.7899054473788021E-3</v>
      </c>
      <c r="D153" s="7">
        <f t="shared" si="7"/>
        <v>0.29333688285539244</v>
      </c>
      <c r="E153" s="8">
        <f t="shared" si="8"/>
        <v>-0.73889793497074618</v>
      </c>
    </row>
    <row r="154" spans="1:5" x14ac:dyDescent="0.2">
      <c r="A154" s="1">
        <v>41837</v>
      </c>
      <c r="B154">
        <v>59807.19</v>
      </c>
      <c r="C154" s="6">
        <f t="shared" si="6"/>
        <v>-4.7861119736238543E-3</v>
      </c>
      <c r="D154" s="7">
        <f t="shared" si="7"/>
        <v>-0.42718540156323581</v>
      </c>
      <c r="E154" s="8">
        <f t="shared" si="8"/>
        <v>-0.8521396704565708</v>
      </c>
    </row>
    <row r="155" spans="1:5" x14ac:dyDescent="0.2">
      <c r="A155" s="1">
        <v>41838</v>
      </c>
      <c r="B155">
        <v>59734.31</v>
      </c>
      <c r="C155" s="6">
        <f t="shared" si="6"/>
        <v>-1.2193256572748626E-3</v>
      </c>
      <c r="D155" s="7">
        <f t="shared" si="7"/>
        <v>-0.12751844678361077</v>
      </c>
      <c r="E155" s="8">
        <f t="shared" si="8"/>
        <v>-0.65362743739314544</v>
      </c>
    </row>
    <row r="156" spans="1:5" x14ac:dyDescent="0.2">
      <c r="A156" s="1">
        <v>41841</v>
      </c>
      <c r="B156">
        <v>59188.87</v>
      </c>
      <c r="C156" s="6">
        <f t="shared" si="6"/>
        <v>-9.1730447277643106E-3</v>
      </c>
      <c r="D156" s="7">
        <f t="shared" si="7"/>
        <v>-0.7957577416640369</v>
      </c>
      <c r="E156" s="8">
        <f t="shared" si="8"/>
        <v>-1.3223642754539229</v>
      </c>
    </row>
    <row r="157" spans="1:5" x14ac:dyDescent="0.2">
      <c r="A157" s="1">
        <v>41842</v>
      </c>
      <c r="B157">
        <v>59620</v>
      </c>
      <c r="C157" s="6">
        <f t="shared" si="6"/>
        <v>7.2575707922078615E-3</v>
      </c>
      <c r="D157" s="7">
        <f t="shared" si="7"/>
        <v>0.58467609465977233</v>
      </c>
      <c r="E157" s="8">
        <f t="shared" si="8"/>
        <v>-1.0286846647948453</v>
      </c>
    </row>
    <row r="158" spans="1:5" x14ac:dyDescent="0.2">
      <c r="A158" s="1">
        <v>41843</v>
      </c>
      <c r="B158">
        <v>59478.36</v>
      </c>
      <c r="C158" s="6">
        <f t="shared" si="6"/>
        <v>-2.3785393313015693E-3</v>
      </c>
      <c r="D158" s="7">
        <f t="shared" si="7"/>
        <v>-0.22491088939846998</v>
      </c>
      <c r="E158" s="8">
        <f t="shared" si="8"/>
        <v>-0.69593175004744456</v>
      </c>
    </row>
    <row r="159" spans="1:5" x14ac:dyDescent="0.2">
      <c r="A159" s="1">
        <v>41844</v>
      </c>
      <c r="B159">
        <v>59086.879999999997</v>
      </c>
      <c r="C159" s="6">
        <f t="shared" si="6"/>
        <v>-6.6036457673727842E-3</v>
      </c>
      <c r="D159" s="7">
        <f t="shared" si="7"/>
        <v>-0.57988723701810452</v>
      </c>
      <c r="E159" s="8">
        <f t="shared" si="8"/>
        <v>-1.0227126032109883</v>
      </c>
    </row>
    <row r="160" spans="1:5" x14ac:dyDescent="0.2">
      <c r="A160" s="1">
        <v>41845</v>
      </c>
      <c r="B160">
        <v>58750.01</v>
      </c>
      <c r="C160" s="6">
        <f t="shared" si="6"/>
        <v>-5.7175799142311547E-3</v>
      </c>
      <c r="D160" s="7">
        <f t="shared" si="7"/>
        <v>-0.5054435691347543</v>
      </c>
      <c r="E160" s="8">
        <f t="shared" si="8"/>
        <v>-0.93454950276040571</v>
      </c>
    </row>
    <row r="161" spans="1:5" x14ac:dyDescent="0.2">
      <c r="A161" s="1">
        <v>41848</v>
      </c>
      <c r="B161">
        <v>59317.42</v>
      </c>
      <c r="C161" s="6">
        <f t="shared" si="6"/>
        <v>9.6117001671096654E-3</v>
      </c>
      <c r="D161" s="7">
        <f t="shared" si="7"/>
        <v>0.78246051973186315</v>
      </c>
      <c r="E161" s="8">
        <f t="shared" si="8"/>
        <v>-1.3023298609798066</v>
      </c>
    </row>
    <row r="162" spans="1:5" x14ac:dyDescent="0.2">
      <c r="A162" s="1">
        <v>41849</v>
      </c>
      <c r="B162">
        <v>59601.87</v>
      </c>
      <c r="C162" s="6">
        <f t="shared" si="6"/>
        <v>4.7839260138893896E-3</v>
      </c>
      <c r="D162" s="7">
        <f t="shared" si="7"/>
        <v>0.37685046896207419</v>
      </c>
      <c r="E162" s="8">
        <f t="shared" si="8"/>
        <v>-0.8052422403512961</v>
      </c>
    </row>
    <row r="163" spans="1:5" x14ac:dyDescent="0.2">
      <c r="A163" s="1">
        <v>41850</v>
      </c>
      <c r="B163">
        <v>59240.79</v>
      </c>
      <c r="C163" s="6">
        <f t="shared" si="6"/>
        <v>-6.076624523274181E-3</v>
      </c>
      <c r="D163" s="7">
        <f t="shared" si="7"/>
        <v>-0.53560904446160229</v>
      </c>
      <c r="E163" s="8">
        <f t="shared" si="8"/>
        <v>-0.96918774302467481</v>
      </c>
    </row>
    <row r="164" spans="1:5" x14ac:dyDescent="0.2">
      <c r="A164" s="1">
        <v>41851</v>
      </c>
      <c r="B164">
        <v>58799.66</v>
      </c>
      <c r="C164" s="6">
        <f t="shared" si="6"/>
        <v>-7.4742523198063193E-3</v>
      </c>
      <c r="D164" s="7">
        <f t="shared" si="7"/>
        <v>-0.65303207700560284</v>
      </c>
      <c r="E164" s="8">
        <f t="shared" si="8"/>
        <v>-1.1175736248230994</v>
      </c>
    </row>
    <row r="165" spans="1:5" x14ac:dyDescent="0.2">
      <c r="A165" s="1">
        <v>41852</v>
      </c>
      <c r="B165">
        <v>58345.34</v>
      </c>
      <c r="C165" s="6">
        <f t="shared" si="6"/>
        <v>-7.756579927899826E-3</v>
      </c>
      <c r="D165" s="7">
        <f t="shared" si="7"/>
        <v>-0.67675210031616617</v>
      </c>
      <c r="E165" s="8">
        <f t="shared" si="8"/>
        <v>-1.1499196717720914</v>
      </c>
    </row>
    <row r="166" spans="1:5" x14ac:dyDescent="0.2">
      <c r="A166" s="1">
        <v>41855</v>
      </c>
      <c r="B166">
        <v>58615.35</v>
      </c>
      <c r="C166" s="6">
        <f t="shared" si="6"/>
        <v>4.6171150267153476E-3</v>
      </c>
      <c r="D166" s="7">
        <f t="shared" si="7"/>
        <v>0.36283568475111638</v>
      </c>
      <c r="E166" s="8">
        <f t="shared" si="8"/>
        <v>-0.79308648653463376</v>
      </c>
    </row>
    <row r="167" spans="1:5" x14ac:dyDescent="0.2">
      <c r="A167" s="1">
        <v>41856</v>
      </c>
      <c r="B167">
        <v>58929.5</v>
      </c>
      <c r="C167" s="6">
        <f t="shared" si="6"/>
        <v>5.3452064972766347E-3</v>
      </c>
      <c r="D167" s="7">
        <f t="shared" si="7"/>
        <v>0.42400698418781962</v>
      </c>
      <c r="E167" s="8">
        <f t="shared" si="8"/>
        <v>-0.84903196939947345</v>
      </c>
    </row>
    <row r="168" spans="1:5" x14ac:dyDescent="0.2">
      <c r="A168" s="1">
        <v>41857</v>
      </c>
      <c r="B168">
        <v>58634.23</v>
      </c>
      <c r="C168" s="6">
        <f t="shared" si="6"/>
        <v>-5.0231584325725505E-3</v>
      </c>
      <c r="D168" s="7">
        <f t="shared" si="7"/>
        <v>-0.44710108593402298</v>
      </c>
      <c r="E168" s="8">
        <f t="shared" si="8"/>
        <v>-0.87204850835993164</v>
      </c>
    </row>
    <row r="169" spans="1:5" x14ac:dyDescent="0.2">
      <c r="A169" s="1">
        <v>41858</v>
      </c>
      <c r="B169">
        <v>58245.98</v>
      </c>
      <c r="C169" s="6">
        <f t="shared" si="6"/>
        <v>-6.6435785496826742E-3</v>
      </c>
      <c r="D169" s="7">
        <f t="shared" si="7"/>
        <v>-0.5832422278163566</v>
      </c>
      <c r="E169" s="8">
        <f t="shared" si="8"/>
        <v>-1.0268928755549949</v>
      </c>
    </row>
    <row r="170" spans="1:5" x14ac:dyDescent="0.2">
      <c r="A170" s="1">
        <v>41859</v>
      </c>
      <c r="B170">
        <v>58275.94</v>
      </c>
      <c r="C170" s="6">
        <f t="shared" si="6"/>
        <v>5.1423801908201665E-4</v>
      </c>
      <c r="D170" s="7">
        <f t="shared" si="7"/>
        <v>1.8128559158196229E-2</v>
      </c>
      <c r="E170" s="8">
        <f t="shared" si="8"/>
        <v>-0.6337444927731305</v>
      </c>
    </row>
    <row r="171" spans="1:5" x14ac:dyDescent="0.2">
      <c r="A171" s="1">
        <v>41862</v>
      </c>
      <c r="B171">
        <v>59281.62</v>
      </c>
      <c r="C171" s="6">
        <f t="shared" si="6"/>
        <v>1.7109993341795384E-2</v>
      </c>
      <c r="D171" s="7">
        <f t="shared" si="7"/>
        <v>1.4124367735386696</v>
      </c>
      <c r="E171" s="8">
        <f t="shared" si="8"/>
        <v>-2.3653985151342147</v>
      </c>
    </row>
    <row r="172" spans="1:5" x14ac:dyDescent="0.2">
      <c r="A172" s="1">
        <v>41863</v>
      </c>
      <c r="B172">
        <v>59235</v>
      </c>
      <c r="C172" s="6">
        <f t="shared" si="6"/>
        <v>-7.8672514293055688E-4</v>
      </c>
      <c r="D172" s="7">
        <f t="shared" si="7"/>
        <v>-9.1173101906782059E-2</v>
      </c>
      <c r="E172" s="8">
        <f t="shared" si="8"/>
        <v>-0.64372789725976942</v>
      </c>
    </row>
    <row r="173" spans="1:5" x14ac:dyDescent="0.2">
      <c r="A173" s="1">
        <v>41864</v>
      </c>
      <c r="B173">
        <v>59244.59</v>
      </c>
      <c r="C173" s="6">
        <f t="shared" si="6"/>
        <v>1.6188442280979463E-4</v>
      </c>
      <c r="D173" s="7">
        <f t="shared" si="7"/>
        <v>-1.1474764348054126E-2</v>
      </c>
      <c r="E173" s="8">
        <f t="shared" si="8"/>
        <v>-0.63349768185277644</v>
      </c>
    </row>
    <row r="174" spans="1:5" x14ac:dyDescent="0.2">
      <c r="A174" s="1">
        <v>41865</v>
      </c>
      <c r="B174">
        <v>58919.19</v>
      </c>
      <c r="C174" s="6">
        <f t="shared" si="6"/>
        <v>-5.5076237837748477E-3</v>
      </c>
      <c r="D174" s="7">
        <f t="shared" si="7"/>
        <v>-0.48780390455413036</v>
      </c>
      <c r="E174" s="8">
        <f t="shared" si="8"/>
        <v>-0.91501346201275757</v>
      </c>
    </row>
    <row r="175" spans="1:5" x14ac:dyDescent="0.2">
      <c r="A175" s="1">
        <v>41866</v>
      </c>
      <c r="B175">
        <v>58983.27</v>
      </c>
      <c r="C175" s="6">
        <f t="shared" si="6"/>
        <v>1.0870003273821145E-3</v>
      </c>
      <c r="D175" s="7">
        <f t="shared" si="7"/>
        <v>6.6249730856681913E-2</v>
      </c>
      <c r="E175" s="8">
        <f t="shared" si="8"/>
        <v>-0.63882676214477918</v>
      </c>
    </row>
    <row r="176" spans="1:5" x14ac:dyDescent="0.2">
      <c r="A176" s="1">
        <v>41869</v>
      </c>
      <c r="B176">
        <v>59336.15</v>
      </c>
      <c r="C176" s="6">
        <f t="shared" si="6"/>
        <v>5.9648880341930562E-3</v>
      </c>
      <c r="D176" s="7">
        <f t="shared" si="7"/>
        <v>0.47607011963546952</v>
      </c>
      <c r="E176" s="8">
        <f t="shared" si="8"/>
        <v>-0.90232082540077629</v>
      </c>
    </row>
    <row r="177" spans="1:5" x14ac:dyDescent="0.2">
      <c r="A177" s="1">
        <v>41870</v>
      </c>
      <c r="B177">
        <v>59585.32</v>
      </c>
      <c r="C177" s="6">
        <f t="shared" si="6"/>
        <v>4.1905026001636658E-3</v>
      </c>
      <c r="D177" s="7">
        <f t="shared" si="7"/>
        <v>0.32699343478231269</v>
      </c>
      <c r="E177" s="8">
        <f t="shared" si="8"/>
        <v>-0.76385278548237823</v>
      </c>
    </row>
    <row r="178" spans="1:5" x14ac:dyDescent="0.2">
      <c r="A178" s="1">
        <v>41871</v>
      </c>
      <c r="B178">
        <v>59637.73</v>
      </c>
      <c r="C178" s="6">
        <f t="shared" si="6"/>
        <v>8.7919246112216323E-4</v>
      </c>
      <c r="D178" s="7">
        <f t="shared" si="7"/>
        <v>4.8790554741776668E-2</v>
      </c>
      <c r="E178" s="8">
        <f t="shared" si="8"/>
        <v>-0.63631406031496096</v>
      </c>
    </row>
    <row r="179" spans="1:5" x14ac:dyDescent="0.2">
      <c r="A179" s="1">
        <v>41872</v>
      </c>
      <c r="B179">
        <v>59802.15</v>
      </c>
      <c r="C179" s="6">
        <f t="shared" si="6"/>
        <v>2.7531860189255876E-3</v>
      </c>
      <c r="D179" s="7">
        <f t="shared" si="7"/>
        <v>0.20623591113150894</v>
      </c>
      <c r="E179" s="8">
        <f t="shared" si="8"/>
        <v>-0.68607225503024649</v>
      </c>
    </row>
    <row r="180" spans="1:5" x14ac:dyDescent="0.2">
      <c r="A180" s="1">
        <v>41873</v>
      </c>
      <c r="B180">
        <v>59591.94</v>
      </c>
      <c r="C180" s="6">
        <f t="shared" si="6"/>
        <v>-3.5212834606318209E-3</v>
      </c>
      <c r="D180" s="7">
        <f t="shared" si="7"/>
        <v>-0.320919627505108</v>
      </c>
      <c r="E180" s="8">
        <f t="shared" si="8"/>
        <v>-0.75916812380403043</v>
      </c>
    </row>
    <row r="181" spans="1:5" x14ac:dyDescent="0.2">
      <c r="A181" s="1">
        <v>41876</v>
      </c>
      <c r="B181">
        <v>59883.61</v>
      </c>
      <c r="C181" s="6">
        <f t="shared" si="6"/>
        <v>4.8825149484620642E-3</v>
      </c>
      <c r="D181" s="7">
        <f t="shared" si="7"/>
        <v>0.38513351234567744</v>
      </c>
      <c r="E181" s="8">
        <f t="shared" si="8"/>
        <v>-0.81261423540690736</v>
      </c>
    </row>
    <row r="182" spans="1:5" x14ac:dyDescent="0.2">
      <c r="A182" s="1">
        <v>41877</v>
      </c>
      <c r="B182">
        <v>60256.85</v>
      </c>
      <c r="C182" s="6">
        <f t="shared" si="6"/>
        <v>6.21341387889546E-3</v>
      </c>
      <c r="D182" s="7">
        <f t="shared" si="7"/>
        <v>0.49695025555071465</v>
      </c>
      <c r="E182" s="8">
        <f t="shared" si="8"/>
        <v>-0.92507558307601867</v>
      </c>
    </row>
    <row r="183" spans="1:5" x14ac:dyDescent="0.2">
      <c r="A183" s="1">
        <v>41878</v>
      </c>
      <c r="B183">
        <v>60162.67</v>
      </c>
      <c r="C183" s="6">
        <f t="shared" si="6"/>
        <v>-1.5641985485850287E-3</v>
      </c>
      <c r="D183" s="7">
        <f t="shared" si="7"/>
        <v>-0.15649327172651606</v>
      </c>
      <c r="E183" s="8">
        <f t="shared" si="8"/>
        <v>-0.66383546501494128</v>
      </c>
    </row>
    <row r="184" spans="1:5" x14ac:dyDescent="0.2">
      <c r="A184" s="1">
        <v>41879</v>
      </c>
      <c r="B184">
        <v>59735.199999999997</v>
      </c>
      <c r="C184" s="6">
        <f t="shared" si="6"/>
        <v>-7.1305989212349539E-3</v>
      </c>
      <c r="D184" s="7">
        <f t="shared" si="7"/>
        <v>-0.62415970890844041</v>
      </c>
      <c r="E184" s="8">
        <f t="shared" si="8"/>
        <v>-1.0792193757257493</v>
      </c>
    </row>
    <row r="185" spans="1:5" x14ac:dyDescent="0.2">
      <c r="A185" s="1">
        <v>41880</v>
      </c>
      <c r="B185">
        <v>59383.77</v>
      </c>
      <c r="C185" s="6">
        <f t="shared" si="6"/>
        <v>-5.9005046738344769E-3</v>
      </c>
      <c r="D185" s="7">
        <f t="shared" si="7"/>
        <v>-0.52081216730752999</v>
      </c>
      <c r="E185" s="8">
        <f t="shared" si="8"/>
        <v>-0.95200612857157607</v>
      </c>
    </row>
    <row r="186" spans="1:5" x14ac:dyDescent="0.2">
      <c r="A186" s="1">
        <v>41883</v>
      </c>
      <c r="B186">
        <v>59751.66</v>
      </c>
      <c r="C186" s="6">
        <f t="shared" si="6"/>
        <v>6.1760161418590717E-3</v>
      </c>
      <c r="D186" s="7">
        <f t="shared" si="7"/>
        <v>0.4938082489993339</v>
      </c>
      <c r="E186" s="8">
        <f t="shared" si="8"/>
        <v>-0.92160249555123841</v>
      </c>
    </row>
    <row r="187" spans="1:5" x14ac:dyDescent="0.2">
      <c r="A187" s="1">
        <v>41884</v>
      </c>
      <c r="B187">
        <v>60029.86</v>
      </c>
      <c r="C187" s="6">
        <f t="shared" si="6"/>
        <v>4.6451322413086291E-3</v>
      </c>
      <c r="D187" s="7">
        <f t="shared" si="7"/>
        <v>0.36518957776121685</v>
      </c>
      <c r="E187" s="8">
        <f t="shared" si="8"/>
        <v>-0.79510004385100885</v>
      </c>
    </row>
    <row r="188" spans="1:5" x14ac:dyDescent="0.2">
      <c r="A188" s="1">
        <v>41885</v>
      </c>
      <c r="B188">
        <v>60577.82</v>
      </c>
      <c r="C188" s="6">
        <f t="shared" si="6"/>
        <v>9.0867143840623905E-3</v>
      </c>
      <c r="D188" s="7">
        <f t="shared" si="7"/>
        <v>0.73835333837724548</v>
      </c>
      <c r="E188" s="8">
        <f t="shared" si="8"/>
        <v>-1.2371920346083216</v>
      </c>
    </row>
    <row r="189" spans="1:5" x14ac:dyDescent="0.2">
      <c r="A189" s="1">
        <v>41886</v>
      </c>
      <c r="B189">
        <v>60969.34</v>
      </c>
      <c r="C189" s="6">
        <f t="shared" si="6"/>
        <v>6.4422953873896002E-3</v>
      </c>
      <c r="D189" s="7">
        <f t="shared" si="7"/>
        <v>0.51617995382039217</v>
      </c>
      <c r="E189" s="8">
        <f t="shared" si="8"/>
        <v>-0.94670244123025293</v>
      </c>
    </row>
    <row r="190" spans="1:5" x14ac:dyDescent="0.2">
      <c r="A190" s="1">
        <v>41887</v>
      </c>
      <c r="B190">
        <v>60706.080000000002</v>
      </c>
      <c r="C190" s="6">
        <f t="shared" si="6"/>
        <v>-4.327257071289059E-3</v>
      </c>
      <c r="D190" s="7">
        <f t="shared" si="7"/>
        <v>-0.38863426923492722</v>
      </c>
      <c r="E190" s="8">
        <f t="shared" si="8"/>
        <v>-0.81577146299953418</v>
      </c>
    </row>
    <row r="191" spans="1:5" x14ac:dyDescent="0.2">
      <c r="A191" s="1">
        <v>41890</v>
      </c>
      <c r="B191">
        <v>60622.62</v>
      </c>
      <c r="C191" s="6">
        <f t="shared" si="6"/>
        <v>-1.3757670388616816E-3</v>
      </c>
      <c r="D191" s="7">
        <f t="shared" si="7"/>
        <v>-0.14066201868943401</v>
      </c>
      <c r="E191" s="8">
        <f t="shared" si="8"/>
        <v>-0.65800500463733458</v>
      </c>
    </row>
    <row r="192" spans="1:5" x14ac:dyDescent="0.2">
      <c r="A192" s="1">
        <v>41891</v>
      </c>
      <c r="B192">
        <v>60962.48</v>
      </c>
      <c r="C192" s="6">
        <f t="shared" si="6"/>
        <v>5.5905022104983711E-3</v>
      </c>
      <c r="D192" s="7">
        <f t="shared" si="7"/>
        <v>0.44461573752544503</v>
      </c>
      <c r="E192" s="8">
        <f t="shared" si="8"/>
        <v>-0.86952328483790264</v>
      </c>
    </row>
    <row r="193" spans="1:5" x14ac:dyDescent="0.2">
      <c r="A193" s="1">
        <v>41892</v>
      </c>
      <c r="B193">
        <v>60356.23</v>
      </c>
      <c r="C193" s="6">
        <f t="shared" si="6"/>
        <v>-9.9944195983945935E-3</v>
      </c>
      <c r="D193" s="7">
        <f t="shared" si="7"/>
        <v>-0.86476633494198696</v>
      </c>
      <c r="E193" s="8">
        <f t="shared" si="8"/>
        <v>-1.4290099851968081</v>
      </c>
    </row>
    <row r="194" spans="1:5" x14ac:dyDescent="0.2">
      <c r="A194" s="1">
        <v>41893</v>
      </c>
      <c r="B194">
        <v>60526.37</v>
      </c>
      <c r="C194" s="6">
        <f t="shared" si="6"/>
        <v>2.8149644754406939E-3</v>
      </c>
      <c r="D194" s="7">
        <f t="shared" si="7"/>
        <v>0.21142628708703226</v>
      </c>
      <c r="E194" s="8">
        <f t="shared" si="8"/>
        <v>-0.6887306540995074</v>
      </c>
    </row>
    <row r="195" spans="1:5" x14ac:dyDescent="0.2">
      <c r="A195" s="1">
        <v>41894</v>
      </c>
      <c r="B195">
        <v>60443.3</v>
      </c>
      <c r="C195" s="6">
        <f t="shared" ref="C195:C258" si="9">LN(B195/B194)</f>
        <v>-1.3734023256813509E-3</v>
      </c>
      <c r="D195" s="7">
        <f t="shared" ref="D195:D258" si="10">(C195-$G$4)/$G$5</f>
        <v>-0.14046334505585276</v>
      </c>
      <c r="E195" s="8">
        <f t="shared" ref="E195:E258" si="11">LN((PI()*(G$3-2))^(-1/2)*EXP(GAMMALN((G$3+1)/2))*((1+D195^2/(G$3-2))^(-(G$3+1)/2))/EXP(GAMMALN(G$3/2)))</f>
        <v>-0.6579357007233867</v>
      </c>
    </row>
    <row r="196" spans="1:5" x14ac:dyDescent="0.2">
      <c r="A196" s="1">
        <v>41897</v>
      </c>
      <c r="B196">
        <v>61153.120000000003</v>
      </c>
      <c r="C196" s="6">
        <f t="shared" si="9"/>
        <v>1.1675147391512871E-2</v>
      </c>
      <c r="D196" s="7">
        <f t="shared" si="10"/>
        <v>0.95582300664370212</v>
      </c>
      <c r="E196" s="8">
        <f t="shared" si="11"/>
        <v>-1.5756499483164639</v>
      </c>
    </row>
    <row r="197" spans="1:5" x14ac:dyDescent="0.2">
      <c r="A197" s="1">
        <v>41898</v>
      </c>
      <c r="B197">
        <v>60743.93</v>
      </c>
      <c r="C197" s="6">
        <f t="shared" si="9"/>
        <v>-6.7137233753805691E-3</v>
      </c>
      <c r="D197" s="7">
        <f t="shared" si="10"/>
        <v>-0.58913551225957839</v>
      </c>
      <c r="E197" s="8">
        <f t="shared" si="11"/>
        <v>-1.034277082876967</v>
      </c>
    </row>
    <row r="198" spans="1:5" x14ac:dyDescent="0.2">
      <c r="A198" s="1">
        <v>41899</v>
      </c>
      <c r="B198">
        <v>60422.8</v>
      </c>
      <c r="C198" s="6">
        <f t="shared" si="9"/>
        <v>-5.3006423775516917E-3</v>
      </c>
      <c r="D198" s="7">
        <f t="shared" si="10"/>
        <v>-0.47041416426758925</v>
      </c>
      <c r="E198" s="8">
        <f t="shared" si="11"/>
        <v>-0.89629048015776591</v>
      </c>
    </row>
    <row r="199" spans="1:5" x14ac:dyDescent="0.2">
      <c r="A199" s="1">
        <v>41900</v>
      </c>
      <c r="B199">
        <v>61020.08</v>
      </c>
      <c r="C199" s="6">
        <f t="shared" si="9"/>
        <v>9.8364731776957488E-3</v>
      </c>
      <c r="D199" s="7">
        <f t="shared" si="10"/>
        <v>0.80134503863063689</v>
      </c>
      <c r="E199" s="8">
        <f t="shared" si="11"/>
        <v>-1.3308346808936868</v>
      </c>
    </row>
    <row r="200" spans="1:5" x14ac:dyDescent="0.2">
      <c r="A200" s="1">
        <v>41901</v>
      </c>
      <c r="B200">
        <v>60951.839999999997</v>
      </c>
      <c r="C200" s="6">
        <f t="shared" si="9"/>
        <v>-1.1189461823662215E-3</v>
      </c>
      <c r="D200" s="7">
        <f t="shared" si="10"/>
        <v>-0.11908496944565772</v>
      </c>
      <c r="E200" s="8">
        <f t="shared" si="11"/>
        <v>-0.6510409879754796</v>
      </c>
    </row>
    <row r="201" spans="1:5" x14ac:dyDescent="0.2">
      <c r="A201" s="1">
        <v>41904</v>
      </c>
      <c r="B201">
        <v>59982.62</v>
      </c>
      <c r="C201" s="6">
        <f t="shared" si="9"/>
        <v>-1.6029190556915058E-2</v>
      </c>
      <c r="D201" s="7">
        <f t="shared" si="10"/>
        <v>-1.3717833736816303</v>
      </c>
      <c r="E201" s="8">
        <f t="shared" si="11"/>
        <v>-2.2935117450799547</v>
      </c>
    </row>
    <row r="202" spans="1:5" x14ac:dyDescent="0.2">
      <c r="A202" s="1">
        <v>41905</v>
      </c>
      <c r="B202">
        <v>59247.61</v>
      </c>
      <c r="C202" s="6">
        <f t="shared" si="9"/>
        <v>-1.2329411945024755E-2</v>
      </c>
      <c r="D202" s="7">
        <f t="shared" si="10"/>
        <v>-1.0609429443287341</v>
      </c>
      <c r="E202" s="8">
        <f t="shared" si="11"/>
        <v>-1.7514379120630146</v>
      </c>
    </row>
    <row r="203" spans="1:5" x14ac:dyDescent="0.2">
      <c r="A203" s="1">
        <v>41907</v>
      </c>
      <c r="B203">
        <v>58544.72</v>
      </c>
      <c r="C203" s="6">
        <f t="shared" si="9"/>
        <v>-1.1934535005493841E-2</v>
      </c>
      <c r="D203" s="7">
        <f t="shared" si="10"/>
        <v>-1.0277669815749428</v>
      </c>
      <c r="E203" s="8">
        <f t="shared" si="11"/>
        <v>-1.6953307845853778</v>
      </c>
    </row>
    <row r="204" spans="1:5" x14ac:dyDescent="0.2">
      <c r="A204" s="1">
        <v>41908</v>
      </c>
      <c r="B204">
        <v>58786.27</v>
      </c>
      <c r="C204" s="6">
        <f t="shared" si="9"/>
        <v>4.1174175936336778E-3</v>
      </c>
      <c r="D204" s="7">
        <f t="shared" si="10"/>
        <v>0.32085312824179951</v>
      </c>
      <c r="E204" s="8">
        <f t="shared" si="11"/>
        <v>-0.75911727149527586</v>
      </c>
    </row>
    <row r="205" spans="1:5" x14ac:dyDescent="0.2">
      <c r="A205" s="1">
        <v>41911</v>
      </c>
      <c r="B205">
        <v>58440.47</v>
      </c>
      <c r="C205" s="6">
        <f t="shared" si="9"/>
        <v>-5.8996949502110752E-3</v>
      </c>
      <c r="D205" s="7">
        <f t="shared" si="10"/>
        <v>-0.52074413760490224</v>
      </c>
      <c r="E205" s="8">
        <f t="shared" si="11"/>
        <v>-0.95192797647180205</v>
      </c>
    </row>
    <row r="206" spans="1:5" x14ac:dyDescent="0.2">
      <c r="A206" s="1">
        <v>41912</v>
      </c>
      <c r="B206">
        <v>58371.61</v>
      </c>
      <c r="C206" s="6">
        <f t="shared" si="9"/>
        <v>-1.1789877892141557E-3</v>
      </c>
      <c r="D206" s="7">
        <f t="shared" si="10"/>
        <v>-0.12412942231958633</v>
      </c>
      <c r="E206" s="8">
        <f t="shared" si="11"/>
        <v>-0.65256712603237621</v>
      </c>
    </row>
    <row r="207" spans="1:5" x14ac:dyDescent="0.2">
      <c r="A207" s="1">
        <v>41913</v>
      </c>
      <c r="B207">
        <v>57838.57</v>
      </c>
      <c r="C207" s="6">
        <f t="shared" si="9"/>
        <v>-9.1737873275770931E-3</v>
      </c>
      <c r="D207" s="7">
        <f t="shared" si="10"/>
        <v>-0.79582013189568512</v>
      </c>
      <c r="E207" s="8">
        <f t="shared" si="11"/>
        <v>-1.3224586908952645</v>
      </c>
    </row>
    <row r="208" spans="1:5" x14ac:dyDescent="0.2">
      <c r="A208" s="1">
        <v>41914</v>
      </c>
      <c r="B208">
        <v>57046.58</v>
      </c>
      <c r="C208" s="6">
        <f t="shared" si="9"/>
        <v>-1.3787727073436498E-2</v>
      </c>
      <c r="D208" s="7">
        <f t="shared" si="10"/>
        <v>-1.183464680951166</v>
      </c>
      <c r="E208" s="8">
        <f t="shared" si="11"/>
        <v>-1.9624328082387801</v>
      </c>
    </row>
    <row r="209" spans="1:5" x14ac:dyDescent="0.2">
      <c r="A209" s="1">
        <v>41915</v>
      </c>
      <c r="B209">
        <v>58031.83</v>
      </c>
      <c r="C209" s="6">
        <f t="shared" si="9"/>
        <v>1.7123526021385827E-2</v>
      </c>
      <c r="D209" s="7">
        <f t="shared" si="10"/>
        <v>1.4135737345234889</v>
      </c>
      <c r="E209" s="8">
        <f t="shared" si="11"/>
        <v>-2.367409243639508</v>
      </c>
    </row>
    <row r="210" spans="1:5" x14ac:dyDescent="0.2">
      <c r="A210" s="1">
        <v>41918</v>
      </c>
      <c r="B210">
        <v>58948.28</v>
      </c>
      <c r="C210" s="6">
        <f t="shared" si="9"/>
        <v>1.5668796170839328E-2</v>
      </c>
      <c r="D210" s="7">
        <f t="shared" si="10"/>
        <v>1.2913532184409564</v>
      </c>
      <c r="E210" s="8">
        <f t="shared" si="11"/>
        <v>-2.1515325641437779</v>
      </c>
    </row>
    <row r="211" spans="1:5" x14ac:dyDescent="0.2">
      <c r="A211" s="1">
        <v>41919</v>
      </c>
      <c r="B211">
        <v>58302.5</v>
      </c>
      <c r="C211" s="6">
        <f t="shared" si="9"/>
        <v>-1.101547520513284E-2</v>
      </c>
      <c r="D211" s="7">
        <f t="shared" si="10"/>
        <v>-0.95055129574253039</v>
      </c>
      <c r="E211" s="8">
        <f t="shared" si="11"/>
        <v>-1.5670013706583139</v>
      </c>
    </row>
    <row r="212" spans="1:5" x14ac:dyDescent="0.2">
      <c r="A212" s="1">
        <v>41920</v>
      </c>
      <c r="B212">
        <v>57447.21</v>
      </c>
      <c r="C212" s="6">
        <f t="shared" si="9"/>
        <v>-1.477853493688183E-2</v>
      </c>
      <c r="D212" s="7">
        <f t="shared" si="10"/>
        <v>-1.2667083487451742</v>
      </c>
      <c r="E212" s="8">
        <f t="shared" si="11"/>
        <v>-2.1081585594637855</v>
      </c>
    </row>
    <row r="213" spans="1:5" x14ac:dyDescent="0.2">
      <c r="A213" s="1">
        <v>41921</v>
      </c>
      <c r="B213">
        <v>57430.73</v>
      </c>
      <c r="C213" s="6">
        <f t="shared" si="9"/>
        <v>-2.8691322482016657E-4</v>
      </c>
      <c r="D213" s="7">
        <f t="shared" si="10"/>
        <v>-4.918092682856829E-2</v>
      </c>
      <c r="E213" s="8">
        <f t="shared" si="11"/>
        <v>-0.63636192995493568</v>
      </c>
    </row>
    <row r="214" spans="1:5" x14ac:dyDescent="0.2">
      <c r="A214" s="1">
        <v>41922</v>
      </c>
      <c r="B214">
        <v>56298.879999999997</v>
      </c>
      <c r="C214" s="6">
        <f t="shared" si="9"/>
        <v>-1.9904884402304545E-2</v>
      </c>
      <c r="D214" s="7">
        <f t="shared" si="10"/>
        <v>-1.6974034891851697</v>
      </c>
      <c r="E214" s="8">
        <f t="shared" si="11"/>
        <v>-2.8663831409935856</v>
      </c>
    </row>
    <row r="215" spans="1:5" x14ac:dyDescent="0.2">
      <c r="A215" s="1">
        <v>41925</v>
      </c>
      <c r="B215">
        <v>56130.96</v>
      </c>
      <c r="C215" s="6">
        <f t="shared" si="9"/>
        <v>-2.9871095584592896E-3</v>
      </c>
      <c r="D215" s="7">
        <f t="shared" si="10"/>
        <v>-0.27604049755749571</v>
      </c>
      <c r="E215" s="8">
        <f t="shared" si="11"/>
        <v>-0.72703964074674887</v>
      </c>
    </row>
    <row r="216" spans="1:5" x14ac:dyDescent="0.2">
      <c r="A216" s="1">
        <v>41926</v>
      </c>
      <c r="B216">
        <v>56381.64</v>
      </c>
      <c r="C216" s="6">
        <f t="shared" si="9"/>
        <v>4.4560416308594107E-3</v>
      </c>
      <c r="D216" s="7">
        <f t="shared" si="10"/>
        <v>0.34930294974792453</v>
      </c>
      <c r="E216" s="8">
        <f t="shared" si="11"/>
        <v>-0.78173262436518143</v>
      </c>
    </row>
    <row r="217" spans="1:5" x14ac:dyDescent="0.2">
      <c r="A217" s="1">
        <v>41927</v>
      </c>
      <c r="B217">
        <v>55305.08</v>
      </c>
      <c r="C217" s="6">
        <f t="shared" si="9"/>
        <v>-1.9278806715110203E-2</v>
      </c>
      <c r="D217" s="7">
        <f t="shared" si="10"/>
        <v>-1.6448029750705355</v>
      </c>
      <c r="E217" s="8">
        <f t="shared" si="11"/>
        <v>-2.7746743481367804</v>
      </c>
    </row>
    <row r="218" spans="1:5" x14ac:dyDescent="0.2">
      <c r="A218" s="1">
        <v>41928</v>
      </c>
      <c r="B218">
        <v>55643.87</v>
      </c>
      <c r="C218" s="6">
        <f t="shared" si="9"/>
        <v>6.1071520369599328E-3</v>
      </c>
      <c r="D218" s="7">
        <f t="shared" si="10"/>
        <v>0.4880225655357186</v>
      </c>
      <c r="E218" s="8">
        <f t="shared" si="11"/>
        <v>-0.91525230511493827</v>
      </c>
    </row>
    <row r="219" spans="1:5" x14ac:dyDescent="0.2">
      <c r="A219" s="1">
        <v>41929</v>
      </c>
      <c r="B219">
        <v>56967.73</v>
      </c>
      <c r="C219" s="6">
        <f t="shared" si="9"/>
        <v>2.3513048251759695E-2</v>
      </c>
      <c r="D219" s="7">
        <f t="shared" si="10"/>
        <v>1.9503955397705146</v>
      </c>
      <c r="E219" s="8">
        <f t="shared" si="11"/>
        <v>-3.2992599452067912</v>
      </c>
    </row>
    <row r="220" spans="1:5" x14ac:dyDescent="0.2">
      <c r="A220" s="1">
        <v>41932</v>
      </c>
      <c r="B220">
        <v>56772.39</v>
      </c>
      <c r="C220" s="6">
        <f t="shared" si="9"/>
        <v>-3.4348511687000223E-3</v>
      </c>
      <c r="D220" s="7">
        <f t="shared" si="10"/>
        <v>-0.31365793604938375</v>
      </c>
      <c r="E220" s="8">
        <f t="shared" si="11"/>
        <v>-0.75367133813531739</v>
      </c>
    </row>
    <row r="221" spans="1:5" x14ac:dyDescent="0.2">
      <c r="A221" s="1">
        <v>41933</v>
      </c>
      <c r="B221">
        <v>58200.02</v>
      </c>
      <c r="C221" s="6">
        <f t="shared" si="9"/>
        <v>2.4835582382931237E-2</v>
      </c>
      <c r="D221" s="7">
        <f t="shared" si="10"/>
        <v>2.0615095063862583</v>
      </c>
      <c r="E221" s="8">
        <f t="shared" si="11"/>
        <v>-3.4842027740182258</v>
      </c>
    </row>
    <row r="222" spans="1:5" x14ac:dyDescent="0.2">
      <c r="A222" s="1">
        <v>41934</v>
      </c>
      <c r="B222">
        <v>57932</v>
      </c>
      <c r="C222" s="6">
        <f t="shared" si="9"/>
        <v>-4.615789441334766E-3</v>
      </c>
      <c r="D222" s="7">
        <f t="shared" si="10"/>
        <v>-0.41287559153972125</v>
      </c>
      <c r="E222" s="8">
        <f t="shared" si="11"/>
        <v>-0.83830151074823922</v>
      </c>
    </row>
    <row r="223" spans="1:5" x14ac:dyDescent="0.2">
      <c r="A223" s="1">
        <v>41935</v>
      </c>
      <c r="B223">
        <v>57737.56</v>
      </c>
      <c r="C223" s="6">
        <f t="shared" si="9"/>
        <v>-3.3619939964550801E-3</v>
      </c>
      <c r="D223" s="7">
        <f t="shared" si="10"/>
        <v>-0.3075367712236633</v>
      </c>
      <c r="E223" s="8">
        <f t="shared" si="11"/>
        <v>-0.74912646444433606</v>
      </c>
    </row>
    <row r="224" spans="1:5" x14ac:dyDescent="0.2">
      <c r="A224" s="1">
        <v>41936</v>
      </c>
      <c r="B224">
        <v>57515.62</v>
      </c>
      <c r="C224" s="6">
        <f t="shared" si="9"/>
        <v>-3.8513518557078893E-3</v>
      </c>
      <c r="D224" s="7">
        <f t="shared" si="10"/>
        <v>-0.34865063857467204</v>
      </c>
      <c r="E224" s="8">
        <f t="shared" si="11"/>
        <v>-0.78119496174218317</v>
      </c>
    </row>
    <row r="225" spans="1:5" x14ac:dyDescent="0.2">
      <c r="A225" s="1">
        <v>41939</v>
      </c>
      <c r="B225">
        <v>57951.19</v>
      </c>
      <c r="C225" s="6">
        <f t="shared" si="9"/>
        <v>7.5445414323920667E-3</v>
      </c>
      <c r="D225" s="7">
        <f t="shared" si="10"/>
        <v>0.60878620674049455</v>
      </c>
      <c r="E225" s="8">
        <f t="shared" si="11"/>
        <v>-1.0592728455163016</v>
      </c>
    </row>
    <row r="226" spans="1:5" x14ac:dyDescent="0.2">
      <c r="A226" s="1">
        <v>41940</v>
      </c>
      <c r="B226">
        <v>58293.22</v>
      </c>
      <c r="C226" s="6">
        <f t="shared" si="9"/>
        <v>5.8846870490880561E-3</v>
      </c>
      <c r="D226" s="7">
        <f t="shared" si="10"/>
        <v>0.46933195736693684</v>
      </c>
      <c r="E226" s="8">
        <f t="shared" si="11"/>
        <v>-0.89514320332134634</v>
      </c>
    </row>
    <row r="227" spans="1:5" x14ac:dyDescent="0.2">
      <c r="A227" s="1">
        <v>41941</v>
      </c>
      <c r="B227">
        <v>59285.63</v>
      </c>
      <c r="C227" s="6">
        <f t="shared" si="9"/>
        <v>1.6881157919700442E-2</v>
      </c>
      <c r="D227" s="7">
        <f t="shared" si="10"/>
        <v>1.3932109472617831</v>
      </c>
      <c r="E227" s="8">
        <f t="shared" si="11"/>
        <v>-2.3313982714153036</v>
      </c>
    </row>
    <row r="228" spans="1:5" x14ac:dyDescent="0.2">
      <c r="A228" s="1">
        <v>41942</v>
      </c>
      <c r="B228">
        <v>59026.41</v>
      </c>
      <c r="C228" s="6">
        <f t="shared" si="9"/>
        <v>-4.381978618395517E-3</v>
      </c>
      <c r="D228" s="7">
        <f t="shared" si="10"/>
        <v>-0.39323175221479001</v>
      </c>
      <c r="E228" s="8">
        <f t="shared" si="11"/>
        <v>-0.81995503318679197</v>
      </c>
    </row>
    <row r="229" spans="1:5" x14ac:dyDescent="0.2">
      <c r="A229" s="1">
        <v>41943</v>
      </c>
      <c r="B229">
        <v>60698.41</v>
      </c>
      <c r="C229" s="6">
        <f t="shared" si="9"/>
        <v>2.7932532454459438E-2</v>
      </c>
      <c r="D229" s="7">
        <f t="shared" si="10"/>
        <v>2.3217027208733447</v>
      </c>
      <c r="E229" s="8">
        <f t="shared" si="11"/>
        <v>-3.90305737681736</v>
      </c>
    </row>
    <row r="230" spans="1:5" x14ac:dyDescent="0.2">
      <c r="A230" s="1">
        <v>41946</v>
      </c>
      <c r="B230">
        <v>60846.65</v>
      </c>
      <c r="C230" s="6">
        <f t="shared" si="9"/>
        <v>2.4392611843256718E-3</v>
      </c>
      <c r="D230" s="7">
        <f t="shared" si="10"/>
        <v>0.17986121669493602</v>
      </c>
      <c r="E230" s="8">
        <f t="shared" si="11"/>
        <v>-0.67354658844948723</v>
      </c>
    </row>
    <row r="231" spans="1:5" x14ac:dyDescent="0.2">
      <c r="A231" s="1">
        <v>41947</v>
      </c>
      <c r="B231">
        <v>60674.27</v>
      </c>
      <c r="C231" s="6">
        <f t="shared" si="9"/>
        <v>-2.8370442821087178E-3</v>
      </c>
      <c r="D231" s="7">
        <f t="shared" si="10"/>
        <v>-0.26343262021535924</v>
      </c>
      <c r="E231" s="8">
        <f t="shared" si="11"/>
        <v>-0.71881672547941933</v>
      </c>
    </row>
    <row r="232" spans="1:5" x14ac:dyDescent="0.2">
      <c r="A232" s="1">
        <v>41948</v>
      </c>
      <c r="B232">
        <v>60883.53</v>
      </c>
      <c r="C232" s="6">
        <f t="shared" si="9"/>
        <v>3.4429745637918458E-3</v>
      </c>
      <c r="D232" s="7">
        <f t="shared" si="10"/>
        <v>0.26418915372820256</v>
      </c>
      <c r="E232" s="8">
        <f t="shared" si="11"/>
        <v>-0.7193000496215729</v>
      </c>
    </row>
    <row r="233" spans="1:5" x14ac:dyDescent="0.2">
      <c r="A233" s="1">
        <v>41949</v>
      </c>
      <c r="B233">
        <v>60290.07</v>
      </c>
      <c r="C233" s="6">
        <f t="shared" si="9"/>
        <v>-9.7952812341587734E-3</v>
      </c>
      <c r="D233" s="7">
        <f t="shared" si="10"/>
        <v>-0.84803553530960862</v>
      </c>
      <c r="E233" s="8">
        <f t="shared" si="11"/>
        <v>-1.4027644938409307</v>
      </c>
    </row>
    <row r="234" spans="1:5" x14ac:dyDescent="0.2">
      <c r="A234" s="1">
        <v>41950</v>
      </c>
      <c r="B234">
        <v>60789.23</v>
      </c>
      <c r="C234" s="6">
        <f t="shared" si="9"/>
        <v>8.2452215678686172E-3</v>
      </c>
      <c r="D234" s="7">
        <f t="shared" si="10"/>
        <v>0.6676545167119653</v>
      </c>
      <c r="E234" s="8">
        <f t="shared" si="11"/>
        <v>-1.1374269551074563</v>
      </c>
    </row>
    <row r="235" spans="1:5" x14ac:dyDescent="0.2">
      <c r="A235" s="1">
        <v>41953</v>
      </c>
      <c r="B235">
        <v>61145.43</v>
      </c>
      <c r="C235" s="6">
        <f t="shared" si="9"/>
        <v>5.8424899570109204E-3</v>
      </c>
      <c r="D235" s="7">
        <f t="shared" si="10"/>
        <v>0.46578672842363017</v>
      </c>
      <c r="E235" s="8">
        <f t="shared" si="11"/>
        <v>-0.89139965111605413</v>
      </c>
    </row>
    <row r="236" spans="1:5" x14ac:dyDescent="0.2">
      <c r="A236" s="1">
        <v>41954</v>
      </c>
      <c r="B236">
        <v>61156</v>
      </c>
      <c r="C236" s="6">
        <f t="shared" si="9"/>
        <v>1.7285161794623679E-4</v>
      </c>
      <c r="D236" s="7">
        <f t="shared" si="10"/>
        <v>-1.0553344986892159E-2</v>
      </c>
      <c r="E236" s="8">
        <f t="shared" si="11"/>
        <v>-0.63347224796562152</v>
      </c>
    </row>
    <row r="237" spans="1:5" x14ac:dyDescent="0.2">
      <c r="A237" s="1">
        <v>41955</v>
      </c>
      <c r="B237">
        <v>61066.83</v>
      </c>
      <c r="C237" s="6">
        <f t="shared" si="9"/>
        <v>-1.4591384575349052E-3</v>
      </c>
      <c r="D237" s="7">
        <f t="shared" si="10"/>
        <v>-0.14766654795852566</v>
      </c>
      <c r="E237" s="8">
        <f t="shared" si="11"/>
        <v>-0.66050973023159087</v>
      </c>
    </row>
    <row r="238" spans="1:5" x14ac:dyDescent="0.2">
      <c r="A238" s="1">
        <v>41956</v>
      </c>
      <c r="B238">
        <v>61619.95</v>
      </c>
      <c r="C238" s="6">
        <f t="shared" si="9"/>
        <v>9.0168435024981196E-3</v>
      </c>
      <c r="D238" s="7">
        <f t="shared" si="10"/>
        <v>0.7324830696117296</v>
      </c>
      <c r="E238" s="8">
        <f t="shared" si="11"/>
        <v>-1.2286828096481852</v>
      </c>
    </row>
    <row r="239" spans="1:5" x14ac:dyDescent="0.2">
      <c r="A239" s="1">
        <v>41957</v>
      </c>
      <c r="B239">
        <v>62086.47</v>
      </c>
      <c r="C239" s="6">
        <f t="shared" si="9"/>
        <v>7.542409061892969E-3</v>
      </c>
      <c r="D239" s="7">
        <f t="shared" si="10"/>
        <v>0.60860705359891221</v>
      </c>
      <c r="E239" s="8">
        <f t="shared" si="11"/>
        <v>-1.0590424030645458</v>
      </c>
    </row>
    <row r="240" spans="1:5" x14ac:dyDescent="0.2">
      <c r="A240" s="1">
        <v>41960</v>
      </c>
      <c r="B240">
        <v>61723.89</v>
      </c>
      <c r="C240" s="6">
        <f t="shared" si="9"/>
        <v>-5.8570387247407008E-3</v>
      </c>
      <c r="D240" s="7">
        <f t="shared" si="10"/>
        <v>-0.51716033413158824</v>
      </c>
      <c r="E240" s="8">
        <f t="shared" si="11"/>
        <v>-0.94782192024551803</v>
      </c>
    </row>
    <row r="241" spans="1:5" x14ac:dyDescent="0.2">
      <c r="A241" s="1">
        <v>41961</v>
      </c>
      <c r="B241">
        <v>61443.3</v>
      </c>
      <c r="C241" s="6">
        <f t="shared" si="9"/>
        <v>-4.556253745946863E-3</v>
      </c>
      <c r="D241" s="7">
        <f t="shared" si="10"/>
        <v>-0.40787364329970377</v>
      </c>
      <c r="E241" s="8">
        <f t="shared" si="11"/>
        <v>-0.83355799316774903</v>
      </c>
    </row>
    <row r="242" spans="1:5" x14ac:dyDescent="0.2">
      <c r="A242" s="1">
        <v>41962</v>
      </c>
      <c r="B242">
        <v>61003.44</v>
      </c>
      <c r="C242" s="6">
        <f t="shared" si="9"/>
        <v>-7.184542308652204E-3</v>
      </c>
      <c r="D242" s="7">
        <f t="shared" si="10"/>
        <v>-0.62869181405971608</v>
      </c>
      <c r="E242" s="8">
        <f t="shared" si="11"/>
        <v>-1.0851636458237841</v>
      </c>
    </row>
    <row r="243" spans="1:5" x14ac:dyDescent="0.2">
      <c r="A243" s="1">
        <v>41963</v>
      </c>
      <c r="B243">
        <v>60102.78</v>
      </c>
      <c r="C243" s="6">
        <f t="shared" si="9"/>
        <v>-1.4874159314908117E-2</v>
      </c>
      <c r="D243" s="7">
        <f t="shared" si="10"/>
        <v>-1.2747423220825971</v>
      </c>
      <c r="E243" s="8">
        <f t="shared" si="11"/>
        <v>-2.1222889215978817</v>
      </c>
    </row>
    <row r="244" spans="1:5" x14ac:dyDescent="0.2">
      <c r="A244" s="1">
        <v>41964</v>
      </c>
      <c r="B244">
        <v>61716.89</v>
      </c>
      <c r="C244" s="6">
        <f t="shared" si="9"/>
        <v>2.6501540661539535E-2</v>
      </c>
      <c r="D244" s="7">
        <f t="shared" si="10"/>
        <v>2.2014765803464043</v>
      </c>
      <c r="E244" s="8">
        <f t="shared" si="11"/>
        <v>-3.7120741422932171</v>
      </c>
    </row>
    <row r="245" spans="1:5" x14ac:dyDescent="0.2">
      <c r="A245" s="1">
        <v>41967</v>
      </c>
      <c r="B245">
        <v>61980.2</v>
      </c>
      <c r="C245" s="6">
        <f t="shared" si="9"/>
        <v>4.257341829250875E-3</v>
      </c>
      <c r="D245" s="7">
        <f t="shared" si="10"/>
        <v>0.33260899637302899</v>
      </c>
      <c r="E245" s="8">
        <f t="shared" si="11"/>
        <v>-0.7682541305000834</v>
      </c>
    </row>
    <row r="246" spans="1:5" x14ac:dyDescent="0.2">
      <c r="A246" s="1">
        <v>41968</v>
      </c>
      <c r="B246">
        <v>61994.65</v>
      </c>
      <c r="C246" s="6">
        <f t="shared" si="9"/>
        <v>2.3311179752083175E-4</v>
      </c>
      <c r="D246" s="7">
        <f t="shared" si="10"/>
        <v>-5.4905285168333016E-3</v>
      </c>
      <c r="E246" s="8">
        <f t="shared" si="11"/>
        <v>-0.63337046135214037</v>
      </c>
    </row>
    <row r="247" spans="1:5" x14ac:dyDescent="0.2">
      <c r="A247" s="1">
        <v>41969</v>
      </c>
      <c r="B247">
        <v>61748.57</v>
      </c>
      <c r="C247" s="6">
        <f t="shared" si="9"/>
        <v>-3.9772736540853023E-3</v>
      </c>
      <c r="D247" s="7">
        <f t="shared" si="10"/>
        <v>-0.35923007858406375</v>
      </c>
      <c r="E247" s="8">
        <f t="shared" si="11"/>
        <v>-0.79002432945991463</v>
      </c>
    </row>
    <row r="248" spans="1:5" x14ac:dyDescent="0.2">
      <c r="A248" s="1">
        <v>41970</v>
      </c>
      <c r="B248">
        <v>61989.95</v>
      </c>
      <c r="C248" s="6">
        <f t="shared" si="9"/>
        <v>3.9014577865944572E-3</v>
      </c>
      <c r="D248" s="7">
        <f t="shared" si="10"/>
        <v>0.30270905904606399</v>
      </c>
      <c r="E248" s="8">
        <f t="shared" si="11"/>
        <v>-0.74559943971513432</v>
      </c>
    </row>
    <row r="249" spans="1:5" x14ac:dyDescent="0.2">
      <c r="A249" s="1">
        <v>41971</v>
      </c>
      <c r="B249">
        <v>61705.86</v>
      </c>
      <c r="C249" s="6">
        <f t="shared" si="9"/>
        <v>-4.5933730415421833E-3</v>
      </c>
      <c r="D249" s="7">
        <f t="shared" si="10"/>
        <v>-0.41099225632780362</v>
      </c>
      <c r="E249" s="8">
        <f t="shared" si="11"/>
        <v>-0.83650975315118259</v>
      </c>
    </row>
    <row r="250" spans="1:5" x14ac:dyDescent="0.2">
      <c r="A250" s="1">
        <v>41974</v>
      </c>
      <c r="B250">
        <v>60584.82</v>
      </c>
      <c r="C250" s="6">
        <f t="shared" si="9"/>
        <v>-1.8334535443615199E-2</v>
      </c>
      <c r="D250" s="7">
        <f t="shared" si="10"/>
        <v>-1.5654691234411953</v>
      </c>
      <c r="E250" s="8">
        <f t="shared" si="11"/>
        <v>-2.6355379020456828</v>
      </c>
    </row>
    <row r="251" spans="1:5" x14ac:dyDescent="0.2">
      <c r="A251" s="1">
        <v>41975</v>
      </c>
      <c r="B251">
        <v>61516.75</v>
      </c>
      <c r="C251" s="6">
        <f t="shared" si="9"/>
        <v>1.5265128806779134E-2</v>
      </c>
      <c r="D251" s="7">
        <f t="shared" si="10"/>
        <v>1.2574387197850183</v>
      </c>
      <c r="E251" s="8">
        <f t="shared" si="11"/>
        <v>-2.0918669161522545</v>
      </c>
    </row>
    <row r="252" spans="1:5" x14ac:dyDescent="0.2">
      <c r="A252" s="1">
        <v>41976</v>
      </c>
      <c r="B252">
        <v>61968.42</v>
      </c>
      <c r="C252" s="6">
        <f t="shared" si="9"/>
        <v>7.3154049877221117E-3</v>
      </c>
      <c r="D252" s="7">
        <f t="shared" si="10"/>
        <v>0.58953508976481839</v>
      </c>
      <c r="E252" s="8">
        <f t="shared" si="11"/>
        <v>-1.0347796410839023</v>
      </c>
    </row>
    <row r="253" spans="1:5" x14ac:dyDescent="0.2">
      <c r="A253" s="1">
        <v>41977</v>
      </c>
      <c r="B253">
        <v>61444.62</v>
      </c>
      <c r="C253" s="6">
        <f t="shared" si="9"/>
        <v>-8.4886191162488207E-3</v>
      </c>
      <c r="D253" s="7">
        <f t="shared" si="10"/>
        <v>-0.73825507102859156</v>
      </c>
      <c r="E253" s="8">
        <f t="shared" si="11"/>
        <v>-1.2370492719871162</v>
      </c>
    </row>
    <row r="254" spans="1:5" x14ac:dyDescent="0.2">
      <c r="A254" s="1">
        <v>41978</v>
      </c>
      <c r="B254">
        <v>61696.23</v>
      </c>
      <c r="C254" s="6">
        <f t="shared" si="9"/>
        <v>4.0865456126723257E-3</v>
      </c>
      <c r="D254" s="7">
        <f t="shared" si="10"/>
        <v>0.31825938931208064</v>
      </c>
      <c r="E254" s="8">
        <f t="shared" si="11"/>
        <v>-0.75714124626718116</v>
      </c>
    </row>
    <row r="255" spans="1:5" x14ac:dyDescent="0.2">
      <c r="A255" s="1">
        <v>41981</v>
      </c>
      <c r="B255">
        <v>61834.61</v>
      </c>
      <c r="C255" s="6">
        <f t="shared" si="9"/>
        <v>2.2404131289422121E-3</v>
      </c>
      <c r="D255" s="7">
        <f t="shared" si="10"/>
        <v>0.1631548076377187</v>
      </c>
      <c r="E255" s="8">
        <f t="shared" si="11"/>
        <v>-0.66647006171230694</v>
      </c>
    </row>
    <row r="256" spans="1:5" x14ac:dyDescent="0.2">
      <c r="A256" s="1">
        <v>41982</v>
      </c>
      <c r="B256">
        <v>60354.28</v>
      </c>
      <c r="C256" s="6">
        <f t="shared" si="9"/>
        <v>-2.4231375402183567E-2</v>
      </c>
      <c r="D256" s="7">
        <f t="shared" si="10"/>
        <v>-2.0608977576453906</v>
      </c>
      <c r="E256" s="8">
        <f t="shared" si="11"/>
        <v>-3.4831941288774053</v>
      </c>
    </row>
    <row r="257" spans="1:5" x14ac:dyDescent="0.2">
      <c r="A257" s="1">
        <v>41983</v>
      </c>
      <c r="B257">
        <v>60772.160000000003</v>
      </c>
      <c r="C257" s="6">
        <f t="shared" si="9"/>
        <v>6.8999247051494423E-3</v>
      </c>
      <c r="D257" s="7">
        <f t="shared" si="10"/>
        <v>0.5546281174915324</v>
      </c>
      <c r="E257" s="8">
        <f t="shared" si="11"/>
        <v>-0.99179794358236539</v>
      </c>
    </row>
    <row r="258" spans="1:5" x14ac:dyDescent="0.2">
      <c r="A258" s="1">
        <v>41984</v>
      </c>
      <c r="B258">
        <v>60234.239999999998</v>
      </c>
      <c r="C258" s="6">
        <f t="shared" si="9"/>
        <v>-8.8908279793611378E-3</v>
      </c>
      <c r="D258" s="7">
        <f t="shared" si="10"/>
        <v>-0.77204703233610772</v>
      </c>
      <c r="E258" s="8">
        <f t="shared" si="11"/>
        <v>-1.286765351454831</v>
      </c>
    </row>
    <row r="259" spans="1:5" x14ac:dyDescent="0.2">
      <c r="A259" s="1">
        <v>41985</v>
      </c>
      <c r="B259">
        <v>60295.28</v>
      </c>
      <c r="C259" s="6">
        <f t="shared" ref="C259:C322" si="12">LN(B259/B258)</f>
        <v>1.0128639891435634E-3</v>
      </c>
      <c r="D259" s="7">
        <f t="shared" ref="D259:D322" si="13">(C259-$G$4)/$G$5</f>
        <v>6.0021095679792573E-2</v>
      </c>
      <c r="E259" s="8">
        <f t="shared" ref="E259:E322" si="14">LN((PI()*(G$3-2))^(-1/2)*EXP(GAMMALN((G$3+1)/2))*((1+D259^2/(G$3-2))^(-(G$3+1)/2))/EXP(GAMMALN(G$3/2)))</f>
        <v>-0.63784313579287488</v>
      </c>
    </row>
    <row r="260" spans="1:5" x14ac:dyDescent="0.2">
      <c r="A260" s="1">
        <v>41988</v>
      </c>
      <c r="B260">
        <v>59512.4</v>
      </c>
      <c r="C260" s="6">
        <f t="shared" si="12"/>
        <v>-1.3069131179288913E-2</v>
      </c>
      <c r="D260" s="7">
        <f t="shared" si="13"/>
        <v>-1.1230911614248344</v>
      </c>
      <c r="E260" s="8">
        <f t="shared" si="14"/>
        <v>-1.8578139805850178</v>
      </c>
    </row>
    <row r="261" spans="1:5" x14ac:dyDescent="0.2">
      <c r="A261" s="1">
        <v>41990</v>
      </c>
      <c r="B261">
        <v>58948.800000000003</v>
      </c>
      <c r="C261" s="6">
        <f t="shared" si="12"/>
        <v>-9.5154236578724148E-3</v>
      </c>
      <c r="D261" s="7">
        <f t="shared" si="13"/>
        <v>-0.82452303407752359</v>
      </c>
      <c r="E261" s="8">
        <f t="shared" si="14"/>
        <v>-1.3662919592386784</v>
      </c>
    </row>
    <row r="262" spans="1:5" x14ac:dyDescent="0.2">
      <c r="A262" s="1">
        <v>41991</v>
      </c>
      <c r="B262">
        <v>61779.42</v>
      </c>
      <c r="C262" s="6">
        <f t="shared" si="12"/>
        <v>4.6901028752768921E-2</v>
      </c>
      <c r="D262" s="7">
        <f t="shared" si="13"/>
        <v>3.9153590317121294</v>
      </c>
      <c r="E262" s="8">
        <f t="shared" si="14"/>
        <v>-6.0317924818026567</v>
      </c>
    </row>
    <row r="263" spans="1:5" x14ac:dyDescent="0.2">
      <c r="A263" s="1">
        <v>41992</v>
      </c>
      <c r="B263">
        <v>61813.16</v>
      </c>
      <c r="C263" s="6">
        <f t="shared" si="12"/>
        <v>5.4598748303774387E-4</v>
      </c>
      <c r="D263" s="7">
        <f t="shared" si="13"/>
        <v>2.0796020658731863E-2</v>
      </c>
      <c r="E263" s="8">
        <f t="shared" si="14"/>
        <v>-0.63387458273832031</v>
      </c>
    </row>
    <row r="264" spans="1:5" x14ac:dyDescent="0.2">
      <c r="A264" s="1">
        <v>41995</v>
      </c>
      <c r="B264">
        <v>61885.63</v>
      </c>
      <c r="C264" s="6">
        <f t="shared" si="12"/>
        <v>1.1717173351703555E-3</v>
      </c>
      <c r="D264" s="7">
        <f t="shared" si="13"/>
        <v>7.3367311078849612E-2</v>
      </c>
      <c r="E264" s="8">
        <f t="shared" si="14"/>
        <v>-0.64006901892859802</v>
      </c>
    </row>
    <row r="265" spans="1:5" x14ac:dyDescent="0.2">
      <c r="A265" s="1">
        <v>41996</v>
      </c>
      <c r="B265">
        <v>62110.35</v>
      </c>
      <c r="C265" s="6">
        <f t="shared" si="12"/>
        <v>3.624637605684428E-3</v>
      </c>
      <c r="D265" s="7">
        <f t="shared" si="13"/>
        <v>0.27945174748393881</v>
      </c>
      <c r="E265" s="8">
        <f t="shared" si="14"/>
        <v>-0.72932572072923363</v>
      </c>
    </row>
    <row r="266" spans="1:5" x14ac:dyDescent="0.2">
      <c r="A266" s="1">
        <v>41997</v>
      </c>
      <c r="B266">
        <v>62127.39</v>
      </c>
      <c r="C266" s="6">
        <f t="shared" si="12"/>
        <v>2.7431278300548898E-4</v>
      </c>
      <c r="D266" s="7">
        <f t="shared" si="13"/>
        <v>-2.0289884190948767E-3</v>
      </c>
      <c r="E266" s="8">
        <f t="shared" si="14"/>
        <v>-0.63333784313238639</v>
      </c>
    </row>
    <row r="267" spans="1:5" x14ac:dyDescent="0.2">
      <c r="A267" s="1">
        <v>42002</v>
      </c>
      <c r="B267">
        <v>62916.05</v>
      </c>
      <c r="C267" s="6">
        <f t="shared" si="12"/>
        <v>1.2614343586728543E-2</v>
      </c>
      <c r="D267" s="7">
        <f t="shared" si="13"/>
        <v>1.0347304708982421</v>
      </c>
      <c r="E267" s="8">
        <f t="shared" si="14"/>
        <v>-1.7070637073603518</v>
      </c>
    </row>
    <row r="268" spans="1:5" x14ac:dyDescent="0.2">
      <c r="A268" s="1">
        <v>42003</v>
      </c>
      <c r="B268">
        <v>62236.59</v>
      </c>
      <c r="C268" s="6">
        <f t="shared" si="12"/>
        <v>-1.0858207637002281E-2</v>
      </c>
      <c r="D268" s="7">
        <f t="shared" si="13"/>
        <v>-0.93733831098612297</v>
      </c>
      <c r="E268" s="8">
        <f t="shared" si="14"/>
        <v>-1.5454044006952761</v>
      </c>
    </row>
    <row r="269" spans="1:5" x14ac:dyDescent="0.2">
      <c r="A269" s="1">
        <v>42004</v>
      </c>
      <c r="B269">
        <v>62352.98</v>
      </c>
      <c r="C269" s="6">
        <f t="shared" si="12"/>
        <v>1.868375239726925E-3</v>
      </c>
      <c r="D269" s="7">
        <f t="shared" si="13"/>
        <v>0.13189768948271113</v>
      </c>
      <c r="E269" s="8">
        <f t="shared" si="14"/>
        <v>-0.65503915026547022</v>
      </c>
    </row>
    <row r="270" spans="1:5" x14ac:dyDescent="0.2">
      <c r="A270" s="1">
        <v>42006</v>
      </c>
      <c r="B270">
        <v>61988.54</v>
      </c>
      <c r="C270" s="6">
        <f t="shared" si="12"/>
        <v>-5.8619364405778085E-3</v>
      </c>
      <c r="D270" s="7">
        <f t="shared" si="13"/>
        <v>-0.51757182039964833</v>
      </c>
      <c r="E270" s="8">
        <f t="shared" si="14"/>
        <v>-0.94829227223609636</v>
      </c>
    </row>
    <row r="271" spans="1:5" x14ac:dyDescent="0.2">
      <c r="A271" s="1">
        <v>42009</v>
      </c>
      <c r="B271">
        <v>59921.01</v>
      </c>
      <c r="C271" s="6">
        <f t="shared" si="12"/>
        <v>-3.3922334375984298E-2</v>
      </c>
      <c r="D271" s="7">
        <f t="shared" si="13"/>
        <v>-2.8750929201820066</v>
      </c>
      <c r="E271" s="8">
        <f t="shared" si="14"/>
        <v>-4.7241843720543413</v>
      </c>
    </row>
    <row r="272" spans="1:5" x14ac:dyDescent="0.2">
      <c r="A272" s="1">
        <v>42010</v>
      </c>
      <c r="B272">
        <v>61066.78</v>
      </c>
      <c r="C272" s="6">
        <f t="shared" si="12"/>
        <v>1.8940824590744219E-2</v>
      </c>
      <c r="D272" s="7">
        <f t="shared" si="13"/>
        <v>1.5662558073768025</v>
      </c>
      <c r="E272" s="8">
        <f t="shared" si="14"/>
        <v>-2.6369216779701312</v>
      </c>
    </row>
    <row r="273" spans="1:5" x14ac:dyDescent="0.2">
      <c r="A273" s="1">
        <v>42011</v>
      </c>
      <c r="B273">
        <v>61602.92</v>
      </c>
      <c r="C273" s="6">
        <f t="shared" si="12"/>
        <v>8.7412525480145432E-3</v>
      </c>
      <c r="D273" s="7">
        <f t="shared" si="13"/>
        <v>0.70932903268040048</v>
      </c>
      <c r="E273" s="8">
        <f t="shared" si="14"/>
        <v>-1.1955065915344665</v>
      </c>
    </row>
    <row r="274" spans="1:5" x14ac:dyDescent="0.2">
      <c r="A274" s="1">
        <v>42012</v>
      </c>
      <c r="B274">
        <v>62656.09</v>
      </c>
      <c r="C274" s="6">
        <f t="shared" si="12"/>
        <v>1.6951611308313335E-2</v>
      </c>
      <c r="D274" s="7">
        <f t="shared" si="13"/>
        <v>1.3991301559126512</v>
      </c>
      <c r="E274" s="8">
        <f t="shared" si="14"/>
        <v>-2.3418658561689072</v>
      </c>
    </row>
    <row r="275" spans="1:5" x14ac:dyDescent="0.2">
      <c r="A275" s="1">
        <v>42013</v>
      </c>
      <c r="B275">
        <v>61690.62</v>
      </c>
      <c r="C275" s="6">
        <f t="shared" si="12"/>
        <v>-1.5528989899422181E-2</v>
      </c>
      <c r="D275" s="7">
        <f t="shared" si="13"/>
        <v>-1.3297585382933728</v>
      </c>
      <c r="E275" s="8">
        <f t="shared" si="14"/>
        <v>-2.2192646295481464</v>
      </c>
    </row>
    <row r="276" spans="1:5" x14ac:dyDescent="0.2">
      <c r="A276" s="1">
        <v>42016</v>
      </c>
      <c r="B276">
        <v>61087.14</v>
      </c>
      <c r="C276" s="6">
        <f t="shared" si="12"/>
        <v>-9.8305240293955071E-3</v>
      </c>
      <c r="D276" s="7">
        <f t="shared" si="13"/>
        <v>-0.8509964923700597</v>
      </c>
      <c r="E276" s="8">
        <f t="shared" si="14"/>
        <v>-1.4073920037810186</v>
      </c>
    </row>
    <row r="277" spans="1:5" x14ac:dyDescent="0.2">
      <c r="A277" s="1">
        <v>42017</v>
      </c>
      <c r="B277">
        <v>62476.69</v>
      </c>
      <c r="C277" s="6">
        <f t="shared" si="12"/>
        <v>2.2492157782572759E-2</v>
      </c>
      <c r="D277" s="7">
        <f t="shared" si="13"/>
        <v>1.8646244531588718</v>
      </c>
      <c r="E277" s="8">
        <f t="shared" si="14"/>
        <v>-3.1542142943687677</v>
      </c>
    </row>
    <row r="278" spans="1:5" x14ac:dyDescent="0.2">
      <c r="A278" s="1">
        <v>42018</v>
      </c>
      <c r="B278">
        <v>61074.16</v>
      </c>
      <c r="C278" s="6">
        <f t="shared" si="12"/>
        <v>-2.2704663707916489E-2</v>
      </c>
      <c r="D278" s="7">
        <f t="shared" si="13"/>
        <v>-1.9326296182981011</v>
      </c>
      <c r="E278" s="8">
        <f t="shared" si="14"/>
        <v>-3.2693742066076008</v>
      </c>
    </row>
    <row r="279" spans="1:5" x14ac:dyDescent="0.2">
      <c r="A279" s="1">
        <v>42019</v>
      </c>
      <c r="B279">
        <v>61347.35</v>
      </c>
      <c r="C279" s="6">
        <f t="shared" si="12"/>
        <v>4.4631119724117835E-3</v>
      </c>
      <c r="D279" s="7">
        <f t="shared" si="13"/>
        <v>0.34989697123795316</v>
      </c>
      <c r="E279" s="8">
        <f t="shared" si="14"/>
        <v>-0.78222301545040385</v>
      </c>
    </row>
    <row r="280" spans="1:5" x14ac:dyDescent="0.2">
      <c r="A280" s="1">
        <v>42020</v>
      </c>
      <c r="B280">
        <v>60647.57</v>
      </c>
      <c r="C280" s="6">
        <f t="shared" si="12"/>
        <v>-1.1472406804760029E-2</v>
      </c>
      <c r="D280" s="7">
        <f t="shared" si="13"/>
        <v>-0.9889408399591918</v>
      </c>
      <c r="E280" s="8">
        <f t="shared" si="14"/>
        <v>-1.6303756546210173</v>
      </c>
    </row>
    <row r="281" spans="1:5" x14ac:dyDescent="0.2">
      <c r="A281" s="1">
        <v>42023</v>
      </c>
      <c r="B281">
        <v>61593.46</v>
      </c>
      <c r="C281" s="6">
        <f t="shared" si="12"/>
        <v>1.5476127436783244E-2</v>
      </c>
      <c r="D281" s="7">
        <f t="shared" si="13"/>
        <v>1.275165970959607</v>
      </c>
      <c r="E281" s="8">
        <f t="shared" si="14"/>
        <v>-2.1230343023293345</v>
      </c>
    </row>
    <row r="282" spans="1:5" x14ac:dyDescent="0.2">
      <c r="A282" s="1">
        <v>42024</v>
      </c>
      <c r="B282">
        <v>61510.47</v>
      </c>
      <c r="C282" s="6">
        <f t="shared" si="12"/>
        <v>-1.3482918469334014E-3</v>
      </c>
      <c r="D282" s="7">
        <f t="shared" si="13"/>
        <v>-0.13835366423057724</v>
      </c>
      <c r="E282" s="8">
        <f t="shared" si="14"/>
        <v>-0.65720570038948212</v>
      </c>
    </row>
    <row r="283" spans="1:5" x14ac:dyDescent="0.2">
      <c r="A283" s="1">
        <v>42025</v>
      </c>
      <c r="B283">
        <v>62353.13</v>
      </c>
      <c r="C283" s="6">
        <f t="shared" si="12"/>
        <v>1.3606467122135564E-2</v>
      </c>
      <c r="D283" s="7">
        <f t="shared" si="13"/>
        <v>1.118084676127151</v>
      </c>
      <c r="E283" s="8">
        <f t="shared" si="14"/>
        <v>-1.8491903039355269</v>
      </c>
    </row>
    <row r="284" spans="1:5" x14ac:dyDescent="0.2">
      <c r="A284" s="1">
        <v>42026</v>
      </c>
      <c r="B284">
        <v>62265.77</v>
      </c>
      <c r="C284" s="6">
        <f t="shared" si="12"/>
        <v>-1.4020347525184041E-3</v>
      </c>
      <c r="D284" s="7">
        <f t="shared" si="13"/>
        <v>-0.14286892570947402</v>
      </c>
      <c r="E284" s="8">
        <f t="shared" si="14"/>
        <v>-0.65878130256099443</v>
      </c>
    </row>
    <row r="285" spans="1:5" x14ac:dyDescent="0.2">
      <c r="A285" s="1">
        <v>42027</v>
      </c>
      <c r="B285">
        <v>62493.760000000002</v>
      </c>
      <c r="C285" s="6">
        <f t="shared" si="12"/>
        <v>3.6548751633315008E-3</v>
      </c>
      <c r="D285" s="7">
        <f t="shared" si="13"/>
        <v>0.28199218473372251</v>
      </c>
      <c r="E285" s="8">
        <f t="shared" si="14"/>
        <v>-0.73104507851923772</v>
      </c>
    </row>
    <row r="286" spans="1:5" x14ac:dyDescent="0.2">
      <c r="A286" s="1">
        <v>42030</v>
      </c>
      <c r="B286">
        <v>63541.919999999998</v>
      </c>
      <c r="C286" s="6">
        <f t="shared" si="12"/>
        <v>1.6633133812853359E-2</v>
      </c>
      <c r="D286" s="7">
        <f t="shared" si="13"/>
        <v>1.3723729653310681</v>
      </c>
      <c r="E286" s="8">
        <f t="shared" si="14"/>
        <v>-2.2945540325362019</v>
      </c>
    </row>
    <row r="287" spans="1:5" x14ac:dyDescent="0.2">
      <c r="A287" s="1">
        <v>42031</v>
      </c>
      <c r="B287">
        <v>63702.45</v>
      </c>
      <c r="C287" s="6">
        <f t="shared" si="12"/>
        <v>2.5231778060884808E-3</v>
      </c>
      <c r="D287" s="7">
        <f t="shared" si="13"/>
        <v>0.18691155172167667</v>
      </c>
      <c r="E287" s="8">
        <f t="shared" si="14"/>
        <v>-0.67673325513702076</v>
      </c>
    </row>
    <row r="288" spans="1:5" x14ac:dyDescent="0.2">
      <c r="A288" s="1">
        <v>42032</v>
      </c>
      <c r="B288">
        <v>64431.18</v>
      </c>
      <c r="C288" s="6">
        <f t="shared" si="12"/>
        <v>1.1374654055680788E-2</v>
      </c>
      <c r="D288" s="7">
        <f t="shared" si="13"/>
        <v>0.93057677238861902</v>
      </c>
      <c r="E288" s="8">
        <f t="shared" si="14"/>
        <v>-1.534397738785741</v>
      </c>
    </row>
    <row r="289" spans="1:5" x14ac:dyDescent="0.2">
      <c r="A289" s="1">
        <v>42033</v>
      </c>
      <c r="B289">
        <v>64128.09</v>
      </c>
      <c r="C289" s="6">
        <f t="shared" si="12"/>
        <v>-4.7151879681602248E-3</v>
      </c>
      <c r="D289" s="7">
        <f t="shared" si="13"/>
        <v>-0.42122665358872446</v>
      </c>
      <c r="E289" s="8">
        <f t="shared" si="14"/>
        <v>-0.84632938466186303</v>
      </c>
    </row>
    <row r="290" spans="1:5" x14ac:dyDescent="0.2">
      <c r="A290" s="1">
        <v>42034</v>
      </c>
      <c r="B290">
        <v>64297.98</v>
      </c>
      <c r="C290" s="6">
        <f t="shared" si="12"/>
        <v>2.6457260445733022E-3</v>
      </c>
      <c r="D290" s="7">
        <f t="shared" si="13"/>
        <v>0.19720755887860231</v>
      </c>
      <c r="E290" s="8">
        <f t="shared" si="14"/>
        <v>-0.68159916322974778</v>
      </c>
    </row>
    <row r="291" spans="1:5" x14ac:dyDescent="0.2">
      <c r="A291" s="1">
        <v>42037</v>
      </c>
      <c r="B291">
        <v>64146.6</v>
      </c>
      <c r="C291" s="6">
        <f t="shared" si="12"/>
        <v>-2.357126631415921E-3</v>
      </c>
      <c r="D291" s="7">
        <f t="shared" si="13"/>
        <v>-0.22311188099167806</v>
      </c>
      <c r="E291" s="8">
        <f t="shared" si="14"/>
        <v>-0.69494653541143436</v>
      </c>
    </row>
    <row r="292" spans="1:5" x14ac:dyDescent="0.2">
      <c r="A292" s="1">
        <v>42038</v>
      </c>
      <c r="B292">
        <v>64183.6</v>
      </c>
      <c r="C292" s="6">
        <f t="shared" si="12"/>
        <v>5.766374715420365E-4</v>
      </c>
      <c r="D292" s="7">
        <f t="shared" si="13"/>
        <v>2.3371108680408908E-2</v>
      </c>
      <c r="E292" s="8">
        <f t="shared" si="14"/>
        <v>-0.63401707433081689</v>
      </c>
    </row>
    <row r="293" spans="1:5" x14ac:dyDescent="0.2">
      <c r="A293" s="1">
        <v>42039</v>
      </c>
      <c r="B293">
        <v>63944.14</v>
      </c>
      <c r="C293" s="6">
        <f t="shared" si="12"/>
        <v>-3.7378366121133396E-3</v>
      </c>
      <c r="D293" s="7">
        <f t="shared" si="13"/>
        <v>-0.33911354710016339</v>
      </c>
      <c r="E293" s="8">
        <f t="shared" si="14"/>
        <v>-0.77343596331697539</v>
      </c>
    </row>
    <row r="294" spans="1:5" x14ac:dyDescent="0.2">
      <c r="A294" s="1">
        <v>42040</v>
      </c>
      <c r="B294">
        <v>64257.16</v>
      </c>
      <c r="C294" s="6">
        <f t="shared" si="12"/>
        <v>4.8832675180444061E-3</v>
      </c>
      <c r="D294" s="7">
        <f t="shared" si="13"/>
        <v>0.38519674019702543</v>
      </c>
      <c r="E294" s="8">
        <f t="shared" si="14"/>
        <v>-0.81267104065392282</v>
      </c>
    </row>
    <row r="295" spans="1:5" x14ac:dyDescent="0.2">
      <c r="A295" s="1">
        <v>42041</v>
      </c>
      <c r="B295">
        <v>64542.98</v>
      </c>
      <c r="C295" s="6">
        <f t="shared" si="12"/>
        <v>4.4382012187961983E-3</v>
      </c>
      <c r="D295" s="7">
        <f t="shared" si="13"/>
        <v>0.34780407051019407</v>
      </c>
      <c r="E295" s="8">
        <f t="shared" si="14"/>
        <v>-0.78049851065899611</v>
      </c>
    </row>
    <row r="296" spans="1:5" x14ac:dyDescent="0.2">
      <c r="A296" s="1">
        <v>42044</v>
      </c>
      <c r="B296">
        <v>64570.2</v>
      </c>
      <c r="C296" s="6">
        <f t="shared" si="12"/>
        <v>4.2164557333749001E-4</v>
      </c>
      <c r="D296" s="7">
        <f t="shared" si="13"/>
        <v>1.0349316503631481E-2</v>
      </c>
      <c r="E296" s="8">
        <f t="shared" si="14"/>
        <v>-0.63346690388194749</v>
      </c>
    </row>
    <row r="297" spans="1:5" x14ac:dyDescent="0.2">
      <c r="A297" s="1">
        <v>42045</v>
      </c>
      <c r="B297">
        <v>64868.57</v>
      </c>
      <c r="C297" s="6">
        <f t="shared" si="12"/>
        <v>4.6102188465750194E-3</v>
      </c>
      <c r="D297" s="7">
        <f t="shared" si="13"/>
        <v>0.36225629559825584</v>
      </c>
      <c r="E297" s="8">
        <f t="shared" si="14"/>
        <v>-0.79259261674773684</v>
      </c>
    </row>
    <row r="298" spans="1:5" x14ac:dyDescent="0.2">
      <c r="A298" s="1">
        <v>42046</v>
      </c>
      <c r="B298">
        <v>64884.25</v>
      </c>
      <c r="C298" s="6">
        <f t="shared" si="12"/>
        <v>2.4169031665487769E-4</v>
      </c>
      <c r="D298" s="7">
        <f t="shared" si="13"/>
        <v>-4.7697960486069203E-3</v>
      </c>
      <c r="E298" s="8">
        <f t="shared" si="14"/>
        <v>-0.63336119446017203</v>
      </c>
    </row>
    <row r="299" spans="1:5" x14ac:dyDescent="0.2">
      <c r="A299" s="1">
        <v>42047</v>
      </c>
      <c r="B299">
        <v>65057.05</v>
      </c>
      <c r="C299" s="6">
        <f t="shared" si="12"/>
        <v>2.6596640461945984E-3</v>
      </c>
      <c r="D299" s="7">
        <f t="shared" si="13"/>
        <v>0.19837857338048667</v>
      </c>
      <c r="E299" s="8">
        <f t="shared" si="14"/>
        <v>-0.68216848745062464</v>
      </c>
    </row>
    <row r="300" spans="1:5" x14ac:dyDescent="0.2">
      <c r="A300" s="1">
        <v>42048</v>
      </c>
      <c r="B300">
        <v>65269.43</v>
      </c>
      <c r="C300" s="6">
        <f t="shared" si="12"/>
        <v>3.2592023969150521E-3</v>
      </c>
      <c r="D300" s="7">
        <f t="shared" si="13"/>
        <v>0.24874935982499152</v>
      </c>
      <c r="E300" s="8">
        <f t="shared" si="14"/>
        <v>-0.70969304607551564</v>
      </c>
    </row>
    <row r="301" spans="1:5" x14ac:dyDescent="0.2">
      <c r="A301" s="1">
        <v>42051</v>
      </c>
      <c r="B301">
        <v>65383.3</v>
      </c>
      <c r="C301" s="6">
        <f t="shared" si="12"/>
        <v>1.7430945198263304E-3</v>
      </c>
      <c r="D301" s="7">
        <f t="shared" si="13"/>
        <v>0.12137211029308384</v>
      </c>
      <c r="E301" s="8">
        <f t="shared" si="14"/>
        <v>-0.65172520553954427</v>
      </c>
    </row>
    <row r="302" spans="1:5" x14ac:dyDescent="0.2">
      <c r="A302" s="1">
        <v>42052</v>
      </c>
      <c r="B302">
        <v>65283.61</v>
      </c>
      <c r="C302" s="6">
        <f t="shared" si="12"/>
        <v>-1.5258648014566073E-3</v>
      </c>
      <c r="D302" s="7">
        <f t="shared" si="13"/>
        <v>-0.15327262539437897</v>
      </c>
      <c r="E302" s="8">
        <f t="shared" si="14"/>
        <v>-0.66260014059345729</v>
      </c>
    </row>
    <row r="303" spans="1:5" x14ac:dyDescent="0.2">
      <c r="A303" s="1">
        <v>42053</v>
      </c>
      <c r="B303">
        <v>64976.01</v>
      </c>
      <c r="C303" s="6">
        <f t="shared" si="12"/>
        <v>-4.7228845250376662E-3</v>
      </c>
      <c r="D303" s="7">
        <f t="shared" si="13"/>
        <v>-0.42187328715664507</v>
      </c>
      <c r="E303" s="8">
        <f t="shared" si="14"/>
        <v>-0.84695661058409599</v>
      </c>
    </row>
    <row r="304" spans="1:5" x14ac:dyDescent="0.2">
      <c r="A304" s="1">
        <v>42054</v>
      </c>
      <c r="B304">
        <v>65821.59</v>
      </c>
      <c r="C304" s="6">
        <f t="shared" si="12"/>
        <v>1.2929775167762298E-2</v>
      </c>
      <c r="D304" s="7">
        <f t="shared" si="13"/>
        <v>1.0612317560737623</v>
      </c>
      <c r="E304" s="8">
        <f t="shared" si="14"/>
        <v>-1.7519285907829052</v>
      </c>
    </row>
    <row r="305" spans="1:5" x14ac:dyDescent="0.2">
      <c r="A305" s="1">
        <v>42055</v>
      </c>
      <c r="B305">
        <v>65920.210000000006</v>
      </c>
      <c r="C305" s="6">
        <f t="shared" si="12"/>
        <v>1.4971712610816592E-3</v>
      </c>
      <c r="D305" s="7">
        <f t="shared" si="13"/>
        <v>0.10071063311972386</v>
      </c>
      <c r="E305" s="8">
        <f t="shared" si="14"/>
        <v>-0.64601071543678668</v>
      </c>
    </row>
    <row r="306" spans="1:5" x14ac:dyDescent="0.2">
      <c r="A306" s="1">
        <v>42058</v>
      </c>
      <c r="B306">
        <v>66831.69</v>
      </c>
      <c r="C306" s="6">
        <f t="shared" si="12"/>
        <v>1.373229797177938E-2</v>
      </c>
      <c r="D306" s="7">
        <f t="shared" si="13"/>
        <v>1.1286564749919321</v>
      </c>
      <c r="E306" s="8">
        <f t="shared" si="14"/>
        <v>-1.867410365508104</v>
      </c>
    </row>
    <row r="307" spans="1:5" x14ac:dyDescent="0.2">
      <c r="A307" s="1">
        <v>42059</v>
      </c>
      <c r="B307">
        <v>66540.28</v>
      </c>
      <c r="C307" s="6">
        <f t="shared" si="12"/>
        <v>-4.369890670865146E-3</v>
      </c>
      <c r="D307" s="7">
        <f t="shared" si="13"/>
        <v>-0.3922161717721494</v>
      </c>
      <c r="E307" s="8">
        <f t="shared" si="14"/>
        <v>-0.8190272572727173</v>
      </c>
    </row>
    <row r="308" spans="1:5" x14ac:dyDescent="0.2">
      <c r="A308" s="1">
        <v>42060</v>
      </c>
      <c r="B308">
        <v>66054.44</v>
      </c>
      <c r="C308" s="6">
        <f t="shared" si="12"/>
        <v>-7.3282280659522176E-3</v>
      </c>
      <c r="D308" s="7">
        <f t="shared" si="13"/>
        <v>-0.6407637100232999</v>
      </c>
      <c r="E308" s="8">
        <f t="shared" si="14"/>
        <v>-1.101136568497493</v>
      </c>
    </row>
    <row r="309" spans="1:5" x14ac:dyDescent="0.2">
      <c r="A309" s="1">
        <v>42061</v>
      </c>
      <c r="B309">
        <v>66351.710000000006</v>
      </c>
      <c r="C309" s="6">
        <f t="shared" si="12"/>
        <v>4.490282354388038E-3</v>
      </c>
      <c r="D309" s="7">
        <f t="shared" si="13"/>
        <v>0.35217971679792764</v>
      </c>
      <c r="E309" s="8">
        <f t="shared" si="14"/>
        <v>-0.78411437399477502</v>
      </c>
    </row>
    <row r="310" spans="1:5" x14ac:dyDescent="0.2">
      <c r="A310" s="1">
        <v>42062</v>
      </c>
      <c r="B310">
        <v>66349.62</v>
      </c>
      <c r="C310" s="6">
        <f t="shared" si="12"/>
        <v>-3.1499307507824703E-5</v>
      </c>
      <c r="D310" s="7">
        <f t="shared" si="13"/>
        <v>-2.772208292236231E-2</v>
      </c>
      <c r="E310" s="8">
        <f t="shared" si="14"/>
        <v>-0.63429556516460661</v>
      </c>
    </row>
    <row r="311" spans="1:5" x14ac:dyDescent="0.2">
      <c r="A311" s="1">
        <v>42065</v>
      </c>
      <c r="B311">
        <v>65987.88</v>
      </c>
      <c r="C311" s="6">
        <f t="shared" si="12"/>
        <v>-5.466944758028139E-3</v>
      </c>
      <c r="D311" s="7">
        <f t="shared" si="13"/>
        <v>-0.48438621740168103</v>
      </c>
      <c r="E311" s="8">
        <f t="shared" si="14"/>
        <v>-0.91129128594517717</v>
      </c>
    </row>
    <row r="312" spans="1:5" x14ac:dyDescent="0.2">
      <c r="A312" s="1">
        <v>42066</v>
      </c>
      <c r="B312">
        <v>66478.149999999994</v>
      </c>
      <c r="C312" s="6">
        <f t="shared" si="12"/>
        <v>7.4022334422502558E-3</v>
      </c>
      <c r="D312" s="7">
        <f t="shared" si="13"/>
        <v>0.59683006519898008</v>
      </c>
      <c r="E312" s="8">
        <f t="shared" si="14"/>
        <v>-1.0439966330880337</v>
      </c>
    </row>
    <row r="313" spans="1:5" x14ac:dyDescent="0.2">
      <c r="A313" s="1">
        <v>42067</v>
      </c>
      <c r="B313">
        <v>66279.100000000006</v>
      </c>
      <c r="C313" s="6">
        <f t="shared" si="12"/>
        <v>-2.9987085324374137E-3</v>
      </c>
      <c r="D313" s="7">
        <f t="shared" si="13"/>
        <v>-0.27701499642070498</v>
      </c>
      <c r="E313" s="8">
        <f t="shared" si="14"/>
        <v>-0.72769005829975453</v>
      </c>
    </row>
    <row r="314" spans="1:5" x14ac:dyDescent="0.2">
      <c r="A314" s="1">
        <v>42068</v>
      </c>
      <c r="B314">
        <v>67016.36</v>
      </c>
      <c r="C314" s="6">
        <f t="shared" si="12"/>
        <v>1.1062154979197545E-2</v>
      </c>
      <c r="D314" s="7">
        <f t="shared" si="13"/>
        <v>0.90432186438027062</v>
      </c>
      <c r="E314" s="8">
        <f t="shared" si="14"/>
        <v>-1.4919631198327235</v>
      </c>
    </row>
    <row r="315" spans="1:5" x14ac:dyDescent="0.2">
      <c r="A315" s="1">
        <v>42069</v>
      </c>
      <c r="B315">
        <v>67360.19</v>
      </c>
      <c r="C315" s="6">
        <f t="shared" si="12"/>
        <v>5.1174219065982171E-3</v>
      </c>
      <c r="D315" s="7">
        <f t="shared" si="13"/>
        <v>0.40486944451479651</v>
      </c>
      <c r="E315" s="8">
        <f t="shared" si="14"/>
        <v>-0.83073251884310484</v>
      </c>
    </row>
    <row r="316" spans="1:5" x14ac:dyDescent="0.2">
      <c r="A316" s="1">
        <v>42072</v>
      </c>
      <c r="B316">
        <v>66521.679999999993</v>
      </c>
      <c r="C316" s="6">
        <f t="shared" si="12"/>
        <v>-1.2526281027128969E-2</v>
      </c>
      <c r="D316" s="7">
        <f t="shared" si="13"/>
        <v>-1.0774830880581232</v>
      </c>
      <c r="E316" s="8">
        <f t="shared" si="14"/>
        <v>-1.7795974245324933</v>
      </c>
    </row>
    <row r="317" spans="1:5" x14ac:dyDescent="0.2">
      <c r="A317" s="1">
        <v>42073</v>
      </c>
      <c r="B317">
        <v>65931.039999999994</v>
      </c>
      <c r="C317" s="6">
        <f t="shared" si="12"/>
        <v>-8.9185622611700956E-3</v>
      </c>
      <c r="D317" s="7">
        <f t="shared" si="13"/>
        <v>-0.77437715447843936</v>
      </c>
      <c r="E317" s="8">
        <f t="shared" si="14"/>
        <v>-1.2902383644908706</v>
      </c>
    </row>
    <row r="318" spans="1:5" x14ac:dyDescent="0.2">
      <c r="A318" s="1">
        <v>42074</v>
      </c>
      <c r="B318">
        <v>65828.05</v>
      </c>
      <c r="C318" s="6">
        <f t="shared" si="12"/>
        <v>-1.5633080188248833E-3</v>
      </c>
      <c r="D318" s="7">
        <f t="shared" si="13"/>
        <v>-0.1564184530192276</v>
      </c>
      <c r="E318" s="8">
        <f t="shared" si="14"/>
        <v>-0.66380648280681143</v>
      </c>
    </row>
    <row r="319" spans="1:5" x14ac:dyDescent="0.2">
      <c r="A319" s="1">
        <v>42075</v>
      </c>
      <c r="B319">
        <v>66342.39</v>
      </c>
      <c r="C319" s="6">
        <f t="shared" si="12"/>
        <v>7.7830201119110992E-3</v>
      </c>
      <c r="D319" s="7">
        <f t="shared" si="13"/>
        <v>0.62882222048871539</v>
      </c>
      <c r="E319" s="8">
        <f t="shared" si="14"/>
        <v>-1.0853351121331489</v>
      </c>
    </row>
    <row r="320" spans="1:5" x14ac:dyDescent="0.2">
      <c r="A320" s="1">
        <v>42076</v>
      </c>
      <c r="B320">
        <v>66003.429999999993</v>
      </c>
      <c r="C320" s="6">
        <f t="shared" si="12"/>
        <v>-5.1223490269462872E-3</v>
      </c>
      <c r="D320" s="7">
        <f t="shared" si="13"/>
        <v>-0.45543467833974488</v>
      </c>
      <c r="E320" s="8">
        <f t="shared" si="14"/>
        <v>-0.88059953743536035</v>
      </c>
    </row>
    <row r="321" spans="1:5" x14ac:dyDescent="0.2">
      <c r="A321" s="1">
        <v>42079</v>
      </c>
      <c r="B321">
        <v>66676.320000000007</v>
      </c>
      <c r="C321" s="6">
        <f t="shared" si="12"/>
        <v>1.0143157024401774E-2</v>
      </c>
      <c r="D321" s="7">
        <f t="shared" si="13"/>
        <v>0.82711137456201644</v>
      </c>
      <c r="E321" s="8">
        <f t="shared" si="14"/>
        <v>-1.3702826768166909</v>
      </c>
    </row>
    <row r="322" spans="1:5" x14ac:dyDescent="0.2">
      <c r="A322" s="1">
        <v>42080</v>
      </c>
      <c r="B322">
        <v>66416.320000000007</v>
      </c>
      <c r="C322" s="6">
        <f t="shared" si="12"/>
        <v>-3.9070579822264393E-3</v>
      </c>
      <c r="D322" s="7">
        <f t="shared" si="13"/>
        <v>-0.35333084193304704</v>
      </c>
      <c r="E322" s="8">
        <f t="shared" si="14"/>
        <v>-0.78507225149434789</v>
      </c>
    </row>
    <row r="323" spans="1:5" x14ac:dyDescent="0.2">
      <c r="A323" s="1">
        <v>42081</v>
      </c>
      <c r="B323">
        <v>66247.570000000007</v>
      </c>
      <c r="C323" s="6">
        <f t="shared" ref="C323:C386" si="15">LN(B323/B322)</f>
        <v>-2.5440244668438342E-3</v>
      </c>
      <c r="D323" s="7">
        <f t="shared" ref="D323:D386" si="16">(C323-$G$4)/$G$5</f>
        <v>-0.23881428091983406</v>
      </c>
      <c r="E323" s="8">
        <f t="shared" ref="E323:E386" si="17">LN((PI()*(G$3-2))^(-1/2)*EXP(GAMMALN((G$3+1)/2))*((1+D323^2/(G$3-2))^(-(G$3+1)/2))/EXP(GAMMALN(G$3/2)))</f>
        <v>-0.70379874074940019</v>
      </c>
    </row>
    <row r="324" spans="1:5" x14ac:dyDescent="0.2">
      <c r="A324" s="1">
        <v>42082</v>
      </c>
      <c r="B324">
        <v>66929.7</v>
      </c>
      <c r="C324" s="6">
        <f t="shared" si="15"/>
        <v>1.0244029859221628E-2</v>
      </c>
      <c r="D324" s="7">
        <f t="shared" si="16"/>
        <v>0.83558630200353345</v>
      </c>
      <c r="E324" s="8">
        <f t="shared" si="17"/>
        <v>-1.3833918927842621</v>
      </c>
    </row>
    <row r="325" spans="1:5" x14ac:dyDescent="0.2">
      <c r="A325" s="1">
        <v>42083</v>
      </c>
      <c r="B325">
        <v>66340.69</v>
      </c>
      <c r="C325" s="6">
        <f t="shared" si="15"/>
        <v>-8.83938037802642E-3</v>
      </c>
      <c r="D325" s="7">
        <f t="shared" si="16"/>
        <v>-0.76772461303332418</v>
      </c>
      <c r="E325" s="8">
        <f t="shared" si="17"/>
        <v>-1.2803378288498013</v>
      </c>
    </row>
    <row r="326" spans="1:5" x14ac:dyDescent="0.2">
      <c r="A326" s="1">
        <v>42086</v>
      </c>
      <c r="B326">
        <v>65832.78</v>
      </c>
      <c r="C326" s="6">
        <f t="shared" si="15"/>
        <v>-7.6855438550909212E-3</v>
      </c>
      <c r="D326" s="7">
        <f t="shared" si="16"/>
        <v>-0.67078393689673876</v>
      </c>
      <c r="E326" s="8">
        <f t="shared" si="17"/>
        <v>-1.1417122130229838</v>
      </c>
    </row>
    <row r="327" spans="1:5" x14ac:dyDescent="0.2">
      <c r="A327" s="1">
        <v>42087</v>
      </c>
      <c r="B327">
        <v>65964.19</v>
      </c>
      <c r="C327" s="6">
        <f t="shared" si="15"/>
        <v>1.9941284469060429E-3</v>
      </c>
      <c r="D327" s="7">
        <f t="shared" si="16"/>
        <v>0.14246296514175635</v>
      </c>
      <c r="E327" s="8">
        <f t="shared" si="17"/>
        <v>-0.65863761371683438</v>
      </c>
    </row>
    <row r="328" spans="1:5" x14ac:dyDescent="0.2">
      <c r="A328" s="1">
        <v>42088</v>
      </c>
      <c r="B328">
        <v>65172.54</v>
      </c>
      <c r="C328" s="6">
        <f t="shared" si="15"/>
        <v>-1.2073804448083637E-2</v>
      </c>
      <c r="D328" s="7">
        <f t="shared" si="16"/>
        <v>-1.039467836645358</v>
      </c>
      <c r="E328" s="8">
        <f t="shared" si="17"/>
        <v>-1.7150594130489856</v>
      </c>
    </row>
    <row r="329" spans="1:5" x14ac:dyDescent="0.2">
      <c r="A329" s="1">
        <v>42089</v>
      </c>
      <c r="B329">
        <v>64103.65</v>
      </c>
      <c r="C329" s="6">
        <f t="shared" si="15"/>
        <v>-1.6536909990110021E-2</v>
      </c>
      <c r="D329" s="7">
        <f t="shared" si="16"/>
        <v>-1.414439906182773</v>
      </c>
      <c r="E329" s="8">
        <f t="shared" si="17"/>
        <v>-2.368941076408162</v>
      </c>
    </row>
    <row r="330" spans="1:5" x14ac:dyDescent="0.2">
      <c r="A330" s="1">
        <v>42090</v>
      </c>
      <c r="B330">
        <v>64924.480000000003</v>
      </c>
      <c r="C330" s="6">
        <f t="shared" si="15"/>
        <v>1.2723443692140094E-2</v>
      </c>
      <c r="D330" s="7">
        <f t="shared" si="16"/>
        <v>1.0438966203266389</v>
      </c>
      <c r="E330" s="8">
        <f t="shared" si="17"/>
        <v>-1.7225440801000362</v>
      </c>
    </row>
    <row r="331" spans="1:5" x14ac:dyDescent="0.2">
      <c r="A331" s="1">
        <v>42093</v>
      </c>
      <c r="B331">
        <v>65771.94</v>
      </c>
      <c r="C331" s="6">
        <f t="shared" si="15"/>
        <v>1.2968555333966323E-2</v>
      </c>
      <c r="D331" s="7">
        <f t="shared" si="16"/>
        <v>1.0644899087303823</v>
      </c>
      <c r="E331" s="8">
        <f t="shared" si="17"/>
        <v>-1.7574666099502032</v>
      </c>
    </row>
    <row r="332" spans="1:5" x14ac:dyDescent="0.2">
      <c r="A332" s="1">
        <v>42094</v>
      </c>
      <c r="B332">
        <v>65630.61</v>
      </c>
      <c r="C332" s="6">
        <f t="shared" si="15"/>
        <v>-2.1511006368939876E-3</v>
      </c>
      <c r="D332" s="7">
        <f t="shared" si="16"/>
        <v>-0.20580241053059684</v>
      </c>
      <c r="E332" s="8">
        <f t="shared" si="17"/>
        <v>-0.68585308867500139</v>
      </c>
    </row>
    <row r="333" spans="1:5" x14ac:dyDescent="0.2">
      <c r="A333" s="1">
        <v>42095</v>
      </c>
      <c r="B333">
        <v>66028.73</v>
      </c>
      <c r="C333" s="6">
        <f t="shared" si="15"/>
        <v>6.0477473674724154E-3</v>
      </c>
      <c r="D333" s="7">
        <f t="shared" si="16"/>
        <v>0.48303162556170964</v>
      </c>
      <c r="E333" s="8">
        <f t="shared" si="17"/>
        <v>-0.90982172470063349</v>
      </c>
    </row>
    <row r="334" spans="1:5" x14ac:dyDescent="0.2">
      <c r="A334" s="1">
        <v>42096</v>
      </c>
      <c r="B334">
        <v>66175.399999999994</v>
      </c>
      <c r="C334" s="6">
        <f t="shared" si="15"/>
        <v>2.2188423338143502E-3</v>
      </c>
      <c r="D334" s="7">
        <f t="shared" si="16"/>
        <v>0.16134251670834276</v>
      </c>
      <c r="E334" s="8">
        <f t="shared" si="17"/>
        <v>-0.66574271616219816</v>
      </c>
    </row>
    <row r="335" spans="1:5" x14ac:dyDescent="0.2">
      <c r="A335" s="1">
        <v>42101</v>
      </c>
      <c r="B335">
        <v>66553.19</v>
      </c>
      <c r="C335" s="6">
        <f t="shared" si="15"/>
        <v>5.6926849029613038E-3</v>
      </c>
      <c r="D335" s="7">
        <f t="shared" si="16"/>
        <v>0.45320071390633848</v>
      </c>
      <c r="E335" s="8">
        <f t="shared" si="17"/>
        <v>-0.87829467843909204</v>
      </c>
    </row>
    <row r="336" spans="1:5" x14ac:dyDescent="0.2">
      <c r="A336" s="1">
        <v>42102</v>
      </c>
      <c r="B336">
        <v>66869.13</v>
      </c>
      <c r="C336" s="6">
        <f t="shared" si="15"/>
        <v>4.7359480860975599E-3</v>
      </c>
      <c r="D336" s="7">
        <f t="shared" si="16"/>
        <v>0.3728195575917706</v>
      </c>
      <c r="E336" s="8">
        <f t="shared" si="17"/>
        <v>-0.80170494001652604</v>
      </c>
    </row>
    <row r="337" spans="1:5" x14ac:dyDescent="0.2">
      <c r="A337" s="1">
        <v>42103</v>
      </c>
      <c r="B337">
        <v>67420.03</v>
      </c>
      <c r="C337" s="6">
        <f t="shared" si="15"/>
        <v>8.2047291149102922E-3</v>
      </c>
      <c r="D337" s="7">
        <f t="shared" si="16"/>
        <v>0.66425250465030661</v>
      </c>
      <c r="E337" s="8">
        <f t="shared" si="17"/>
        <v>-1.1327828576537855</v>
      </c>
    </row>
    <row r="338" spans="1:5" x14ac:dyDescent="0.2">
      <c r="A338" s="1">
        <v>42104</v>
      </c>
      <c r="B338">
        <v>68027.16</v>
      </c>
      <c r="C338" s="6">
        <f t="shared" si="15"/>
        <v>8.9648824195326573E-3</v>
      </c>
      <c r="D338" s="7">
        <f t="shared" si="16"/>
        <v>0.72811750965992117</v>
      </c>
      <c r="E338" s="8">
        <f t="shared" si="17"/>
        <v>-1.2223800916396916</v>
      </c>
    </row>
    <row r="339" spans="1:5" x14ac:dyDescent="0.2">
      <c r="A339" s="1">
        <v>42107</v>
      </c>
      <c r="B339">
        <v>68608.350000000006</v>
      </c>
      <c r="C339" s="6">
        <f t="shared" si="15"/>
        <v>8.5072102439986228E-3</v>
      </c>
      <c r="D339" s="7">
        <f t="shared" si="16"/>
        <v>0.68966574525199953</v>
      </c>
      <c r="E339" s="8">
        <f t="shared" si="17"/>
        <v>-1.1678334245543174</v>
      </c>
    </row>
    <row r="340" spans="1:5" x14ac:dyDescent="0.2">
      <c r="A340" s="1">
        <v>42108</v>
      </c>
      <c r="B340">
        <v>67627.259999999995</v>
      </c>
      <c r="C340" s="6">
        <f t="shared" si="15"/>
        <v>-1.4403091239596356E-2</v>
      </c>
      <c r="D340" s="7">
        <f t="shared" si="16"/>
        <v>-1.2351650883762979</v>
      </c>
      <c r="E340" s="8">
        <f t="shared" si="17"/>
        <v>-2.0527786131598886</v>
      </c>
    </row>
    <row r="341" spans="1:5" x14ac:dyDescent="0.2">
      <c r="A341" s="1">
        <v>42109</v>
      </c>
      <c r="B341">
        <v>68060.639999999999</v>
      </c>
      <c r="C341" s="6">
        <f t="shared" si="15"/>
        <v>6.3879162945069982E-3</v>
      </c>
      <c r="D341" s="7">
        <f t="shared" si="16"/>
        <v>0.51161124245881895</v>
      </c>
      <c r="E341" s="8">
        <f t="shared" si="17"/>
        <v>-0.94150695754402858</v>
      </c>
    </row>
    <row r="342" spans="1:5" x14ac:dyDescent="0.2">
      <c r="A342" s="1">
        <v>42110</v>
      </c>
      <c r="B342">
        <v>69080.03</v>
      </c>
      <c r="C342" s="6">
        <f t="shared" si="15"/>
        <v>1.4866615061404216E-2</v>
      </c>
      <c r="D342" s="7">
        <f t="shared" si="16"/>
        <v>1.2239572073190388</v>
      </c>
      <c r="E342" s="8">
        <f t="shared" si="17"/>
        <v>-2.033144167423774</v>
      </c>
    </row>
    <row r="343" spans="1:5" x14ac:dyDescent="0.2">
      <c r="A343" s="1">
        <v>42111</v>
      </c>
      <c r="B343">
        <v>68254.55</v>
      </c>
      <c r="C343" s="6">
        <f t="shared" si="15"/>
        <v>-1.2021589047867853E-2</v>
      </c>
      <c r="D343" s="7">
        <f t="shared" si="16"/>
        <v>-1.0350809099871667</v>
      </c>
      <c r="E343" s="8">
        <f t="shared" si="17"/>
        <v>-1.7076548024373928</v>
      </c>
    </row>
    <row r="344" spans="1:5" x14ac:dyDescent="0.2">
      <c r="A344" s="1">
        <v>42114</v>
      </c>
      <c r="B344">
        <v>68163.149999999994</v>
      </c>
      <c r="C344" s="6">
        <f t="shared" si="15"/>
        <v>-1.3400022676902106E-3</v>
      </c>
      <c r="D344" s="7">
        <f t="shared" si="16"/>
        <v>-0.13765720732290521</v>
      </c>
      <c r="E344" s="8">
        <f t="shared" si="17"/>
        <v>-0.65696708867980946</v>
      </c>
    </row>
    <row r="345" spans="1:5" x14ac:dyDescent="0.2">
      <c r="A345" s="1">
        <v>42115</v>
      </c>
      <c r="B345">
        <v>68786.399999999994</v>
      </c>
      <c r="C345" s="6">
        <f t="shared" si="15"/>
        <v>9.1019547386081163E-3</v>
      </c>
      <c r="D345" s="7">
        <f t="shared" si="16"/>
        <v>0.73963377130240993</v>
      </c>
      <c r="E345" s="8">
        <f t="shared" si="17"/>
        <v>-1.2390532346459378</v>
      </c>
    </row>
    <row r="346" spans="1:5" x14ac:dyDescent="0.2">
      <c r="A346" s="1">
        <v>42116</v>
      </c>
      <c r="B346">
        <v>68884.600000000006</v>
      </c>
      <c r="C346" s="6">
        <f t="shared" si="15"/>
        <v>1.4265897197578605E-3</v>
      </c>
      <c r="D346" s="7">
        <f t="shared" si="16"/>
        <v>9.4780657596602147E-2</v>
      </c>
      <c r="E346" s="8">
        <f t="shared" si="17"/>
        <v>-0.64456492720772252</v>
      </c>
    </row>
    <row r="347" spans="1:5" x14ac:dyDescent="0.2">
      <c r="A347" s="1">
        <v>42117</v>
      </c>
      <c r="B347">
        <v>69222.460000000006</v>
      </c>
      <c r="C347" s="6">
        <f t="shared" si="15"/>
        <v>4.8927357370205007E-3</v>
      </c>
      <c r="D347" s="7">
        <f t="shared" si="16"/>
        <v>0.38599222164617969</v>
      </c>
      <c r="E347" s="8">
        <f t="shared" si="17"/>
        <v>-0.813386404113001</v>
      </c>
    </row>
    <row r="348" spans="1:5" x14ac:dyDescent="0.2">
      <c r="A348" s="1">
        <v>42118</v>
      </c>
      <c r="B348">
        <v>69888.160000000003</v>
      </c>
      <c r="C348" s="6">
        <f t="shared" si="15"/>
        <v>9.5708736197453494E-3</v>
      </c>
      <c r="D348" s="7">
        <f t="shared" si="16"/>
        <v>0.77903043840998742</v>
      </c>
      <c r="E348" s="8">
        <f t="shared" si="17"/>
        <v>-1.2971907989185032</v>
      </c>
    </row>
    <row r="349" spans="1:5" x14ac:dyDescent="0.2">
      <c r="A349" s="1">
        <v>42122</v>
      </c>
      <c r="B349">
        <v>69374.37</v>
      </c>
      <c r="C349" s="6">
        <f t="shared" si="15"/>
        <v>-7.3787591127697999E-3</v>
      </c>
      <c r="D349" s="7">
        <f t="shared" si="16"/>
        <v>-0.64500912412401112</v>
      </c>
      <c r="E349" s="8">
        <f t="shared" si="17"/>
        <v>-1.1068014884020609</v>
      </c>
    </row>
    <row r="350" spans="1:5" x14ac:dyDescent="0.2">
      <c r="A350" s="1">
        <v>42123</v>
      </c>
      <c r="B350">
        <v>68487.37</v>
      </c>
      <c r="C350" s="6">
        <f t="shared" si="15"/>
        <v>-1.2868142238149598E-2</v>
      </c>
      <c r="D350" s="7">
        <f t="shared" si="16"/>
        <v>-1.1062048838086154</v>
      </c>
      <c r="E350" s="8">
        <f t="shared" si="17"/>
        <v>-1.828763033859137</v>
      </c>
    </row>
    <row r="351" spans="1:5" x14ac:dyDescent="0.2">
      <c r="A351" s="1">
        <v>42124</v>
      </c>
      <c r="B351">
        <v>68352.850000000006</v>
      </c>
      <c r="C351" s="6">
        <f t="shared" si="15"/>
        <v>-1.9660892584404841E-3</v>
      </c>
      <c r="D351" s="7">
        <f t="shared" si="16"/>
        <v>-0.19025850308466577</v>
      </c>
      <c r="E351" s="8">
        <f t="shared" si="17"/>
        <v>-0.67828744457879797</v>
      </c>
    </row>
    <row r="352" spans="1:5" x14ac:dyDescent="0.2">
      <c r="A352" s="1">
        <v>42128</v>
      </c>
      <c r="B352">
        <v>68514.080000000002</v>
      </c>
      <c r="C352" s="6">
        <f t="shared" si="15"/>
        <v>2.3560121437592352E-3</v>
      </c>
      <c r="D352" s="7">
        <f t="shared" si="16"/>
        <v>0.17286696913922439</v>
      </c>
      <c r="E352" s="8">
        <f t="shared" si="17"/>
        <v>-0.67050252940907229</v>
      </c>
    </row>
    <row r="353" spans="1:5" x14ac:dyDescent="0.2">
      <c r="A353" s="1">
        <v>42129</v>
      </c>
      <c r="B353">
        <v>68024.53</v>
      </c>
      <c r="C353" s="6">
        <f t="shared" si="15"/>
        <v>-7.1708961705619356E-3</v>
      </c>
      <c r="D353" s="7">
        <f t="shared" si="16"/>
        <v>-0.62754532075080416</v>
      </c>
      <c r="E353" s="8">
        <f t="shared" si="17"/>
        <v>-1.0836571910809352</v>
      </c>
    </row>
    <row r="354" spans="1:5" x14ac:dyDescent="0.2">
      <c r="A354" s="1">
        <v>42130</v>
      </c>
      <c r="B354">
        <v>67253.05</v>
      </c>
      <c r="C354" s="6">
        <f t="shared" si="15"/>
        <v>-1.1406004807514995E-2</v>
      </c>
      <c r="D354" s="7">
        <f t="shared" si="16"/>
        <v>-0.983362012818778</v>
      </c>
      <c r="E354" s="8">
        <f t="shared" si="17"/>
        <v>-1.6211109361314195</v>
      </c>
    </row>
    <row r="355" spans="1:5" x14ac:dyDescent="0.2">
      <c r="A355" s="1">
        <v>42131</v>
      </c>
      <c r="B355">
        <v>67008.740000000005</v>
      </c>
      <c r="C355" s="6">
        <f t="shared" si="15"/>
        <v>-3.6393119687855814E-3</v>
      </c>
      <c r="D355" s="7">
        <f t="shared" si="16"/>
        <v>-0.33083590520683021</v>
      </c>
      <c r="E355" s="8">
        <f t="shared" si="17"/>
        <v>-0.76685716862563291</v>
      </c>
    </row>
    <row r="356" spans="1:5" x14ac:dyDescent="0.2">
      <c r="A356" s="1">
        <v>42132</v>
      </c>
      <c r="B356">
        <v>67642.06</v>
      </c>
      <c r="C356" s="6">
        <f t="shared" si="15"/>
        <v>9.4069202738966216E-3</v>
      </c>
      <c r="D356" s="7">
        <f t="shared" si="16"/>
        <v>0.76525574166092325</v>
      </c>
      <c r="E356" s="8">
        <f t="shared" si="17"/>
        <v>-1.2766753644571354</v>
      </c>
    </row>
    <row r="357" spans="1:5" x14ac:dyDescent="0.2">
      <c r="A357" s="1">
        <v>42135</v>
      </c>
      <c r="B357">
        <v>67989.990000000005</v>
      </c>
      <c r="C357" s="6">
        <f t="shared" si="15"/>
        <v>5.1305095394169652E-3</v>
      </c>
      <c r="D357" s="7">
        <f t="shared" si="16"/>
        <v>0.40596901447055506</v>
      </c>
      <c r="E357" s="8">
        <f t="shared" si="17"/>
        <v>-0.83176462096450599</v>
      </c>
    </row>
    <row r="358" spans="1:5" x14ac:dyDescent="0.2">
      <c r="A358" s="1">
        <v>42136</v>
      </c>
      <c r="B358">
        <v>67509.66</v>
      </c>
      <c r="C358" s="6">
        <f t="shared" si="15"/>
        <v>-7.0897897077273437E-3</v>
      </c>
      <c r="D358" s="7">
        <f t="shared" si="16"/>
        <v>-0.62073108390707088</v>
      </c>
      <c r="E358" s="8">
        <f t="shared" si="17"/>
        <v>-1.0747416550245386</v>
      </c>
    </row>
    <row r="359" spans="1:5" x14ac:dyDescent="0.2">
      <c r="A359" s="1">
        <v>42137</v>
      </c>
      <c r="B359">
        <v>68088.210000000006</v>
      </c>
      <c r="C359" s="6">
        <f t="shared" si="15"/>
        <v>8.5333716636461776E-3</v>
      </c>
      <c r="D359" s="7">
        <f t="shared" si="16"/>
        <v>0.69186372187946377</v>
      </c>
      <c r="E359" s="8">
        <f t="shared" si="17"/>
        <v>-1.1709032428402095</v>
      </c>
    </row>
    <row r="360" spans="1:5" x14ac:dyDescent="0.2">
      <c r="A360" s="1">
        <v>42138</v>
      </c>
      <c r="B360">
        <v>68019.990000000005</v>
      </c>
      <c r="C360" s="6">
        <f t="shared" si="15"/>
        <v>-1.0024378503683464E-3</v>
      </c>
      <c r="D360" s="7">
        <f t="shared" si="16"/>
        <v>-0.10929641079379127</v>
      </c>
      <c r="E360" s="8">
        <f t="shared" si="17"/>
        <v>-0.64825778524988842</v>
      </c>
    </row>
    <row r="361" spans="1:5" x14ac:dyDescent="0.2">
      <c r="A361" s="1">
        <v>42139</v>
      </c>
      <c r="B361">
        <v>68335.38</v>
      </c>
      <c r="C361" s="6">
        <f t="shared" si="15"/>
        <v>4.6260086778268346E-3</v>
      </c>
      <c r="D361" s="7">
        <f t="shared" si="16"/>
        <v>0.36358289333303662</v>
      </c>
      <c r="E361" s="8">
        <f t="shared" si="17"/>
        <v>-0.79372442577552349</v>
      </c>
    </row>
    <row r="362" spans="1:5" x14ac:dyDescent="0.2">
      <c r="A362" s="1">
        <v>42142</v>
      </c>
      <c r="B362">
        <v>68744.710000000006</v>
      </c>
      <c r="C362" s="6">
        <f t="shared" si="15"/>
        <v>5.9721468903999424E-3</v>
      </c>
      <c r="D362" s="7">
        <f t="shared" si="16"/>
        <v>0.47667997936402412</v>
      </c>
      <c r="E362" s="8">
        <f t="shared" si="17"/>
        <v>-0.90297448300754746</v>
      </c>
    </row>
    <row r="363" spans="1:5" x14ac:dyDescent="0.2">
      <c r="A363" s="1">
        <v>42143</v>
      </c>
      <c r="B363">
        <v>68875.539999999994</v>
      </c>
      <c r="C363" s="6">
        <f t="shared" si="15"/>
        <v>1.901319601042609E-3</v>
      </c>
      <c r="D363" s="7">
        <f t="shared" si="16"/>
        <v>0.13466554142477427</v>
      </c>
      <c r="E363" s="8">
        <f t="shared" si="17"/>
        <v>-0.65595556258280041</v>
      </c>
    </row>
    <row r="364" spans="1:5" x14ac:dyDescent="0.2">
      <c r="A364" s="1">
        <v>42144</v>
      </c>
      <c r="B364">
        <v>68633.16</v>
      </c>
      <c r="C364" s="6">
        <f t="shared" si="15"/>
        <v>-3.5253078680941513E-3</v>
      </c>
      <c r="D364" s="7">
        <f t="shared" si="16"/>
        <v>-0.32125774193699902</v>
      </c>
      <c r="E364" s="8">
        <f t="shared" si="17"/>
        <v>-0.7594268285145408</v>
      </c>
    </row>
    <row r="365" spans="1:5" x14ac:dyDescent="0.2">
      <c r="A365" s="1">
        <v>42145</v>
      </c>
      <c r="B365">
        <v>68472.52</v>
      </c>
      <c r="C365" s="6">
        <f t="shared" si="15"/>
        <v>-2.3433029690251069E-3</v>
      </c>
      <c r="D365" s="7">
        <f t="shared" si="16"/>
        <v>-0.22195047280931257</v>
      </c>
      <c r="E365" s="8">
        <f t="shared" si="17"/>
        <v>-0.69431449619344554</v>
      </c>
    </row>
    <row r="366" spans="1:5" x14ac:dyDescent="0.2">
      <c r="A366" s="1">
        <v>42146</v>
      </c>
      <c r="B366">
        <v>68360.66</v>
      </c>
      <c r="C366" s="6">
        <f t="shared" si="15"/>
        <v>-1.6349839259516335E-3</v>
      </c>
      <c r="D366" s="7">
        <f t="shared" si="16"/>
        <v>-0.16244037272921644</v>
      </c>
      <c r="E366" s="8">
        <f t="shared" si="17"/>
        <v>-0.66618238538098551</v>
      </c>
    </row>
    <row r="367" spans="1:5" x14ac:dyDescent="0.2">
      <c r="A367" s="1">
        <v>42149</v>
      </c>
      <c r="B367">
        <v>68280.160000000003</v>
      </c>
      <c r="C367" s="6">
        <f t="shared" si="15"/>
        <v>-1.1782717538337951E-3</v>
      </c>
      <c r="D367" s="7">
        <f t="shared" si="16"/>
        <v>-0.12406926392406833</v>
      </c>
      <c r="E367" s="8">
        <f t="shared" si="17"/>
        <v>-0.65254855846333548</v>
      </c>
    </row>
    <row r="368" spans="1:5" x14ac:dyDescent="0.2">
      <c r="A368" s="1">
        <v>42150</v>
      </c>
      <c r="B368">
        <v>67171.45</v>
      </c>
      <c r="C368" s="6">
        <f t="shared" si="15"/>
        <v>-1.6370935152029337E-2</v>
      </c>
      <c r="D368" s="7">
        <f t="shared" si="16"/>
        <v>-1.4004953718355091</v>
      </c>
      <c r="E368" s="8">
        <f t="shared" si="17"/>
        <v>-2.3442801780637881</v>
      </c>
    </row>
    <row r="369" spans="1:5" x14ac:dyDescent="0.2">
      <c r="A369" s="1">
        <v>42151</v>
      </c>
      <c r="B369">
        <v>67072.38</v>
      </c>
      <c r="C369" s="6">
        <f t="shared" si="15"/>
        <v>-1.475971267882534E-3</v>
      </c>
      <c r="D369" s="7">
        <f t="shared" si="16"/>
        <v>-0.14908077257695479</v>
      </c>
      <c r="E369" s="8">
        <f t="shared" si="17"/>
        <v>-0.66102988856886413</v>
      </c>
    </row>
    <row r="370" spans="1:5" x14ac:dyDescent="0.2">
      <c r="A370" s="1">
        <v>42152</v>
      </c>
      <c r="B370">
        <v>67124.53</v>
      </c>
      <c r="C370" s="6">
        <f t="shared" si="15"/>
        <v>7.7721614640984308E-4</v>
      </c>
      <c r="D370" s="7">
        <f t="shared" si="16"/>
        <v>4.0222917384467809E-2</v>
      </c>
      <c r="E370" s="8">
        <f t="shared" si="17"/>
        <v>-0.63535931886892916</v>
      </c>
    </row>
    <row r="371" spans="1:5" x14ac:dyDescent="0.2">
      <c r="A371" s="1">
        <v>42153</v>
      </c>
      <c r="B371">
        <v>66206.17</v>
      </c>
      <c r="C371" s="6">
        <f t="shared" si="15"/>
        <v>-1.3775889925512706E-2</v>
      </c>
      <c r="D371" s="7">
        <f t="shared" si="16"/>
        <v>-1.1824701716767136</v>
      </c>
      <c r="E371" s="8">
        <f t="shared" si="17"/>
        <v>-1.9607010345641305</v>
      </c>
    </row>
    <row r="372" spans="1:5" x14ac:dyDescent="0.2">
      <c r="A372" s="1">
        <v>42156</v>
      </c>
      <c r="B372">
        <v>66115.23</v>
      </c>
      <c r="C372" s="6">
        <f t="shared" si="15"/>
        <v>-1.3745322271082065E-3</v>
      </c>
      <c r="D372" s="7">
        <f t="shared" si="16"/>
        <v>-0.14055827480206012</v>
      </c>
      <c r="E372" s="8">
        <f t="shared" si="17"/>
        <v>-0.65796880336859431</v>
      </c>
    </row>
    <row r="373" spans="1:5" x14ac:dyDescent="0.2">
      <c r="A373" s="1">
        <v>42157</v>
      </c>
      <c r="B373">
        <v>66181.64</v>
      </c>
      <c r="C373" s="6">
        <f t="shared" si="15"/>
        <v>1.0039542973015155E-3</v>
      </c>
      <c r="D373" s="7">
        <f t="shared" si="16"/>
        <v>5.9272539420592733E-2</v>
      </c>
      <c r="E373" s="8">
        <f t="shared" si="17"/>
        <v>-0.63773143114132003</v>
      </c>
    </row>
    <row r="374" spans="1:5" x14ac:dyDescent="0.2">
      <c r="A374" s="1">
        <v>42158</v>
      </c>
      <c r="B374">
        <v>65741.86</v>
      </c>
      <c r="C374" s="6">
        <f t="shared" si="15"/>
        <v>-6.6672219746287511E-3</v>
      </c>
      <c r="D374" s="7">
        <f t="shared" si="16"/>
        <v>-0.58522865271702296</v>
      </c>
      <c r="E374" s="8">
        <f t="shared" si="17"/>
        <v>-1.0293759830346869</v>
      </c>
    </row>
    <row r="375" spans="1:5" x14ac:dyDescent="0.2">
      <c r="A375" s="1">
        <v>42159</v>
      </c>
      <c r="B375">
        <v>65173.57</v>
      </c>
      <c r="C375" s="6">
        <f t="shared" si="15"/>
        <v>-8.6818424617804042E-3</v>
      </c>
      <c r="D375" s="7">
        <f t="shared" si="16"/>
        <v>-0.75448891472210744</v>
      </c>
      <c r="E375" s="8">
        <f t="shared" si="17"/>
        <v>-1.2607790030004711</v>
      </c>
    </row>
    <row r="376" spans="1:5" x14ac:dyDescent="0.2">
      <c r="A376" s="1">
        <v>42160</v>
      </c>
      <c r="B376">
        <v>65679.490000000005</v>
      </c>
      <c r="C376" s="6">
        <f t="shared" si="15"/>
        <v>7.7326815426077078E-3</v>
      </c>
      <c r="D376" s="7">
        <f t="shared" si="16"/>
        <v>0.62459297756996623</v>
      </c>
      <c r="E376" s="8">
        <f t="shared" si="17"/>
        <v>-1.079786398643467</v>
      </c>
    </row>
    <row r="377" spans="1:5" x14ac:dyDescent="0.2">
      <c r="A377" s="1">
        <v>42163</v>
      </c>
      <c r="B377">
        <v>65740.28</v>
      </c>
      <c r="C377" s="6">
        <f t="shared" si="15"/>
        <v>9.2512723672613282E-4</v>
      </c>
      <c r="D377" s="7">
        <f t="shared" si="16"/>
        <v>5.2649808732023309E-2</v>
      </c>
      <c r="E377" s="8">
        <f t="shared" si="17"/>
        <v>-0.63680401670197662</v>
      </c>
    </row>
    <row r="378" spans="1:5" x14ac:dyDescent="0.2">
      <c r="A378" s="1">
        <v>42164</v>
      </c>
      <c r="B378">
        <v>64766.79</v>
      </c>
      <c r="C378" s="6">
        <f t="shared" si="15"/>
        <v>-1.4918855444707181E-2</v>
      </c>
      <c r="D378" s="7">
        <f t="shared" si="16"/>
        <v>-1.2784975100639817</v>
      </c>
      <c r="E378" s="8">
        <f t="shared" si="17"/>
        <v>-2.1288967787542141</v>
      </c>
    </row>
    <row r="379" spans="1:5" x14ac:dyDescent="0.2">
      <c r="A379" s="1">
        <v>42165</v>
      </c>
      <c r="B379">
        <v>65928.98</v>
      </c>
      <c r="C379" s="6">
        <f t="shared" si="15"/>
        <v>1.7785130066273386E-2</v>
      </c>
      <c r="D379" s="7">
        <f t="shared" si="16"/>
        <v>1.4691590294688501</v>
      </c>
      <c r="E379" s="8">
        <f t="shared" si="17"/>
        <v>-2.4656846819714771</v>
      </c>
    </row>
    <row r="380" spans="1:5" x14ac:dyDescent="0.2">
      <c r="A380" s="1">
        <v>42166</v>
      </c>
      <c r="B380">
        <v>65835.06</v>
      </c>
      <c r="C380" s="6">
        <f t="shared" si="15"/>
        <v>-1.4255788742655521E-3</v>
      </c>
      <c r="D380" s="7">
        <f t="shared" si="16"/>
        <v>-0.14484700755715549</v>
      </c>
      <c r="E380" s="8">
        <f t="shared" si="17"/>
        <v>-0.65948716998519685</v>
      </c>
    </row>
    <row r="381" spans="1:5" x14ac:dyDescent="0.2">
      <c r="A381" s="1">
        <v>42167</v>
      </c>
      <c r="B381">
        <v>65877.63</v>
      </c>
      <c r="C381" s="6">
        <f t="shared" si="15"/>
        <v>6.4640698602844756E-4</v>
      </c>
      <c r="D381" s="7">
        <f t="shared" si="16"/>
        <v>2.9232860994182795E-2</v>
      </c>
      <c r="E381" s="8">
        <f t="shared" si="17"/>
        <v>-0.63440335054392394</v>
      </c>
    </row>
    <row r="382" spans="1:5" x14ac:dyDescent="0.2">
      <c r="A382" s="1">
        <v>42170</v>
      </c>
      <c r="B382">
        <v>65163.03</v>
      </c>
      <c r="C382" s="6">
        <f t="shared" si="15"/>
        <v>-1.0906646589732207E-2</v>
      </c>
      <c r="D382" s="7">
        <f t="shared" si="16"/>
        <v>-0.94140795580637937</v>
      </c>
      <c r="E382" s="8">
        <f t="shared" si="17"/>
        <v>-1.5520440099277626</v>
      </c>
    </row>
    <row r="383" spans="1:5" x14ac:dyDescent="0.2">
      <c r="A383" s="1">
        <v>42172</v>
      </c>
      <c r="B383">
        <v>65873.38</v>
      </c>
      <c r="C383" s="6">
        <f t="shared" si="15"/>
        <v>1.0842130955256653E-2</v>
      </c>
      <c r="D383" s="7">
        <f t="shared" si="16"/>
        <v>0.88583633612462309</v>
      </c>
      <c r="E383" s="8">
        <f t="shared" si="17"/>
        <v>-1.462390577951157</v>
      </c>
    </row>
    <row r="384" spans="1:5" x14ac:dyDescent="0.2">
      <c r="A384" s="1">
        <v>42173</v>
      </c>
      <c r="B384">
        <v>66345.440000000002</v>
      </c>
      <c r="C384" s="6">
        <f t="shared" si="15"/>
        <v>7.1406174370283832E-3</v>
      </c>
      <c r="D384" s="7">
        <f t="shared" si="16"/>
        <v>0.57485014696078918</v>
      </c>
      <c r="E384" s="8">
        <f t="shared" si="17"/>
        <v>-1.0164687164850785</v>
      </c>
    </row>
    <row r="385" spans="1:5" x14ac:dyDescent="0.2">
      <c r="A385" s="1">
        <v>42174</v>
      </c>
      <c r="B385">
        <v>66353.41</v>
      </c>
      <c r="C385" s="6">
        <f t="shared" si="15"/>
        <v>1.201216138585127E-4</v>
      </c>
      <c r="D385" s="7">
        <f t="shared" si="16"/>
        <v>-1.4983506580272954E-2</v>
      </c>
      <c r="E385" s="8">
        <f t="shared" si="17"/>
        <v>-0.63361400838259929</v>
      </c>
    </row>
    <row r="386" spans="1:5" x14ac:dyDescent="0.2">
      <c r="A386" s="1">
        <v>42177</v>
      </c>
      <c r="B386">
        <v>66826.25</v>
      </c>
      <c r="C386" s="6">
        <f t="shared" si="15"/>
        <v>7.1008138446330537E-3</v>
      </c>
      <c r="D386" s="7">
        <f t="shared" si="16"/>
        <v>0.57150601017644509</v>
      </c>
      <c r="E386" s="8">
        <f t="shared" si="17"/>
        <v>-1.0123449147594867</v>
      </c>
    </row>
    <row r="387" spans="1:5" x14ac:dyDescent="0.2">
      <c r="A387" s="1">
        <v>42178</v>
      </c>
      <c r="B387">
        <v>67289.56</v>
      </c>
      <c r="C387" s="6">
        <f t="shared" ref="C387:C450" si="18">LN(B387/B386)</f>
        <v>6.9091308929077923E-3</v>
      </c>
      <c r="D387" s="7">
        <f t="shared" ref="D387:D450" si="19">(C387-$G$4)/$G$5</f>
        <v>0.55540158413797236</v>
      </c>
      <c r="E387" s="8">
        <f t="shared" ref="E387:E450" si="20">LN((PI()*(G$3-2))^(-1/2)*EXP(GAMMALN((G$3+1)/2))*((1+D387^2/(G$3-2))^(-(G$3+1)/2))/EXP(GAMMALN(G$3/2)))</f>
        <v>-0.99272974527718116</v>
      </c>
    </row>
    <row r="388" spans="1:5" x14ac:dyDescent="0.2">
      <c r="A388" s="1">
        <v>42179</v>
      </c>
      <c r="B388">
        <v>67684.070000000007</v>
      </c>
      <c r="C388" s="6">
        <f t="shared" si="18"/>
        <v>5.8457511064767317E-3</v>
      </c>
      <c r="D388" s="7">
        <f t="shared" si="19"/>
        <v>0.46606071700686025</v>
      </c>
      <c r="E388" s="8">
        <f t="shared" si="20"/>
        <v>-0.89168815442852967</v>
      </c>
    </row>
    <row r="389" spans="1:5" x14ac:dyDescent="0.2">
      <c r="A389" s="1">
        <v>42180</v>
      </c>
      <c r="B389">
        <v>67963.41</v>
      </c>
      <c r="C389" s="6">
        <f t="shared" si="18"/>
        <v>4.1186226957033983E-3</v>
      </c>
      <c r="D389" s="7">
        <f t="shared" si="19"/>
        <v>0.32095437604175225</v>
      </c>
      <c r="E389" s="8">
        <f t="shared" si="20"/>
        <v>-0.7591946999582001</v>
      </c>
    </row>
    <row r="390" spans="1:5" x14ac:dyDescent="0.2">
      <c r="A390" s="1">
        <v>42181</v>
      </c>
      <c r="B390">
        <v>67903.42</v>
      </c>
      <c r="C390" s="6">
        <f t="shared" si="18"/>
        <v>-8.8307063465630788E-4</v>
      </c>
      <c r="D390" s="7">
        <f t="shared" si="19"/>
        <v>-9.9267660299546853E-2</v>
      </c>
      <c r="E390" s="8">
        <f t="shared" si="20"/>
        <v>-0.64565090736752617</v>
      </c>
    </row>
    <row r="391" spans="1:5" x14ac:dyDescent="0.2">
      <c r="A391" s="1">
        <v>42184</v>
      </c>
      <c r="B391">
        <v>66782.86</v>
      </c>
      <c r="C391" s="6">
        <f t="shared" si="18"/>
        <v>-1.6639940692507293E-2</v>
      </c>
      <c r="D391" s="7">
        <f t="shared" si="19"/>
        <v>-1.4230961289272297</v>
      </c>
      <c r="E391" s="8">
        <f t="shared" si="20"/>
        <v>-2.3842494778282215</v>
      </c>
    </row>
    <row r="392" spans="1:5" x14ac:dyDescent="0.2">
      <c r="A392" s="1">
        <v>42185</v>
      </c>
      <c r="B392">
        <v>66752.83</v>
      </c>
      <c r="C392" s="6">
        <f t="shared" si="18"/>
        <v>-4.4976740684431573E-4</v>
      </c>
      <c r="D392" s="7">
        <f t="shared" si="19"/>
        <v>-6.2863276280401434E-2</v>
      </c>
      <c r="E392" s="8">
        <f t="shared" si="20"/>
        <v>-0.63827998357726878</v>
      </c>
    </row>
    <row r="393" spans="1:5" x14ac:dyDescent="0.2">
      <c r="A393" s="1">
        <v>42186</v>
      </c>
      <c r="B393">
        <v>67195.08</v>
      </c>
      <c r="C393" s="6">
        <f t="shared" si="18"/>
        <v>6.6033371777162887E-3</v>
      </c>
      <c r="D393" s="7">
        <f t="shared" si="19"/>
        <v>0.5297100334548952</v>
      </c>
      <c r="E393" s="8">
        <f t="shared" si="20"/>
        <v>-0.96229453667383014</v>
      </c>
    </row>
    <row r="394" spans="1:5" x14ac:dyDescent="0.2">
      <c r="A394" s="1">
        <v>42187</v>
      </c>
      <c r="B394">
        <v>67563.27</v>
      </c>
      <c r="C394" s="6">
        <f t="shared" si="18"/>
        <v>5.4644616261545235E-3</v>
      </c>
      <c r="D394" s="7">
        <f t="shared" si="19"/>
        <v>0.43402631759977162</v>
      </c>
      <c r="E394" s="8">
        <f t="shared" si="20"/>
        <v>-0.85889375735883533</v>
      </c>
    </row>
    <row r="395" spans="1:5" x14ac:dyDescent="0.2">
      <c r="A395" s="1">
        <v>42188</v>
      </c>
      <c r="B395">
        <v>67132.55</v>
      </c>
      <c r="C395" s="6">
        <f t="shared" si="18"/>
        <v>-6.395468962718448E-3</v>
      </c>
      <c r="D395" s="7">
        <f t="shared" si="19"/>
        <v>-0.56239706419205904</v>
      </c>
      <c r="E395" s="8">
        <f t="shared" si="20"/>
        <v>-1.0012002669221847</v>
      </c>
    </row>
    <row r="396" spans="1:5" x14ac:dyDescent="0.2">
      <c r="A396" s="1">
        <v>42191</v>
      </c>
      <c r="B396">
        <v>66082.259999999995</v>
      </c>
      <c r="C396" s="6">
        <f t="shared" si="18"/>
        <v>-1.5768693630123322E-2</v>
      </c>
      <c r="D396" s="7">
        <f t="shared" si="19"/>
        <v>-1.3498974758852533</v>
      </c>
      <c r="E396" s="8">
        <f t="shared" si="20"/>
        <v>-2.2548322730968087</v>
      </c>
    </row>
    <row r="397" spans="1:5" x14ac:dyDescent="0.2">
      <c r="A397" s="1">
        <v>42192</v>
      </c>
      <c r="B397">
        <v>64338.92</v>
      </c>
      <c r="C397" s="6">
        <f t="shared" si="18"/>
        <v>-2.673559375171207E-2</v>
      </c>
      <c r="D397" s="7">
        <f t="shared" si="19"/>
        <v>-2.2712920510928925</v>
      </c>
      <c r="E397" s="8">
        <f t="shared" si="20"/>
        <v>-3.8235216828129031</v>
      </c>
    </row>
    <row r="398" spans="1:5" x14ac:dyDescent="0.2">
      <c r="A398" s="1">
        <v>42193</v>
      </c>
      <c r="B398">
        <v>64483.39</v>
      </c>
      <c r="C398" s="6">
        <f t="shared" si="18"/>
        <v>2.2429354133789276E-3</v>
      </c>
      <c r="D398" s="7">
        <f t="shared" si="19"/>
        <v>0.16336671977071474</v>
      </c>
      <c r="E398" s="8">
        <f t="shared" si="20"/>
        <v>-0.66655562720707973</v>
      </c>
    </row>
    <row r="399" spans="1:5" x14ac:dyDescent="0.2">
      <c r="A399" s="1">
        <v>42194</v>
      </c>
      <c r="B399">
        <v>66256.289999999994</v>
      </c>
      <c r="C399" s="6">
        <f t="shared" si="18"/>
        <v>2.7122732497646164E-2</v>
      </c>
      <c r="D399" s="7">
        <f t="shared" si="19"/>
        <v>2.2536666050212166</v>
      </c>
      <c r="E399" s="8">
        <f t="shared" si="20"/>
        <v>-3.7955273511801835</v>
      </c>
    </row>
    <row r="400" spans="1:5" x14ac:dyDescent="0.2">
      <c r="A400" s="1">
        <v>42195</v>
      </c>
      <c r="B400">
        <v>66638.37</v>
      </c>
      <c r="C400" s="6">
        <f t="shared" si="18"/>
        <v>5.7501340198091973E-3</v>
      </c>
      <c r="D400" s="7">
        <f t="shared" si="19"/>
        <v>0.45802735625989816</v>
      </c>
      <c r="E400" s="8">
        <f t="shared" si="20"/>
        <v>-0.88328601522372019</v>
      </c>
    </row>
    <row r="401" spans="1:5" x14ac:dyDescent="0.2">
      <c r="A401" s="1">
        <v>42198</v>
      </c>
      <c r="B401">
        <v>67526.289999999994</v>
      </c>
      <c r="C401" s="6">
        <f t="shared" si="18"/>
        <v>1.3236465756213569E-2</v>
      </c>
      <c r="D401" s="7">
        <f t="shared" si="19"/>
        <v>1.0869986584192997</v>
      </c>
      <c r="E401" s="8">
        <f t="shared" si="20"/>
        <v>-1.7958498380440664</v>
      </c>
    </row>
    <row r="402" spans="1:5" x14ac:dyDescent="0.2">
      <c r="A402" s="1">
        <v>42199</v>
      </c>
      <c r="B402">
        <v>67160.2</v>
      </c>
      <c r="C402" s="6">
        <f t="shared" si="18"/>
        <v>-5.4361933637626942E-3</v>
      </c>
      <c r="D402" s="7">
        <f t="shared" si="19"/>
        <v>-0.48180260967824828</v>
      </c>
      <c r="E402" s="8">
        <f t="shared" si="20"/>
        <v>-0.90849121218771878</v>
      </c>
    </row>
    <row r="403" spans="1:5" x14ac:dyDescent="0.2">
      <c r="A403" s="1">
        <v>42200</v>
      </c>
      <c r="B403">
        <v>67733.56</v>
      </c>
      <c r="C403" s="6">
        <f t="shared" si="18"/>
        <v>8.500963319331558E-3</v>
      </c>
      <c r="D403" s="7">
        <f t="shared" si="19"/>
        <v>0.68914090391705984</v>
      </c>
      <c r="E403" s="8">
        <f t="shared" si="20"/>
        <v>-1.1671012887260539</v>
      </c>
    </row>
    <row r="404" spans="1:5" x14ac:dyDescent="0.2">
      <c r="A404" s="1">
        <v>42201</v>
      </c>
      <c r="B404">
        <v>67983.47</v>
      </c>
      <c r="C404" s="6">
        <f t="shared" si="18"/>
        <v>3.6828139027678241E-3</v>
      </c>
      <c r="D404" s="7">
        <f t="shared" si="19"/>
        <v>0.28433948457865249</v>
      </c>
      <c r="E404" s="8">
        <f t="shared" si="20"/>
        <v>-0.73264648614863059</v>
      </c>
    </row>
    <row r="405" spans="1:5" x14ac:dyDescent="0.2">
      <c r="A405" s="1">
        <v>42202</v>
      </c>
      <c r="B405">
        <v>67925.070000000007</v>
      </c>
      <c r="C405" s="6">
        <f t="shared" si="18"/>
        <v>-8.5940152979893929E-4</v>
      </c>
      <c r="D405" s="7">
        <f t="shared" si="19"/>
        <v>-9.7279077876636921E-2</v>
      </c>
      <c r="E405" s="8">
        <f t="shared" si="20"/>
        <v>-0.64516347648595862</v>
      </c>
    </row>
    <row r="406" spans="1:5" x14ac:dyDescent="0.2">
      <c r="A406" s="1">
        <v>42205</v>
      </c>
      <c r="B406">
        <v>68542.47</v>
      </c>
      <c r="C406" s="6">
        <f t="shared" si="18"/>
        <v>9.0483672873057728E-3</v>
      </c>
      <c r="D406" s="7">
        <f t="shared" si="19"/>
        <v>0.73513157046336097</v>
      </c>
      <c r="E406" s="8">
        <f t="shared" si="20"/>
        <v>-1.232517115108531</v>
      </c>
    </row>
    <row r="407" spans="1:5" x14ac:dyDescent="0.2">
      <c r="A407" s="1">
        <v>42206</v>
      </c>
      <c r="B407">
        <v>68450.3</v>
      </c>
      <c r="C407" s="6">
        <f t="shared" si="18"/>
        <v>-1.3456186615921947E-3</v>
      </c>
      <c r="D407" s="7">
        <f t="shared" si="19"/>
        <v>-0.13812907401414373</v>
      </c>
      <c r="E407" s="8">
        <f t="shared" si="20"/>
        <v>-0.65712862493127477</v>
      </c>
    </row>
    <row r="408" spans="1:5" x14ac:dyDescent="0.2">
      <c r="A408" s="1">
        <v>42207</v>
      </c>
      <c r="B408">
        <v>67390.929999999993</v>
      </c>
      <c r="C408" s="6">
        <f t="shared" si="18"/>
        <v>-1.5597495355988488E-2</v>
      </c>
      <c r="D408" s="7">
        <f t="shared" si="19"/>
        <v>-1.3355140895751849</v>
      </c>
      <c r="E408" s="8">
        <f t="shared" si="20"/>
        <v>-2.2294266914390075</v>
      </c>
    </row>
    <row r="409" spans="1:5" x14ac:dyDescent="0.2">
      <c r="A409" s="1">
        <v>42208</v>
      </c>
      <c r="B409">
        <v>67874.14</v>
      </c>
      <c r="C409" s="6">
        <f t="shared" si="18"/>
        <v>7.1446686939172568E-3</v>
      </c>
      <c r="D409" s="7">
        <f t="shared" si="19"/>
        <v>0.57519051717286329</v>
      </c>
      <c r="E409" s="8">
        <f t="shared" si="20"/>
        <v>-1.0168894078268687</v>
      </c>
    </row>
    <row r="410" spans="1:5" x14ac:dyDescent="0.2">
      <c r="A410" s="1">
        <v>42209</v>
      </c>
      <c r="B410">
        <v>66883.73</v>
      </c>
      <c r="C410" s="6">
        <f t="shared" si="18"/>
        <v>-1.4699369071549487E-2</v>
      </c>
      <c r="D410" s="7">
        <f t="shared" si="19"/>
        <v>-1.2600571530517577</v>
      </c>
      <c r="E410" s="8">
        <f t="shared" si="20"/>
        <v>-2.0964675328109501</v>
      </c>
    </row>
    <row r="411" spans="1:5" x14ac:dyDescent="0.2">
      <c r="A411" s="1">
        <v>42212</v>
      </c>
      <c r="B411">
        <v>66501.350000000006</v>
      </c>
      <c r="C411" s="6">
        <f t="shared" si="18"/>
        <v>-5.7334905447418297E-3</v>
      </c>
      <c r="D411" s="7">
        <f t="shared" si="19"/>
        <v>-0.50678031593450035</v>
      </c>
      <c r="E411" s="8">
        <f t="shared" si="20"/>
        <v>-0.93605190130548177</v>
      </c>
    </row>
    <row r="412" spans="1:5" x14ac:dyDescent="0.2">
      <c r="A412" s="1">
        <v>42213</v>
      </c>
      <c r="B412">
        <v>65597.66</v>
      </c>
      <c r="C412" s="6">
        <f t="shared" si="18"/>
        <v>-1.3682223625510368E-2</v>
      </c>
      <c r="D412" s="7">
        <f t="shared" si="19"/>
        <v>-1.1746007081323131</v>
      </c>
      <c r="E412" s="8">
        <f t="shared" si="20"/>
        <v>-1.9470067645721605</v>
      </c>
    </row>
    <row r="413" spans="1:5" x14ac:dyDescent="0.2">
      <c r="A413" s="1">
        <v>42214</v>
      </c>
      <c r="B413">
        <v>66785.89</v>
      </c>
      <c r="C413" s="6">
        <f t="shared" si="18"/>
        <v>1.7951806103889547E-2</v>
      </c>
      <c r="D413" s="7">
        <f t="shared" si="19"/>
        <v>1.4831624757639721</v>
      </c>
      <c r="E413" s="8">
        <f t="shared" si="20"/>
        <v>-2.4904248484479985</v>
      </c>
    </row>
    <row r="414" spans="1:5" x14ac:dyDescent="0.2">
      <c r="A414" s="1">
        <v>42215</v>
      </c>
      <c r="B414">
        <v>67187.490000000005</v>
      </c>
      <c r="C414" s="6">
        <f t="shared" si="18"/>
        <v>5.9952387987516091E-3</v>
      </c>
      <c r="D414" s="7">
        <f t="shared" si="19"/>
        <v>0.47862006807191099</v>
      </c>
      <c r="E414" s="8">
        <f t="shared" si="20"/>
        <v>-0.9050583239255664</v>
      </c>
    </row>
    <row r="415" spans="1:5" x14ac:dyDescent="0.2">
      <c r="A415" s="1">
        <v>42216</v>
      </c>
      <c r="B415">
        <v>67690.399999999994</v>
      </c>
      <c r="C415" s="6">
        <f t="shared" si="18"/>
        <v>7.4572983106568989E-3</v>
      </c>
      <c r="D415" s="7">
        <f t="shared" si="19"/>
        <v>0.60145639264537731</v>
      </c>
      <c r="E415" s="8">
        <f t="shared" si="20"/>
        <v>-1.0498827667246406</v>
      </c>
    </row>
    <row r="416" spans="1:5" x14ac:dyDescent="0.2">
      <c r="A416" s="1">
        <v>42219</v>
      </c>
      <c r="B416">
        <v>67205.929999999993</v>
      </c>
      <c r="C416" s="6">
        <f t="shared" si="18"/>
        <v>-7.1828801119727306E-3</v>
      </c>
      <c r="D416" s="7">
        <f t="shared" si="19"/>
        <v>-0.62855216302009553</v>
      </c>
      <c r="E416" s="8">
        <f t="shared" si="20"/>
        <v>-1.0849800505124898</v>
      </c>
    </row>
    <row r="417" spans="1:5" x14ac:dyDescent="0.2">
      <c r="A417" s="1">
        <v>42220</v>
      </c>
      <c r="B417">
        <v>68272.05</v>
      </c>
      <c r="C417" s="6">
        <f t="shared" si="18"/>
        <v>1.573897112658907E-2</v>
      </c>
      <c r="D417" s="7">
        <f t="shared" si="19"/>
        <v>1.2972490342892258</v>
      </c>
      <c r="E417" s="8">
        <f t="shared" si="20"/>
        <v>-2.161920490225981</v>
      </c>
    </row>
    <row r="418" spans="1:5" x14ac:dyDescent="0.2">
      <c r="A418" s="1">
        <v>42221</v>
      </c>
      <c r="B418">
        <v>68471.539999999994</v>
      </c>
      <c r="C418" s="6">
        <f t="shared" si="18"/>
        <v>2.9177256721655883E-3</v>
      </c>
      <c r="D418" s="7">
        <f t="shared" si="19"/>
        <v>0.22005986705533839</v>
      </c>
      <c r="E418" s="8">
        <f t="shared" si="20"/>
        <v>-0.69329234389423833</v>
      </c>
    </row>
    <row r="419" spans="1:5" x14ac:dyDescent="0.2">
      <c r="A419" s="1">
        <v>42222</v>
      </c>
      <c r="B419">
        <v>67965.759999999995</v>
      </c>
      <c r="C419" s="6">
        <f t="shared" si="18"/>
        <v>-7.4141355313644035E-3</v>
      </c>
      <c r="D419" s="7">
        <f t="shared" si="19"/>
        <v>-0.64798130767833895</v>
      </c>
      <c r="E419" s="8">
        <f t="shared" si="20"/>
        <v>-1.1107820216492958</v>
      </c>
    </row>
    <row r="420" spans="1:5" x14ac:dyDescent="0.2">
      <c r="A420" s="1">
        <v>42223</v>
      </c>
      <c r="B420">
        <v>67082.33</v>
      </c>
      <c r="C420" s="6">
        <f t="shared" si="18"/>
        <v>-1.3083377953862212E-2</v>
      </c>
      <c r="D420" s="7">
        <f t="shared" si="19"/>
        <v>-1.1242881177808244</v>
      </c>
      <c r="E420" s="8">
        <f t="shared" si="20"/>
        <v>-1.8598770255030512</v>
      </c>
    </row>
    <row r="421" spans="1:5" x14ac:dyDescent="0.2">
      <c r="A421" s="1">
        <v>42227</v>
      </c>
      <c r="B421">
        <v>67398.399999999994</v>
      </c>
      <c r="C421" s="6">
        <f t="shared" si="18"/>
        <v>4.7006077671122078E-3</v>
      </c>
      <c r="D421" s="7">
        <f t="shared" si="19"/>
        <v>0.36985040698054999</v>
      </c>
      <c r="E421" s="8">
        <f t="shared" si="20"/>
        <v>-0.79912054282596634</v>
      </c>
    </row>
    <row r="422" spans="1:5" x14ac:dyDescent="0.2">
      <c r="A422" s="1">
        <v>42228</v>
      </c>
      <c r="B422">
        <v>64825.38</v>
      </c>
      <c r="C422" s="6">
        <f t="shared" si="18"/>
        <v>-3.8924085420557815E-2</v>
      </c>
      <c r="D422" s="7">
        <f t="shared" si="19"/>
        <v>-3.2953198054380337</v>
      </c>
      <c r="E422" s="8">
        <f t="shared" si="20"/>
        <v>-5.2866552770196886</v>
      </c>
    </row>
    <row r="423" spans="1:5" x14ac:dyDescent="0.2">
      <c r="A423" s="1">
        <v>42229</v>
      </c>
      <c r="B423">
        <v>66379.350000000006</v>
      </c>
      <c r="C423" s="6">
        <f t="shared" si="18"/>
        <v>2.3688820794301155E-2</v>
      </c>
      <c r="D423" s="7">
        <f t="shared" si="19"/>
        <v>1.9651632376042298</v>
      </c>
      <c r="E423" s="8">
        <f t="shared" si="20"/>
        <v>-3.3240374432555173</v>
      </c>
    </row>
    <row r="424" spans="1:5" x14ac:dyDescent="0.2">
      <c r="A424" s="1">
        <v>42230</v>
      </c>
      <c r="B424">
        <v>65517.77</v>
      </c>
      <c r="C424" s="6">
        <f t="shared" si="18"/>
        <v>-1.30646105812688E-2</v>
      </c>
      <c r="D424" s="7">
        <f t="shared" si="19"/>
        <v>-1.1227113590699076</v>
      </c>
      <c r="E424" s="8">
        <f t="shared" si="20"/>
        <v>-1.8571594654918173</v>
      </c>
    </row>
    <row r="425" spans="1:5" x14ac:dyDescent="0.2">
      <c r="A425" s="1">
        <v>42233</v>
      </c>
      <c r="B425">
        <v>65471.94</v>
      </c>
      <c r="C425" s="6">
        <f t="shared" si="18"/>
        <v>-6.9974965010681696E-4</v>
      </c>
      <c r="D425" s="7">
        <f t="shared" si="19"/>
        <v>-8.3865772909953784E-2</v>
      </c>
      <c r="E425" s="8">
        <f t="shared" si="20"/>
        <v>-0.64213118042012229</v>
      </c>
    </row>
    <row r="426" spans="1:5" x14ac:dyDescent="0.2">
      <c r="A426" s="1">
        <v>42234</v>
      </c>
      <c r="B426">
        <v>65855.13</v>
      </c>
      <c r="C426" s="6">
        <f t="shared" si="18"/>
        <v>5.8356755764697645E-3</v>
      </c>
      <c r="D426" s="7">
        <f t="shared" si="19"/>
        <v>0.46521421174212402</v>
      </c>
      <c r="E426" s="8">
        <f t="shared" si="20"/>
        <v>-0.89079724510668268</v>
      </c>
    </row>
    <row r="427" spans="1:5" x14ac:dyDescent="0.2">
      <c r="A427" s="1">
        <v>42235</v>
      </c>
      <c r="B427">
        <v>64823.23</v>
      </c>
      <c r="C427" s="6">
        <f t="shared" si="18"/>
        <v>-1.5793302711720157E-2</v>
      </c>
      <c r="D427" s="7">
        <f t="shared" si="19"/>
        <v>-1.3519650313505875</v>
      </c>
      <c r="E427" s="8">
        <f t="shared" si="20"/>
        <v>-2.2584852856050643</v>
      </c>
    </row>
    <row r="428" spans="1:5" x14ac:dyDescent="0.2">
      <c r="A428" s="1">
        <v>42236</v>
      </c>
      <c r="B428">
        <v>63747</v>
      </c>
      <c r="C428" s="6">
        <f t="shared" si="18"/>
        <v>-1.6741902663498665E-2</v>
      </c>
      <c r="D428" s="7">
        <f t="shared" si="19"/>
        <v>-1.4316625611831404</v>
      </c>
      <c r="E428" s="8">
        <f t="shared" si="20"/>
        <v>-2.399398322514497</v>
      </c>
    </row>
    <row r="429" spans="1:5" x14ac:dyDescent="0.2">
      <c r="A429" s="1">
        <v>42237</v>
      </c>
      <c r="B429">
        <v>62744.73</v>
      </c>
      <c r="C429" s="6">
        <f t="shared" si="18"/>
        <v>-1.5847533686415595E-2</v>
      </c>
      <c r="D429" s="7">
        <f t="shared" si="19"/>
        <v>-1.3565212984213741</v>
      </c>
      <c r="E429" s="8">
        <f t="shared" si="20"/>
        <v>-2.266536253888618</v>
      </c>
    </row>
    <row r="430" spans="1:5" x14ac:dyDescent="0.2">
      <c r="A430" s="1">
        <v>42240</v>
      </c>
      <c r="B430">
        <v>61104.97</v>
      </c>
      <c r="C430" s="6">
        <f t="shared" si="18"/>
        <v>-2.6481385489632674E-2</v>
      </c>
      <c r="D430" s="7">
        <f t="shared" si="19"/>
        <v>-2.2499345014611754</v>
      </c>
      <c r="E430" s="8">
        <f t="shared" si="20"/>
        <v>-3.7895873902293733</v>
      </c>
    </row>
    <row r="431" spans="1:5" x14ac:dyDescent="0.2">
      <c r="A431" s="1">
        <v>42241</v>
      </c>
      <c r="B431">
        <v>63238.17</v>
      </c>
      <c r="C431" s="6">
        <f t="shared" si="18"/>
        <v>3.4314869609516317E-2</v>
      </c>
      <c r="D431" s="7">
        <f t="shared" si="19"/>
        <v>2.8579208651636612</v>
      </c>
      <c r="E431" s="8">
        <f t="shared" si="20"/>
        <v>-4.7001154870358679</v>
      </c>
    </row>
    <row r="432" spans="1:5" x14ac:dyDescent="0.2">
      <c r="A432" s="1">
        <v>42242</v>
      </c>
      <c r="B432">
        <v>62419.1</v>
      </c>
      <c r="C432" s="6">
        <f t="shared" si="18"/>
        <v>-1.3036756258109726E-2</v>
      </c>
      <c r="D432" s="7">
        <f t="shared" si="19"/>
        <v>-1.1203711515390367</v>
      </c>
      <c r="E432" s="8">
        <f t="shared" si="20"/>
        <v>-1.8531276768796876</v>
      </c>
    </row>
    <row r="433" spans="1:5" x14ac:dyDescent="0.2">
      <c r="A433" s="1">
        <v>42243</v>
      </c>
      <c r="B433">
        <v>63045.64</v>
      </c>
      <c r="C433" s="6">
        <f t="shared" si="18"/>
        <v>9.9875902697027993E-3</v>
      </c>
      <c r="D433" s="7">
        <f t="shared" si="19"/>
        <v>0.81404128526849528</v>
      </c>
      <c r="E433" s="8">
        <f t="shared" si="20"/>
        <v>-1.3501944020991767</v>
      </c>
    </row>
    <row r="434" spans="1:5" x14ac:dyDescent="0.2">
      <c r="A434" s="1">
        <v>42244</v>
      </c>
      <c r="B434">
        <v>64049.21</v>
      </c>
      <c r="C434" s="6">
        <f t="shared" si="18"/>
        <v>1.5792785599937981E-2</v>
      </c>
      <c r="D434" s="7">
        <f t="shared" si="19"/>
        <v>1.3017703086020769</v>
      </c>
      <c r="E434" s="8">
        <f t="shared" si="20"/>
        <v>-2.1698892914276642</v>
      </c>
    </row>
    <row r="435" spans="1:5" x14ac:dyDescent="0.2">
      <c r="A435" s="1">
        <v>42247</v>
      </c>
      <c r="B435">
        <v>64191.25</v>
      </c>
      <c r="C435" s="6">
        <f t="shared" si="18"/>
        <v>2.215214419608094E-3</v>
      </c>
      <c r="D435" s="7">
        <f t="shared" si="19"/>
        <v>0.16103771403558176</v>
      </c>
      <c r="E435" s="8">
        <f t="shared" si="20"/>
        <v>-0.66562116397398763</v>
      </c>
    </row>
    <row r="436" spans="1:5" x14ac:dyDescent="0.2">
      <c r="A436" s="1">
        <v>42248</v>
      </c>
      <c r="B436">
        <v>62445.35</v>
      </c>
      <c r="C436" s="6">
        <f t="shared" si="18"/>
        <v>-2.7575134340630747E-2</v>
      </c>
      <c r="D436" s="7">
        <f t="shared" si="19"/>
        <v>-2.3418268545213965</v>
      </c>
      <c r="E436" s="8">
        <f t="shared" si="20"/>
        <v>-3.9345876559116597</v>
      </c>
    </row>
    <row r="437" spans="1:5" x14ac:dyDescent="0.2">
      <c r="A437" s="1">
        <v>42249</v>
      </c>
      <c r="B437">
        <v>63507.68</v>
      </c>
      <c r="C437" s="6">
        <f t="shared" si="18"/>
        <v>1.6869069235611784E-2</v>
      </c>
      <c r="D437" s="7">
        <f t="shared" si="19"/>
        <v>1.3921953049364955</v>
      </c>
      <c r="E437" s="8">
        <f t="shared" si="20"/>
        <v>-2.3296022520928976</v>
      </c>
    </row>
    <row r="438" spans="1:5" x14ac:dyDescent="0.2">
      <c r="A438" s="1">
        <v>42250</v>
      </c>
      <c r="B438">
        <v>65054.14</v>
      </c>
      <c r="C438" s="6">
        <f t="shared" si="18"/>
        <v>2.4059002817337107E-2</v>
      </c>
      <c r="D438" s="7">
        <f t="shared" si="19"/>
        <v>1.9962644333918416</v>
      </c>
      <c r="E438" s="8">
        <f t="shared" si="20"/>
        <v>-3.3760244467609342</v>
      </c>
    </row>
    <row r="439" spans="1:5" x14ac:dyDescent="0.2">
      <c r="A439" s="1">
        <v>42251</v>
      </c>
      <c r="B439">
        <v>63465.04</v>
      </c>
      <c r="C439" s="6">
        <f t="shared" si="18"/>
        <v>-2.4730643176036488E-2</v>
      </c>
      <c r="D439" s="7">
        <f t="shared" si="19"/>
        <v>-2.1028442159247454</v>
      </c>
      <c r="E439" s="8">
        <f t="shared" si="20"/>
        <v>-3.5521025249449818</v>
      </c>
    </row>
    <row r="440" spans="1:5" x14ac:dyDescent="0.2">
      <c r="A440" s="1">
        <v>42254</v>
      </c>
      <c r="B440">
        <v>63244.15</v>
      </c>
      <c r="C440" s="6">
        <f t="shared" si="18"/>
        <v>-3.4865698970160527E-3</v>
      </c>
      <c r="D440" s="7">
        <f t="shared" si="19"/>
        <v>-0.31800313434413441</v>
      </c>
      <c r="E440" s="8">
        <f t="shared" si="20"/>
        <v>-0.75694680591897767</v>
      </c>
    </row>
    <row r="441" spans="1:5" x14ac:dyDescent="0.2">
      <c r="A441" s="1">
        <v>42255</v>
      </c>
      <c r="B441">
        <v>64201.59</v>
      </c>
      <c r="C441" s="6">
        <f t="shared" si="18"/>
        <v>1.5025343532796821E-2</v>
      </c>
      <c r="D441" s="7">
        <f t="shared" si="19"/>
        <v>1.2372929312565846</v>
      </c>
      <c r="E441" s="8">
        <f t="shared" si="20"/>
        <v>-2.0565089815272803</v>
      </c>
    </row>
    <row r="442" spans="1:5" x14ac:dyDescent="0.2">
      <c r="A442" s="1">
        <v>42256</v>
      </c>
      <c r="B442">
        <v>63888.3</v>
      </c>
      <c r="C442" s="6">
        <f t="shared" si="18"/>
        <v>-4.8917307170281933E-3</v>
      </c>
      <c r="D442" s="7">
        <f t="shared" si="19"/>
        <v>-0.43605906104167258</v>
      </c>
      <c r="E442" s="8">
        <f t="shared" si="20"/>
        <v>-0.86091781685092561</v>
      </c>
    </row>
    <row r="443" spans="1:5" x14ac:dyDescent="0.2">
      <c r="A443" s="1">
        <v>42257</v>
      </c>
      <c r="B443">
        <v>63737.36</v>
      </c>
      <c r="C443" s="6">
        <f t="shared" si="18"/>
        <v>-2.365356157603994E-3</v>
      </c>
      <c r="D443" s="7">
        <f t="shared" si="19"/>
        <v>-0.22380329248463884</v>
      </c>
      <c r="E443" s="8">
        <f t="shared" si="20"/>
        <v>-0.69532429206563873</v>
      </c>
    </row>
    <row r="444" spans="1:5" x14ac:dyDescent="0.2">
      <c r="A444" s="1">
        <v>42258</v>
      </c>
      <c r="B444">
        <v>63021.77</v>
      </c>
      <c r="C444" s="6">
        <f t="shared" si="18"/>
        <v>-1.1290667613224588E-2</v>
      </c>
      <c r="D444" s="7">
        <f t="shared" si="19"/>
        <v>-0.97367184841857046</v>
      </c>
      <c r="E444" s="8">
        <f t="shared" si="20"/>
        <v>-1.6050619679855587</v>
      </c>
    </row>
    <row r="445" spans="1:5" x14ac:dyDescent="0.2">
      <c r="A445" s="1">
        <v>42261</v>
      </c>
      <c r="B445">
        <v>63545.19</v>
      </c>
      <c r="C445" s="6">
        <f t="shared" si="18"/>
        <v>8.2710840801274894E-3</v>
      </c>
      <c r="D445" s="7">
        <f t="shared" si="19"/>
        <v>0.66982738035003719</v>
      </c>
      <c r="E445" s="8">
        <f t="shared" si="20"/>
        <v>-1.1404010113275105</v>
      </c>
    </row>
    <row r="446" spans="1:5" x14ac:dyDescent="0.2">
      <c r="A446" s="1">
        <v>42262</v>
      </c>
      <c r="B446">
        <v>63845.91</v>
      </c>
      <c r="C446" s="6">
        <f t="shared" si="18"/>
        <v>4.7212177080596931E-3</v>
      </c>
      <c r="D446" s="7">
        <f t="shared" si="19"/>
        <v>0.37158197082938821</v>
      </c>
      <c r="E446" s="8">
        <f t="shared" si="20"/>
        <v>-0.80062553816678583</v>
      </c>
    </row>
    <row r="447" spans="1:5" x14ac:dyDescent="0.2">
      <c r="A447" s="1">
        <v>42263</v>
      </c>
      <c r="B447">
        <v>66877</v>
      </c>
      <c r="C447" s="6">
        <f t="shared" si="18"/>
        <v>4.6382587266330051E-2</v>
      </c>
      <c r="D447" s="7">
        <f t="shared" si="19"/>
        <v>3.8718016756797708</v>
      </c>
      <c r="E447" s="8">
        <f t="shared" si="20"/>
        <v>-5.9824353236691801</v>
      </c>
    </row>
    <row r="448" spans="1:5" x14ac:dyDescent="0.2">
      <c r="A448" s="1">
        <v>42264</v>
      </c>
      <c r="B448">
        <v>67712.850000000006</v>
      </c>
      <c r="C448" s="6">
        <f t="shared" si="18"/>
        <v>1.2420858572305791E-2</v>
      </c>
      <c r="D448" s="7">
        <f t="shared" si="19"/>
        <v>1.0184746428432248</v>
      </c>
      <c r="E448" s="8">
        <f t="shared" si="20"/>
        <v>-1.6797119997432044</v>
      </c>
    </row>
    <row r="449" spans="1:5" x14ac:dyDescent="0.2">
      <c r="A449" s="1">
        <v>42265</v>
      </c>
      <c r="B449">
        <v>66854.06</v>
      </c>
      <c r="C449" s="6">
        <f t="shared" si="18"/>
        <v>-1.2763935195268555E-2</v>
      </c>
      <c r="D449" s="7">
        <f t="shared" si="19"/>
        <v>-1.097449829696286</v>
      </c>
      <c r="E449" s="8">
        <f t="shared" si="20"/>
        <v>-1.8137420888083362</v>
      </c>
    </row>
    <row r="450" spans="1:5" x14ac:dyDescent="0.2">
      <c r="A450" s="1">
        <v>42268</v>
      </c>
      <c r="B450">
        <v>66638.3</v>
      </c>
      <c r="C450" s="6">
        <f t="shared" si="18"/>
        <v>-3.2325473589574967E-3</v>
      </c>
      <c r="D450" s="7">
        <f t="shared" si="19"/>
        <v>-0.29666118849319301</v>
      </c>
      <c r="E450" s="8">
        <f t="shared" si="20"/>
        <v>-0.74125288649802246</v>
      </c>
    </row>
    <row r="451" spans="1:5" x14ac:dyDescent="0.2">
      <c r="A451" s="1">
        <v>42269</v>
      </c>
      <c r="B451">
        <v>65569.53</v>
      </c>
      <c r="C451" s="6">
        <f t="shared" ref="C451:C514" si="21">LN(B451/B450)</f>
        <v>-1.6168380991431357E-2</v>
      </c>
      <c r="D451" s="7">
        <f t="shared" ref="D451:D514" si="22">(C451-$G$4)/$G$5</f>
        <v>-1.3834775908133838</v>
      </c>
      <c r="E451" s="8">
        <f t="shared" ref="E451:E514" si="23">LN((PI()*(G$3-2))^(-1/2)*EXP(GAMMALN((G$3+1)/2))*((1+D451^2/(G$3-2))^(-(G$3+1)/2))/EXP(GAMMALN(G$3/2)))</f>
        <v>-2.314187045432154</v>
      </c>
    </row>
    <row r="452" spans="1:5" x14ac:dyDescent="0.2">
      <c r="A452" s="1">
        <v>42270</v>
      </c>
      <c r="B452">
        <v>66394.600000000006</v>
      </c>
      <c r="C452" s="6">
        <f t="shared" si="21"/>
        <v>1.2504621536418374E-2</v>
      </c>
      <c r="D452" s="7">
        <f t="shared" si="22"/>
        <v>1.0255120681759053</v>
      </c>
      <c r="E452" s="8">
        <f t="shared" si="23"/>
        <v>-1.6915366301271675</v>
      </c>
    </row>
    <row r="453" spans="1:5" x14ac:dyDescent="0.2">
      <c r="A453" s="1">
        <v>42272</v>
      </c>
      <c r="B453">
        <v>66682.929999999993</v>
      </c>
      <c r="C453" s="6">
        <f t="shared" si="21"/>
        <v>4.3332702548622088E-3</v>
      </c>
      <c r="D453" s="7">
        <f t="shared" si="22"/>
        <v>0.33898819548004194</v>
      </c>
      <c r="E453" s="8">
        <f t="shared" si="23"/>
        <v>-0.77333525647519208</v>
      </c>
    </row>
    <row r="454" spans="1:5" x14ac:dyDescent="0.2">
      <c r="A454" s="1">
        <v>42275</v>
      </c>
      <c r="B454">
        <v>66196.67</v>
      </c>
      <c r="C454" s="6">
        <f t="shared" si="21"/>
        <v>-7.3188385659990161E-3</v>
      </c>
      <c r="D454" s="7">
        <f t="shared" si="22"/>
        <v>-0.63997484222794532</v>
      </c>
      <c r="E454" s="8">
        <f t="shared" si="23"/>
        <v>-1.1000866429763954</v>
      </c>
    </row>
    <row r="455" spans="1:5" x14ac:dyDescent="0.2">
      <c r="A455" s="1">
        <v>42276</v>
      </c>
      <c r="B455">
        <v>65964.2</v>
      </c>
      <c r="C455" s="6">
        <f t="shared" si="21"/>
        <v>-3.5179889442129185E-3</v>
      </c>
      <c r="D455" s="7">
        <f t="shared" si="22"/>
        <v>-0.32064283556548473</v>
      </c>
      <c r="E455" s="8">
        <f t="shared" si="23"/>
        <v>-0.75895652220986987</v>
      </c>
    </row>
    <row r="456" spans="1:5" x14ac:dyDescent="0.2">
      <c r="A456" s="1">
        <v>42277</v>
      </c>
      <c r="B456">
        <v>67168.539999999994</v>
      </c>
      <c r="C456" s="6">
        <f t="shared" si="21"/>
        <v>1.8092812529792709E-2</v>
      </c>
      <c r="D456" s="7">
        <f t="shared" si="22"/>
        <v>1.4950092651443947</v>
      </c>
      <c r="E456" s="8">
        <f t="shared" si="23"/>
        <v>-2.5113458376902074</v>
      </c>
    </row>
    <row r="457" spans="1:5" x14ac:dyDescent="0.2">
      <c r="A457" s="1">
        <v>42278</v>
      </c>
      <c r="B457">
        <v>67445.91</v>
      </c>
      <c r="C457" s="6">
        <f t="shared" si="21"/>
        <v>4.12096015742585E-3</v>
      </c>
      <c r="D457" s="7">
        <f t="shared" si="22"/>
        <v>0.32115076011810423</v>
      </c>
      <c r="E457" s="8">
        <f t="shared" si="23"/>
        <v>-0.75934494593709967</v>
      </c>
    </row>
    <row r="458" spans="1:5" x14ac:dyDescent="0.2">
      <c r="A458" s="1">
        <v>42279</v>
      </c>
      <c r="B458">
        <v>68146.98</v>
      </c>
      <c r="C458" s="6">
        <f t="shared" si="21"/>
        <v>1.0340899841469822E-2</v>
      </c>
      <c r="D458" s="7">
        <f t="shared" si="22"/>
        <v>0.84372492596786075</v>
      </c>
      <c r="E458" s="8">
        <f t="shared" si="23"/>
        <v>-1.3960412521922172</v>
      </c>
    </row>
    <row r="459" spans="1:5" x14ac:dyDescent="0.2">
      <c r="A459" s="1">
        <v>42282</v>
      </c>
      <c r="B459">
        <v>69731.44</v>
      </c>
      <c r="C459" s="6">
        <f t="shared" si="21"/>
        <v>2.2984448954996042E-2</v>
      </c>
      <c r="D459" s="7">
        <f t="shared" si="22"/>
        <v>1.9059847656140299</v>
      </c>
      <c r="E459" s="8">
        <f t="shared" si="23"/>
        <v>-3.2243957955730269</v>
      </c>
    </row>
    <row r="460" spans="1:5" x14ac:dyDescent="0.2">
      <c r="A460" s="1">
        <v>42283</v>
      </c>
      <c r="B460">
        <v>69563.67</v>
      </c>
      <c r="C460" s="6">
        <f t="shared" si="21"/>
        <v>-2.408843801109476E-3</v>
      </c>
      <c r="D460" s="7">
        <f t="shared" si="22"/>
        <v>-0.22745694833727462</v>
      </c>
      <c r="E460" s="8">
        <f t="shared" si="23"/>
        <v>-0.69733892985802381</v>
      </c>
    </row>
    <row r="461" spans="1:5" x14ac:dyDescent="0.2">
      <c r="A461" s="1">
        <v>42284</v>
      </c>
      <c r="B461">
        <v>69905.7</v>
      </c>
      <c r="C461" s="6">
        <f t="shared" si="21"/>
        <v>4.904742678197206E-3</v>
      </c>
      <c r="D461" s="7">
        <f t="shared" si="22"/>
        <v>0.38700099626274387</v>
      </c>
      <c r="E461" s="8">
        <f t="shared" si="23"/>
        <v>-0.81429540517893328</v>
      </c>
    </row>
    <row r="462" spans="1:5" x14ac:dyDescent="0.2">
      <c r="A462" s="1">
        <v>42285</v>
      </c>
      <c r="B462">
        <v>70183.509999999995</v>
      </c>
      <c r="C462" s="6">
        <f t="shared" si="21"/>
        <v>3.9661921739478564E-3</v>
      </c>
      <c r="D462" s="7">
        <f t="shared" si="22"/>
        <v>0.30814778035067375</v>
      </c>
      <c r="E462" s="8">
        <f t="shared" si="23"/>
        <v>-0.74957647456713772</v>
      </c>
    </row>
    <row r="463" spans="1:5" x14ac:dyDescent="0.2">
      <c r="A463" s="1">
        <v>42286</v>
      </c>
      <c r="B463">
        <v>70632.55</v>
      </c>
      <c r="C463" s="6">
        <f t="shared" si="21"/>
        <v>6.3777032543188743E-3</v>
      </c>
      <c r="D463" s="7">
        <f t="shared" si="22"/>
        <v>0.51075318414503978</v>
      </c>
      <c r="E463" s="8">
        <f t="shared" si="23"/>
        <v>-0.94053513590724458</v>
      </c>
    </row>
    <row r="464" spans="1:5" x14ac:dyDescent="0.2">
      <c r="A464" s="1">
        <v>42289</v>
      </c>
      <c r="B464">
        <v>69779.23</v>
      </c>
      <c r="C464" s="6">
        <f t="shared" si="21"/>
        <v>-1.2154685390469485E-2</v>
      </c>
      <c r="D464" s="7">
        <f t="shared" si="22"/>
        <v>-1.0462631261734627</v>
      </c>
      <c r="E464" s="8">
        <f t="shared" si="23"/>
        <v>-1.726547309191296</v>
      </c>
    </row>
    <row r="465" spans="1:5" x14ac:dyDescent="0.2">
      <c r="A465" s="1">
        <v>42290</v>
      </c>
      <c r="B465">
        <v>70848.210000000006</v>
      </c>
      <c r="C465" s="6">
        <f t="shared" si="21"/>
        <v>1.5203300156598406E-2</v>
      </c>
      <c r="D465" s="7">
        <f t="shared" si="22"/>
        <v>1.2522441267607973</v>
      </c>
      <c r="E465" s="8">
        <f t="shared" si="23"/>
        <v>-2.0827432362854519</v>
      </c>
    </row>
    <row r="466" spans="1:5" x14ac:dyDescent="0.2">
      <c r="A466" s="1">
        <v>42291</v>
      </c>
      <c r="B466">
        <v>70912.149999999994</v>
      </c>
      <c r="C466" s="6">
        <f t="shared" si="21"/>
        <v>9.0208580644079452E-4</v>
      </c>
      <c r="D466" s="7">
        <f t="shared" si="22"/>
        <v>5.0713960987030793E-2</v>
      </c>
      <c r="E466" s="8">
        <f t="shared" si="23"/>
        <v>-0.63655360076715795</v>
      </c>
    </row>
    <row r="467" spans="1:5" x14ac:dyDescent="0.2">
      <c r="A467" s="1">
        <v>42292</v>
      </c>
      <c r="B467">
        <v>70715.839999999997</v>
      </c>
      <c r="C467" s="6">
        <f t="shared" si="21"/>
        <v>-2.772193910556059E-3</v>
      </c>
      <c r="D467" s="7">
        <f t="shared" si="22"/>
        <v>-0.25798415438760963</v>
      </c>
      <c r="E467" s="8">
        <f t="shared" si="23"/>
        <v>-0.7153741110924402</v>
      </c>
    </row>
    <row r="468" spans="1:5" x14ac:dyDescent="0.2">
      <c r="A468" s="1">
        <v>42293</v>
      </c>
      <c r="B468">
        <v>70859.3</v>
      </c>
      <c r="C468" s="6">
        <f t="shared" si="21"/>
        <v>2.0266276848013957E-3</v>
      </c>
      <c r="D468" s="7">
        <f t="shared" si="22"/>
        <v>0.14519341961505036</v>
      </c>
      <c r="E468" s="8">
        <f t="shared" si="23"/>
        <v>-0.65961176316018444</v>
      </c>
    </row>
    <row r="469" spans="1:5" x14ac:dyDescent="0.2">
      <c r="A469" s="1">
        <v>42296</v>
      </c>
      <c r="B469">
        <v>71283.67</v>
      </c>
      <c r="C469" s="6">
        <f t="shared" si="21"/>
        <v>5.9710481756868388E-3</v>
      </c>
      <c r="D469" s="7">
        <f t="shared" si="22"/>
        <v>0.4765876697993221</v>
      </c>
      <c r="E469" s="8">
        <f t="shared" si="23"/>
        <v>-0.90287550136410089</v>
      </c>
    </row>
    <row r="470" spans="1:5" x14ac:dyDescent="0.2">
      <c r="A470" s="1">
        <v>42297</v>
      </c>
      <c r="B470">
        <v>70804.42</v>
      </c>
      <c r="C470" s="6">
        <f t="shared" si="21"/>
        <v>-6.7458408007201251E-3</v>
      </c>
      <c r="D470" s="7">
        <f t="shared" si="22"/>
        <v>-0.5918338883867803</v>
      </c>
      <c r="E470" s="8">
        <f t="shared" si="23"/>
        <v>-1.0376755418245407</v>
      </c>
    </row>
    <row r="471" spans="1:5" x14ac:dyDescent="0.2">
      <c r="A471" s="1">
        <v>42298</v>
      </c>
      <c r="B471">
        <v>71176.97</v>
      </c>
      <c r="C471" s="6">
        <f t="shared" si="21"/>
        <v>5.2478829093079689E-3</v>
      </c>
      <c r="D471" s="7">
        <f t="shared" si="22"/>
        <v>0.41583025010618552</v>
      </c>
      <c r="E471" s="8">
        <f t="shared" si="23"/>
        <v>-0.84112639132898215</v>
      </c>
    </row>
    <row r="472" spans="1:5" x14ac:dyDescent="0.2">
      <c r="A472" s="1">
        <v>42299</v>
      </c>
      <c r="B472">
        <v>71428.399999999994</v>
      </c>
      <c r="C472" s="6">
        <f t="shared" si="21"/>
        <v>3.5262383251176499E-3</v>
      </c>
      <c r="D472" s="7">
        <f t="shared" si="22"/>
        <v>0.27118463806255483</v>
      </c>
      <c r="E472" s="8">
        <f t="shared" si="23"/>
        <v>-0.72383034205182195</v>
      </c>
    </row>
    <row r="473" spans="1:5" x14ac:dyDescent="0.2">
      <c r="A473" s="1">
        <v>42300</v>
      </c>
      <c r="B473">
        <v>72881.17</v>
      </c>
      <c r="C473" s="6">
        <f t="shared" si="21"/>
        <v>2.0134757245890995E-2</v>
      </c>
      <c r="D473" s="7">
        <f t="shared" si="22"/>
        <v>1.666565198309427</v>
      </c>
      <c r="E473" s="8">
        <f t="shared" si="23"/>
        <v>-2.8126750429294032</v>
      </c>
    </row>
    <row r="474" spans="1:5" x14ac:dyDescent="0.2">
      <c r="A474" s="1">
        <v>42303</v>
      </c>
      <c r="B474">
        <v>72518.59</v>
      </c>
      <c r="C474" s="6">
        <f t="shared" si="21"/>
        <v>-4.9873638245550829E-3</v>
      </c>
      <c r="D474" s="7">
        <f t="shared" si="22"/>
        <v>-0.44409376779641596</v>
      </c>
      <c r="E474" s="8">
        <f t="shared" si="23"/>
        <v>-0.86899440566083141</v>
      </c>
    </row>
    <row r="475" spans="1:5" x14ac:dyDescent="0.2">
      <c r="A475" s="1">
        <v>42304</v>
      </c>
      <c r="B475">
        <v>72254.47</v>
      </c>
      <c r="C475" s="6">
        <f t="shared" si="21"/>
        <v>-3.648749194459486E-3</v>
      </c>
      <c r="D475" s="7">
        <f t="shared" si="22"/>
        <v>-0.33162878272413604</v>
      </c>
      <c r="E475" s="8">
        <f t="shared" si="23"/>
        <v>-0.76748102516480843</v>
      </c>
    </row>
    <row r="476" spans="1:5" x14ac:dyDescent="0.2">
      <c r="A476" s="1">
        <v>42305</v>
      </c>
      <c r="B476">
        <v>72162.95</v>
      </c>
      <c r="C476" s="6">
        <f t="shared" si="21"/>
        <v>-1.2674372974044181E-3</v>
      </c>
      <c r="D476" s="7">
        <f t="shared" si="22"/>
        <v>-0.13156059212351862</v>
      </c>
      <c r="E476" s="8">
        <f t="shared" si="23"/>
        <v>-0.65492881753700383</v>
      </c>
    </row>
    <row r="477" spans="1:5" x14ac:dyDescent="0.2">
      <c r="A477" s="1">
        <v>42306</v>
      </c>
      <c r="B477">
        <v>72087.649999999994</v>
      </c>
      <c r="C477" s="6">
        <f t="shared" si="21"/>
        <v>-1.0440165495265567E-3</v>
      </c>
      <c r="D477" s="7">
        <f t="shared" si="22"/>
        <v>-0.11278968486612005</v>
      </c>
      <c r="E477" s="8">
        <f t="shared" si="23"/>
        <v>-0.64922400861517526</v>
      </c>
    </row>
    <row r="478" spans="1:5" x14ac:dyDescent="0.2">
      <c r="A478" s="1">
        <v>42307</v>
      </c>
      <c r="B478">
        <v>72744.34</v>
      </c>
      <c r="C478" s="6">
        <f t="shared" si="21"/>
        <v>9.0683625937423937E-3</v>
      </c>
      <c r="D478" s="7">
        <f t="shared" si="22"/>
        <v>0.73681149520745981</v>
      </c>
      <c r="E478" s="8">
        <f t="shared" si="23"/>
        <v>-1.23495329782856</v>
      </c>
    </row>
    <row r="479" spans="1:5" x14ac:dyDescent="0.2">
      <c r="A479" s="1">
        <v>42310</v>
      </c>
      <c r="B479">
        <v>72760.09</v>
      </c>
      <c r="C479" s="6">
        <f t="shared" si="21"/>
        <v>2.1648825484579245E-4</v>
      </c>
      <c r="D479" s="7">
        <f t="shared" si="22"/>
        <v>-6.8871713121262156E-3</v>
      </c>
      <c r="E479" s="8">
        <f t="shared" si="23"/>
        <v>-0.63339212449754811</v>
      </c>
    </row>
    <row r="480" spans="1:5" x14ac:dyDescent="0.2">
      <c r="A480" s="1">
        <v>42311</v>
      </c>
      <c r="B480">
        <v>73077.509999999995</v>
      </c>
      <c r="C480" s="6">
        <f t="shared" si="21"/>
        <v>4.3530680872122798E-3</v>
      </c>
      <c r="D480" s="7">
        <f t="shared" si="22"/>
        <v>0.34065152925038572</v>
      </c>
      <c r="E480" s="8">
        <f t="shared" si="23"/>
        <v>-0.77467426882151758</v>
      </c>
    </row>
    <row r="481" spans="1:5" x14ac:dyDescent="0.2">
      <c r="A481" s="1">
        <v>42312</v>
      </c>
      <c r="B481">
        <v>73648.67</v>
      </c>
      <c r="C481" s="6">
        <f t="shared" si="21"/>
        <v>7.7854256815906167E-3</v>
      </c>
      <c r="D481" s="7">
        <f t="shared" si="22"/>
        <v>0.62902432672004949</v>
      </c>
      <c r="E481" s="8">
        <f t="shared" si="23"/>
        <v>-1.0856009006902487</v>
      </c>
    </row>
    <row r="482" spans="1:5" x14ac:dyDescent="0.2">
      <c r="A482" s="1">
        <v>42313</v>
      </c>
      <c r="B482">
        <v>73528.759999999995</v>
      </c>
      <c r="C482" s="6">
        <f t="shared" si="21"/>
        <v>-1.6294621604896701E-3</v>
      </c>
      <c r="D482" s="7">
        <f t="shared" si="22"/>
        <v>-0.16197645633663377</v>
      </c>
      <c r="E482" s="8">
        <f t="shared" si="23"/>
        <v>-0.66599624190665496</v>
      </c>
    </row>
    <row r="483" spans="1:5" x14ac:dyDescent="0.2">
      <c r="A483" s="1">
        <v>42314</v>
      </c>
      <c r="B483">
        <v>72320.710000000006</v>
      </c>
      <c r="C483" s="6">
        <f t="shared" si="21"/>
        <v>-1.6566088687239001E-2</v>
      </c>
      <c r="D483" s="7">
        <f t="shared" si="22"/>
        <v>-1.416891382256066</v>
      </c>
      <c r="E483" s="8">
        <f t="shared" si="23"/>
        <v>-2.3732765216442728</v>
      </c>
    </row>
    <row r="484" spans="1:5" x14ac:dyDescent="0.2">
      <c r="A484" s="1">
        <v>42317</v>
      </c>
      <c r="B484">
        <v>73110.39</v>
      </c>
      <c r="C484" s="6">
        <f t="shared" si="21"/>
        <v>1.0859957204965229E-2</v>
      </c>
      <c r="D484" s="7">
        <f t="shared" si="22"/>
        <v>0.88733402549861895</v>
      </c>
      <c r="E484" s="8">
        <f t="shared" si="23"/>
        <v>-1.4647767703215502</v>
      </c>
    </row>
    <row r="485" spans="1:5" x14ac:dyDescent="0.2">
      <c r="A485" s="1">
        <v>42318</v>
      </c>
      <c r="B485">
        <v>72212.350000000006</v>
      </c>
      <c r="C485" s="6">
        <f t="shared" si="21"/>
        <v>-1.2359406816045202E-2</v>
      </c>
      <c r="D485" s="7">
        <f t="shared" si="22"/>
        <v>-1.0634629920300795</v>
      </c>
      <c r="E485" s="8">
        <f t="shared" si="23"/>
        <v>-1.7557206108656798</v>
      </c>
    </row>
    <row r="486" spans="1:5" x14ac:dyDescent="0.2">
      <c r="A486" s="1">
        <v>42319</v>
      </c>
      <c r="B486">
        <v>72569.850000000006</v>
      </c>
      <c r="C486" s="6">
        <f t="shared" si="21"/>
        <v>4.9384624155609609E-3</v>
      </c>
      <c r="D486" s="7">
        <f t="shared" si="22"/>
        <v>0.38983399216312864</v>
      </c>
      <c r="E486" s="8">
        <f t="shared" si="23"/>
        <v>-0.81685910474161139</v>
      </c>
    </row>
    <row r="487" spans="1:5" x14ac:dyDescent="0.2">
      <c r="A487" s="1">
        <v>42320</v>
      </c>
      <c r="B487">
        <v>72198.899999999994</v>
      </c>
      <c r="C487" s="6">
        <f t="shared" si="21"/>
        <v>-5.1247359924312371E-3</v>
      </c>
      <c r="D487" s="7">
        <f t="shared" si="22"/>
        <v>-0.45563522152192554</v>
      </c>
      <c r="E487" s="8">
        <f t="shared" si="23"/>
        <v>-0.88080689481667473</v>
      </c>
    </row>
    <row r="488" spans="1:5" x14ac:dyDescent="0.2">
      <c r="A488" s="1">
        <v>42321</v>
      </c>
      <c r="B488">
        <v>70819.16</v>
      </c>
      <c r="C488" s="6">
        <f t="shared" si="21"/>
        <v>-1.9295224768439929E-2</v>
      </c>
      <c r="D488" s="7">
        <f t="shared" si="22"/>
        <v>-1.6461823534824627</v>
      </c>
      <c r="E488" s="8">
        <f t="shared" si="23"/>
        <v>-2.7770853127026349</v>
      </c>
    </row>
    <row r="489" spans="1:5" x14ac:dyDescent="0.2">
      <c r="A489" s="1">
        <v>42324</v>
      </c>
      <c r="B489">
        <v>71367.289999999994</v>
      </c>
      <c r="C489" s="6">
        <f t="shared" si="21"/>
        <v>7.7100555685061878E-3</v>
      </c>
      <c r="D489" s="7">
        <f t="shared" si="22"/>
        <v>0.62269203477256718</v>
      </c>
      <c r="E489" s="8">
        <f t="shared" si="23"/>
        <v>-1.0773005849372492</v>
      </c>
    </row>
    <row r="490" spans="1:5" x14ac:dyDescent="0.2">
      <c r="A490" s="1">
        <v>42325</v>
      </c>
      <c r="B490">
        <v>72179.14</v>
      </c>
      <c r="C490" s="6">
        <f t="shared" si="21"/>
        <v>1.1311443360140219E-2</v>
      </c>
      <c r="D490" s="7">
        <f t="shared" si="22"/>
        <v>0.9252660655051369</v>
      </c>
      <c r="E490" s="8">
        <f t="shared" si="23"/>
        <v>-1.5257748160549351</v>
      </c>
    </row>
    <row r="491" spans="1:5" x14ac:dyDescent="0.2">
      <c r="A491" s="1">
        <v>42326</v>
      </c>
      <c r="B491">
        <v>71542.37</v>
      </c>
      <c r="C491" s="6">
        <f t="shared" si="21"/>
        <v>-8.8612228839004287E-3</v>
      </c>
      <c r="D491" s="7">
        <f t="shared" si="22"/>
        <v>-0.76955973200022665</v>
      </c>
      <c r="E491" s="8">
        <f t="shared" si="23"/>
        <v>-1.2830643001871007</v>
      </c>
    </row>
    <row r="492" spans="1:5" x14ac:dyDescent="0.2">
      <c r="A492" s="1">
        <v>42327</v>
      </c>
      <c r="B492">
        <v>71749.14</v>
      </c>
      <c r="C492" s="6">
        <f t="shared" si="21"/>
        <v>2.8860069032171582E-3</v>
      </c>
      <c r="D492" s="7">
        <f t="shared" si="22"/>
        <v>0.21739498442512126</v>
      </c>
      <c r="E492" s="8">
        <f t="shared" si="23"/>
        <v>-0.69186572956984738</v>
      </c>
    </row>
    <row r="493" spans="1:5" x14ac:dyDescent="0.2">
      <c r="A493" s="1">
        <v>42328</v>
      </c>
      <c r="B493">
        <v>71886.850000000006</v>
      </c>
      <c r="C493" s="6">
        <f t="shared" si="21"/>
        <v>1.9174865880596456E-3</v>
      </c>
      <c r="D493" s="7">
        <f t="shared" si="22"/>
        <v>0.13602382626094472</v>
      </c>
      <c r="E493" s="8">
        <f t="shared" si="23"/>
        <v>-0.65641211475815653</v>
      </c>
    </row>
    <row r="494" spans="1:5" x14ac:dyDescent="0.2">
      <c r="A494" s="1">
        <v>42331</v>
      </c>
      <c r="B494">
        <v>72239.179999999993</v>
      </c>
      <c r="C494" s="6">
        <f t="shared" si="21"/>
        <v>4.8892028990185493E-3</v>
      </c>
      <c r="D494" s="7">
        <f t="shared" si="22"/>
        <v>0.38569540689141801</v>
      </c>
      <c r="E494" s="8">
        <f t="shared" si="23"/>
        <v>-0.81311933484691401</v>
      </c>
    </row>
    <row r="495" spans="1:5" x14ac:dyDescent="0.2">
      <c r="A495" s="1">
        <v>42332</v>
      </c>
      <c r="B495">
        <v>71474.38</v>
      </c>
      <c r="C495" s="6">
        <f t="shared" si="21"/>
        <v>-1.0643494183169341E-2</v>
      </c>
      <c r="D495" s="7">
        <f t="shared" si="22"/>
        <v>-0.91929895534392836</v>
      </c>
      <c r="E495" s="8">
        <f t="shared" si="23"/>
        <v>-1.5161096329310977</v>
      </c>
    </row>
    <row r="496" spans="1:5" x14ac:dyDescent="0.2">
      <c r="A496" s="1">
        <v>42333</v>
      </c>
      <c r="B496">
        <v>71803.02</v>
      </c>
      <c r="C496" s="6">
        <f t="shared" si="21"/>
        <v>4.5874726418764977E-3</v>
      </c>
      <c r="D496" s="7">
        <f t="shared" si="22"/>
        <v>0.36034525151255992</v>
      </c>
      <c r="E496" s="8">
        <f t="shared" si="23"/>
        <v>-0.790968553821492</v>
      </c>
    </row>
    <row r="497" spans="1:5" x14ac:dyDescent="0.2">
      <c r="A497" s="1">
        <v>42334</v>
      </c>
      <c r="B497">
        <v>72266.53</v>
      </c>
      <c r="C497" s="6">
        <f t="shared" si="21"/>
        <v>6.4345533007169756E-3</v>
      </c>
      <c r="D497" s="7">
        <f t="shared" si="22"/>
        <v>0.5155294950232977</v>
      </c>
      <c r="E497" s="8">
        <f t="shared" si="23"/>
        <v>-0.94596058942055861</v>
      </c>
    </row>
    <row r="498" spans="1:5" x14ac:dyDescent="0.2">
      <c r="A498" s="1">
        <v>42335</v>
      </c>
      <c r="B498">
        <v>71595.92</v>
      </c>
      <c r="C498" s="6">
        <f t="shared" si="21"/>
        <v>-9.3230006489118996E-3</v>
      </c>
      <c r="D498" s="7">
        <f t="shared" si="22"/>
        <v>-0.80835643142447922</v>
      </c>
      <c r="E498" s="8">
        <f t="shared" si="23"/>
        <v>-1.3415068721305665</v>
      </c>
    </row>
    <row r="499" spans="1:5" x14ac:dyDescent="0.2">
      <c r="A499" s="1">
        <v>42338</v>
      </c>
      <c r="B499">
        <v>71847.08</v>
      </c>
      <c r="C499" s="6">
        <f t="shared" si="21"/>
        <v>3.5018823737416657E-3</v>
      </c>
      <c r="D499" s="7">
        <f t="shared" si="22"/>
        <v>0.26913834957419008</v>
      </c>
      <c r="E499" s="8">
        <f t="shared" si="23"/>
        <v>-0.72249376551508893</v>
      </c>
    </row>
    <row r="500" spans="1:5" x14ac:dyDescent="0.2">
      <c r="A500" s="1">
        <v>42339</v>
      </c>
      <c r="B500">
        <v>71657.02</v>
      </c>
      <c r="C500" s="6">
        <f t="shared" si="21"/>
        <v>-2.6488457281403414E-3</v>
      </c>
      <c r="D500" s="7">
        <f t="shared" si="22"/>
        <v>-0.24762093917825109</v>
      </c>
      <c r="E500" s="8">
        <f t="shared" si="23"/>
        <v>-0.70901219314301556</v>
      </c>
    </row>
    <row r="501" spans="1:5" x14ac:dyDescent="0.2">
      <c r="A501" s="1">
        <v>42340</v>
      </c>
      <c r="B501">
        <v>71174.929999999993</v>
      </c>
      <c r="C501" s="6">
        <f t="shared" si="21"/>
        <v>-6.7504760761482371E-3</v>
      </c>
      <c r="D501" s="7">
        <f t="shared" si="22"/>
        <v>-0.59222332547353274</v>
      </c>
      <c r="E501" s="8">
        <f t="shared" si="23"/>
        <v>-1.038166916185681</v>
      </c>
    </row>
    <row r="502" spans="1:5" x14ac:dyDescent="0.2">
      <c r="A502" s="1">
        <v>42341</v>
      </c>
      <c r="B502">
        <v>70310.83</v>
      </c>
      <c r="C502" s="6">
        <f t="shared" si="21"/>
        <v>-1.2214808666656973E-2</v>
      </c>
      <c r="D502" s="7">
        <f t="shared" si="22"/>
        <v>-1.0513144405748596</v>
      </c>
      <c r="E502" s="8">
        <f t="shared" si="23"/>
        <v>-1.735100991907857</v>
      </c>
    </row>
    <row r="503" spans="1:5" x14ac:dyDescent="0.2">
      <c r="A503" s="1">
        <v>42342</v>
      </c>
      <c r="B503">
        <v>68683.62</v>
      </c>
      <c r="C503" s="6">
        <f t="shared" si="21"/>
        <v>-2.3415098153322721E-2</v>
      </c>
      <c r="D503" s="7">
        <f t="shared" si="22"/>
        <v>-1.9923174459230983</v>
      </c>
      <c r="E503" s="8">
        <f t="shared" si="23"/>
        <v>-3.3694416935941849</v>
      </c>
    </row>
    <row r="504" spans="1:5" x14ac:dyDescent="0.2">
      <c r="A504" s="1">
        <v>42345</v>
      </c>
      <c r="B504">
        <v>69605.73</v>
      </c>
      <c r="C504" s="6">
        <f t="shared" si="21"/>
        <v>1.3336148685607748E-2</v>
      </c>
      <c r="D504" s="7">
        <f t="shared" si="22"/>
        <v>1.0953736148214099</v>
      </c>
      <c r="E504" s="8">
        <f t="shared" si="23"/>
        <v>-1.810184236624155</v>
      </c>
    </row>
    <row r="505" spans="1:5" x14ac:dyDescent="0.2">
      <c r="A505" s="1">
        <v>42346</v>
      </c>
      <c r="B505">
        <v>68830.61</v>
      </c>
      <c r="C505" s="6">
        <f t="shared" si="21"/>
        <v>-1.1198332752204426E-2</v>
      </c>
      <c r="D505" s="7">
        <f t="shared" si="22"/>
        <v>-0.96591424699033723</v>
      </c>
      <c r="E505" s="8">
        <f t="shared" si="23"/>
        <v>-1.5922544470212232</v>
      </c>
    </row>
    <row r="506" spans="1:5" x14ac:dyDescent="0.2">
      <c r="A506" s="1">
        <v>42347</v>
      </c>
      <c r="B506">
        <v>69375.89</v>
      </c>
      <c r="C506" s="6">
        <f t="shared" si="21"/>
        <v>7.8908420274920541E-3</v>
      </c>
      <c r="D506" s="7">
        <f t="shared" si="22"/>
        <v>0.63788098157920992</v>
      </c>
      <c r="E506" s="8">
        <f t="shared" si="23"/>
        <v>-1.0973040041135667</v>
      </c>
    </row>
    <row r="507" spans="1:5" x14ac:dyDescent="0.2">
      <c r="A507" s="1">
        <v>42348</v>
      </c>
      <c r="B507">
        <v>70116.58</v>
      </c>
      <c r="C507" s="6">
        <f t="shared" si="21"/>
        <v>1.06198845193382E-2</v>
      </c>
      <c r="D507" s="7">
        <f t="shared" si="22"/>
        <v>0.86716408980668824</v>
      </c>
      <c r="E507" s="8">
        <f t="shared" si="23"/>
        <v>-1.4327905410336621</v>
      </c>
    </row>
    <row r="508" spans="1:5" x14ac:dyDescent="0.2">
      <c r="A508" s="1">
        <v>42349</v>
      </c>
      <c r="B508">
        <v>69593.83</v>
      </c>
      <c r="C508" s="6">
        <f t="shared" si="21"/>
        <v>-7.4833713469828088E-3</v>
      </c>
      <c r="D508" s="7">
        <f t="shared" si="22"/>
        <v>-0.65379822077261385</v>
      </c>
      <c r="E508" s="8">
        <f t="shared" si="23"/>
        <v>-1.1186068186628197</v>
      </c>
    </row>
    <row r="509" spans="1:5" x14ac:dyDescent="0.2">
      <c r="A509" s="1">
        <v>42352</v>
      </c>
      <c r="B509">
        <v>68846.5</v>
      </c>
      <c r="C509" s="6">
        <f t="shared" si="21"/>
        <v>-1.079652525185463E-2</v>
      </c>
      <c r="D509" s="7">
        <f t="shared" si="22"/>
        <v>-0.93215600655818032</v>
      </c>
      <c r="E509" s="8">
        <f t="shared" si="23"/>
        <v>-1.5369656771541269</v>
      </c>
    </row>
    <row r="510" spans="1:5" x14ac:dyDescent="0.2">
      <c r="A510" s="1">
        <v>42353</v>
      </c>
      <c r="B510">
        <v>69425.23</v>
      </c>
      <c r="C510" s="6">
        <f t="shared" si="21"/>
        <v>8.3709573813555878E-3</v>
      </c>
      <c r="D510" s="7">
        <f t="shared" si="22"/>
        <v>0.6782183310233727</v>
      </c>
      <c r="E510" s="8">
        <f t="shared" si="23"/>
        <v>-1.1519430161112176</v>
      </c>
    </row>
    <row r="511" spans="1:5" x14ac:dyDescent="0.2">
      <c r="A511" s="1">
        <v>42355</v>
      </c>
      <c r="B511">
        <v>71310.039999999994</v>
      </c>
      <c r="C511" s="6">
        <f t="shared" si="21"/>
        <v>2.6786784856205344E-2</v>
      </c>
      <c r="D511" s="7">
        <f t="shared" si="22"/>
        <v>2.2254416434600155</v>
      </c>
      <c r="E511" s="8">
        <f t="shared" si="23"/>
        <v>-3.7504985873283534</v>
      </c>
    </row>
    <row r="512" spans="1:5" x14ac:dyDescent="0.2">
      <c r="A512" s="1">
        <v>42356</v>
      </c>
      <c r="B512">
        <v>69538.3</v>
      </c>
      <c r="C512" s="6">
        <f t="shared" si="21"/>
        <v>-2.5159451052108529E-2</v>
      </c>
      <c r="D512" s="7">
        <f t="shared" si="22"/>
        <v>-2.1388709186792747</v>
      </c>
      <c r="E512" s="8">
        <f t="shared" si="23"/>
        <v>-3.610872324821726</v>
      </c>
    </row>
    <row r="513" spans="1:5" x14ac:dyDescent="0.2">
      <c r="A513" s="1">
        <v>42359</v>
      </c>
      <c r="B513">
        <v>70057.11</v>
      </c>
      <c r="C513" s="6">
        <f t="shared" si="21"/>
        <v>7.4330866425923034E-3</v>
      </c>
      <c r="D513" s="7">
        <f t="shared" si="22"/>
        <v>0.59942222625705299</v>
      </c>
      <c r="E513" s="8">
        <f t="shared" si="23"/>
        <v>-1.0472907836618097</v>
      </c>
    </row>
    <row r="514" spans="1:5" x14ac:dyDescent="0.2">
      <c r="A514" s="1">
        <v>42360</v>
      </c>
      <c r="B514">
        <v>70720.34</v>
      </c>
      <c r="C514" s="6">
        <f t="shared" si="21"/>
        <v>9.4224594484542748E-3</v>
      </c>
      <c r="D514" s="7">
        <f t="shared" si="22"/>
        <v>0.76656128023443881</v>
      </c>
      <c r="E514" s="8">
        <f t="shared" si="23"/>
        <v>-1.2786112746364149</v>
      </c>
    </row>
    <row r="515" spans="1:5" x14ac:dyDescent="0.2">
      <c r="A515" s="1">
        <v>42361</v>
      </c>
      <c r="B515">
        <v>71696.98</v>
      </c>
      <c r="C515" s="6">
        <f t="shared" ref="C515:C578" si="24">LN(B515/B514)</f>
        <v>1.3715400764154081E-2</v>
      </c>
      <c r="D515" s="7">
        <f t="shared" ref="D515:D578" si="25">(C515-$G$4)/$G$5</f>
        <v>1.1272368399747901</v>
      </c>
      <c r="E515" s="8">
        <f t="shared" ref="E515:E578" si="26">LN((PI()*(G$3-2))^(-1/2)*EXP(GAMMALN((G$3+1)/2))*((1+D515^2/(G$3-2))^(-(G$3+1)/2))/EXP(GAMMALN(G$3/2)))</f>
        <v>-1.8649614604297027</v>
      </c>
    </row>
    <row r="516" spans="1:5" x14ac:dyDescent="0.2">
      <c r="A516" s="1">
        <v>42362</v>
      </c>
      <c r="B516">
        <v>72326.429999999993</v>
      </c>
      <c r="C516" s="6">
        <f t="shared" si="24"/>
        <v>8.7409957555630649E-3</v>
      </c>
      <c r="D516" s="7">
        <f t="shared" si="25"/>
        <v>0.7093074580176314</v>
      </c>
      <c r="E516" s="8">
        <f t="shared" si="26"/>
        <v>-1.1954759719720824</v>
      </c>
    </row>
    <row r="517" spans="1:5" x14ac:dyDescent="0.2">
      <c r="A517" s="1">
        <v>42366</v>
      </c>
      <c r="B517">
        <v>72388.600000000006</v>
      </c>
      <c r="C517" s="6">
        <f t="shared" si="24"/>
        <v>8.5920590037781531E-4</v>
      </c>
      <c r="D517" s="7">
        <f t="shared" si="25"/>
        <v>4.7111364775356844E-2</v>
      </c>
      <c r="E517" s="8">
        <f t="shared" si="26"/>
        <v>-0.63611248814916765</v>
      </c>
    </row>
    <row r="518" spans="1:5" x14ac:dyDescent="0.2">
      <c r="A518" s="1">
        <v>42367</v>
      </c>
      <c r="B518">
        <v>71947.149999999994</v>
      </c>
      <c r="C518" s="6">
        <f t="shared" si="24"/>
        <v>-6.1170067222488496E-3</v>
      </c>
      <c r="D518" s="7">
        <f t="shared" si="25"/>
        <v>-0.53900179342965115</v>
      </c>
      <c r="E518" s="8">
        <f t="shared" si="26"/>
        <v>-0.97317816182017125</v>
      </c>
    </row>
    <row r="519" spans="1:5" x14ac:dyDescent="0.2">
      <c r="A519" s="1">
        <v>42368</v>
      </c>
      <c r="B519">
        <v>71809.45</v>
      </c>
      <c r="C519" s="6">
        <f t="shared" si="24"/>
        <v>-1.9157387154937467E-3</v>
      </c>
      <c r="D519" s="7">
        <f t="shared" si="25"/>
        <v>-0.18602825418884902</v>
      </c>
      <c r="E519" s="8">
        <f t="shared" si="26"/>
        <v>-0.67632752839432964</v>
      </c>
    </row>
    <row r="520" spans="1:5" x14ac:dyDescent="0.2">
      <c r="A520" s="1">
        <v>42369</v>
      </c>
      <c r="B520">
        <v>71755.070000000007</v>
      </c>
      <c r="C520" s="6">
        <f t="shared" si="24"/>
        <v>-7.5756882829770714E-4</v>
      </c>
      <c r="D520" s="7">
        <f t="shared" si="25"/>
        <v>-8.8723506320252443E-2</v>
      </c>
      <c r="E520" s="8">
        <f t="shared" si="26"/>
        <v>-0.64317789935521452</v>
      </c>
    </row>
    <row r="521" spans="1:5" x14ac:dyDescent="0.2">
      <c r="A521" s="1">
        <v>42373</v>
      </c>
      <c r="B521">
        <v>69941.25</v>
      </c>
      <c r="C521" s="6">
        <f t="shared" si="24"/>
        <v>-2.5602910226563854E-2</v>
      </c>
      <c r="D521" s="7">
        <f t="shared" si="25"/>
        <v>-2.1761285642435713</v>
      </c>
      <c r="E521" s="8">
        <f t="shared" si="26"/>
        <v>-3.6712418995100209</v>
      </c>
    </row>
    <row r="522" spans="1:5" x14ac:dyDescent="0.2">
      <c r="A522" s="1">
        <v>42374</v>
      </c>
      <c r="B522">
        <v>70112.740000000005</v>
      </c>
      <c r="C522" s="6">
        <f t="shared" si="24"/>
        <v>2.4489139610330561E-3</v>
      </c>
      <c r="D522" s="7">
        <f t="shared" si="25"/>
        <v>0.18067220393793701</v>
      </c>
      <c r="E522" s="8">
        <f t="shared" si="26"/>
        <v>-0.67390711335409759</v>
      </c>
    </row>
    <row r="523" spans="1:5" x14ac:dyDescent="0.2">
      <c r="A523" s="1">
        <v>42375</v>
      </c>
      <c r="B523">
        <v>69743.58</v>
      </c>
      <c r="C523" s="6">
        <f t="shared" si="24"/>
        <v>-5.2791444441582019E-3</v>
      </c>
      <c r="D523" s="7">
        <f t="shared" si="25"/>
        <v>-0.46860799488633048</v>
      </c>
      <c r="E523" s="8">
        <f t="shared" si="26"/>
        <v>-0.89437689247549734</v>
      </c>
    </row>
    <row r="524" spans="1:5" x14ac:dyDescent="0.2">
      <c r="A524" s="1">
        <v>42376</v>
      </c>
      <c r="B524">
        <v>68554.33</v>
      </c>
      <c r="C524" s="6">
        <f t="shared" si="24"/>
        <v>-1.719880386846705E-2</v>
      </c>
      <c r="D524" s="7">
        <f t="shared" si="25"/>
        <v>-1.4700495517635483</v>
      </c>
      <c r="E524" s="8">
        <f t="shared" si="26"/>
        <v>-2.4672582901741995</v>
      </c>
    </row>
    <row r="525" spans="1:5" x14ac:dyDescent="0.2">
      <c r="A525" s="1">
        <v>42377</v>
      </c>
      <c r="B525">
        <v>68795.88</v>
      </c>
      <c r="C525" s="6">
        <f t="shared" si="24"/>
        <v>3.517289839228764E-3</v>
      </c>
      <c r="D525" s="7">
        <f t="shared" si="25"/>
        <v>0.27043282248450362</v>
      </c>
      <c r="E525" s="8">
        <f t="shared" si="26"/>
        <v>-0.72333818462838695</v>
      </c>
    </row>
    <row r="526" spans="1:5" x14ac:dyDescent="0.2">
      <c r="A526" s="1">
        <v>42380</v>
      </c>
      <c r="B526">
        <v>69178.460000000006</v>
      </c>
      <c r="C526" s="6">
        <f t="shared" si="24"/>
        <v>5.5456830669734928E-3</v>
      </c>
      <c r="D526" s="7">
        <f t="shared" si="25"/>
        <v>0.44085021442854161</v>
      </c>
      <c r="E526" s="8">
        <f t="shared" si="26"/>
        <v>-0.86571934699334852</v>
      </c>
    </row>
    <row r="527" spans="1:5" x14ac:dyDescent="0.2">
      <c r="A527" s="1">
        <v>42381</v>
      </c>
      <c r="B527">
        <v>69341.789999999994</v>
      </c>
      <c r="C527" s="6">
        <f t="shared" si="24"/>
        <v>2.3582122569382582E-3</v>
      </c>
      <c r="D527" s="7">
        <f t="shared" si="25"/>
        <v>0.17305181374668135</v>
      </c>
      <c r="E527" s="8">
        <f t="shared" si="26"/>
        <v>-0.67058147190299611</v>
      </c>
    </row>
    <row r="528" spans="1:5" x14ac:dyDescent="0.2">
      <c r="A528" s="1">
        <v>42382</v>
      </c>
      <c r="B528">
        <v>68961.13</v>
      </c>
      <c r="C528" s="6">
        <f t="shared" si="24"/>
        <v>-5.5047422170894783E-3</v>
      </c>
      <c r="D528" s="7">
        <f t="shared" si="25"/>
        <v>-0.48756180698028889</v>
      </c>
      <c r="E528" s="8">
        <f t="shared" si="26"/>
        <v>-0.9147491173681318</v>
      </c>
    </row>
    <row r="529" spans="1:5" x14ac:dyDescent="0.2">
      <c r="A529" s="1">
        <v>42383</v>
      </c>
      <c r="B529">
        <v>67868.78</v>
      </c>
      <c r="C529" s="6">
        <f t="shared" si="24"/>
        <v>-1.5966877519459889E-2</v>
      </c>
      <c r="D529" s="7">
        <f t="shared" si="25"/>
        <v>-1.3665480843984827</v>
      </c>
      <c r="E529" s="8">
        <f t="shared" si="26"/>
        <v>-2.2842573155282859</v>
      </c>
    </row>
    <row r="530" spans="1:5" x14ac:dyDescent="0.2">
      <c r="A530" s="1">
        <v>42384</v>
      </c>
      <c r="B530">
        <v>67064.02</v>
      </c>
      <c r="C530" s="6">
        <f t="shared" si="24"/>
        <v>-1.1928449454523466E-2</v>
      </c>
      <c r="D530" s="7">
        <f t="shared" si="25"/>
        <v>-1.0272556982050673</v>
      </c>
      <c r="E530" s="8">
        <f t="shared" si="26"/>
        <v>-1.6944702660100932</v>
      </c>
    </row>
    <row r="531" spans="1:5" x14ac:dyDescent="0.2">
      <c r="A531" s="1">
        <v>42387</v>
      </c>
      <c r="B531">
        <v>67168.47</v>
      </c>
      <c r="C531" s="6">
        <f t="shared" si="24"/>
        <v>1.5562554353404758E-3</v>
      </c>
      <c r="D531" s="7">
        <f t="shared" si="25"/>
        <v>0.1056746463813683</v>
      </c>
      <c r="E531" s="8">
        <f t="shared" si="26"/>
        <v>-0.64728773962900055</v>
      </c>
    </row>
    <row r="532" spans="1:5" x14ac:dyDescent="0.2">
      <c r="A532" s="1">
        <v>42388</v>
      </c>
      <c r="B532">
        <v>68259.740000000005</v>
      </c>
      <c r="C532" s="6">
        <f t="shared" si="24"/>
        <v>1.6116193512142066E-2</v>
      </c>
      <c r="D532" s="7">
        <f t="shared" si="25"/>
        <v>1.3289417328496156</v>
      </c>
      <c r="E532" s="8">
        <f t="shared" si="26"/>
        <v>-2.2178226763338924</v>
      </c>
    </row>
    <row r="533" spans="1:5" x14ac:dyDescent="0.2">
      <c r="A533" s="1">
        <v>42389</v>
      </c>
      <c r="B533">
        <v>66485.399999999994</v>
      </c>
      <c r="C533" s="6">
        <f t="shared" si="24"/>
        <v>-2.6337759820341488E-2</v>
      </c>
      <c r="D533" s="7">
        <f t="shared" si="25"/>
        <v>-2.2378676538489719</v>
      </c>
      <c r="E533" s="8">
        <f t="shared" si="26"/>
        <v>-3.7703526261510611</v>
      </c>
    </row>
    <row r="534" spans="1:5" x14ac:dyDescent="0.2">
      <c r="A534" s="1">
        <v>42390</v>
      </c>
      <c r="B534">
        <v>66126.179999999993</v>
      </c>
      <c r="C534" s="6">
        <f t="shared" si="24"/>
        <v>-5.4176396754544989E-3</v>
      </c>
      <c r="D534" s="7">
        <f t="shared" si="25"/>
        <v>-0.48024380385639054</v>
      </c>
      <c r="E534" s="8">
        <f t="shared" si="26"/>
        <v>-0.90680753412988924</v>
      </c>
    </row>
    <row r="535" spans="1:5" x14ac:dyDescent="0.2">
      <c r="A535" s="1">
        <v>42391</v>
      </c>
      <c r="B535">
        <v>68107.22</v>
      </c>
      <c r="C535" s="6">
        <f t="shared" si="24"/>
        <v>2.9518493083895831E-2</v>
      </c>
      <c r="D535" s="7">
        <f t="shared" si="25"/>
        <v>2.4549487160273422</v>
      </c>
      <c r="E535" s="8">
        <f t="shared" si="26"/>
        <v>-4.1094704069977501</v>
      </c>
    </row>
    <row r="536" spans="1:5" x14ac:dyDescent="0.2">
      <c r="A536" s="1">
        <v>42394</v>
      </c>
      <c r="B536">
        <v>67501.039999999994</v>
      </c>
      <c r="C536" s="6">
        <f t="shared" si="24"/>
        <v>-8.9402229264889128E-3</v>
      </c>
      <c r="D536" s="7">
        <f t="shared" si="25"/>
        <v>-0.77619699593763691</v>
      </c>
      <c r="E536" s="8">
        <f t="shared" si="26"/>
        <v>-1.2929547205525802</v>
      </c>
    </row>
    <row r="537" spans="1:5" x14ac:dyDescent="0.2">
      <c r="A537" s="1">
        <v>42395</v>
      </c>
      <c r="B537">
        <v>67626.070000000007</v>
      </c>
      <c r="C537" s="6">
        <f t="shared" si="24"/>
        <v>1.8505544251036174E-3</v>
      </c>
      <c r="D537" s="7">
        <f t="shared" si="25"/>
        <v>0.1304004567425886</v>
      </c>
      <c r="E537" s="8">
        <f t="shared" si="26"/>
        <v>-0.65455122361327722</v>
      </c>
    </row>
    <row r="538" spans="1:5" x14ac:dyDescent="0.2">
      <c r="A538" s="1">
        <v>42396</v>
      </c>
      <c r="B538">
        <v>68297.960000000006</v>
      </c>
      <c r="C538" s="6">
        <f t="shared" si="24"/>
        <v>9.8863383099737322E-3</v>
      </c>
      <c r="D538" s="7">
        <f t="shared" si="25"/>
        <v>0.80553450528607762</v>
      </c>
      <c r="E538" s="8">
        <f t="shared" si="26"/>
        <v>-1.3372058691928479</v>
      </c>
    </row>
    <row r="539" spans="1:5" x14ac:dyDescent="0.2">
      <c r="A539" s="1">
        <v>42397</v>
      </c>
      <c r="B539">
        <v>69172.02</v>
      </c>
      <c r="C539" s="6">
        <f t="shared" si="24"/>
        <v>1.2716547695689974E-2</v>
      </c>
      <c r="D539" s="7">
        <f t="shared" si="25"/>
        <v>1.0433172466066865</v>
      </c>
      <c r="E539" s="8">
        <f t="shared" si="26"/>
        <v>-1.7215644035654278</v>
      </c>
    </row>
    <row r="540" spans="1:5" x14ac:dyDescent="0.2">
      <c r="A540" s="1">
        <v>42398</v>
      </c>
      <c r="B540">
        <v>69837.8</v>
      </c>
      <c r="C540" s="6">
        <f t="shared" si="24"/>
        <v>9.5789648644898067E-3</v>
      </c>
      <c r="D540" s="7">
        <f t="shared" si="25"/>
        <v>0.77971023205555401</v>
      </c>
      <c r="E540" s="8">
        <f t="shared" si="26"/>
        <v>-1.2982083345020115</v>
      </c>
    </row>
    <row r="541" spans="1:5" x14ac:dyDescent="0.2">
      <c r="A541" s="1">
        <v>42401</v>
      </c>
      <c r="B541">
        <v>69400.649999999994</v>
      </c>
      <c r="C541" s="6">
        <f t="shared" si="24"/>
        <v>-6.279176999321243E-3</v>
      </c>
      <c r="D541" s="7">
        <f t="shared" si="25"/>
        <v>-0.55262668395457526</v>
      </c>
      <c r="E541" s="8">
        <f t="shared" si="26"/>
        <v>-0.98939121839079469</v>
      </c>
    </row>
    <row r="542" spans="1:5" x14ac:dyDescent="0.2">
      <c r="A542" s="1">
        <v>42402</v>
      </c>
      <c r="B542">
        <v>68546.789999999994</v>
      </c>
      <c r="C542" s="6">
        <f t="shared" si="24"/>
        <v>-1.2379655684714762E-2</v>
      </c>
      <c r="D542" s="7">
        <f t="shared" si="25"/>
        <v>-1.0651642200470555</v>
      </c>
      <c r="E542" s="8">
        <f t="shared" si="26"/>
        <v>-1.7586133490798459</v>
      </c>
    </row>
    <row r="543" spans="1:5" x14ac:dyDescent="0.2">
      <c r="A543" s="1">
        <v>42403</v>
      </c>
      <c r="B543">
        <v>69171.259999999995</v>
      </c>
      <c r="C543" s="6">
        <f t="shared" si="24"/>
        <v>9.0688806577552822E-3</v>
      </c>
      <c r="D543" s="7">
        <f t="shared" si="25"/>
        <v>0.73685502084969179</v>
      </c>
      <c r="E543" s="8">
        <f t="shared" si="26"/>
        <v>-1.235016459844918</v>
      </c>
    </row>
    <row r="544" spans="1:5" x14ac:dyDescent="0.2">
      <c r="A544" s="1">
        <v>42404</v>
      </c>
      <c r="B544">
        <v>69649.89</v>
      </c>
      <c r="C544" s="6">
        <f t="shared" si="24"/>
        <v>6.8956624631950781E-3</v>
      </c>
      <c r="D544" s="7">
        <f t="shared" si="25"/>
        <v>0.55427002116791924</v>
      </c>
      <c r="E544" s="8">
        <f t="shared" si="26"/>
        <v>-0.99136686405145569</v>
      </c>
    </row>
    <row r="545" spans="1:5" x14ac:dyDescent="0.2">
      <c r="A545" s="1">
        <v>42405</v>
      </c>
      <c r="B545">
        <v>69725.149999999994</v>
      </c>
      <c r="C545" s="6">
        <f t="shared" si="24"/>
        <v>1.0799639205812544E-3</v>
      </c>
      <c r="D545" s="7">
        <f t="shared" si="25"/>
        <v>6.5658560427172483E-2</v>
      </c>
      <c r="E545" s="8">
        <f t="shared" si="26"/>
        <v>-0.6387292537647673</v>
      </c>
    </row>
    <row r="546" spans="1:5" x14ac:dyDescent="0.2">
      <c r="A546" s="1">
        <v>42408</v>
      </c>
      <c r="B546">
        <v>68998.06</v>
      </c>
      <c r="C546" s="6">
        <f t="shared" si="24"/>
        <v>-1.0482696559981455E-2</v>
      </c>
      <c r="D546" s="7">
        <f t="shared" si="25"/>
        <v>-0.9057893896445065</v>
      </c>
      <c r="E546" s="8">
        <f t="shared" si="26"/>
        <v>-1.4943218626250978</v>
      </c>
    </row>
    <row r="547" spans="1:5" x14ac:dyDescent="0.2">
      <c r="A547" s="1">
        <v>42409</v>
      </c>
      <c r="B547">
        <v>67446.37</v>
      </c>
      <c r="C547" s="6">
        <f t="shared" si="24"/>
        <v>-2.2745624697124617E-2</v>
      </c>
      <c r="D547" s="7">
        <f t="shared" si="25"/>
        <v>-1.9360709948797308</v>
      </c>
      <c r="E547" s="8">
        <f t="shared" si="26"/>
        <v>-3.2751698521967558</v>
      </c>
    </row>
    <row r="548" spans="1:5" x14ac:dyDescent="0.2">
      <c r="A548" s="1">
        <v>42410</v>
      </c>
      <c r="B548">
        <v>67781.490000000005</v>
      </c>
      <c r="C548" s="6">
        <f t="shared" si="24"/>
        <v>4.9563852602469566E-3</v>
      </c>
      <c r="D548" s="7">
        <f t="shared" si="25"/>
        <v>0.39133979705629596</v>
      </c>
      <c r="E548" s="8">
        <f t="shared" si="26"/>
        <v>-0.81822830384326539</v>
      </c>
    </row>
    <row r="549" spans="1:5" x14ac:dyDescent="0.2">
      <c r="A549" s="1">
        <v>42411</v>
      </c>
      <c r="B549">
        <v>66024.91</v>
      </c>
      <c r="C549" s="6">
        <f t="shared" si="24"/>
        <v>-2.6257053760855666E-2</v>
      </c>
      <c r="D549" s="7">
        <f t="shared" si="25"/>
        <v>-2.2310870572745367</v>
      </c>
      <c r="E549" s="8">
        <f t="shared" si="26"/>
        <v>-3.7595245941640747</v>
      </c>
    </row>
    <row r="550" spans="1:5" x14ac:dyDescent="0.2">
      <c r="A550" s="1">
        <v>42412</v>
      </c>
      <c r="B550">
        <v>67325.2</v>
      </c>
      <c r="C550" s="6">
        <f t="shared" si="24"/>
        <v>1.950251429569981E-2</v>
      </c>
      <c r="D550" s="7">
        <f t="shared" si="25"/>
        <v>1.6134467037429752</v>
      </c>
      <c r="E550" s="8">
        <f t="shared" si="26"/>
        <v>-2.7197877067741847</v>
      </c>
    </row>
    <row r="551" spans="1:5" x14ac:dyDescent="0.2">
      <c r="A551" s="1">
        <v>42415</v>
      </c>
      <c r="B551">
        <v>68814.63</v>
      </c>
      <c r="C551" s="6">
        <f t="shared" si="24"/>
        <v>2.1881758324381259E-2</v>
      </c>
      <c r="D551" s="7">
        <f t="shared" si="25"/>
        <v>1.8133411604096119</v>
      </c>
      <c r="E551" s="8">
        <f t="shared" si="26"/>
        <v>-3.0666088496109221</v>
      </c>
    </row>
    <row r="552" spans="1:5" x14ac:dyDescent="0.2">
      <c r="A552" s="1">
        <v>42416</v>
      </c>
      <c r="B552">
        <v>68378.05</v>
      </c>
      <c r="C552" s="6">
        <f t="shared" si="24"/>
        <v>-6.3645009880491229E-3</v>
      </c>
      <c r="D552" s="7">
        <f t="shared" si="25"/>
        <v>-0.55979526025939497</v>
      </c>
      <c r="E552" s="8">
        <f t="shared" si="26"/>
        <v>-0.99804083498921059</v>
      </c>
    </row>
    <row r="553" spans="1:5" x14ac:dyDescent="0.2">
      <c r="A553" s="1">
        <v>42417</v>
      </c>
      <c r="B553">
        <v>68983.45</v>
      </c>
      <c r="C553" s="6">
        <f t="shared" si="24"/>
        <v>8.8147540606986971E-3</v>
      </c>
      <c r="D553" s="7">
        <f t="shared" si="25"/>
        <v>0.71550433238276745</v>
      </c>
      <c r="E553" s="8">
        <f t="shared" si="26"/>
        <v>-1.2042935496877822</v>
      </c>
    </row>
    <row r="554" spans="1:5" x14ac:dyDescent="0.2">
      <c r="A554" s="1">
        <v>42418</v>
      </c>
      <c r="B554">
        <v>68425.740000000005</v>
      </c>
      <c r="C554" s="6">
        <f t="shared" si="24"/>
        <v>-8.117551126016578E-3</v>
      </c>
      <c r="D554" s="7">
        <f t="shared" si="25"/>
        <v>-0.70707943986184585</v>
      </c>
      <c r="E554" s="8">
        <f t="shared" si="26"/>
        <v>-1.1923168823014452</v>
      </c>
    </row>
    <row r="555" spans="1:5" x14ac:dyDescent="0.2">
      <c r="A555" s="1">
        <v>42419</v>
      </c>
      <c r="B555">
        <v>66933.67</v>
      </c>
      <c r="C555" s="6">
        <f t="shared" si="24"/>
        <v>-2.2046940611657979E-2</v>
      </c>
      <c r="D555" s="7">
        <f t="shared" si="25"/>
        <v>-1.8773703849539052</v>
      </c>
      <c r="E555" s="8">
        <f t="shared" si="26"/>
        <v>-3.1758881127899463</v>
      </c>
    </row>
    <row r="556" spans="1:5" x14ac:dyDescent="0.2">
      <c r="A556" s="1">
        <v>42422</v>
      </c>
      <c r="B556">
        <v>66871.7</v>
      </c>
      <c r="C556" s="6">
        <f t="shared" si="24"/>
        <v>-9.2627081305840411E-4</v>
      </c>
      <c r="D556" s="7">
        <f t="shared" si="25"/>
        <v>-0.10289716449730435</v>
      </c>
      <c r="E556" s="8">
        <f t="shared" si="26"/>
        <v>-0.64656572493630526</v>
      </c>
    </row>
    <row r="557" spans="1:5" x14ac:dyDescent="0.2">
      <c r="A557" s="1">
        <v>42423</v>
      </c>
      <c r="B557">
        <v>66113.38</v>
      </c>
      <c r="C557" s="6">
        <f t="shared" si="24"/>
        <v>-1.1404711255987389E-2</v>
      </c>
      <c r="D557" s="7">
        <f t="shared" si="25"/>
        <v>-0.98325333385324776</v>
      </c>
      <c r="E557" s="8">
        <f t="shared" si="26"/>
        <v>-1.620930633257236</v>
      </c>
    </row>
    <row r="558" spans="1:5" x14ac:dyDescent="0.2">
      <c r="A558" s="1">
        <v>42424</v>
      </c>
      <c r="B558">
        <v>66101.84</v>
      </c>
      <c r="C558" s="6">
        <f t="shared" si="24"/>
        <v>-1.7456386684243562E-4</v>
      </c>
      <c r="D558" s="7">
        <f t="shared" si="25"/>
        <v>-3.9741788346312652E-2</v>
      </c>
      <c r="E558" s="8">
        <f t="shared" si="26"/>
        <v>-0.63531114448915549</v>
      </c>
    </row>
    <row r="559" spans="1:5" x14ac:dyDescent="0.2">
      <c r="A559" s="1">
        <v>42425</v>
      </c>
      <c r="B559">
        <v>66327.899999999994</v>
      </c>
      <c r="C559" s="6">
        <f t="shared" si="24"/>
        <v>3.4140400724691888E-3</v>
      </c>
      <c r="D559" s="7">
        <f t="shared" si="25"/>
        <v>0.26175819483867946</v>
      </c>
      <c r="E559" s="8">
        <f t="shared" si="26"/>
        <v>-0.71775158902645941</v>
      </c>
    </row>
    <row r="560" spans="1:5" x14ac:dyDescent="0.2">
      <c r="A560" s="1">
        <v>42426</v>
      </c>
      <c r="B560">
        <v>67992.479999999996</v>
      </c>
      <c r="C560" s="6">
        <f t="shared" si="24"/>
        <v>2.4786487671608945E-2</v>
      </c>
      <c r="D560" s="7">
        <f t="shared" si="25"/>
        <v>2.0573847673823265</v>
      </c>
      <c r="E560" s="8">
        <f t="shared" si="26"/>
        <v>-3.4773998513010955</v>
      </c>
    </row>
    <row r="561" spans="1:5" x14ac:dyDescent="0.2">
      <c r="A561" s="1">
        <v>42429</v>
      </c>
      <c r="B561">
        <v>68003.490000000005</v>
      </c>
      <c r="C561" s="6">
        <f t="shared" si="24"/>
        <v>1.6191656302840221E-4</v>
      </c>
      <c r="D561" s="7">
        <f t="shared" si="25"/>
        <v>-1.1472064056928768E-2</v>
      </c>
      <c r="E561" s="8">
        <f t="shared" si="26"/>
        <v>-0.63349760420853807</v>
      </c>
    </row>
    <row r="562" spans="1:5" x14ac:dyDescent="0.2">
      <c r="A562" s="1">
        <v>42430</v>
      </c>
      <c r="B562">
        <v>69097.11</v>
      </c>
      <c r="C562" s="6">
        <f t="shared" si="24"/>
        <v>1.5953879066204584E-2</v>
      </c>
      <c r="D562" s="7">
        <f t="shared" si="25"/>
        <v>1.3153047298399663</v>
      </c>
      <c r="E562" s="8">
        <f t="shared" si="26"/>
        <v>-2.1937568012479822</v>
      </c>
    </row>
    <row r="563" spans="1:5" x14ac:dyDescent="0.2">
      <c r="A563" s="1">
        <v>42431</v>
      </c>
      <c r="B563">
        <v>69932.460000000006</v>
      </c>
      <c r="C563" s="6">
        <f t="shared" si="24"/>
        <v>1.2017012677505056E-2</v>
      </c>
      <c r="D563" s="7">
        <f t="shared" si="25"/>
        <v>0.98454514475681687</v>
      </c>
      <c r="E563" s="8">
        <f t="shared" si="26"/>
        <v>-1.6230742466706849</v>
      </c>
    </row>
    <row r="564" spans="1:5" x14ac:dyDescent="0.2">
      <c r="A564" s="1">
        <v>42432</v>
      </c>
      <c r="B564">
        <v>70451.45</v>
      </c>
      <c r="C564" s="6">
        <f t="shared" si="24"/>
        <v>7.3939009736926865E-3</v>
      </c>
      <c r="D564" s="7">
        <f t="shared" si="25"/>
        <v>0.59613000490464774</v>
      </c>
      <c r="E564" s="8">
        <f t="shared" si="26"/>
        <v>-1.0431086924625734</v>
      </c>
    </row>
    <row r="565" spans="1:5" x14ac:dyDescent="0.2">
      <c r="A565" s="1">
        <v>42433</v>
      </c>
      <c r="B565">
        <v>70540.23</v>
      </c>
      <c r="C565" s="6">
        <f t="shared" si="24"/>
        <v>1.2593652580601493E-3</v>
      </c>
      <c r="D565" s="7">
        <f t="shared" si="25"/>
        <v>8.0731134929118639E-2</v>
      </c>
      <c r="E565" s="8">
        <f t="shared" si="26"/>
        <v>-0.64148680526535895</v>
      </c>
    </row>
    <row r="566" spans="1:5" x14ac:dyDescent="0.2">
      <c r="A566" s="1">
        <v>42436</v>
      </c>
      <c r="B566">
        <v>70407.509999999995</v>
      </c>
      <c r="C566" s="6">
        <f t="shared" si="24"/>
        <v>-1.8832517531080079E-3</v>
      </c>
      <c r="D566" s="7">
        <f t="shared" si="25"/>
        <v>-0.18329883105420502</v>
      </c>
      <c r="E566" s="8">
        <f t="shared" si="26"/>
        <v>-0.67508555224108224</v>
      </c>
    </row>
    <row r="567" spans="1:5" x14ac:dyDescent="0.2">
      <c r="A567" s="1">
        <v>42437</v>
      </c>
      <c r="B567">
        <v>70538.42</v>
      </c>
      <c r="C567" s="6">
        <f t="shared" si="24"/>
        <v>1.8575923071167636E-3</v>
      </c>
      <c r="D567" s="7">
        <f t="shared" si="25"/>
        <v>0.13099175111346548</v>
      </c>
      <c r="E567" s="8">
        <f t="shared" si="26"/>
        <v>-0.65474326380483416</v>
      </c>
    </row>
    <row r="568" spans="1:5" x14ac:dyDescent="0.2">
      <c r="A568" s="1">
        <v>42438</v>
      </c>
      <c r="B568">
        <v>69754.820000000007</v>
      </c>
      <c r="C568" s="6">
        <f t="shared" si="24"/>
        <v>-1.1171003661422622E-2</v>
      </c>
      <c r="D568" s="7">
        <f t="shared" si="25"/>
        <v>-0.96361816735866979</v>
      </c>
      <c r="E568" s="8">
        <f t="shared" si="26"/>
        <v>-1.5884707921050565</v>
      </c>
    </row>
    <row r="569" spans="1:5" x14ac:dyDescent="0.2">
      <c r="A569" s="1">
        <v>42439</v>
      </c>
      <c r="B569">
        <v>69910.25</v>
      </c>
      <c r="C569" s="6">
        <f t="shared" si="24"/>
        <v>2.2257542872594831E-3</v>
      </c>
      <c r="D569" s="7">
        <f t="shared" si="25"/>
        <v>0.16192323107045281</v>
      </c>
      <c r="E569" s="8">
        <f t="shared" si="26"/>
        <v>-0.66597491876738413</v>
      </c>
    </row>
    <row r="570" spans="1:5" x14ac:dyDescent="0.2">
      <c r="A570" s="1">
        <v>42440</v>
      </c>
      <c r="B570">
        <v>70282.77</v>
      </c>
      <c r="C570" s="6">
        <f t="shared" si="24"/>
        <v>5.3143997718523364E-3</v>
      </c>
      <c r="D570" s="7">
        <f t="shared" si="25"/>
        <v>0.42141872776429457</v>
      </c>
      <c r="E570" s="8">
        <f t="shared" si="26"/>
        <v>-0.84651561004939146</v>
      </c>
    </row>
    <row r="571" spans="1:5" x14ac:dyDescent="0.2">
      <c r="A571" s="1">
        <v>42443</v>
      </c>
      <c r="B571">
        <v>71442.009999999995</v>
      </c>
      <c r="C571" s="6">
        <f t="shared" si="24"/>
        <v>1.6359395355096337E-2</v>
      </c>
      <c r="D571" s="7">
        <f t="shared" si="25"/>
        <v>1.3493745676793452</v>
      </c>
      <c r="E571" s="8">
        <f t="shared" si="26"/>
        <v>-2.2539084238607745</v>
      </c>
    </row>
    <row r="572" spans="1:5" x14ac:dyDescent="0.2">
      <c r="A572" s="1">
        <v>42444</v>
      </c>
      <c r="B572">
        <v>71544.06</v>
      </c>
      <c r="C572" s="6">
        <f t="shared" si="24"/>
        <v>1.4274120175103121E-3</v>
      </c>
      <c r="D572" s="7">
        <f t="shared" si="25"/>
        <v>9.4849743726676664E-2</v>
      </c>
      <c r="E572" s="8">
        <f t="shared" si="26"/>
        <v>-0.64458127080206706</v>
      </c>
    </row>
    <row r="573" spans="1:5" x14ac:dyDescent="0.2">
      <c r="A573" s="1">
        <v>42445</v>
      </c>
      <c r="B573">
        <v>72064.61</v>
      </c>
      <c r="C573" s="6">
        <f t="shared" si="24"/>
        <v>7.2495940511129089E-3</v>
      </c>
      <c r="D573" s="7">
        <f t="shared" si="25"/>
        <v>0.58400592114754557</v>
      </c>
      <c r="E573" s="8">
        <f t="shared" si="26"/>
        <v>-1.0278468148215625</v>
      </c>
    </row>
    <row r="574" spans="1:5" x14ac:dyDescent="0.2">
      <c r="A574" s="1">
        <v>42446</v>
      </c>
      <c r="B574">
        <v>72046.100000000006</v>
      </c>
      <c r="C574" s="6">
        <f t="shared" si="24"/>
        <v>-2.5688583592132391E-4</v>
      </c>
      <c r="D574" s="7">
        <f t="shared" si="25"/>
        <v>-4.6658147106650338E-2</v>
      </c>
      <c r="E574" s="8">
        <f t="shared" si="26"/>
        <v>-0.63605929029852659</v>
      </c>
    </row>
    <row r="575" spans="1:5" x14ac:dyDescent="0.2">
      <c r="A575" s="1">
        <v>42447</v>
      </c>
      <c r="B575">
        <v>73121.61</v>
      </c>
      <c r="C575" s="6">
        <f t="shared" si="24"/>
        <v>1.4817753599581127E-2</v>
      </c>
      <c r="D575" s="7">
        <f t="shared" si="25"/>
        <v>1.2198520649942823</v>
      </c>
      <c r="E575" s="8">
        <f t="shared" si="26"/>
        <v>-2.025958866765476</v>
      </c>
    </row>
    <row r="576" spans="1:5" x14ac:dyDescent="0.2">
      <c r="A576" s="1">
        <v>42451</v>
      </c>
      <c r="B576">
        <v>72293.5</v>
      </c>
      <c r="C576" s="6">
        <f t="shared" si="24"/>
        <v>-1.1389723561054901E-2</v>
      </c>
      <c r="D576" s="7">
        <f t="shared" si="25"/>
        <v>-0.98199412836650524</v>
      </c>
      <c r="E576" s="8">
        <f t="shared" si="26"/>
        <v>-1.6188420635655512</v>
      </c>
    </row>
    <row r="577" spans="1:5" x14ac:dyDescent="0.2">
      <c r="A577" s="1">
        <v>42452</v>
      </c>
      <c r="B577">
        <v>71769.149999999994</v>
      </c>
      <c r="C577" s="6">
        <f t="shared" si="24"/>
        <v>-7.2795039587517573E-3</v>
      </c>
      <c r="D577" s="7">
        <f t="shared" si="25"/>
        <v>-0.63667010767818843</v>
      </c>
      <c r="E577" s="8">
        <f t="shared" si="26"/>
        <v>-1.0956975613102025</v>
      </c>
    </row>
    <row r="578" spans="1:5" x14ac:dyDescent="0.2">
      <c r="A578" s="1">
        <v>42453</v>
      </c>
      <c r="B578">
        <v>71528.320000000007</v>
      </c>
      <c r="C578" s="6">
        <f t="shared" si="24"/>
        <v>-3.3612627877260123E-3</v>
      </c>
      <c r="D578" s="7">
        <f t="shared" si="25"/>
        <v>-0.30747533802477955</v>
      </c>
      <c r="E578" s="8">
        <f t="shared" si="26"/>
        <v>-0.74908126363489658</v>
      </c>
    </row>
    <row r="579" spans="1:5" x14ac:dyDescent="0.2">
      <c r="A579" s="1">
        <v>42458</v>
      </c>
      <c r="B579">
        <v>70806.41</v>
      </c>
      <c r="C579" s="6">
        <f t="shared" ref="C579:C642" si="27">LN(B579/B578)</f>
        <v>-1.0143921870882184E-2</v>
      </c>
      <c r="D579" s="7">
        <f t="shared" ref="D579:D642" si="28">(C579-$G$4)/$G$5</f>
        <v>-0.87732691097751714</v>
      </c>
      <c r="E579" s="8">
        <f t="shared" ref="E579:E642" si="29">LN((PI()*(G$3-2))^(-1/2)*EXP(GAMMALN((G$3+1)/2))*((1+D579^2/(G$3-2))^(-(G$3+1)/2))/EXP(GAMMALN(G$3/2)))</f>
        <v>-1.4488664351998519</v>
      </c>
    </row>
    <row r="580" spans="1:5" x14ac:dyDescent="0.2">
      <c r="A580" s="1">
        <v>42459</v>
      </c>
      <c r="B580">
        <v>71121.64</v>
      </c>
      <c r="C580" s="6">
        <f t="shared" si="27"/>
        <v>4.4421172326917953E-3</v>
      </c>
      <c r="D580" s="7">
        <f t="shared" si="28"/>
        <v>0.34813307815317773</v>
      </c>
      <c r="E580" s="8">
        <f t="shared" si="29"/>
        <v>-0.7807689992339899</v>
      </c>
    </row>
    <row r="581" spans="1:5" x14ac:dyDescent="0.2">
      <c r="A581" s="1">
        <v>42460</v>
      </c>
      <c r="B581">
        <v>70820.72</v>
      </c>
      <c r="C581" s="6">
        <f t="shared" si="27"/>
        <v>-4.2400373056511341E-3</v>
      </c>
      <c r="D581" s="7">
        <f t="shared" si="28"/>
        <v>-0.38130641742459964</v>
      </c>
      <c r="E581" s="8">
        <f t="shared" si="29"/>
        <v>-0.80919087054589922</v>
      </c>
    </row>
    <row r="582" spans="1:5" x14ac:dyDescent="0.2">
      <c r="A582" s="1">
        <v>42461</v>
      </c>
      <c r="B582">
        <v>70052.52</v>
      </c>
      <c r="C582" s="6">
        <f t="shared" si="27"/>
        <v>-1.0906366811652128E-2</v>
      </c>
      <c r="D582" s="7">
        <f t="shared" si="28"/>
        <v>-0.94138444998409698</v>
      </c>
      <c r="E582" s="8">
        <f t="shared" si="29"/>
        <v>-1.5520056284617885</v>
      </c>
    </row>
    <row r="583" spans="1:5" x14ac:dyDescent="0.2">
      <c r="A583" s="1">
        <v>42464</v>
      </c>
      <c r="B583">
        <v>70561.240000000005</v>
      </c>
      <c r="C583" s="6">
        <f t="shared" si="27"/>
        <v>7.2357388002406865E-3</v>
      </c>
      <c r="D583" s="7">
        <f t="shared" si="28"/>
        <v>0.58284185902878183</v>
      </c>
      <c r="E583" s="8">
        <f t="shared" si="29"/>
        <v>-1.0263931229170629</v>
      </c>
    </row>
    <row r="584" spans="1:5" x14ac:dyDescent="0.2">
      <c r="A584" s="1">
        <v>42465</v>
      </c>
      <c r="B584">
        <v>70168.009999999995</v>
      </c>
      <c r="C584" s="6">
        <f t="shared" si="27"/>
        <v>-5.5884760760886096E-3</v>
      </c>
      <c r="D584" s="7">
        <f t="shared" si="28"/>
        <v>-0.49459678701909898</v>
      </c>
      <c r="E584" s="8">
        <f t="shared" si="29"/>
        <v>-0.92247250693026439</v>
      </c>
    </row>
    <row r="585" spans="1:5" x14ac:dyDescent="0.2">
      <c r="A585" s="1">
        <v>42466</v>
      </c>
      <c r="B585">
        <v>70243.850000000006</v>
      </c>
      <c r="C585" s="6">
        <f t="shared" si="27"/>
        <v>1.0802507334505033E-3</v>
      </c>
      <c r="D585" s="7">
        <f t="shared" si="28"/>
        <v>6.5682657283977569E-2</v>
      </c>
      <c r="E585" s="8">
        <f t="shared" si="29"/>
        <v>-0.63873321131757788</v>
      </c>
    </row>
    <row r="586" spans="1:5" x14ac:dyDescent="0.2">
      <c r="A586" s="1">
        <v>42467</v>
      </c>
      <c r="B586">
        <v>70240.81</v>
      </c>
      <c r="C586" s="6">
        <f t="shared" si="27"/>
        <v>-4.3278746597394118E-5</v>
      </c>
      <c r="D586" s="7">
        <f t="shared" si="28"/>
        <v>-2.871174373405809E-2</v>
      </c>
      <c r="E586" s="8">
        <f t="shared" si="29"/>
        <v>-0.63436552631104071</v>
      </c>
    </row>
    <row r="587" spans="1:5" x14ac:dyDescent="0.2">
      <c r="A587" s="1">
        <v>42468</v>
      </c>
      <c r="B587">
        <v>70271.460000000006</v>
      </c>
      <c r="C587" s="6">
        <f t="shared" si="27"/>
        <v>4.3626084022593923E-4</v>
      </c>
      <c r="D587" s="7">
        <f t="shared" si="28"/>
        <v>1.1577232092989295E-2</v>
      </c>
      <c r="E587" s="8">
        <f t="shared" si="29"/>
        <v>-0.63350064171458631</v>
      </c>
    </row>
    <row r="588" spans="1:5" x14ac:dyDescent="0.2">
      <c r="A588" s="1">
        <v>42471</v>
      </c>
      <c r="B588">
        <v>69749.56</v>
      </c>
      <c r="C588" s="6">
        <f t="shared" si="27"/>
        <v>-7.4546295534056832E-3</v>
      </c>
      <c r="D588" s="7">
        <f t="shared" si="28"/>
        <v>-0.65138345156799882</v>
      </c>
      <c r="E588" s="8">
        <f t="shared" si="29"/>
        <v>-1.1153530092412243</v>
      </c>
    </row>
    <row r="589" spans="1:5" x14ac:dyDescent="0.2">
      <c r="A589" s="1">
        <v>42472</v>
      </c>
      <c r="B589">
        <v>70169.47</v>
      </c>
      <c r="C589" s="6">
        <f t="shared" si="27"/>
        <v>6.0022037124582853E-3</v>
      </c>
      <c r="D589" s="7">
        <f t="shared" si="28"/>
        <v>0.47920523194091419</v>
      </c>
      <c r="E589" s="8">
        <f t="shared" si="29"/>
        <v>-0.90568816487026504</v>
      </c>
    </row>
    <row r="590" spans="1:5" x14ac:dyDescent="0.2">
      <c r="A590" s="1">
        <v>42473</v>
      </c>
      <c r="B590">
        <v>70943.73</v>
      </c>
      <c r="C590" s="6">
        <f t="shared" si="27"/>
        <v>1.0973711457676387E-2</v>
      </c>
      <c r="D590" s="7">
        <f t="shared" si="28"/>
        <v>0.89689119755205393</v>
      </c>
      <c r="E590" s="8">
        <f t="shared" si="29"/>
        <v>-1.4800445428833411</v>
      </c>
    </row>
    <row r="591" spans="1:5" x14ac:dyDescent="0.2">
      <c r="A591" s="1">
        <v>42474</v>
      </c>
      <c r="B591">
        <v>70813.38</v>
      </c>
      <c r="C591" s="6">
        <f t="shared" si="27"/>
        <v>-1.8390617125105041E-3</v>
      </c>
      <c r="D591" s="7">
        <f t="shared" si="28"/>
        <v>-0.17958616263985583</v>
      </c>
      <c r="E591" s="8">
        <f t="shared" si="29"/>
        <v>-0.67342466954048175</v>
      </c>
    </row>
    <row r="592" spans="1:5" x14ac:dyDescent="0.2">
      <c r="A592" s="1">
        <v>42475</v>
      </c>
      <c r="B592">
        <v>71467.92</v>
      </c>
      <c r="C592" s="6">
        <f t="shared" si="27"/>
        <v>9.200711792718707E-3</v>
      </c>
      <c r="D592" s="7">
        <f t="shared" si="28"/>
        <v>0.74793093940936295</v>
      </c>
      <c r="E592" s="8">
        <f t="shared" si="29"/>
        <v>-1.2511579842785128</v>
      </c>
    </row>
    <row r="593" spans="1:5" x14ac:dyDescent="0.2">
      <c r="A593" s="1">
        <v>42478</v>
      </c>
      <c r="B593">
        <v>71450.929999999993</v>
      </c>
      <c r="C593" s="6">
        <f t="shared" si="27"/>
        <v>-2.3775730185407546E-4</v>
      </c>
      <c r="D593" s="7">
        <f t="shared" si="28"/>
        <v>-4.5051045069991684E-2</v>
      </c>
      <c r="E593" s="8">
        <f t="shared" si="29"/>
        <v>-0.63587478765272853</v>
      </c>
    </row>
    <row r="594" spans="1:5" x14ac:dyDescent="0.2">
      <c r="A594" s="1">
        <v>42479</v>
      </c>
      <c r="B594">
        <v>71275.960000000006</v>
      </c>
      <c r="C594" s="6">
        <f t="shared" si="27"/>
        <v>-2.4518167200486803E-3</v>
      </c>
      <c r="D594" s="7">
        <f t="shared" si="28"/>
        <v>-0.23106735911447102</v>
      </c>
      <c r="E594" s="8">
        <f t="shared" si="29"/>
        <v>-0.6993601336832046</v>
      </c>
    </row>
    <row r="595" spans="1:5" x14ac:dyDescent="0.2">
      <c r="A595" s="1">
        <v>42480</v>
      </c>
      <c r="B595">
        <v>70988.240000000005</v>
      </c>
      <c r="C595" s="6">
        <f t="shared" si="27"/>
        <v>-4.0448741465850214E-3</v>
      </c>
      <c r="D595" s="7">
        <f t="shared" si="28"/>
        <v>-0.36490959844656273</v>
      </c>
      <c r="E595" s="8">
        <f t="shared" si="29"/>
        <v>-0.79485994817195349</v>
      </c>
    </row>
    <row r="596" spans="1:5" x14ac:dyDescent="0.2">
      <c r="A596" s="1">
        <v>42481</v>
      </c>
      <c r="B596">
        <v>70425.03</v>
      </c>
      <c r="C596" s="6">
        <f t="shared" si="27"/>
        <v>-7.9654897722693414E-3</v>
      </c>
      <c r="D596" s="7">
        <f t="shared" si="28"/>
        <v>-0.69430386017314005</v>
      </c>
      <c r="E596" s="8">
        <f t="shared" si="29"/>
        <v>-1.1743182797770806</v>
      </c>
    </row>
    <row r="597" spans="1:5" x14ac:dyDescent="0.2">
      <c r="A597" s="1">
        <v>42482</v>
      </c>
      <c r="B597">
        <v>69686.19</v>
      </c>
      <c r="C597" s="6">
        <f t="shared" si="27"/>
        <v>-1.0546576475964627E-2</v>
      </c>
      <c r="D597" s="7">
        <f t="shared" si="28"/>
        <v>-0.91115632172185346</v>
      </c>
      <c r="E597" s="8">
        <f t="shared" si="29"/>
        <v>-1.5029616023845518</v>
      </c>
    </row>
    <row r="598" spans="1:5" x14ac:dyDescent="0.2">
      <c r="A598" s="1">
        <v>42485</v>
      </c>
      <c r="B598">
        <v>70356.960000000006</v>
      </c>
      <c r="C598" s="6">
        <f t="shared" si="27"/>
        <v>9.5795492972100531E-3</v>
      </c>
      <c r="D598" s="7">
        <f t="shared" si="28"/>
        <v>0.77975933372804485</v>
      </c>
      <c r="E598" s="8">
        <f t="shared" si="29"/>
        <v>-1.2982818496613886</v>
      </c>
    </row>
    <row r="599" spans="1:5" x14ac:dyDescent="0.2">
      <c r="A599" s="1">
        <v>42486</v>
      </c>
      <c r="B599">
        <v>70557.14</v>
      </c>
      <c r="C599" s="6">
        <f t="shared" si="27"/>
        <v>2.8411654285565402E-3</v>
      </c>
      <c r="D599" s="7">
        <f t="shared" si="28"/>
        <v>0.21362758515654665</v>
      </c>
      <c r="E599" s="8">
        <f t="shared" si="29"/>
        <v>-0.689877190874437</v>
      </c>
    </row>
    <row r="600" spans="1:5" x14ac:dyDescent="0.2">
      <c r="A600" s="1">
        <v>42488</v>
      </c>
      <c r="B600">
        <v>70291.929999999993</v>
      </c>
      <c r="C600" s="6">
        <f t="shared" si="27"/>
        <v>-3.7658795110341002E-3</v>
      </c>
      <c r="D600" s="7">
        <f t="shared" si="28"/>
        <v>-0.34146959800353771</v>
      </c>
      <c r="E600" s="8">
        <f t="shared" si="29"/>
        <v>-0.77533496796930046</v>
      </c>
    </row>
    <row r="601" spans="1:5" x14ac:dyDescent="0.2">
      <c r="A601" s="1">
        <v>42489</v>
      </c>
      <c r="B601">
        <v>69839.360000000001</v>
      </c>
      <c r="C601" s="6">
        <f t="shared" si="27"/>
        <v>-6.4592507998232221E-3</v>
      </c>
      <c r="D601" s="7">
        <f t="shared" si="28"/>
        <v>-0.56775575607887852</v>
      </c>
      <c r="E601" s="8">
        <f t="shared" si="29"/>
        <v>-1.0077408890345543</v>
      </c>
    </row>
    <row r="602" spans="1:5" x14ac:dyDescent="0.2">
      <c r="A602" s="1">
        <v>42493</v>
      </c>
      <c r="B602">
        <v>69274.66</v>
      </c>
      <c r="C602" s="6">
        <f t="shared" si="27"/>
        <v>-8.1185649248427631E-3</v>
      </c>
      <c r="D602" s="7">
        <f t="shared" si="28"/>
        <v>-0.70716461513730589</v>
      </c>
      <c r="E602" s="8">
        <f t="shared" si="29"/>
        <v>-1.1924375423851732</v>
      </c>
    </row>
    <row r="603" spans="1:5" x14ac:dyDescent="0.2">
      <c r="A603" s="1">
        <v>42494</v>
      </c>
      <c r="B603">
        <v>69783.77</v>
      </c>
      <c r="C603" s="6">
        <f t="shared" si="27"/>
        <v>7.3222784795047673E-3</v>
      </c>
      <c r="D603" s="7">
        <f t="shared" si="28"/>
        <v>0.59011257273366624</v>
      </c>
      <c r="E603" s="8">
        <f t="shared" si="29"/>
        <v>-1.0355063783379725</v>
      </c>
    </row>
    <row r="604" spans="1:5" x14ac:dyDescent="0.2">
      <c r="A604" s="1">
        <v>42495</v>
      </c>
      <c r="B604">
        <v>69729.399999999994</v>
      </c>
      <c r="C604" s="6">
        <f t="shared" si="27"/>
        <v>-7.7942466295483775E-4</v>
      </c>
      <c r="D604" s="7">
        <f t="shared" si="28"/>
        <v>-9.055974511758344E-2</v>
      </c>
      <c r="E604" s="8">
        <f t="shared" si="29"/>
        <v>-0.64358878848438394</v>
      </c>
    </row>
    <row r="605" spans="1:5" x14ac:dyDescent="0.2">
      <c r="A605" s="1">
        <v>42496</v>
      </c>
      <c r="B605">
        <v>68943.350000000006</v>
      </c>
      <c r="C605" s="6">
        <f t="shared" si="27"/>
        <v>-1.1336883690566632E-2</v>
      </c>
      <c r="D605" s="7">
        <f t="shared" si="28"/>
        <v>-0.97755473624267952</v>
      </c>
      <c r="E605" s="8">
        <f t="shared" si="29"/>
        <v>-1.6114861554777602</v>
      </c>
    </row>
    <row r="606" spans="1:5" x14ac:dyDescent="0.2">
      <c r="A606" s="1">
        <v>42499</v>
      </c>
      <c r="B606">
        <v>69706.78</v>
      </c>
      <c r="C606" s="6">
        <f t="shared" si="27"/>
        <v>1.1012434179709004E-2</v>
      </c>
      <c r="D606" s="7">
        <f t="shared" si="28"/>
        <v>0.9001445239818161</v>
      </c>
      <c r="E606" s="8">
        <f t="shared" si="29"/>
        <v>-1.485257685632986</v>
      </c>
    </row>
    <row r="607" spans="1:5" x14ac:dyDescent="0.2">
      <c r="A607" s="1">
        <v>42500</v>
      </c>
      <c r="B607">
        <v>70639.19</v>
      </c>
      <c r="C607" s="6">
        <f t="shared" si="27"/>
        <v>1.3287502571565985E-2</v>
      </c>
      <c r="D607" s="7">
        <f t="shared" si="28"/>
        <v>1.0912865651459254</v>
      </c>
      <c r="E607" s="8">
        <f t="shared" si="29"/>
        <v>-1.8031854698881156</v>
      </c>
    </row>
    <row r="608" spans="1:5" x14ac:dyDescent="0.2">
      <c r="A608" s="1">
        <v>42501</v>
      </c>
      <c r="B608">
        <v>70427.600000000006</v>
      </c>
      <c r="C608" s="6">
        <f t="shared" si="27"/>
        <v>-2.9998578499933599E-3</v>
      </c>
      <c r="D608" s="7">
        <f t="shared" si="28"/>
        <v>-0.27711155743151927</v>
      </c>
      <c r="E608" s="8">
        <f t="shared" si="29"/>
        <v>-0.7277546223497916</v>
      </c>
    </row>
    <row r="609" spans="1:5" x14ac:dyDescent="0.2">
      <c r="A609" s="1">
        <v>42502</v>
      </c>
      <c r="B609">
        <v>69588.39</v>
      </c>
      <c r="C609" s="6">
        <f t="shared" si="27"/>
        <v>-1.1987488707649473E-2</v>
      </c>
      <c r="D609" s="7">
        <f t="shared" si="28"/>
        <v>-1.0322159373748878</v>
      </c>
      <c r="E609" s="8">
        <f t="shared" si="29"/>
        <v>-1.7028241461109705</v>
      </c>
    </row>
    <row r="610" spans="1:5" x14ac:dyDescent="0.2">
      <c r="A610" s="1">
        <v>42503</v>
      </c>
      <c r="B610">
        <v>69938.039999999994</v>
      </c>
      <c r="C610" s="6">
        <f t="shared" si="27"/>
        <v>5.0119641408069241E-3</v>
      </c>
      <c r="D610" s="7">
        <f t="shared" si="28"/>
        <v>0.39600930972407877</v>
      </c>
      <c r="E610" s="8">
        <f t="shared" si="29"/>
        <v>-0.82250292911373446</v>
      </c>
    </row>
    <row r="611" spans="1:5" x14ac:dyDescent="0.2">
      <c r="A611" s="1">
        <v>42506</v>
      </c>
      <c r="B611">
        <v>70970.52</v>
      </c>
      <c r="C611" s="6">
        <f t="shared" si="27"/>
        <v>1.4654872327682823E-2</v>
      </c>
      <c r="D611" s="7">
        <f t="shared" si="28"/>
        <v>1.2061674395608306</v>
      </c>
      <c r="E611" s="8">
        <f t="shared" si="29"/>
        <v>-2.0020322114360005</v>
      </c>
    </row>
    <row r="612" spans="1:5" x14ac:dyDescent="0.2">
      <c r="A612" s="1">
        <v>42507</v>
      </c>
      <c r="B612">
        <v>70895.39</v>
      </c>
      <c r="C612" s="6">
        <f t="shared" si="27"/>
        <v>-1.0591692820869842E-3</v>
      </c>
      <c r="D612" s="7">
        <f t="shared" si="28"/>
        <v>-0.11406275614660578</v>
      </c>
      <c r="E612" s="8">
        <f t="shared" si="29"/>
        <v>-0.64958359590631753</v>
      </c>
    </row>
    <row r="613" spans="1:5" x14ac:dyDescent="0.2">
      <c r="A613" s="1">
        <v>42508</v>
      </c>
      <c r="B613">
        <v>71319.06</v>
      </c>
      <c r="C613" s="6">
        <f t="shared" si="27"/>
        <v>5.9582026068747884E-3</v>
      </c>
      <c r="D613" s="7">
        <f t="shared" si="28"/>
        <v>0.47550843708199475</v>
      </c>
      <c r="E613" s="8">
        <f t="shared" si="29"/>
        <v>-0.90171939394181611</v>
      </c>
    </row>
    <row r="614" spans="1:5" x14ac:dyDescent="0.2">
      <c r="A614" s="1">
        <v>42509</v>
      </c>
      <c r="B614">
        <v>71325.38</v>
      </c>
      <c r="C614" s="6">
        <f t="shared" si="27"/>
        <v>8.8611936141890781E-5</v>
      </c>
      <c r="D614" s="7">
        <f t="shared" si="28"/>
        <v>-1.7630822211194424E-2</v>
      </c>
      <c r="E614" s="8">
        <f t="shared" si="29"/>
        <v>-0.63372219174735134</v>
      </c>
    </row>
    <row r="615" spans="1:5" x14ac:dyDescent="0.2">
      <c r="A615" s="1">
        <v>42510</v>
      </c>
      <c r="B615">
        <v>71352.86</v>
      </c>
      <c r="C615" s="6">
        <f t="shared" si="27"/>
        <v>3.8520240142846736E-4</v>
      </c>
      <c r="D615" s="7">
        <f t="shared" si="28"/>
        <v>7.2875086520005255E-3</v>
      </c>
      <c r="E615" s="8">
        <f t="shared" si="29"/>
        <v>-0.63339923553688016</v>
      </c>
    </row>
    <row r="616" spans="1:5" x14ac:dyDescent="0.2">
      <c r="A616" s="1">
        <v>42513</v>
      </c>
      <c r="B616">
        <v>71493.41</v>
      </c>
      <c r="C616" s="6">
        <f t="shared" si="27"/>
        <v>1.967850408077133E-3</v>
      </c>
      <c r="D616" s="7">
        <f t="shared" si="28"/>
        <v>0.1402551906425257</v>
      </c>
      <c r="E616" s="8">
        <f t="shared" si="29"/>
        <v>-0.65786319261947701</v>
      </c>
    </row>
    <row r="617" spans="1:5" x14ac:dyDescent="0.2">
      <c r="A617" s="1">
        <v>42514</v>
      </c>
      <c r="B617">
        <v>72098.080000000002</v>
      </c>
      <c r="C617" s="6">
        <f t="shared" si="27"/>
        <v>8.4221366352499327E-3</v>
      </c>
      <c r="D617" s="7">
        <f t="shared" si="28"/>
        <v>0.68251820485997261</v>
      </c>
      <c r="E617" s="8">
        <f t="shared" si="29"/>
        <v>-1.157892422991128</v>
      </c>
    </row>
    <row r="618" spans="1:5" x14ac:dyDescent="0.2">
      <c r="A618" s="1">
        <v>42515</v>
      </c>
      <c r="B618">
        <v>72866.83</v>
      </c>
      <c r="C618" s="6">
        <f t="shared" si="27"/>
        <v>1.060611435354181E-2</v>
      </c>
      <c r="D618" s="7">
        <f t="shared" si="28"/>
        <v>0.86600717619173451</v>
      </c>
      <c r="E618" s="8">
        <f t="shared" si="29"/>
        <v>-1.4309658358302619</v>
      </c>
    </row>
    <row r="619" spans="1:5" x14ac:dyDescent="0.2">
      <c r="A619" s="1">
        <v>42516</v>
      </c>
      <c r="B619">
        <v>73003.78</v>
      </c>
      <c r="C619" s="6">
        <f t="shared" si="27"/>
        <v>1.8776920208581325E-3</v>
      </c>
      <c r="D619" s="7">
        <f t="shared" si="28"/>
        <v>0.13268044773686838</v>
      </c>
      <c r="E619" s="8">
        <f t="shared" si="29"/>
        <v>-0.65529641886372936</v>
      </c>
    </row>
    <row r="620" spans="1:5" x14ac:dyDescent="0.2">
      <c r="A620" s="1">
        <v>42517</v>
      </c>
      <c r="B620">
        <v>73710.460000000006</v>
      </c>
      <c r="C620" s="6">
        <f t="shared" si="27"/>
        <v>9.6334952249036033E-3</v>
      </c>
      <c r="D620" s="7">
        <f t="shared" si="28"/>
        <v>0.78429165230305709</v>
      </c>
      <c r="E620" s="8">
        <f t="shared" si="29"/>
        <v>-1.3050782226134086</v>
      </c>
    </row>
    <row r="621" spans="1:5" x14ac:dyDescent="0.2">
      <c r="A621" s="1">
        <v>42520</v>
      </c>
      <c r="B621">
        <v>74332.17</v>
      </c>
      <c r="C621" s="6">
        <f t="shared" si="27"/>
        <v>8.399116590695737E-3</v>
      </c>
      <c r="D621" s="7">
        <f t="shared" si="28"/>
        <v>0.6805841538575822</v>
      </c>
      <c r="E621" s="8">
        <f t="shared" si="29"/>
        <v>-1.1552135270968589</v>
      </c>
    </row>
    <row r="622" spans="1:5" x14ac:dyDescent="0.2">
      <c r="A622" s="1">
        <v>42521</v>
      </c>
      <c r="B622">
        <v>73978.09</v>
      </c>
      <c r="C622" s="6">
        <f t="shared" si="27"/>
        <v>-4.7748641628962375E-3</v>
      </c>
      <c r="D622" s="7">
        <f t="shared" si="28"/>
        <v>-0.42624040601549784</v>
      </c>
      <c r="E622" s="8">
        <f t="shared" si="29"/>
        <v>-0.85121368040689327</v>
      </c>
    </row>
    <row r="623" spans="1:5" x14ac:dyDescent="0.2">
      <c r="A623" s="1">
        <v>42522</v>
      </c>
      <c r="B623">
        <v>73450.289999999994</v>
      </c>
      <c r="C623" s="6">
        <f t="shared" si="27"/>
        <v>-7.1601174062144272E-3</v>
      </c>
      <c r="D623" s="7">
        <f t="shared" si="28"/>
        <v>-0.62663973258212147</v>
      </c>
      <c r="E623" s="8">
        <f t="shared" si="29"/>
        <v>-1.0824685799746763</v>
      </c>
    </row>
    <row r="624" spans="1:5" x14ac:dyDescent="0.2">
      <c r="A624" s="1">
        <v>42523</v>
      </c>
      <c r="B624">
        <v>73703.95</v>
      </c>
      <c r="C624" s="6">
        <f t="shared" si="27"/>
        <v>3.4475425409509703E-3</v>
      </c>
      <c r="D624" s="7">
        <f t="shared" si="28"/>
        <v>0.26457293668668913</v>
      </c>
      <c r="E624" s="8">
        <f t="shared" si="29"/>
        <v>-0.71954572983397691</v>
      </c>
    </row>
    <row r="625" spans="1:5" x14ac:dyDescent="0.2">
      <c r="A625" s="1">
        <v>42524</v>
      </c>
      <c r="B625">
        <v>74070.7</v>
      </c>
      <c r="C625" s="6">
        <f t="shared" si="27"/>
        <v>4.9636490831523996E-3</v>
      </c>
      <c r="D625" s="7">
        <f t="shared" si="28"/>
        <v>0.39195007406676757</v>
      </c>
      <c r="E625" s="8">
        <f t="shared" si="29"/>
        <v>-0.81878450545748838</v>
      </c>
    </row>
    <row r="626" spans="1:5" x14ac:dyDescent="0.2">
      <c r="A626" s="1">
        <v>42527</v>
      </c>
      <c r="B626">
        <v>73390.929999999993</v>
      </c>
      <c r="C626" s="6">
        <f t="shared" si="27"/>
        <v>-9.2196839974769858E-3</v>
      </c>
      <c r="D626" s="7">
        <f t="shared" si="28"/>
        <v>-0.79967618439885413</v>
      </c>
      <c r="E626" s="8">
        <f t="shared" si="29"/>
        <v>-1.3283014854628667</v>
      </c>
    </row>
    <row r="627" spans="1:5" x14ac:dyDescent="0.2">
      <c r="A627" s="1">
        <v>42528</v>
      </c>
      <c r="B627">
        <v>73840.479999999996</v>
      </c>
      <c r="C627" s="6">
        <f t="shared" si="27"/>
        <v>6.1067322123366024E-3</v>
      </c>
      <c r="D627" s="7">
        <f t="shared" si="28"/>
        <v>0.48798729356951243</v>
      </c>
      <c r="E627" s="8">
        <f t="shared" si="29"/>
        <v>-0.91521377189847963</v>
      </c>
    </row>
    <row r="628" spans="1:5" x14ac:dyDescent="0.2">
      <c r="A628" s="1">
        <v>42529</v>
      </c>
      <c r="B628">
        <v>73047.13</v>
      </c>
      <c r="C628" s="6">
        <f t="shared" si="27"/>
        <v>-1.0802241449066772E-2</v>
      </c>
      <c r="D628" s="7">
        <f t="shared" si="28"/>
        <v>-0.93263625831972563</v>
      </c>
      <c r="E628" s="8">
        <f t="shared" si="29"/>
        <v>-1.5377469370909509</v>
      </c>
    </row>
    <row r="629" spans="1:5" x14ac:dyDescent="0.2">
      <c r="A629" s="1">
        <v>42530</v>
      </c>
      <c r="B629">
        <v>72486.67</v>
      </c>
      <c r="C629" s="6">
        <f t="shared" si="27"/>
        <v>-7.7021663791520039E-3</v>
      </c>
      <c r="D629" s="7">
        <f t="shared" si="28"/>
        <v>-0.67218049411220848</v>
      </c>
      <c r="E629" s="8">
        <f t="shared" si="29"/>
        <v>-1.1436286669766</v>
      </c>
    </row>
    <row r="630" spans="1:5" x14ac:dyDescent="0.2">
      <c r="A630" s="1">
        <v>42531</v>
      </c>
      <c r="B630">
        <v>72748.02</v>
      </c>
      <c r="C630" s="6">
        <f t="shared" si="27"/>
        <v>3.5990062994198809E-3</v>
      </c>
      <c r="D630" s="7">
        <f t="shared" si="28"/>
        <v>0.27729830883803108</v>
      </c>
      <c r="E630" s="8">
        <f t="shared" si="29"/>
        <v>-0.72787954993489157</v>
      </c>
    </row>
    <row r="631" spans="1:5" x14ac:dyDescent="0.2">
      <c r="A631" s="1">
        <v>42534</v>
      </c>
      <c r="B631">
        <v>71933.14</v>
      </c>
      <c r="C631" s="6">
        <f t="shared" si="27"/>
        <v>-1.126461270784032E-2</v>
      </c>
      <c r="D631" s="7">
        <f t="shared" si="28"/>
        <v>-0.97148282068854175</v>
      </c>
      <c r="E631" s="8">
        <f t="shared" si="29"/>
        <v>-1.6014442489356295</v>
      </c>
    </row>
    <row r="632" spans="1:5" x14ac:dyDescent="0.2">
      <c r="A632" s="1">
        <v>42535</v>
      </c>
      <c r="B632">
        <v>70533.3</v>
      </c>
      <c r="C632" s="6">
        <f t="shared" si="27"/>
        <v>-1.9652137752409888E-2</v>
      </c>
      <c r="D632" s="7">
        <f t="shared" si="28"/>
        <v>-1.6761687382954074</v>
      </c>
      <c r="E632" s="8">
        <f t="shared" si="29"/>
        <v>-2.8294188541275527</v>
      </c>
    </row>
    <row r="633" spans="1:5" x14ac:dyDescent="0.2">
      <c r="A633" s="1">
        <v>42536</v>
      </c>
      <c r="B633">
        <v>71337.47</v>
      </c>
      <c r="C633" s="6">
        <f t="shared" si="27"/>
        <v>1.133677660042349E-2</v>
      </c>
      <c r="D633" s="7">
        <f t="shared" si="28"/>
        <v>0.9273944618532981</v>
      </c>
      <c r="E633" s="8">
        <f t="shared" si="29"/>
        <v>-1.5292283145132866</v>
      </c>
    </row>
    <row r="634" spans="1:5" x14ac:dyDescent="0.2">
      <c r="A634" s="1">
        <v>42538</v>
      </c>
      <c r="B634">
        <v>71300.95</v>
      </c>
      <c r="C634" s="6">
        <f t="shared" si="27"/>
        <v>-5.1206401189802012E-4</v>
      </c>
      <c r="D634" s="7">
        <f t="shared" si="28"/>
        <v>-6.8097184979664799E-2</v>
      </c>
      <c r="E634" s="8">
        <f t="shared" si="29"/>
        <v>-0.63913709161756294</v>
      </c>
    </row>
    <row r="635" spans="1:5" x14ac:dyDescent="0.2">
      <c r="A635" s="1">
        <v>42541</v>
      </c>
      <c r="B635">
        <v>72610.12</v>
      </c>
      <c r="C635" s="6">
        <f t="shared" si="27"/>
        <v>1.8194654741055437E-2</v>
      </c>
      <c r="D635" s="7">
        <f t="shared" si="28"/>
        <v>1.5035656356724627</v>
      </c>
      <c r="E635" s="8">
        <f t="shared" si="29"/>
        <v>-2.5264502046956694</v>
      </c>
    </row>
    <row r="636" spans="1:5" x14ac:dyDescent="0.2">
      <c r="A636" s="1">
        <v>42542</v>
      </c>
      <c r="B636">
        <v>72467.740000000005</v>
      </c>
      <c r="C636" s="6">
        <f t="shared" si="27"/>
        <v>-1.9628087388565401E-3</v>
      </c>
      <c r="D636" s="7">
        <f t="shared" si="28"/>
        <v>-0.18998288710248334</v>
      </c>
      <c r="E636" s="8">
        <f t="shared" si="29"/>
        <v>-0.67815845425212617</v>
      </c>
    </row>
    <row r="637" spans="1:5" x14ac:dyDescent="0.2">
      <c r="A637" s="1">
        <v>42543</v>
      </c>
      <c r="B637">
        <v>73167.47</v>
      </c>
      <c r="C637" s="6">
        <f t="shared" si="27"/>
        <v>9.6094259688479285E-3</v>
      </c>
      <c r="D637" s="7">
        <f t="shared" si="28"/>
        <v>0.78226945079551113</v>
      </c>
      <c r="E637" s="8">
        <f t="shared" si="29"/>
        <v>-1.3020432800106641</v>
      </c>
    </row>
    <row r="638" spans="1:5" x14ac:dyDescent="0.2">
      <c r="A638" s="1">
        <v>42544</v>
      </c>
      <c r="B638">
        <v>73066.960000000006</v>
      </c>
      <c r="C638" s="6">
        <f t="shared" si="27"/>
        <v>-1.3746422894706436E-3</v>
      </c>
      <c r="D638" s="7">
        <f t="shared" si="28"/>
        <v>-0.14056752179643045</v>
      </c>
      <c r="E638" s="8">
        <f t="shared" si="29"/>
        <v>-0.65797202903000207</v>
      </c>
    </row>
    <row r="639" spans="1:5" x14ac:dyDescent="0.2">
      <c r="A639" s="1">
        <v>42545</v>
      </c>
      <c r="B639">
        <v>70519.44</v>
      </c>
      <c r="C639" s="6">
        <f t="shared" si="27"/>
        <v>-3.548786450773566E-2</v>
      </c>
      <c r="D639" s="7">
        <f t="shared" si="28"/>
        <v>-3.0066224275840345</v>
      </c>
      <c r="E639" s="8">
        <f t="shared" si="29"/>
        <v>-4.9056528607475665</v>
      </c>
    </row>
    <row r="640" spans="1:5" x14ac:dyDescent="0.2">
      <c r="A640" s="1">
        <v>42548</v>
      </c>
      <c r="B640">
        <v>68444.429999999993</v>
      </c>
      <c r="C640" s="6">
        <f t="shared" si="27"/>
        <v>-2.9866241330179913E-2</v>
      </c>
      <c r="D640" s="7">
        <f t="shared" si="28"/>
        <v>-2.5343163937700761</v>
      </c>
      <c r="E640" s="8">
        <f t="shared" si="29"/>
        <v>-4.2297785706144744</v>
      </c>
    </row>
    <row r="641" spans="1:5" x14ac:dyDescent="0.2">
      <c r="A641" s="1">
        <v>42549</v>
      </c>
      <c r="B641">
        <v>69852.350000000006</v>
      </c>
      <c r="C641" s="6">
        <f t="shared" si="27"/>
        <v>2.0361553500555921E-2</v>
      </c>
      <c r="D641" s="7">
        <f t="shared" si="28"/>
        <v>1.6856197019894879</v>
      </c>
      <c r="E641" s="8">
        <f t="shared" si="29"/>
        <v>-2.8458807030968023</v>
      </c>
    </row>
    <row r="642" spans="1:5" x14ac:dyDescent="0.2">
      <c r="A642" s="1">
        <v>42550</v>
      </c>
      <c r="B642">
        <v>70687.179999999993</v>
      </c>
      <c r="C642" s="6">
        <f t="shared" si="27"/>
        <v>1.1880498239933939E-2</v>
      </c>
      <c r="D642" s="7">
        <f t="shared" si="28"/>
        <v>0.97307575406108693</v>
      </c>
      <c r="E642" s="8">
        <f t="shared" si="29"/>
        <v>-1.6040765395124545</v>
      </c>
    </row>
    <row r="643" spans="1:5" x14ac:dyDescent="0.2">
      <c r="A643" s="1">
        <v>42551</v>
      </c>
      <c r="B643">
        <v>70949.48</v>
      </c>
      <c r="C643" s="6">
        <f t="shared" ref="C643:C706" si="30">LN(B643/B642)</f>
        <v>3.7038475753833882E-3</v>
      </c>
      <c r="D643" s="7">
        <f t="shared" ref="D643:D706" si="31">(C643-$G$4)/$G$5</f>
        <v>0.28610664864778845</v>
      </c>
      <c r="E643" s="8">
        <f t="shared" ref="E643:E706" si="32">LN((PI()*(G$3-2))^(-1/2)*EXP(GAMMALN((G$3+1)/2))*((1+D643^2/(G$3-2))^(-(G$3+1)/2))/EXP(GAMMALN(G$3/2)))</f>
        <v>-0.73386017975622231</v>
      </c>
    </row>
    <row r="644" spans="1:5" x14ac:dyDescent="0.2">
      <c r="A644" s="1">
        <v>42552</v>
      </c>
      <c r="B644">
        <v>70820.91</v>
      </c>
      <c r="C644" s="6">
        <f t="shared" si="30"/>
        <v>-1.8137783954374485E-3</v>
      </c>
      <c r="D644" s="7">
        <f t="shared" si="31"/>
        <v>-0.17746196063782341</v>
      </c>
      <c r="E644" s="8">
        <f t="shared" si="32"/>
        <v>-0.67248919438425725</v>
      </c>
    </row>
    <row r="645" spans="1:5" x14ac:dyDescent="0.2">
      <c r="A645" s="1">
        <v>42555</v>
      </c>
      <c r="B645">
        <v>70836.710000000006</v>
      </c>
      <c r="C645" s="6">
        <f t="shared" si="30"/>
        <v>2.2307306963831945E-4</v>
      </c>
      <c r="D645" s="7">
        <f t="shared" si="31"/>
        <v>-6.3339418159773569E-3</v>
      </c>
      <c r="E645" s="8">
        <f t="shared" si="32"/>
        <v>-0.63338295873749095</v>
      </c>
    </row>
    <row r="646" spans="1:5" x14ac:dyDescent="0.2">
      <c r="A646" s="1">
        <v>42556</v>
      </c>
      <c r="B646">
        <v>70028.929999999993</v>
      </c>
      <c r="C646" s="6">
        <f t="shared" si="30"/>
        <v>-1.1468926763763871E-2</v>
      </c>
      <c r="D646" s="7">
        <f t="shared" si="31"/>
        <v>-0.98864846099523573</v>
      </c>
      <c r="E646" s="8">
        <f t="shared" si="32"/>
        <v>-1.6298896567067125</v>
      </c>
    </row>
    <row r="647" spans="1:5" x14ac:dyDescent="0.2">
      <c r="A647" s="1">
        <v>42557</v>
      </c>
      <c r="B647">
        <v>68748.61</v>
      </c>
      <c r="C647" s="6">
        <f t="shared" si="30"/>
        <v>-1.8451924224154616E-2</v>
      </c>
      <c r="D647" s="7">
        <f t="shared" si="31"/>
        <v>-1.5753316538171527</v>
      </c>
      <c r="E647" s="8">
        <f t="shared" si="32"/>
        <v>-2.6528807827841292</v>
      </c>
    </row>
    <row r="648" spans="1:5" x14ac:dyDescent="0.2">
      <c r="A648" s="1">
        <v>42558</v>
      </c>
      <c r="B648">
        <v>69027.03</v>
      </c>
      <c r="C648" s="6">
        <f t="shared" si="30"/>
        <v>4.0416488574814124E-3</v>
      </c>
      <c r="D648" s="7">
        <f t="shared" si="31"/>
        <v>0.31448734559702035</v>
      </c>
      <c r="E648" s="8">
        <f t="shared" si="32"/>
        <v>-0.75429340868335293</v>
      </c>
    </row>
    <row r="649" spans="1:5" x14ac:dyDescent="0.2">
      <c r="A649" s="1">
        <v>42559</v>
      </c>
      <c r="B649">
        <v>69197.279999999999</v>
      </c>
      <c r="C649" s="6">
        <f t="shared" si="30"/>
        <v>2.4633884747733161E-3</v>
      </c>
      <c r="D649" s="7">
        <f t="shared" si="31"/>
        <v>0.18188829401728313</v>
      </c>
      <c r="E649" s="8">
        <f t="shared" si="32"/>
        <v>-0.67445066809680998</v>
      </c>
    </row>
    <row r="650" spans="1:5" x14ac:dyDescent="0.2">
      <c r="A650" s="1">
        <v>42562</v>
      </c>
      <c r="B650">
        <v>69819.73</v>
      </c>
      <c r="C650" s="6">
        <f t="shared" si="30"/>
        <v>8.9550790898909518E-3</v>
      </c>
      <c r="D650" s="7">
        <f t="shared" si="31"/>
        <v>0.72729387356852837</v>
      </c>
      <c r="E650" s="8">
        <f t="shared" si="32"/>
        <v>-1.2211934234227846</v>
      </c>
    </row>
    <row r="651" spans="1:5" x14ac:dyDescent="0.2">
      <c r="A651" s="1">
        <v>42563</v>
      </c>
      <c r="B651">
        <v>70178.960000000006</v>
      </c>
      <c r="C651" s="6">
        <f t="shared" si="30"/>
        <v>5.1319164258853429E-3</v>
      </c>
      <c r="D651" s="7">
        <f t="shared" si="31"/>
        <v>0.40608721537924619</v>
      </c>
      <c r="E651" s="8">
        <f t="shared" si="32"/>
        <v>-0.83187571044200292</v>
      </c>
    </row>
    <row r="652" spans="1:5" x14ac:dyDescent="0.2">
      <c r="A652" s="1">
        <v>42564</v>
      </c>
      <c r="B652">
        <v>70781.23</v>
      </c>
      <c r="C652" s="6">
        <f t="shared" si="30"/>
        <v>8.5453015481579929E-3</v>
      </c>
      <c r="D652" s="7">
        <f t="shared" si="31"/>
        <v>0.69286602250682172</v>
      </c>
      <c r="E652" s="8">
        <f t="shared" si="32"/>
        <v>-1.1723050989363262</v>
      </c>
    </row>
    <row r="653" spans="1:5" x14ac:dyDescent="0.2">
      <c r="A653" s="1">
        <v>42565</v>
      </c>
      <c r="B653">
        <v>70656.009999999995</v>
      </c>
      <c r="C653" s="6">
        <f t="shared" si="30"/>
        <v>-1.7706798112990811E-3</v>
      </c>
      <c r="D653" s="7">
        <f t="shared" si="31"/>
        <v>-0.1738409919790454</v>
      </c>
      <c r="E653" s="8">
        <f t="shared" si="32"/>
        <v>-0.67091943091434059</v>
      </c>
    </row>
    <row r="654" spans="1:5" x14ac:dyDescent="0.2">
      <c r="A654" s="1">
        <v>42566</v>
      </c>
      <c r="B654">
        <v>71056.77</v>
      </c>
      <c r="C654" s="6">
        <f t="shared" si="30"/>
        <v>5.6559622689749435E-3</v>
      </c>
      <c r="D654" s="7">
        <f t="shared" si="31"/>
        <v>0.45011542678169686</v>
      </c>
      <c r="E654" s="8">
        <f t="shared" si="32"/>
        <v>-0.8751266434527053</v>
      </c>
    </row>
    <row r="655" spans="1:5" x14ac:dyDescent="0.2">
      <c r="A655" s="1">
        <v>42569</v>
      </c>
      <c r="B655">
        <v>71129.41</v>
      </c>
      <c r="C655" s="6">
        <f t="shared" si="30"/>
        <v>1.0217590249577216E-3</v>
      </c>
      <c r="D655" s="7">
        <f t="shared" si="31"/>
        <v>6.0768420598828643E-2</v>
      </c>
      <c r="E655" s="8">
        <f t="shared" si="32"/>
        <v>-0.63795605002940992</v>
      </c>
    </row>
    <row r="656" spans="1:5" x14ac:dyDescent="0.2">
      <c r="A656" s="1">
        <v>42570</v>
      </c>
      <c r="B656">
        <v>70763.63</v>
      </c>
      <c r="C656" s="6">
        <f t="shared" si="30"/>
        <v>-5.1557258939318382E-3</v>
      </c>
      <c r="D656" s="7">
        <f t="shared" si="31"/>
        <v>-0.45823886765823557</v>
      </c>
      <c r="E656" s="8">
        <f t="shared" si="32"/>
        <v>-0.88350572369700364</v>
      </c>
    </row>
    <row r="657" spans="1:5" x14ac:dyDescent="0.2">
      <c r="A657" s="1">
        <v>42571</v>
      </c>
      <c r="B657">
        <v>71228.13</v>
      </c>
      <c r="C657" s="6">
        <f t="shared" si="30"/>
        <v>6.5426565169902301E-3</v>
      </c>
      <c r="D657" s="7">
        <f t="shared" si="31"/>
        <v>0.52461188985979279</v>
      </c>
      <c r="E657" s="8">
        <f t="shared" si="32"/>
        <v>-0.95638352614986399</v>
      </c>
    </row>
    <row r="658" spans="1:5" x14ac:dyDescent="0.2">
      <c r="A658" s="1">
        <v>42572</v>
      </c>
      <c r="B658">
        <v>71007.740000000005</v>
      </c>
      <c r="C658" s="6">
        <f t="shared" si="30"/>
        <v>-3.0989394781342724E-3</v>
      </c>
      <c r="D658" s="7">
        <f t="shared" si="31"/>
        <v>-0.28543599493524585</v>
      </c>
      <c r="E658" s="8">
        <f t="shared" si="32"/>
        <v>-0.73339875692865475</v>
      </c>
    </row>
    <row r="659" spans="1:5" x14ac:dyDescent="0.2">
      <c r="A659" s="1">
        <v>42573</v>
      </c>
      <c r="B659">
        <v>71224.88</v>
      </c>
      <c r="C659" s="6">
        <f t="shared" si="30"/>
        <v>3.0533103966489854E-3</v>
      </c>
      <c r="D659" s="7">
        <f t="shared" si="31"/>
        <v>0.23145114701913611</v>
      </c>
      <c r="E659" s="8">
        <f t="shared" si="32"/>
        <v>-0.69957676280475178</v>
      </c>
    </row>
    <row r="660" spans="1:5" x14ac:dyDescent="0.2">
      <c r="A660" s="1">
        <v>42576</v>
      </c>
      <c r="B660">
        <v>71770.75</v>
      </c>
      <c r="C660" s="6">
        <f t="shared" si="30"/>
        <v>7.6348158552780971E-3</v>
      </c>
      <c r="D660" s="7">
        <f t="shared" si="31"/>
        <v>0.61637069849340553</v>
      </c>
      <c r="E660" s="8">
        <f t="shared" si="32"/>
        <v>-1.069071186112468</v>
      </c>
    </row>
    <row r="661" spans="1:5" x14ac:dyDescent="0.2">
      <c r="A661" s="1">
        <v>42577</v>
      </c>
      <c r="B661">
        <v>71872.25</v>
      </c>
      <c r="C661" s="6">
        <f t="shared" si="30"/>
        <v>1.4132260798374763E-3</v>
      </c>
      <c r="D661" s="7">
        <f t="shared" si="31"/>
        <v>9.3657898640912257E-2</v>
      </c>
      <c r="E661" s="8">
        <f t="shared" si="32"/>
        <v>-0.64430097249078522</v>
      </c>
    </row>
    <row r="662" spans="1:5" x14ac:dyDescent="0.2">
      <c r="A662" s="1">
        <v>42578</v>
      </c>
      <c r="B662">
        <v>71760.83</v>
      </c>
      <c r="C662" s="6">
        <f t="shared" si="30"/>
        <v>-1.5514535001138583E-3</v>
      </c>
      <c r="D662" s="7">
        <f t="shared" si="31"/>
        <v>-0.15542248432151565</v>
      </c>
      <c r="E662" s="8">
        <f t="shared" si="32"/>
        <v>-0.66342196697440969</v>
      </c>
    </row>
    <row r="663" spans="1:5" x14ac:dyDescent="0.2">
      <c r="A663" s="1">
        <v>42579</v>
      </c>
      <c r="B663">
        <v>70772.52</v>
      </c>
      <c r="C663" s="6">
        <f t="shared" si="30"/>
        <v>-1.3867994253531751E-2</v>
      </c>
      <c r="D663" s="7">
        <f t="shared" si="31"/>
        <v>-1.1902084046549493</v>
      </c>
      <c r="E663" s="8">
        <f t="shared" si="32"/>
        <v>-1.9741825100327977</v>
      </c>
    </row>
    <row r="664" spans="1:5" x14ac:dyDescent="0.2">
      <c r="A664" s="1">
        <v>42580</v>
      </c>
      <c r="B664">
        <v>70311.61</v>
      </c>
      <c r="C664" s="6">
        <f t="shared" si="30"/>
        <v>-6.5338552214868695E-3</v>
      </c>
      <c r="D664" s="7">
        <f t="shared" si="31"/>
        <v>-0.57402371773123917</v>
      </c>
      <c r="E664" s="8">
        <f t="shared" si="32"/>
        <v>-1.0154480067495857</v>
      </c>
    </row>
    <row r="665" spans="1:5" x14ac:dyDescent="0.2">
      <c r="A665" s="1">
        <v>42583</v>
      </c>
      <c r="B665">
        <v>70308.039999999994</v>
      </c>
      <c r="C665" s="6">
        <f t="shared" si="30"/>
        <v>-5.0775265061112112E-5</v>
      </c>
      <c r="D665" s="7">
        <f t="shared" si="31"/>
        <v>-2.9341570883830017E-2</v>
      </c>
      <c r="E665" s="8">
        <f t="shared" si="32"/>
        <v>-0.63441132672163092</v>
      </c>
    </row>
    <row r="666" spans="1:5" x14ac:dyDescent="0.2">
      <c r="A666" s="1">
        <v>42584</v>
      </c>
      <c r="B666">
        <v>69235.55</v>
      </c>
      <c r="C666" s="6">
        <f t="shared" si="30"/>
        <v>-1.537170024168554E-2</v>
      </c>
      <c r="D666" s="7">
        <f t="shared" si="31"/>
        <v>-1.3165436976576388</v>
      </c>
      <c r="E666" s="8">
        <f t="shared" si="32"/>
        <v>-2.1959425841686429</v>
      </c>
    </row>
    <row r="667" spans="1:5" x14ac:dyDescent="0.2">
      <c r="A667" s="1">
        <v>42586</v>
      </c>
      <c r="B667">
        <v>69030.789999999994</v>
      </c>
      <c r="C667" s="6">
        <f t="shared" si="30"/>
        <v>-2.9618220846259653E-3</v>
      </c>
      <c r="D667" s="7">
        <f t="shared" si="31"/>
        <v>-0.27391594632128413</v>
      </c>
      <c r="E667" s="8">
        <f t="shared" si="32"/>
        <v>-0.72562899804293723</v>
      </c>
    </row>
    <row r="668" spans="1:5" x14ac:dyDescent="0.2">
      <c r="A668" s="1">
        <v>42587</v>
      </c>
      <c r="B668">
        <v>68666.240000000005</v>
      </c>
      <c r="C668" s="6">
        <f t="shared" si="30"/>
        <v>-5.2949704395445106E-3</v>
      </c>
      <c r="D668" s="7">
        <f t="shared" si="31"/>
        <v>-0.46993763098536823</v>
      </c>
      <c r="E668" s="8">
        <f t="shared" si="32"/>
        <v>-0.89578503371851337</v>
      </c>
    </row>
    <row r="669" spans="1:5" x14ac:dyDescent="0.2">
      <c r="A669" s="1">
        <v>42590</v>
      </c>
      <c r="B669">
        <v>68439.070000000007</v>
      </c>
      <c r="C669" s="6">
        <f t="shared" si="30"/>
        <v>-3.3138061229769323E-3</v>
      </c>
      <c r="D669" s="7">
        <f t="shared" si="31"/>
        <v>-0.30348822106625334</v>
      </c>
      <c r="E669" s="8">
        <f t="shared" si="32"/>
        <v>-0.746165238158227</v>
      </c>
    </row>
    <row r="670" spans="1:5" x14ac:dyDescent="0.2">
      <c r="A670" s="1">
        <v>42592</v>
      </c>
      <c r="B670">
        <v>68018.210000000006</v>
      </c>
      <c r="C670" s="6">
        <f t="shared" si="30"/>
        <v>-6.1683969436476414E-3</v>
      </c>
      <c r="D670" s="7">
        <f t="shared" si="31"/>
        <v>-0.54331939190238232</v>
      </c>
      <c r="E670" s="8">
        <f t="shared" si="32"/>
        <v>-0.97828347682854111</v>
      </c>
    </row>
    <row r="671" spans="1:5" x14ac:dyDescent="0.2">
      <c r="A671" s="1">
        <v>42593</v>
      </c>
      <c r="B671">
        <v>68225.67</v>
      </c>
      <c r="C671" s="6">
        <f t="shared" si="30"/>
        <v>3.0454235499227313E-3</v>
      </c>
      <c r="D671" s="7">
        <f t="shared" si="31"/>
        <v>0.23078852606804715</v>
      </c>
      <c r="E671" s="8">
        <f t="shared" si="32"/>
        <v>-0.69920296005117033</v>
      </c>
    </row>
    <row r="672" spans="1:5" x14ac:dyDescent="0.2">
      <c r="A672" s="1">
        <v>42594</v>
      </c>
      <c r="B672">
        <v>68981.75</v>
      </c>
      <c r="C672" s="6">
        <f t="shared" si="30"/>
        <v>1.1021089866026894E-2</v>
      </c>
      <c r="D672" s="7">
        <f t="shared" si="31"/>
        <v>0.9008717397246041</v>
      </c>
      <c r="E672" s="8">
        <f t="shared" si="32"/>
        <v>-1.4864240686802399</v>
      </c>
    </row>
    <row r="673" spans="1:5" x14ac:dyDescent="0.2">
      <c r="A673" s="1">
        <v>42597</v>
      </c>
      <c r="B673">
        <v>68524.75</v>
      </c>
      <c r="C673" s="6">
        <f t="shared" si="30"/>
        <v>-6.6469829806033746E-3</v>
      </c>
      <c r="D673" s="7">
        <f t="shared" si="31"/>
        <v>-0.5835282543276975</v>
      </c>
      <c r="E673" s="8">
        <f t="shared" si="32"/>
        <v>-1.0272500514812957</v>
      </c>
    </row>
    <row r="674" spans="1:5" x14ac:dyDescent="0.2">
      <c r="A674" s="1">
        <v>42598</v>
      </c>
      <c r="B674">
        <v>68621.05</v>
      </c>
      <c r="C674" s="6">
        <f t="shared" si="30"/>
        <v>1.4043450959020892E-3</v>
      </c>
      <c r="D674" s="7">
        <f t="shared" si="31"/>
        <v>9.2911754303875438E-2</v>
      </c>
      <c r="E674" s="8">
        <f t="shared" si="32"/>
        <v>-0.64412728239309214</v>
      </c>
    </row>
    <row r="675" spans="1:5" x14ac:dyDescent="0.2">
      <c r="A675" s="1">
        <v>42599</v>
      </c>
      <c r="B675">
        <v>69187.399999999994</v>
      </c>
      <c r="C675" s="6">
        <f t="shared" si="30"/>
        <v>8.219426145466481E-3</v>
      </c>
      <c r="D675" s="7">
        <f t="shared" si="31"/>
        <v>0.66548728969220516</v>
      </c>
      <c r="E675" s="8">
        <f t="shared" si="32"/>
        <v>-1.1344667223873828</v>
      </c>
    </row>
    <row r="676" spans="1:5" x14ac:dyDescent="0.2">
      <c r="A676" s="1">
        <v>42600</v>
      </c>
      <c r="B676">
        <v>69767.199999999997</v>
      </c>
      <c r="C676" s="6">
        <f t="shared" si="30"/>
        <v>8.3452201639844202E-3</v>
      </c>
      <c r="D676" s="7">
        <f t="shared" si="31"/>
        <v>0.67605599415481199</v>
      </c>
      <c r="E676" s="8">
        <f t="shared" si="32"/>
        <v>-1.1489600305748957</v>
      </c>
    </row>
    <row r="677" spans="1:5" x14ac:dyDescent="0.2">
      <c r="A677" s="1">
        <v>42601</v>
      </c>
      <c r="B677">
        <v>69628.570000000007</v>
      </c>
      <c r="C677" s="6">
        <f t="shared" si="30"/>
        <v>-1.9890136652454143E-3</v>
      </c>
      <c r="D677" s="7">
        <f t="shared" si="31"/>
        <v>-0.19218451899032132</v>
      </c>
      <c r="E677" s="8">
        <f t="shared" si="32"/>
        <v>-0.679193865411998</v>
      </c>
    </row>
    <row r="678" spans="1:5" x14ac:dyDescent="0.2">
      <c r="A678" s="1">
        <v>42604</v>
      </c>
      <c r="B678">
        <v>70243.899999999994</v>
      </c>
      <c r="C678" s="6">
        <f t="shared" si="30"/>
        <v>8.7985000846976108E-3</v>
      </c>
      <c r="D678" s="7">
        <f t="shared" si="31"/>
        <v>0.71413873908412195</v>
      </c>
      <c r="E678" s="8">
        <f t="shared" si="32"/>
        <v>-1.2023465290742323</v>
      </c>
    </row>
    <row r="679" spans="1:5" x14ac:dyDescent="0.2">
      <c r="A679" s="1">
        <v>42605</v>
      </c>
      <c r="B679">
        <v>70188.34</v>
      </c>
      <c r="C679" s="6">
        <f t="shared" si="30"/>
        <v>-7.9127133340446286E-4</v>
      </c>
      <c r="D679" s="7">
        <f t="shared" si="31"/>
        <v>-9.1555054436127312E-2</v>
      </c>
      <c r="E679" s="8">
        <f t="shared" si="32"/>
        <v>-0.6438149942408834</v>
      </c>
    </row>
    <row r="680" spans="1:5" x14ac:dyDescent="0.2">
      <c r="A680" s="1">
        <v>42606</v>
      </c>
      <c r="B680">
        <v>71734.039999999994</v>
      </c>
      <c r="C680" s="6">
        <f t="shared" si="30"/>
        <v>2.1783190502054586E-2</v>
      </c>
      <c r="D680" s="7">
        <f t="shared" si="31"/>
        <v>1.8050598907914959</v>
      </c>
      <c r="E680" s="8">
        <f t="shared" si="32"/>
        <v>-3.0524038623329912</v>
      </c>
    </row>
    <row r="681" spans="1:5" x14ac:dyDescent="0.2">
      <c r="A681" s="1">
        <v>42607</v>
      </c>
      <c r="B681">
        <v>71614.67</v>
      </c>
      <c r="C681" s="6">
        <f t="shared" si="30"/>
        <v>-1.6654496240893258E-3</v>
      </c>
      <c r="D681" s="7">
        <f t="shared" si="31"/>
        <v>-0.16499997741994618</v>
      </c>
      <c r="E681" s="8">
        <f t="shared" si="32"/>
        <v>-0.66721872821877759</v>
      </c>
    </row>
    <row r="682" spans="1:5" x14ac:dyDescent="0.2">
      <c r="A682" s="1">
        <v>42608</v>
      </c>
      <c r="B682">
        <v>71453.73</v>
      </c>
      <c r="C682" s="6">
        <f t="shared" si="30"/>
        <v>-2.2498338960459914E-3</v>
      </c>
      <c r="D682" s="7">
        <f t="shared" si="31"/>
        <v>-0.21409757948140584</v>
      </c>
      <c r="E682" s="8">
        <f t="shared" si="32"/>
        <v>-0.69012345514077011</v>
      </c>
    </row>
    <row r="683" spans="1:5" x14ac:dyDescent="0.2">
      <c r="A683" s="1">
        <v>42611</v>
      </c>
      <c r="B683">
        <v>71905.34</v>
      </c>
      <c r="C683" s="6">
        <f t="shared" si="30"/>
        <v>6.3004244363521842E-3</v>
      </c>
      <c r="D683" s="7">
        <f t="shared" si="31"/>
        <v>0.50426053053613173</v>
      </c>
      <c r="E683" s="8">
        <f t="shared" si="32"/>
        <v>-0.93322241808524464</v>
      </c>
    </row>
    <row r="684" spans="1:5" x14ac:dyDescent="0.2">
      <c r="A684" s="1">
        <v>42612</v>
      </c>
      <c r="B684">
        <v>71982.83</v>
      </c>
      <c r="C684" s="6">
        <f t="shared" si="30"/>
        <v>1.0770865664835596E-3</v>
      </c>
      <c r="D684" s="7">
        <f t="shared" si="31"/>
        <v>6.5416816777902939E-2</v>
      </c>
      <c r="E684" s="8">
        <f t="shared" si="32"/>
        <v>-0.63868963095537923</v>
      </c>
    </row>
    <row r="685" spans="1:5" x14ac:dyDescent="0.2">
      <c r="A685" s="1">
        <v>42613</v>
      </c>
      <c r="B685">
        <v>71375.149999999994</v>
      </c>
      <c r="C685" s="6">
        <f t="shared" si="30"/>
        <v>-8.4778488046633356E-3</v>
      </c>
      <c r="D685" s="7">
        <f t="shared" si="31"/>
        <v>-0.7373501930267734</v>
      </c>
      <c r="E685" s="8">
        <f t="shared" si="32"/>
        <v>-1.2357351765358431</v>
      </c>
    </row>
    <row r="686" spans="1:5" x14ac:dyDescent="0.2">
      <c r="A686" s="1">
        <v>42614</v>
      </c>
      <c r="B686">
        <v>71318.97</v>
      </c>
      <c r="C686" s="6">
        <f t="shared" si="30"/>
        <v>-7.8741861126098358E-4</v>
      </c>
      <c r="D686" s="7">
        <f t="shared" si="31"/>
        <v>-9.1231364310072824E-2</v>
      </c>
      <c r="E686" s="8">
        <f t="shared" si="32"/>
        <v>-0.6437411595499577</v>
      </c>
    </row>
    <row r="687" spans="1:5" x14ac:dyDescent="0.2">
      <c r="A687" s="1">
        <v>42615</v>
      </c>
      <c r="B687">
        <v>72470.350000000006</v>
      </c>
      <c r="C687" s="6">
        <f t="shared" si="30"/>
        <v>1.6015161755296509E-2</v>
      </c>
      <c r="D687" s="7">
        <f t="shared" si="31"/>
        <v>1.320453453422511</v>
      </c>
      <c r="E687" s="8">
        <f t="shared" si="32"/>
        <v>-2.202841088130929</v>
      </c>
    </row>
    <row r="688" spans="1:5" x14ac:dyDescent="0.2">
      <c r="A688" s="1">
        <v>42618</v>
      </c>
      <c r="B688">
        <v>72531.44</v>
      </c>
      <c r="C688" s="6">
        <f t="shared" si="30"/>
        <v>8.4261033763029854E-4</v>
      </c>
      <c r="D688" s="7">
        <f t="shared" si="31"/>
        <v>4.5717072740365204E-2</v>
      </c>
      <c r="E688" s="8">
        <f t="shared" si="32"/>
        <v>-0.63595046769212893</v>
      </c>
    </row>
    <row r="689" spans="1:5" x14ac:dyDescent="0.2">
      <c r="A689" s="1">
        <v>42619</v>
      </c>
      <c r="B689">
        <v>72332.91</v>
      </c>
      <c r="C689" s="6">
        <f t="shared" si="30"/>
        <v>-2.7409107111521672E-3</v>
      </c>
      <c r="D689" s="7">
        <f t="shared" si="31"/>
        <v>-0.25535586654817327</v>
      </c>
      <c r="E689" s="8">
        <f t="shared" si="32"/>
        <v>-0.71373748623531241</v>
      </c>
    </row>
    <row r="690" spans="1:5" x14ac:dyDescent="0.2">
      <c r="A690" s="1">
        <v>42620</v>
      </c>
      <c r="B690">
        <v>71893.81</v>
      </c>
      <c r="C690" s="6">
        <f t="shared" si="30"/>
        <v>-6.0890430939303007E-3</v>
      </c>
      <c r="D690" s="7">
        <f t="shared" si="31"/>
        <v>-0.53665240252153912</v>
      </c>
      <c r="E690" s="8">
        <f t="shared" si="32"/>
        <v>-0.97041289575884748</v>
      </c>
    </row>
    <row r="691" spans="1:5" x14ac:dyDescent="0.2">
      <c r="A691" s="1">
        <v>42621</v>
      </c>
      <c r="B691">
        <v>71505.11</v>
      </c>
      <c r="C691" s="6">
        <f t="shared" si="30"/>
        <v>-5.4212535490544599E-3</v>
      </c>
      <c r="D691" s="7">
        <f t="shared" si="31"/>
        <v>-0.48054742689422014</v>
      </c>
      <c r="E691" s="8">
        <f t="shared" si="32"/>
        <v>-0.90713514081266333</v>
      </c>
    </row>
    <row r="692" spans="1:5" x14ac:dyDescent="0.2">
      <c r="A692" s="1">
        <v>42622</v>
      </c>
      <c r="B692">
        <v>71587.789999999994</v>
      </c>
      <c r="C692" s="6">
        <f t="shared" si="30"/>
        <v>1.1556130206485048E-3</v>
      </c>
      <c r="D692" s="7">
        <f t="shared" si="31"/>
        <v>7.2014291732146449E-2</v>
      </c>
      <c r="E692" s="8">
        <f t="shared" si="32"/>
        <v>-0.63982317055182125</v>
      </c>
    </row>
    <row r="693" spans="1:5" x14ac:dyDescent="0.2">
      <c r="A693" s="1">
        <v>42625</v>
      </c>
      <c r="B693">
        <v>71199.14</v>
      </c>
      <c r="C693" s="6">
        <f t="shared" si="30"/>
        <v>-5.4437890050280978E-3</v>
      </c>
      <c r="D693" s="7">
        <f t="shared" si="31"/>
        <v>-0.48244076472475855</v>
      </c>
      <c r="E693" s="8">
        <f t="shared" si="32"/>
        <v>-0.90918173386981016</v>
      </c>
    </row>
    <row r="694" spans="1:5" x14ac:dyDescent="0.2">
      <c r="A694" s="1">
        <v>42626</v>
      </c>
      <c r="B694">
        <v>71276.86</v>
      </c>
      <c r="C694" s="6">
        <f t="shared" si="30"/>
        <v>1.0909908715703207E-3</v>
      </c>
      <c r="D694" s="7">
        <f t="shared" si="31"/>
        <v>6.6585000233294681E-2</v>
      </c>
      <c r="E694" s="8">
        <f t="shared" si="32"/>
        <v>-0.63888244857051912</v>
      </c>
    </row>
    <row r="695" spans="1:5" x14ac:dyDescent="0.2">
      <c r="A695" s="1">
        <v>42627</v>
      </c>
      <c r="B695">
        <v>70717.289999999994</v>
      </c>
      <c r="C695" s="6">
        <f t="shared" si="30"/>
        <v>-7.8816331054613609E-3</v>
      </c>
      <c r="D695" s="7">
        <f t="shared" si="31"/>
        <v>-0.6872585623191213</v>
      </c>
      <c r="E695" s="8">
        <f t="shared" si="32"/>
        <v>-1.1644783080717742</v>
      </c>
    </row>
    <row r="696" spans="1:5" x14ac:dyDescent="0.2">
      <c r="A696" s="1">
        <v>42628</v>
      </c>
      <c r="B696">
        <v>70234.03</v>
      </c>
      <c r="C696" s="6">
        <f t="shared" si="30"/>
        <v>-6.8571460500047093E-3</v>
      </c>
      <c r="D696" s="7">
        <f t="shared" si="31"/>
        <v>-0.60118530508119017</v>
      </c>
      <c r="E696" s="8">
        <f t="shared" si="32"/>
        <v>-1.0495369889980637</v>
      </c>
    </row>
    <row r="697" spans="1:5" x14ac:dyDescent="0.2">
      <c r="A697" s="1">
        <v>42629</v>
      </c>
      <c r="B697">
        <v>69752.41</v>
      </c>
      <c r="C697" s="6">
        <f t="shared" si="30"/>
        <v>-6.8809793335057757E-3</v>
      </c>
      <c r="D697" s="7">
        <f t="shared" si="31"/>
        <v>-0.60318768112946286</v>
      </c>
      <c r="E697" s="8">
        <f t="shared" si="32"/>
        <v>-1.0520936046150173</v>
      </c>
    </row>
    <row r="698" spans="1:5" x14ac:dyDescent="0.2">
      <c r="A698" s="1">
        <v>42632</v>
      </c>
      <c r="B698">
        <v>69588.2</v>
      </c>
      <c r="C698" s="6">
        <f t="shared" si="30"/>
        <v>-2.3569593389761775E-3</v>
      </c>
      <c r="D698" s="7">
        <f t="shared" si="31"/>
        <v>-0.22309782575777018</v>
      </c>
      <c r="E698" s="8">
        <f t="shared" si="32"/>
        <v>-0.69493886778308811</v>
      </c>
    </row>
    <row r="699" spans="1:5" x14ac:dyDescent="0.2">
      <c r="A699" s="1">
        <v>42633</v>
      </c>
      <c r="B699">
        <v>68527.66</v>
      </c>
      <c r="C699" s="6">
        <f t="shared" si="30"/>
        <v>-1.5357553351813616E-2</v>
      </c>
      <c r="D699" s="7">
        <f t="shared" si="31"/>
        <v>-1.3153551332101161</v>
      </c>
      <c r="E699" s="8">
        <f t="shared" si="32"/>
        <v>-2.1938457198966494</v>
      </c>
    </row>
    <row r="700" spans="1:5" x14ac:dyDescent="0.2">
      <c r="A700" s="1">
        <v>42634</v>
      </c>
      <c r="B700">
        <v>67177.100000000006</v>
      </c>
      <c r="C700" s="6">
        <f t="shared" si="30"/>
        <v>-1.9905043742114641E-2</v>
      </c>
      <c r="D700" s="7">
        <f t="shared" si="31"/>
        <v>-1.6974168762713118</v>
      </c>
      <c r="E700" s="8">
        <f t="shared" si="32"/>
        <v>-2.8664064183622</v>
      </c>
    </row>
    <row r="701" spans="1:5" x14ac:dyDescent="0.2">
      <c r="A701" s="1">
        <v>42635</v>
      </c>
      <c r="B701">
        <v>68475.58</v>
      </c>
      <c r="C701" s="6">
        <f t="shared" si="30"/>
        <v>1.91447697148933E-2</v>
      </c>
      <c r="D701" s="7">
        <f t="shared" si="31"/>
        <v>1.5833904515285346</v>
      </c>
      <c r="E701" s="8">
        <f t="shared" si="32"/>
        <v>-2.6670430688554316</v>
      </c>
    </row>
    <row r="702" spans="1:5" x14ac:dyDescent="0.2">
      <c r="A702" s="1">
        <v>42636</v>
      </c>
      <c r="B702">
        <v>68669.91</v>
      </c>
      <c r="C702" s="6">
        <f t="shared" si="30"/>
        <v>2.8339266578522289E-3</v>
      </c>
      <c r="D702" s="7">
        <f t="shared" si="31"/>
        <v>0.21301941293065077</v>
      </c>
      <c r="E702" s="8">
        <f t="shared" si="32"/>
        <v>-0.68955929247250936</v>
      </c>
    </row>
    <row r="703" spans="1:5" x14ac:dyDescent="0.2">
      <c r="A703" s="1">
        <v>42639</v>
      </c>
      <c r="B703">
        <v>68014.58</v>
      </c>
      <c r="C703" s="6">
        <f t="shared" si="30"/>
        <v>-9.589018057841318E-3</v>
      </c>
      <c r="D703" s="7">
        <f t="shared" si="31"/>
        <v>-0.83070613779372537</v>
      </c>
      <c r="E703" s="8">
        <f t="shared" si="32"/>
        <v>-1.3758352249081769</v>
      </c>
    </row>
    <row r="704" spans="1:5" x14ac:dyDescent="0.2">
      <c r="A704" s="1">
        <v>42640</v>
      </c>
      <c r="B704">
        <v>67308.62</v>
      </c>
      <c r="C704" s="6">
        <f t="shared" si="30"/>
        <v>-1.0433782299657525E-2</v>
      </c>
      <c r="D704" s="7">
        <f t="shared" si="31"/>
        <v>-0.90167981140333675</v>
      </c>
      <c r="E704" s="8">
        <f t="shared" si="32"/>
        <v>-1.4877206017124651</v>
      </c>
    </row>
    <row r="705" spans="1:5" x14ac:dyDescent="0.2">
      <c r="A705" s="1">
        <v>42641</v>
      </c>
      <c r="B705">
        <v>68709.64</v>
      </c>
      <c r="C705" s="6">
        <f t="shared" si="30"/>
        <v>2.0601197958999427E-2</v>
      </c>
      <c r="D705" s="7">
        <f t="shared" si="31"/>
        <v>1.7057536597661025</v>
      </c>
      <c r="E705" s="8">
        <f t="shared" si="32"/>
        <v>-2.8808958044031479</v>
      </c>
    </row>
    <row r="706" spans="1:5" x14ac:dyDescent="0.2">
      <c r="A706" s="1">
        <v>42642</v>
      </c>
      <c r="B706">
        <v>69519.67</v>
      </c>
      <c r="C706" s="6">
        <f t="shared" si="30"/>
        <v>1.1720224493190042E-2</v>
      </c>
      <c r="D706" s="7">
        <f t="shared" si="31"/>
        <v>0.9596102023408406</v>
      </c>
      <c r="E706" s="8">
        <f t="shared" si="32"/>
        <v>-1.581874037426841</v>
      </c>
    </row>
    <row r="707" spans="1:5" x14ac:dyDescent="0.2">
      <c r="A707" s="1">
        <v>42643</v>
      </c>
      <c r="B707">
        <v>68217.66</v>
      </c>
      <c r="C707" s="6">
        <f t="shared" ref="C707:C770" si="33">LN(B707/B706)</f>
        <v>-1.8906258499769884E-2</v>
      </c>
      <c r="D707" s="7">
        <f t="shared" ref="D707:D770" si="34">(C707-$G$4)/$G$5</f>
        <v>-1.6135029813793258</v>
      </c>
      <c r="E707" s="8">
        <f t="shared" ref="E707:E770" si="35">LN((PI()*(G$3-2))^(-1/2)*EXP(GAMMALN((G$3+1)/2))*((1+D707^2/(G$3-2))^(-(G$3+1)/2))/EXP(GAMMALN(G$3/2)))</f>
        <v>-2.719886348687429</v>
      </c>
    </row>
    <row r="708" spans="1:5" x14ac:dyDescent="0.2">
      <c r="A708" s="1">
        <v>42646</v>
      </c>
      <c r="B708">
        <v>67604.259999999995</v>
      </c>
      <c r="C708" s="6">
        <f t="shared" si="33"/>
        <v>-9.0324767957948998E-3</v>
      </c>
      <c r="D708" s="7">
        <f t="shared" si="34"/>
        <v>-0.78394779276974458</v>
      </c>
      <c r="E708" s="8">
        <f t="shared" si="35"/>
        <v>-1.3045618620649366</v>
      </c>
    </row>
    <row r="709" spans="1:5" x14ac:dyDescent="0.2">
      <c r="A709" s="1">
        <v>42647</v>
      </c>
      <c r="B709">
        <v>68247.69</v>
      </c>
      <c r="C709" s="6">
        <f t="shared" si="33"/>
        <v>9.4725885235665136E-3</v>
      </c>
      <c r="D709" s="7">
        <f t="shared" si="34"/>
        <v>0.77077292229887862</v>
      </c>
      <c r="E709" s="8">
        <f t="shared" si="35"/>
        <v>-1.284868695808937</v>
      </c>
    </row>
    <row r="710" spans="1:5" x14ac:dyDescent="0.2">
      <c r="A710" s="1">
        <v>42648</v>
      </c>
      <c r="B710">
        <v>68112.84</v>
      </c>
      <c r="C710" s="6">
        <f t="shared" si="33"/>
        <v>-1.9778457000670675E-3</v>
      </c>
      <c r="D710" s="7">
        <f t="shared" si="34"/>
        <v>-0.19124623174257116</v>
      </c>
      <c r="E710" s="8">
        <f t="shared" si="35"/>
        <v>-0.67875118971913317</v>
      </c>
    </row>
    <row r="711" spans="1:5" x14ac:dyDescent="0.2">
      <c r="A711" s="1">
        <v>42649</v>
      </c>
      <c r="B711">
        <v>67310.48</v>
      </c>
      <c r="C711" s="6">
        <f t="shared" si="33"/>
        <v>-1.184979645709335E-2</v>
      </c>
      <c r="D711" s="7">
        <f t="shared" si="34"/>
        <v>-1.0206475915976889</v>
      </c>
      <c r="E711" s="8">
        <f t="shared" si="35"/>
        <v>-1.683360380785083</v>
      </c>
    </row>
    <row r="712" spans="1:5" x14ac:dyDescent="0.2">
      <c r="A712" s="1">
        <v>42650</v>
      </c>
      <c r="B712">
        <v>67469.69</v>
      </c>
      <c r="C712" s="6">
        <f t="shared" si="33"/>
        <v>2.3625148128575846E-3</v>
      </c>
      <c r="D712" s="7">
        <f t="shared" si="34"/>
        <v>0.1734132970865169</v>
      </c>
      <c r="E712" s="8">
        <f t="shared" si="35"/>
        <v>-0.6707360889540096</v>
      </c>
    </row>
    <row r="713" spans="1:5" x14ac:dyDescent="0.2">
      <c r="A713" s="1">
        <v>42653</v>
      </c>
      <c r="B713">
        <v>67349.38</v>
      </c>
      <c r="C713" s="6">
        <f t="shared" si="33"/>
        <v>-1.784762822293149E-3</v>
      </c>
      <c r="D713" s="7">
        <f t="shared" si="34"/>
        <v>-0.17502418958170982</v>
      </c>
      <c r="E713" s="8">
        <f t="shared" si="35"/>
        <v>-0.67142891991890186</v>
      </c>
    </row>
    <row r="714" spans="1:5" x14ac:dyDescent="0.2">
      <c r="A714" s="1">
        <v>42654</v>
      </c>
      <c r="B714">
        <v>68002.64</v>
      </c>
      <c r="C714" s="6">
        <f t="shared" si="33"/>
        <v>9.6528307800717375E-3</v>
      </c>
      <c r="D714" s="7">
        <f t="shared" si="34"/>
        <v>0.78591614741498717</v>
      </c>
      <c r="E714" s="8">
        <f t="shared" si="35"/>
        <v>-1.3075192790728385</v>
      </c>
    </row>
    <row r="715" spans="1:5" x14ac:dyDescent="0.2">
      <c r="A715" s="1">
        <v>42655</v>
      </c>
      <c r="B715">
        <v>67603.59</v>
      </c>
      <c r="C715" s="6">
        <f t="shared" si="33"/>
        <v>-5.8854398042113348E-3</v>
      </c>
      <c r="D715" s="7">
        <f t="shared" si="34"/>
        <v>-0.5195464779155341</v>
      </c>
      <c r="E715" s="8">
        <f t="shared" si="35"/>
        <v>-0.95055338441668369</v>
      </c>
    </row>
    <row r="716" spans="1:5" x14ac:dyDescent="0.2">
      <c r="A716" s="1">
        <v>42656</v>
      </c>
      <c r="B716">
        <v>66204.039999999994</v>
      </c>
      <c r="C716" s="6">
        <f t="shared" si="33"/>
        <v>-2.0919599876481825E-2</v>
      </c>
      <c r="D716" s="7">
        <f t="shared" si="34"/>
        <v>-1.7826557777006549</v>
      </c>
      <c r="E716" s="8">
        <f t="shared" si="35"/>
        <v>-3.0138954523215093</v>
      </c>
    </row>
    <row r="717" spans="1:5" x14ac:dyDescent="0.2">
      <c r="A717" s="1">
        <v>42657</v>
      </c>
      <c r="B717">
        <v>67583.72</v>
      </c>
      <c r="C717" s="6">
        <f t="shared" si="33"/>
        <v>2.0625637371523703E-2</v>
      </c>
      <c r="D717" s="7">
        <f t="shared" si="34"/>
        <v>1.7078069603224559</v>
      </c>
      <c r="E717" s="8">
        <f t="shared" si="35"/>
        <v>-2.8844624298849322</v>
      </c>
    </row>
    <row r="718" spans="1:5" x14ac:dyDescent="0.2">
      <c r="A718" s="1">
        <v>42660</v>
      </c>
      <c r="B718">
        <v>66726.350000000006</v>
      </c>
      <c r="C718" s="6">
        <f t="shared" si="33"/>
        <v>-1.2767198260077077E-2</v>
      </c>
      <c r="D718" s="7">
        <f t="shared" si="34"/>
        <v>-1.0977239791988609</v>
      </c>
      <c r="E718" s="8">
        <f t="shared" si="35"/>
        <v>-1.8142120022988064</v>
      </c>
    </row>
    <row r="719" spans="1:5" x14ac:dyDescent="0.2">
      <c r="A719" s="1">
        <v>42661</v>
      </c>
      <c r="B719">
        <v>67079.11</v>
      </c>
      <c r="C719" s="6">
        <f t="shared" si="33"/>
        <v>5.2727417443208385E-3</v>
      </c>
      <c r="D719" s="7">
        <f t="shared" si="34"/>
        <v>0.41791878884301148</v>
      </c>
      <c r="E719" s="8">
        <f t="shared" si="35"/>
        <v>-0.84313340294535988</v>
      </c>
    </row>
    <row r="720" spans="1:5" x14ac:dyDescent="0.2">
      <c r="A720" s="1">
        <v>42662</v>
      </c>
      <c r="B720">
        <v>67821.149999999994</v>
      </c>
      <c r="C720" s="6">
        <f t="shared" si="33"/>
        <v>1.1001424076707029E-2</v>
      </c>
      <c r="D720" s="7">
        <f t="shared" si="34"/>
        <v>0.89921949967540094</v>
      </c>
      <c r="E720" s="8">
        <f t="shared" si="35"/>
        <v>-1.4837746110822385</v>
      </c>
    </row>
    <row r="721" spans="1:5" x14ac:dyDescent="0.2">
      <c r="A721" s="1">
        <v>42663</v>
      </c>
      <c r="B721">
        <v>67767.92</v>
      </c>
      <c r="C721" s="6">
        <f t="shared" si="33"/>
        <v>-7.8516657330307224E-4</v>
      </c>
      <c r="D721" s="7">
        <f t="shared" si="34"/>
        <v>-9.1042157192785717E-2</v>
      </c>
      <c r="E721" s="8">
        <f t="shared" si="35"/>
        <v>-0.64369812093296819</v>
      </c>
    </row>
    <row r="722" spans="1:5" x14ac:dyDescent="0.2">
      <c r="A722" s="1">
        <v>42664</v>
      </c>
      <c r="B722">
        <v>67697.77</v>
      </c>
      <c r="C722" s="6">
        <f t="shared" si="33"/>
        <v>-1.0356866933687819E-3</v>
      </c>
      <c r="D722" s="7">
        <f t="shared" si="34"/>
        <v>-0.11208984405504849</v>
      </c>
      <c r="E722" s="8">
        <f t="shared" si="35"/>
        <v>-0.64902803135540355</v>
      </c>
    </row>
    <row r="723" spans="1:5" x14ac:dyDescent="0.2">
      <c r="A723" s="1">
        <v>42667</v>
      </c>
      <c r="B723">
        <v>68056.759999999995</v>
      </c>
      <c r="C723" s="6">
        <f t="shared" si="33"/>
        <v>5.2888229482252235E-3</v>
      </c>
      <c r="D723" s="7">
        <f t="shared" si="34"/>
        <v>0.41926986652914267</v>
      </c>
      <c r="E723" s="8">
        <f t="shared" si="35"/>
        <v>-0.84443623278302682</v>
      </c>
    </row>
    <row r="724" spans="1:5" x14ac:dyDescent="0.2">
      <c r="A724" s="1">
        <v>42668</v>
      </c>
      <c r="B724">
        <v>68102.039999999994</v>
      </c>
      <c r="C724" s="6">
        <f t="shared" si="33"/>
        <v>6.6510576869349409E-4</v>
      </c>
      <c r="D724" s="7">
        <f t="shared" si="34"/>
        <v>3.0803857056839069E-2</v>
      </c>
      <c r="E724" s="8">
        <f t="shared" si="35"/>
        <v>-0.63452149140621761</v>
      </c>
    </row>
    <row r="725" spans="1:5" x14ac:dyDescent="0.2">
      <c r="A725" s="1">
        <v>42669</v>
      </c>
      <c r="B725">
        <v>67649.41</v>
      </c>
      <c r="C725" s="6">
        <f t="shared" si="33"/>
        <v>-6.6685354351078202E-3</v>
      </c>
      <c r="D725" s="7">
        <f t="shared" si="34"/>
        <v>-0.58533900435210173</v>
      </c>
      <c r="E725" s="8">
        <f t="shared" si="35"/>
        <v>-1.029514101812089</v>
      </c>
    </row>
    <row r="726" spans="1:5" x14ac:dyDescent="0.2">
      <c r="A726" s="1">
        <v>42670</v>
      </c>
      <c r="B726">
        <v>67154.179999999993</v>
      </c>
      <c r="C726" s="6">
        <f t="shared" si="33"/>
        <v>-7.3474634900010851E-3</v>
      </c>
      <c r="D726" s="7">
        <f t="shared" si="34"/>
        <v>-0.64237979252372823</v>
      </c>
      <c r="E726" s="8">
        <f t="shared" si="35"/>
        <v>-1.1032901128106731</v>
      </c>
    </row>
    <row r="727" spans="1:5" x14ac:dyDescent="0.2">
      <c r="A727" s="1">
        <v>42671</v>
      </c>
      <c r="B727">
        <v>66732.240000000005</v>
      </c>
      <c r="C727" s="6">
        <f t="shared" si="33"/>
        <v>-6.302975266409762E-3</v>
      </c>
      <c r="D727" s="7">
        <f t="shared" si="34"/>
        <v>-0.55462611806554507</v>
      </c>
      <c r="E727" s="8">
        <f t="shared" si="35"/>
        <v>-0.9917955360894547</v>
      </c>
    </row>
    <row r="728" spans="1:5" x14ac:dyDescent="0.2">
      <c r="A728" s="1">
        <v>42674</v>
      </c>
      <c r="B728">
        <v>66098.75</v>
      </c>
      <c r="C728" s="6">
        <f t="shared" si="33"/>
        <v>-9.5383585248848442E-3</v>
      </c>
      <c r="D728" s="7">
        <f t="shared" si="34"/>
        <v>-0.82644992880749035</v>
      </c>
      <c r="E728" s="8">
        <f t="shared" si="35"/>
        <v>-1.369262273615397</v>
      </c>
    </row>
    <row r="729" spans="1:5" x14ac:dyDescent="0.2">
      <c r="A729" s="1">
        <v>42675</v>
      </c>
      <c r="B729">
        <v>66364.55</v>
      </c>
      <c r="C729" s="6">
        <f t="shared" si="33"/>
        <v>4.0131924350588783E-3</v>
      </c>
      <c r="D729" s="7">
        <f t="shared" si="34"/>
        <v>0.31209655212217818</v>
      </c>
      <c r="E729" s="8">
        <f t="shared" si="35"/>
        <v>-0.75250431398794104</v>
      </c>
    </row>
    <row r="730" spans="1:5" x14ac:dyDescent="0.2">
      <c r="A730" s="1">
        <v>42676</v>
      </c>
      <c r="B730">
        <v>65428.67</v>
      </c>
      <c r="C730" s="6">
        <f t="shared" si="33"/>
        <v>-1.4202486764632878E-2</v>
      </c>
      <c r="D730" s="7">
        <f t="shared" si="34"/>
        <v>-1.21831111205259</v>
      </c>
      <c r="E730" s="8">
        <f t="shared" si="35"/>
        <v>-2.0232626088498136</v>
      </c>
    </row>
    <row r="731" spans="1:5" x14ac:dyDescent="0.2">
      <c r="A731" s="1">
        <v>42677</v>
      </c>
      <c r="B731">
        <v>65139.58</v>
      </c>
      <c r="C731" s="6">
        <f t="shared" si="33"/>
        <v>-4.4281894318666318E-3</v>
      </c>
      <c r="D731" s="7">
        <f t="shared" si="34"/>
        <v>-0.39711419778976159</v>
      </c>
      <c r="E731" s="8">
        <f t="shared" si="35"/>
        <v>-0.8235207183225568</v>
      </c>
    </row>
    <row r="732" spans="1:5" x14ac:dyDescent="0.2">
      <c r="A732" s="1">
        <v>42678</v>
      </c>
      <c r="B732">
        <v>64655.03</v>
      </c>
      <c r="C732" s="6">
        <f t="shared" si="33"/>
        <v>-7.4664464271438687E-3</v>
      </c>
      <c r="D732" s="7">
        <f t="shared" si="34"/>
        <v>-0.65237625748740757</v>
      </c>
      <c r="E732" s="8">
        <f t="shared" si="35"/>
        <v>-1.1166898332685475</v>
      </c>
    </row>
    <row r="733" spans="1:5" x14ac:dyDescent="0.2">
      <c r="A733" s="1">
        <v>42681</v>
      </c>
      <c r="B733">
        <v>65547.8</v>
      </c>
      <c r="C733" s="6">
        <f t="shared" si="33"/>
        <v>1.3713741731256968E-2</v>
      </c>
      <c r="D733" s="7">
        <f t="shared" si="34"/>
        <v>1.1270974547433623</v>
      </c>
      <c r="E733" s="8">
        <f t="shared" si="35"/>
        <v>-1.8647210541711186</v>
      </c>
    </row>
    <row r="734" spans="1:5" x14ac:dyDescent="0.2">
      <c r="A734" s="1">
        <v>42682</v>
      </c>
      <c r="B734">
        <v>65793.990000000005</v>
      </c>
      <c r="C734" s="6">
        <f t="shared" si="33"/>
        <v>3.7488492935387955E-3</v>
      </c>
      <c r="D734" s="7">
        <f t="shared" si="34"/>
        <v>0.28988751092643644</v>
      </c>
      <c r="E734" s="8">
        <f t="shared" si="35"/>
        <v>-0.73648012930675333</v>
      </c>
    </row>
    <row r="735" spans="1:5" x14ac:dyDescent="0.2">
      <c r="A735" s="1">
        <v>42683</v>
      </c>
      <c r="B735">
        <v>65375.75</v>
      </c>
      <c r="C735" s="6">
        <f t="shared" si="33"/>
        <v>-6.3771021791247766E-3</v>
      </c>
      <c r="D735" s="7">
        <f t="shared" si="34"/>
        <v>-0.5608539613480833</v>
      </c>
      <c r="E735" s="8">
        <f t="shared" si="35"/>
        <v>-0.99932515534157695</v>
      </c>
    </row>
    <row r="736" spans="1:5" x14ac:dyDescent="0.2">
      <c r="A736" s="1">
        <v>42684</v>
      </c>
      <c r="B736">
        <v>65787.64</v>
      </c>
      <c r="C736" s="6">
        <f t="shared" si="33"/>
        <v>6.2805841468594461E-3</v>
      </c>
      <c r="D736" s="7">
        <f t="shared" si="34"/>
        <v>0.50259362968844634</v>
      </c>
      <c r="E736" s="8">
        <f t="shared" si="35"/>
        <v>-0.93135664112774141</v>
      </c>
    </row>
    <row r="737" spans="1:5" x14ac:dyDescent="0.2">
      <c r="A737" s="1">
        <v>42685</v>
      </c>
      <c r="B737">
        <v>64059.93</v>
      </c>
      <c r="C737" s="6">
        <f t="shared" si="33"/>
        <v>-2.6612927286629645E-2</v>
      </c>
      <c r="D737" s="7">
        <f t="shared" si="34"/>
        <v>-2.2609861110155913</v>
      </c>
      <c r="E737" s="8">
        <f t="shared" si="35"/>
        <v>-3.807164498287587</v>
      </c>
    </row>
    <row r="738" spans="1:5" x14ac:dyDescent="0.2">
      <c r="A738" s="1">
        <v>42688</v>
      </c>
      <c r="B738">
        <v>63087.46</v>
      </c>
      <c r="C738" s="6">
        <f t="shared" si="33"/>
        <v>-1.5297033828689292E-2</v>
      </c>
      <c r="D738" s="7">
        <f t="shared" si="34"/>
        <v>-1.3102705277443349</v>
      </c>
      <c r="E738" s="8">
        <f t="shared" si="35"/>
        <v>-2.1848769888830191</v>
      </c>
    </row>
    <row r="739" spans="1:5" x14ac:dyDescent="0.2">
      <c r="A739" s="1">
        <v>42689</v>
      </c>
      <c r="B739">
        <v>62965.120000000003</v>
      </c>
      <c r="C739" s="6">
        <f t="shared" si="33"/>
        <v>-1.9410953494682626E-3</v>
      </c>
      <c r="D739" s="7">
        <f t="shared" si="34"/>
        <v>-0.18815861598029571</v>
      </c>
      <c r="E739" s="8">
        <f t="shared" si="35"/>
        <v>-0.67730923038222579</v>
      </c>
    </row>
    <row r="740" spans="1:5" x14ac:dyDescent="0.2">
      <c r="A740" s="1">
        <v>42690</v>
      </c>
      <c r="B740">
        <v>64027.69</v>
      </c>
      <c r="C740" s="6">
        <f t="shared" si="33"/>
        <v>1.673472376425662E-2</v>
      </c>
      <c r="D740" s="7">
        <f t="shared" si="34"/>
        <v>1.3809081420064087</v>
      </c>
      <c r="E740" s="8">
        <f t="shared" si="35"/>
        <v>-2.3096439260028698</v>
      </c>
    </row>
    <row r="741" spans="1:5" x14ac:dyDescent="0.2">
      <c r="A741" s="1">
        <v>42691</v>
      </c>
      <c r="B741">
        <v>64758.34</v>
      </c>
      <c r="C741" s="6">
        <f t="shared" si="33"/>
        <v>1.1346849333100206E-2</v>
      </c>
      <c r="D741" s="7">
        <f t="shared" si="34"/>
        <v>0.92824073209766489</v>
      </c>
      <c r="E741" s="8">
        <f t="shared" si="35"/>
        <v>-1.5306023330669958</v>
      </c>
    </row>
    <row r="742" spans="1:5" x14ac:dyDescent="0.2">
      <c r="A742" s="1">
        <v>42692</v>
      </c>
      <c r="B742">
        <v>65229.95</v>
      </c>
      <c r="C742" s="6">
        <f t="shared" si="33"/>
        <v>7.2562239151931843E-3</v>
      </c>
      <c r="D742" s="7">
        <f t="shared" si="34"/>
        <v>0.58456293550257787</v>
      </c>
      <c r="E742" s="8">
        <f t="shared" si="35"/>
        <v>-1.0285431456920886</v>
      </c>
    </row>
    <row r="743" spans="1:5" x14ac:dyDescent="0.2">
      <c r="A743" s="1">
        <v>42695</v>
      </c>
      <c r="B743">
        <v>64681.26</v>
      </c>
      <c r="C743" s="6">
        <f t="shared" si="33"/>
        <v>-8.4472042505939482E-3</v>
      </c>
      <c r="D743" s="7">
        <f t="shared" si="34"/>
        <v>-0.734775561584329</v>
      </c>
      <c r="E743" s="8">
        <f t="shared" si="35"/>
        <v>-1.2320012494653774</v>
      </c>
    </row>
    <row r="744" spans="1:5" x14ac:dyDescent="0.2">
      <c r="A744" s="1">
        <v>42696</v>
      </c>
      <c r="B744">
        <v>64968.75</v>
      </c>
      <c r="C744" s="6">
        <f t="shared" si="33"/>
        <v>4.4348700196425502E-3</v>
      </c>
      <c r="D744" s="7">
        <f t="shared" si="34"/>
        <v>0.34752419663561895</v>
      </c>
      <c r="E744" s="8">
        <f t="shared" si="35"/>
        <v>-0.78026859491984257</v>
      </c>
    </row>
    <row r="745" spans="1:5" x14ac:dyDescent="0.2">
      <c r="A745" s="1">
        <v>42697</v>
      </c>
      <c r="B745">
        <v>63732.43</v>
      </c>
      <c r="C745" s="6">
        <f t="shared" si="33"/>
        <v>-1.9212846849709454E-2</v>
      </c>
      <c r="D745" s="7">
        <f t="shared" si="34"/>
        <v>-1.6392612940587756</v>
      </c>
      <c r="E745" s="8">
        <f t="shared" si="35"/>
        <v>-2.7649851655226634</v>
      </c>
    </row>
    <row r="746" spans="1:5" x14ac:dyDescent="0.2">
      <c r="A746" s="1">
        <v>42698</v>
      </c>
      <c r="B746">
        <v>63618.35</v>
      </c>
      <c r="C746" s="6">
        <f t="shared" si="33"/>
        <v>-1.7915874643933906E-3</v>
      </c>
      <c r="D746" s="7">
        <f t="shared" si="34"/>
        <v>-0.1755975683978912</v>
      </c>
      <c r="E746" s="8">
        <f t="shared" si="35"/>
        <v>-0.67167702433860621</v>
      </c>
    </row>
    <row r="747" spans="1:5" x14ac:dyDescent="0.2">
      <c r="A747" s="1">
        <v>42699</v>
      </c>
      <c r="B747">
        <v>64008.75</v>
      </c>
      <c r="C747" s="6">
        <f t="shared" si="33"/>
        <v>6.1178420203319454E-3</v>
      </c>
      <c r="D747" s="7">
        <f t="shared" si="34"/>
        <v>0.48892069468605553</v>
      </c>
      <c r="E747" s="8">
        <f t="shared" si="35"/>
        <v>-0.91623421297218322</v>
      </c>
    </row>
    <row r="748" spans="1:5" x14ac:dyDescent="0.2">
      <c r="A748" s="1">
        <v>42702</v>
      </c>
      <c r="B748">
        <v>63090.15</v>
      </c>
      <c r="C748" s="6">
        <f t="shared" si="33"/>
        <v>-1.4455136828751056E-2</v>
      </c>
      <c r="D748" s="7">
        <f t="shared" si="34"/>
        <v>-1.2395377481962069</v>
      </c>
      <c r="E748" s="8">
        <f t="shared" si="35"/>
        <v>-2.0604453291241098</v>
      </c>
    </row>
    <row r="749" spans="1:5" x14ac:dyDescent="0.2">
      <c r="A749" s="1">
        <v>42703</v>
      </c>
      <c r="B749">
        <v>63533.17</v>
      </c>
      <c r="C749" s="6">
        <f t="shared" si="33"/>
        <v>6.997475783962019E-3</v>
      </c>
      <c r="D749" s="7">
        <f t="shared" si="34"/>
        <v>0.56282396443342464</v>
      </c>
      <c r="E749" s="8">
        <f t="shared" si="35"/>
        <v>-1.0017196781526732</v>
      </c>
    </row>
    <row r="750" spans="1:5" x14ac:dyDescent="0.2">
      <c r="A750" s="1">
        <v>42704</v>
      </c>
      <c r="B750">
        <v>63174.73</v>
      </c>
      <c r="C750" s="6">
        <f t="shared" si="33"/>
        <v>-5.6577522971021929E-3</v>
      </c>
      <c r="D750" s="7">
        <f t="shared" si="34"/>
        <v>-0.50041709481119312</v>
      </c>
      <c r="E750" s="8">
        <f t="shared" si="35"/>
        <v>-0.92892763698618286</v>
      </c>
    </row>
    <row r="751" spans="1:5" x14ac:dyDescent="0.2">
      <c r="A751" s="1">
        <v>42705</v>
      </c>
      <c r="B751">
        <v>62752.31</v>
      </c>
      <c r="C751" s="6">
        <f t="shared" si="33"/>
        <v>-6.7089893392995072E-3</v>
      </c>
      <c r="D751" s="7">
        <f t="shared" si="34"/>
        <v>-0.58873777770235913</v>
      </c>
      <c r="E751" s="8">
        <f t="shared" si="35"/>
        <v>-1.0337770805629227</v>
      </c>
    </row>
    <row r="752" spans="1:5" x14ac:dyDescent="0.2">
      <c r="A752" s="1">
        <v>42706</v>
      </c>
      <c r="B752">
        <v>61738.89</v>
      </c>
      <c r="C752" s="6">
        <f t="shared" si="33"/>
        <v>-1.6281349790948082E-2</v>
      </c>
      <c r="D752" s="7">
        <f t="shared" si="34"/>
        <v>-1.3929687722674327</v>
      </c>
      <c r="E752" s="8">
        <f t="shared" si="35"/>
        <v>-2.330970017739503</v>
      </c>
    </row>
    <row r="753" spans="1:5" x14ac:dyDescent="0.2">
      <c r="A753" s="1">
        <v>42709</v>
      </c>
      <c r="B753">
        <v>62242</v>
      </c>
      <c r="C753" s="6">
        <f t="shared" si="33"/>
        <v>8.1159727375767141E-3</v>
      </c>
      <c r="D753" s="7">
        <f t="shared" si="34"/>
        <v>0.65679555294257153</v>
      </c>
      <c r="E753" s="8">
        <f t="shared" si="35"/>
        <v>-1.1226564272055175</v>
      </c>
    </row>
    <row r="754" spans="1:5" x14ac:dyDescent="0.2">
      <c r="A754" s="1">
        <v>42710</v>
      </c>
      <c r="B754">
        <v>61215.62</v>
      </c>
      <c r="C754" s="6">
        <f t="shared" si="33"/>
        <v>-1.6627627318821347E-2</v>
      </c>
      <c r="D754" s="7">
        <f t="shared" si="34"/>
        <v>-1.4220616090910909</v>
      </c>
      <c r="E754" s="8">
        <f t="shared" si="35"/>
        <v>-2.3824199747336463</v>
      </c>
    </row>
    <row r="755" spans="1:5" x14ac:dyDescent="0.2">
      <c r="A755" s="1">
        <v>42711</v>
      </c>
      <c r="B755">
        <v>61836.62</v>
      </c>
      <c r="C755" s="6">
        <f t="shared" si="33"/>
        <v>1.0093359894457749E-2</v>
      </c>
      <c r="D755" s="7">
        <f t="shared" si="34"/>
        <v>0.8229276211875316</v>
      </c>
      <c r="E755" s="8">
        <f t="shared" si="35"/>
        <v>-1.3638352024329181</v>
      </c>
    </row>
    <row r="756" spans="1:5" x14ac:dyDescent="0.2">
      <c r="A756" s="1">
        <v>42712</v>
      </c>
      <c r="B756">
        <v>63199.28</v>
      </c>
      <c r="C756" s="6">
        <f t="shared" si="33"/>
        <v>2.1797163077264842E-2</v>
      </c>
      <c r="D756" s="7">
        <f t="shared" si="34"/>
        <v>1.8062338100264368</v>
      </c>
      <c r="E756" s="8">
        <f t="shared" si="35"/>
        <v>-3.0544184651993738</v>
      </c>
    </row>
    <row r="757" spans="1:5" x14ac:dyDescent="0.2">
      <c r="A757" s="1">
        <v>42713</v>
      </c>
      <c r="B757">
        <v>64013.38</v>
      </c>
      <c r="C757" s="6">
        <f t="shared" si="33"/>
        <v>1.279921532629829E-2</v>
      </c>
      <c r="D757" s="7">
        <f t="shared" si="34"/>
        <v>1.0502626464501508</v>
      </c>
      <c r="E757" s="8">
        <f t="shared" si="35"/>
        <v>-1.7333189504188649</v>
      </c>
    </row>
    <row r="758" spans="1:5" x14ac:dyDescent="0.2">
      <c r="A758" s="1">
        <v>42716</v>
      </c>
      <c r="B758">
        <v>63170.94</v>
      </c>
      <c r="C758" s="6">
        <f t="shared" si="33"/>
        <v>-1.3247738728015794E-2</v>
      </c>
      <c r="D758" s="7">
        <f t="shared" si="34"/>
        <v>-1.1380970450075729</v>
      </c>
      <c r="E758" s="8">
        <f t="shared" si="35"/>
        <v>-1.8837125955321337</v>
      </c>
    </row>
    <row r="759" spans="1:5" x14ac:dyDescent="0.2">
      <c r="A759" s="1">
        <v>42717</v>
      </c>
      <c r="B759">
        <v>63952.5</v>
      </c>
      <c r="C759" s="6">
        <f t="shared" si="33"/>
        <v>1.2296235021040356E-2</v>
      </c>
      <c r="D759" s="7">
        <f t="shared" si="34"/>
        <v>1.0080042763033636</v>
      </c>
      <c r="E759" s="8">
        <f t="shared" si="35"/>
        <v>-1.6621669544778948</v>
      </c>
    </row>
    <row r="760" spans="1:5" x14ac:dyDescent="0.2">
      <c r="A760" s="1">
        <v>42718</v>
      </c>
      <c r="B760">
        <v>63829.24</v>
      </c>
      <c r="C760" s="6">
        <f t="shared" si="33"/>
        <v>-1.9292277320737264E-3</v>
      </c>
      <c r="D760" s="7">
        <f t="shared" si="34"/>
        <v>-0.18716154678419353</v>
      </c>
      <c r="E760" s="8">
        <f t="shared" si="35"/>
        <v>-0.6768484227763687</v>
      </c>
    </row>
    <row r="761" spans="1:5" x14ac:dyDescent="0.2">
      <c r="A761" s="1">
        <v>42719</v>
      </c>
      <c r="B761">
        <v>62763.21</v>
      </c>
      <c r="C761" s="6">
        <f t="shared" si="33"/>
        <v>-1.684231878571316E-2</v>
      </c>
      <c r="D761" s="7">
        <f t="shared" si="34"/>
        <v>-1.4400991174794531</v>
      </c>
      <c r="E761" s="8">
        <f t="shared" si="35"/>
        <v>-2.4143162263070521</v>
      </c>
    </row>
    <row r="762" spans="1:5" x14ac:dyDescent="0.2">
      <c r="A762" s="1">
        <v>42723</v>
      </c>
      <c r="B762">
        <v>63229.05</v>
      </c>
      <c r="C762" s="6">
        <f t="shared" si="33"/>
        <v>7.3947736595820716E-3</v>
      </c>
      <c r="D762" s="7">
        <f t="shared" si="34"/>
        <v>0.59620332444211277</v>
      </c>
      <c r="E762" s="8">
        <f t="shared" si="35"/>
        <v>-1.0432016552510741</v>
      </c>
    </row>
    <row r="763" spans="1:5" x14ac:dyDescent="0.2">
      <c r="A763" s="1">
        <v>42724</v>
      </c>
      <c r="B763">
        <v>63887.23</v>
      </c>
      <c r="C763" s="6">
        <f t="shared" si="33"/>
        <v>1.035565046266524E-2</v>
      </c>
      <c r="D763" s="7">
        <f t="shared" si="34"/>
        <v>0.8449642134784352</v>
      </c>
      <c r="E763" s="8">
        <f t="shared" si="35"/>
        <v>-1.3979725089363824</v>
      </c>
    </row>
    <row r="764" spans="1:5" x14ac:dyDescent="0.2">
      <c r="A764" s="1">
        <v>42725</v>
      </c>
      <c r="B764">
        <v>63724.72</v>
      </c>
      <c r="C764" s="6">
        <f t="shared" si="33"/>
        <v>-2.5469415340645405E-3</v>
      </c>
      <c r="D764" s="7">
        <f t="shared" si="34"/>
        <v>-0.23905936110501635</v>
      </c>
      <c r="E764" s="8">
        <f t="shared" si="35"/>
        <v>-0.70394141703443203</v>
      </c>
    </row>
    <row r="765" spans="1:5" x14ac:dyDescent="0.2">
      <c r="A765" s="1">
        <v>42726</v>
      </c>
      <c r="B765">
        <v>63208.91</v>
      </c>
      <c r="C765" s="6">
        <f t="shared" si="33"/>
        <v>-8.1272841439920737E-3</v>
      </c>
      <c r="D765" s="7">
        <f t="shared" si="34"/>
        <v>-0.70789716865153052</v>
      </c>
      <c r="E765" s="8">
        <f t="shared" si="35"/>
        <v>-1.1934756434856071</v>
      </c>
    </row>
    <row r="766" spans="1:5" x14ac:dyDescent="0.2">
      <c r="A766" s="1">
        <v>42727</v>
      </c>
      <c r="B766">
        <v>62564.92</v>
      </c>
      <c r="C766" s="6">
        <f t="shared" si="33"/>
        <v>-1.0240534582563235E-2</v>
      </c>
      <c r="D766" s="7">
        <f t="shared" si="34"/>
        <v>-0.88544392010973161</v>
      </c>
      <c r="E766" s="8">
        <f t="shared" si="35"/>
        <v>-1.4617656510178969</v>
      </c>
    </row>
    <row r="767" spans="1:5" x14ac:dyDescent="0.2">
      <c r="A767" s="1">
        <v>42732</v>
      </c>
      <c r="B767">
        <v>63748.77</v>
      </c>
      <c r="C767" s="6">
        <f t="shared" si="33"/>
        <v>1.8745152088736894E-2</v>
      </c>
      <c r="D767" s="7">
        <f t="shared" si="34"/>
        <v>1.5498161954656897</v>
      </c>
      <c r="E767" s="8">
        <f t="shared" si="35"/>
        <v>-2.6079898879852612</v>
      </c>
    </row>
    <row r="768" spans="1:5" x14ac:dyDescent="0.2">
      <c r="A768" s="1">
        <v>42733</v>
      </c>
      <c r="B768">
        <v>64502.45</v>
      </c>
      <c r="C768" s="6">
        <f t="shared" si="33"/>
        <v>1.175331784170351E-2</v>
      </c>
      <c r="D768" s="7">
        <f t="shared" si="34"/>
        <v>0.96239057158444663</v>
      </c>
      <c r="E768" s="8">
        <f t="shared" si="35"/>
        <v>-1.5864492106450865</v>
      </c>
    </row>
    <row r="769" spans="1:7" x14ac:dyDescent="0.2">
      <c r="A769" s="1">
        <v>42734</v>
      </c>
      <c r="B769">
        <v>64282.51</v>
      </c>
      <c r="C769" s="6">
        <f t="shared" si="33"/>
        <v>-3.4156195541259855E-3</v>
      </c>
      <c r="D769" s="7">
        <f t="shared" si="34"/>
        <v>-0.3120421736056172</v>
      </c>
      <c r="E769" s="8">
        <f t="shared" si="35"/>
        <v>-0.75246376502803181</v>
      </c>
      <c r="F769" s="18"/>
      <c r="G769" s="18"/>
    </row>
    <row r="770" spans="1:7" x14ac:dyDescent="0.2">
      <c r="A770" s="1">
        <v>42738</v>
      </c>
      <c r="B770">
        <v>64607.62</v>
      </c>
      <c r="C770" s="6">
        <f t="shared" si="33"/>
        <v>5.0447724662313724E-3</v>
      </c>
      <c r="D770" s="7">
        <f t="shared" si="34"/>
        <v>0.39876573248097302</v>
      </c>
      <c r="E770" s="8">
        <f t="shared" si="35"/>
        <v>-0.82504657126147174</v>
      </c>
    </row>
    <row r="771" spans="1:7" x14ac:dyDescent="0.2">
      <c r="A771" s="1">
        <v>42739</v>
      </c>
      <c r="B771">
        <v>64178.43</v>
      </c>
      <c r="C771" s="6">
        <f t="shared" ref="C771:C834" si="36">LN(B771/B770)</f>
        <v>-6.6651875554245956E-3</v>
      </c>
      <c r="D771" s="7">
        <f t="shared" ref="D771:D834" si="37">(C771-$G$4)/$G$5</f>
        <v>-0.58505772904692244</v>
      </c>
      <c r="E771" s="8">
        <f t="shared" ref="E771:E834" si="38">LN((PI()*(G$3-2))^(-1/2)*EXP(GAMMALN((G$3+1)/2))*((1+D771^2/(G$3-2))^(-(G$3+1)/2))/EXP(GAMMALN(G$3/2)))</f>
        <v>-1.0291620871542699</v>
      </c>
    </row>
    <row r="772" spans="1:7" x14ac:dyDescent="0.2">
      <c r="A772" s="1">
        <v>42740</v>
      </c>
      <c r="B772">
        <v>63683.519999999997</v>
      </c>
      <c r="C772" s="6">
        <f t="shared" si="36"/>
        <v>-7.7413565427848427E-3</v>
      </c>
      <c r="D772" s="7">
        <f t="shared" si="37"/>
        <v>-0.6754730930939129</v>
      </c>
      <c r="E772" s="8">
        <f t="shared" si="38"/>
        <v>-1.1481569283607425</v>
      </c>
    </row>
    <row r="773" spans="1:7" x14ac:dyDescent="0.2">
      <c r="A773" s="1">
        <v>42741</v>
      </c>
      <c r="B773">
        <v>65157.55</v>
      </c>
      <c r="C773" s="6">
        <f t="shared" si="36"/>
        <v>2.2882366882151138E-2</v>
      </c>
      <c r="D773" s="7">
        <f t="shared" si="37"/>
        <v>1.8974082428863279</v>
      </c>
      <c r="E773" s="8">
        <f t="shared" si="38"/>
        <v>-3.2098786778265933</v>
      </c>
    </row>
    <row r="774" spans="1:7" x14ac:dyDescent="0.2">
      <c r="A774" s="1">
        <v>42744</v>
      </c>
      <c r="B774">
        <v>65077.08</v>
      </c>
      <c r="C774" s="6">
        <f t="shared" si="36"/>
        <v>-1.2357697832083322E-3</v>
      </c>
      <c r="D774" s="7">
        <f t="shared" si="37"/>
        <v>-0.12890001571021237</v>
      </c>
      <c r="E774" s="8">
        <f t="shared" si="38"/>
        <v>-0.65406774556318836</v>
      </c>
    </row>
    <row r="775" spans="1:7" x14ac:dyDescent="0.2">
      <c r="A775" s="1">
        <v>42745</v>
      </c>
      <c r="B775">
        <v>65914.570000000007</v>
      </c>
      <c r="C775" s="6">
        <f t="shared" si="36"/>
        <v>1.2787096146297069E-2</v>
      </c>
      <c r="D775" s="7">
        <f t="shared" si="37"/>
        <v>1.0492444419816787</v>
      </c>
      <c r="E775" s="8">
        <f t="shared" si="38"/>
        <v>-1.7315943075063092</v>
      </c>
    </row>
    <row r="776" spans="1:7" x14ac:dyDescent="0.2">
      <c r="A776" s="1">
        <v>42746</v>
      </c>
      <c r="B776">
        <v>66731.22</v>
      </c>
      <c r="C776" s="6">
        <f t="shared" si="36"/>
        <v>1.2313399744295765E-2</v>
      </c>
      <c r="D776" s="7">
        <f t="shared" si="37"/>
        <v>1.0094463869013566</v>
      </c>
      <c r="E776" s="8">
        <f t="shared" si="38"/>
        <v>-1.6645800218011955</v>
      </c>
    </row>
    <row r="777" spans="1:7" x14ac:dyDescent="0.2">
      <c r="A777" s="1">
        <v>42747</v>
      </c>
      <c r="B777">
        <v>66481.03</v>
      </c>
      <c r="C777" s="6">
        <f t="shared" si="36"/>
        <v>-3.756265571250343E-3</v>
      </c>
      <c r="D777" s="7">
        <f t="shared" si="37"/>
        <v>-0.3406618736817224</v>
      </c>
      <c r="E777" s="8">
        <f t="shared" si="38"/>
        <v>-0.77468261452121867</v>
      </c>
    </row>
    <row r="778" spans="1:7" x14ac:dyDescent="0.2">
      <c r="A778" s="1">
        <v>42748</v>
      </c>
      <c r="B778">
        <v>67267.570000000007</v>
      </c>
      <c r="C778" s="6">
        <f t="shared" si="36"/>
        <v>1.1761604490349459E-2</v>
      </c>
      <c r="D778" s="7">
        <f t="shared" si="37"/>
        <v>0.96308678227519584</v>
      </c>
      <c r="E778" s="8">
        <f t="shared" si="38"/>
        <v>-1.5875956019002584</v>
      </c>
    </row>
    <row r="779" spans="1:7" x14ac:dyDescent="0.2">
      <c r="A779" s="1">
        <v>42751</v>
      </c>
      <c r="B779">
        <v>67771.23</v>
      </c>
      <c r="C779" s="6">
        <f t="shared" si="36"/>
        <v>7.4595203080573208E-3</v>
      </c>
      <c r="D779" s="7">
        <f t="shared" si="37"/>
        <v>0.60164307587657084</v>
      </c>
      <c r="E779" s="8">
        <f t="shared" si="38"/>
        <v>-1.0501209477710614</v>
      </c>
    </row>
    <row r="780" spans="1:7" x14ac:dyDescent="0.2">
      <c r="A780" s="1">
        <v>42752</v>
      </c>
      <c r="B780">
        <v>67199</v>
      </c>
      <c r="C780" s="6">
        <f t="shared" si="36"/>
        <v>-8.4794021410459323E-3</v>
      </c>
      <c r="D780" s="7">
        <f t="shared" si="37"/>
        <v>-0.7374806980647084</v>
      </c>
      <c r="E780" s="8">
        <f t="shared" si="38"/>
        <v>-1.2359246437377396</v>
      </c>
    </row>
    <row r="781" spans="1:7" x14ac:dyDescent="0.2">
      <c r="A781" s="1">
        <v>42753</v>
      </c>
      <c r="B781">
        <v>67368.929999999993</v>
      </c>
      <c r="C781" s="6">
        <f t="shared" si="36"/>
        <v>2.5255659401853345E-3</v>
      </c>
      <c r="D781" s="7">
        <f t="shared" si="37"/>
        <v>0.18711219308590116</v>
      </c>
      <c r="E781" s="8">
        <f t="shared" si="38"/>
        <v>-0.67682567475778199</v>
      </c>
    </row>
    <row r="782" spans="1:7" x14ac:dyDescent="0.2">
      <c r="A782" s="1">
        <v>42754</v>
      </c>
      <c r="B782">
        <v>67507.55</v>
      </c>
      <c r="C782" s="6">
        <f t="shared" si="36"/>
        <v>2.0555110691983453E-3</v>
      </c>
      <c r="D782" s="7">
        <f t="shared" si="37"/>
        <v>0.14762008470745855</v>
      </c>
      <c r="E782" s="8">
        <f t="shared" si="38"/>
        <v>-0.66049272312306306</v>
      </c>
    </row>
    <row r="783" spans="1:7" x14ac:dyDescent="0.2">
      <c r="A783" s="1">
        <v>42755</v>
      </c>
      <c r="B783">
        <v>66963.600000000006</v>
      </c>
      <c r="C783" s="6">
        <f t="shared" si="36"/>
        <v>-8.0902552985058166E-3</v>
      </c>
      <c r="D783" s="7">
        <f t="shared" si="37"/>
        <v>-0.70478615487562535</v>
      </c>
      <c r="E783" s="8">
        <f t="shared" si="38"/>
        <v>-1.1890714696093099</v>
      </c>
    </row>
    <row r="784" spans="1:7" x14ac:dyDescent="0.2">
      <c r="A784" s="1">
        <v>42758</v>
      </c>
      <c r="B784">
        <v>67295.710000000006</v>
      </c>
      <c r="C784" s="6">
        <f t="shared" si="36"/>
        <v>4.9473020141069819E-3</v>
      </c>
      <c r="D784" s="7">
        <f t="shared" si="37"/>
        <v>0.39057665946719972</v>
      </c>
      <c r="E784" s="8">
        <f t="shared" si="38"/>
        <v>-0.81753383184802075</v>
      </c>
    </row>
    <row r="785" spans="1:5" x14ac:dyDescent="0.2">
      <c r="A785" s="1">
        <v>42759</v>
      </c>
      <c r="B785">
        <v>67417.73</v>
      </c>
      <c r="C785" s="6">
        <f t="shared" si="36"/>
        <v>1.8115495138349839E-3</v>
      </c>
      <c r="D785" s="7">
        <f t="shared" si="37"/>
        <v>0.12712342191497791</v>
      </c>
      <c r="E785" s="8">
        <f t="shared" si="38"/>
        <v>-0.65350240045404528</v>
      </c>
    </row>
    <row r="786" spans="1:5" x14ac:dyDescent="0.2">
      <c r="A786" s="1">
        <v>42760</v>
      </c>
      <c r="B786">
        <v>67398.92</v>
      </c>
      <c r="C786" s="6">
        <f t="shared" si="36"/>
        <v>-2.7904565381288784E-4</v>
      </c>
      <c r="D786" s="7">
        <f t="shared" si="37"/>
        <v>-4.8519925345396453E-2</v>
      </c>
      <c r="E786" s="8">
        <f t="shared" si="38"/>
        <v>-0.63628109757183504</v>
      </c>
    </row>
    <row r="787" spans="1:5" x14ac:dyDescent="0.2">
      <c r="A787" s="1">
        <v>42761</v>
      </c>
      <c r="B787">
        <v>67999.45</v>
      </c>
      <c r="C787" s="6">
        <f t="shared" si="36"/>
        <v>8.8706228570950372E-3</v>
      </c>
      <c r="D787" s="7">
        <f t="shared" si="37"/>
        <v>0.72019820260609824</v>
      </c>
      <c r="E787" s="8">
        <f t="shared" si="38"/>
        <v>-1.2110026433033243</v>
      </c>
    </row>
    <row r="788" spans="1:5" x14ac:dyDescent="0.2">
      <c r="A788" s="1">
        <v>42762</v>
      </c>
      <c r="B788">
        <v>67342.509999999995</v>
      </c>
      <c r="C788" s="6">
        <f t="shared" si="36"/>
        <v>-9.7079303325417494E-3</v>
      </c>
      <c r="D788" s="7">
        <f t="shared" si="37"/>
        <v>-0.84069666598490445</v>
      </c>
      <c r="E788" s="8">
        <f t="shared" si="38"/>
        <v>-1.3913277875276313</v>
      </c>
    </row>
    <row r="789" spans="1:5" x14ac:dyDescent="0.2">
      <c r="A789" s="1">
        <v>42765</v>
      </c>
      <c r="B789">
        <v>67070.929999999993</v>
      </c>
      <c r="C789" s="6">
        <f t="shared" si="36"/>
        <v>-4.0409704500144767E-3</v>
      </c>
      <c r="D789" s="7">
        <f t="shared" si="37"/>
        <v>-0.36458162565539304</v>
      </c>
      <c r="E789" s="8">
        <f t="shared" si="38"/>
        <v>-0.79457890064441627</v>
      </c>
    </row>
    <row r="790" spans="1:5" x14ac:dyDescent="0.2">
      <c r="A790" s="1">
        <v>42766</v>
      </c>
      <c r="B790">
        <v>67029.86</v>
      </c>
      <c r="C790" s="6">
        <f t="shared" si="36"/>
        <v>-6.1252437489840586E-4</v>
      </c>
      <c r="D790" s="7">
        <f t="shared" si="37"/>
        <v>-7.6537458207806164E-2</v>
      </c>
      <c r="E790" s="8">
        <f t="shared" si="38"/>
        <v>-0.64066286747340162</v>
      </c>
    </row>
    <row r="791" spans="1:5" x14ac:dyDescent="0.2">
      <c r="A791" s="1">
        <v>42767</v>
      </c>
      <c r="B791">
        <v>67536.84</v>
      </c>
      <c r="C791" s="6">
        <f t="shared" si="36"/>
        <v>7.5350350230911547E-3</v>
      </c>
      <c r="D791" s="7">
        <f t="shared" si="37"/>
        <v>0.60798751669477036</v>
      </c>
      <c r="E791" s="8">
        <f t="shared" si="38"/>
        <v>-1.0582458594291839</v>
      </c>
    </row>
    <row r="792" spans="1:5" x14ac:dyDescent="0.2">
      <c r="A792" s="1">
        <v>42768</v>
      </c>
      <c r="B792">
        <v>67185.919999999998</v>
      </c>
      <c r="C792" s="6">
        <f t="shared" si="36"/>
        <v>-5.2095250073391315E-3</v>
      </c>
      <c r="D792" s="7">
        <f t="shared" si="37"/>
        <v>-0.46275885149093959</v>
      </c>
      <c r="E792" s="8">
        <f t="shared" si="38"/>
        <v>-0.88822045996364218</v>
      </c>
    </row>
    <row r="793" spans="1:5" x14ac:dyDescent="0.2">
      <c r="A793" s="1">
        <v>42769</v>
      </c>
      <c r="B793">
        <v>66852.649999999994</v>
      </c>
      <c r="C793" s="6">
        <f t="shared" si="36"/>
        <v>-4.9727580168462309E-3</v>
      </c>
      <c r="D793" s="7">
        <f t="shared" si="37"/>
        <v>-0.44286664692905525</v>
      </c>
      <c r="E793" s="8">
        <f t="shared" si="38"/>
        <v>-0.86775304802512032</v>
      </c>
    </row>
    <row r="794" spans="1:5" x14ac:dyDescent="0.2">
      <c r="A794" s="1">
        <v>42772</v>
      </c>
      <c r="B794">
        <v>66875.55</v>
      </c>
      <c r="C794" s="6">
        <f t="shared" si="36"/>
        <v>3.4248573186280599E-4</v>
      </c>
      <c r="D794" s="7">
        <f t="shared" si="37"/>
        <v>3.6986269103625046E-3</v>
      </c>
      <c r="E794" s="8">
        <f t="shared" si="38"/>
        <v>-0.63334982705599729</v>
      </c>
    </row>
    <row r="795" spans="1:5" x14ac:dyDescent="0.2">
      <c r="A795" s="1">
        <v>42773</v>
      </c>
      <c r="B795">
        <v>66713.78</v>
      </c>
      <c r="C795" s="6">
        <f t="shared" si="36"/>
        <v>-2.4219011963492543E-3</v>
      </c>
      <c r="D795" s="7">
        <f t="shared" si="37"/>
        <v>-0.22855397785399195</v>
      </c>
      <c r="E795" s="8">
        <f t="shared" si="38"/>
        <v>-0.69794988229540667</v>
      </c>
    </row>
    <row r="796" spans="1:5" x14ac:dyDescent="0.2">
      <c r="A796" s="1">
        <v>42774</v>
      </c>
      <c r="B796">
        <v>65989.38</v>
      </c>
      <c r="C796" s="6">
        <f t="shared" si="36"/>
        <v>-1.0917708296807641E-2</v>
      </c>
      <c r="D796" s="7">
        <f t="shared" si="37"/>
        <v>-0.94233731567825207</v>
      </c>
      <c r="E796" s="8">
        <f t="shared" si="38"/>
        <v>-1.5535618092769081</v>
      </c>
    </row>
    <row r="797" spans="1:5" x14ac:dyDescent="0.2">
      <c r="A797" s="1">
        <v>42775</v>
      </c>
      <c r="B797">
        <v>66335.42</v>
      </c>
      <c r="C797" s="6">
        <f t="shared" si="36"/>
        <v>5.2301728597849532E-3</v>
      </c>
      <c r="D797" s="7">
        <f t="shared" si="37"/>
        <v>0.41434232340162447</v>
      </c>
      <c r="E797" s="8">
        <f t="shared" si="38"/>
        <v>-0.83970170090622021</v>
      </c>
    </row>
    <row r="798" spans="1:5" x14ac:dyDescent="0.2">
      <c r="A798" s="1">
        <v>42776</v>
      </c>
      <c r="B798">
        <v>67255.240000000005</v>
      </c>
      <c r="C798" s="6">
        <f t="shared" si="36"/>
        <v>1.3770940814050593E-2</v>
      </c>
      <c r="D798" s="7">
        <f t="shared" si="37"/>
        <v>1.1319030902473415</v>
      </c>
      <c r="E798" s="8">
        <f t="shared" si="38"/>
        <v>-1.8730133941408151</v>
      </c>
    </row>
    <row r="799" spans="1:5" x14ac:dyDescent="0.2">
      <c r="A799" s="1">
        <v>42779</v>
      </c>
      <c r="B799">
        <v>67318.23</v>
      </c>
      <c r="C799" s="6">
        <f t="shared" si="36"/>
        <v>9.3614297974439515E-4</v>
      </c>
      <c r="D799" s="7">
        <f t="shared" si="37"/>
        <v>5.3575306889786949E-2</v>
      </c>
      <c r="E799" s="8">
        <f t="shared" si="38"/>
        <v>-0.63692704151238688</v>
      </c>
    </row>
    <row r="800" spans="1:5" x14ac:dyDescent="0.2">
      <c r="A800" s="1">
        <v>42780</v>
      </c>
      <c r="B800">
        <v>66253.08</v>
      </c>
      <c r="C800" s="6">
        <f t="shared" si="36"/>
        <v>-1.5949122290123366E-2</v>
      </c>
      <c r="D800" s="7">
        <f t="shared" si="37"/>
        <v>-1.3650563618687923</v>
      </c>
      <c r="E800" s="8">
        <f t="shared" si="38"/>
        <v>-2.28162059786967</v>
      </c>
    </row>
    <row r="801" spans="1:5" x14ac:dyDescent="0.2">
      <c r="A801" s="1">
        <v>42781</v>
      </c>
      <c r="B801">
        <v>66373.14</v>
      </c>
      <c r="C801" s="6">
        <f t="shared" si="36"/>
        <v>1.8105022188759973E-3</v>
      </c>
      <c r="D801" s="7">
        <f t="shared" si="37"/>
        <v>0.12703543242996809</v>
      </c>
      <c r="E801" s="8">
        <f t="shared" si="38"/>
        <v>-0.65347460118343748</v>
      </c>
    </row>
    <row r="802" spans="1:5" x14ac:dyDescent="0.2">
      <c r="A802" s="1">
        <v>42782</v>
      </c>
      <c r="B802">
        <v>66730.720000000001</v>
      </c>
      <c r="C802" s="6">
        <f t="shared" si="36"/>
        <v>5.3729600364516347E-3</v>
      </c>
      <c r="D802" s="7">
        <f t="shared" si="37"/>
        <v>0.42633872425612918</v>
      </c>
      <c r="E802" s="8">
        <f t="shared" si="38"/>
        <v>-0.85130994171843821</v>
      </c>
    </row>
    <row r="803" spans="1:5" x14ac:dyDescent="0.2">
      <c r="A803" s="1">
        <v>42783</v>
      </c>
      <c r="B803">
        <v>66273.8</v>
      </c>
      <c r="C803" s="6">
        <f t="shared" si="36"/>
        <v>-6.8707709708299139E-3</v>
      </c>
      <c r="D803" s="7">
        <f t="shared" si="37"/>
        <v>-0.60233001580133827</v>
      </c>
      <c r="E803" s="8">
        <f t="shared" si="38"/>
        <v>-1.0509978251696408</v>
      </c>
    </row>
    <row r="804" spans="1:5" x14ac:dyDescent="0.2">
      <c r="A804" s="1">
        <v>42786</v>
      </c>
      <c r="B804">
        <v>67194.570000000007</v>
      </c>
      <c r="C804" s="6">
        <f t="shared" si="36"/>
        <v>1.3797795056676894E-2</v>
      </c>
      <c r="D804" s="7">
        <f t="shared" si="37"/>
        <v>1.1341592750582594</v>
      </c>
      <c r="E804" s="8">
        <f t="shared" si="38"/>
        <v>-1.8769091900389858</v>
      </c>
    </row>
    <row r="805" spans="1:5" x14ac:dyDescent="0.2">
      <c r="A805" s="1">
        <v>42787</v>
      </c>
      <c r="B805">
        <v>67213.34</v>
      </c>
      <c r="C805" s="6">
        <f t="shared" si="36"/>
        <v>2.7929904009378338E-4</v>
      </c>
      <c r="D805" s="7">
        <f t="shared" si="37"/>
        <v>-1.6100632733555597E-3</v>
      </c>
      <c r="E805" s="8">
        <f t="shared" si="38"/>
        <v>-0.63333593271349509</v>
      </c>
    </row>
    <row r="806" spans="1:5" x14ac:dyDescent="0.2">
      <c r="A806" s="1">
        <v>42788</v>
      </c>
      <c r="B806">
        <v>66980.08</v>
      </c>
      <c r="C806" s="6">
        <f t="shared" si="36"/>
        <v>-3.4764779812554783E-3</v>
      </c>
      <c r="D806" s="7">
        <f t="shared" si="37"/>
        <v>-0.31715525241467823</v>
      </c>
      <c r="E806" s="8">
        <f t="shared" si="38"/>
        <v>-0.7563044614746679</v>
      </c>
    </row>
    <row r="807" spans="1:5" x14ac:dyDescent="0.2">
      <c r="A807" s="1">
        <v>42789</v>
      </c>
      <c r="B807">
        <v>66860.160000000003</v>
      </c>
      <c r="C807" s="6">
        <f t="shared" si="36"/>
        <v>-1.7919877025144395E-3</v>
      </c>
      <c r="D807" s="7">
        <f t="shared" si="37"/>
        <v>-0.17563119478542435</v>
      </c>
      <c r="E807" s="8">
        <f t="shared" si="38"/>
        <v>-0.67169159909915088</v>
      </c>
    </row>
    <row r="808" spans="1:5" x14ac:dyDescent="0.2">
      <c r="A808" s="1">
        <v>42790</v>
      </c>
      <c r="B808">
        <v>66346.009999999995</v>
      </c>
      <c r="C808" s="6">
        <f t="shared" si="36"/>
        <v>-7.7196507235292285E-3</v>
      </c>
      <c r="D808" s="7">
        <f t="shared" si="37"/>
        <v>-0.67364945798364229</v>
      </c>
      <c r="E808" s="8">
        <f t="shared" si="38"/>
        <v>-1.1456471917649222</v>
      </c>
    </row>
    <row r="809" spans="1:5" x14ac:dyDescent="0.2">
      <c r="A809" s="1">
        <v>42793</v>
      </c>
      <c r="B809">
        <v>66247.350000000006</v>
      </c>
      <c r="C809" s="6">
        <f t="shared" si="36"/>
        <v>-1.4881592593752318E-3</v>
      </c>
      <c r="D809" s="7">
        <f t="shared" si="37"/>
        <v>-0.15010475830852371</v>
      </c>
      <c r="E809" s="8">
        <f t="shared" si="38"/>
        <v>-0.66140954133533669</v>
      </c>
    </row>
    <row r="810" spans="1:5" x14ac:dyDescent="0.2">
      <c r="A810" s="1">
        <v>42794</v>
      </c>
      <c r="B810">
        <v>65717.919999999998</v>
      </c>
      <c r="C810" s="6">
        <f t="shared" si="36"/>
        <v>-8.0238208198859448E-3</v>
      </c>
      <c r="D810" s="7">
        <f t="shared" si="37"/>
        <v>-0.69920459878152008</v>
      </c>
      <c r="E810" s="8">
        <f t="shared" si="38"/>
        <v>-1.181199104320066</v>
      </c>
    </row>
    <row r="811" spans="1:5" x14ac:dyDescent="0.2">
      <c r="A811" s="1">
        <v>42795</v>
      </c>
      <c r="B811">
        <v>66287.679999999993</v>
      </c>
      <c r="C811" s="6">
        <f t="shared" si="36"/>
        <v>8.6324146572254179E-3</v>
      </c>
      <c r="D811" s="7">
        <f t="shared" si="37"/>
        <v>0.70018491346363743</v>
      </c>
      <c r="E811" s="8">
        <f t="shared" si="38"/>
        <v>-1.1825790273588739</v>
      </c>
    </row>
    <row r="812" spans="1:5" x14ac:dyDescent="0.2">
      <c r="A812" s="1">
        <v>42796</v>
      </c>
      <c r="B812">
        <v>66347.42</v>
      </c>
      <c r="C812" s="6">
        <f t="shared" si="36"/>
        <v>9.0081741620114586E-4</v>
      </c>
      <c r="D812" s="7">
        <f t="shared" si="37"/>
        <v>5.0607395971110018E-2</v>
      </c>
      <c r="E812" s="8">
        <f t="shared" si="38"/>
        <v>-0.63654008747895552</v>
      </c>
    </row>
    <row r="813" spans="1:5" x14ac:dyDescent="0.2">
      <c r="A813" s="1">
        <v>42797</v>
      </c>
      <c r="B813">
        <v>65998.44</v>
      </c>
      <c r="C813" s="6">
        <f t="shared" si="36"/>
        <v>-5.2737699364047777E-3</v>
      </c>
      <c r="D813" s="7">
        <f t="shared" si="37"/>
        <v>-0.46815645049060206</v>
      </c>
      <c r="E813" s="8">
        <f t="shared" si="38"/>
        <v>-0.89389941493373937</v>
      </c>
    </row>
    <row r="814" spans="1:5" x14ac:dyDescent="0.2">
      <c r="A814" s="1">
        <v>42800</v>
      </c>
      <c r="B814">
        <v>65993.149999999994</v>
      </c>
      <c r="C814" s="6">
        <f t="shared" si="36"/>
        <v>-8.0156622143014633E-5</v>
      </c>
      <c r="D814" s="7">
        <f t="shared" si="37"/>
        <v>-3.1810073626388206E-2</v>
      </c>
      <c r="E814" s="8">
        <f t="shared" si="38"/>
        <v>-0.63460040528397021</v>
      </c>
    </row>
    <row r="815" spans="1:5" x14ac:dyDescent="0.2">
      <c r="A815" s="1">
        <v>42801</v>
      </c>
      <c r="B815">
        <v>66005.97</v>
      </c>
      <c r="C815" s="6">
        <f t="shared" si="36"/>
        <v>1.9424371981135972E-4</v>
      </c>
      <c r="D815" s="7">
        <f t="shared" si="37"/>
        <v>-8.7560671424434331E-3</v>
      </c>
      <c r="E815" s="8">
        <f t="shared" si="38"/>
        <v>-0.63342876006403048</v>
      </c>
    </row>
    <row r="816" spans="1:5" x14ac:dyDescent="0.2">
      <c r="A816" s="1">
        <v>42802</v>
      </c>
      <c r="B816">
        <v>66164.429999999993</v>
      </c>
      <c r="C816" s="6">
        <f t="shared" si="36"/>
        <v>2.3978148802203622E-3</v>
      </c>
      <c r="D816" s="7">
        <f t="shared" si="37"/>
        <v>0.17637906591927033</v>
      </c>
      <c r="E816" s="8">
        <f t="shared" si="38"/>
        <v>-0.67201644972053209</v>
      </c>
    </row>
    <row r="817" spans="1:5" x14ac:dyDescent="0.2">
      <c r="A817" s="1">
        <v>42803</v>
      </c>
      <c r="B817">
        <v>65822.64</v>
      </c>
      <c r="C817" s="6">
        <f t="shared" si="36"/>
        <v>-5.1791552612576123E-3</v>
      </c>
      <c r="D817" s="7">
        <f t="shared" si="37"/>
        <v>-0.46020730830373935</v>
      </c>
      <c r="E817" s="8">
        <f t="shared" si="38"/>
        <v>-0.88555438430000677</v>
      </c>
    </row>
    <row r="818" spans="1:5" x14ac:dyDescent="0.2">
      <c r="A818" s="1">
        <v>42804</v>
      </c>
      <c r="B818">
        <v>66647.31</v>
      </c>
      <c r="C818" s="6">
        <f t="shared" si="36"/>
        <v>1.2450833620127541E-2</v>
      </c>
      <c r="D818" s="7">
        <f t="shared" si="37"/>
        <v>1.020993025079622</v>
      </c>
      <c r="E818" s="8">
        <f t="shared" si="38"/>
        <v>-1.6839405882390337</v>
      </c>
    </row>
    <row r="819" spans="1:5" x14ac:dyDescent="0.2">
      <c r="A819" s="1">
        <v>42807</v>
      </c>
      <c r="B819">
        <v>67489.490000000005</v>
      </c>
      <c r="C819" s="6">
        <f t="shared" si="36"/>
        <v>1.2557196331495572E-2</v>
      </c>
      <c r="D819" s="7">
        <f t="shared" si="37"/>
        <v>1.0299291897362106</v>
      </c>
      <c r="E819" s="8">
        <f t="shared" si="38"/>
        <v>-1.6989713518798017</v>
      </c>
    </row>
    <row r="820" spans="1:5" x14ac:dyDescent="0.2">
      <c r="A820" s="1">
        <v>42808</v>
      </c>
      <c r="B820">
        <v>67228.350000000006</v>
      </c>
      <c r="C820" s="6">
        <f t="shared" si="36"/>
        <v>-3.8768484868340219E-3</v>
      </c>
      <c r="D820" s="7">
        <f t="shared" si="37"/>
        <v>-0.35079276236035728</v>
      </c>
      <c r="E820" s="8">
        <f t="shared" si="38"/>
        <v>-0.78296392367874157</v>
      </c>
    </row>
    <row r="821" spans="1:5" x14ac:dyDescent="0.2">
      <c r="A821" s="1">
        <v>42809</v>
      </c>
      <c r="B821">
        <v>67105.56</v>
      </c>
      <c r="C821" s="6">
        <f t="shared" si="36"/>
        <v>-1.8281316191524574E-3</v>
      </c>
      <c r="D821" s="7">
        <f t="shared" si="37"/>
        <v>-0.17866786041999769</v>
      </c>
      <c r="E821" s="8">
        <f t="shared" si="38"/>
        <v>-0.67301893655930822</v>
      </c>
    </row>
    <row r="822" spans="1:5" x14ac:dyDescent="0.2">
      <c r="A822" s="1">
        <v>42810</v>
      </c>
      <c r="B822">
        <v>68118.66</v>
      </c>
      <c r="C822" s="6">
        <f t="shared" si="36"/>
        <v>1.4984282486767525E-2</v>
      </c>
      <c r="D822" s="7">
        <f t="shared" si="37"/>
        <v>1.2338431483056789</v>
      </c>
      <c r="E822" s="8">
        <f t="shared" si="38"/>
        <v>-2.0504615187736039</v>
      </c>
    </row>
    <row r="823" spans="1:5" x14ac:dyDescent="0.2">
      <c r="A823" s="1">
        <v>42811</v>
      </c>
      <c r="B823">
        <v>67856.17</v>
      </c>
      <c r="C823" s="6">
        <f t="shared" si="36"/>
        <v>-3.8608663980323212E-3</v>
      </c>
      <c r="D823" s="7">
        <f t="shared" si="37"/>
        <v>-0.34945001192412545</v>
      </c>
      <c r="E823" s="8">
        <f t="shared" si="38"/>
        <v>-0.78185396207655711</v>
      </c>
    </row>
    <row r="824" spans="1:5" x14ac:dyDescent="0.2">
      <c r="A824" s="1">
        <v>42814</v>
      </c>
      <c r="B824">
        <v>68485.350000000006</v>
      </c>
      <c r="C824" s="6">
        <f t="shared" si="36"/>
        <v>9.2295357474387416E-3</v>
      </c>
      <c r="D824" s="7">
        <f t="shared" si="37"/>
        <v>0.75035261146077425</v>
      </c>
      <c r="E824" s="8">
        <f t="shared" si="38"/>
        <v>-1.2547052848070221</v>
      </c>
    </row>
    <row r="825" spans="1:5" x14ac:dyDescent="0.2">
      <c r="A825" s="1">
        <v>42816</v>
      </c>
      <c r="B825">
        <v>67578.94</v>
      </c>
      <c r="C825" s="6">
        <f t="shared" si="36"/>
        <v>-1.3323457732695707E-2</v>
      </c>
      <c r="D825" s="7">
        <f t="shared" si="37"/>
        <v>-1.1444586494152629</v>
      </c>
      <c r="E825" s="8">
        <f t="shared" si="38"/>
        <v>-1.8947142347588604</v>
      </c>
    </row>
    <row r="826" spans="1:5" x14ac:dyDescent="0.2">
      <c r="A826" s="1">
        <v>42817</v>
      </c>
      <c r="B826">
        <v>67630.55</v>
      </c>
      <c r="C826" s="6">
        <f t="shared" si="36"/>
        <v>7.6340799017128559E-4</v>
      </c>
      <c r="D826" s="7">
        <f t="shared" si="37"/>
        <v>3.9062811966275736E-2</v>
      </c>
      <c r="E826" s="8">
        <f t="shared" si="38"/>
        <v>-0.63524414484790814</v>
      </c>
    </row>
    <row r="827" spans="1:5" x14ac:dyDescent="0.2">
      <c r="A827" s="1">
        <v>42818</v>
      </c>
      <c r="B827">
        <v>67443.28</v>
      </c>
      <c r="C827" s="6">
        <f t="shared" si="36"/>
        <v>-2.7728557040103334E-3</v>
      </c>
      <c r="D827" s="7">
        <f t="shared" si="37"/>
        <v>-0.25803975559596531</v>
      </c>
      <c r="E827" s="8">
        <f t="shared" si="38"/>
        <v>-0.71540890311972016</v>
      </c>
    </row>
    <row r="828" spans="1:5" x14ac:dyDescent="0.2">
      <c r="A828" s="1">
        <v>42821</v>
      </c>
      <c r="B828">
        <v>67687.199999999997</v>
      </c>
      <c r="C828" s="6">
        <f t="shared" si="36"/>
        <v>3.6101442830701433E-3</v>
      </c>
      <c r="D828" s="7">
        <f t="shared" si="37"/>
        <v>0.27823407715909942</v>
      </c>
      <c r="E828" s="8">
        <f t="shared" si="38"/>
        <v>-0.7285067062478815</v>
      </c>
    </row>
    <row r="829" spans="1:5" x14ac:dyDescent="0.2">
      <c r="A829" s="1">
        <v>42822</v>
      </c>
      <c r="B829">
        <v>68443.39</v>
      </c>
      <c r="C829" s="6">
        <f t="shared" si="36"/>
        <v>1.1109887616049802E-2</v>
      </c>
      <c r="D829" s="7">
        <f t="shared" si="37"/>
        <v>0.90833216739829925</v>
      </c>
      <c r="E829" s="8">
        <f t="shared" si="38"/>
        <v>-1.4984126164908835</v>
      </c>
    </row>
    <row r="830" spans="1:5" x14ac:dyDescent="0.2">
      <c r="A830" s="1">
        <v>42823</v>
      </c>
      <c r="B830">
        <v>68938.039999999994</v>
      </c>
      <c r="C830" s="6">
        <f t="shared" si="36"/>
        <v>7.2011499307988759E-3</v>
      </c>
      <c r="D830" s="7">
        <f t="shared" si="37"/>
        <v>0.57993584216778105</v>
      </c>
      <c r="E830" s="8">
        <f t="shared" si="38"/>
        <v>-1.0227730422725987</v>
      </c>
    </row>
    <row r="831" spans="1:5" x14ac:dyDescent="0.2">
      <c r="A831" s="1">
        <v>42824</v>
      </c>
      <c r="B831">
        <v>68183.649999999994</v>
      </c>
      <c r="C831" s="6">
        <f t="shared" si="36"/>
        <v>-1.1003330127522448E-2</v>
      </c>
      <c r="D831" s="7">
        <f t="shared" si="37"/>
        <v>-0.94953091546171953</v>
      </c>
      <c r="E831" s="8">
        <f t="shared" si="38"/>
        <v>-1.5653294428581803</v>
      </c>
    </row>
    <row r="832" spans="1:5" x14ac:dyDescent="0.2">
      <c r="A832" s="1">
        <v>42825</v>
      </c>
      <c r="B832">
        <v>68354.2</v>
      </c>
      <c r="C832" s="6">
        <f t="shared" si="36"/>
        <v>2.4982096715444706E-3</v>
      </c>
      <c r="D832" s="7">
        <f t="shared" si="37"/>
        <v>0.18481383008047941</v>
      </c>
      <c r="E832" s="8">
        <f t="shared" si="38"/>
        <v>-0.67577273556505579</v>
      </c>
    </row>
    <row r="833" spans="1:5" x14ac:dyDescent="0.2">
      <c r="A833" s="1">
        <v>42828</v>
      </c>
      <c r="B833">
        <v>69001</v>
      </c>
      <c r="C833" s="6">
        <f t="shared" si="36"/>
        <v>9.4179875365694651E-3</v>
      </c>
      <c r="D833" s="7">
        <f t="shared" si="37"/>
        <v>0.76618556829161188</v>
      </c>
      <c r="E833" s="8">
        <f t="shared" si="38"/>
        <v>-1.2780539681454277</v>
      </c>
    </row>
    <row r="834" spans="1:5" x14ac:dyDescent="0.2">
      <c r="A834" s="1">
        <v>42829</v>
      </c>
      <c r="B834">
        <v>69129.56</v>
      </c>
      <c r="C834" s="6">
        <f t="shared" si="36"/>
        <v>1.8614278711498846E-3</v>
      </c>
      <c r="D834" s="7">
        <f t="shared" si="37"/>
        <v>0.13131399968451085</v>
      </c>
      <c r="E834" s="8">
        <f t="shared" si="38"/>
        <v>-0.65484828300729647</v>
      </c>
    </row>
    <row r="835" spans="1:5" x14ac:dyDescent="0.2">
      <c r="A835" s="1">
        <v>42830</v>
      </c>
      <c r="B835">
        <v>69607.100000000006</v>
      </c>
      <c r="C835" s="6">
        <f t="shared" ref="C835:C898" si="39">LN(B835/B834)</f>
        <v>6.8841485147948193E-3</v>
      </c>
      <c r="D835" s="7">
        <f t="shared" ref="D835:D898" si="40">(C835-$G$4)/$G$5</f>
        <v>0.55330266580974152</v>
      </c>
      <c r="E835" s="8">
        <f t="shared" ref="E835:E898" si="41">LN((PI()*(G$3-2))^(-1/2)*EXP(GAMMALN((G$3+1)/2))*((1+D835^2/(G$3-2))^(-(G$3+1)/2))/EXP(GAMMALN(G$3/2)))</f>
        <v>-0.99020337340741538</v>
      </c>
    </row>
    <row r="836" spans="1:5" x14ac:dyDescent="0.2">
      <c r="A836" s="1">
        <v>42831</v>
      </c>
      <c r="B836">
        <v>69702.02</v>
      </c>
      <c r="C836" s="6">
        <f t="shared" si="39"/>
        <v>1.3627250633558145E-3</v>
      </c>
      <c r="D836" s="7">
        <f t="shared" si="40"/>
        <v>8.9415007567519869E-2</v>
      </c>
      <c r="E836" s="8">
        <f t="shared" si="41"/>
        <v>-0.64333165424534033</v>
      </c>
    </row>
    <row r="837" spans="1:5" x14ac:dyDescent="0.2">
      <c r="A837" s="1">
        <v>42832</v>
      </c>
      <c r="B837">
        <v>69652.33</v>
      </c>
      <c r="C837" s="6">
        <f t="shared" si="39"/>
        <v>-7.131460497061512E-4</v>
      </c>
      <c r="D837" s="7">
        <f t="shared" si="40"/>
        <v>-8.4991284201320613E-2</v>
      </c>
      <c r="E837" s="8">
        <f t="shared" si="41"/>
        <v>-0.64236849372401805</v>
      </c>
    </row>
    <row r="838" spans="1:5" x14ac:dyDescent="0.2">
      <c r="A838" s="1">
        <v>42835</v>
      </c>
      <c r="B838">
        <v>69980.639999999999</v>
      </c>
      <c r="C838" s="6">
        <f t="shared" si="39"/>
        <v>4.7024797223988168E-3</v>
      </c>
      <c r="D838" s="7">
        <f t="shared" si="40"/>
        <v>0.37000768108964099</v>
      </c>
      <c r="E838" s="8">
        <f t="shared" si="41"/>
        <v>-0.79925698537817025</v>
      </c>
    </row>
    <row r="839" spans="1:5" x14ac:dyDescent="0.2">
      <c r="A839" s="1">
        <v>42836</v>
      </c>
      <c r="B839">
        <v>70534.98</v>
      </c>
      <c r="C839" s="6">
        <f t="shared" si="39"/>
        <v>7.8901246113934776E-3</v>
      </c>
      <c r="D839" s="7">
        <f t="shared" si="40"/>
        <v>0.63782070718133399</v>
      </c>
      <c r="E839" s="8">
        <f t="shared" si="41"/>
        <v>-1.097223991526604</v>
      </c>
    </row>
    <row r="840" spans="1:5" x14ac:dyDescent="0.2">
      <c r="A840" s="1">
        <v>42837</v>
      </c>
      <c r="B840">
        <v>71014.990000000005</v>
      </c>
      <c r="C840" s="6">
        <f t="shared" si="39"/>
        <v>6.7822245385106067E-3</v>
      </c>
      <c r="D840" s="7">
        <f t="shared" si="40"/>
        <v>0.54473942571539646</v>
      </c>
      <c r="E840" s="8">
        <f t="shared" si="41"/>
        <v>-0.97996919282419825</v>
      </c>
    </row>
    <row r="841" spans="1:5" x14ac:dyDescent="0.2">
      <c r="A841" s="1">
        <v>42838</v>
      </c>
      <c r="B841">
        <v>70812.56</v>
      </c>
      <c r="C841" s="6">
        <f t="shared" si="39"/>
        <v>-2.8545954218629163E-3</v>
      </c>
      <c r="D841" s="7">
        <f t="shared" si="40"/>
        <v>-0.26490719596410667</v>
      </c>
      <c r="E841" s="8">
        <f t="shared" si="41"/>
        <v>-0.71975997809459058</v>
      </c>
    </row>
    <row r="842" spans="1:5" x14ac:dyDescent="0.2">
      <c r="A842" s="1">
        <v>42843</v>
      </c>
      <c r="B842">
        <v>69913.240000000005</v>
      </c>
      <c r="C842" s="6">
        <f t="shared" si="39"/>
        <v>-1.2781341344812836E-2</v>
      </c>
      <c r="D842" s="7">
        <f t="shared" si="40"/>
        <v>-1.0989122239542388</v>
      </c>
      <c r="E842" s="8">
        <f t="shared" si="41"/>
        <v>-1.8162490793222057</v>
      </c>
    </row>
    <row r="843" spans="1:5" x14ac:dyDescent="0.2">
      <c r="A843" s="1">
        <v>42844</v>
      </c>
      <c r="B843">
        <v>69667.34</v>
      </c>
      <c r="C843" s="6">
        <f t="shared" si="39"/>
        <v>-3.5234164293199291E-3</v>
      </c>
      <c r="D843" s="7">
        <f t="shared" si="40"/>
        <v>-0.32109883090411057</v>
      </c>
      <c r="E843" s="8">
        <f t="shared" si="41"/>
        <v>-0.75930520881469687</v>
      </c>
    </row>
    <row r="844" spans="1:5" x14ac:dyDescent="0.2">
      <c r="A844" s="1">
        <v>42845</v>
      </c>
      <c r="B844">
        <v>69757.84</v>
      </c>
      <c r="C844" s="6">
        <f t="shared" si="39"/>
        <v>1.2981874968336958E-3</v>
      </c>
      <c r="D844" s="7">
        <f t="shared" si="40"/>
        <v>8.3992822352800534E-2</v>
      </c>
      <c r="E844" s="8">
        <f t="shared" si="41"/>
        <v>-0.64215781143352102</v>
      </c>
    </row>
    <row r="845" spans="1:5" x14ac:dyDescent="0.2">
      <c r="A845" s="1">
        <v>42846</v>
      </c>
      <c r="B845">
        <v>69418.720000000001</v>
      </c>
      <c r="C845" s="6">
        <f t="shared" si="39"/>
        <v>-4.8732440452982726E-3</v>
      </c>
      <c r="D845" s="7">
        <f t="shared" si="40"/>
        <v>-0.43450588568156678</v>
      </c>
      <c r="E845" s="8">
        <f t="shared" si="41"/>
        <v>-0.85937057208410839</v>
      </c>
    </row>
    <row r="846" spans="1:5" x14ac:dyDescent="0.2">
      <c r="A846" s="1">
        <v>42849</v>
      </c>
      <c r="B846">
        <v>70646.899999999994</v>
      </c>
      <c r="C846" s="6">
        <f t="shared" si="39"/>
        <v>1.7537658121378592E-2</v>
      </c>
      <c r="D846" s="7">
        <f t="shared" si="40"/>
        <v>1.4483674379512723</v>
      </c>
      <c r="E846" s="8">
        <f t="shared" si="41"/>
        <v>-2.4289349360807004</v>
      </c>
    </row>
    <row r="847" spans="1:5" x14ac:dyDescent="0.2">
      <c r="A847" s="1">
        <v>42850</v>
      </c>
      <c r="B847">
        <v>71440.36</v>
      </c>
      <c r="C847" s="6">
        <f t="shared" si="39"/>
        <v>1.1168745854596891E-2</v>
      </c>
      <c r="D847" s="7">
        <f t="shared" si="40"/>
        <v>0.91327719845559929</v>
      </c>
      <c r="E847" s="8">
        <f t="shared" si="41"/>
        <v>-1.5063816095055254</v>
      </c>
    </row>
    <row r="848" spans="1:5" x14ac:dyDescent="0.2">
      <c r="A848" s="1">
        <v>42851</v>
      </c>
      <c r="B848">
        <v>72074.259999999995</v>
      </c>
      <c r="C848" s="6">
        <f t="shared" si="39"/>
        <v>8.8340006395831797E-3</v>
      </c>
      <c r="D848" s="7">
        <f t="shared" si="40"/>
        <v>0.71712135206735084</v>
      </c>
      <c r="E848" s="8">
        <f t="shared" si="41"/>
        <v>-1.2066018874061728</v>
      </c>
    </row>
    <row r="849" spans="1:5" x14ac:dyDescent="0.2">
      <c r="A849" s="1">
        <v>42853</v>
      </c>
      <c r="B849">
        <v>72394.84</v>
      </c>
      <c r="C849" s="6">
        <f t="shared" si="39"/>
        <v>4.4380497447011414E-3</v>
      </c>
      <c r="D849" s="7">
        <f t="shared" si="40"/>
        <v>0.34779134426960445</v>
      </c>
      <c r="E849" s="8">
        <f t="shared" si="41"/>
        <v>-0.78048805252496767</v>
      </c>
    </row>
    <row r="850" spans="1:5" x14ac:dyDescent="0.2">
      <c r="A850" s="1">
        <v>42857</v>
      </c>
      <c r="B850">
        <v>72693.509999999995</v>
      </c>
      <c r="C850" s="6">
        <f t="shared" si="39"/>
        <v>4.1170834444063439E-3</v>
      </c>
      <c r="D850" s="7">
        <f t="shared" si="40"/>
        <v>0.32082505437571507</v>
      </c>
      <c r="E850" s="8">
        <f t="shared" si="41"/>
        <v>-0.75909580612652261</v>
      </c>
    </row>
    <row r="851" spans="1:5" x14ac:dyDescent="0.2">
      <c r="A851" s="1">
        <v>42858</v>
      </c>
      <c r="B851">
        <v>72620.69</v>
      </c>
      <c r="C851" s="6">
        <f t="shared" si="39"/>
        <v>-1.0022421221817137E-3</v>
      </c>
      <c r="D851" s="7">
        <f t="shared" si="40"/>
        <v>-0.10927996650348325</v>
      </c>
      <c r="E851" s="8">
        <f t="shared" si="41"/>
        <v>-0.64825330784547641</v>
      </c>
    </row>
    <row r="852" spans="1:5" x14ac:dyDescent="0.2">
      <c r="A852" s="1">
        <v>42859</v>
      </c>
      <c r="B852">
        <v>72685.38</v>
      </c>
      <c r="C852" s="6">
        <f t="shared" si="39"/>
        <v>8.9039644763471272E-4</v>
      </c>
      <c r="D852" s="7">
        <f t="shared" si="40"/>
        <v>4.973186835628117E-2</v>
      </c>
      <c r="E852" s="8">
        <f t="shared" si="41"/>
        <v>-0.63643013705948359</v>
      </c>
    </row>
    <row r="853" spans="1:5" x14ac:dyDescent="0.2">
      <c r="A853" s="1">
        <v>42860</v>
      </c>
      <c r="B853">
        <v>72929.8</v>
      </c>
      <c r="C853" s="6">
        <f t="shared" si="39"/>
        <v>3.3570707332783415E-3</v>
      </c>
      <c r="D853" s="7">
        <f t="shared" si="40"/>
        <v>0.25697186146264367</v>
      </c>
      <c r="E853" s="8">
        <f t="shared" si="41"/>
        <v>-0.71474190300298823</v>
      </c>
    </row>
    <row r="854" spans="1:5" x14ac:dyDescent="0.2">
      <c r="A854" s="1">
        <v>42863</v>
      </c>
      <c r="B854">
        <v>73124.070000000007</v>
      </c>
      <c r="C854" s="6">
        <f t="shared" si="39"/>
        <v>2.660252885731026E-3</v>
      </c>
      <c r="D854" s="7">
        <f t="shared" si="40"/>
        <v>0.19842804529584257</v>
      </c>
      <c r="E854" s="8">
        <f t="shared" si="41"/>
        <v>-0.68219261106231421</v>
      </c>
    </row>
    <row r="855" spans="1:5" x14ac:dyDescent="0.2">
      <c r="A855" s="1">
        <v>42864</v>
      </c>
      <c r="B855">
        <v>73921.039999999994</v>
      </c>
      <c r="C855" s="6">
        <f t="shared" si="39"/>
        <v>1.0839908976097915E-2</v>
      </c>
      <c r="D855" s="7">
        <f t="shared" si="40"/>
        <v>0.88564965442602206</v>
      </c>
      <c r="E855" s="8">
        <f t="shared" si="41"/>
        <v>-1.4620932702218039</v>
      </c>
    </row>
    <row r="856" spans="1:5" x14ac:dyDescent="0.2">
      <c r="A856" s="1">
        <v>42865</v>
      </c>
      <c r="B856">
        <v>73805.78</v>
      </c>
      <c r="C856" s="6">
        <f t="shared" si="39"/>
        <v>-1.5604481757362408E-3</v>
      </c>
      <c r="D856" s="7">
        <f t="shared" si="40"/>
        <v>-0.15617818057408761</v>
      </c>
      <c r="E856" s="8">
        <f t="shared" si="41"/>
        <v>-0.66371350092948045</v>
      </c>
    </row>
    <row r="857" spans="1:5" x14ac:dyDescent="0.2">
      <c r="A857" s="1">
        <v>42866</v>
      </c>
      <c r="B857">
        <v>73751.210000000006</v>
      </c>
      <c r="C857" s="6">
        <f t="shared" si="39"/>
        <v>-7.3964645778999249E-4</v>
      </c>
      <c r="D857" s="7">
        <f t="shared" si="40"/>
        <v>-8.7217741265625745E-2</v>
      </c>
      <c r="E857" s="8">
        <f t="shared" si="41"/>
        <v>-0.64284719099338816</v>
      </c>
    </row>
    <row r="858" spans="1:5" x14ac:dyDescent="0.2">
      <c r="A858" s="1">
        <v>42867</v>
      </c>
      <c r="B858">
        <v>73567.350000000006</v>
      </c>
      <c r="C858" s="6">
        <f t="shared" si="39"/>
        <v>-2.496088686462861E-3</v>
      </c>
      <c r="D858" s="7">
        <f t="shared" si="40"/>
        <v>-0.23478691060445864</v>
      </c>
      <c r="E858" s="8">
        <f t="shared" si="41"/>
        <v>-0.70147397322278793</v>
      </c>
    </row>
    <row r="859" spans="1:5" x14ac:dyDescent="0.2">
      <c r="A859" s="1">
        <v>42870</v>
      </c>
      <c r="B859">
        <v>73437.14</v>
      </c>
      <c r="C859" s="6">
        <f t="shared" si="39"/>
        <v>-1.7715109797346426E-3</v>
      </c>
      <c r="D859" s="7">
        <f t="shared" si="40"/>
        <v>-0.17391082338802327</v>
      </c>
      <c r="E859" s="8">
        <f t="shared" si="41"/>
        <v>-0.67094940747749687</v>
      </c>
    </row>
    <row r="860" spans="1:5" x14ac:dyDescent="0.2">
      <c r="A860" s="1">
        <v>42871</v>
      </c>
      <c r="B860">
        <v>73213.33</v>
      </c>
      <c r="C860" s="6">
        <f t="shared" si="39"/>
        <v>-3.0522939852893746E-3</v>
      </c>
      <c r="D860" s="7">
        <f t="shared" si="40"/>
        <v>-0.28151702935803868</v>
      </c>
      <c r="E860" s="8">
        <f t="shared" si="41"/>
        <v>-0.73072240260054944</v>
      </c>
    </row>
    <row r="861" spans="1:5" x14ac:dyDescent="0.2">
      <c r="A861" s="1">
        <v>42872</v>
      </c>
      <c r="B861">
        <v>73465.279999999999</v>
      </c>
      <c r="C861" s="6">
        <f t="shared" si="39"/>
        <v>3.435405445865492E-3</v>
      </c>
      <c r="D861" s="7">
        <f t="shared" si="40"/>
        <v>0.26355322706532358</v>
      </c>
      <c r="E861" s="8">
        <f t="shared" si="41"/>
        <v>-0.71889369058869068</v>
      </c>
    </row>
    <row r="862" spans="1:5" x14ac:dyDescent="0.2">
      <c r="A862" s="1">
        <v>42873</v>
      </c>
      <c r="B862">
        <v>73969.06</v>
      </c>
      <c r="C862" s="6">
        <f t="shared" si="39"/>
        <v>6.8339840051159671E-3</v>
      </c>
      <c r="D862" s="7">
        <f t="shared" si="40"/>
        <v>0.54908804667638611</v>
      </c>
      <c r="E862" s="8">
        <f t="shared" si="41"/>
        <v>-0.98515165448331155</v>
      </c>
    </row>
    <row r="863" spans="1:5" x14ac:dyDescent="0.2">
      <c r="A863" s="1">
        <v>42874</v>
      </c>
      <c r="B863">
        <v>74426.58</v>
      </c>
      <c r="C863" s="6">
        <f t="shared" si="39"/>
        <v>6.1662384376001715E-3</v>
      </c>
      <c r="D863" s="7">
        <f t="shared" si="40"/>
        <v>0.49298676584892198</v>
      </c>
      <c r="E863" s="8">
        <f t="shared" si="41"/>
        <v>-0.92069728959223107</v>
      </c>
    </row>
    <row r="864" spans="1:5" x14ac:dyDescent="0.2">
      <c r="A864" s="1">
        <v>42877</v>
      </c>
      <c r="B864">
        <v>74737.11</v>
      </c>
      <c r="C864" s="6">
        <f t="shared" si="39"/>
        <v>4.1636198273886146E-3</v>
      </c>
      <c r="D864" s="7">
        <f t="shared" si="40"/>
        <v>0.32473485298373206</v>
      </c>
      <c r="E864" s="8">
        <f t="shared" si="41"/>
        <v>-0.76210153721526874</v>
      </c>
    </row>
    <row r="865" spans="1:5" x14ac:dyDescent="0.2">
      <c r="A865" s="1">
        <v>42878</v>
      </c>
      <c r="B865">
        <v>74678.64</v>
      </c>
      <c r="C865" s="6">
        <f t="shared" si="39"/>
        <v>-7.8264845552888311E-4</v>
      </c>
      <c r="D865" s="7">
        <f t="shared" si="40"/>
        <v>-9.08305951259165E-2</v>
      </c>
      <c r="E865" s="8">
        <f t="shared" si="41"/>
        <v>-0.64365010220881003</v>
      </c>
    </row>
    <row r="866" spans="1:5" x14ac:dyDescent="0.2">
      <c r="A866" s="1">
        <v>42879</v>
      </c>
      <c r="B866">
        <v>74129.27</v>
      </c>
      <c r="C866" s="6">
        <f t="shared" si="39"/>
        <v>-7.383646418902527E-3</v>
      </c>
      <c r="D866" s="7">
        <f t="shared" si="40"/>
        <v>-0.64541973581082757</v>
      </c>
      <c r="E866" s="8">
        <f t="shared" si="41"/>
        <v>-1.1073506931434711</v>
      </c>
    </row>
    <row r="867" spans="1:5" x14ac:dyDescent="0.2">
      <c r="A867" s="1">
        <v>42880</v>
      </c>
      <c r="B867">
        <v>74020.06</v>
      </c>
      <c r="C867" s="6">
        <f t="shared" si="39"/>
        <v>-1.4743235056391749E-3</v>
      </c>
      <c r="D867" s="7">
        <f t="shared" si="40"/>
        <v>-0.14894233426025358</v>
      </c>
      <c r="E867" s="8">
        <f t="shared" si="41"/>
        <v>-0.66097875621264734</v>
      </c>
    </row>
    <row r="868" spans="1:5" x14ac:dyDescent="0.2">
      <c r="A868" s="1">
        <v>42881</v>
      </c>
      <c r="B868">
        <v>74360.58</v>
      </c>
      <c r="C868" s="6">
        <f t="shared" si="39"/>
        <v>4.5898251658263254E-3</v>
      </c>
      <c r="D868" s="7">
        <f t="shared" si="40"/>
        <v>0.36054290105631298</v>
      </c>
      <c r="E868" s="8">
        <f t="shared" si="41"/>
        <v>-0.7911361729926687</v>
      </c>
    </row>
    <row r="869" spans="1:5" x14ac:dyDescent="0.2">
      <c r="A869" s="1">
        <v>42884</v>
      </c>
      <c r="B869">
        <v>74278.63</v>
      </c>
      <c r="C869" s="6">
        <f t="shared" si="39"/>
        <v>-1.102670127262602E-3</v>
      </c>
      <c r="D869" s="7">
        <f t="shared" si="40"/>
        <v>-0.1177175211501513</v>
      </c>
      <c r="E869" s="8">
        <f t="shared" si="41"/>
        <v>-0.65063803393983577</v>
      </c>
    </row>
    <row r="870" spans="1:5" x14ac:dyDescent="0.2">
      <c r="A870" s="1">
        <v>42885</v>
      </c>
      <c r="B870">
        <v>74501.91</v>
      </c>
      <c r="C870" s="6">
        <f t="shared" si="39"/>
        <v>3.0014700527922836E-3</v>
      </c>
      <c r="D870" s="7">
        <f t="shared" si="40"/>
        <v>0.22709573107872502</v>
      </c>
      <c r="E870" s="8">
        <f t="shared" si="41"/>
        <v>-0.6971383731646803</v>
      </c>
    </row>
    <row r="871" spans="1:5" x14ac:dyDescent="0.2">
      <c r="A871" s="1">
        <v>42886</v>
      </c>
      <c r="B871">
        <v>73731.259999999995</v>
      </c>
      <c r="C871" s="6">
        <f t="shared" si="39"/>
        <v>-1.0397901405060986E-2</v>
      </c>
      <c r="D871" s="7">
        <f t="shared" si="40"/>
        <v>-0.89866524381647894</v>
      </c>
      <c r="E871" s="8">
        <f t="shared" si="41"/>
        <v>-1.4828862914278227</v>
      </c>
    </row>
    <row r="872" spans="1:5" x14ac:dyDescent="0.2">
      <c r="A872" s="1">
        <v>42887</v>
      </c>
      <c r="B872">
        <v>72838.490000000005</v>
      </c>
      <c r="C872" s="6">
        <f t="shared" si="39"/>
        <v>-1.21823369591077E-2</v>
      </c>
      <c r="D872" s="7">
        <f t="shared" si="40"/>
        <v>-1.0485862990898531</v>
      </c>
      <c r="E872" s="8">
        <f t="shared" si="41"/>
        <v>-1.7304797961216962</v>
      </c>
    </row>
    <row r="873" spans="1:5" x14ac:dyDescent="0.2">
      <c r="A873" s="1">
        <v>42888</v>
      </c>
      <c r="B873">
        <v>72808.84</v>
      </c>
      <c r="C873" s="6">
        <f t="shared" si="39"/>
        <v>-4.0714787438396791E-4</v>
      </c>
      <c r="D873" s="7">
        <f t="shared" si="40"/>
        <v>-5.928255560532688E-2</v>
      </c>
      <c r="E873" s="8">
        <f t="shared" si="41"/>
        <v>-0.63773291660376974</v>
      </c>
    </row>
    <row r="874" spans="1:5" x14ac:dyDescent="0.2">
      <c r="A874" s="1">
        <v>42891</v>
      </c>
      <c r="B874">
        <v>72615.33</v>
      </c>
      <c r="C874" s="6">
        <f t="shared" si="39"/>
        <v>-2.6613198371794942E-3</v>
      </c>
      <c r="D874" s="7">
        <f t="shared" si="40"/>
        <v>-0.24866896334841732</v>
      </c>
      <c r="E874" s="8">
        <f t="shared" si="41"/>
        <v>-0.70964444114916569</v>
      </c>
    </row>
    <row r="875" spans="1:5" x14ac:dyDescent="0.2">
      <c r="A875" s="1">
        <v>42892</v>
      </c>
      <c r="B875">
        <v>71432.460000000006</v>
      </c>
      <c r="C875" s="6">
        <f t="shared" si="39"/>
        <v>-1.6423668679961541E-2</v>
      </c>
      <c r="D875" s="7">
        <f t="shared" si="40"/>
        <v>-1.4049258294880453</v>
      </c>
      <c r="E875" s="8">
        <f t="shared" si="41"/>
        <v>-2.3521153518250415</v>
      </c>
    </row>
    <row r="876" spans="1:5" x14ac:dyDescent="0.2">
      <c r="A876" s="1">
        <v>42893</v>
      </c>
      <c r="B876">
        <v>71274.59</v>
      </c>
      <c r="C876" s="6">
        <f t="shared" si="39"/>
        <v>-2.2125054704751437E-3</v>
      </c>
      <c r="D876" s="7">
        <f t="shared" si="40"/>
        <v>-0.21096139619891974</v>
      </c>
      <c r="E876" s="8">
        <f t="shared" si="41"/>
        <v>-0.68848996959119246</v>
      </c>
    </row>
    <row r="877" spans="1:5" x14ac:dyDescent="0.2">
      <c r="A877" s="1">
        <v>42894</v>
      </c>
      <c r="B877">
        <v>71073.149999999994</v>
      </c>
      <c r="C877" s="6">
        <f t="shared" si="39"/>
        <v>-2.8302540590649213E-3</v>
      </c>
      <c r="D877" s="7">
        <f t="shared" si="40"/>
        <v>-0.26286213314903795</v>
      </c>
      <c r="E877" s="8">
        <f t="shared" si="41"/>
        <v>-0.71845311521134092</v>
      </c>
    </row>
    <row r="878" spans="1:5" x14ac:dyDescent="0.2">
      <c r="A878" s="1">
        <v>42895</v>
      </c>
      <c r="B878">
        <v>71428.69</v>
      </c>
      <c r="C878" s="6">
        <f t="shared" si="39"/>
        <v>4.9899810099651443E-3</v>
      </c>
      <c r="D878" s="7">
        <f t="shared" si="40"/>
        <v>0.39416237601636472</v>
      </c>
      <c r="E878" s="8">
        <f t="shared" si="41"/>
        <v>-0.82080700033878207</v>
      </c>
    </row>
    <row r="879" spans="1:5" x14ac:dyDescent="0.2">
      <c r="A879" s="1">
        <v>42898</v>
      </c>
      <c r="B879">
        <v>69774.210000000006</v>
      </c>
      <c r="C879" s="6">
        <f t="shared" si="39"/>
        <v>-2.343515211398205E-2</v>
      </c>
      <c r="D879" s="7">
        <f t="shared" si="40"/>
        <v>-1.9940022985576691</v>
      </c>
      <c r="E879" s="8">
        <f t="shared" si="41"/>
        <v>-3.3722522070488958</v>
      </c>
    </row>
    <row r="880" spans="1:5" x14ac:dyDescent="0.2">
      <c r="A880" s="1">
        <v>42899</v>
      </c>
      <c r="B880">
        <v>70046.81</v>
      </c>
      <c r="C880" s="6">
        <f t="shared" si="39"/>
        <v>3.8992755937850101E-3</v>
      </c>
      <c r="D880" s="7">
        <f t="shared" si="40"/>
        <v>0.3025257200355515</v>
      </c>
      <c r="E880" s="8">
        <f t="shared" si="41"/>
        <v>-0.74546649853076852</v>
      </c>
    </row>
    <row r="881" spans="1:5" x14ac:dyDescent="0.2">
      <c r="A881" s="1">
        <v>42900</v>
      </c>
      <c r="B881">
        <v>69896.66</v>
      </c>
      <c r="C881" s="6">
        <f t="shared" si="39"/>
        <v>-2.1458672936562032E-3</v>
      </c>
      <c r="D881" s="7">
        <f t="shared" si="40"/>
        <v>-0.20536272620630888</v>
      </c>
      <c r="E881" s="8">
        <f t="shared" si="41"/>
        <v>-0.68563124747429705</v>
      </c>
    </row>
    <row r="882" spans="1:5" x14ac:dyDescent="0.2">
      <c r="A882" s="1">
        <v>42901</v>
      </c>
      <c r="B882">
        <v>69174.34</v>
      </c>
      <c r="C882" s="6">
        <f t="shared" si="39"/>
        <v>-1.038788094332798E-2</v>
      </c>
      <c r="D882" s="7">
        <f t="shared" si="40"/>
        <v>-0.89782336516531003</v>
      </c>
      <c r="E882" s="8">
        <f t="shared" si="41"/>
        <v>-1.4815374349636199</v>
      </c>
    </row>
    <row r="883" spans="1:5" x14ac:dyDescent="0.2">
      <c r="A883" s="1">
        <v>42905</v>
      </c>
      <c r="B883">
        <v>70732.84</v>
      </c>
      <c r="C883" s="6">
        <f t="shared" si="39"/>
        <v>2.2279978326822228E-2</v>
      </c>
      <c r="D883" s="7">
        <f t="shared" si="40"/>
        <v>1.8467979937827901</v>
      </c>
      <c r="E883" s="8">
        <f t="shared" si="41"/>
        <v>-3.1238338735367934</v>
      </c>
    </row>
    <row r="884" spans="1:5" x14ac:dyDescent="0.2">
      <c r="A884" s="1">
        <v>42906</v>
      </c>
      <c r="B884">
        <v>70435.77</v>
      </c>
      <c r="C884" s="6">
        <f t="shared" si="39"/>
        <v>-4.2087322176014722E-3</v>
      </c>
      <c r="D884" s="7">
        <f t="shared" si="40"/>
        <v>-0.37867629058970903</v>
      </c>
      <c r="E884" s="8">
        <f t="shared" si="41"/>
        <v>-0.80685533056988057</v>
      </c>
    </row>
    <row r="885" spans="1:5" x14ac:dyDescent="0.2">
      <c r="A885" s="1">
        <v>42907</v>
      </c>
      <c r="B885">
        <v>70834.27</v>
      </c>
      <c r="C885" s="6">
        <f t="shared" si="39"/>
        <v>5.6416924208033455E-3</v>
      </c>
      <c r="D885" s="7">
        <f t="shared" si="40"/>
        <v>0.44891653187533548</v>
      </c>
      <c r="E885" s="8">
        <f t="shared" si="41"/>
        <v>-0.87390035339044514</v>
      </c>
    </row>
    <row r="886" spans="1:5" x14ac:dyDescent="0.2">
      <c r="A886" s="1">
        <v>42908</v>
      </c>
      <c r="B886">
        <v>70428.639999999999</v>
      </c>
      <c r="C886" s="6">
        <f t="shared" si="39"/>
        <v>-5.7429245206090879E-3</v>
      </c>
      <c r="D886" s="7">
        <f t="shared" si="40"/>
        <v>-0.50757292041620072</v>
      </c>
      <c r="E886" s="8">
        <f t="shared" si="41"/>
        <v>-0.93694417239162819</v>
      </c>
    </row>
    <row r="887" spans="1:5" x14ac:dyDescent="0.2">
      <c r="A887" s="1">
        <v>42909</v>
      </c>
      <c r="B887">
        <v>71196.460000000006</v>
      </c>
      <c r="C887" s="6">
        <f t="shared" si="39"/>
        <v>1.0843099463036696E-2</v>
      </c>
      <c r="D887" s="7">
        <f t="shared" si="40"/>
        <v>0.88591770622963761</v>
      </c>
      <c r="E887" s="8">
        <f t="shared" si="41"/>
        <v>-1.4625201758320558</v>
      </c>
    </row>
    <row r="888" spans="1:5" x14ac:dyDescent="0.2">
      <c r="A888" s="1">
        <v>42912</v>
      </c>
      <c r="B888">
        <v>70742.03</v>
      </c>
      <c r="C888" s="6">
        <f t="shared" si="39"/>
        <v>-6.4032180796102251E-3</v>
      </c>
      <c r="D888" s="7">
        <f t="shared" si="40"/>
        <v>-0.56304811363972185</v>
      </c>
      <c r="E888" s="8">
        <f t="shared" si="41"/>
        <v>-1.0019925158782779</v>
      </c>
    </row>
    <row r="889" spans="1:5" x14ac:dyDescent="0.2">
      <c r="A889" s="1">
        <v>42913</v>
      </c>
      <c r="B889">
        <v>70692.2</v>
      </c>
      <c r="C889" s="6">
        <f t="shared" si="39"/>
        <v>-7.0463850316549261E-4</v>
      </c>
      <c r="D889" s="7">
        <f t="shared" si="40"/>
        <v>-8.4276514563229502E-2</v>
      </c>
      <c r="E889" s="8">
        <f t="shared" si="41"/>
        <v>-0.64221742103729107</v>
      </c>
    </row>
    <row r="890" spans="1:5" x14ac:dyDescent="0.2">
      <c r="A890" s="1">
        <v>42914</v>
      </c>
      <c r="B890">
        <v>70656.740000000005</v>
      </c>
      <c r="C890" s="6">
        <f t="shared" si="39"/>
        <v>-5.0173705927876748E-4</v>
      </c>
      <c r="D890" s="7">
        <f t="shared" si="40"/>
        <v>-6.7229556204321569E-2</v>
      </c>
      <c r="E890" s="8">
        <f t="shared" si="41"/>
        <v>-0.63899029197324531</v>
      </c>
    </row>
    <row r="891" spans="1:5" x14ac:dyDescent="0.2">
      <c r="A891" s="1">
        <v>42915</v>
      </c>
      <c r="B891">
        <v>70016.789999999994</v>
      </c>
      <c r="C891" s="6">
        <f t="shared" si="39"/>
        <v>-9.0984340076261435E-3</v>
      </c>
      <c r="D891" s="7">
        <f t="shared" si="40"/>
        <v>-0.7894892508393313</v>
      </c>
      <c r="E891" s="8">
        <f t="shared" si="41"/>
        <v>-1.3128977620500177</v>
      </c>
    </row>
    <row r="892" spans="1:5" x14ac:dyDescent="0.2">
      <c r="A892" s="1">
        <v>42916</v>
      </c>
      <c r="B892">
        <v>70512.14</v>
      </c>
      <c r="C892" s="6">
        <f t="shared" si="39"/>
        <v>7.0498231442187699E-3</v>
      </c>
      <c r="D892" s="7">
        <f t="shared" si="40"/>
        <v>0.56722197784033646</v>
      </c>
      <c r="E892" s="8">
        <f t="shared" si="41"/>
        <v>-1.0070873685247288</v>
      </c>
    </row>
    <row r="893" spans="1:5" x14ac:dyDescent="0.2">
      <c r="A893" s="1">
        <v>42919</v>
      </c>
      <c r="B893">
        <v>71311.520000000004</v>
      </c>
      <c r="C893" s="6">
        <f t="shared" si="39"/>
        <v>1.1272991621270035E-2</v>
      </c>
      <c r="D893" s="7">
        <f t="shared" si="40"/>
        <v>0.92203550598426154</v>
      </c>
      <c r="E893" s="8">
        <f t="shared" si="41"/>
        <v>-1.5205390235943035</v>
      </c>
    </row>
    <row r="894" spans="1:5" x14ac:dyDescent="0.2">
      <c r="A894" s="1">
        <v>42920</v>
      </c>
      <c r="B894">
        <v>70391.13</v>
      </c>
      <c r="C894" s="6">
        <f t="shared" si="39"/>
        <v>-1.2990624288715343E-2</v>
      </c>
      <c r="D894" s="7">
        <f t="shared" si="40"/>
        <v>-1.1164953301243823</v>
      </c>
      <c r="E894" s="8">
        <f t="shared" si="41"/>
        <v>-1.8464544905328777</v>
      </c>
    </row>
    <row r="895" spans="1:5" x14ac:dyDescent="0.2">
      <c r="A895" s="1">
        <v>42921</v>
      </c>
      <c r="B895">
        <v>71193.8</v>
      </c>
      <c r="C895" s="6">
        <f t="shared" si="39"/>
        <v>1.1338475066814731E-2</v>
      </c>
      <c r="D895" s="7">
        <f t="shared" si="40"/>
        <v>0.9275371601273511</v>
      </c>
      <c r="E895" s="8">
        <f t="shared" si="41"/>
        <v>-1.5294599669896674</v>
      </c>
    </row>
    <row r="896" spans="1:5" x14ac:dyDescent="0.2">
      <c r="A896" s="1">
        <v>42922</v>
      </c>
      <c r="B896">
        <v>70584.679999999993</v>
      </c>
      <c r="C896" s="6">
        <f t="shared" si="39"/>
        <v>-8.5926121899131142E-3</v>
      </c>
      <c r="D896" s="7">
        <f t="shared" si="40"/>
        <v>-0.74699214831306737</v>
      </c>
      <c r="E896" s="8">
        <f t="shared" si="41"/>
        <v>-1.2497845603465174</v>
      </c>
    </row>
    <row r="897" spans="1:5" x14ac:dyDescent="0.2">
      <c r="A897" s="1">
        <v>42923</v>
      </c>
      <c r="B897">
        <v>70186.12</v>
      </c>
      <c r="C897" s="6">
        <f t="shared" si="39"/>
        <v>-5.6625531000550067E-3</v>
      </c>
      <c r="D897" s="7">
        <f t="shared" si="40"/>
        <v>-0.50082043885083249</v>
      </c>
      <c r="E897" s="8">
        <f t="shared" si="41"/>
        <v>-0.92937714977776087</v>
      </c>
    </row>
    <row r="898" spans="1:5" x14ac:dyDescent="0.2">
      <c r="A898" s="1">
        <v>42926</v>
      </c>
      <c r="B898">
        <v>70540.210000000006</v>
      </c>
      <c r="C898" s="6">
        <f t="shared" si="39"/>
        <v>5.032331153070637E-3</v>
      </c>
      <c r="D898" s="7">
        <f t="shared" si="40"/>
        <v>0.39772046368781649</v>
      </c>
      <c r="E898" s="8">
        <f t="shared" si="41"/>
        <v>-0.82408022006773851</v>
      </c>
    </row>
    <row r="899" spans="1:5" x14ac:dyDescent="0.2">
      <c r="A899" s="1">
        <v>42927</v>
      </c>
      <c r="B899">
        <v>70926.47</v>
      </c>
      <c r="C899" s="6">
        <f t="shared" ref="C899:C962" si="42">LN(B899/B898)</f>
        <v>5.4608047614906003E-3</v>
      </c>
      <c r="D899" s="7">
        <f t="shared" ref="D899:D962" si="43">(C899-$G$4)/$G$5</f>
        <v>0.43371908262669345</v>
      </c>
      <c r="E899" s="8">
        <f t="shared" ref="E899:E962" si="44">LN((PI()*(G$3-2))^(-1/2)*EXP(GAMMALN((G$3+1)/2))*((1+D899^2/(G$3-2))^(-(G$3+1)/2))/EXP(GAMMALN(G$3/2)))</f>
        <v>-0.85858851522790891</v>
      </c>
    </row>
    <row r="900" spans="1:5" x14ac:dyDescent="0.2">
      <c r="A900" s="1">
        <v>42928</v>
      </c>
      <c r="B900">
        <v>71739.350000000006</v>
      </c>
      <c r="C900" s="6">
        <f t="shared" si="42"/>
        <v>1.1395704967581655E-2</v>
      </c>
      <c r="D900" s="7">
        <f t="shared" si="43"/>
        <v>0.93234538483275442</v>
      </c>
      <c r="E900" s="8">
        <f t="shared" si="44"/>
        <v>-1.5372737335061033</v>
      </c>
    </row>
    <row r="901" spans="1:5" x14ac:dyDescent="0.2">
      <c r="A901" s="1">
        <v>42929</v>
      </c>
      <c r="B901">
        <v>72463.64</v>
      </c>
      <c r="C901" s="6">
        <f t="shared" si="42"/>
        <v>1.0045507250561428E-2</v>
      </c>
      <c r="D901" s="7">
        <f t="shared" si="43"/>
        <v>0.81890723566321943</v>
      </c>
      <c r="E901" s="8">
        <f t="shared" si="44"/>
        <v>-1.3576546795548745</v>
      </c>
    </row>
    <row r="902" spans="1:5" x14ac:dyDescent="0.2">
      <c r="A902" s="1">
        <v>42930</v>
      </c>
      <c r="B902">
        <v>72861.789999999994</v>
      </c>
      <c r="C902" s="6">
        <f t="shared" si="42"/>
        <v>5.4794401252355315E-3</v>
      </c>
      <c r="D902" s="7">
        <f t="shared" si="43"/>
        <v>0.43528475048827997</v>
      </c>
      <c r="E902" s="8">
        <f t="shared" si="44"/>
        <v>-0.86014589269381569</v>
      </c>
    </row>
    <row r="903" spans="1:5" x14ac:dyDescent="0.2">
      <c r="A903" s="1">
        <v>42933</v>
      </c>
      <c r="B903">
        <v>73114.13</v>
      </c>
      <c r="C903" s="6">
        <f t="shared" si="42"/>
        <v>3.4572859872776369E-3</v>
      </c>
      <c r="D903" s="7">
        <f t="shared" si="43"/>
        <v>0.26539154162424522</v>
      </c>
      <c r="E903" s="8">
        <f t="shared" si="44"/>
        <v>-0.72007087362725941</v>
      </c>
    </row>
    <row r="904" spans="1:5" x14ac:dyDescent="0.2">
      <c r="A904" s="1">
        <v>42934</v>
      </c>
      <c r="B904">
        <v>72328.160000000003</v>
      </c>
      <c r="C904" s="6">
        <f t="shared" si="42"/>
        <v>-1.0808103352635498E-2</v>
      </c>
      <c r="D904" s="7">
        <f t="shared" si="43"/>
        <v>-0.93312875173981091</v>
      </c>
      <c r="E904" s="8">
        <f t="shared" si="44"/>
        <v>-1.538548275227525</v>
      </c>
    </row>
    <row r="905" spans="1:5" x14ac:dyDescent="0.2">
      <c r="A905" s="1">
        <v>42935</v>
      </c>
      <c r="B905">
        <v>73653.06</v>
      </c>
      <c r="C905" s="6">
        <f t="shared" si="42"/>
        <v>1.8152148329765007E-2</v>
      </c>
      <c r="D905" s="7">
        <f t="shared" si="43"/>
        <v>1.4999944189803869</v>
      </c>
      <c r="E905" s="8">
        <f t="shared" si="44"/>
        <v>-2.520146651777595</v>
      </c>
    </row>
    <row r="906" spans="1:5" x14ac:dyDescent="0.2">
      <c r="A906" s="1">
        <v>42936</v>
      </c>
      <c r="B906">
        <v>74155.27</v>
      </c>
      <c r="C906" s="6">
        <f t="shared" si="42"/>
        <v>6.7954483024228957E-3</v>
      </c>
      <c r="D906" s="7">
        <f t="shared" si="43"/>
        <v>0.54585043285483648</v>
      </c>
      <c r="E906" s="8">
        <f t="shared" si="44"/>
        <v>-0.9812903364882386</v>
      </c>
    </row>
    <row r="907" spans="1:5" x14ac:dyDescent="0.2">
      <c r="A907" s="1">
        <v>42937</v>
      </c>
      <c r="B907">
        <v>74301.23</v>
      </c>
      <c r="C907" s="6">
        <f t="shared" si="42"/>
        <v>1.9663678859566211E-3</v>
      </c>
      <c r="D907" s="7">
        <f t="shared" si="43"/>
        <v>0.14013063513237056</v>
      </c>
      <c r="E907" s="8">
        <f t="shared" si="44"/>
        <v>-0.65781985561245448</v>
      </c>
    </row>
    <row r="908" spans="1:5" x14ac:dyDescent="0.2">
      <c r="A908" s="1">
        <v>42940</v>
      </c>
      <c r="B908">
        <v>74917.37</v>
      </c>
      <c r="C908" s="6">
        <f t="shared" si="42"/>
        <v>8.2582667532349104E-3</v>
      </c>
      <c r="D908" s="7">
        <f t="shared" si="43"/>
        <v>0.66875052040451466</v>
      </c>
      <c r="E908" s="8">
        <f t="shared" si="44"/>
        <v>-1.1389263196442407</v>
      </c>
    </row>
    <row r="909" spans="1:5" x14ac:dyDescent="0.2">
      <c r="A909" s="1">
        <v>42941</v>
      </c>
      <c r="B909">
        <v>74504.460000000006</v>
      </c>
      <c r="C909" s="6">
        <f t="shared" si="42"/>
        <v>-5.5267834832300302E-3</v>
      </c>
      <c r="D909" s="7">
        <f t="shared" si="43"/>
        <v>-0.48941362498058544</v>
      </c>
      <c r="E909" s="8">
        <f t="shared" si="44"/>
        <v>-0.91677372736059526</v>
      </c>
    </row>
    <row r="910" spans="1:5" x14ac:dyDescent="0.2">
      <c r="A910" s="1">
        <v>42942</v>
      </c>
      <c r="B910">
        <v>74959.34</v>
      </c>
      <c r="C910" s="6">
        <f t="shared" si="42"/>
        <v>6.0868438301252418E-3</v>
      </c>
      <c r="D910" s="7">
        <f t="shared" si="43"/>
        <v>0.48631635216619551</v>
      </c>
      <c r="E910" s="8">
        <f t="shared" si="44"/>
        <v>-0.91339084656027658</v>
      </c>
    </row>
    <row r="911" spans="1:5" x14ac:dyDescent="0.2">
      <c r="A911" s="1">
        <v>42943</v>
      </c>
      <c r="B911">
        <v>74693.88</v>
      </c>
      <c r="C911" s="6">
        <f t="shared" si="42"/>
        <v>-3.5476721238973069E-3</v>
      </c>
      <c r="D911" s="7">
        <f t="shared" si="43"/>
        <v>-0.32313669622190394</v>
      </c>
      <c r="E911" s="8">
        <f t="shared" si="44"/>
        <v>-0.76086896259983783</v>
      </c>
    </row>
    <row r="912" spans="1:5" x14ac:dyDescent="0.2">
      <c r="A912" s="1">
        <v>42944</v>
      </c>
      <c r="B912">
        <v>74465.539999999994</v>
      </c>
      <c r="C912" s="6">
        <f t="shared" si="42"/>
        <v>-3.0616930311326818E-3</v>
      </c>
      <c r="D912" s="7">
        <f t="shared" si="43"/>
        <v>-0.28230669916045653</v>
      </c>
      <c r="E912" s="8">
        <f t="shared" si="44"/>
        <v>-0.73125894019618665</v>
      </c>
    </row>
    <row r="913" spans="1:5" x14ac:dyDescent="0.2">
      <c r="A913" s="1">
        <v>42947</v>
      </c>
      <c r="B913">
        <v>74838.460000000006</v>
      </c>
      <c r="C913" s="6">
        <f t="shared" si="42"/>
        <v>4.995455922210363E-3</v>
      </c>
      <c r="D913" s="7">
        <f t="shared" si="43"/>
        <v>0.39462235599124856</v>
      </c>
      <c r="E913" s="8">
        <f t="shared" si="44"/>
        <v>-0.82122873872036273</v>
      </c>
    </row>
    <row r="914" spans="1:5" x14ac:dyDescent="0.2">
      <c r="A914" s="1">
        <v>42948</v>
      </c>
      <c r="B914">
        <v>75117.600000000006</v>
      </c>
      <c r="C914" s="6">
        <f t="shared" si="42"/>
        <v>3.7229615450941455E-3</v>
      </c>
      <c r="D914" s="7">
        <f t="shared" si="43"/>
        <v>0.28771252704614331</v>
      </c>
      <c r="E914" s="8">
        <f t="shared" si="44"/>
        <v>-0.73496910734045784</v>
      </c>
    </row>
    <row r="915" spans="1:5" x14ac:dyDescent="0.2">
      <c r="A915" s="1">
        <v>42949</v>
      </c>
      <c r="B915">
        <v>74810.87</v>
      </c>
      <c r="C915" s="6">
        <f t="shared" si="42"/>
        <v>-4.0916902298481763E-3</v>
      </c>
      <c r="D915" s="7">
        <f t="shared" si="43"/>
        <v>-0.36884289634048856</v>
      </c>
      <c r="E915" s="8">
        <f t="shared" si="44"/>
        <v>-0.7982476804174482</v>
      </c>
    </row>
    <row r="916" spans="1:5" x14ac:dyDescent="0.2">
      <c r="A916" s="1">
        <v>42950</v>
      </c>
      <c r="B916">
        <v>75208.47</v>
      </c>
      <c r="C916" s="6">
        <f t="shared" si="42"/>
        <v>5.3006623139059935E-3</v>
      </c>
      <c r="D916" s="7">
        <f t="shared" si="43"/>
        <v>0.42026456213056307</v>
      </c>
      <c r="E916" s="8">
        <f t="shared" si="44"/>
        <v>-0.84539765853387083</v>
      </c>
    </row>
    <row r="917" spans="1:5" x14ac:dyDescent="0.2">
      <c r="A917" s="1">
        <v>42951</v>
      </c>
      <c r="B917">
        <v>75605.240000000005</v>
      </c>
      <c r="C917" s="6">
        <f t="shared" si="42"/>
        <v>5.2617353609223086E-3</v>
      </c>
      <c r="D917" s="7">
        <f t="shared" si="43"/>
        <v>0.41699407704262792</v>
      </c>
      <c r="E917" s="8">
        <f t="shared" si="44"/>
        <v>-0.84224374645237021</v>
      </c>
    </row>
    <row r="918" spans="1:5" x14ac:dyDescent="0.2">
      <c r="A918" s="1">
        <v>42954</v>
      </c>
      <c r="B918">
        <v>76077.37</v>
      </c>
      <c r="C918" s="6">
        <f t="shared" si="42"/>
        <v>6.2252558119266941E-3</v>
      </c>
      <c r="D918" s="7">
        <f t="shared" si="43"/>
        <v>0.49794516685053331</v>
      </c>
      <c r="E918" s="8">
        <f t="shared" si="44"/>
        <v>-0.92617891069800684</v>
      </c>
    </row>
    <row r="919" spans="1:5" x14ac:dyDescent="0.2">
      <c r="A919" s="1">
        <v>42955</v>
      </c>
      <c r="B919">
        <v>75991.23</v>
      </c>
      <c r="C919" s="6">
        <f t="shared" si="42"/>
        <v>-1.132909873744881E-3</v>
      </c>
      <c r="D919" s="7">
        <f t="shared" si="43"/>
        <v>-0.12025814229701279</v>
      </c>
      <c r="E919" s="8">
        <f t="shared" si="44"/>
        <v>-0.65139035009369939</v>
      </c>
    </row>
    <row r="920" spans="1:5" x14ac:dyDescent="0.2">
      <c r="A920" s="1">
        <v>42957</v>
      </c>
      <c r="B920">
        <v>75116.11</v>
      </c>
      <c r="C920" s="6">
        <f t="shared" si="42"/>
        <v>-1.1582889144391076E-2</v>
      </c>
      <c r="D920" s="7">
        <f t="shared" si="43"/>
        <v>-0.99822311911407369</v>
      </c>
      <c r="E920" s="8">
        <f t="shared" si="44"/>
        <v>-1.6458300821126008</v>
      </c>
    </row>
    <row r="921" spans="1:5" x14ac:dyDescent="0.2">
      <c r="A921" s="1">
        <v>42958</v>
      </c>
      <c r="B921">
        <v>74337.14</v>
      </c>
      <c r="C921" s="6">
        <f t="shared" si="42"/>
        <v>-1.0424357503498386E-2</v>
      </c>
      <c r="D921" s="7">
        <f t="shared" si="43"/>
        <v>-0.90088797816357069</v>
      </c>
      <c r="E921" s="8">
        <f t="shared" si="44"/>
        <v>-1.4864501180787308</v>
      </c>
    </row>
    <row r="922" spans="1:5" x14ac:dyDescent="0.2">
      <c r="A922" s="1">
        <v>42961</v>
      </c>
      <c r="B922">
        <v>74991.839999999997</v>
      </c>
      <c r="C922" s="6">
        <f t="shared" si="42"/>
        <v>8.7686153740464401E-3</v>
      </c>
      <c r="D922" s="7">
        <f t="shared" si="43"/>
        <v>0.71162794661128514</v>
      </c>
      <c r="E922" s="8">
        <f t="shared" si="44"/>
        <v>-1.198772474639368</v>
      </c>
    </row>
    <row r="923" spans="1:5" x14ac:dyDescent="0.2">
      <c r="A923" s="1">
        <v>42962</v>
      </c>
      <c r="B923">
        <v>74423.360000000001</v>
      </c>
      <c r="C923" s="6">
        <f t="shared" si="42"/>
        <v>-7.6094365644235971E-3</v>
      </c>
      <c r="D923" s="7">
        <f t="shared" si="43"/>
        <v>-0.66438971027142468</v>
      </c>
      <c r="E923" s="8">
        <f t="shared" si="44"/>
        <v>-1.1329698653020082</v>
      </c>
    </row>
    <row r="924" spans="1:5" x14ac:dyDescent="0.2">
      <c r="A924" s="1">
        <v>42963</v>
      </c>
      <c r="B924">
        <v>75201.2</v>
      </c>
      <c r="C924" s="6">
        <f t="shared" si="42"/>
        <v>1.0397317222546481E-2</v>
      </c>
      <c r="D924" s="7">
        <f t="shared" si="43"/>
        <v>0.84846488605641179</v>
      </c>
      <c r="E924" s="8">
        <f t="shared" si="44"/>
        <v>-1.4034350331083791</v>
      </c>
    </row>
    <row r="925" spans="1:5" x14ac:dyDescent="0.2">
      <c r="A925" s="1">
        <v>42964</v>
      </c>
      <c r="B925">
        <v>75056.53</v>
      </c>
      <c r="C925" s="6">
        <f t="shared" si="42"/>
        <v>-1.9256253199542396E-3</v>
      </c>
      <c r="D925" s="7">
        <f t="shared" si="43"/>
        <v>-0.18685888669357931</v>
      </c>
      <c r="E925" s="8">
        <f t="shared" si="44"/>
        <v>-0.67670901238292791</v>
      </c>
    </row>
    <row r="926" spans="1:5" x14ac:dyDescent="0.2">
      <c r="A926" s="1">
        <v>42965</v>
      </c>
      <c r="B926">
        <v>74941.87</v>
      </c>
      <c r="C926" s="6">
        <f t="shared" si="42"/>
        <v>-1.5288166051466443E-3</v>
      </c>
      <c r="D926" s="7">
        <f t="shared" si="43"/>
        <v>-0.15352062399716773</v>
      </c>
      <c r="E926" s="8">
        <f t="shared" si="44"/>
        <v>-0.66269437265781017</v>
      </c>
    </row>
    <row r="927" spans="1:5" x14ac:dyDescent="0.2">
      <c r="A927" s="1">
        <v>42968</v>
      </c>
      <c r="B927">
        <v>75006.59</v>
      </c>
      <c r="C927" s="6">
        <f t="shared" si="42"/>
        <v>8.6322999274463831E-4</v>
      </c>
      <c r="D927" s="7">
        <f t="shared" si="43"/>
        <v>4.7449452734198219E-2</v>
      </c>
      <c r="E927" s="8">
        <f t="shared" si="44"/>
        <v>-0.63615250642832055</v>
      </c>
    </row>
    <row r="928" spans="1:5" x14ac:dyDescent="0.2">
      <c r="A928" s="1">
        <v>42969</v>
      </c>
      <c r="B928">
        <v>75963.460000000006</v>
      </c>
      <c r="C928" s="6">
        <f t="shared" si="42"/>
        <v>1.2676458853400721E-2</v>
      </c>
      <c r="D928" s="7">
        <f t="shared" si="43"/>
        <v>1.0399491442804001</v>
      </c>
      <c r="E928" s="8">
        <f t="shared" si="44"/>
        <v>-1.7158723703485219</v>
      </c>
    </row>
    <row r="929" spans="1:5" x14ac:dyDescent="0.2">
      <c r="A929" s="1">
        <v>42970</v>
      </c>
      <c r="B929">
        <v>76461.02</v>
      </c>
      <c r="C929" s="6">
        <f t="shared" si="42"/>
        <v>6.5286332916153211E-3</v>
      </c>
      <c r="D929" s="7">
        <f t="shared" si="43"/>
        <v>0.52343371520295245</v>
      </c>
      <c r="E929" s="8">
        <f t="shared" si="44"/>
        <v>-0.95502365116021848</v>
      </c>
    </row>
    <row r="930" spans="1:5" x14ac:dyDescent="0.2">
      <c r="A930" s="1">
        <v>42971</v>
      </c>
      <c r="B930">
        <v>76918.320000000007</v>
      </c>
      <c r="C930" s="6">
        <f t="shared" si="42"/>
        <v>5.9630111204850098E-3</v>
      </c>
      <c r="D930" s="7">
        <f t="shared" si="43"/>
        <v>0.47591242893987157</v>
      </c>
      <c r="E930" s="8">
        <f t="shared" si="44"/>
        <v>-0.90215191826985452</v>
      </c>
    </row>
    <row r="931" spans="1:5" x14ac:dyDescent="0.2">
      <c r="A931" s="1">
        <v>42972</v>
      </c>
      <c r="B931">
        <v>76855.95</v>
      </c>
      <c r="C931" s="6">
        <f t="shared" si="42"/>
        <v>-8.1118906849775795E-4</v>
      </c>
      <c r="D931" s="7">
        <f t="shared" si="43"/>
        <v>-9.3228461949820096E-2</v>
      </c>
      <c r="E931" s="8">
        <f t="shared" si="44"/>
        <v>-0.64420083849115606</v>
      </c>
    </row>
    <row r="932" spans="1:5" x14ac:dyDescent="0.2">
      <c r="A932" s="1">
        <v>42975</v>
      </c>
      <c r="B932">
        <v>76478.23</v>
      </c>
      <c r="C932" s="6">
        <f t="shared" si="42"/>
        <v>-4.9267653700350387E-3</v>
      </c>
      <c r="D932" s="7">
        <f t="shared" si="43"/>
        <v>-0.4390025308341296</v>
      </c>
      <c r="E932" s="8">
        <f t="shared" si="44"/>
        <v>-0.86386254168431864</v>
      </c>
    </row>
    <row r="933" spans="1:5" x14ac:dyDescent="0.2">
      <c r="A933" s="1">
        <v>42976</v>
      </c>
      <c r="B933">
        <v>76074.81</v>
      </c>
      <c r="C933" s="6">
        <f t="shared" si="42"/>
        <v>-5.2889269253070734E-3</v>
      </c>
      <c r="D933" s="7">
        <f t="shared" si="43"/>
        <v>-0.46942987937171005</v>
      </c>
      <c r="E933" s="8">
        <f t="shared" si="44"/>
        <v>-0.89524692604311729</v>
      </c>
    </row>
    <row r="934" spans="1:5" x14ac:dyDescent="0.2">
      <c r="A934" s="1">
        <v>42977</v>
      </c>
      <c r="B934">
        <v>75707.460000000006</v>
      </c>
      <c r="C934" s="6">
        <f t="shared" si="42"/>
        <v>-4.840495760971425E-3</v>
      </c>
      <c r="D934" s="7">
        <f t="shared" si="43"/>
        <v>-0.43175450733476156</v>
      </c>
      <c r="E934" s="8">
        <f t="shared" si="44"/>
        <v>-0.85664091417542454</v>
      </c>
    </row>
    <row r="935" spans="1:5" x14ac:dyDescent="0.2">
      <c r="A935" s="1">
        <v>42978</v>
      </c>
      <c r="B935">
        <v>76137.67</v>
      </c>
      <c r="C935" s="6">
        <f t="shared" si="42"/>
        <v>5.6664464789881854E-3</v>
      </c>
      <c r="D935" s="7">
        <f t="shared" si="43"/>
        <v>0.45099626768700635</v>
      </c>
      <c r="E935" s="8">
        <f t="shared" si="44"/>
        <v>-0.87602931101619119</v>
      </c>
    </row>
    <row r="936" spans="1:5" x14ac:dyDescent="0.2">
      <c r="A936" s="1">
        <v>42979</v>
      </c>
      <c r="B936">
        <v>76029.89</v>
      </c>
      <c r="C936" s="6">
        <f t="shared" si="42"/>
        <v>-1.4165965206240198E-3</v>
      </c>
      <c r="D936" s="7">
        <f t="shared" si="43"/>
        <v>-0.14409234654755876</v>
      </c>
      <c r="E936" s="8">
        <f t="shared" si="44"/>
        <v>-0.65921675192446827</v>
      </c>
    </row>
    <row r="937" spans="1:5" x14ac:dyDescent="0.2">
      <c r="A937" s="1">
        <v>42982</v>
      </c>
      <c r="B937">
        <v>75501.440000000002</v>
      </c>
      <c r="C937" s="6">
        <f t="shared" si="42"/>
        <v>-6.9748235212051058E-3</v>
      </c>
      <c r="D937" s="7">
        <f t="shared" si="43"/>
        <v>-0.61107209007841601</v>
      </c>
      <c r="E937" s="8">
        <f t="shared" si="44"/>
        <v>-1.0622172289295477</v>
      </c>
    </row>
    <row r="938" spans="1:5" x14ac:dyDescent="0.2">
      <c r="A938" s="1">
        <v>42983</v>
      </c>
      <c r="B938">
        <v>75204.240000000005</v>
      </c>
      <c r="C938" s="6">
        <f t="shared" si="42"/>
        <v>-3.9441165757195468E-3</v>
      </c>
      <c r="D938" s="7">
        <f t="shared" si="43"/>
        <v>-0.35644435501612481</v>
      </c>
      <c r="E938" s="8">
        <f t="shared" si="44"/>
        <v>-0.78767687802172603</v>
      </c>
    </row>
    <row r="939" spans="1:5" x14ac:dyDescent="0.2">
      <c r="A939" s="1">
        <v>42984</v>
      </c>
      <c r="B939">
        <v>74518.25</v>
      </c>
      <c r="C939" s="6">
        <f t="shared" si="42"/>
        <v>-9.1635505159703649E-3</v>
      </c>
      <c r="D939" s="7">
        <f t="shared" si="43"/>
        <v>-0.79496007640349597</v>
      </c>
      <c r="E939" s="8">
        <f t="shared" si="44"/>
        <v>-1.3211575025064797</v>
      </c>
    </row>
    <row r="940" spans="1:5" x14ac:dyDescent="0.2">
      <c r="A940" s="1">
        <v>42985</v>
      </c>
      <c r="B940">
        <v>75263.13</v>
      </c>
      <c r="C940" s="6">
        <f t="shared" si="42"/>
        <v>9.946311628986312E-3</v>
      </c>
      <c r="D940" s="7">
        <f t="shared" si="43"/>
        <v>0.81057322089237815</v>
      </c>
      <c r="E940" s="8">
        <f t="shared" si="44"/>
        <v>-1.3448908984208432</v>
      </c>
    </row>
    <row r="941" spans="1:5" x14ac:dyDescent="0.2">
      <c r="A941" s="1">
        <v>42986</v>
      </c>
      <c r="B941">
        <v>75149.56</v>
      </c>
      <c r="C941" s="6">
        <f t="shared" si="42"/>
        <v>-1.5101122329832905E-3</v>
      </c>
      <c r="D941" s="7">
        <f t="shared" si="43"/>
        <v>-0.15194915832747927</v>
      </c>
      <c r="E941" s="8">
        <f t="shared" si="44"/>
        <v>-0.66209977888279214</v>
      </c>
    </row>
    <row r="942" spans="1:5" x14ac:dyDescent="0.2">
      <c r="A942" s="1">
        <v>42989</v>
      </c>
      <c r="B942">
        <v>75937.86</v>
      </c>
      <c r="C942" s="6">
        <f t="shared" si="42"/>
        <v>1.0435113039281074E-2</v>
      </c>
      <c r="D942" s="7">
        <f t="shared" si="43"/>
        <v>0.85164033765337155</v>
      </c>
      <c r="E942" s="8">
        <f t="shared" si="44"/>
        <v>-1.4083992300368142</v>
      </c>
    </row>
    <row r="943" spans="1:5" x14ac:dyDescent="0.2">
      <c r="A943" s="1">
        <v>42990</v>
      </c>
      <c r="B943">
        <v>76380.320000000007</v>
      </c>
      <c r="C943" s="6">
        <f t="shared" si="42"/>
        <v>5.8096971026465882E-3</v>
      </c>
      <c r="D943" s="7">
        <f t="shared" si="43"/>
        <v>0.46303160548260963</v>
      </c>
      <c r="E943" s="8">
        <f t="shared" si="44"/>
        <v>-0.88850616032252505</v>
      </c>
    </row>
    <row r="944" spans="1:5" x14ac:dyDescent="0.2">
      <c r="A944" s="1">
        <v>42991</v>
      </c>
      <c r="B944">
        <v>76234.100000000006</v>
      </c>
      <c r="C944" s="6">
        <f t="shared" si="42"/>
        <v>-1.9162022139357453E-3</v>
      </c>
      <c r="D944" s="7">
        <f t="shared" si="43"/>
        <v>-0.18606719545259173</v>
      </c>
      <c r="E944" s="8">
        <f t="shared" si="44"/>
        <v>-0.67634537624915136</v>
      </c>
    </row>
    <row r="945" spans="1:5" x14ac:dyDescent="0.2">
      <c r="A945" s="1">
        <v>42992</v>
      </c>
      <c r="B945">
        <v>75876.28</v>
      </c>
      <c r="C945" s="6">
        <f t="shared" si="42"/>
        <v>-4.7047500639841415E-3</v>
      </c>
      <c r="D945" s="7">
        <f t="shared" si="43"/>
        <v>-0.4203497031124957</v>
      </c>
      <c r="E945" s="8">
        <f t="shared" si="44"/>
        <v>-0.84548004040248392</v>
      </c>
    </row>
    <row r="946" spans="1:5" x14ac:dyDescent="0.2">
      <c r="A946" s="1">
        <v>42993</v>
      </c>
      <c r="B946">
        <v>75549.83</v>
      </c>
      <c r="C946" s="6">
        <f t="shared" si="42"/>
        <v>-4.3116805383342114E-3</v>
      </c>
      <c r="D946" s="7">
        <f t="shared" si="43"/>
        <v>-0.38732559196003463</v>
      </c>
      <c r="E946" s="8">
        <f t="shared" si="44"/>
        <v>-0.8145883305055861</v>
      </c>
    </row>
    <row r="947" spans="1:5" x14ac:dyDescent="0.2">
      <c r="A947" s="1">
        <v>42996</v>
      </c>
      <c r="B947">
        <v>76072.37</v>
      </c>
      <c r="C947" s="6">
        <f t="shared" si="42"/>
        <v>6.8926854877806275E-3</v>
      </c>
      <c r="D947" s="7">
        <f t="shared" si="43"/>
        <v>0.55401990773869214</v>
      </c>
      <c r="E947" s="8">
        <f t="shared" si="44"/>
        <v>-0.99106589629277064</v>
      </c>
    </row>
    <row r="948" spans="1:5" x14ac:dyDescent="0.2">
      <c r="A948" s="1">
        <v>42997</v>
      </c>
      <c r="B948">
        <v>76066.559999999998</v>
      </c>
      <c r="C948" s="6">
        <f t="shared" si="42"/>
        <v>-7.6377558364880608E-5</v>
      </c>
      <c r="D948" s="7">
        <f t="shared" si="43"/>
        <v>-3.1492571978162021E-2</v>
      </c>
      <c r="E948" s="8">
        <f t="shared" si="44"/>
        <v>-0.63457523117421322</v>
      </c>
    </row>
    <row r="949" spans="1:5" x14ac:dyDescent="0.2">
      <c r="A949" s="1">
        <v>42998</v>
      </c>
      <c r="B949">
        <v>75840.69</v>
      </c>
      <c r="C949" s="6">
        <f t="shared" si="42"/>
        <v>-2.9737904735347024E-3</v>
      </c>
      <c r="D949" s="7">
        <f t="shared" si="43"/>
        <v>-0.27492148193227939</v>
      </c>
      <c r="E949" s="8">
        <f t="shared" si="44"/>
        <v>-0.72629538648685088</v>
      </c>
    </row>
    <row r="950" spans="1:5" x14ac:dyDescent="0.2">
      <c r="A950" s="1">
        <v>42999</v>
      </c>
      <c r="B950">
        <v>75841.98</v>
      </c>
      <c r="C950" s="6">
        <f t="shared" si="42"/>
        <v>1.7009194260852168E-5</v>
      </c>
      <c r="D950" s="7">
        <f t="shared" si="43"/>
        <v>-2.3646594873271361E-2</v>
      </c>
      <c r="E950" s="8">
        <f t="shared" si="44"/>
        <v>-0.6340333015996078</v>
      </c>
    </row>
    <row r="951" spans="1:5" x14ac:dyDescent="0.2">
      <c r="A951" s="1">
        <v>43000</v>
      </c>
      <c r="B951">
        <v>75835.72</v>
      </c>
      <c r="C951" s="6">
        <f t="shared" si="42"/>
        <v>-8.2543445787342355E-5</v>
      </c>
      <c r="D951" s="7">
        <f t="shared" si="43"/>
        <v>-3.2010604891693675E-2</v>
      </c>
      <c r="E951" s="8">
        <f t="shared" si="44"/>
        <v>-0.63461643501379983</v>
      </c>
    </row>
    <row r="952" spans="1:5" x14ac:dyDescent="0.2">
      <c r="A952" s="1">
        <v>43004</v>
      </c>
      <c r="B952">
        <v>74658.91</v>
      </c>
      <c r="C952" s="6">
        <f t="shared" si="42"/>
        <v>-1.5639547893068616E-2</v>
      </c>
      <c r="D952" s="7">
        <f t="shared" si="43"/>
        <v>-1.3390471735925249</v>
      </c>
      <c r="E952" s="8">
        <f t="shared" si="44"/>
        <v>-2.2356659499410432</v>
      </c>
    </row>
    <row r="953" spans="1:5" x14ac:dyDescent="0.2">
      <c r="A953" s="1">
        <v>43005</v>
      </c>
      <c r="B953">
        <v>74893.77</v>
      </c>
      <c r="C953" s="6">
        <f t="shared" si="42"/>
        <v>3.1408356315846407E-3</v>
      </c>
      <c r="D953" s="7">
        <f t="shared" si="43"/>
        <v>0.23880466312390428</v>
      </c>
      <c r="E953" s="8">
        <f t="shared" si="44"/>
        <v>-0.70379314445544394</v>
      </c>
    </row>
    <row r="954" spans="1:5" x14ac:dyDescent="0.2">
      <c r="A954" s="1">
        <v>43006</v>
      </c>
      <c r="B954">
        <v>74762.97</v>
      </c>
      <c r="C954" s="6">
        <f t="shared" si="42"/>
        <v>-1.7480005685679915E-3</v>
      </c>
      <c r="D954" s="7">
        <f t="shared" si="43"/>
        <v>-0.17193557376691929</v>
      </c>
      <c r="E954" s="8">
        <f t="shared" si="44"/>
        <v>-0.67010599962218098</v>
      </c>
    </row>
    <row r="955" spans="1:5" x14ac:dyDescent="0.2">
      <c r="A955" s="1">
        <v>43007</v>
      </c>
      <c r="B955">
        <v>75728.59</v>
      </c>
      <c r="C955" s="6">
        <f t="shared" si="42"/>
        <v>1.2833055250098389E-2</v>
      </c>
      <c r="D955" s="7">
        <f t="shared" si="43"/>
        <v>1.0531057399286328</v>
      </c>
      <c r="E955" s="8">
        <f t="shared" si="44"/>
        <v>-1.7381371413911888</v>
      </c>
    </row>
    <row r="956" spans="1:5" x14ac:dyDescent="0.2">
      <c r="A956" s="1">
        <v>43010</v>
      </c>
      <c r="B956">
        <v>75944.850000000006</v>
      </c>
      <c r="C956" s="6">
        <f t="shared" si="42"/>
        <v>2.8516547992979437E-3</v>
      </c>
      <c r="D956" s="7">
        <f t="shared" si="43"/>
        <v>0.21450885964535552</v>
      </c>
      <c r="E956" s="8">
        <f t="shared" si="44"/>
        <v>-0.6903393787971539</v>
      </c>
    </row>
    <row r="957" spans="1:5" x14ac:dyDescent="0.2">
      <c r="A957" s="1">
        <v>43011</v>
      </c>
      <c r="B957">
        <v>77021.350000000006</v>
      </c>
      <c r="C957" s="6">
        <f t="shared" si="42"/>
        <v>1.4075237173515397E-2</v>
      </c>
      <c r="D957" s="7">
        <f t="shared" si="43"/>
        <v>1.1574688391606895</v>
      </c>
      <c r="E957" s="8">
        <f t="shared" si="44"/>
        <v>-1.917252752552699</v>
      </c>
    </row>
    <row r="958" spans="1:5" x14ac:dyDescent="0.2">
      <c r="A958" s="1">
        <v>43012</v>
      </c>
      <c r="B958">
        <v>77494.899999999994</v>
      </c>
      <c r="C958" s="6">
        <f t="shared" si="42"/>
        <v>6.1294715943706552E-3</v>
      </c>
      <c r="D958" s="7">
        <f t="shared" si="43"/>
        <v>0.48989776444254479</v>
      </c>
      <c r="E958" s="8">
        <f t="shared" si="44"/>
        <v>-0.91730403568197261</v>
      </c>
    </row>
    <row r="959" spans="1:5" x14ac:dyDescent="0.2">
      <c r="A959" s="1">
        <v>43013</v>
      </c>
      <c r="B959">
        <v>77905.73</v>
      </c>
      <c r="C959" s="6">
        <f t="shared" si="42"/>
        <v>5.2873782700770056E-3</v>
      </c>
      <c r="D959" s="7">
        <f t="shared" si="43"/>
        <v>0.41914849051641978</v>
      </c>
      <c r="E959" s="8">
        <f t="shared" si="44"/>
        <v>-0.84431904710593952</v>
      </c>
    </row>
    <row r="960" spans="1:5" x14ac:dyDescent="0.2">
      <c r="A960" s="1">
        <v>43014</v>
      </c>
      <c r="B960">
        <v>78348.05</v>
      </c>
      <c r="C960" s="6">
        <f t="shared" si="42"/>
        <v>5.6615741582508039E-3</v>
      </c>
      <c r="D960" s="7">
        <f t="shared" si="43"/>
        <v>0.45058691501247461</v>
      </c>
      <c r="E960" s="8">
        <f t="shared" si="44"/>
        <v>-0.87560963596709251</v>
      </c>
    </row>
    <row r="961" spans="1:5" x14ac:dyDescent="0.2">
      <c r="A961" s="1">
        <v>43017</v>
      </c>
      <c r="B961">
        <v>78813.3</v>
      </c>
      <c r="C961" s="6">
        <f t="shared" si="42"/>
        <v>5.9206841770119987E-3</v>
      </c>
      <c r="D961" s="7">
        <f t="shared" si="43"/>
        <v>0.47235629040767318</v>
      </c>
      <c r="E961" s="8">
        <f t="shared" si="44"/>
        <v>-0.89835467819113413</v>
      </c>
    </row>
    <row r="962" spans="1:5" x14ac:dyDescent="0.2">
      <c r="A962" s="1">
        <v>43018</v>
      </c>
      <c r="B962">
        <v>79025.89</v>
      </c>
      <c r="C962" s="6">
        <f t="shared" si="42"/>
        <v>2.6937559493526351E-3</v>
      </c>
      <c r="D962" s="7">
        <f t="shared" si="43"/>
        <v>0.20124283714509261</v>
      </c>
      <c r="E962" s="8">
        <f t="shared" si="44"/>
        <v>-0.68357468456180803</v>
      </c>
    </row>
    <row r="963" spans="1:5" x14ac:dyDescent="0.2">
      <c r="A963" s="1">
        <v>43019</v>
      </c>
      <c r="B963">
        <v>79627.399999999994</v>
      </c>
      <c r="C963" s="6">
        <f t="shared" ref="C963:C1026" si="45">LN(B963/B962)</f>
        <v>7.5827344283304022E-3</v>
      </c>
      <c r="D963" s="7">
        <f t="shared" ref="D963:D1026" si="46">(C963-$G$4)/$G$5</f>
        <v>0.61199502772713188</v>
      </c>
      <c r="E963" s="8">
        <f t="shared" ref="E963:E1026" si="47">LN((PI()*(G$3-2))^(-1/2)*EXP(GAMMALN((G$3+1)/2))*((1+D963^2/(G$3-2))^(-(G$3+1)/2))/EXP(GAMMALN(G$3/2)))</f>
        <v>-1.0634081796633241</v>
      </c>
    </row>
    <row r="964" spans="1:5" x14ac:dyDescent="0.2">
      <c r="A964" s="1">
        <v>43020</v>
      </c>
      <c r="B964">
        <v>79464.67</v>
      </c>
      <c r="C964" s="6">
        <f t="shared" si="45"/>
        <v>-2.0457343568724253E-3</v>
      </c>
      <c r="D964" s="7">
        <f t="shared" si="46"/>
        <v>-0.19694996200409268</v>
      </c>
      <c r="E964" s="8">
        <f t="shared" si="47"/>
        <v>-0.68147435962516012</v>
      </c>
    </row>
    <row r="965" spans="1:5" x14ac:dyDescent="0.2">
      <c r="A965" s="1">
        <v>43021</v>
      </c>
      <c r="B965">
        <v>79379.91</v>
      </c>
      <c r="C965" s="6">
        <f t="shared" si="45"/>
        <v>-1.0672068010710843E-3</v>
      </c>
      <c r="D965" s="7">
        <f t="shared" si="46"/>
        <v>-0.11473803597116622</v>
      </c>
      <c r="E965" s="8">
        <f t="shared" si="47"/>
        <v>-0.6497759499999578</v>
      </c>
    </row>
    <row r="966" spans="1:5" x14ac:dyDescent="0.2">
      <c r="A966" s="1">
        <v>43024</v>
      </c>
      <c r="B966">
        <v>79685.64</v>
      </c>
      <c r="C966" s="6">
        <f t="shared" si="45"/>
        <v>3.844080336436692E-3</v>
      </c>
      <c r="D966" s="7">
        <f t="shared" si="46"/>
        <v>0.29788843783783941</v>
      </c>
      <c r="E966" s="8">
        <f t="shared" si="47"/>
        <v>-0.74212841502406779</v>
      </c>
    </row>
    <row r="967" spans="1:5" x14ac:dyDescent="0.2">
      <c r="A967" s="1">
        <v>43025</v>
      </c>
      <c r="B967">
        <v>79425.570000000007</v>
      </c>
      <c r="C967" s="6">
        <f t="shared" si="45"/>
        <v>-3.269037192356015E-3</v>
      </c>
      <c r="D967" s="7">
        <f t="shared" si="46"/>
        <v>-0.29972691665437506</v>
      </c>
      <c r="E967" s="8">
        <f t="shared" si="47"/>
        <v>-0.74344618293815501</v>
      </c>
    </row>
    <row r="968" spans="1:5" x14ac:dyDescent="0.2">
      <c r="A968" s="1">
        <v>43026</v>
      </c>
      <c r="B968">
        <v>79926.850000000006</v>
      </c>
      <c r="C968" s="6">
        <f t="shared" si="45"/>
        <v>6.2914846665465627E-3</v>
      </c>
      <c r="D968" s="7">
        <f t="shared" si="46"/>
        <v>0.5035094472481304</v>
      </c>
      <c r="E968" s="8">
        <f t="shared" si="47"/>
        <v>-0.93238113186299154</v>
      </c>
    </row>
    <row r="969" spans="1:5" x14ac:dyDescent="0.2">
      <c r="A969" s="1">
        <v>43027</v>
      </c>
      <c r="B969">
        <v>79456.639999999999</v>
      </c>
      <c r="C969" s="6">
        <f t="shared" si="45"/>
        <v>-5.9003773122865491E-3</v>
      </c>
      <c r="D969" s="7">
        <f t="shared" si="46"/>
        <v>-0.52080146690558871</v>
      </c>
      <c r="E969" s="8">
        <f t="shared" si="47"/>
        <v>-0.95199383550188521</v>
      </c>
    </row>
    <row r="970" spans="1:5" x14ac:dyDescent="0.2">
      <c r="A970" s="1">
        <v>43028</v>
      </c>
      <c r="B970">
        <v>79756.28</v>
      </c>
      <c r="C970" s="6">
        <f t="shared" si="45"/>
        <v>3.7640205803795477E-3</v>
      </c>
      <c r="D970" s="7">
        <f t="shared" si="46"/>
        <v>0.29116214106248289</v>
      </c>
      <c r="E970" s="8">
        <f t="shared" si="47"/>
        <v>-0.73737051058761449</v>
      </c>
    </row>
    <row r="971" spans="1:5" x14ac:dyDescent="0.2">
      <c r="A971" s="1">
        <v>43031</v>
      </c>
      <c r="B971">
        <v>79678.59</v>
      </c>
      <c r="C971" s="6">
        <f t="shared" si="45"/>
        <v>-9.7456730951069395E-4</v>
      </c>
      <c r="D971" s="7">
        <f t="shared" si="46"/>
        <v>-0.10695484071750397</v>
      </c>
      <c r="E971" s="8">
        <f t="shared" si="47"/>
        <v>-0.64762693213834266</v>
      </c>
    </row>
    <row r="972" spans="1:5" x14ac:dyDescent="0.2">
      <c r="A972" s="1">
        <v>43032</v>
      </c>
      <c r="B972">
        <v>79599.88</v>
      </c>
      <c r="C972" s="6">
        <f t="shared" si="45"/>
        <v>-9.8833202512543686E-4</v>
      </c>
      <c r="D972" s="7">
        <f t="shared" si="46"/>
        <v>-0.10811129643024758</v>
      </c>
      <c r="E972" s="8">
        <f t="shared" si="47"/>
        <v>-0.64793681062629394</v>
      </c>
    </row>
    <row r="973" spans="1:5" x14ac:dyDescent="0.2">
      <c r="A973" s="1">
        <v>43033</v>
      </c>
      <c r="B973">
        <v>80355.39</v>
      </c>
      <c r="C973" s="6">
        <f t="shared" si="45"/>
        <v>9.4465861405016588E-3</v>
      </c>
      <c r="D973" s="7">
        <f t="shared" si="46"/>
        <v>0.7685883072816172</v>
      </c>
      <c r="E973" s="8">
        <f t="shared" si="47"/>
        <v>-1.2816205960426799</v>
      </c>
    </row>
    <row r="974" spans="1:5" x14ac:dyDescent="0.2">
      <c r="A974" s="1">
        <v>43034</v>
      </c>
      <c r="B974">
        <v>81030.48</v>
      </c>
      <c r="C974" s="6">
        <f t="shared" si="45"/>
        <v>8.3662087350254259E-3</v>
      </c>
      <c r="D974" s="7">
        <f t="shared" si="46"/>
        <v>0.67781936897213835</v>
      </c>
      <c r="E974" s="8">
        <f t="shared" si="47"/>
        <v>-1.1513921920324706</v>
      </c>
    </row>
    <row r="975" spans="1:5" x14ac:dyDescent="0.2">
      <c r="A975" s="1">
        <v>43035</v>
      </c>
      <c r="B975">
        <v>81725.81</v>
      </c>
      <c r="C975" s="6">
        <f t="shared" si="45"/>
        <v>8.5444836619737053E-3</v>
      </c>
      <c r="D975" s="7">
        <f t="shared" si="46"/>
        <v>0.69279730701885478</v>
      </c>
      <c r="E975" s="8">
        <f t="shared" si="47"/>
        <v>-1.1722089511758247</v>
      </c>
    </row>
    <row r="976" spans="1:5" x14ac:dyDescent="0.2">
      <c r="A976" s="1">
        <v>43038</v>
      </c>
      <c r="B976">
        <v>81947.37</v>
      </c>
      <c r="C976" s="6">
        <f t="shared" si="45"/>
        <v>2.7073480863670433E-3</v>
      </c>
      <c r="D976" s="7">
        <f t="shared" si="46"/>
        <v>0.20238479350210375</v>
      </c>
      <c r="E976" s="8">
        <f t="shared" si="47"/>
        <v>-0.68414071951569</v>
      </c>
    </row>
    <row r="977" spans="1:5" x14ac:dyDescent="0.2">
      <c r="A977" s="1">
        <v>43039</v>
      </c>
      <c r="B977">
        <v>81849.66</v>
      </c>
      <c r="C977" s="6">
        <f t="shared" si="45"/>
        <v>-1.1930620669984059E-3</v>
      </c>
      <c r="D977" s="7">
        <f t="shared" si="46"/>
        <v>-0.12531188619329717</v>
      </c>
      <c r="E977" s="8">
        <f t="shared" si="47"/>
        <v>-0.65293388610995962</v>
      </c>
    </row>
    <row r="978" spans="1:5" x14ac:dyDescent="0.2">
      <c r="A978" s="1">
        <v>43040</v>
      </c>
      <c r="B978">
        <v>82081.850000000006</v>
      </c>
      <c r="C978" s="6">
        <f t="shared" si="45"/>
        <v>2.8327702864331312E-3</v>
      </c>
      <c r="D978" s="7">
        <f t="shared" si="46"/>
        <v>0.21292225928279504</v>
      </c>
      <c r="E978" s="8">
        <f t="shared" si="47"/>
        <v>-0.68950858938788007</v>
      </c>
    </row>
    <row r="979" spans="1:5" x14ac:dyDescent="0.2">
      <c r="A979" s="1">
        <v>43041</v>
      </c>
      <c r="B979">
        <v>81608.990000000005</v>
      </c>
      <c r="C979" s="6">
        <f t="shared" si="45"/>
        <v>-5.7774926845678178E-3</v>
      </c>
      <c r="D979" s="7">
        <f t="shared" si="46"/>
        <v>-0.5104771976862893</v>
      </c>
      <c r="E979" s="8">
        <f t="shared" si="47"/>
        <v>-0.9402228249227178</v>
      </c>
    </row>
    <row r="980" spans="1:5" x14ac:dyDescent="0.2">
      <c r="A980" s="1">
        <v>43042</v>
      </c>
      <c r="B980">
        <v>82379.06</v>
      </c>
      <c r="C980" s="6">
        <f t="shared" si="45"/>
        <v>9.3918509360486589E-3</v>
      </c>
      <c r="D980" s="7">
        <f t="shared" si="46"/>
        <v>0.76398967686675667</v>
      </c>
      <c r="E980" s="8">
        <f t="shared" si="47"/>
        <v>-1.2747997077713968</v>
      </c>
    </row>
    <row r="981" spans="1:5" x14ac:dyDescent="0.2">
      <c r="A981" s="1">
        <v>43045</v>
      </c>
      <c r="B981">
        <v>82802.89</v>
      </c>
      <c r="C981" s="6">
        <f t="shared" si="45"/>
        <v>5.1316857574516357E-3</v>
      </c>
      <c r="D981" s="7">
        <f t="shared" si="46"/>
        <v>0.40606783555075016</v>
      </c>
      <c r="E981" s="8">
        <f t="shared" si="47"/>
        <v>-0.83185749470258497</v>
      </c>
    </row>
    <row r="982" spans="1:5" x14ac:dyDescent="0.2">
      <c r="A982" s="1">
        <v>43046</v>
      </c>
      <c r="B982">
        <v>83491.39</v>
      </c>
      <c r="C982" s="6">
        <f t="shared" si="45"/>
        <v>8.2805486040164154E-3</v>
      </c>
      <c r="D982" s="7">
        <f t="shared" si="46"/>
        <v>0.67062255135291815</v>
      </c>
      <c r="E982" s="8">
        <f t="shared" si="47"/>
        <v>-1.1414909105925142</v>
      </c>
    </row>
    <row r="983" spans="1:5" x14ac:dyDescent="0.2">
      <c r="A983" s="1">
        <v>43047</v>
      </c>
      <c r="B983">
        <v>83045.36</v>
      </c>
      <c r="C983" s="6">
        <f t="shared" si="45"/>
        <v>-5.3565482271012944E-3</v>
      </c>
      <c r="D983" s="7">
        <f t="shared" si="46"/>
        <v>-0.47511114754693695</v>
      </c>
      <c r="E983" s="8">
        <f t="shared" si="47"/>
        <v>-0.90129433050152485</v>
      </c>
    </row>
    <row r="984" spans="1:5" x14ac:dyDescent="0.2">
      <c r="A984" s="1">
        <v>43048</v>
      </c>
      <c r="B984">
        <v>82849.240000000005</v>
      </c>
      <c r="C984" s="6">
        <f t="shared" si="45"/>
        <v>-2.3643939147516505E-3</v>
      </c>
      <c r="D984" s="7">
        <f t="shared" si="46"/>
        <v>-0.22372244873350117</v>
      </c>
      <c r="E984" s="8">
        <f t="shared" si="47"/>
        <v>-0.69528006522792085</v>
      </c>
    </row>
    <row r="985" spans="1:5" x14ac:dyDescent="0.2">
      <c r="A985" s="1">
        <v>43049</v>
      </c>
      <c r="B985">
        <v>82088.070000000007</v>
      </c>
      <c r="C985" s="6">
        <f t="shared" si="45"/>
        <v>-9.2298753229694257E-3</v>
      </c>
      <c r="D985" s="7">
        <f t="shared" si="46"/>
        <v>-0.80053241833176136</v>
      </c>
      <c r="E985" s="8">
        <f t="shared" si="47"/>
        <v>-1.3296008457881223</v>
      </c>
    </row>
    <row r="986" spans="1:5" x14ac:dyDescent="0.2">
      <c r="A986" s="1">
        <v>43052</v>
      </c>
      <c r="B986">
        <v>82238.75</v>
      </c>
      <c r="C986" s="6">
        <f t="shared" si="45"/>
        <v>1.83390687205851E-3</v>
      </c>
      <c r="D986" s="7">
        <f t="shared" si="46"/>
        <v>0.12900179669315057</v>
      </c>
      <c r="E986" s="8">
        <f t="shared" si="47"/>
        <v>-0.65410036787869419</v>
      </c>
    </row>
    <row r="987" spans="1:5" x14ac:dyDescent="0.2">
      <c r="A987" s="1">
        <v>43053</v>
      </c>
      <c r="B987">
        <v>82230.69</v>
      </c>
      <c r="C987" s="6">
        <f t="shared" si="45"/>
        <v>-9.8012129261820007E-5</v>
      </c>
      <c r="D987" s="7">
        <f t="shared" si="46"/>
        <v>-3.3310221089613699E-2</v>
      </c>
      <c r="E987" s="8">
        <f t="shared" si="47"/>
        <v>-0.63472276085546131</v>
      </c>
    </row>
    <row r="988" spans="1:5" x14ac:dyDescent="0.2">
      <c r="A988" s="1">
        <v>43054</v>
      </c>
      <c r="B988">
        <v>82374.98</v>
      </c>
      <c r="C988" s="6">
        <f t="shared" si="45"/>
        <v>1.7531599847940202E-3</v>
      </c>
      <c r="D988" s="7">
        <f t="shared" si="46"/>
        <v>0.12221776993394401</v>
      </c>
      <c r="E988" s="8">
        <f t="shared" si="47"/>
        <v>-0.65198143954375964</v>
      </c>
    </row>
    <row r="989" spans="1:5" x14ac:dyDescent="0.2">
      <c r="A989" s="1">
        <v>43055</v>
      </c>
      <c r="B989">
        <v>83284.399999999994</v>
      </c>
      <c r="C989" s="6">
        <f t="shared" si="45"/>
        <v>1.0979506694164901E-2</v>
      </c>
      <c r="D989" s="7">
        <f t="shared" si="46"/>
        <v>0.89737808987380041</v>
      </c>
      <c r="E989" s="8">
        <f t="shared" si="47"/>
        <v>-1.4808242322712564</v>
      </c>
    </row>
    <row r="990" spans="1:5" x14ac:dyDescent="0.2">
      <c r="A990" s="1">
        <v>43056</v>
      </c>
      <c r="B990">
        <v>84573.94</v>
      </c>
      <c r="C990" s="6">
        <f t="shared" si="45"/>
        <v>1.536492460902516E-2</v>
      </c>
      <c r="D990" s="7">
        <f t="shared" si="46"/>
        <v>1.2658231593074476</v>
      </c>
      <c r="E990" s="8">
        <f t="shared" si="47"/>
        <v>-2.1066022437976351</v>
      </c>
    </row>
    <row r="991" spans="1:5" x14ac:dyDescent="0.2">
      <c r="A991" s="1">
        <v>43059</v>
      </c>
      <c r="B991">
        <v>86081.49</v>
      </c>
      <c r="C991" s="6">
        <f t="shared" si="45"/>
        <v>1.7668224409498421E-2</v>
      </c>
      <c r="D991" s="7">
        <f t="shared" si="46"/>
        <v>1.4593370891968223</v>
      </c>
      <c r="E991" s="8">
        <f t="shared" si="47"/>
        <v>-2.448326283503159</v>
      </c>
    </row>
    <row r="992" spans="1:5" x14ac:dyDescent="0.2">
      <c r="A992" s="1">
        <v>43060</v>
      </c>
      <c r="B992">
        <v>87017.95</v>
      </c>
      <c r="C992" s="6">
        <f t="shared" si="45"/>
        <v>1.0820013469019816E-2</v>
      </c>
      <c r="D992" s="7">
        <f t="shared" si="46"/>
        <v>0.88397811442022955</v>
      </c>
      <c r="E992" s="8">
        <f t="shared" si="47"/>
        <v>-1.4594324055441834</v>
      </c>
    </row>
    <row r="993" spans="1:5" x14ac:dyDescent="0.2">
      <c r="A993" s="1">
        <v>43061</v>
      </c>
      <c r="B993">
        <v>85442.39</v>
      </c>
      <c r="C993" s="6">
        <f t="shared" si="45"/>
        <v>-1.8272071545146793E-2</v>
      </c>
      <c r="D993" s="7">
        <f t="shared" si="46"/>
        <v>-1.5602211594261119</v>
      </c>
      <c r="E993" s="8">
        <f t="shared" si="47"/>
        <v>-2.6263049169261063</v>
      </c>
    </row>
    <row r="994" spans="1:5" x14ac:dyDescent="0.2">
      <c r="A994" s="1">
        <v>43062</v>
      </c>
      <c r="B994">
        <v>84019.75</v>
      </c>
      <c r="C994" s="6">
        <f t="shared" si="45"/>
        <v>-1.6790457412312731E-2</v>
      </c>
      <c r="D994" s="7">
        <f t="shared" si="46"/>
        <v>-1.4357419347218654</v>
      </c>
      <c r="E994" s="8">
        <f t="shared" si="47"/>
        <v>-2.4066118459313199</v>
      </c>
    </row>
    <row r="995" spans="1:5" x14ac:dyDescent="0.2">
      <c r="A995" s="1">
        <v>43063</v>
      </c>
      <c r="B995">
        <v>84086.94</v>
      </c>
      <c r="C995" s="6">
        <f t="shared" si="45"/>
        <v>7.9937334531843187E-4</v>
      </c>
      <c r="D995" s="7">
        <f t="shared" si="46"/>
        <v>4.2084475586860987E-2</v>
      </c>
      <c r="E995" s="8">
        <f t="shared" si="47"/>
        <v>-0.63555116400887635</v>
      </c>
    </row>
    <row r="996" spans="1:5" x14ac:dyDescent="0.2">
      <c r="A996" s="1">
        <v>43066</v>
      </c>
      <c r="B996">
        <v>84004.77</v>
      </c>
      <c r="C996" s="6">
        <f t="shared" si="45"/>
        <v>-9.776806547478424E-4</v>
      </c>
      <c r="D996" s="7">
        <f t="shared" si="46"/>
        <v>-0.10721641138747023</v>
      </c>
      <c r="E996" s="8">
        <f t="shared" si="47"/>
        <v>-0.64769673311449749</v>
      </c>
    </row>
    <row r="997" spans="1:5" x14ac:dyDescent="0.2">
      <c r="A997" s="1">
        <v>43067</v>
      </c>
      <c r="B997">
        <v>84048.05</v>
      </c>
      <c r="C997" s="6">
        <f t="shared" si="45"/>
        <v>5.1507616423046544E-4</v>
      </c>
      <c r="D997" s="7">
        <f t="shared" si="46"/>
        <v>1.8198976722362523E-2</v>
      </c>
      <c r="E997" s="8">
        <f t="shared" si="47"/>
        <v>-0.63374769793289687</v>
      </c>
    </row>
    <row r="998" spans="1:5" x14ac:dyDescent="0.2">
      <c r="A998" s="1">
        <v>43068</v>
      </c>
      <c r="B998">
        <v>84465.84</v>
      </c>
      <c r="C998" s="6">
        <f t="shared" si="45"/>
        <v>4.9585331632700132E-3</v>
      </c>
      <c r="D998" s="7">
        <f t="shared" si="46"/>
        <v>0.39152025517769534</v>
      </c>
      <c r="E998" s="8">
        <f t="shared" si="47"/>
        <v>-0.81839269459401842</v>
      </c>
    </row>
    <row r="999" spans="1:5" x14ac:dyDescent="0.2">
      <c r="A999" s="1">
        <v>43069</v>
      </c>
      <c r="B999">
        <v>83064.41</v>
      </c>
      <c r="C999" s="6">
        <f t="shared" si="45"/>
        <v>-1.6730861330881065E-2</v>
      </c>
      <c r="D999" s="7">
        <f t="shared" si="46"/>
        <v>-1.430734913090778</v>
      </c>
      <c r="E999" s="8">
        <f t="shared" si="47"/>
        <v>-2.3977579265919</v>
      </c>
    </row>
    <row r="1000" spans="1:5" x14ac:dyDescent="0.2">
      <c r="A1000" s="1">
        <v>43070</v>
      </c>
      <c r="B1000">
        <v>82100.69</v>
      </c>
      <c r="C1000" s="6">
        <f t="shared" si="45"/>
        <v>-1.1669910134008836E-2</v>
      </c>
      <c r="D1000" s="7">
        <f t="shared" si="46"/>
        <v>-1.0055342705674517</v>
      </c>
      <c r="E1000" s="8">
        <f t="shared" si="47"/>
        <v>-1.6580365256867575</v>
      </c>
    </row>
    <row r="1001" spans="1:5" x14ac:dyDescent="0.2">
      <c r="A1001" s="1">
        <v>43073</v>
      </c>
      <c r="B1001">
        <v>82651.149999999994</v>
      </c>
      <c r="C1001" s="6">
        <f t="shared" si="45"/>
        <v>6.6823174578544749E-3</v>
      </c>
      <c r="D1001" s="7">
        <f t="shared" si="46"/>
        <v>0.53634563703119209</v>
      </c>
      <c r="E1001" s="8">
        <f t="shared" si="47"/>
        <v>-0.9700524944462674</v>
      </c>
    </row>
    <row r="1002" spans="1:5" x14ac:dyDescent="0.2">
      <c r="A1002" s="1">
        <v>43074</v>
      </c>
      <c r="B1002">
        <v>81355.679999999993</v>
      </c>
      <c r="C1002" s="6">
        <f t="shared" si="45"/>
        <v>-1.5798085280359028E-2</v>
      </c>
      <c r="D1002" s="7">
        <f t="shared" si="46"/>
        <v>-1.3523668434169469</v>
      </c>
      <c r="E1002" s="8">
        <f t="shared" si="47"/>
        <v>-2.2591952460373945</v>
      </c>
    </row>
    <row r="1003" spans="1:5" x14ac:dyDescent="0.2">
      <c r="A1003" s="1">
        <v>43075</v>
      </c>
      <c r="B1003">
        <v>79471.19</v>
      </c>
      <c r="C1003" s="6">
        <f t="shared" si="45"/>
        <v>-2.3436086941379837E-2</v>
      </c>
      <c r="D1003" s="7">
        <f t="shared" si="46"/>
        <v>-1.9940808389732401</v>
      </c>
      <c r="E1003" s="8">
        <f t="shared" si="47"/>
        <v>-3.3723832015643418</v>
      </c>
    </row>
    <row r="1004" spans="1:5" x14ac:dyDescent="0.2">
      <c r="A1004" s="1">
        <v>43076</v>
      </c>
      <c r="B1004">
        <v>79580.27</v>
      </c>
      <c r="C1004" s="6">
        <f t="shared" si="45"/>
        <v>1.3716317612134821E-3</v>
      </c>
      <c r="D1004" s="7">
        <f t="shared" si="46"/>
        <v>9.0163312284265995E-2</v>
      </c>
      <c r="E1004" s="8">
        <f t="shared" si="47"/>
        <v>-0.64349937336009033</v>
      </c>
    </row>
    <row r="1005" spans="1:5" x14ac:dyDescent="0.2">
      <c r="A1005" s="1">
        <v>43077</v>
      </c>
      <c r="B1005">
        <v>80086.22</v>
      </c>
      <c r="C1005" s="6">
        <f t="shared" si="45"/>
        <v>6.3376065130070708E-3</v>
      </c>
      <c r="D1005" s="7">
        <f t="shared" si="46"/>
        <v>0.50738441817483892</v>
      </c>
      <c r="E1005" s="8">
        <f t="shared" si="47"/>
        <v>-0.93673186934550023</v>
      </c>
    </row>
    <row r="1006" spans="1:5" x14ac:dyDescent="0.2">
      <c r="A1006" s="1">
        <v>43080</v>
      </c>
      <c r="B1006">
        <v>80075.03</v>
      </c>
      <c r="C1006" s="6">
        <f t="shared" si="45"/>
        <v>-1.3973417437995744E-4</v>
      </c>
      <c r="D1006" s="7">
        <f t="shared" si="46"/>
        <v>-3.6815538509505648E-2</v>
      </c>
      <c r="E1006" s="8">
        <f t="shared" si="47"/>
        <v>-0.63503061211865441</v>
      </c>
    </row>
    <row r="1007" spans="1:5" x14ac:dyDescent="0.2">
      <c r="A1007" s="1">
        <v>43081</v>
      </c>
      <c r="B1007">
        <v>79077.820000000007</v>
      </c>
      <c r="C1007" s="6">
        <f t="shared" si="45"/>
        <v>-1.2531639242217946E-2</v>
      </c>
      <c r="D1007" s="7">
        <f t="shared" si="46"/>
        <v>-1.0779332636101062</v>
      </c>
      <c r="E1007" s="8">
        <f t="shared" si="47"/>
        <v>-1.7803654757243217</v>
      </c>
    </row>
    <row r="1008" spans="1:5" x14ac:dyDescent="0.2">
      <c r="A1008" s="1">
        <v>43082</v>
      </c>
      <c r="B1008">
        <v>78650.28</v>
      </c>
      <c r="C1008" s="6">
        <f t="shared" si="45"/>
        <v>-5.4212413274633111E-3</v>
      </c>
      <c r="D1008" s="7">
        <f t="shared" si="46"/>
        <v>-0.48054640008558142</v>
      </c>
      <c r="E1008" s="8">
        <f t="shared" si="47"/>
        <v>-0.90713403261840519</v>
      </c>
    </row>
    <row r="1009" spans="1:5" x14ac:dyDescent="0.2">
      <c r="A1009" s="1">
        <v>43083</v>
      </c>
      <c r="B1009">
        <v>78834.36</v>
      </c>
      <c r="C1009" s="6">
        <f t="shared" si="45"/>
        <v>2.3377528606529788E-3</v>
      </c>
      <c r="D1009" s="7">
        <f t="shared" si="46"/>
        <v>0.17133289805124519</v>
      </c>
      <c r="E1009" s="8">
        <f t="shared" si="47"/>
        <v>-0.66985052626374908</v>
      </c>
    </row>
    <row r="1010" spans="1:5" x14ac:dyDescent="0.2">
      <c r="A1010" s="1">
        <v>43084</v>
      </c>
      <c r="B1010">
        <v>77527.850000000006</v>
      </c>
      <c r="C1010" s="6">
        <f t="shared" si="45"/>
        <v>-1.6711715789364739E-2</v>
      </c>
      <c r="D1010" s="7">
        <f t="shared" si="46"/>
        <v>-1.4291263821570614</v>
      </c>
      <c r="E1010" s="8">
        <f t="shared" si="47"/>
        <v>-2.3949134650880368</v>
      </c>
    </row>
    <row r="1011" spans="1:5" x14ac:dyDescent="0.2">
      <c r="A1011" s="1">
        <v>43087</v>
      </c>
      <c r="B1011">
        <v>76993.63</v>
      </c>
      <c r="C1011" s="6">
        <f t="shared" si="45"/>
        <v>-6.9145354866582626E-3</v>
      </c>
      <c r="D1011" s="7">
        <f t="shared" si="46"/>
        <v>-0.60600693334629241</v>
      </c>
      <c r="E1011" s="8">
        <f t="shared" si="47"/>
        <v>-1.0557031492876987</v>
      </c>
    </row>
    <row r="1012" spans="1:5" x14ac:dyDescent="0.2">
      <c r="A1012" s="1">
        <v>43088</v>
      </c>
      <c r="B1012">
        <v>76943.37</v>
      </c>
      <c r="C1012" s="6">
        <f t="shared" si="45"/>
        <v>-6.5299443000608375E-4</v>
      </c>
      <c r="D1012" s="7">
        <f t="shared" si="46"/>
        <v>-7.9937588492677097E-2</v>
      </c>
      <c r="E1012" s="8">
        <f t="shared" si="47"/>
        <v>-0.64132754650419443</v>
      </c>
    </row>
    <row r="1013" spans="1:5" x14ac:dyDescent="0.2">
      <c r="A1013" s="1">
        <v>43089</v>
      </c>
      <c r="B1013">
        <v>77027.94</v>
      </c>
      <c r="C1013" s="6">
        <f t="shared" si="45"/>
        <v>1.0985164509479119E-3</v>
      </c>
      <c r="D1013" s="7">
        <f t="shared" si="46"/>
        <v>6.7217268963467317E-2</v>
      </c>
      <c r="E1013" s="8">
        <f t="shared" si="47"/>
        <v>-0.63898822647273223</v>
      </c>
    </row>
    <row r="1014" spans="1:5" x14ac:dyDescent="0.2">
      <c r="A1014" s="1">
        <v>43090</v>
      </c>
      <c r="B1014">
        <v>78651.33</v>
      </c>
      <c r="C1014" s="6">
        <f t="shared" si="45"/>
        <v>2.0856326543864427E-2</v>
      </c>
      <c r="D1014" s="7">
        <f t="shared" si="46"/>
        <v>1.7271885311945623</v>
      </c>
      <c r="E1014" s="8">
        <f t="shared" si="47"/>
        <v>-2.9180882853032055</v>
      </c>
    </row>
    <row r="1015" spans="1:5" x14ac:dyDescent="0.2">
      <c r="A1015" s="1">
        <v>43091</v>
      </c>
      <c r="B1015">
        <v>78628.429999999993</v>
      </c>
      <c r="C1015" s="6">
        <f t="shared" si="45"/>
        <v>-2.9120085333074307E-4</v>
      </c>
      <c r="D1015" s="7">
        <f t="shared" si="46"/>
        <v>-4.9541156027918247E-2</v>
      </c>
      <c r="E1015" s="8">
        <f t="shared" si="47"/>
        <v>-0.63640644091011644</v>
      </c>
    </row>
    <row r="1016" spans="1:5" x14ac:dyDescent="0.2">
      <c r="A1016" s="1">
        <v>43096</v>
      </c>
      <c r="B1016">
        <v>78189.73</v>
      </c>
      <c r="C1016" s="6">
        <f t="shared" si="45"/>
        <v>-5.5950298668801992E-3</v>
      </c>
      <c r="D1016" s="7">
        <f t="shared" si="46"/>
        <v>-0.49514741000421486</v>
      </c>
      <c r="E1016" s="8">
        <f t="shared" si="47"/>
        <v>-0.92308066439201752</v>
      </c>
    </row>
    <row r="1017" spans="1:5" x14ac:dyDescent="0.2">
      <c r="A1017" s="1">
        <v>43097</v>
      </c>
      <c r="B1017">
        <v>78449.98</v>
      </c>
      <c r="C1017" s="6">
        <f t="shared" si="45"/>
        <v>3.3229152360948629E-3</v>
      </c>
      <c r="D1017" s="7">
        <f t="shared" si="46"/>
        <v>0.25410225478532694</v>
      </c>
      <c r="E1017" s="8">
        <f t="shared" si="47"/>
        <v>-0.71296239562065344</v>
      </c>
    </row>
    <row r="1018" spans="1:5" x14ac:dyDescent="0.2">
      <c r="A1018" s="1">
        <v>43098</v>
      </c>
      <c r="B1018">
        <v>79085.48</v>
      </c>
      <c r="C1018" s="6">
        <f t="shared" si="45"/>
        <v>8.0680685764556274E-3</v>
      </c>
      <c r="D1018" s="7">
        <f t="shared" si="46"/>
        <v>0.65277083914947764</v>
      </c>
      <c r="E1018" s="8">
        <f t="shared" si="47"/>
        <v>-1.1172215081279271</v>
      </c>
    </row>
    <row r="1019" spans="1:5" x14ac:dyDescent="0.2">
      <c r="A1019" s="1">
        <v>43102</v>
      </c>
      <c r="B1019">
        <v>79808.44</v>
      </c>
      <c r="C1019" s="6">
        <f t="shared" si="45"/>
        <v>9.0999704581168645E-3</v>
      </c>
      <c r="D1019" s="7">
        <f t="shared" si="46"/>
        <v>0.73946706008410212</v>
      </c>
      <c r="E1019" s="8">
        <f t="shared" si="47"/>
        <v>-1.2388108040946686</v>
      </c>
    </row>
    <row r="1020" spans="1:5" x14ac:dyDescent="0.2">
      <c r="A1020" s="1">
        <v>43103</v>
      </c>
      <c r="B1020">
        <v>80133.77</v>
      </c>
      <c r="C1020" s="6">
        <f t="shared" si="45"/>
        <v>4.0680999552138936E-3</v>
      </c>
      <c r="D1020" s="7">
        <f t="shared" si="46"/>
        <v>0.31670965980511806</v>
      </c>
      <c r="E1020" s="8">
        <f t="shared" si="47"/>
        <v>-0.75596750760264619</v>
      </c>
    </row>
    <row r="1021" spans="1:5" x14ac:dyDescent="0.2">
      <c r="A1021" s="1">
        <v>43104</v>
      </c>
      <c r="B1021">
        <v>79892.91</v>
      </c>
      <c r="C1021" s="6">
        <f t="shared" si="45"/>
        <v>-3.0102503142791412E-3</v>
      </c>
      <c r="D1021" s="7">
        <f t="shared" si="46"/>
        <v>-0.27798469023201849</v>
      </c>
      <c r="E1021" s="8">
        <f t="shared" si="47"/>
        <v>-0.72833937486751132</v>
      </c>
    </row>
    <row r="1022" spans="1:5" x14ac:dyDescent="0.2">
      <c r="A1022" s="1">
        <v>43105</v>
      </c>
      <c r="B1022">
        <v>80069.14</v>
      </c>
      <c r="C1022" s="6">
        <f t="shared" si="45"/>
        <v>2.2033985098240615E-3</v>
      </c>
      <c r="D1022" s="7">
        <f t="shared" si="46"/>
        <v>0.16004498910370071</v>
      </c>
      <c r="E1022" s="8">
        <f t="shared" si="47"/>
        <v>-0.66522682805937183</v>
      </c>
    </row>
    <row r="1023" spans="1:5" x14ac:dyDescent="0.2">
      <c r="A1023" s="1">
        <v>43108</v>
      </c>
      <c r="B1023">
        <v>80306.67</v>
      </c>
      <c r="C1023" s="6">
        <f t="shared" si="45"/>
        <v>2.962169590075542E-3</v>
      </c>
      <c r="D1023" s="7">
        <f t="shared" si="46"/>
        <v>0.22379386521427053</v>
      </c>
      <c r="E1023" s="8">
        <f t="shared" si="47"/>
        <v>-0.69531913394738809</v>
      </c>
    </row>
    <row r="1024" spans="1:5" x14ac:dyDescent="0.2">
      <c r="A1024" s="1">
        <v>43109</v>
      </c>
      <c r="B1024">
        <v>80359.86</v>
      </c>
      <c r="C1024" s="6">
        <f t="shared" si="45"/>
        <v>6.6211676997323516E-4</v>
      </c>
      <c r="D1024" s="7">
        <f t="shared" si="46"/>
        <v>3.05527334781053E-2</v>
      </c>
      <c r="E1024" s="8">
        <f t="shared" si="47"/>
        <v>-0.63450219181068201</v>
      </c>
    </row>
    <row r="1025" spans="1:5" x14ac:dyDescent="0.2">
      <c r="A1025" s="1">
        <v>43110</v>
      </c>
      <c r="B1025">
        <v>80138.820000000007</v>
      </c>
      <c r="C1025" s="6">
        <f t="shared" si="45"/>
        <v>-2.7544169179343357E-3</v>
      </c>
      <c r="D1025" s="7">
        <f t="shared" si="46"/>
        <v>-0.25649060339475266</v>
      </c>
      <c r="E1025" s="8">
        <f t="shared" si="47"/>
        <v>-0.71444215829758428</v>
      </c>
    </row>
    <row r="1026" spans="1:5" x14ac:dyDescent="0.2">
      <c r="A1026" s="1">
        <v>43111</v>
      </c>
      <c r="B1026">
        <v>79489.41</v>
      </c>
      <c r="C1026" s="6">
        <f t="shared" si="45"/>
        <v>-8.1365756267998794E-3</v>
      </c>
      <c r="D1026" s="7">
        <f t="shared" si="46"/>
        <v>-0.7086778014429147</v>
      </c>
      <c r="E1026" s="8">
        <f t="shared" si="47"/>
        <v>-1.1945825848540768</v>
      </c>
    </row>
    <row r="1027" spans="1:5" x14ac:dyDescent="0.2">
      <c r="A1027" s="1">
        <v>43112</v>
      </c>
      <c r="B1027">
        <v>79837.73</v>
      </c>
      <c r="C1027" s="6">
        <f t="shared" ref="C1027:C1090" si="48">LN(B1027/B1026)</f>
        <v>4.3723944950847214E-3</v>
      </c>
      <c r="D1027" s="7">
        <f t="shared" ref="D1027:D1090" si="49">(C1027-$G$4)/$G$5</f>
        <v>0.34227525584354251</v>
      </c>
      <c r="E1027" s="8">
        <f t="shared" ref="E1027:E1090" si="50">LN((PI()*(G$3-2))^(-1/2)*EXP(GAMMALN((G$3+1)/2))*((1+D1027^2/(G$3-2))^(-(G$3+1)/2))/EXP(GAMMALN(G$3/2)))</f>
        <v>-0.77598702102368233</v>
      </c>
    </row>
    <row r="1028" spans="1:5" x14ac:dyDescent="0.2">
      <c r="A1028" s="1">
        <v>43115</v>
      </c>
      <c r="B1028">
        <v>79597.22</v>
      </c>
      <c r="C1028" s="6">
        <f t="shared" si="48"/>
        <v>-3.017032117945042E-3</v>
      </c>
      <c r="D1028" s="7">
        <f t="shared" si="49"/>
        <v>-0.27855446993627453</v>
      </c>
      <c r="E1028" s="8">
        <f t="shared" si="50"/>
        <v>-0.72872188421572581</v>
      </c>
    </row>
    <row r="1029" spans="1:5" x14ac:dyDescent="0.2">
      <c r="A1029" s="1">
        <v>43116</v>
      </c>
      <c r="B1029">
        <v>80662.09</v>
      </c>
      <c r="C1029" s="6">
        <f t="shared" si="48"/>
        <v>1.3289532724522116E-2</v>
      </c>
      <c r="D1029" s="7">
        <f t="shared" si="49"/>
        <v>1.0914571303831282</v>
      </c>
      <c r="E1029" s="8">
        <f t="shared" si="50"/>
        <v>-1.803477419053428</v>
      </c>
    </row>
    <row r="1030" spans="1:5" x14ac:dyDescent="0.2">
      <c r="A1030" s="1">
        <v>43117</v>
      </c>
      <c r="B1030">
        <v>81226.880000000005</v>
      </c>
      <c r="C1030" s="6">
        <f t="shared" si="48"/>
        <v>6.9775265287004753E-3</v>
      </c>
      <c r="D1030" s="7">
        <f t="shared" si="49"/>
        <v>0.56114790872272891</v>
      </c>
      <c r="E1030" s="8">
        <f t="shared" si="50"/>
        <v>-0.99968205874390237</v>
      </c>
    </row>
    <row r="1031" spans="1:5" x14ac:dyDescent="0.2">
      <c r="A1031" s="1">
        <v>43118</v>
      </c>
      <c r="B1031">
        <v>81204.259999999995</v>
      </c>
      <c r="C1031" s="6">
        <f t="shared" si="48"/>
        <v>-2.7851802488405419E-4</v>
      </c>
      <c r="D1031" s="7">
        <f t="shared" si="49"/>
        <v>-4.8475596097627256E-2</v>
      </c>
      <c r="E1031" s="8">
        <f t="shared" si="50"/>
        <v>-0.63627571569019947</v>
      </c>
    </row>
    <row r="1032" spans="1:5" x14ac:dyDescent="0.2">
      <c r="A1032" s="1">
        <v>43119</v>
      </c>
      <c r="B1032">
        <v>81546.649999999994</v>
      </c>
      <c r="C1032" s="6">
        <f t="shared" si="48"/>
        <v>4.207540284991121E-3</v>
      </c>
      <c r="D1032" s="7">
        <f t="shared" si="49"/>
        <v>0.32842487212559734</v>
      </c>
      <c r="E1032" s="8">
        <f t="shared" si="50"/>
        <v>-0.76496832976475482</v>
      </c>
    </row>
    <row r="1033" spans="1:5" x14ac:dyDescent="0.2">
      <c r="A1033" s="1">
        <v>43122</v>
      </c>
      <c r="B1033">
        <v>81679.399999999994</v>
      </c>
      <c r="C1033" s="6">
        <f t="shared" si="48"/>
        <v>1.6265789592862724E-3</v>
      </c>
      <c r="D1033" s="7">
        <f t="shared" si="49"/>
        <v>0.11158294432835049</v>
      </c>
      <c r="E1033" s="8">
        <f t="shared" si="50"/>
        <v>-0.64888683579613338</v>
      </c>
    </row>
    <row r="1034" spans="1:5" x14ac:dyDescent="0.2">
      <c r="A1034" s="1">
        <v>43123</v>
      </c>
      <c r="B1034">
        <v>82648.62</v>
      </c>
      <c r="C1034" s="6">
        <f t="shared" si="48"/>
        <v>1.179629912297878E-2</v>
      </c>
      <c r="D1034" s="7">
        <f t="shared" si="49"/>
        <v>0.96600168493128458</v>
      </c>
      <c r="E1034" s="8">
        <f t="shared" si="50"/>
        <v>-1.5923985984480729</v>
      </c>
    </row>
    <row r="1035" spans="1:5" x14ac:dyDescent="0.2">
      <c r="A1035" s="1">
        <v>43124</v>
      </c>
      <c r="B1035">
        <v>82294.539999999994</v>
      </c>
      <c r="C1035" s="6">
        <f t="shared" si="48"/>
        <v>-4.2933643795301062E-3</v>
      </c>
      <c r="D1035" s="7">
        <f t="shared" si="49"/>
        <v>-0.38578674240604605</v>
      </c>
      <c r="E1035" s="8">
        <f t="shared" si="50"/>
        <v>-0.81320149827270272</v>
      </c>
    </row>
    <row r="1036" spans="1:5" x14ac:dyDescent="0.2">
      <c r="A1036" s="1">
        <v>43125</v>
      </c>
      <c r="B1036">
        <v>81812.72</v>
      </c>
      <c r="C1036" s="6">
        <f t="shared" si="48"/>
        <v>-5.8720300912741196E-3</v>
      </c>
      <c r="D1036" s="7">
        <f t="shared" si="49"/>
        <v>-0.51841984809138542</v>
      </c>
      <c r="E1036" s="8">
        <f t="shared" si="50"/>
        <v>-0.9492625155325074</v>
      </c>
    </row>
    <row r="1037" spans="1:5" x14ac:dyDescent="0.2">
      <c r="A1037" s="1">
        <v>43126</v>
      </c>
      <c r="B1037">
        <v>81980.490000000005</v>
      </c>
      <c r="C1037" s="6">
        <f t="shared" si="48"/>
        <v>2.0485593837730894E-3</v>
      </c>
      <c r="D1037" s="7">
        <f t="shared" si="49"/>
        <v>0.1470360322251375</v>
      </c>
      <c r="E1037" s="8">
        <f t="shared" si="50"/>
        <v>-0.66027938696115063</v>
      </c>
    </row>
    <row r="1038" spans="1:5" x14ac:dyDescent="0.2">
      <c r="A1038" s="1">
        <v>43129</v>
      </c>
      <c r="B1038">
        <v>81132.83</v>
      </c>
      <c r="C1038" s="6">
        <f t="shared" si="48"/>
        <v>-1.0393604039619152E-2</v>
      </c>
      <c r="D1038" s="7">
        <f t="shared" si="49"/>
        <v>-0.89830419655956117</v>
      </c>
      <c r="E1038" s="8">
        <f t="shared" si="50"/>
        <v>-1.4823077566152827</v>
      </c>
    </row>
    <row r="1039" spans="1:5" x14ac:dyDescent="0.2">
      <c r="A1039" s="1">
        <v>43130</v>
      </c>
      <c r="B1039">
        <v>79260.2</v>
      </c>
      <c r="C1039" s="6">
        <f t="shared" si="48"/>
        <v>-2.3351576986278631E-2</v>
      </c>
      <c r="D1039" s="7">
        <f t="shared" si="49"/>
        <v>-1.9869806544800843</v>
      </c>
      <c r="E1039" s="8">
        <f t="shared" si="50"/>
        <v>-3.3605341564896434</v>
      </c>
    </row>
    <row r="1040" spans="1:5" x14ac:dyDescent="0.2">
      <c r="A1040" s="1">
        <v>43131</v>
      </c>
      <c r="B1040">
        <v>79169.7</v>
      </c>
      <c r="C1040" s="6">
        <f t="shared" si="48"/>
        <v>-1.1424612379798604E-3</v>
      </c>
      <c r="D1040" s="7">
        <f t="shared" si="49"/>
        <v>-0.12106060927440579</v>
      </c>
      <c r="E1040" s="8">
        <f t="shared" si="50"/>
        <v>-0.65163126282853134</v>
      </c>
    </row>
    <row r="1041" spans="1:5" x14ac:dyDescent="0.2">
      <c r="A1041" s="1">
        <v>43132</v>
      </c>
      <c r="B1041">
        <v>78540.740000000005</v>
      </c>
      <c r="C1041" s="6">
        <f t="shared" si="48"/>
        <v>-7.9761788059530374E-3</v>
      </c>
      <c r="D1041" s="7">
        <f t="shared" si="49"/>
        <v>-0.69520190953450711</v>
      </c>
      <c r="E1041" s="8">
        <f t="shared" si="50"/>
        <v>-1.175576970939495</v>
      </c>
    </row>
    <row r="1042" spans="1:5" x14ac:dyDescent="0.2">
      <c r="A1042" s="1">
        <v>43133</v>
      </c>
      <c r="B1042">
        <v>77451.600000000006</v>
      </c>
      <c r="C1042" s="6">
        <f t="shared" si="48"/>
        <v>-1.3964245917233773E-2</v>
      </c>
      <c r="D1042" s="7">
        <f t="shared" si="49"/>
        <v>-1.1982950799967964</v>
      </c>
      <c r="E1042" s="8">
        <f t="shared" si="50"/>
        <v>-1.9882868399798055</v>
      </c>
    </row>
    <row r="1043" spans="1:5" x14ac:dyDescent="0.2">
      <c r="A1043" s="1">
        <v>43136</v>
      </c>
      <c r="B1043">
        <v>75092.94</v>
      </c>
      <c r="C1043" s="6">
        <f t="shared" si="48"/>
        <v>-3.0926678777128451E-2</v>
      </c>
      <c r="D1043" s="7">
        <f t="shared" si="49"/>
        <v>-2.6234100574428219</v>
      </c>
      <c r="E1043" s="8">
        <f t="shared" si="50"/>
        <v>-4.3624866185548292</v>
      </c>
    </row>
    <row r="1044" spans="1:5" x14ac:dyDescent="0.2">
      <c r="A1044" s="1">
        <v>43137</v>
      </c>
      <c r="B1044">
        <v>74027.44</v>
      </c>
      <c r="C1044" s="6">
        <f t="shared" si="48"/>
        <v>-1.4290711080070819E-2</v>
      </c>
      <c r="D1044" s="7">
        <f t="shared" si="49"/>
        <v>-1.2257233620726211</v>
      </c>
      <c r="E1044" s="8">
        <f t="shared" si="50"/>
        <v>-2.0362365523375563</v>
      </c>
    </row>
    <row r="1045" spans="1:5" x14ac:dyDescent="0.2">
      <c r="A1045" s="1">
        <v>43138</v>
      </c>
      <c r="B1045">
        <v>74122.02</v>
      </c>
      <c r="C1045" s="6">
        <f t="shared" si="48"/>
        <v>1.2768188672333993E-3</v>
      </c>
      <c r="D1045" s="7">
        <f t="shared" si="49"/>
        <v>8.2197516553071739E-2</v>
      </c>
      <c r="E1045" s="8">
        <f t="shared" si="50"/>
        <v>-0.64178520903009062</v>
      </c>
    </row>
    <row r="1046" spans="1:5" x14ac:dyDescent="0.2">
      <c r="A1046" s="1">
        <v>43139</v>
      </c>
      <c r="B1046">
        <v>73765.09</v>
      </c>
      <c r="C1046" s="6">
        <f t="shared" si="48"/>
        <v>-4.8270696892612347E-3</v>
      </c>
      <c r="D1046" s="7">
        <f t="shared" si="49"/>
        <v>-0.43062650311269646</v>
      </c>
      <c r="E1046" s="8">
        <f t="shared" si="50"/>
        <v>-0.85552596806621362</v>
      </c>
    </row>
    <row r="1047" spans="1:5" x14ac:dyDescent="0.2">
      <c r="A1047" s="1">
        <v>43140</v>
      </c>
      <c r="B1047">
        <v>72761.11</v>
      </c>
      <c r="C1047" s="6">
        <f t="shared" si="48"/>
        <v>-1.3703975291095063E-2</v>
      </c>
      <c r="D1047" s="7">
        <f t="shared" si="49"/>
        <v>-1.176428195065655</v>
      </c>
      <c r="E1047" s="8">
        <f t="shared" si="50"/>
        <v>-1.950185459025267</v>
      </c>
    </row>
    <row r="1048" spans="1:5" x14ac:dyDescent="0.2">
      <c r="A1048" s="1">
        <v>43143</v>
      </c>
      <c r="B1048">
        <v>73361.820000000007</v>
      </c>
      <c r="C1048" s="6">
        <f t="shared" si="48"/>
        <v>8.2220276322530605E-3</v>
      </c>
      <c r="D1048" s="7">
        <f t="shared" si="49"/>
        <v>0.66570585608617738</v>
      </c>
      <c r="E1048" s="8">
        <f t="shared" si="50"/>
        <v>-1.1347649866285665</v>
      </c>
    </row>
    <row r="1049" spans="1:5" x14ac:dyDescent="0.2">
      <c r="A1049" s="1">
        <v>43144</v>
      </c>
      <c r="B1049">
        <v>74781</v>
      </c>
      <c r="C1049" s="6">
        <f t="shared" si="48"/>
        <v>1.9160205218290972E-2</v>
      </c>
      <c r="D1049" s="7">
        <f t="shared" si="49"/>
        <v>1.5846872800706508</v>
      </c>
      <c r="E1049" s="8">
        <f t="shared" si="50"/>
        <v>-2.6693213128939215</v>
      </c>
    </row>
    <row r="1050" spans="1:5" x14ac:dyDescent="0.2">
      <c r="A1050" s="1">
        <v>43145</v>
      </c>
      <c r="B1050">
        <v>75386.48</v>
      </c>
      <c r="C1050" s="6">
        <f t="shared" si="48"/>
        <v>8.0641065719971611E-3</v>
      </c>
      <c r="D1050" s="7">
        <f t="shared" si="49"/>
        <v>0.65243796756548345</v>
      </c>
      <c r="E1050" s="8">
        <f t="shared" si="50"/>
        <v>-1.1167729701193918</v>
      </c>
    </row>
    <row r="1051" spans="1:5" x14ac:dyDescent="0.2">
      <c r="A1051" s="1">
        <v>43146</v>
      </c>
      <c r="B1051">
        <v>78486.12</v>
      </c>
      <c r="C1051" s="6">
        <f t="shared" si="48"/>
        <v>4.0293845277011929E-2</v>
      </c>
      <c r="D1051" s="7">
        <f t="shared" si="49"/>
        <v>3.3602502093038771</v>
      </c>
      <c r="E1051" s="8">
        <f t="shared" si="50"/>
        <v>-5.3692047824673734</v>
      </c>
    </row>
    <row r="1052" spans="1:5" x14ac:dyDescent="0.2">
      <c r="A1052" s="1">
        <v>43147</v>
      </c>
      <c r="B1052">
        <v>77930.61</v>
      </c>
      <c r="C1052" s="6">
        <f t="shared" si="48"/>
        <v>-7.1029785057045713E-3</v>
      </c>
      <c r="D1052" s="7">
        <f t="shared" si="49"/>
        <v>-0.62183915335012208</v>
      </c>
      <c r="E1052" s="8">
        <f t="shared" si="50"/>
        <v>-1.076186953587601</v>
      </c>
    </row>
    <row r="1053" spans="1:5" x14ac:dyDescent="0.2">
      <c r="A1053" s="1">
        <v>43150</v>
      </c>
      <c r="B1053">
        <v>76924.63</v>
      </c>
      <c r="C1053" s="6">
        <f t="shared" si="48"/>
        <v>-1.2992704045583208E-2</v>
      </c>
      <c r="D1053" s="7">
        <f t="shared" si="49"/>
        <v>-1.1166700628815476</v>
      </c>
      <c r="E1053" s="8">
        <f t="shared" si="50"/>
        <v>-1.846755222236145</v>
      </c>
    </row>
    <row r="1054" spans="1:5" x14ac:dyDescent="0.2">
      <c r="A1054" s="1">
        <v>43151</v>
      </c>
      <c r="B1054">
        <v>75818.47</v>
      </c>
      <c r="C1054" s="6">
        <f t="shared" si="48"/>
        <v>-1.448418080439985E-2</v>
      </c>
      <c r="D1054" s="7">
        <f t="shared" si="49"/>
        <v>-1.2419779055158291</v>
      </c>
      <c r="E1054" s="8">
        <f t="shared" si="50"/>
        <v>-2.0647252542922137</v>
      </c>
    </row>
    <row r="1055" spans="1:5" x14ac:dyDescent="0.2">
      <c r="A1055" s="1">
        <v>43152</v>
      </c>
      <c r="B1055">
        <v>77156.84</v>
      </c>
      <c r="C1055" s="6">
        <f t="shared" si="48"/>
        <v>1.7498302824406103E-2</v>
      </c>
      <c r="D1055" s="7">
        <f t="shared" si="49"/>
        <v>1.4450609651345141</v>
      </c>
      <c r="E1055" s="8">
        <f t="shared" si="50"/>
        <v>-2.4230891983251723</v>
      </c>
    </row>
    <row r="1056" spans="1:5" x14ac:dyDescent="0.2">
      <c r="A1056" s="1">
        <v>43153</v>
      </c>
      <c r="B1056">
        <v>76537.789999999994</v>
      </c>
      <c r="C1056" s="6">
        <f t="shared" si="48"/>
        <v>-8.0556275475727017E-3</v>
      </c>
      <c r="D1056" s="7">
        <f t="shared" si="49"/>
        <v>-0.70187687134904286</v>
      </c>
      <c r="E1056" s="8">
        <f t="shared" si="50"/>
        <v>-1.1849634317865858</v>
      </c>
    </row>
    <row r="1057" spans="1:5" x14ac:dyDescent="0.2">
      <c r="A1057" s="1">
        <v>43154</v>
      </c>
      <c r="B1057">
        <v>77356.570000000007</v>
      </c>
      <c r="C1057" s="6">
        <f t="shared" si="48"/>
        <v>1.0640906213599718E-2</v>
      </c>
      <c r="D1057" s="7">
        <f t="shared" si="49"/>
        <v>0.86893024750298264</v>
      </c>
      <c r="E1057" s="8">
        <f t="shared" si="50"/>
        <v>-1.4355782779097588</v>
      </c>
    </row>
    <row r="1058" spans="1:5" x14ac:dyDescent="0.2">
      <c r="A1058" s="1">
        <v>43157</v>
      </c>
      <c r="B1058">
        <v>77198.55</v>
      </c>
      <c r="C1058" s="6">
        <f t="shared" si="48"/>
        <v>-2.0448375318986092E-3</v>
      </c>
      <c r="D1058" s="7">
        <f t="shared" si="49"/>
        <v>-0.19687461439842258</v>
      </c>
      <c r="E1058" s="8">
        <f t="shared" si="50"/>
        <v>-0.68143788397642768</v>
      </c>
    </row>
    <row r="1059" spans="1:5" x14ac:dyDescent="0.2">
      <c r="A1059" s="1">
        <v>43158</v>
      </c>
      <c r="B1059">
        <v>77384.320000000007</v>
      </c>
      <c r="C1059" s="6">
        <f t="shared" si="48"/>
        <v>2.4035016225275579E-3</v>
      </c>
      <c r="D1059" s="7">
        <f t="shared" si="49"/>
        <v>0.1768568429988791</v>
      </c>
      <c r="E1059" s="8">
        <f t="shared" si="50"/>
        <v>-0.67222468072091546</v>
      </c>
    </row>
    <row r="1060" spans="1:5" x14ac:dyDescent="0.2">
      <c r="A1060" s="1">
        <v>43159</v>
      </c>
      <c r="B1060">
        <v>76389.41</v>
      </c>
      <c r="C1060" s="6">
        <f t="shared" si="48"/>
        <v>-1.2940102094026934E-2</v>
      </c>
      <c r="D1060" s="7">
        <f t="shared" si="49"/>
        <v>-1.1122506597437478</v>
      </c>
      <c r="E1060" s="8">
        <f t="shared" si="50"/>
        <v>-1.8391523553112017</v>
      </c>
    </row>
    <row r="1061" spans="1:5" x14ac:dyDescent="0.2">
      <c r="A1061" s="1">
        <v>43160</v>
      </c>
      <c r="B1061">
        <v>76101.62</v>
      </c>
      <c r="C1061" s="6">
        <f t="shared" si="48"/>
        <v>-3.7745215791239652E-3</v>
      </c>
      <c r="D1061" s="7">
        <f t="shared" si="49"/>
        <v>-0.34219566959790754</v>
      </c>
      <c r="E1061" s="8">
        <f t="shared" si="50"/>
        <v>-0.77592254768987146</v>
      </c>
    </row>
    <row r="1062" spans="1:5" x14ac:dyDescent="0.2">
      <c r="A1062" s="1">
        <v>43161</v>
      </c>
      <c r="B1062">
        <v>75647.990000000005</v>
      </c>
      <c r="C1062" s="6">
        <f t="shared" si="48"/>
        <v>-5.978682267928092E-3</v>
      </c>
      <c r="D1062" s="7">
        <f t="shared" si="49"/>
        <v>-0.52738033245009774</v>
      </c>
      <c r="E1062" s="8">
        <f t="shared" si="50"/>
        <v>-0.95958802436015456</v>
      </c>
    </row>
    <row r="1063" spans="1:5" x14ac:dyDescent="0.2">
      <c r="A1063" s="1">
        <v>43164</v>
      </c>
      <c r="B1063">
        <v>76238.289999999994</v>
      </c>
      <c r="C1063" s="6">
        <f t="shared" si="48"/>
        <v>7.7729597710017662E-3</v>
      </c>
      <c r="D1063" s="7">
        <f t="shared" si="49"/>
        <v>0.627976991350506</v>
      </c>
      <c r="E1063" s="8">
        <f t="shared" si="50"/>
        <v>-1.0842241761038758</v>
      </c>
    </row>
    <row r="1064" spans="1:5" x14ac:dyDescent="0.2">
      <c r="A1064" s="1">
        <v>43165</v>
      </c>
      <c r="B1064">
        <v>77996.100000000006</v>
      </c>
      <c r="C1064" s="6">
        <f t="shared" si="48"/>
        <v>2.279499551617999E-2</v>
      </c>
      <c r="D1064" s="7">
        <f t="shared" si="49"/>
        <v>1.8900676542293906</v>
      </c>
      <c r="E1064" s="8">
        <f t="shared" si="50"/>
        <v>-3.1974385659466344</v>
      </c>
    </row>
    <row r="1065" spans="1:5" x14ac:dyDescent="0.2">
      <c r="A1065" s="1">
        <v>43166</v>
      </c>
      <c r="B1065">
        <v>78028.820000000007</v>
      </c>
      <c r="C1065" s="6">
        <f t="shared" si="48"/>
        <v>4.1942018595058674E-4</v>
      </c>
      <c r="D1065" s="7">
        <f t="shared" si="49"/>
        <v>1.0162348459490021E-2</v>
      </c>
      <c r="E1065" s="8">
        <f t="shared" si="50"/>
        <v>-0.63346209825512378</v>
      </c>
    </row>
    <row r="1066" spans="1:5" x14ac:dyDescent="0.2">
      <c r="A1066" s="1">
        <v>43167</v>
      </c>
      <c r="B1066">
        <v>78279.39</v>
      </c>
      <c r="C1066" s="6">
        <f t="shared" si="48"/>
        <v>3.2061043324112847E-3</v>
      </c>
      <c r="D1066" s="7">
        <f t="shared" si="49"/>
        <v>0.24428827528465843</v>
      </c>
      <c r="E1066" s="8">
        <f t="shared" si="50"/>
        <v>-0.70701837439950277</v>
      </c>
    </row>
    <row r="1067" spans="1:5" x14ac:dyDescent="0.2">
      <c r="A1067" s="1">
        <v>43168</v>
      </c>
      <c r="B1067">
        <v>78945.61</v>
      </c>
      <c r="C1067" s="6">
        <f t="shared" si="48"/>
        <v>8.4747843845611529E-3</v>
      </c>
      <c r="D1067" s="7">
        <f t="shared" si="49"/>
        <v>0.68694145573984133</v>
      </c>
      <c r="E1067" s="8">
        <f t="shared" si="50"/>
        <v>-1.1640368657235447</v>
      </c>
    </row>
    <row r="1068" spans="1:5" x14ac:dyDescent="0.2">
      <c r="A1068" s="1">
        <v>43171</v>
      </c>
      <c r="B1068">
        <v>78936.11</v>
      </c>
      <c r="C1068" s="6">
        <f t="shared" si="48"/>
        <v>-1.2034325457648595E-4</v>
      </c>
      <c r="D1068" s="7">
        <f t="shared" si="49"/>
        <v>-3.5186391884924485E-2</v>
      </c>
      <c r="E1068" s="8">
        <f t="shared" si="50"/>
        <v>-0.63488371058825588</v>
      </c>
    </row>
    <row r="1069" spans="1:5" x14ac:dyDescent="0.2">
      <c r="A1069" s="1">
        <v>43172</v>
      </c>
      <c r="B1069">
        <v>78713.740000000005</v>
      </c>
      <c r="C1069" s="6">
        <f t="shared" si="48"/>
        <v>-2.8210638636926686E-3</v>
      </c>
      <c r="D1069" s="7">
        <f t="shared" si="49"/>
        <v>-0.2620900101181714</v>
      </c>
      <c r="E1069" s="8">
        <f t="shared" si="50"/>
        <v>-0.71796216000903423</v>
      </c>
    </row>
    <row r="1070" spans="1:5" x14ac:dyDescent="0.2">
      <c r="A1070" s="1">
        <v>43173</v>
      </c>
      <c r="B1070">
        <v>77625.13</v>
      </c>
      <c r="C1070" s="6">
        <f t="shared" si="48"/>
        <v>-1.3926512253767096E-2</v>
      </c>
      <c r="D1070" s="7">
        <f t="shared" si="49"/>
        <v>-1.1951248502659297</v>
      </c>
      <c r="E1070" s="8">
        <f t="shared" si="50"/>
        <v>-1.982755621693248</v>
      </c>
    </row>
    <row r="1071" spans="1:5" x14ac:dyDescent="0.2">
      <c r="A1071" s="1">
        <v>43174</v>
      </c>
      <c r="B1071">
        <v>76932</v>
      </c>
      <c r="C1071" s="6">
        <f t="shared" si="48"/>
        <v>-8.9693001773164579E-3</v>
      </c>
      <c r="D1071" s="7">
        <f t="shared" si="49"/>
        <v>-0.7786399489031437</v>
      </c>
      <c r="E1071" s="8">
        <f t="shared" si="50"/>
        <v>-1.2966065163399494</v>
      </c>
    </row>
    <row r="1072" spans="1:5" x14ac:dyDescent="0.2">
      <c r="A1072" s="1">
        <v>43175</v>
      </c>
      <c r="B1072">
        <v>76560.960000000006</v>
      </c>
      <c r="C1072" s="6">
        <f t="shared" si="48"/>
        <v>-4.8346285420836476E-3</v>
      </c>
      <c r="D1072" s="7">
        <f t="shared" si="49"/>
        <v>-0.43126156734307586</v>
      </c>
      <c r="E1072" s="8">
        <f t="shared" si="50"/>
        <v>-0.85615338308134048</v>
      </c>
    </row>
    <row r="1073" spans="1:5" x14ac:dyDescent="0.2">
      <c r="A1073" s="1">
        <v>43178</v>
      </c>
      <c r="B1073">
        <v>76883.789999999994</v>
      </c>
      <c r="C1073" s="6">
        <f t="shared" si="48"/>
        <v>4.2077748025726759E-3</v>
      </c>
      <c r="D1073" s="7">
        <f t="shared" si="49"/>
        <v>0.32844457534392152</v>
      </c>
      <c r="E1073" s="8">
        <f t="shared" si="50"/>
        <v>-0.76498371534016851</v>
      </c>
    </row>
    <row r="1074" spans="1:5" x14ac:dyDescent="0.2">
      <c r="A1074" s="1">
        <v>43179</v>
      </c>
      <c r="B1074">
        <v>77461.279999999999</v>
      </c>
      <c r="C1074" s="6">
        <f t="shared" si="48"/>
        <v>7.4831375543538154E-3</v>
      </c>
      <c r="D1074" s="7">
        <f t="shared" si="49"/>
        <v>0.60362730135302023</v>
      </c>
      <c r="E1074" s="8">
        <f t="shared" si="50"/>
        <v>-1.0526556945672476</v>
      </c>
    </row>
    <row r="1075" spans="1:5" x14ac:dyDescent="0.2">
      <c r="A1075" s="1">
        <v>43181</v>
      </c>
      <c r="B1075">
        <v>75440.77</v>
      </c>
      <c r="C1075" s="6">
        <f t="shared" si="48"/>
        <v>-2.6430353547999722E-2</v>
      </c>
      <c r="D1075" s="7">
        <f t="shared" si="49"/>
        <v>-2.2456470042047396</v>
      </c>
      <c r="E1075" s="8">
        <f t="shared" si="50"/>
        <v>-3.7827581771665848</v>
      </c>
    </row>
    <row r="1076" spans="1:5" x14ac:dyDescent="0.2">
      <c r="A1076" s="1">
        <v>43182</v>
      </c>
      <c r="B1076">
        <v>73870.880000000005</v>
      </c>
      <c r="C1076" s="6">
        <f t="shared" si="48"/>
        <v>-2.1029140770455732E-2</v>
      </c>
      <c r="D1076" s="7">
        <f t="shared" si="49"/>
        <v>-1.791858960400593</v>
      </c>
      <c r="E1076" s="8">
        <f t="shared" si="50"/>
        <v>-3.0297276595089042</v>
      </c>
    </row>
    <row r="1077" spans="1:5" x14ac:dyDescent="0.2">
      <c r="A1077" s="1">
        <v>43185</v>
      </c>
      <c r="B1077">
        <v>73628.67</v>
      </c>
      <c r="C1077" s="6">
        <f t="shared" si="48"/>
        <v>-3.2842163614458146E-3</v>
      </c>
      <c r="D1077" s="7">
        <f t="shared" si="49"/>
        <v>-0.30100220902509417</v>
      </c>
      <c r="E1077" s="8">
        <f t="shared" si="50"/>
        <v>-0.74436462643516166</v>
      </c>
    </row>
    <row r="1078" spans="1:5" x14ac:dyDescent="0.2">
      <c r="A1078" s="1">
        <v>43186</v>
      </c>
      <c r="B1078">
        <v>73390.61</v>
      </c>
      <c r="C1078" s="6">
        <f t="shared" si="48"/>
        <v>-3.2384896465379761E-3</v>
      </c>
      <c r="D1078" s="7">
        <f t="shared" si="49"/>
        <v>-0.29716043545270526</v>
      </c>
      <c r="E1078" s="8">
        <f t="shared" si="50"/>
        <v>-0.74160865380941587</v>
      </c>
    </row>
    <row r="1079" spans="1:5" x14ac:dyDescent="0.2">
      <c r="A1079" s="1">
        <v>43187</v>
      </c>
      <c r="B1079">
        <v>71265.53</v>
      </c>
      <c r="C1079" s="6">
        <f t="shared" si="48"/>
        <v>-2.9383237971383876E-2</v>
      </c>
      <c r="D1079" s="7">
        <f t="shared" si="49"/>
        <v>-2.4937364058365974</v>
      </c>
      <c r="E1079" s="8">
        <f t="shared" si="50"/>
        <v>-4.1685123908678703</v>
      </c>
    </row>
    <row r="1080" spans="1:5" x14ac:dyDescent="0.2">
      <c r="A1080" s="1">
        <v>43188</v>
      </c>
      <c r="B1080">
        <v>71778.13</v>
      </c>
      <c r="C1080" s="6">
        <f t="shared" si="48"/>
        <v>7.1670732449455009E-3</v>
      </c>
      <c r="D1080" s="7">
        <f t="shared" si="49"/>
        <v>0.57707285689954224</v>
      </c>
      <c r="E1080" s="8">
        <f t="shared" si="50"/>
        <v>-1.0192191576160752</v>
      </c>
    </row>
    <row r="1081" spans="1:5" x14ac:dyDescent="0.2">
      <c r="A1081" s="1">
        <v>43193</v>
      </c>
      <c r="B1081">
        <v>71102.880000000005</v>
      </c>
      <c r="C1081" s="6">
        <f t="shared" si="48"/>
        <v>-9.4519912371357397E-3</v>
      </c>
      <c r="D1081" s="7">
        <f t="shared" si="49"/>
        <v>-0.81919369874018355</v>
      </c>
      <c r="E1081" s="8">
        <f t="shared" si="50"/>
        <v>-1.3580945623028782</v>
      </c>
    </row>
    <row r="1082" spans="1:5" x14ac:dyDescent="0.2">
      <c r="A1082" s="1">
        <v>43194</v>
      </c>
      <c r="B1082">
        <v>71607.13</v>
      </c>
      <c r="C1082" s="6">
        <f t="shared" si="48"/>
        <v>7.0668076963773278E-3</v>
      </c>
      <c r="D1082" s="7">
        <f t="shared" si="49"/>
        <v>0.56864895119175962</v>
      </c>
      <c r="E1082" s="8">
        <f t="shared" si="50"/>
        <v>-1.0088354457885276</v>
      </c>
    </row>
    <row r="1083" spans="1:5" x14ac:dyDescent="0.2">
      <c r="A1083" s="1">
        <v>43195</v>
      </c>
      <c r="B1083">
        <v>73122.720000000001</v>
      </c>
      <c r="C1083" s="6">
        <f t="shared" si="48"/>
        <v>2.0944475564423404E-2</v>
      </c>
      <c r="D1083" s="7">
        <f t="shared" si="49"/>
        <v>1.7345944552435124</v>
      </c>
      <c r="E1083" s="8">
        <f t="shared" si="50"/>
        <v>-2.9309174474005726</v>
      </c>
    </row>
    <row r="1084" spans="1:5" x14ac:dyDescent="0.2">
      <c r="A1084" s="1">
        <v>43196</v>
      </c>
      <c r="B1084">
        <v>72859.64</v>
      </c>
      <c r="C1084" s="6">
        <f t="shared" si="48"/>
        <v>-3.6042749932462858E-3</v>
      </c>
      <c r="D1084" s="7">
        <f t="shared" si="49"/>
        <v>-0.32789224028459396</v>
      </c>
      <c r="E1084" s="8">
        <f t="shared" si="50"/>
        <v>-0.7645527294557094</v>
      </c>
    </row>
    <row r="1085" spans="1:5" x14ac:dyDescent="0.2">
      <c r="A1085" s="1">
        <v>43199</v>
      </c>
      <c r="B1085">
        <v>73391.929999999993</v>
      </c>
      <c r="C1085" s="6">
        <f t="shared" si="48"/>
        <v>7.2791334864282615E-3</v>
      </c>
      <c r="D1085" s="7">
        <f t="shared" si="49"/>
        <v>0.5864877049836803</v>
      </c>
      <c r="E1085" s="8">
        <f t="shared" si="50"/>
        <v>-1.0309529351003299</v>
      </c>
    </row>
    <row r="1086" spans="1:5" x14ac:dyDescent="0.2">
      <c r="A1086" s="1">
        <v>43200</v>
      </c>
      <c r="B1086">
        <v>74110.81</v>
      </c>
      <c r="C1086" s="6">
        <f t="shared" si="48"/>
        <v>9.7474215307021359E-3</v>
      </c>
      <c r="D1086" s="7">
        <f t="shared" si="49"/>
        <v>0.79386327956075176</v>
      </c>
      <c r="E1086" s="8">
        <f t="shared" si="50"/>
        <v>-1.319499203579477</v>
      </c>
    </row>
    <row r="1087" spans="1:5" x14ac:dyDescent="0.2">
      <c r="A1087" s="1">
        <v>43201</v>
      </c>
      <c r="B1087">
        <v>73175.839999999997</v>
      </c>
      <c r="C1087" s="6">
        <f t="shared" si="48"/>
        <v>-1.2696093760199813E-2</v>
      </c>
      <c r="D1087" s="7">
        <f t="shared" si="49"/>
        <v>-1.0917500668140117</v>
      </c>
      <c r="E1087" s="8">
        <f t="shared" si="50"/>
        <v>-1.8039788524835378</v>
      </c>
    </row>
    <row r="1088" spans="1:5" x14ac:dyDescent="0.2">
      <c r="A1088" s="1">
        <v>43202</v>
      </c>
      <c r="B1088">
        <v>73792.039999999994</v>
      </c>
      <c r="C1088" s="6">
        <f t="shared" si="48"/>
        <v>8.3855548681923738E-3</v>
      </c>
      <c r="D1088" s="7">
        <f t="shared" si="49"/>
        <v>0.67944475280472938</v>
      </c>
      <c r="E1088" s="8">
        <f t="shared" si="50"/>
        <v>-1.1536375336431355</v>
      </c>
    </row>
    <row r="1089" spans="1:5" x14ac:dyDescent="0.2">
      <c r="A1089" s="1">
        <v>43203</v>
      </c>
      <c r="B1089">
        <v>73405.87</v>
      </c>
      <c r="C1089" s="6">
        <f t="shared" si="48"/>
        <v>-5.2469615357638184E-3</v>
      </c>
      <c r="D1089" s="7">
        <f t="shared" si="49"/>
        <v>-0.46590411713781194</v>
      </c>
      <c r="E1089" s="8">
        <f t="shared" si="50"/>
        <v>-0.89152324188676846</v>
      </c>
    </row>
    <row r="1090" spans="1:5" x14ac:dyDescent="0.2">
      <c r="A1090" s="1">
        <v>43206</v>
      </c>
      <c r="B1090">
        <v>74035.13</v>
      </c>
      <c r="C1090" s="6">
        <f t="shared" si="48"/>
        <v>8.5358051105282572E-3</v>
      </c>
      <c r="D1090" s="7">
        <f t="shared" si="49"/>
        <v>0.69206817024056355</v>
      </c>
      <c r="E1090" s="8">
        <f t="shared" si="50"/>
        <v>-1.1711890913060734</v>
      </c>
    </row>
    <row r="1091" spans="1:5" x14ac:dyDescent="0.2">
      <c r="A1091" s="1">
        <v>43207</v>
      </c>
      <c r="B1091">
        <v>74123.3</v>
      </c>
      <c r="C1091" s="6">
        <f t="shared" ref="C1091:C1154" si="51">LN(B1091/B1090)</f>
        <v>1.1902125367894028E-3</v>
      </c>
      <c r="D1091" s="7">
        <f t="shared" ref="D1091:D1154" si="52">(C1091-$G$4)/$G$5</f>
        <v>7.4921203085727209E-2</v>
      </c>
      <c r="E1091" s="8">
        <f t="shared" ref="E1091:E1154" si="53">LN((PI()*(G$3-2))^(-1/2)*EXP(GAMMALN((G$3+1)/2))*((1+D1091^2/(G$3-2))^(-(G$3+1)/2))/EXP(GAMMALN(G$3/2)))</f>
        <v>-0.64035698133109098</v>
      </c>
    </row>
    <row r="1092" spans="1:5" x14ac:dyDescent="0.2">
      <c r="A1092" s="1">
        <v>43208</v>
      </c>
      <c r="B1092">
        <v>74794.929999999993</v>
      </c>
      <c r="C1092" s="6">
        <f t="shared" si="51"/>
        <v>9.0201791123686609E-3</v>
      </c>
      <c r="D1092" s="7">
        <f t="shared" si="52"/>
        <v>0.73276331405689199</v>
      </c>
      <c r="E1092" s="8">
        <f t="shared" si="53"/>
        <v>-1.2290881507139881</v>
      </c>
    </row>
    <row r="1093" spans="1:5" x14ac:dyDescent="0.2">
      <c r="A1093" s="1">
        <v>43209</v>
      </c>
      <c r="B1093">
        <v>74205.3</v>
      </c>
      <c r="C1093" s="6">
        <f t="shared" si="51"/>
        <v>-7.9145257406851438E-3</v>
      </c>
      <c r="D1093" s="7">
        <f t="shared" si="52"/>
        <v>-0.69002206844423097</v>
      </c>
      <c r="E1093" s="8">
        <f t="shared" si="53"/>
        <v>-1.1683306784757592</v>
      </c>
    </row>
    <row r="1094" spans="1:5" x14ac:dyDescent="0.2">
      <c r="A1094" s="1">
        <v>43210</v>
      </c>
      <c r="B1094">
        <v>74507.27</v>
      </c>
      <c r="C1094" s="6">
        <f t="shared" si="51"/>
        <v>4.061128323268679E-3</v>
      </c>
      <c r="D1094" s="7">
        <f t="shared" si="52"/>
        <v>0.31612393149689538</v>
      </c>
      <c r="E1094" s="8">
        <f t="shared" si="53"/>
        <v>-0.75552523575670649</v>
      </c>
    </row>
    <row r="1095" spans="1:5" x14ac:dyDescent="0.2">
      <c r="A1095" s="1">
        <v>43213</v>
      </c>
      <c r="B1095">
        <v>74673.210000000006</v>
      </c>
      <c r="C1095" s="6">
        <f t="shared" si="51"/>
        <v>2.2246887587402489E-3</v>
      </c>
      <c r="D1095" s="7">
        <f t="shared" si="52"/>
        <v>0.16183370967548555</v>
      </c>
      <c r="E1095" s="8">
        <f t="shared" si="53"/>
        <v>-0.66593907004557717</v>
      </c>
    </row>
    <row r="1096" spans="1:5" x14ac:dyDescent="0.2">
      <c r="A1096" s="1">
        <v>43214</v>
      </c>
      <c r="B1096">
        <v>74624.69</v>
      </c>
      <c r="C1096" s="6">
        <f t="shared" si="51"/>
        <v>-6.4997567558798075E-4</v>
      </c>
      <c r="D1096" s="7">
        <f t="shared" si="52"/>
        <v>-7.968396496060455E-2</v>
      </c>
      <c r="E1096" s="8">
        <f t="shared" si="53"/>
        <v>-0.64127697580245735</v>
      </c>
    </row>
    <row r="1097" spans="1:5" x14ac:dyDescent="0.2">
      <c r="A1097" s="1">
        <v>43215</v>
      </c>
      <c r="B1097">
        <v>73920.009999999995</v>
      </c>
      <c r="C1097" s="6">
        <f t="shared" si="51"/>
        <v>-9.4878549854805431E-3</v>
      </c>
      <c r="D1097" s="7">
        <f t="shared" si="52"/>
        <v>-0.82220682576834569</v>
      </c>
      <c r="E1097" s="8">
        <f t="shared" si="53"/>
        <v>-1.3627260267581394</v>
      </c>
    </row>
    <row r="1098" spans="1:5" x14ac:dyDescent="0.2">
      <c r="A1098" s="1">
        <v>43216</v>
      </c>
      <c r="B1098">
        <v>74593.740000000005</v>
      </c>
      <c r="C1098" s="6">
        <f t="shared" si="51"/>
        <v>9.0730268648009874E-3</v>
      </c>
      <c r="D1098" s="7">
        <f t="shared" si="52"/>
        <v>0.73720336838976641</v>
      </c>
      <c r="E1098" s="8">
        <f t="shared" si="53"/>
        <v>-1.2355220394344211</v>
      </c>
    </row>
    <row r="1099" spans="1:5" x14ac:dyDescent="0.2">
      <c r="A1099" s="1">
        <v>43220</v>
      </c>
      <c r="B1099">
        <v>75898.36</v>
      </c>
      <c r="C1099" s="6">
        <f t="shared" si="51"/>
        <v>1.7338487310406738E-2</v>
      </c>
      <c r="D1099" s="7">
        <f t="shared" si="52"/>
        <v>1.4316339122754147</v>
      </c>
      <c r="E1099" s="8">
        <f t="shared" si="53"/>
        <v>-2.3993476617702414</v>
      </c>
    </row>
    <row r="1100" spans="1:5" x14ac:dyDescent="0.2">
      <c r="A1100" s="1">
        <v>43222</v>
      </c>
      <c r="B1100">
        <v>75760.55</v>
      </c>
      <c r="C1100" s="6">
        <f t="shared" si="51"/>
        <v>-1.8173681708540746E-3</v>
      </c>
      <c r="D1100" s="7">
        <f t="shared" si="52"/>
        <v>-0.17776355904379249</v>
      </c>
      <c r="E1100" s="8">
        <f t="shared" si="53"/>
        <v>-0.67262135826555269</v>
      </c>
    </row>
    <row r="1101" spans="1:5" x14ac:dyDescent="0.2">
      <c r="A1101" s="1">
        <v>43223</v>
      </c>
      <c r="B1101">
        <v>73846.31</v>
      </c>
      <c r="C1101" s="6">
        <f t="shared" si="51"/>
        <v>-2.559166703771552E-2</v>
      </c>
      <c r="D1101" s="7">
        <f t="shared" si="52"/>
        <v>-2.1751839570074303</v>
      </c>
      <c r="E1101" s="8">
        <f t="shared" si="53"/>
        <v>-3.6697164973090892</v>
      </c>
    </row>
    <row r="1102" spans="1:5" x14ac:dyDescent="0.2">
      <c r="A1102" s="1">
        <v>43224</v>
      </c>
      <c r="B1102">
        <v>74893.25</v>
      </c>
      <c r="C1102" s="6">
        <f t="shared" si="51"/>
        <v>1.4077724720451821E-2</v>
      </c>
      <c r="D1102" s="7">
        <f t="shared" si="52"/>
        <v>1.1576778327894619</v>
      </c>
      <c r="E1102" s="8">
        <f t="shared" si="53"/>
        <v>-1.9176152213459152</v>
      </c>
    </row>
    <row r="1103" spans="1:5" x14ac:dyDescent="0.2">
      <c r="A1103" s="1">
        <v>43227</v>
      </c>
      <c r="B1103">
        <v>75157.570000000007</v>
      </c>
      <c r="C1103" s="6">
        <f t="shared" si="51"/>
        <v>3.5230766935691062E-3</v>
      </c>
      <c r="D1103" s="7">
        <f t="shared" si="52"/>
        <v>0.27091901057207562</v>
      </c>
      <c r="E1103" s="8">
        <f t="shared" si="53"/>
        <v>-0.72365631060328151</v>
      </c>
    </row>
    <row r="1104" spans="1:5" x14ac:dyDescent="0.2">
      <c r="A1104" s="1">
        <v>43228</v>
      </c>
      <c r="B1104">
        <v>75123.48</v>
      </c>
      <c r="C1104" s="6">
        <f t="shared" si="51"/>
        <v>-4.5368328987229763E-4</v>
      </c>
      <c r="D1104" s="7">
        <f t="shared" si="52"/>
        <v>-6.3192272928417531E-2</v>
      </c>
      <c r="E1104" s="8">
        <f t="shared" si="53"/>
        <v>-0.638331850769007</v>
      </c>
    </row>
    <row r="1105" spans="1:5" x14ac:dyDescent="0.2">
      <c r="A1105" s="1">
        <v>43229</v>
      </c>
      <c r="B1105">
        <v>75304.03</v>
      </c>
      <c r="C1105" s="6">
        <f t="shared" si="51"/>
        <v>2.400492924460383E-3</v>
      </c>
      <c r="D1105" s="7">
        <f t="shared" si="52"/>
        <v>0.17660406436072268</v>
      </c>
      <c r="E1105" s="8">
        <f t="shared" si="53"/>
        <v>-0.67211444344831706</v>
      </c>
    </row>
    <row r="1106" spans="1:5" x14ac:dyDescent="0.2">
      <c r="A1106" s="1">
        <v>43230</v>
      </c>
      <c r="B1106">
        <v>75675.69</v>
      </c>
      <c r="C1106" s="6">
        <f t="shared" si="51"/>
        <v>4.9233201747156084E-3</v>
      </c>
      <c r="D1106" s="7">
        <f t="shared" si="52"/>
        <v>0.38856180235409316</v>
      </c>
      <c r="E1106" s="8">
        <f t="shared" si="53"/>
        <v>-0.81570585836754073</v>
      </c>
    </row>
    <row r="1107" spans="1:5" x14ac:dyDescent="0.2">
      <c r="A1107" s="1">
        <v>43231</v>
      </c>
      <c r="B1107">
        <v>75999.62</v>
      </c>
      <c r="C1107" s="6">
        <f t="shared" si="51"/>
        <v>4.2713674690637886E-3</v>
      </c>
      <c r="D1107" s="7">
        <f t="shared" si="52"/>
        <v>0.33378737388118146</v>
      </c>
      <c r="E1107" s="8">
        <f t="shared" si="53"/>
        <v>-0.7691862316798832</v>
      </c>
    </row>
    <row r="1108" spans="1:5" x14ac:dyDescent="0.2">
      <c r="A1108" s="1">
        <v>43234</v>
      </c>
      <c r="B1108">
        <v>76340.95</v>
      </c>
      <c r="C1108" s="6">
        <f t="shared" si="51"/>
        <v>4.4811512938289387E-3</v>
      </c>
      <c r="D1108" s="7">
        <f t="shared" si="52"/>
        <v>0.35141256203479776</v>
      </c>
      <c r="E1108" s="8">
        <f t="shared" si="53"/>
        <v>-0.7834775392986012</v>
      </c>
    </row>
    <row r="1109" spans="1:5" x14ac:dyDescent="0.2">
      <c r="A1109" s="1">
        <v>43235</v>
      </c>
      <c r="B1109">
        <v>74839.08</v>
      </c>
      <c r="C1109" s="6">
        <f t="shared" si="51"/>
        <v>-1.9869283128831159E-2</v>
      </c>
      <c r="D1109" s="7">
        <f t="shared" si="52"/>
        <v>-1.6944124142337085</v>
      </c>
      <c r="E1109" s="8">
        <f t="shared" si="53"/>
        <v>-2.8611814432384923</v>
      </c>
    </row>
    <row r="1110" spans="1:5" x14ac:dyDescent="0.2">
      <c r="A1110" s="1">
        <v>43236</v>
      </c>
      <c r="B1110">
        <v>76453.11</v>
      </c>
      <c r="C1110" s="6">
        <f t="shared" si="51"/>
        <v>2.1337403291952516E-2</v>
      </c>
      <c r="D1110" s="7">
        <f t="shared" si="52"/>
        <v>1.7676066530915895</v>
      </c>
      <c r="E1110" s="8">
        <f t="shared" si="53"/>
        <v>-2.9879661851803028</v>
      </c>
    </row>
    <row r="1111" spans="1:5" x14ac:dyDescent="0.2">
      <c r="A1111" s="1">
        <v>43237</v>
      </c>
      <c r="B1111">
        <v>75675.03</v>
      </c>
      <c r="C1111" s="6">
        <f t="shared" si="51"/>
        <v>-1.0229360390966584E-2</v>
      </c>
      <c r="D1111" s="7">
        <f t="shared" si="52"/>
        <v>-0.88450510974350816</v>
      </c>
      <c r="E1111" s="8">
        <f t="shared" si="53"/>
        <v>-1.4602710740844613</v>
      </c>
    </row>
    <row r="1112" spans="1:5" x14ac:dyDescent="0.2">
      <c r="A1112" s="1">
        <v>43238</v>
      </c>
      <c r="B1112">
        <v>74782.91</v>
      </c>
      <c r="C1112" s="6">
        <f t="shared" si="51"/>
        <v>-1.185886839981495E-2</v>
      </c>
      <c r="D1112" s="7">
        <f t="shared" si="52"/>
        <v>-1.021409779519308</v>
      </c>
      <c r="E1112" s="8">
        <f t="shared" si="53"/>
        <v>-1.6846406717004174</v>
      </c>
    </row>
    <row r="1113" spans="1:5" x14ac:dyDescent="0.2">
      <c r="A1113" s="1">
        <v>43241</v>
      </c>
      <c r="B1113">
        <v>74353</v>
      </c>
      <c r="C1113" s="6">
        <f t="shared" si="51"/>
        <v>-5.7653611504856197E-3</v>
      </c>
      <c r="D1113" s="7">
        <f t="shared" si="52"/>
        <v>-0.50945795527791904</v>
      </c>
      <c r="E1113" s="8">
        <f t="shared" si="53"/>
        <v>-0.93907055765245595</v>
      </c>
    </row>
    <row r="1114" spans="1:5" x14ac:dyDescent="0.2">
      <c r="A1114" s="1">
        <v>43242</v>
      </c>
      <c r="B1114">
        <v>74845.38</v>
      </c>
      <c r="C1114" s="6">
        <f t="shared" si="51"/>
        <v>6.6003637242591836E-3</v>
      </c>
      <c r="D1114" s="7">
        <f t="shared" si="52"/>
        <v>0.52946021592627424</v>
      </c>
      <c r="E1114" s="8">
        <f t="shared" si="53"/>
        <v>-0.96200388273224036</v>
      </c>
    </row>
    <row r="1115" spans="1:5" x14ac:dyDescent="0.2">
      <c r="A1115" s="1">
        <v>43243</v>
      </c>
      <c r="B1115">
        <v>73904.160000000003</v>
      </c>
      <c r="C1115" s="6">
        <f t="shared" si="51"/>
        <v>-1.265526685709433E-2</v>
      </c>
      <c r="D1115" s="7">
        <f t="shared" si="52"/>
        <v>-1.0883199556042025</v>
      </c>
      <c r="E1115" s="8">
        <f t="shared" si="53"/>
        <v>-1.798109495519532</v>
      </c>
    </row>
    <row r="1116" spans="1:5" x14ac:dyDescent="0.2">
      <c r="A1116" s="1">
        <v>43244</v>
      </c>
      <c r="B1116">
        <v>73685.320000000007</v>
      </c>
      <c r="C1116" s="6">
        <f t="shared" si="51"/>
        <v>-2.9655251902697913E-3</v>
      </c>
      <c r="D1116" s="7">
        <f t="shared" si="52"/>
        <v>-0.2742270662743988</v>
      </c>
      <c r="E1116" s="8">
        <f t="shared" si="53"/>
        <v>-0.72583494154323092</v>
      </c>
    </row>
    <row r="1117" spans="1:5" x14ac:dyDescent="0.2">
      <c r="A1117" s="1">
        <v>43245</v>
      </c>
      <c r="B1117">
        <v>74102.649999999994</v>
      </c>
      <c r="C1117" s="6">
        <f t="shared" si="51"/>
        <v>5.6477006793005874E-3</v>
      </c>
      <c r="D1117" s="7">
        <f t="shared" si="52"/>
        <v>0.44942132144435015</v>
      </c>
      <c r="E1117" s="8">
        <f t="shared" si="53"/>
        <v>-0.87441635236404502</v>
      </c>
    </row>
    <row r="1118" spans="1:5" x14ac:dyDescent="0.2">
      <c r="A1118" s="1">
        <v>43248</v>
      </c>
      <c r="B1118">
        <v>74301.87</v>
      </c>
      <c r="C1118" s="6">
        <f t="shared" si="51"/>
        <v>2.6848254981664183E-3</v>
      </c>
      <c r="D1118" s="7">
        <f t="shared" si="52"/>
        <v>0.20049253676978976</v>
      </c>
      <c r="E1118" s="8">
        <f t="shared" si="53"/>
        <v>-0.68320445631254023</v>
      </c>
    </row>
    <row r="1119" spans="1:5" x14ac:dyDescent="0.2">
      <c r="A1119" s="1">
        <v>43249</v>
      </c>
      <c r="B1119">
        <v>72382.929999999993</v>
      </c>
      <c r="C1119" s="6">
        <f t="shared" si="51"/>
        <v>-2.6165621531805218E-2</v>
      </c>
      <c r="D1119" s="7">
        <f t="shared" si="52"/>
        <v>-2.223405291332273</v>
      </c>
      <c r="E1119" s="8">
        <f t="shared" si="53"/>
        <v>-3.7472404266578456</v>
      </c>
    </row>
    <row r="1120" spans="1:5" x14ac:dyDescent="0.2">
      <c r="A1120" s="1">
        <v>43250</v>
      </c>
      <c r="B1120">
        <v>71577.539999999994</v>
      </c>
      <c r="C1120" s="6">
        <f t="shared" si="51"/>
        <v>-1.1189160506414639E-2</v>
      </c>
      <c r="D1120" s="7">
        <f t="shared" si="52"/>
        <v>-0.96514363201076392</v>
      </c>
      <c r="E1120" s="8">
        <f t="shared" si="53"/>
        <v>-1.5909842046611764</v>
      </c>
    </row>
    <row r="1121" spans="1:5" x14ac:dyDescent="0.2">
      <c r="A1121" s="1">
        <v>43251</v>
      </c>
      <c r="B1121">
        <v>72021.350000000006</v>
      </c>
      <c r="C1121" s="6">
        <f t="shared" si="51"/>
        <v>6.1812652325047074E-3</v>
      </c>
      <c r="D1121" s="7">
        <f t="shared" si="52"/>
        <v>0.49424925635711414</v>
      </c>
      <c r="E1121" s="8">
        <f t="shared" si="53"/>
        <v>-0.92208893498724886</v>
      </c>
    </row>
    <row r="1122" spans="1:5" x14ac:dyDescent="0.2">
      <c r="A1122" s="1">
        <v>43252</v>
      </c>
      <c r="B1122">
        <v>73853.17</v>
      </c>
      <c r="C1122" s="6">
        <f t="shared" si="51"/>
        <v>2.5116330065647112E-2</v>
      </c>
      <c r="D1122" s="7">
        <f t="shared" si="52"/>
        <v>2.0850967907591054</v>
      </c>
      <c r="E1122" s="8">
        <f t="shared" si="53"/>
        <v>-3.5230103572721339</v>
      </c>
    </row>
    <row r="1123" spans="1:5" x14ac:dyDescent="0.2">
      <c r="A1123" s="1">
        <v>43255</v>
      </c>
      <c r="B1123">
        <v>74847.37</v>
      </c>
      <c r="C1123" s="6">
        <f t="shared" si="51"/>
        <v>1.3372040403964655E-2</v>
      </c>
      <c r="D1123" s="7">
        <f t="shared" si="52"/>
        <v>1.09838909177682</v>
      </c>
      <c r="E1123" s="8">
        <f t="shared" si="53"/>
        <v>-1.8153521767570229</v>
      </c>
    </row>
    <row r="1124" spans="1:5" x14ac:dyDescent="0.2">
      <c r="A1124" s="1">
        <v>43256</v>
      </c>
      <c r="B1124">
        <v>74847.58</v>
      </c>
      <c r="C1124" s="6">
        <f t="shared" si="51"/>
        <v>2.8057058704895817E-6</v>
      </c>
      <c r="D1124" s="7">
        <f t="shared" si="52"/>
        <v>-2.483991449931067E-2</v>
      </c>
      <c r="E1124" s="8">
        <f t="shared" si="53"/>
        <v>-0.63410578760445635</v>
      </c>
    </row>
    <row r="1125" spans="1:5" x14ac:dyDescent="0.2">
      <c r="A1125" s="1">
        <v>43257</v>
      </c>
      <c r="B1125">
        <v>75546.12</v>
      </c>
      <c r="C1125" s="6">
        <f t="shared" si="51"/>
        <v>9.2895516688980637E-3</v>
      </c>
      <c r="D1125" s="7">
        <f t="shared" si="52"/>
        <v>0.75539490635227702</v>
      </c>
      <c r="E1125" s="8">
        <f t="shared" si="53"/>
        <v>-1.2621118334717374</v>
      </c>
    </row>
    <row r="1126" spans="1:5" x14ac:dyDescent="0.2">
      <c r="A1126" s="1">
        <v>43258</v>
      </c>
      <c r="B1126">
        <v>75949.81</v>
      </c>
      <c r="C1126" s="6">
        <f t="shared" si="51"/>
        <v>5.3293967102915991E-3</v>
      </c>
      <c r="D1126" s="7">
        <f t="shared" si="52"/>
        <v>0.42267870985307626</v>
      </c>
      <c r="E1126" s="8">
        <f t="shared" si="53"/>
        <v>-0.84773898440226769</v>
      </c>
    </row>
    <row r="1127" spans="1:5" x14ac:dyDescent="0.2">
      <c r="A1127" s="1">
        <v>43259</v>
      </c>
      <c r="B1127">
        <v>75529.53</v>
      </c>
      <c r="C1127" s="6">
        <f t="shared" si="51"/>
        <v>-5.5490217798072252E-3</v>
      </c>
      <c r="D1127" s="7">
        <f t="shared" si="52"/>
        <v>-0.49128199668096689</v>
      </c>
      <c r="E1127" s="8">
        <f t="shared" si="53"/>
        <v>-0.91882254140169417</v>
      </c>
    </row>
    <row r="1128" spans="1:5" x14ac:dyDescent="0.2">
      <c r="A1128" s="1">
        <v>43262</v>
      </c>
      <c r="B1128">
        <v>75428.73</v>
      </c>
      <c r="C1128" s="6">
        <f t="shared" si="51"/>
        <v>-1.3354686915602817E-3</v>
      </c>
      <c r="D1128" s="7">
        <f t="shared" si="52"/>
        <v>-0.13727631459970219</v>
      </c>
      <c r="E1128" s="8">
        <f t="shared" si="53"/>
        <v>-0.65683709155235015</v>
      </c>
    </row>
    <row r="1129" spans="1:5" x14ac:dyDescent="0.2">
      <c r="A1129" s="1">
        <v>43263</v>
      </c>
      <c r="B1129">
        <v>75670.17</v>
      </c>
      <c r="C1129" s="6">
        <f t="shared" si="51"/>
        <v>3.1957903795072277E-3</v>
      </c>
      <c r="D1129" s="7">
        <f t="shared" si="52"/>
        <v>0.24342173869278796</v>
      </c>
      <c r="E1129" s="8">
        <f t="shared" si="53"/>
        <v>-0.70650412238166393</v>
      </c>
    </row>
    <row r="1130" spans="1:5" x14ac:dyDescent="0.2">
      <c r="A1130" s="1">
        <v>43264</v>
      </c>
      <c r="B1130">
        <v>76145.48</v>
      </c>
      <c r="C1130" s="6">
        <f t="shared" si="51"/>
        <v>6.2616937453709599E-3</v>
      </c>
      <c r="D1130" s="7">
        <f t="shared" si="52"/>
        <v>0.50100653458755062</v>
      </c>
      <c r="E1130" s="8">
        <f t="shared" si="53"/>
        <v>-0.92958464173718358</v>
      </c>
    </row>
    <row r="1131" spans="1:5" x14ac:dyDescent="0.2">
      <c r="A1131" s="1">
        <v>43265</v>
      </c>
      <c r="B1131">
        <v>75870.78</v>
      </c>
      <c r="C1131" s="6">
        <f t="shared" si="51"/>
        <v>-3.6140910058300195E-3</v>
      </c>
      <c r="D1131" s="7">
        <f t="shared" si="52"/>
        <v>-0.32871694194545958</v>
      </c>
      <c r="E1131" s="8">
        <f t="shared" si="53"/>
        <v>-0.76519648202977919</v>
      </c>
    </row>
    <row r="1132" spans="1:5" x14ac:dyDescent="0.2">
      <c r="A1132" s="1">
        <v>43266</v>
      </c>
      <c r="B1132">
        <v>75342.47</v>
      </c>
      <c r="C1132" s="6">
        <f t="shared" si="51"/>
        <v>-6.9876436047078411E-3</v>
      </c>
      <c r="D1132" s="7">
        <f t="shared" si="52"/>
        <v>-0.61214918162317045</v>
      </c>
      <c r="E1132" s="8">
        <f t="shared" si="53"/>
        <v>-1.0636072182596406</v>
      </c>
    </row>
    <row r="1133" spans="1:5" x14ac:dyDescent="0.2">
      <c r="A1133" s="1">
        <v>43269</v>
      </c>
      <c r="B1133">
        <v>74936.91</v>
      </c>
      <c r="C1133" s="6">
        <f t="shared" si="51"/>
        <v>-5.397426906756703E-3</v>
      </c>
      <c r="D1133" s="7">
        <f t="shared" si="52"/>
        <v>-0.47854560881297858</v>
      </c>
      <c r="E1133" s="8">
        <f t="shared" si="53"/>
        <v>-0.90497822352674462</v>
      </c>
    </row>
    <row r="1134" spans="1:5" x14ac:dyDescent="0.2">
      <c r="A1134" s="1">
        <v>43270</v>
      </c>
      <c r="B1134">
        <v>73240.399999999994</v>
      </c>
      <c r="C1134" s="6">
        <f t="shared" si="51"/>
        <v>-2.2899378241203354E-2</v>
      </c>
      <c r="D1134" s="7">
        <f t="shared" si="52"/>
        <v>-1.9489887455533437</v>
      </c>
      <c r="E1134" s="8">
        <f t="shared" si="53"/>
        <v>-3.2968965264893622</v>
      </c>
    </row>
    <row r="1135" spans="1:5" x14ac:dyDescent="0.2">
      <c r="A1135" s="1">
        <v>43271</v>
      </c>
      <c r="B1135">
        <v>74120.73</v>
      </c>
      <c r="C1135" s="6">
        <f t="shared" si="51"/>
        <v>1.1948068974498842E-2</v>
      </c>
      <c r="D1135" s="7">
        <f t="shared" si="52"/>
        <v>0.97875277378230585</v>
      </c>
      <c r="E1135" s="8">
        <f t="shared" si="53"/>
        <v>-1.6134701102551536</v>
      </c>
    </row>
    <row r="1136" spans="1:5" x14ac:dyDescent="0.2">
      <c r="A1136" s="1">
        <v>43272</v>
      </c>
      <c r="B1136">
        <v>73255.38</v>
      </c>
      <c r="C1136" s="6">
        <f t="shared" si="51"/>
        <v>-1.1743557963298162E-2</v>
      </c>
      <c r="D1136" s="7">
        <f t="shared" si="52"/>
        <v>-1.0117218631989757</v>
      </c>
      <c r="E1136" s="8">
        <f t="shared" si="53"/>
        <v>-1.6683898139963407</v>
      </c>
    </row>
    <row r="1137" spans="1:5" x14ac:dyDescent="0.2">
      <c r="A1137" s="1">
        <v>43273</v>
      </c>
      <c r="B1137">
        <v>74396.09</v>
      </c>
      <c r="C1137" s="6">
        <f t="shared" si="51"/>
        <v>1.5451694395561051E-2</v>
      </c>
      <c r="D1137" s="7">
        <f t="shared" si="52"/>
        <v>1.2731132056942758</v>
      </c>
      <c r="E1137" s="8">
        <f t="shared" si="53"/>
        <v>-2.1194228393864925</v>
      </c>
    </row>
    <row r="1138" spans="1:5" x14ac:dyDescent="0.2">
      <c r="A1138" s="1">
        <v>43276</v>
      </c>
      <c r="B1138">
        <v>72832.63</v>
      </c>
      <c r="C1138" s="6">
        <f t="shared" si="51"/>
        <v>-2.1239317624271462E-2</v>
      </c>
      <c r="D1138" s="7">
        <f t="shared" si="52"/>
        <v>-1.80951716926481</v>
      </c>
      <c r="E1138" s="8">
        <f t="shared" si="53"/>
        <v>-3.0600514668123657</v>
      </c>
    </row>
    <row r="1139" spans="1:5" x14ac:dyDescent="0.2">
      <c r="A1139" s="1">
        <v>43277</v>
      </c>
      <c r="B1139">
        <v>71507.83</v>
      </c>
      <c r="C1139" s="6">
        <f t="shared" si="51"/>
        <v>-1.8357114876699842E-2</v>
      </c>
      <c r="D1139" s="7">
        <f t="shared" si="52"/>
        <v>-1.5673661560506653</v>
      </c>
      <c r="E1139" s="8">
        <f t="shared" si="53"/>
        <v>-2.6388746568234711</v>
      </c>
    </row>
    <row r="1140" spans="1:5" x14ac:dyDescent="0.2">
      <c r="A1140" s="1">
        <v>43278</v>
      </c>
      <c r="B1140">
        <v>71728.44</v>
      </c>
      <c r="C1140" s="6">
        <f t="shared" si="51"/>
        <v>3.0803674857095473E-3</v>
      </c>
      <c r="D1140" s="7">
        <f t="shared" si="52"/>
        <v>0.23372437416672684</v>
      </c>
      <c r="E1140" s="8">
        <f t="shared" si="53"/>
        <v>-0.70086686772033036</v>
      </c>
    </row>
    <row r="1141" spans="1:5" x14ac:dyDescent="0.2">
      <c r="A1141" s="1">
        <v>43279</v>
      </c>
      <c r="B1141">
        <v>72552.92</v>
      </c>
      <c r="C1141" s="6">
        <f t="shared" si="51"/>
        <v>1.1428904945673014E-2</v>
      </c>
      <c r="D1141" s="7">
        <f t="shared" si="52"/>
        <v>0.93513471266206261</v>
      </c>
      <c r="E1141" s="8">
        <f t="shared" si="53"/>
        <v>-1.5418138914977373</v>
      </c>
    </row>
    <row r="1142" spans="1:5" x14ac:dyDescent="0.2">
      <c r="A1142" s="1">
        <v>43280</v>
      </c>
      <c r="B1142">
        <v>75341.78</v>
      </c>
      <c r="C1142" s="6">
        <f t="shared" si="51"/>
        <v>3.7718601587548584E-2</v>
      </c>
      <c r="D1142" s="7">
        <f t="shared" si="52"/>
        <v>3.1438886541696003</v>
      </c>
      <c r="E1142" s="8">
        <f t="shared" si="53"/>
        <v>-5.0897063534734031</v>
      </c>
    </row>
    <row r="1143" spans="1:5" x14ac:dyDescent="0.2">
      <c r="A1143" s="1">
        <v>43283</v>
      </c>
      <c r="B1143">
        <v>74604.88</v>
      </c>
      <c r="C1143" s="6">
        <f t="shared" si="51"/>
        <v>-9.8289075927581893E-3</v>
      </c>
      <c r="D1143" s="7">
        <f t="shared" si="52"/>
        <v>-0.85086068590403197</v>
      </c>
      <c r="E1143" s="8">
        <f t="shared" si="53"/>
        <v>-1.4071795946550225</v>
      </c>
    </row>
    <row r="1144" spans="1:5" x14ac:dyDescent="0.2">
      <c r="A1144" s="1">
        <v>43284</v>
      </c>
      <c r="B1144">
        <v>75070.23</v>
      </c>
      <c r="C1144" s="6">
        <f t="shared" si="51"/>
        <v>6.2181547675215863E-3</v>
      </c>
      <c r="D1144" s="7">
        <f t="shared" si="52"/>
        <v>0.4973485658310442</v>
      </c>
      <c r="E1144" s="8">
        <f t="shared" si="53"/>
        <v>-0.92551709122056092</v>
      </c>
    </row>
    <row r="1145" spans="1:5" x14ac:dyDescent="0.2">
      <c r="A1145" s="1">
        <v>43285</v>
      </c>
      <c r="B1145">
        <v>75144.67</v>
      </c>
      <c r="C1145" s="6">
        <f t="shared" si="51"/>
        <v>9.9111347933624676E-4</v>
      </c>
      <c r="D1145" s="7">
        <f t="shared" si="52"/>
        <v>5.8193705850189674E-2</v>
      </c>
      <c r="E1145" s="8">
        <f t="shared" si="53"/>
        <v>-0.63757289780824189</v>
      </c>
    </row>
    <row r="1146" spans="1:5" x14ac:dyDescent="0.2">
      <c r="A1146" s="1">
        <v>43286</v>
      </c>
      <c r="B1146">
        <v>74612.100000000006</v>
      </c>
      <c r="C1146" s="6">
        <f t="shared" si="51"/>
        <v>-7.1124964182678607E-3</v>
      </c>
      <c r="D1146" s="7">
        <f t="shared" si="52"/>
        <v>-0.62263880985340803</v>
      </c>
      <c r="E1146" s="8">
        <f t="shared" si="53"/>
        <v>-1.0772310575473438</v>
      </c>
    </row>
    <row r="1147" spans="1:5" x14ac:dyDescent="0.2">
      <c r="A1147" s="1">
        <v>43287</v>
      </c>
      <c r="B1147">
        <v>74714.91</v>
      </c>
      <c r="C1147" s="6">
        <f t="shared" si="51"/>
        <v>1.3769781668376141E-3</v>
      </c>
      <c r="D1147" s="7">
        <f t="shared" si="52"/>
        <v>9.0612495652794861E-2</v>
      </c>
      <c r="E1147" s="8">
        <f t="shared" si="53"/>
        <v>-0.64360071565720045</v>
      </c>
    </row>
    <row r="1148" spans="1:5" x14ac:dyDescent="0.2">
      <c r="A1148" s="1">
        <v>43290</v>
      </c>
      <c r="B1148">
        <v>75968.160000000003</v>
      </c>
      <c r="C1148" s="6">
        <f t="shared" si="51"/>
        <v>1.6634634519706006E-2</v>
      </c>
      <c r="D1148" s="7">
        <f t="shared" si="52"/>
        <v>1.3724990486488404</v>
      </c>
      <c r="E1148" s="8">
        <f t="shared" si="53"/>
        <v>-2.2947769258243955</v>
      </c>
    </row>
    <row r="1149" spans="1:5" x14ac:dyDescent="0.2">
      <c r="A1149" s="1">
        <v>43291</v>
      </c>
      <c r="B1149">
        <v>75695.210000000006</v>
      </c>
      <c r="C1149" s="6">
        <f t="shared" si="51"/>
        <v>-3.5994227833841658E-3</v>
      </c>
      <c r="D1149" s="7">
        <f t="shared" si="52"/>
        <v>-0.32748457724443136</v>
      </c>
      <c r="E1149" s="8">
        <f t="shared" si="53"/>
        <v>-0.76423504846982881</v>
      </c>
    </row>
    <row r="1150" spans="1:5" x14ac:dyDescent="0.2">
      <c r="A1150" s="1">
        <v>43292</v>
      </c>
      <c r="B1150">
        <v>74683.179999999993</v>
      </c>
      <c r="C1150" s="6">
        <f t="shared" si="51"/>
        <v>-1.3459982902768435E-2</v>
      </c>
      <c r="D1150" s="7">
        <f t="shared" si="52"/>
        <v>-1.1559289418123535</v>
      </c>
      <c r="E1150" s="8">
        <f t="shared" si="53"/>
        <v>-1.9145824221637313</v>
      </c>
    </row>
    <row r="1151" spans="1:5" x14ac:dyDescent="0.2">
      <c r="A1151" s="1">
        <v>43293</v>
      </c>
      <c r="B1151">
        <v>74331.38</v>
      </c>
      <c r="C1151" s="6">
        <f t="shared" si="51"/>
        <v>-4.7216950289603581E-3</v>
      </c>
      <c r="D1151" s="7">
        <f t="shared" si="52"/>
        <v>-0.42177335050903164</v>
      </c>
      <c r="E1151" s="8">
        <f t="shared" si="53"/>
        <v>-0.84685962081641908</v>
      </c>
    </row>
    <row r="1152" spans="1:5" x14ac:dyDescent="0.2">
      <c r="A1152" s="1">
        <v>43294</v>
      </c>
      <c r="B1152">
        <v>73544.710000000006</v>
      </c>
      <c r="C1152" s="6">
        <f t="shared" si="51"/>
        <v>-1.0639683820347075E-2</v>
      </c>
      <c r="D1152" s="7">
        <f t="shared" si="52"/>
        <v>-0.91897882407665277</v>
      </c>
      <c r="E1152" s="8">
        <f t="shared" si="53"/>
        <v>-1.5155918144656875</v>
      </c>
    </row>
    <row r="1153" spans="1:5" x14ac:dyDescent="0.2">
      <c r="A1153" s="1">
        <v>43297</v>
      </c>
      <c r="B1153">
        <v>72196.759999999995</v>
      </c>
      <c r="C1153" s="6">
        <f t="shared" si="51"/>
        <v>-1.84983510538912E-2</v>
      </c>
      <c r="D1153" s="7">
        <f t="shared" si="52"/>
        <v>-1.5792322482047287</v>
      </c>
      <c r="E1153" s="8">
        <f t="shared" si="53"/>
        <v>-2.6597365798558403</v>
      </c>
    </row>
    <row r="1154" spans="1:5" x14ac:dyDescent="0.2">
      <c r="A1154" s="1">
        <v>43298</v>
      </c>
      <c r="B1154">
        <v>73253.289999999994</v>
      </c>
      <c r="C1154" s="6">
        <f t="shared" si="51"/>
        <v>1.4527992018719059E-2</v>
      </c>
      <c r="D1154" s="7">
        <f t="shared" si="52"/>
        <v>1.1955074693701888</v>
      </c>
      <c r="E1154" s="8">
        <f t="shared" si="53"/>
        <v>-1.9834230641917976</v>
      </c>
    </row>
    <row r="1155" spans="1:5" x14ac:dyDescent="0.2">
      <c r="A1155" s="1">
        <v>43299</v>
      </c>
      <c r="B1155">
        <v>73355.97</v>
      </c>
      <c r="C1155" s="6">
        <f t="shared" ref="C1155:C1218" si="54">LN(B1155/B1154)</f>
        <v>1.4007303056924872E-3</v>
      </c>
      <c r="D1155" s="7">
        <f t="shared" ref="D1155:D1218" si="55">(C1155-$G$4)/$G$5</f>
        <v>9.2608054256212519E-2</v>
      </c>
      <c r="E1155" s="8">
        <f t="shared" ref="E1155:E1218" si="56">LN((PI()*(G$3-2))^(-1/2)*EXP(GAMMALN((G$3+1)/2))*((1+D1155^2/(G$3-2))^(-(G$3+1)/2))/EXP(GAMMALN(G$3/2)))</f>
        <v>-0.6440569804085754</v>
      </c>
    </row>
    <row r="1156" spans="1:5" x14ac:dyDescent="0.2">
      <c r="A1156" s="1">
        <v>43300</v>
      </c>
      <c r="B1156">
        <v>73607.009999999995</v>
      </c>
      <c r="C1156" s="6">
        <f t="shared" si="54"/>
        <v>3.4163738945691105E-3</v>
      </c>
      <c r="D1156" s="7">
        <f t="shared" si="55"/>
        <v>0.26195427312867264</v>
      </c>
      <c r="E1156" s="8">
        <f t="shared" si="56"/>
        <v>-0.71787599080922782</v>
      </c>
    </row>
    <row r="1157" spans="1:5" x14ac:dyDescent="0.2">
      <c r="A1157" s="1">
        <v>43301</v>
      </c>
      <c r="B1157">
        <v>75080.27</v>
      </c>
      <c r="C1157" s="6">
        <f t="shared" si="54"/>
        <v>1.981754211136141E-2</v>
      </c>
      <c r="D1157" s="7">
        <f t="shared" si="55"/>
        <v>1.6399140661855958</v>
      </c>
      <c r="E1157" s="8">
        <f t="shared" si="56"/>
        <v>-2.766126739774653</v>
      </c>
    </row>
    <row r="1158" spans="1:5" x14ac:dyDescent="0.2">
      <c r="A1158" s="1">
        <v>43304</v>
      </c>
      <c r="B1158">
        <v>74096.740000000005</v>
      </c>
      <c r="C1158" s="6">
        <f t="shared" si="54"/>
        <v>-1.3186271143572542E-2</v>
      </c>
      <c r="D1158" s="7">
        <f t="shared" si="55"/>
        <v>-1.132932787265712</v>
      </c>
      <c r="E1158" s="8">
        <f t="shared" si="56"/>
        <v>-1.8747911829556745</v>
      </c>
    </row>
    <row r="1159" spans="1:5" x14ac:dyDescent="0.2">
      <c r="A1159" s="1">
        <v>43305</v>
      </c>
      <c r="B1159">
        <v>74254.600000000006</v>
      </c>
      <c r="C1159" s="6">
        <f t="shared" si="54"/>
        <v>2.1281918934016137E-3</v>
      </c>
      <c r="D1159" s="7">
        <f t="shared" si="55"/>
        <v>0.1537264334842367</v>
      </c>
      <c r="E1159" s="8">
        <f t="shared" si="56"/>
        <v>-0.66277268708618486</v>
      </c>
    </row>
    <row r="1160" spans="1:5" x14ac:dyDescent="0.2">
      <c r="A1160" s="1">
        <v>43306</v>
      </c>
      <c r="B1160">
        <v>72969.899999999994</v>
      </c>
      <c r="C1160" s="6">
        <f t="shared" si="54"/>
        <v>-1.7452701275375567E-2</v>
      </c>
      <c r="D1160" s="7">
        <f t="shared" si="55"/>
        <v>-1.4913809846015547</v>
      </c>
      <c r="E1160" s="8">
        <f t="shared" si="56"/>
        <v>-2.50493938609773</v>
      </c>
    </row>
    <row r="1161" spans="1:5" x14ac:dyDescent="0.2">
      <c r="A1161" s="1">
        <v>43307</v>
      </c>
      <c r="B1161">
        <v>73722.13</v>
      </c>
      <c r="C1161" s="6">
        <f t="shared" si="54"/>
        <v>1.0255998142898964E-2</v>
      </c>
      <c r="D1161" s="7">
        <f t="shared" si="55"/>
        <v>0.8365918287734122</v>
      </c>
      <c r="E1161" s="8">
        <f t="shared" si="56"/>
        <v>-1.384951545293841</v>
      </c>
    </row>
    <row r="1162" spans="1:5" x14ac:dyDescent="0.2">
      <c r="A1162" s="1">
        <v>43308</v>
      </c>
      <c r="B1162">
        <v>74203.789999999994</v>
      </c>
      <c r="C1162" s="6">
        <f t="shared" si="54"/>
        <v>6.512201542719356E-3</v>
      </c>
      <c r="D1162" s="7">
        <f t="shared" si="55"/>
        <v>0.52205318614496343</v>
      </c>
      <c r="E1162" s="8">
        <f t="shared" si="56"/>
        <v>-0.95343316472205519</v>
      </c>
    </row>
    <row r="1163" spans="1:5" x14ac:dyDescent="0.2">
      <c r="A1163" s="1">
        <v>43311</v>
      </c>
      <c r="B1163">
        <v>74157.91</v>
      </c>
      <c r="C1163" s="6">
        <f t="shared" si="54"/>
        <v>-6.1848848405650716E-4</v>
      </c>
      <c r="D1163" s="7">
        <f t="shared" si="55"/>
        <v>-7.7038538527978234E-2</v>
      </c>
      <c r="E1163" s="8">
        <f t="shared" si="56"/>
        <v>-0.64075901795954215</v>
      </c>
    </row>
    <row r="1164" spans="1:5" x14ac:dyDescent="0.2">
      <c r="A1164" s="1">
        <v>43312</v>
      </c>
      <c r="B1164">
        <v>73638.48</v>
      </c>
      <c r="C1164" s="6">
        <f t="shared" si="54"/>
        <v>-7.0290233561015178E-3</v>
      </c>
      <c r="D1164" s="7">
        <f t="shared" si="55"/>
        <v>-0.61562574090928268</v>
      </c>
      <c r="E1164" s="8">
        <f t="shared" si="56"/>
        <v>-1.0681051193024189</v>
      </c>
    </row>
    <row r="1165" spans="1:5" x14ac:dyDescent="0.2">
      <c r="A1165" s="1">
        <v>43313</v>
      </c>
      <c r="B1165">
        <v>73965.2</v>
      </c>
      <c r="C1165" s="6">
        <f t="shared" si="54"/>
        <v>4.4269971263087926E-3</v>
      </c>
      <c r="D1165" s="7">
        <f t="shared" si="55"/>
        <v>0.34686274799211092</v>
      </c>
      <c r="E1165" s="8">
        <f t="shared" si="56"/>
        <v>-0.77972586800819799</v>
      </c>
    </row>
    <row r="1166" spans="1:5" x14ac:dyDescent="0.2">
      <c r="A1166" s="1">
        <v>43314</v>
      </c>
      <c r="B1166">
        <v>72656.02</v>
      </c>
      <c r="C1166" s="6">
        <f t="shared" si="54"/>
        <v>-1.7858462696834363E-2</v>
      </c>
      <c r="D1166" s="7">
        <f t="shared" si="55"/>
        <v>-1.5254714174873896</v>
      </c>
      <c r="E1166" s="8">
        <f t="shared" si="56"/>
        <v>-2.5650941411965187</v>
      </c>
    </row>
    <row r="1167" spans="1:5" x14ac:dyDescent="0.2">
      <c r="A1167" s="1">
        <v>43315</v>
      </c>
      <c r="B1167">
        <v>73482.95</v>
      </c>
      <c r="C1167" s="6">
        <f t="shared" si="54"/>
        <v>1.1317156894504337E-2</v>
      </c>
      <c r="D1167" s="7">
        <f t="shared" si="55"/>
        <v>0.9257460935449654</v>
      </c>
      <c r="E1167" s="8">
        <f t="shared" si="56"/>
        <v>-1.5265534252919131</v>
      </c>
    </row>
    <row r="1168" spans="1:5" x14ac:dyDescent="0.2">
      <c r="A1168" s="1">
        <v>43318</v>
      </c>
      <c r="B1168">
        <v>73415.929999999993</v>
      </c>
      <c r="C1168" s="6">
        <f t="shared" si="54"/>
        <v>-9.1246447420193909E-4</v>
      </c>
      <c r="D1168" s="7">
        <f t="shared" si="55"/>
        <v>-0.10173721176820243</v>
      </c>
      <c r="E1168" s="8">
        <f t="shared" si="56"/>
        <v>-0.64626982379764542</v>
      </c>
    </row>
    <row r="1169" spans="1:5" x14ac:dyDescent="0.2">
      <c r="A1169" s="1">
        <v>43319</v>
      </c>
      <c r="B1169">
        <v>74759.47</v>
      </c>
      <c r="C1169" s="6">
        <f t="shared" si="54"/>
        <v>1.8134951164013199E-2</v>
      </c>
      <c r="D1169" s="7">
        <f t="shared" si="55"/>
        <v>1.4985495826951114</v>
      </c>
      <c r="E1169" s="8">
        <f t="shared" si="56"/>
        <v>-2.5175961103001017</v>
      </c>
    </row>
    <row r="1170" spans="1:5" x14ac:dyDescent="0.2">
      <c r="A1170" s="1">
        <v>43320</v>
      </c>
      <c r="B1170">
        <v>74889.03</v>
      </c>
      <c r="C1170" s="6">
        <f t="shared" si="54"/>
        <v>1.7315246376718709E-3</v>
      </c>
      <c r="D1170" s="7">
        <f t="shared" si="55"/>
        <v>0.12040005560719087</v>
      </c>
      <c r="E1170" s="8">
        <f t="shared" si="56"/>
        <v>-0.6514328396868535</v>
      </c>
    </row>
    <row r="1171" spans="1:5" x14ac:dyDescent="0.2">
      <c r="A1171" s="1">
        <v>43322</v>
      </c>
      <c r="B1171">
        <v>74981.039999999994</v>
      </c>
      <c r="C1171" s="6">
        <f t="shared" si="54"/>
        <v>1.2278637296947062E-3</v>
      </c>
      <c r="D1171" s="7">
        <f t="shared" si="55"/>
        <v>7.8084503973710237E-2</v>
      </c>
      <c r="E1171" s="8">
        <f t="shared" si="56"/>
        <v>-0.64096173415380564</v>
      </c>
    </row>
    <row r="1172" spans="1:5" x14ac:dyDescent="0.2">
      <c r="A1172" s="1">
        <v>43325</v>
      </c>
      <c r="B1172">
        <v>75371.240000000005</v>
      </c>
      <c r="C1172" s="6">
        <f t="shared" si="54"/>
        <v>5.1904883123371857E-3</v>
      </c>
      <c r="D1172" s="7">
        <f t="shared" si="55"/>
        <v>0.41100818829210856</v>
      </c>
      <c r="E1172" s="8">
        <f t="shared" si="56"/>
        <v>-0.83652488144794845</v>
      </c>
    </row>
    <row r="1173" spans="1:5" x14ac:dyDescent="0.2">
      <c r="A1173" s="1">
        <v>43326</v>
      </c>
      <c r="B1173">
        <v>74862.8</v>
      </c>
      <c r="C1173" s="6">
        <f t="shared" si="54"/>
        <v>-6.7686649599873394E-3</v>
      </c>
      <c r="D1173" s="7">
        <f t="shared" si="55"/>
        <v>-0.59375148189992699</v>
      </c>
      <c r="E1173" s="8">
        <f t="shared" si="56"/>
        <v>-1.0400972617464919</v>
      </c>
    </row>
    <row r="1174" spans="1:5" x14ac:dyDescent="0.2">
      <c r="A1174" s="1">
        <v>43327</v>
      </c>
      <c r="B1174">
        <v>71819.02</v>
      </c>
      <c r="C1174" s="6">
        <f t="shared" si="54"/>
        <v>-4.1507761448685579E-2</v>
      </c>
      <c r="D1174" s="7">
        <f t="shared" si="55"/>
        <v>-3.5123898115489376</v>
      </c>
      <c r="E1174" s="8">
        <f t="shared" si="56"/>
        <v>-5.5583201327703344</v>
      </c>
    </row>
    <row r="1175" spans="1:5" x14ac:dyDescent="0.2">
      <c r="A1175" s="1">
        <v>43328</v>
      </c>
      <c r="B1175">
        <v>72993.52</v>
      </c>
      <c r="C1175" s="6">
        <f t="shared" si="54"/>
        <v>1.6221326604400791E-2</v>
      </c>
      <c r="D1175" s="7">
        <f t="shared" si="55"/>
        <v>1.3377745898837836</v>
      </c>
      <c r="E1175" s="8">
        <f t="shared" si="56"/>
        <v>-2.2334185256627683</v>
      </c>
    </row>
    <row r="1176" spans="1:5" x14ac:dyDescent="0.2">
      <c r="A1176" s="1">
        <v>43329</v>
      </c>
      <c r="B1176">
        <v>73242.03</v>
      </c>
      <c r="C1176" s="6">
        <f t="shared" si="54"/>
        <v>3.3987664316130891E-3</v>
      </c>
      <c r="D1176" s="7">
        <f t="shared" si="55"/>
        <v>0.26047496533239656</v>
      </c>
      <c r="E1176" s="8">
        <f t="shared" si="56"/>
        <v>-0.71693959201433233</v>
      </c>
    </row>
    <row r="1177" spans="1:5" x14ac:dyDescent="0.2">
      <c r="A1177" s="1">
        <v>43332</v>
      </c>
      <c r="B1177">
        <v>74206.09</v>
      </c>
      <c r="C1177" s="6">
        <f t="shared" si="54"/>
        <v>1.3076785760343226E-2</v>
      </c>
      <c r="D1177" s="7">
        <f t="shared" si="55"/>
        <v>1.0735829912450829</v>
      </c>
      <c r="E1177" s="8">
        <f t="shared" si="56"/>
        <v>-1.7729469666690714</v>
      </c>
    </row>
    <row r="1178" spans="1:5" x14ac:dyDescent="0.2">
      <c r="A1178" s="1">
        <v>43333</v>
      </c>
      <c r="B1178">
        <v>74411.960000000006</v>
      </c>
      <c r="C1178" s="6">
        <f t="shared" si="54"/>
        <v>2.7704593308639255E-3</v>
      </c>
      <c r="D1178" s="7">
        <f t="shared" si="55"/>
        <v>0.20768714491128265</v>
      </c>
      <c r="E1178" s="8">
        <f t="shared" si="56"/>
        <v>-0.68680917509763084</v>
      </c>
    </row>
    <row r="1179" spans="1:5" x14ac:dyDescent="0.2">
      <c r="A1179" s="1">
        <v>43334</v>
      </c>
      <c r="B1179">
        <v>76016.86</v>
      </c>
      <c r="C1179" s="6">
        <f t="shared" si="54"/>
        <v>2.1338476180383634E-2</v>
      </c>
      <c r="D1179" s="7">
        <f t="shared" si="55"/>
        <v>1.7676967928365743</v>
      </c>
      <c r="E1179" s="8">
        <f t="shared" si="56"/>
        <v>-2.9881216406344344</v>
      </c>
    </row>
    <row r="1180" spans="1:5" x14ac:dyDescent="0.2">
      <c r="A1180" s="1">
        <v>43335</v>
      </c>
      <c r="B1180">
        <v>76421.89</v>
      </c>
      <c r="C1180" s="6">
        <f t="shared" si="54"/>
        <v>5.3140156702726864E-3</v>
      </c>
      <c r="D1180" s="7">
        <f t="shared" si="55"/>
        <v>0.42138645710367995</v>
      </c>
      <c r="E1180" s="8">
        <f t="shared" si="56"/>
        <v>-0.84648431708981331</v>
      </c>
    </row>
    <row r="1181" spans="1:5" x14ac:dyDescent="0.2">
      <c r="A1181" s="1">
        <v>43336</v>
      </c>
      <c r="B1181">
        <v>77502.850000000006</v>
      </c>
      <c r="C1181" s="6">
        <f t="shared" si="54"/>
        <v>1.4045536418150166E-2</v>
      </c>
      <c r="D1181" s="7">
        <f t="shared" si="55"/>
        <v>1.1549735018666787</v>
      </c>
      <c r="E1181" s="8">
        <f t="shared" si="56"/>
        <v>-1.9129259490789956</v>
      </c>
    </row>
    <row r="1182" spans="1:5" x14ac:dyDescent="0.2">
      <c r="A1182" s="1">
        <v>43339</v>
      </c>
      <c r="B1182">
        <v>78286.649999999994</v>
      </c>
      <c r="C1182" s="6">
        <f t="shared" si="54"/>
        <v>1.0062380499319745E-2</v>
      </c>
      <c r="D1182" s="7">
        <f t="shared" si="55"/>
        <v>0.82032485775329733</v>
      </c>
      <c r="E1182" s="8">
        <f t="shared" si="56"/>
        <v>-1.3598322756886796</v>
      </c>
    </row>
    <row r="1183" spans="1:5" x14ac:dyDescent="0.2">
      <c r="A1183" s="1">
        <v>43340</v>
      </c>
      <c r="B1183">
        <v>78756.429999999993</v>
      </c>
      <c r="C1183" s="6">
        <f t="shared" si="54"/>
        <v>5.9828347901331423E-3</v>
      </c>
      <c r="D1183" s="7">
        <f t="shared" si="55"/>
        <v>0.47757793345545857</v>
      </c>
      <c r="E1183" s="8">
        <f t="shared" si="56"/>
        <v>-0.90393813572249138</v>
      </c>
    </row>
    <row r="1184" spans="1:5" x14ac:dyDescent="0.2">
      <c r="A1184" s="1">
        <v>43341</v>
      </c>
      <c r="B1184">
        <v>78891.58</v>
      </c>
      <c r="C1184" s="6">
        <f t="shared" si="54"/>
        <v>1.714579627225407E-3</v>
      </c>
      <c r="D1184" s="7">
        <f t="shared" si="55"/>
        <v>0.11897640439042872</v>
      </c>
      <c r="E1184" s="8">
        <f t="shared" si="56"/>
        <v>-0.65100882878838073</v>
      </c>
    </row>
    <row r="1185" spans="1:5" x14ac:dyDescent="0.2">
      <c r="A1185" s="1">
        <v>43342</v>
      </c>
      <c r="B1185">
        <v>75681.100000000006</v>
      </c>
      <c r="C1185" s="6">
        <f t="shared" si="54"/>
        <v>-4.1546045271660545E-2</v>
      </c>
      <c r="D1185" s="7">
        <f t="shared" si="55"/>
        <v>-3.5156062634556986</v>
      </c>
      <c r="E1185" s="8">
        <f t="shared" si="56"/>
        <v>-5.56225451997798</v>
      </c>
    </row>
    <row r="1186" spans="1:5" x14ac:dyDescent="0.2">
      <c r="A1186" s="1">
        <v>43343</v>
      </c>
      <c r="B1186">
        <v>75096.100000000006</v>
      </c>
      <c r="C1186" s="6">
        <f t="shared" si="54"/>
        <v>-7.7598328590609061E-3</v>
      </c>
      <c r="D1186" s="7">
        <f t="shared" si="55"/>
        <v>-0.67702539843068477</v>
      </c>
      <c r="E1186" s="8">
        <f t="shared" si="56"/>
        <v>-1.1502966053733488</v>
      </c>
    </row>
    <row r="1187" spans="1:5" x14ac:dyDescent="0.2">
      <c r="A1187" s="1">
        <v>43346</v>
      </c>
      <c r="B1187">
        <v>74579.59</v>
      </c>
      <c r="C1187" s="6">
        <f t="shared" si="54"/>
        <v>-6.9017493794889815E-3</v>
      </c>
      <c r="D1187" s="7">
        <f t="shared" si="55"/>
        <v>-0.60493269635560376</v>
      </c>
      <c r="E1187" s="8">
        <f t="shared" si="56"/>
        <v>-1.0543264133502059</v>
      </c>
    </row>
    <row r="1188" spans="1:5" x14ac:dyDescent="0.2">
      <c r="A1188" s="1">
        <v>43347</v>
      </c>
      <c r="B1188">
        <v>73275.740000000005</v>
      </c>
      <c r="C1188" s="6">
        <f t="shared" si="54"/>
        <v>-1.7637291794860815E-2</v>
      </c>
      <c r="D1188" s="7">
        <f t="shared" si="55"/>
        <v>-1.506889533179804</v>
      </c>
      <c r="E1188" s="8">
        <f t="shared" si="56"/>
        <v>-2.5323163641253918</v>
      </c>
    </row>
    <row r="1189" spans="1:5" x14ac:dyDescent="0.2">
      <c r="A1189" s="1">
        <v>43348</v>
      </c>
      <c r="B1189">
        <v>71871.070000000007</v>
      </c>
      <c r="C1189" s="6">
        <f t="shared" si="54"/>
        <v>-1.935576612656827E-2</v>
      </c>
      <c r="D1189" s="7">
        <f t="shared" si="55"/>
        <v>-1.651268793436935</v>
      </c>
      <c r="E1189" s="8">
        <f t="shared" si="56"/>
        <v>-2.7859730354338406</v>
      </c>
    </row>
    <row r="1190" spans="1:5" x14ac:dyDescent="0.2">
      <c r="A1190" s="1">
        <v>43349</v>
      </c>
      <c r="B1190">
        <v>71901.929999999993</v>
      </c>
      <c r="C1190" s="6">
        <f t="shared" si="54"/>
        <v>4.292878422779377E-4</v>
      </c>
      <c r="D1190" s="7">
        <f t="shared" si="55"/>
        <v>1.0991389018739446E-2</v>
      </c>
      <c r="E1190" s="8">
        <f t="shared" si="56"/>
        <v>-0.63348407397642259</v>
      </c>
    </row>
    <row r="1191" spans="1:5" x14ac:dyDescent="0.2">
      <c r="A1191" s="1">
        <v>43350</v>
      </c>
      <c r="B1191">
        <v>72563.89</v>
      </c>
      <c r="C1191" s="6">
        <f t="shared" si="54"/>
        <v>9.1643079707119848E-3</v>
      </c>
      <c r="D1191" s="7">
        <f t="shared" si="55"/>
        <v>0.74487243757731025</v>
      </c>
      <c r="E1191" s="8">
        <f t="shared" si="56"/>
        <v>-1.2466870570818511</v>
      </c>
    </row>
    <row r="1192" spans="1:5" x14ac:dyDescent="0.2">
      <c r="A1192" s="1">
        <v>43353</v>
      </c>
      <c r="B1192">
        <v>72043.429999999993</v>
      </c>
      <c r="C1192" s="6">
        <f t="shared" si="54"/>
        <v>-7.1982835628706388E-3</v>
      </c>
      <c r="D1192" s="7">
        <f t="shared" si="55"/>
        <v>-0.62984629864086872</v>
      </c>
      <c r="E1192" s="8">
        <f t="shared" si="56"/>
        <v>-1.0866824585725641</v>
      </c>
    </row>
    <row r="1193" spans="1:5" x14ac:dyDescent="0.2">
      <c r="A1193" s="1">
        <v>43354</v>
      </c>
      <c r="B1193">
        <v>71224.55</v>
      </c>
      <c r="C1193" s="6">
        <f t="shared" si="54"/>
        <v>-1.1431569254158464E-2</v>
      </c>
      <c r="D1193" s="7">
        <f t="shared" si="55"/>
        <v>-0.98550983418984239</v>
      </c>
      <c r="E1193" s="8">
        <f t="shared" si="56"/>
        <v>-1.6246756728994101</v>
      </c>
    </row>
    <row r="1194" spans="1:5" x14ac:dyDescent="0.2">
      <c r="A1194" s="1">
        <v>43355</v>
      </c>
      <c r="B1194">
        <v>70794.89</v>
      </c>
      <c r="C1194" s="6">
        <f t="shared" si="54"/>
        <v>-6.0507394040150526E-3</v>
      </c>
      <c r="D1194" s="7">
        <f t="shared" si="55"/>
        <v>-0.53343428147483873</v>
      </c>
      <c r="E1194" s="8">
        <f t="shared" si="56"/>
        <v>-0.96663978851531962</v>
      </c>
    </row>
    <row r="1195" spans="1:5" x14ac:dyDescent="0.2">
      <c r="A1195" s="1">
        <v>43356</v>
      </c>
      <c r="B1195">
        <v>71223.7</v>
      </c>
      <c r="C1195" s="6">
        <f t="shared" si="54"/>
        <v>6.0388052454694576E-3</v>
      </c>
      <c r="D1195" s="7">
        <f t="shared" si="55"/>
        <v>0.48228034465160535</v>
      </c>
      <c r="E1195" s="8">
        <f t="shared" si="56"/>
        <v>-0.90900808179715509</v>
      </c>
    </row>
    <row r="1196" spans="1:5" x14ac:dyDescent="0.2">
      <c r="A1196" s="1">
        <v>43357</v>
      </c>
      <c r="B1196">
        <v>71481.66</v>
      </c>
      <c r="C1196" s="6">
        <f t="shared" si="54"/>
        <v>3.615285101660262E-3</v>
      </c>
      <c r="D1196" s="7">
        <f t="shared" si="55"/>
        <v>0.2786659879368531</v>
      </c>
      <c r="E1196" s="8">
        <f t="shared" si="56"/>
        <v>-0.72879683420517294</v>
      </c>
    </row>
    <row r="1197" spans="1:5" x14ac:dyDescent="0.2">
      <c r="A1197" s="1">
        <v>43360</v>
      </c>
      <c r="B1197">
        <v>71177.350000000006</v>
      </c>
      <c r="C1197" s="6">
        <f t="shared" si="54"/>
        <v>-4.2662634706654894E-3</v>
      </c>
      <c r="D1197" s="7">
        <f t="shared" si="55"/>
        <v>-0.38350983369581726</v>
      </c>
      <c r="E1197" s="8">
        <f t="shared" si="56"/>
        <v>-0.81115824121771352</v>
      </c>
    </row>
    <row r="1198" spans="1:5" x14ac:dyDescent="0.2">
      <c r="A1198" s="1">
        <v>43361</v>
      </c>
      <c r="B1198">
        <v>70989.740000000005</v>
      </c>
      <c r="C1198" s="6">
        <f t="shared" si="54"/>
        <v>-2.6392902732313042E-3</v>
      </c>
      <c r="D1198" s="7">
        <f t="shared" si="55"/>
        <v>-0.24681812851897494</v>
      </c>
      <c r="E1198" s="8">
        <f t="shared" si="56"/>
        <v>-0.70852957500627944</v>
      </c>
    </row>
    <row r="1199" spans="1:5" x14ac:dyDescent="0.2">
      <c r="A1199" s="1">
        <v>43362</v>
      </c>
      <c r="B1199">
        <v>70285.399999999994</v>
      </c>
      <c r="C1199" s="6">
        <f t="shared" si="54"/>
        <v>-9.9712636746314472E-3</v>
      </c>
      <c r="D1199" s="7">
        <f t="shared" si="55"/>
        <v>-0.86282086791823942</v>
      </c>
      <c r="E1199" s="8">
        <f t="shared" si="56"/>
        <v>-1.4259460483912083</v>
      </c>
    </row>
    <row r="1200" spans="1:5" x14ac:dyDescent="0.2">
      <c r="A1200" s="1">
        <v>43363</v>
      </c>
      <c r="B1200">
        <v>70499.600000000006</v>
      </c>
      <c r="C1200" s="6">
        <f t="shared" si="54"/>
        <v>3.0429401609801572E-3</v>
      </c>
      <c r="D1200" s="7">
        <f t="shared" si="55"/>
        <v>0.2305798817770944</v>
      </c>
      <c r="E1200" s="8">
        <f t="shared" si="56"/>
        <v>-0.69908546834259866</v>
      </c>
    </row>
    <row r="1201" spans="1:5" x14ac:dyDescent="0.2">
      <c r="A1201" s="1">
        <v>43364</v>
      </c>
      <c r="B1201">
        <v>71197.25</v>
      </c>
      <c r="C1201" s="6">
        <f t="shared" si="54"/>
        <v>9.8471580332523002E-3</v>
      </c>
      <c r="D1201" s="7">
        <f t="shared" si="55"/>
        <v>0.80224273696266635</v>
      </c>
      <c r="E1201" s="8">
        <f t="shared" si="56"/>
        <v>-1.3321984389148604</v>
      </c>
    </row>
    <row r="1202" spans="1:5" x14ac:dyDescent="0.2">
      <c r="A1202" s="1">
        <v>43368</v>
      </c>
      <c r="B1202">
        <v>70261.710000000006</v>
      </c>
      <c r="C1202" s="6">
        <f t="shared" si="54"/>
        <v>-1.322720936249952E-2</v>
      </c>
      <c r="D1202" s="7">
        <f t="shared" si="55"/>
        <v>-1.1363722507804501</v>
      </c>
      <c r="E1202" s="8">
        <f t="shared" si="56"/>
        <v>-1.8807319963981273</v>
      </c>
    </row>
    <row r="1203" spans="1:5" x14ac:dyDescent="0.2">
      <c r="A1203" s="1">
        <v>43369</v>
      </c>
      <c r="B1203">
        <v>70144.52</v>
      </c>
      <c r="C1203" s="6">
        <f t="shared" si="54"/>
        <v>-1.6692995348296358E-3</v>
      </c>
      <c r="D1203" s="7">
        <f t="shared" si="55"/>
        <v>-0.16532343134328159</v>
      </c>
      <c r="E1203" s="8">
        <f t="shared" si="56"/>
        <v>-0.66735081169072608</v>
      </c>
    </row>
    <row r="1204" spans="1:5" x14ac:dyDescent="0.2">
      <c r="A1204" s="1">
        <v>43370</v>
      </c>
      <c r="B1204">
        <v>69006.039999999994</v>
      </c>
      <c r="C1204" s="6">
        <f t="shared" si="54"/>
        <v>-1.6363648181114101E-2</v>
      </c>
      <c r="D1204" s="7">
        <f t="shared" si="55"/>
        <v>-1.3998831500229134</v>
      </c>
      <c r="E1204" s="8">
        <f t="shared" si="56"/>
        <v>-2.3431974894357022</v>
      </c>
    </row>
    <row r="1205" spans="1:5" x14ac:dyDescent="0.2">
      <c r="A1205" s="1">
        <v>43371</v>
      </c>
      <c r="B1205">
        <v>68661.78</v>
      </c>
      <c r="C1205" s="6">
        <f t="shared" si="54"/>
        <v>-5.0013244574954657E-3</v>
      </c>
      <c r="D1205" s="7">
        <f t="shared" si="55"/>
        <v>-0.44526668369016176</v>
      </c>
      <c r="E1205" s="8">
        <f t="shared" si="56"/>
        <v>-0.87018356091687088</v>
      </c>
    </row>
    <row r="1206" spans="1:5" x14ac:dyDescent="0.2">
      <c r="A1206" s="1">
        <v>43374</v>
      </c>
      <c r="B1206">
        <v>68994.100000000006</v>
      </c>
      <c r="C1206" s="6">
        <f t="shared" si="54"/>
        <v>4.8282811543541842E-3</v>
      </c>
      <c r="D1206" s="7">
        <f t="shared" si="55"/>
        <v>0.38057700839926512</v>
      </c>
      <c r="E1206" s="8">
        <f t="shared" si="56"/>
        <v>-0.80854175823147745</v>
      </c>
    </row>
    <row r="1207" spans="1:5" x14ac:dyDescent="0.2">
      <c r="A1207" s="1">
        <v>43375</v>
      </c>
      <c r="B1207">
        <v>68049.94</v>
      </c>
      <c r="C1207" s="6">
        <f t="shared" si="54"/>
        <v>-1.377914630247222E-2</v>
      </c>
      <c r="D1207" s="7">
        <f t="shared" si="55"/>
        <v>-1.1827437592932746</v>
      </c>
      <c r="E1207" s="8">
        <f t="shared" si="56"/>
        <v>-1.9611774168579312</v>
      </c>
    </row>
    <row r="1208" spans="1:5" x14ac:dyDescent="0.2">
      <c r="A1208" s="1">
        <v>43376</v>
      </c>
      <c r="B1208">
        <v>67719.41</v>
      </c>
      <c r="C1208" s="6">
        <f t="shared" si="54"/>
        <v>-4.8690025104253885E-3</v>
      </c>
      <c r="D1208" s="7">
        <f t="shared" si="55"/>
        <v>-0.43414952908315696</v>
      </c>
      <c r="E1208" s="8">
        <f t="shared" si="56"/>
        <v>-0.85901621987525478</v>
      </c>
    </row>
    <row r="1209" spans="1:5" x14ac:dyDescent="0.2">
      <c r="A1209" s="1">
        <v>43377</v>
      </c>
      <c r="B1209">
        <v>66953.03</v>
      </c>
      <c r="C1209" s="6">
        <f t="shared" si="54"/>
        <v>-1.1381516113980958E-2</v>
      </c>
      <c r="D1209" s="7">
        <f t="shared" si="55"/>
        <v>-0.98130457187137965</v>
      </c>
      <c r="E1209" s="8">
        <f t="shared" si="56"/>
        <v>-1.6176987310570086</v>
      </c>
    </row>
    <row r="1210" spans="1:5" x14ac:dyDescent="0.2">
      <c r="A1210" s="1">
        <v>43378</v>
      </c>
      <c r="B1210">
        <v>66278.39</v>
      </c>
      <c r="C1210" s="6">
        <f t="shared" si="54"/>
        <v>-1.0127427391862773E-2</v>
      </c>
      <c r="D1210" s="7">
        <f t="shared" si="55"/>
        <v>-0.87594111158836763</v>
      </c>
      <c r="E1210" s="8">
        <f t="shared" si="56"/>
        <v>-1.4466694152085706</v>
      </c>
    </row>
    <row r="1211" spans="1:5" x14ac:dyDescent="0.2">
      <c r="A1211" s="1">
        <v>43381</v>
      </c>
      <c r="B1211">
        <v>66098.31</v>
      </c>
      <c r="C1211" s="6">
        <f t="shared" si="54"/>
        <v>-2.7207221676363896E-3</v>
      </c>
      <c r="D1211" s="7">
        <f t="shared" si="55"/>
        <v>-0.25365970680653738</v>
      </c>
      <c r="E1211" s="8">
        <f t="shared" si="56"/>
        <v>-0.71268962811981995</v>
      </c>
    </row>
    <row r="1212" spans="1:5" x14ac:dyDescent="0.2">
      <c r="A1212" s="1">
        <v>43382</v>
      </c>
      <c r="B1212">
        <v>65633.929999999993</v>
      </c>
      <c r="C1212" s="6">
        <f t="shared" si="54"/>
        <v>-7.0503913638130852E-3</v>
      </c>
      <c r="D1212" s="7">
        <f t="shared" si="55"/>
        <v>-0.61742099446043663</v>
      </c>
      <c r="E1212" s="8">
        <f t="shared" si="56"/>
        <v>-1.0704345664535986</v>
      </c>
    </row>
    <row r="1213" spans="1:5" x14ac:dyDescent="0.2">
      <c r="A1213" s="1">
        <v>43383</v>
      </c>
      <c r="B1213">
        <v>63311.19</v>
      </c>
      <c r="C1213" s="6">
        <f t="shared" si="54"/>
        <v>-3.6030697066680543E-2</v>
      </c>
      <c r="D1213" s="7">
        <f t="shared" si="55"/>
        <v>-3.0522290228399998</v>
      </c>
      <c r="E1213" s="8">
        <f t="shared" si="56"/>
        <v>-4.9673998357337341</v>
      </c>
    </row>
    <row r="1214" spans="1:5" x14ac:dyDescent="0.2">
      <c r="A1214" s="1">
        <v>43384</v>
      </c>
      <c r="B1214">
        <v>62832.01</v>
      </c>
      <c r="C1214" s="6">
        <f t="shared" si="54"/>
        <v>-7.5974337878461787E-3</v>
      </c>
      <c r="D1214" s="7">
        <f t="shared" si="55"/>
        <v>-0.66338128554764231</v>
      </c>
      <c r="E1214" s="8">
        <f t="shared" si="56"/>
        <v>-1.1315959836047649</v>
      </c>
    </row>
    <row r="1215" spans="1:5" x14ac:dyDescent="0.2">
      <c r="A1215" s="1">
        <v>43385</v>
      </c>
      <c r="B1215">
        <v>65374.44</v>
      </c>
      <c r="C1215" s="6">
        <f t="shared" si="54"/>
        <v>3.9666699392603609E-2</v>
      </c>
      <c r="D1215" s="7">
        <f t="shared" si="55"/>
        <v>3.307559949581341</v>
      </c>
      <c r="E1215" s="8">
        <f t="shared" si="56"/>
        <v>-5.3023026314454027</v>
      </c>
    </row>
    <row r="1216" spans="1:5" x14ac:dyDescent="0.2">
      <c r="A1216" s="1">
        <v>43388</v>
      </c>
      <c r="B1216">
        <v>63375.57</v>
      </c>
      <c r="C1216" s="6">
        <f t="shared" si="54"/>
        <v>-3.105290042907476E-2</v>
      </c>
      <c r="D1216" s="7">
        <f t="shared" si="55"/>
        <v>-2.6340146899358392</v>
      </c>
      <c r="E1216" s="8">
        <f t="shared" si="56"/>
        <v>-4.3781182759977781</v>
      </c>
    </row>
    <row r="1217" spans="1:5" x14ac:dyDescent="0.2">
      <c r="A1217" s="1">
        <v>43389</v>
      </c>
      <c r="B1217">
        <v>64588.52</v>
      </c>
      <c r="C1217" s="6">
        <f t="shared" si="54"/>
        <v>1.8958230064375501E-2</v>
      </c>
      <c r="D1217" s="7">
        <f t="shared" si="55"/>
        <v>1.5677181448472799</v>
      </c>
      <c r="E1217" s="8">
        <f t="shared" si="56"/>
        <v>-2.639493735510674</v>
      </c>
    </row>
    <row r="1218" spans="1:5" x14ac:dyDescent="0.2">
      <c r="A1218" s="1">
        <v>43390</v>
      </c>
      <c r="B1218">
        <v>63380.95</v>
      </c>
      <c r="C1218" s="6">
        <f t="shared" si="54"/>
        <v>-1.8873342912168703E-2</v>
      </c>
      <c r="D1218" s="7">
        <f t="shared" si="55"/>
        <v>-1.6107375468883343</v>
      </c>
      <c r="E1218" s="8">
        <f t="shared" si="56"/>
        <v>-2.7150386303794742</v>
      </c>
    </row>
    <row r="1219" spans="1:5" x14ac:dyDescent="0.2">
      <c r="A1219" s="1">
        <v>43391</v>
      </c>
      <c r="B1219">
        <v>62839.9</v>
      </c>
      <c r="C1219" s="6">
        <f t="shared" ref="C1219:C1282" si="57">LN(B1219/B1218)</f>
        <v>-8.5731210628871152E-3</v>
      </c>
      <c r="D1219" s="7">
        <f t="shared" ref="D1219:D1282" si="58">(C1219-$G$4)/$G$5</f>
        <v>-0.7453545826830964</v>
      </c>
      <c r="E1219" s="8">
        <f t="shared" ref="E1219:E1282" si="59">LN((PI()*(G$3-2))^(-1/2)*EXP(GAMMALN((G$3+1)/2))*((1+D1219^2/(G$3-2))^(-(G$3+1)/2))/EXP(GAMMALN(G$3/2)))</f>
        <v>-1.2473911731046339</v>
      </c>
    </row>
    <row r="1220" spans="1:5" x14ac:dyDescent="0.2">
      <c r="A1220" s="1">
        <v>43392</v>
      </c>
      <c r="B1220">
        <v>62760.53</v>
      </c>
      <c r="C1220" s="6">
        <f t="shared" si="57"/>
        <v>-1.2638493445429884E-3</v>
      </c>
      <c r="D1220" s="7">
        <f t="shared" si="58"/>
        <v>-0.13125914684126294</v>
      </c>
      <c r="E1220" s="8">
        <f t="shared" si="59"/>
        <v>-0.65483038882837552</v>
      </c>
    </row>
    <row r="1221" spans="1:5" x14ac:dyDescent="0.2">
      <c r="A1221" s="1">
        <v>43395</v>
      </c>
      <c r="B1221">
        <v>63545.4</v>
      </c>
      <c r="C1221" s="6">
        <f t="shared" si="57"/>
        <v>1.2428238367454998E-2</v>
      </c>
      <c r="D1221" s="7">
        <f t="shared" si="58"/>
        <v>1.0190946633723839</v>
      </c>
      <c r="E1221" s="8">
        <f t="shared" si="59"/>
        <v>-1.6807527650703173</v>
      </c>
    </row>
    <row r="1222" spans="1:5" x14ac:dyDescent="0.2">
      <c r="A1222" s="1">
        <v>43396</v>
      </c>
      <c r="B1222">
        <v>62006.93</v>
      </c>
      <c r="C1222" s="6">
        <f t="shared" si="57"/>
        <v>-2.4508458073602357E-2</v>
      </c>
      <c r="D1222" s="7">
        <f t="shared" si="58"/>
        <v>-2.0841771225980028</v>
      </c>
      <c r="E1222" s="8">
        <f t="shared" si="59"/>
        <v>-3.5215002884450541</v>
      </c>
    </row>
    <row r="1223" spans="1:5" x14ac:dyDescent="0.2">
      <c r="A1223" s="1">
        <v>43397</v>
      </c>
      <c r="B1223">
        <v>61146.48</v>
      </c>
      <c r="C1223" s="6">
        <f t="shared" si="57"/>
        <v>-1.3973855884788455E-2</v>
      </c>
      <c r="D1223" s="7">
        <f t="shared" si="58"/>
        <v>-1.1991024705879969</v>
      </c>
      <c r="E1223" s="8">
        <f t="shared" si="59"/>
        <v>-1.9896959053699617</v>
      </c>
    </row>
    <row r="1224" spans="1:5" x14ac:dyDescent="0.2">
      <c r="A1224" s="1">
        <v>43398</v>
      </c>
      <c r="B1224">
        <v>62297.7</v>
      </c>
      <c r="C1224" s="6">
        <f t="shared" si="57"/>
        <v>1.8652209866292738E-2</v>
      </c>
      <c r="D1224" s="7">
        <f t="shared" si="58"/>
        <v>1.5420075659880483</v>
      </c>
      <c r="E1224" s="8">
        <f t="shared" si="59"/>
        <v>-2.5942373954122933</v>
      </c>
    </row>
    <row r="1225" spans="1:5" x14ac:dyDescent="0.2">
      <c r="A1225" s="1">
        <v>43399</v>
      </c>
      <c r="B1225">
        <v>61193.96</v>
      </c>
      <c r="C1225" s="6">
        <f t="shared" si="57"/>
        <v>-1.7876015136507505E-2</v>
      </c>
      <c r="D1225" s="7">
        <f t="shared" si="58"/>
        <v>-1.526946102450067</v>
      </c>
      <c r="E1225" s="8">
        <f t="shared" si="59"/>
        <v>-2.5676941637017907</v>
      </c>
    </row>
    <row r="1226" spans="1:5" x14ac:dyDescent="0.2">
      <c r="A1226" s="1">
        <v>43402</v>
      </c>
      <c r="B1226">
        <v>60953.22</v>
      </c>
      <c r="C1226" s="6">
        <f t="shared" si="57"/>
        <v>-3.9418071168724226E-3</v>
      </c>
      <c r="D1226" s="7">
        <f t="shared" si="58"/>
        <v>-0.35625032362805586</v>
      </c>
      <c r="E1226" s="8">
        <f t="shared" si="59"/>
        <v>-0.78751397204023232</v>
      </c>
    </row>
    <row r="1227" spans="1:5" x14ac:dyDescent="0.2">
      <c r="A1227" s="1">
        <v>43403</v>
      </c>
      <c r="B1227">
        <v>59942.75</v>
      </c>
      <c r="C1227" s="6">
        <f t="shared" si="57"/>
        <v>-1.6716744671850428E-2</v>
      </c>
      <c r="D1227" s="7">
        <f t="shared" si="58"/>
        <v>-1.4295488885162237</v>
      </c>
      <c r="E1227" s="8">
        <f t="shared" si="59"/>
        <v>-2.3956606124129363</v>
      </c>
    </row>
    <row r="1228" spans="1:5" x14ac:dyDescent="0.2">
      <c r="A1228" s="1">
        <v>43404</v>
      </c>
      <c r="B1228">
        <v>62782.239999999998</v>
      </c>
      <c r="C1228" s="6">
        <f t="shared" si="57"/>
        <v>4.6282290881556824E-2</v>
      </c>
      <c r="D1228" s="7">
        <f t="shared" si="58"/>
        <v>3.8633751792388051</v>
      </c>
      <c r="E1228" s="8">
        <f t="shared" si="59"/>
        <v>-5.9728377172283835</v>
      </c>
    </row>
    <row r="1229" spans="1:5" x14ac:dyDescent="0.2">
      <c r="A1229" s="1">
        <v>43405</v>
      </c>
      <c r="B1229">
        <v>65099.13</v>
      </c>
      <c r="C1229" s="6">
        <f t="shared" si="57"/>
        <v>3.6238954139723355E-2</v>
      </c>
      <c r="D1229" s="7">
        <f t="shared" si="58"/>
        <v>3.0195746623824213</v>
      </c>
      <c r="E1229" s="8">
        <f t="shared" si="59"/>
        <v>-4.9232498028672396</v>
      </c>
    </row>
    <row r="1230" spans="1:5" x14ac:dyDescent="0.2">
      <c r="A1230" s="1">
        <v>43406</v>
      </c>
      <c r="B1230">
        <v>66302.77</v>
      </c>
      <c r="C1230" s="6">
        <f t="shared" si="57"/>
        <v>1.8320491037980245E-2</v>
      </c>
      <c r="D1230" s="7">
        <f t="shared" si="58"/>
        <v>1.5141378921957527</v>
      </c>
      <c r="E1230" s="8">
        <f t="shared" si="59"/>
        <v>-2.5451056105482053</v>
      </c>
    </row>
    <row r="1231" spans="1:5" x14ac:dyDescent="0.2">
      <c r="A1231" s="1">
        <v>43409</v>
      </c>
      <c r="B1231">
        <v>66957.94</v>
      </c>
      <c r="C1231" s="6">
        <f t="shared" si="57"/>
        <v>9.8329849644711049E-3</v>
      </c>
      <c r="D1231" s="7">
        <f t="shared" si="58"/>
        <v>0.80105197306910891</v>
      </c>
      <c r="E1231" s="8">
        <f t="shared" si="59"/>
        <v>-1.3303896333016785</v>
      </c>
    </row>
    <row r="1232" spans="1:5" x14ac:dyDescent="0.2">
      <c r="A1232" s="1">
        <v>43410</v>
      </c>
      <c r="B1232">
        <v>66266.31</v>
      </c>
      <c r="C1232" s="6">
        <f t="shared" si="57"/>
        <v>-1.0383037826258686E-2</v>
      </c>
      <c r="D1232" s="7">
        <f t="shared" si="58"/>
        <v>-0.8974164660648104</v>
      </c>
      <c r="E1232" s="8">
        <f t="shared" si="59"/>
        <v>-1.4808856939619024</v>
      </c>
    </row>
    <row r="1233" spans="1:5" x14ac:dyDescent="0.2">
      <c r="A1233" s="1">
        <v>43411</v>
      </c>
      <c r="B1233">
        <v>66313.070000000007</v>
      </c>
      <c r="C1233" s="6">
        <f t="shared" si="57"/>
        <v>7.0538875561022884E-4</v>
      </c>
      <c r="D1233" s="7">
        <f t="shared" si="58"/>
        <v>3.4188270629200726E-2</v>
      </c>
      <c r="E1233" s="8">
        <f t="shared" si="59"/>
        <v>-0.63479698914016225</v>
      </c>
    </row>
    <row r="1234" spans="1:5" x14ac:dyDescent="0.2">
      <c r="A1234" s="1">
        <v>43412</v>
      </c>
      <c r="B1234">
        <v>65104.86</v>
      </c>
      <c r="C1234" s="6">
        <f t="shared" si="57"/>
        <v>-1.8387811195822616E-2</v>
      </c>
      <c r="D1234" s="7">
        <f t="shared" si="58"/>
        <v>-1.5699451365834494</v>
      </c>
      <c r="E1234" s="8">
        <f t="shared" si="59"/>
        <v>-2.6434102349618707</v>
      </c>
    </row>
    <row r="1235" spans="1:5" x14ac:dyDescent="0.2">
      <c r="A1235" s="1">
        <v>43413</v>
      </c>
      <c r="B1235">
        <v>63955.83</v>
      </c>
      <c r="C1235" s="6">
        <f t="shared" si="57"/>
        <v>-1.7806511963691398E-2</v>
      </c>
      <c r="D1235" s="7">
        <f t="shared" si="58"/>
        <v>-1.5211067270857912</v>
      </c>
      <c r="E1235" s="8">
        <f t="shared" si="59"/>
        <v>-2.5573976038714519</v>
      </c>
    </row>
    <row r="1236" spans="1:5" x14ac:dyDescent="0.2">
      <c r="A1236" s="1">
        <v>43416</v>
      </c>
      <c r="B1236">
        <v>61826.559999999998</v>
      </c>
      <c r="C1236" s="6">
        <f t="shared" si="57"/>
        <v>-3.3859643241947499E-2</v>
      </c>
      <c r="D1236" s="7">
        <f t="shared" si="58"/>
        <v>-2.8698258647538815</v>
      </c>
      <c r="E1236" s="8">
        <f t="shared" si="59"/>
        <v>-4.716811250178206</v>
      </c>
    </row>
    <row r="1237" spans="1:5" x14ac:dyDescent="0.2">
      <c r="A1237" s="1">
        <v>43417</v>
      </c>
      <c r="B1237">
        <v>61487.38</v>
      </c>
      <c r="C1237" s="6">
        <f t="shared" si="57"/>
        <v>-5.5010950968938724E-3</v>
      </c>
      <c r="D1237" s="7">
        <f t="shared" si="58"/>
        <v>-0.48725539069801183</v>
      </c>
      <c r="E1237" s="8">
        <f t="shared" si="59"/>
        <v>-0.91441469161623778</v>
      </c>
    </row>
    <row r="1238" spans="1:5" x14ac:dyDescent="0.2">
      <c r="A1238" s="1">
        <v>43418</v>
      </c>
      <c r="B1238">
        <v>62304.93</v>
      </c>
      <c r="C1238" s="6">
        <f t="shared" si="57"/>
        <v>1.3208605385491458E-2</v>
      </c>
      <c r="D1238" s="7">
        <f t="shared" si="58"/>
        <v>1.0846579427966514</v>
      </c>
      <c r="E1238" s="8">
        <f t="shared" si="59"/>
        <v>-1.7918485138873139</v>
      </c>
    </row>
    <row r="1239" spans="1:5" x14ac:dyDescent="0.2">
      <c r="A1239" s="1">
        <v>43419</v>
      </c>
      <c r="B1239">
        <v>62679.35</v>
      </c>
      <c r="C1239" s="6">
        <f t="shared" si="57"/>
        <v>5.991491411172621E-3</v>
      </c>
      <c r="D1239" s="7">
        <f t="shared" si="58"/>
        <v>0.47830522772977246</v>
      </c>
      <c r="E1239" s="8">
        <f t="shared" si="59"/>
        <v>-0.90471969835059085</v>
      </c>
    </row>
    <row r="1240" spans="1:5" x14ac:dyDescent="0.2">
      <c r="A1240" s="1">
        <v>43420</v>
      </c>
      <c r="B1240">
        <v>62369.22</v>
      </c>
      <c r="C1240" s="6">
        <f t="shared" si="57"/>
        <v>-4.9601628527113431E-3</v>
      </c>
      <c r="D1240" s="7">
        <f t="shared" si="58"/>
        <v>-0.44180845219954457</v>
      </c>
      <c r="E1240" s="8">
        <f t="shared" si="59"/>
        <v>-0.86668484037814997</v>
      </c>
    </row>
    <row r="1241" spans="1:5" x14ac:dyDescent="0.2">
      <c r="A1241" s="1">
        <v>43423</v>
      </c>
      <c r="B1241">
        <v>62737.99</v>
      </c>
      <c r="C1241" s="6">
        <f t="shared" si="57"/>
        <v>5.8952808240082264E-3</v>
      </c>
      <c r="D1241" s="7">
        <f t="shared" si="58"/>
        <v>0.47022200347241749</v>
      </c>
      <c r="E1241" s="8">
        <f t="shared" si="59"/>
        <v>-0.8960866108877551</v>
      </c>
    </row>
    <row r="1242" spans="1:5" x14ac:dyDescent="0.2">
      <c r="A1242" s="1">
        <v>43424</v>
      </c>
      <c r="B1242">
        <v>60464.04</v>
      </c>
      <c r="C1242" s="6">
        <f t="shared" si="57"/>
        <v>-3.6918357113743534E-2</v>
      </c>
      <c r="D1242" s="7">
        <f t="shared" si="58"/>
        <v>-3.1268066284463791</v>
      </c>
      <c r="E1242" s="8">
        <f t="shared" si="59"/>
        <v>-5.0670924699206275</v>
      </c>
    </row>
    <row r="1243" spans="1:5" x14ac:dyDescent="0.2">
      <c r="A1243" s="1">
        <v>43425</v>
      </c>
      <c r="B1243">
        <v>61419.41</v>
      </c>
      <c r="C1243" s="6">
        <f t="shared" si="57"/>
        <v>1.56771008174156E-2</v>
      </c>
      <c r="D1243" s="7">
        <f t="shared" si="58"/>
        <v>1.2920509412449903</v>
      </c>
      <c r="E1243" s="8">
        <f t="shared" si="59"/>
        <v>-2.1527616778346146</v>
      </c>
    </row>
    <row r="1244" spans="1:5" x14ac:dyDescent="0.2">
      <c r="A1244" s="1">
        <v>43426</v>
      </c>
      <c r="B1244">
        <v>61812.83</v>
      </c>
      <c r="C1244" s="6">
        <f t="shared" si="57"/>
        <v>6.3850391196609698E-3</v>
      </c>
      <c r="D1244" s="7">
        <f t="shared" si="58"/>
        <v>0.5113695138695491</v>
      </c>
      <c r="E1244" s="8">
        <f t="shared" si="59"/>
        <v>-0.94123305328024742</v>
      </c>
    </row>
    <row r="1245" spans="1:5" x14ac:dyDescent="0.2">
      <c r="A1245" s="1">
        <v>43427</v>
      </c>
      <c r="B1245">
        <v>61723.35</v>
      </c>
      <c r="C1245" s="6">
        <f t="shared" si="57"/>
        <v>-1.4486446909456302E-3</v>
      </c>
      <c r="D1245" s="7">
        <f t="shared" si="58"/>
        <v>-0.14678490414836459</v>
      </c>
      <c r="E1245" s="8">
        <f t="shared" si="59"/>
        <v>-0.66018791211844874</v>
      </c>
    </row>
    <row r="1246" spans="1:5" x14ac:dyDescent="0.2">
      <c r="A1246" s="1">
        <v>43430</v>
      </c>
      <c r="B1246">
        <v>63485.31</v>
      </c>
      <c r="C1246" s="6">
        <f t="shared" si="57"/>
        <v>2.8146237149351046E-2</v>
      </c>
      <c r="D1246" s="7">
        <f t="shared" si="58"/>
        <v>2.3396573246708128</v>
      </c>
      <c r="E1246" s="8">
        <f t="shared" si="59"/>
        <v>-3.9311945308443477</v>
      </c>
    </row>
    <row r="1247" spans="1:5" x14ac:dyDescent="0.2">
      <c r="A1247" s="1">
        <v>43431</v>
      </c>
      <c r="B1247">
        <v>62971.37</v>
      </c>
      <c r="C1247" s="6">
        <f t="shared" si="57"/>
        <v>-8.1283618971540409E-3</v>
      </c>
      <c r="D1247" s="7">
        <f t="shared" si="58"/>
        <v>-0.70798771711151831</v>
      </c>
      <c r="E1247" s="8">
        <f t="shared" si="59"/>
        <v>-1.1936040042878453</v>
      </c>
    </row>
    <row r="1248" spans="1:5" x14ac:dyDescent="0.2">
      <c r="A1248" s="1">
        <v>43432</v>
      </c>
      <c r="B1248">
        <v>64111.43</v>
      </c>
      <c r="C1248" s="6">
        <f t="shared" si="57"/>
        <v>1.7942484507058879E-2</v>
      </c>
      <c r="D1248" s="7">
        <f t="shared" si="58"/>
        <v>1.4823793129142311</v>
      </c>
      <c r="E1248" s="8">
        <f t="shared" si="59"/>
        <v>-2.4890415057450124</v>
      </c>
    </row>
    <row r="1249" spans="1:5" x14ac:dyDescent="0.2">
      <c r="A1249" s="1">
        <v>43433</v>
      </c>
      <c r="B1249">
        <v>63488.800000000003</v>
      </c>
      <c r="C1249" s="6">
        <f t="shared" si="57"/>
        <v>-9.7591507735062949E-3</v>
      </c>
      <c r="D1249" s="7">
        <f t="shared" si="58"/>
        <v>-0.84500000019249621</v>
      </c>
      <c r="E1249" s="8">
        <f t="shared" si="59"/>
        <v>-1.3980282974371061</v>
      </c>
    </row>
    <row r="1250" spans="1:5" x14ac:dyDescent="0.2">
      <c r="A1250" s="1">
        <v>43434</v>
      </c>
      <c r="B1250">
        <v>62089.7</v>
      </c>
      <c r="C1250" s="6">
        <f t="shared" si="57"/>
        <v>-2.228339872026636E-2</v>
      </c>
      <c r="D1250" s="7">
        <f t="shared" si="58"/>
        <v>-1.8972366385096144</v>
      </c>
      <c r="E1250" s="8">
        <f t="shared" si="59"/>
        <v>-3.2095880170632496</v>
      </c>
    </row>
    <row r="1251" spans="1:5" x14ac:dyDescent="0.2">
      <c r="A1251" s="1">
        <v>43437</v>
      </c>
      <c r="B1251">
        <v>63833.1</v>
      </c>
      <c r="C1251" s="6">
        <f t="shared" si="57"/>
        <v>2.7691750924226256E-2</v>
      </c>
      <c r="D1251" s="7">
        <f t="shared" si="58"/>
        <v>2.3014732309256503</v>
      </c>
      <c r="E1251" s="8">
        <f t="shared" si="59"/>
        <v>-3.8712349593604714</v>
      </c>
    </row>
    <row r="1252" spans="1:5" x14ac:dyDescent="0.2">
      <c r="A1252" s="1">
        <v>43438</v>
      </c>
      <c r="B1252">
        <v>64204.39</v>
      </c>
      <c r="C1252" s="6">
        <f t="shared" si="57"/>
        <v>5.7997238269810519E-3</v>
      </c>
      <c r="D1252" s="7">
        <f t="shared" si="58"/>
        <v>0.46219369121391068</v>
      </c>
      <c r="E1252" s="8">
        <f t="shared" si="59"/>
        <v>-0.88762890599071032</v>
      </c>
    </row>
    <row r="1253" spans="1:5" x14ac:dyDescent="0.2">
      <c r="A1253" s="1">
        <v>43439</v>
      </c>
      <c r="B1253">
        <v>63450.26</v>
      </c>
      <c r="C1253" s="6">
        <f t="shared" si="57"/>
        <v>-1.1815296553673806E-2</v>
      </c>
      <c r="D1253" s="7">
        <f t="shared" si="58"/>
        <v>-1.0177490493019148</v>
      </c>
      <c r="E1253" s="8">
        <f t="shared" si="59"/>
        <v>-1.6784942732665036</v>
      </c>
    </row>
    <row r="1254" spans="1:5" x14ac:dyDescent="0.2">
      <c r="A1254" s="1">
        <v>43440</v>
      </c>
      <c r="B1254">
        <v>62078.15</v>
      </c>
      <c r="C1254" s="6">
        <f t="shared" si="57"/>
        <v>-2.1862216693542217E-2</v>
      </c>
      <c r="D1254" s="7">
        <f t="shared" si="58"/>
        <v>-1.8618506287624623</v>
      </c>
      <c r="E1254" s="8">
        <f t="shared" si="59"/>
        <v>-3.1494921886054952</v>
      </c>
    </row>
    <row r="1255" spans="1:5" x14ac:dyDescent="0.2">
      <c r="A1255" s="1">
        <v>43441</v>
      </c>
      <c r="B1255">
        <v>62406.66</v>
      </c>
      <c r="C1255" s="6">
        <f t="shared" si="57"/>
        <v>5.2779252760947332E-3</v>
      </c>
      <c r="D1255" s="7">
        <f t="shared" si="58"/>
        <v>0.41835428820964482</v>
      </c>
      <c r="E1255" s="8">
        <f t="shared" si="59"/>
        <v>-0.84355296532133417</v>
      </c>
    </row>
    <row r="1256" spans="1:5" x14ac:dyDescent="0.2">
      <c r="A1256" s="1">
        <v>43444</v>
      </c>
      <c r="B1256">
        <v>61274</v>
      </c>
      <c r="C1256" s="6">
        <f t="shared" si="57"/>
        <v>-1.8316391037724797E-2</v>
      </c>
      <c r="D1256" s="7">
        <f t="shared" si="58"/>
        <v>-1.5639447038720891</v>
      </c>
      <c r="E1256" s="8">
        <f t="shared" si="59"/>
        <v>-2.6328562459145983</v>
      </c>
    </row>
    <row r="1257" spans="1:5" x14ac:dyDescent="0.2">
      <c r="A1257" s="1">
        <v>43445</v>
      </c>
      <c r="B1257">
        <v>62645.06</v>
      </c>
      <c r="C1257" s="6">
        <f t="shared" si="57"/>
        <v>2.2129218063447642E-2</v>
      </c>
      <c r="D1257" s="7">
        <f t="shared" si="58"/>
        <v>1.8341317264428725</v>
      </c>
      <c r="E1257" s="8">
        <f t="shared" si="59"/>
        <v>-3.1022006504479802</v>
      </c>
    </row>
    <row r="1258" spans="1:5" x14ac:dyDescent="0.2">
      <c r="A1258" s="1">
        <v>43446</v>
      </c>
      <c r="B1258">
        <v>62916.45</v>
      </c>
      <c r="C1258" s="6">
        <f t="shared" si="57"/>
        <v>4.3228282714730714E-3</v>
      </c>
      <c r="D1258" s="7">
        <f t="shared" si="58"/>
        <v>0.33811090228483726</v>
      </c>
      <c r="E1258" s="8">
        <f t="shared" si="59"/>
        <v>-0.77263137236355817</v>
      </c>
    </row>
    <row r="1259" spans="1:5" x14ac:dyDescent="0.2">
      <c r="A1259" s="1">
        <v>43447</v>
      </c>
      <c r="B1259">
        <v>62668.02</v>
      </c>
      <c r="C1259" s="6">
        <f t="shared" si="57"/>
        <v>-3.956386073149915E-3</v>
      </c>
      <c r="D1259" s="7">
        <f t="shared" si="58"/>
        <v>-0.35747518854679694</v>
      </c>
      <c r="E1259" s="8">
        <f t="shared" si="59"/>
        <v>-0.78854365973838425</v>
      </c>
    </row>
    <row r="1260" spans="1:5" x14ac:dyDescent="0.2">
      <c r="A1260" s="1">
        <v>43448</v>
      </c>
      <c r="B1260">
        <v>62343.14</v>
      </c>
      <c r="C1260" s="6">
        <f t="shared" si="57"/>
        <v>-5.1976276581193375E-3</v>
      </c>
      <c r="D1260" s="7">
        <f t="shared" si="58"/>
        <v>-0.46175928434717672</v>
      </c>
      <c r="E1260" s="8">
        <f t="shared" si="59"/>
        <v>-0.88717460797492764</v>
      </c>
    </row>
    <row r="1261" spans="1:5" x14ac:dyDescent="0.2">
      <c r="A1261" s="1">
        <v>43452</v>
      </c>
      <c r="B1261">
        <v>61944.51</v>
      </c>
      <c r="C1261" s="6">
        <f t="shared" si="57"/>
        <v>-6.4146577217576318E-3</v>
      </c>
      <c r="D1261" s="7">
        <f t="shared" si="58"/>
        <v>-0.5640092260871844</v>
      </c>
      <c r="E1261" s="8">
        <f t="shared" si="59"/>
        <v>-1.0031632890859665</v>
      </c>
    </row>
    <row r="1262" spans="1:5" x14ac:dyDescent="0.2">
      <c r="A1262" s="1">
        <v>43453</v>
      </c>
      <c r="B1262">
        <v>62126.74</v>
      </c>
      <c r="C1262" s="6">
        <f t="shared" si="57"/>
        <v>2.9375077794058248E-3</v>
      </c>
      <c r="D1262" s="7">
        <f t="shared" si="58"/>
        <v>0.22172187966557899</v>
      </c>
      <c r="E1262" s="8">
        <f t="shared" si="59"/>
        <v>-0.69419046536780737</v>
      </c>
    </row>
    <row r="1263" spans="1:5" x14ac:dyDescent="0.2">
      <c r="A1263" s="1">
        <v>43454</v>
      </c>
      <c r="B1263">
        <v>61846.09</v>
      </c>
      <c r="C1263" s="6">
        <f t="shared" si="57"/>
        <v>-4.5276126942762262E-3</v>
      </c>
      <c r="D1263" s="7">
        <f t="shared" si="58"/>
        <v>-0.4054673380224616</v>
      </c>
      <c r="E1263" s="8">
        <f t="shared" si="59"/>
        <v>-0.83129343229361852</v>
      </c>
    </row>
    <row r="1264" spans="1:5" x14ac:dyDescent="0.2">
      <c r="A1264" s="1">
        <v>43455</v>
      </c>
      <c r="B1264">
        <v>62359.7</v>
      </c>
      <c r="C1264" s="6">
        <f t="shared" si="57"/>
        <v>8.2703540232771863E-3</v>
      </c>
      <c r="D1264" s="7">
        <f t="shared" si="58"/>
        <v>0.66976604392734662</v>
      </c>
      <c r="E1264" s="8">
        <f t="shared" si="59"/>
        <v>-1.1403169746604307</v>
      </c>
    </row>
    <row r="1265" spans="1:5" x14ac:dyDescent="0.2">
      <c r="A1265" s="1">
        <v>43458</v>
      </c>
      <c r="B1265">
        <v>63411.01</v>
      </c>
      <c r="C1265" s="6">
        <f t="shared" si="57"/>
        <v>1.671827227027688E-2</v>
      </c>
      <c r="D1265" s="7">
        <f t="shared" si="58"/>
        <v>1.3795259540463711</v>
      </c>
      <c r="E1265" s="8">
        <f t="shared" si="59"/>
        <v>-2.3072001130157274</v>
      </c>
    </row>
    <row r="1266" spans="1:5" x14ac:dyDescent="0.2">
      <c r="A1266" s="1">
        <v>43461</v>
      </c>
      <c r="B1266">
        <v>62300.2</v>
      </c>
      <c r="C1266" s="6">
        <f t="shared" si="57"/>
        <v>-1.7672869611014483E-2</v>
      </c>
      <c r="D1266" s="7">
        <f t="shared" si="58"/>
        <v>-1.5098786373421729</v>
      </c>
      <c r="E1266" s="8">
        <f t="shared" si="59"/>
        <v>-2.5375909429085937</v>
      </c>
    </row>
    <row r="1267" spans="1:5" x14ac:dyDescent="0.2">
      <c r="A1267" s="1">
        <v>43462</v>
      </c>
      <c r="B1267">
        <v>63458.01</v>
      </c>
      <c r="C1267" s="6">
        <f t="shared" si="57"/>
        <v>1.8413791266279265E-2</v>
      </c>
      <c r="D1267" s="7">
        <f t="shared" si="58"/>
        <v>1.5219765998767976</v>
      </c>
      <c r="E1267" s="8">
        <f t="shared" si="59"/>
        <v>-2.5589316398197983</v>
      </c>
    </row>
    <row r="1268" spans="1:5" x14ac:dyDescent="0.2">
      <c r="A1268" s="1">
        <v>43465</v>
      </c>
      <c r="B1268">
        <v>63684.35</v>
      </c>
      <c r="C1268" s="6">
        <f t="shared" si="57"/>
        <v>3.5604221771857736E-3</v>
      </c>
      <c r="D1268" s="7">
        <f t="shared" si="58"/>
        <v>0.27405662700255318</v>
      </c>
      <c r="E1268" s="8">
        <f t="shared" si="59"/>
        <v>-0.72572209370527596</v>
      </c>
    </row>
    <row r="1269" spans="1:5" x14ac:dyDescent="0.2">
      <c r="A1269" s="1">
        <v>43467</v>
      </c>
      <c r="B1269">
        <v>61637.99</v>
      </c>
      <c r="C1269" s="6">
        <f t="shared" si="57"/>
        <v>-3.2660448280004958E-2</v>
      </c>
      <c r="D1269" s="7">
        <f t="shared" si="58"/>
        <v>-2.7690743560960165</v>
      </c>
      <c r="E1269" s="8">
        <f t="shared" si="59"/>
        <v>-4.5741722088791867</v>
      </c>
    </row>
    <row r="1270" spans="1:5" x14ac:dyDescent="0.2">
      <c r="A1270" s="1">
        <v>43468</v>
      </c>
      <c r="B1270">
        <v>61780.65</v>
      </c>
      <c r="C1270" s="6">
        <f t="shared" si="57"/>
        <v>2.3118074147737457E-3</v>
      </c>
      <c r="D1270" s="7">
        <f t="shared" si="58"/>
        <v>0.16915306666594707</v>
      </c>
      <c r="E1270" s="8">
        <f t="shared" si="59"/>
        <v>-0.66893377374695218</v>
      </c>
    </row>
    <row r="1271" spans="1:5" x14ac:dyDescent="0.2">
      <c r="A1271" s="1">
        <v>43469</v>
      </c>
      <c r="B1271">
        <v>62774.33</v>
      </c>
      <c r="C1271" s="6">
        <f t="shared" si="57"/>
        <v>1.5956023308700044E-2</v>
      </c>
      <c r="D1271" s="7">
        <f t="shared" si="58"/>
        <v>1.3154848804186479</v>
      </c>
      <c r="E1271" s="8">
        <f t="shared" si="59"/>
        <v>-2.1940746133595788</v>
      </c>
    </row>
    <row r="1272" spans="1:5" x14ac:dyDescent="0.2">
      <c r="A1272" s="1">
        <v>43472</v>
      </c>
      <c r="B1272">
        <v>62190.49</v>
      </c>
      <c r="C1272" s="6">
        <f t="shared" si="57"/>
        <v>-9.3441377830653528E-3</v>
      </c>
      <c r="D1272" s="7">
        <f t="shared" si="58"/>
        <v>-0.81013228791341441</v>
      </c>
      <c r="E1272" s="8">
        <f t="shared" si="59"/>
        <v>-1.3442174223127659</v>
      </c>
    </row>
    <row r="1273" spans="1:5" x14ac:dyDescent="0.2">
      <c r="A1273" s="1">
        <v>43473</v>
      </c>
      <c r="B1273">
        <v>62606.6</v>
      </c>
      <c r="C1273" s="6">
        <f t="shared" si="57"/>
        <v>6.6686096934710582E-3</v>
      </c>
      <c r="D1273" s="7">
        <f t="shared" si="58"/>
        <v>0.53519396613047499</v>
      </c>
      <c r="E1273" s="8">
        <f t="shared" si="59"/>
        <v>-0.96870083742049928</v>
      </c>
    </row>
    <row r="1274" spans="1:5" x14ac:dyDescent="0.2">
      <c r="A1274" s="1">
        <v>43474</v>
      </c>
      <c r="B1274">
        <v>64304.07</v>
      </c>
      <c r="C1274" s="6">
        <f t="shared" si="57"/>
        <v>2.6752222427034282E-2</v>
      </c>
      <c r="D1274" s="7">
        <f t="shared" si="58"/>
        <v>2.2225378480035833</v>
      </c>
      <c r="E1274" s="8">
        <f t="shared" si="59"/>
        <v>-3.7458521326209135</v>
      </c>
    </row>
    <row r="1275" spans="1:5" x14ac:dyDescent="0.2">
      <c r="A1275" s="1">
        <v>43475</v>
      </c>
      <c r="B1275">
        <v>64312.98</v>
      </c>
      <c r="C1275" s="6">
        <f t="shared" si="57"/>
        <v>1.3855083776621708E-4</v>
      </c>
      <c r="D1275" s="7">
        <f t="shared" si="58"/>
        <v>-1.3435157753750968E-2</v>
      </c>
      <c r="E1275" s="8">
        <f t="shared" si="59"/>
        <v>-0.63355887266934718</v>
      </c>
    </row>
    <row r="1276" spans="1:5" x14ac:dyDescent="0.2">
      <c r="A1276" s="1">
        <v>43476</v>
      </c>
      <c r="B1276">
        <v>64909.36</v>
      </c>
      <c r="C1276" s="6">
        <f t="shared" si="57"/>
        <v>9.2303580676163476E-3</v>
      </c>
      <c r="D1276" s="7">
        <f t="shared" si="58"/>
        <v>0.75042169947491955</v>
      </c>
      <c r="E1276" s="8">
        <f t="shared" si="59"/>
        <v>-1.2548065801153836</v>
      </c>
    </row>
    <row r="1277" spans="1:5" x14ac:dyDescent="0.2">
      <c r="A1277" s="1">
        <v>43479</v>
      </c>
      <c r="B1277">
        <v>64525.2</v>
      </c>
      <c r="C1277" s="6">
        <f t="shared" si="57"/>
        <v>-5.9359900172014732E-3</v>
      </c>
      <c r="D1277" s="7">
        <f t="shared" si="58"/>
        <v>-0.52379350228051536</v>
      </c>
      <c r="E1277" s="8">
        <f t="shared" si="59"/>
        <v>-0.95543867956536921</v>
      </c>
    </row>
    <row r="1278" spans="1:5" x14ac:dyDescent="0.2">
      <c r="A1278" s="1">
        <v>43480</v>
      </c>
      <c r="B1278">
        <v>64618.31</v>
      </c>
      <c r="C1278" s="6">
        <f t="shared" si="57"/>
        <v>1.4419619868358017E-3</v>
      </c>
      <c r="D1278" s="7">
        <f t="shared" si="58"/>
        <v>9.6072173278994089E-2</v>
      </c>
      <c r="E1278" s="8">
        <f t="shared" si="59"/>
        <v>-0.64487241062822798</v>
      </c>
    </row>
    <row r="1279" spans="1:5" x14ac:dyDescent="0.2">
      <c r="A1279" s="1">
        <v>43481</v>
      </c>
      <c r="B1279">
        <v>65405.07</v>
      </c>
      <c r="C1279" s="6">
        <f t="shared" si="57"/>
        <v>1.2101971233666896E-2</v>
      </c>
      <c r="D1279" s="7">
        <f t="shared" si="58"/>
        <v>0.99168301889600918</v>
      </c>
      <c r="E1279" s="8">
        <f t="shared" si="59"/>
        <v>-1.634936137699081</v>
      </c>
    </row>
    <row r="1280" spans="1:5" x14ac:dyDescent="0.2">
      <c r="A1280" s="1">
        <v>43482</v>
      </c>
      <c r="B1280">
        <v>64702.27</v>
      </c>
      <c r="C1280" s="6">
        <f t="shared" si="57"/>
        <v>-1.080349249506699E-2</v>
      </c>
      <c r="D1280" s="7">
        <f t="shared" si="58"/>
        <v>-0.93274136614282577</v>
      </c>
      <c r="E1280" s="8">
        <f t="shared" si="59"/>
        <v>-1.5379179445614426</v>
      </c>
    </row>
    <row r="1281" spans="1:5" x14ac:dyDescent="0.2">
      <c r="A1281" s="1">
        <v>43483</v>
      </c>
      <c r="B1281">
        <v>65115.32</v>
      </c>
      <c r="C1281" s="6">
        <f t="shared" si="57"/>
        <v>6.3635658907194009E-3</v>
      </c>
      <c r="D1281" s="7">
        <f t="shared" si="58"/>
        <v>0.5095654200563845</v>
      </c>
      <c r="E1281" s="8">
        <f t="shared" si="59"/>
        <v>-0.93919196449597009</v>
      </c>
    </row>
    <row r="1282" spans="1:5" x14ac:dyDescent="0.2">
      <c r="A1282" s="1">
        <v>43486</v>
      </c>
      <c r="B1282">
        <v>66263.11</v>
      </c>
      <c r="C1282" s="6">
        <f t="shared" si="57"/>
        <v>1.7473480291937977E-2</v>
      </c>
      <c r="D1282" s="7">
        <f t="shared" si="58"/>
        <v>1.4429754763906142</v>
      </c>
      <c r="E1282" s="8">
        <f t="shared" si="59"/>
        <v>-2.4194019564762725</v>
      </c>
    </row>
    <row r="1283" spans="1:5" x14ac:dyDescent="0.2">
      <c r="A1283" s="1">
        <v>43487</v>
      </c>
      <c r="B1283">
        <v>66116.98</v>
      </c>
      <c r="C1283" s="6">
        <f t="shared" ref="C1283:C1346" si="60">LN(B1283/B1282)</f>
        <v>-2.2077347032210693E-3</v>
      </c>
      <c r="D1283" s="7">
        <f t="shared" ref="D1283:D1346" si="61">(C1283-$G$4)/$G$5</f>
        <v>-0.21056057563716143</v>
      </c>
      <c r="E1283" s="8">
        <f t="shared" ref="E1283:E1346" si="62">LN((PI()*(G$3-2))^(-1/2)*EXP(GAMMALN((G$3+1)/2))*((1+D1283^2/(G$3-2))^(-(G$3+1)/2))/EXP(GAMMALN(G$3/2)))</f>
        <v>-0.68828286247216952</v>
      </c>
    </row>
    <row r="1284" spans="1:5" x14ac:dyDescent="0.2">
      <c r="A1284" s="1">
        <v>43488</v>
      </c>
      <c r="B1284">
        <v>65432.55</v>
      </c>
      <c r="C1284" s="6">
        <f t="shared" si="60"/>
        <v>-1.0405756308144044E-2</v>
      </c>
      <c r="D1284" s="7">
        <f t="shared" si="61"/>
        <v>-0.89932518099191328</v>
      </c>
      <c r="E1284" s="8">
        <f t="shared" si="62"/>
        <v>-1.4839440154302064</v>
      </c>
    </row>
    <row r="1285" spans="1:5" x14ac:dyDescent="0.2">
      <c r="A1285" s="1">
        <v>43489</v>
      </c>
      <c r="B1285">
        <v>64801.91</v>
      </c>
      <c r="C1285" s="6">
        <f t="shared" si="60"/>
        <v>-9.6847628379280997E-3</v>
      </c>
      <c r="D1285" s="7">
        <f t="shared" si="61"/>
        <v>-0.83875022682511413</v>
      </c>
      <c r="E1285" s="8">
        <f t="shared" si="62"/>
        <v>-1.3883024296315933</v>
      </c>
    </row>
    <row r="1286" spans="1:5" x14ac:dyDescent="0.2">
      <c r="A1286" s="1">
        <v>43490</v>
      </c>
      <c r="B1286">
        <v>64672.69</v>
      </c>
      <c r="C1286" s="6">
        <f t="shared" si="60"/>
        <v>-1.9960678450310775E-3</v>
      </c>
      <c r="D1286" s="7">
        <f t="shared" si="61"/>
        <v>-0.1927771826341029</v>
      </c>
      <c r="E1286" s="8">
        <f t="shared" si="62"/>
        <v>-0.67947455467377016</v>
      </c>
    </row>
    <row r="1287" spans="1:5" x14ac:dyDescent="0.2">
      <c r="A1287" s="1">
        <v>43493</v>
      </c>
      <c r="B1287">
        <v>64098.239999999998</v>
      </c>
      <c r="C1287" s="6">
        <f t="shared" si="60"/>
        <v>-8.9221039360642771E-3</v>
      </c>
      <c r="D1287" s="7">
        <f t="shared" si="61"/>
        <v>-0.7746747116731314</v>
      </c>
      <c r="E1287" s="8">
        <f t="shared" si="62"/>
        <v>-1.2906822743101749</v>
      </c>
    </row>
    <row r="1288" spans="1:5" x14ac:dyDescent="0.2">
      <c r="A1288" s="1">
        <v>43494</v>
      </c>
      <c r="B1288">
        <v>64935.9</v>
      </c>
      <c r="C1288" s="6">
        <f t="shared" si="60"/>
        <v>1.2983723028477121E-2</v>
      </c>
      <c r="D1288" s="7">
        <f t="shared" si="61"/>
        <v>1.0657642370534008</v>
      </c>
      <c r="E1288" s="8">
        <f t="shared" si="62"/>
        <v>-1.7596339100881253</v>
      </c>
    </row>
    <row r="1289" spans="1:5" x14ac:dyDescent="0.2">
      <c r="A1289" s="1">
        <v>43495</v>
      </c>
      <c r="B1289">
        <v>64055.18</v>
      </c>
      <c r="C1289" s="6">
        <f t="shared" si="60"/>
        <v>-1.3655730090332564E-2</v>
      </c>
      <c r="D1289" s="7">
        <f t="shared" si="61"/>
        <v>-1.1723748285017648</v>
      </c>
      <c r="E1289" s="8">
        <f t="shared" si="62"/>
        <v>-1.9431363270032607</v>
      </c>
    </row>
    <row r="1290" spans="1:5" x14ac:dyDescent="0.2">
      <c r="A1290" s="1">
        <v>43496</v>
      </c>
      <c r="B1290">
        <v>64225.42</v>
      </c>
      <c r="C1290" s="6">
        <f t="shared" si="60"/>
        <v>2.654183094569584E-3</v>
      </c>
      <c r="D1290" s="7">
        <f t="shared" si="61"/>
        <v>0.19791808600134819</v>
      </c>
      <c r="E1290" s="8">
        <f t="shared" si="62"/>
        <v>-0.68194422092709439</v>
      </c>
    </row>
    <row r="1291" spans="1:5" x14ac:dyDescent="0.2">
      <c r="A1291" s="1">
        <v>43497</v>
      </c>
      <c r="B1291">
        <v>63557.94</v>
      </c>
      <c r="C1291" s="6">
        <f t="shared" si="60"/>
        <v>-1.044715166176869E-2</v>
      </c>
      <c r="D1291" s="7">
        <f t="shared" si="61"/>
        <v>-0.90280305111434356</v>
      </c>
      <c r="E1291" s="8">
        <f t="shared" si="62"/>
        <v>-1.4895236258323592</v>
      </c>
    </row>
    <row r="1292" spans="1:5" x14ac:dyDescent="0.2">
      <c r="A1292" s="1">
        <v>43500</v>
      </c>
      <c r="B1292">
        <v>62979.02</v>
      </c>
      <c r="C1292" s="6">
        <f t="shared" si="60"/>
        <v>-9.1502757659154953E-3</v>
      </c>
      <c r="D1292" s="7">
        <f t="shared" si="61"/>
        <v>-0.79384478561465066</v>
      </c>
      <c r="E1292" s="8">
        <f t="shared" si="62"/>
        <v>-1.3194712518959284</v>
      </c>
    </row>
    <row r="1293" spans="1:5" x14ac:dyDescent="0.2">
      <c r="A1293" s="1">
        <v>43501</v>
      </c>
      <c r="B1293">
        <v>64398.14</v>
      </c>
      <c r="C1293" s="6">
        <f t="shared" si="60"/>
        <v>2.2283095649220333E-2</v>
      </c>
      <c r="D1293" s="7">
        <f t="shared" si="61"/>
        <v>1.847059898597728</v>
      </c>
      <c r="E1293" s="8">
        <f t="shared" si="62"/>
        <v>-3.1242807824370229</v>
      </c>
    </row>
    <row r="1294" spans="1:5" x14ac:dyDescent="0.2">
      <c r="A1294" s="1">
        <v>43502</v>
      </c>
      <c r="B1294">
        <v>64987.07</v>
      </c>
      <c r="C1294" s="6">
        <f t="shared" si="60"/>
        <v>9.1035763252570092E-3</v>
      </c>
      <c r="D1294" s="7">
        <f t="shared" si="61"/>
        <v>0.73977001045157276</v>
      </c>
      <c r="E1294" s="8">
        <f t="shared" si="62"/>
        <v>-1.2392513759687556</v>
      </c>
    </row>
    <row r="1295" spans="1:5" x14ac:dyDescent="0.2">
      <c r="A1295" s="1">
        <v>43503</v>
      </c>
      <c r="B1295">
        <v>63831.23</v>
      </c>
      <c r="C1295" s="6">
        <f t="shared" si="60"/>
        <v>-1.7945758012824543E-2</v>
      </c>
      <c r="D1295" s="7">
        <f t="shared" si="61"/>
        <v>-1.5328056167326305</v>
      </c>
      <c r="E1295" s="8">
        <f t="shared" si="62"/>
        <v>-2.5780231226271955</v>
      </c>
    </row>
    <row r="1296" spans="1:5" x14ac:dyDescent="0.2">
      <c r="A1296" s="1">
        <v>43504</v>
      </c>
      <c r="B1296">
        <v>62972.03</v>
      </c>
      <c r="C1296" s="6">
        <f t="shared" si="60"/>
        <v>-1.355190946359049E-2</v>
      </c>
      <c r="D1296" s="7">
        <f t="shared" si="61"/>
        <v>-1.1636522395099591</v>
      </c>
      <c r="E1296" s="8">
        <f t="shared" si="62"/>
        <v>-1.9279823124196289</v>
      </c>
    </row>
    <row r="1297" spans="1:5" x14ac:dyDescent="0.2">
      <c r="A1297" s="1">
        <v>43507</v>
      </c>
      <c r="B1297">
        <v>63552.77</v>
      </c>
      <c r="C1297" s="6">
        <f t="shared" si="60"/>
        <v>9.1799248572660194E-3</v>
      </c>
      <c r="D1297" s="7">
        <f t="shared" si="61"/>
        <v>0.74618450519833246</v>
      </c>
      <c r="E1297" s="8">
        <f t="shared" si="62"/>
        <v>-1.248603778372041</v>
      </c>
    </row>
    <row r="1298" spans="1:5" x14ac:dyDescent="0.2">
      <c r="A1298" s="1">
        <v>43508</v>
      </c>
      <c r="B1298">
        <v>64470.65</v>
      </c>
      <c r="C1298" s="6">
        <f t="shared" si="60"/>
        <v>1.4339497068737377E-2</v>
      </c>
      <c r="D1298" s="7">
        <f t="shared" si="61"/>
        <v>1.1796708863392862</v>
      </c>
      <c r="E1298" s="8">
        <f t="shared" si="62"/>
        <v>-1.9558279145400292</v>
      </c>
    </row>
    <row r="1299" spans="1:5" x14ac:dyDescent="0.2">
      <c r="A1299" s="1">
        <v>43509</v>
      </c>
      <c r="B1299">
        <v>64758.91</v>
      </c>
      <c r="C1299" s="6">
        <f t="shared" si="60"/>
        <v>4.4612158099088806E-3</v>
      </c>
      <c r="D1299" s="7">
        <f t="shared" si="61"/>
        <v>0.34973766333649359</v>
      </c>
      <c r="E1299" s="8">
        <f t="shared" si="62"/>
        <v>-0.78209142740389515</v>
      </c>
    </row>
    <row r="1300" spans="1:5" x14ac:dyDescent="0.2">
      <c r="A1300" s="1">
        <v>43510</v>
      </c>
      <c r="B1300">
        <v>65083.1</v>
      </c>
      <c r="C1300" s="6">
        <f t="shared" si="60"/>
        <v>4.9936176076200841E-3</v>
      </c>
      <c r="D1300" s="7">
        <f t="shared" si="61"/>
        <v>0.39446790823735012</v>
      </c>
      <c r="E1300" s="8">
        <f t="shared" si="62"/>
        <v>-0.82108708446677892</v>
      </c>
    </row>
    <row r="1301" spans="1:5" x14ac:dyDescent="0.2">
      <c r="A1301" s="1">
        <v>43511</v>
      </c>
      <c r="B1301">
        <v>65045.68</v>
      </c>
      <c r="C1301" s="6">
        <f t="shared" si="60"/>
        <v>-5.7512259826667759E-4</v>
      </c>
      <c r="D1301" s="7">
        <f t="shared" si="61"/>
        <v>-7.3395112265969509E-2</v>
      </c>
      <c r="E1301" s="8">
        <f t="shared" si="62"/>
        <v>-0.64007411822513083</v>
      </c>
    </row>
    <row r="1302" spans="1:5" x14ac:dyDescent="0.2">
      <c r="A1302" s="1">
        <v>43514</v>
      </c>
      <c r="B1302">
        <v>65901.83</v>
      </c>
      <c r="C1302" s="6">
        <f t="shared" si="60"/>
        <v>1.3076418170651508E-2</v>
      </c>
      <c r="D1302" s="7">
        <f t="shared" si="61"/>
        <v>1.0735521078464838</v>
      </c>
      <c r="E1302" s="8">
        <f t="shared" si="62"/>
        <v>-1.7728943297824398</v>
      </c>
    </row>
    <row r="1303" spans="1:5" x14ac:dyDescent="0.2">
      <c r="A1303" s="1">
        <v>43515</v>
      </c>
      <c r="B1303">
        <v>65739.789999999994</v>
      </c>
      <c r="C1303" s="6">
        <f t="shared" si="60"/>
        <v>-2.4618366416158345E-3</v>
      </c>
      <c r="D1303" s="7">
        <f t="shared" si="61"/>
        <v>-0.23190919238309063</v>
      </c>
      <c r="E1303" s="8">
        <f t="shared" si="62"/>
        <v>-0.69983575245541785</v>
      </c>
    </row>
    <row r="1304" spans="1:5" x14ac:dyDescent="0.2">
      <c r="A1304" s="1">
        <v>43516</v>
      </c>
      <c r="B1304">
        <v>66346.34</v>
      </c>
      <c r="C1304" s="6">
        <f t="shared" si="60"/>
        <v>9.1842234083625244E-3</v>
      </c>
      <c r="D1304" s="7">
        <f t="shared" si="61"/>
        <v>0.74654565206915835</v>
      </c>
      <c r="E1304" s="8">
        <f t="shared" si="62"/>
        <v>-1.2491316897202815</v>
      </c>
    </row>
    <row r="1305" spans="1:5" x14ac:dyDescent="0.2">
      <c r="A1305" s="1">
        <v>43517</v>
      </c>
      <c r="B1305">
        <v>65739.39</v>
      </c>
      <c r="C1305" s="6">
        <f t="shared" si="60"/>
        <v>-9.1903080219111321E-3</v>
      </c>
      <c r="D1305" s="7">
        <f t="shared" si="61"/>
        <v>-0.79720813378950028</v>
      </c>
      <c r="E1305" s="8">
        <f t="shared" si="62"/>
        <v>-1.3245601503384026</v>
      </c>
    </row>
    <row r="1306" spans="1:5" x14ac:dyDescent="0.2">
      <c r="A1306" s="1">
        <v>43518</v>
      </c>
      <c r="B1306">
        <v>66612.05</v>
      </c>
      <c r="C1306" s="6">
        <f t="shared" si="60"/>
        <v>1.3187202896015627E-2</v>
      </c>
      <c r="D1306" s="7">
        <f t="shared" si="61"/>
        <v>1.0828597922271801</v>
      </c>
      <c r="E1306" s="8">
        <f t="shared" si="62"/>
        <v>-1.7887761821684072</v>
      </c>
    </row>
    <row r="1307" spans="1:5" x14ac:dyDescent="0.2">
      <c r="A1307" s="1">
        <v>43521</v>
      </c>
      <c r="B1307">
        <v>66678.66</v>
      </c>
      <c r="C1307" s="6">
        <f t="shared" si="60"/>
        <v>9.9946958861503996E-4</v>
      </c>
      <c r="D1307" s="7">
        <f t="shared" si="61"/>
        <v>5.8895752342266863E-2</v>
      </c>
      <c r="E1307" s="8">
        <f t="shared" si="62"/>
        <v>-0.63767573295388924</v>
      </c>
    </row>
    <row r="1308" spans="1:5" x14ac:dyDescent="0.2">
      <c r="A1308" s="1">
        <v>43522</v>
      </c>
      <c r="B1308">
        <v>67105.2</v>
      </c>
      <c r="C1308" s="6">
        <f t="shared" si="60"/>
        <v>6.3765755493100798E-3</v>
      </c>
      <c r="D1308" s="7">
        <f t="shared" si="61"/>
        <v>0.51065843893299101</v>
      </c>
      <c r="E1308" s="8">
        <f t="shared" si="62"/>
        <v>-0.94042790598682657</v>
      </c>
    </row>
    <row r="1309" spans="1:5" x14ac:dyDescent="0.2">
      <c r="A1309" s="1">
        <v>43523</v>
      </c>
      <c r="B1309">
        <v>66901.48</v>
      </c>
      <c r="C1309" s="6">
        <f t="shared" si="60"/>
        <v>-3.0404477886888355E-3</v>
      </c>
      <c r="D1309" s="7">
        <f t="shared" si="61"/>
        <v>-0.28052175985037781</v>
      </c>
      <c r="E1309" s="8">
        <f t="shared" si="62"/>
        <v>-0.73004814847691879</v>
      </c>
    </row>
    <row r="1310" spans="1:5" x14ac:dyDescent="0.2">
      <c r="A1310" s="1">
        <v>43524</v>
      </c>
      <c r="B1310">
        <v>66860.160000000003</v>
      </c>
      <c r="C1310" s="6">
        <f t="shared" si="60"/>
        <v>-6.1781541126882647E-4</v>
      </c>
      <c r="D1310" s="7">
        <f t="shared" si="61"/>
        <v>-7.6981989675666898E-2</v>
      </c>
      <c r="E1310" s="8">
        <f t="shared" si="62"/>
        <v>-0.64074813578267076</v>
      </c>
    </row>
    <row r="1311" spans="1:5" x14ac:dyDescent="0.2">
      <c r="A1311" s="1">
        <v>43525</v>
      </c>
      <c r="B1311">
        <v>67284.72</v>
      </c>
      <c r="C1311" s="6">
        <f t="shared" si="60"/>
        <v>6.3298937326438367E-3</v>
      </c>
      <c r="D1311" s="7">
        <f t="shared" si="61"/>
        <v>0.50673642157528365</v>
      </c>
      <c r="E1311" s="8">
        <f t="shared" si="62"/>
        <v>-0.93600251885393404</v>
      </c>
    </row>
    <row r="1312" spans="1:5" x14ac:dyDescent="0.2">
      <c r="A1312" s="1">
        <v>43528</v>
      </c>
      <c r="B1312">
        <v>68127.12</v>
      </c>
      <c r="C1312" s="6">
        <f t="shared" si="60"/>
        <v>1.2442203983410055E-2</v>
      </c>
      <c r="D1312" s="7">
        <f t="shared" si="61"/>
        <v>1.0202679979188609</v>
      </c>
      <c r="E1312" s="8">
        <f t="shared" si="62"/>
        <v>-1.6827228670608123</v>
      </c>
    </row>
    <row r="1313" spans="1:5" x14ac:dyDescent="0.2">
      <c r="A1313" s="1">
        <v>43529</v>
      </c>
      <c r="B1313">
        <v>67453.73</v>
      </c>
      <c r="C1313" s="6">
        <f t="shared" si="60"/>
        <v>-9.9334904181179757E-3</v>
      </c>
      <c r="D1313" s="7">
        <f t="shared" si="61"/>
        <v>-0.85964731173977782</v>
      </c>
      <c r="E1313" s="8">
        <f t="shared" si="62"/>
        <v>-1.4209547429366358</v>
      </c>
    </row>
    <row r="1314" spans="1:5" x14ac:dyDescent="0.2">
      <c r="A1314" s="1">
        <v>43530</v>
      </c>
      <c r="B1314">
        <v>67990.759999999995</v>
      </c>
      <c r="C1314" s="6">
        <f t="shared" si="60"/>
        <v>7.9299322431712043E-3</v>
      </c>
      <c r="D1314" s="7">
        <f t="shared" si="61"/>
        <v>0.64116518333824335</v>
      </c>
      <c r="E1314" s="8">
        <f t="shared" si="62"/>
        <v>-1.1016712270758715</v>
      </c>
    </row>
    <row r="1315" spans="1:5" x14ac:dyDescent="0.2">
      <c r="A1315" s="1">
        <v>43531</v>
      </c>
      <c r="B1315">
        <v>67752.14</v>
      </c>
      <c r="C1315" s="6">
        <f t="shared" si="60"/>
        <v>-3.5157676134944687E-3</v>
      </c>
      <c r="D1315" s="7">
        <f t="shared" si="61"/>
        <v>-0.32045620834621313</v>
      </c>
      <c r="E1315" s="8">
        <f t="shared" si="62"/>
        <v>-0.75881394258095525</v>
      </c>
    </row>
    <row r="1316" spans="1:5" x14ac:dyDescent="0.2">
      <c r="A1316" s="1">
        <v>43532</v>
      </c>
      <c r="B1316">
        <v>67034.33</v>
      </c>
      <c r="C1316" s="6">
        <f t="shared" si="60"/>
        <v>-1.065116975209808E-2</v>
      </c>
      <c r="D1316" s="7">
        <f t="shared" si="61"/>
        <v>-0.91994382558931798</v>
      </c>
      <c r="E1316" s="8">
        <f t="shared" si="62"/>
        <v>-1.5171529441390421</v>
      </c>
    </row>
    <row r="1317" spans="1:5" x14ac:dyDescent="0.2">
      <c r="A1317" s="1">
        <v>43535</v>
      </c>
      <c r="B1317">
        <v>67708.13</v>
      </c>
      <c r="C1317" s="6">
        <f t="shared" si="60"/>
        <v>1.0001385109730476E-2</v>
      </c>
      <c r="D1317" s="7">
        <f t="shared" si="61"/>
        <v>0.81520027191252764</v>
      </c>
      <c r="E1317" s="8">
        <f t="shared" si="62"/>
        <v>-1.3519693006143818</v>
      </c>
    </row>
    <row r="1318" spans="1:5" x14ac:dyDescent="0.2">
      <c r="A1318" s="1">
        <v>43536</v>
      </c>
      <c r="B1318">
        <v>67702.95</v>
      </c>
      <c r="C1318" s="6">
        <f t="shared" si="60"/>
        <v>-7.6507771779595545E-5</v>
      </c>
      <c r="D1318" s="7">
        <f t="shared" si="61"/>
        <v>-3.1503511982411851E-2</v>
      </c>
      <c r="E1318" s="8">
        <f t="shared" si="62"/>
        <v>-0.63457609439012119</v>
      </c>
    </row>
    <row r="1319" spans="1:5" x14ac:dyDescent="0.2">
      <c r="A1319" s="1">
        <v>43537</v>
      </c>
      <c r="B1319">
        <v>67894.89</v>
      </c>
      <c r="C1319" s="6">
        <f t="shared" si="60"/>
        <v>2.8310204380060018E-3</v>
      </c>
      <c r="D1319" s="7">
        <f t="shared" si="61"/>
        <v>0.21277524409798282</v>
      </c>
      <c r="E1319" s="8">
        <f t="shared" si="62"/>
        <v>-0.68943190631311235</v>
      </c>
    </row>
    <row r="1320" spans="1:5" x14ac:dyDescent="0.2">
      <c r="A1320" s="1">
        <v>43538</v>
      </c>
      <c r="B1320">
        <v>67573.41</v>
      </c>
      <c r="C1320" s="6">
        <f t="shared" si="60"/>
        <v>-4.7462115267608192E-3</v>
      </c>
      <c r="D1320" s="7">
        <f t="shared" si="61"/>
        <v>-0.42383312745839646</v>
      </c>
      <c r="E1320" s="8">
        <f t="shared" si="62"/>
        <v>-0.84886253905344711</v>
      </c>
    </row>
    <row r="1321" spans="1:5" x14ac:dyDescent="0.2">
      <c r="A1321" s="1">
        <v>43539</v>
      </c>
      <c r="B1321">
        <v>67880.94</v>
      </c>
      <c r="C1321" s="6">
        <f t="shared" si="60"/>
        <v>4.5407257632181898E-3</v>
      </c>
      <c r="D1321" s="7">
        <f t="shared" si="61"/>
        <v>0.35641776790952562</v>
      </c>
      <c r="E1321" s="8">
        <f t="shared" si="62"/>
        <v>-0.78765455125115691</v>
      </c>
    </row>
    <row r="1322" spans="1:5" x14ac:dyDescent="0.2">
      <c r="A1322" s="1">
        <v>43542</v>
      </c>
      <c r="B1322">
        <v>68849.509999999995</v>
      </c>
      <c r="C1322" s="6">
        <f t="shared" si="60"/>
        <v>1.4167819991352077E-2</v>
      </c>
      <c r="D1322" s="7">
        <f t="shared" si="61"/>
        <v>1.1652472729173922</v>
      </c>
      <c r="E1322" s="8">
        <f t="shared" si="62"/>
        <v>-1.9307518235137233</v>
      </c>
    </row>
    <row r="1323" spans="1:5" x14ac:dyDescent="0.2">
      <c r="A1323" s="1">
        <v>43543</v>
      </c>
      <c r="B1323">
        <v>69071.149999999994</v>
      </c>
      <c r="C1323" s="6">
        <f t="shared" si="60"/>
        <v>3.214024509369467E-3</v>
      </c>
      <c r="D1323" s="7">
        <f t="shared" si="61"/>
        <v>0.24495369650697704</v>
      </c>
      <c r="E1323" s="8">
        <f t="shared" si="62"/>
        <v>-0.70741444132647679</v>
      </c>
    </row>
    <row r="1324" spans="1:5" x14ac:dyDescent="0.2">
      <c r="A1324" s="1">
        <v>43544</v>
      </c>
      <c r="B1324">
        <v>68120.28</v>
      </c>
      <c r="C1324" s="6">
        <f t="shared" si="60"/>
        <v>-1.3862166558402167E-2</v>
      </c>
      <c r="D1324" s="7">
        <f t="shared" si="61"/>
        <v>-1.1897187852895104</v>
      </c>
      <c r="E1324" s="8">
        <f t="shared" si="62"/>
        <v>-1.9733290546882136</v>
      </c>
    </row>
    <row r="1325" spans="1:5" x14ac:dyDescent="0.2">
      <c r="A1325" s="1">
        <v>43546</v>
      </c>
      <c r="B1325">
        <v>68314.58</v>
      </c>
      <c r="C1325" s="6">
        <f t="shared" si="60"/>
        <v>2.8482476011645521E-3</v>
      </c>
      <c r="D1325" s="7">
        <f t="shared" si="61"/>
        <v>0.21422260064400064</v>
      </c>
      <c r="E1325" s="8">
        <f t="shared" si="62"/>
        <v>-0.6901890498663632</v>
      </c>
    </row>
    <row r="1326" spans="1:5" x14ac:dyDescent="0.2">
      <c r="A1326" s="1">
        <v>43549</v>
      </c>
      <c r="B1326">
        <v>67399.839999999997</v>
      </c>
      <c r="C1326" s="6">
        <f t="shared" si="60"/>
        <v>-1.3480569752424556E-2</v>
      </c>
      <c r="D1326" s="7">
        <f t="shared" si="61"/>
        <v>-1.1576585656243206</v>
      </c>
      <c r="E1326" s="8">
        <f t="shared" si="62"/>
        <v>-1.9175818047385964</v>
      </c>
    </row>
    <row r="1327" spans="1:5" x14ac:dyDescent="0.2">
      <c r="A1327" s="1">
        <v>43550</v>
      </c>
      <c r="B1327">
        <v>67480.649999999994</v>
      </c>
      <c r="C1327" s="6">
        <f t="shared" si="60"/>
        <v>1.1982460868710438E-3</v>
      </c>
      <c r="D1327" s="7">
        <f t="shared" si="61"/>
        <v>7.5596149459161543E-2</v>
      </c>
      <c r="E1327" s="8">
        <f t="shared" si="62"/>
        <v>-0.6404839297165994</v>
      </c>
    </row>
    <row r="1328" spans="1:5" x14ac:dyDescent="0.2">
      <c r="A1328" s="1">
        <v>43551</v>
      </c>
      <c r="B1328">
        <v>68201.919999999998</v>
      </c>
      <c r="C1328" s="6">
        <f t="shared" si="60"/>
        <v>1.063182683073674E-2</v>
      </c>
      <c r="D1328" s="7">
        <f t="shared" si="61"/>
        <v>0.86816743449078848</v>
      </c>
      <c r="E1328" s="8">
        <f t="shared" si="62"/>
        <v>-1.4343739255407491</v>
      </c>
    </row>
    <row r="1329" spans="1:5" x14ac:dyDescent="0.2">
      <c r="A1329" s="1">
        <v>43552</v>
      </c>
      <c r="B1329">
        <v>68284.81</v>
      </c>
      <c r="C1329" s="6">
        <f t="shared" si="60"/>
        <v>1.2146237248223312E-3</v>
      </c>
      <c r="D1329" s="7">
        <f t="shared" si="61"/>
        <v>7.6972132334516205E-2</v>
      </c>
      <c r="E1329" s="8">
        <f t="shared" si="62"/>
        <v>-0.64074623966364064</v>
      </c>
    </row>
    <row r="1330" spans="1:5" x14ac:dyDescent="0.2">
      <c r="A1330" s="1">
        <v>43553</v>
      </c>
      <c r="B1330">
        <v>68915.66</v>
      </c>
      <c r="C1330" s="6">
        <f t="shared" si="60"/>
        <v>9.1960974450732026E-3</v>
      </c>
      <c r="D1330" s="7">
        <f t="shared" si="61"/>
        <v>0.74754326059022969</v>
      </c>
      <c r="E1330" s="8">
        <f t="shared" si="62"/>
        <v>-1.2505907040273021</v>
      </c>
    </row>
    <row r="1331" spans="1:5" x14ac:dyDescent="0.2">
      <c r="A1331" s="1">
        <v>43556</v>
      </c>
      <c r="B1331">
        <v>69480.570000000007</v>
      </c>
      <c r="C1331" s="6">
        <f t="shared" si="60"/>
        <v>8.1637070232013428E-3</v>
      </c>
      <c r="D1331" s="7">
        <f t="shared" si="61"/>
        <v>0.66080599448378374</v>
      </c>
      <c r="E1331" s="8">
        <f t="shared" si="62"/>
        <v>-1.1280934472709976</v>
      </c>
    </row>
    <row r="1332" spans="1:5" x14ac:dyDescent="0.2">
      <c r="A1332" s="1">
        <v>43557</v>
      </c>
      <c r="B1332">
        <v>69610.84</v>
      </c>
      <c r="C1332" s="6">
        <f t="shared" si="60"/>
        <v>1.8731572005782622E-3</v>
      </c>
      <c r="D1332" s="7">
        <f t="shared" si="61"/>
        <v>0.13229945048522124</v>
      </c>
      <c r="E1332" s="8">
        <f t="shared" si="62"/>
        <v>-0.65517100993170996</v>
      </c>
    </row>
    <row r="1333" spans="1:5" x14ac:dyDescent="0.2">
      <c r="A1333" s="1">
        <v>43558</v>
      </c>
      <c r="B1333">
        <v>70321.03</v>
      </c>
      <c r="C1333" s="6">
        <f t="shared" si="60"/>
        <v>1.0150598256671684E-2</v>
      </c>
      <c r="D1333" s="7">
        <f t="shared" si="61"/>
        <v>0.82773655678947722</v>
      </c>
      <c r="E1333" s="8">
        <f t="shared" si="62"/>
        <v>-1.3712475034197764</v>
      </c>
    </row>
    <row r="1334" spans="1:5" x14ac:dyDescent="0.2">
      <c r="A1334" s="1">
        <v>43559</v>
      </c>
      <c r="B1334">
        <v>70367.97</v>
      </c>
      <c r="C1334" s="6">
        <f t="shared" si="60"/>
        <v>6.6728744595177412E-4</v>
      </c>
      <c r="D1334" s="7">
        <f t="shared" si="61"/>
        <v>3.0987152752828491E-2</v>
      </c>
      <c r="E1334" s="8">
        <f t="shared" si="62"/>
        <v>-0.6345356778696688</v>
      </c>
    </row>
    <row r="1335" spans="1:5" x14ac:dyDescent="0.2">
      <c r="A1335" s="1">
        <v>43560</v>
      </c>
      <c r="B1335">
        <v>70278.38</v>
      </c>
      <c r="C1335" s="6">
        <f t="shared" si="60"/>
        <v>-1.2739756434084141E-3</v>
      </c>
      <c r="D1335" s="7">
        <f t="shared" si="61"/>
        <v>-0.13210991750007176</v>
      </c>
      <c r="E1335" s="8">
        <f t="shared" si="62"/>
        <v>-0.65510875530030266</v>
      </c>
    </row>
    <row r="1336" spans="1:5" x14ac:dyDescent="0.2">
      <c r="A1336" s="1">
        <v>43563</v>
      </c>
      <c r="B1336">
        <v>70364.59</v>
      </c>
      <c r="C1336" s="6">
        <f t="shared" si="60"/>
        <v>1.2259412723906705E-3</v>
      </c>
      <c r="D1336" s="7">
        <f t="shared" si="61"/>
        <v>7.7922986889450499E-2</v>
      </c>
      <c r="E1336" s="8">
        <f t="shared" si="62"/>
        <v>-0.64093025349499855</v>
      </c>
    </row>
    <row r="1337" spans="1:5" x14ac:dyDescent="0.2">
      <c r="A1337" s="1">
        <v>43564</v>
      </c>
      <c r="B1337">
        <v>70270.929999999993</v>
      </c>
      <c r="C1337" s="6">
        <f t="shared" si="60"/>
        <v>-1.33195388827606E-3</v>
      </c>
      <c r="D1337" s="7">
        <f t="shared" si="61"/>
        <v>-0.13698101504895416</v>
      </c>
      <c r="E1337" s="8">
        <f t="shared" si="62"/>
        <v>-0.65673655025800004</v>
      </c>
    </row>
    <row r="1338" spans="1:5" x14ac:dyDescent="0.2">
      <c r="A1338" s="1">
        <v>43565</v>
      </c>
      <c r="B1338">
        <v>71536.86</v>
      </c>
      <c r="C1338" s="6">
        <f t="shared" si="60"/>
        <v>1.7854641555579941E-2</v>
      </c>
      <c r="D1338" s="7">
        <f t="shared" si="61"/>
        <v>1.4749991035510042</v>
      </c>
      <c r="E1338" s="8">
        <f t="shared" si="62"/>
        <v>-2.4760037315620598</v>
      </c>
    </row>
    <row r="1339" spans="1:5" x14ac:dyDescent="0.2">
      <c r="A1339" s="1">
        <v>43566</v>
      </c>
      <c r="B1339">
        <v>71540.39</v>
      </c>
      <c r="C1339" s="6">
        <f t="shared" si="60"/>
        <v>4.9343973283213259E-5</v>
      </c>
      <c r="D1339" s="7">
        <f t="shared" si="61"/>
        <v>-2.092995756907156E-2</v>
      </c>
      <c r="E1339" s="8">
        <f t="shared" si="62"/>
        <v>-0.63388158464922484</v>
      </c>
    </row>
    <row r="1340" spans="1:5" x14ac:dyDescent="0.2">
      <c r="A1340" s="1">
        <v>43567</v>
      </c>
      <c r="B1340">
        <v>71972.27</v>
      </c>
      <c r="C1340" s="6">
        <f t="shared" si="60"/>
        <v>6.0187206304571379E-3</v>
      </c>
      <c r="D1340" s="7">
        <f t="shared" si="61"/>
        <v>0.48059291656232639</v>
      </c>
      <c r="E1340" s="8">
        <f t="shared" si="62"/>
        <v>-0.90718423790819058</v>
      </c>
    </row>
    <row r="1341" spans="1:5" x14ac:dyDescent="0.2">
      <c r="A1341" s="1">
        <v>43570</v>
      </c>
      <c r="B1341">
        <v>71390.12</v>
      </c>
      <c r="C1341" s="6">
        <f t="shared" si="60"/>
        <v>-8.1214215214897804E-3</v>
      </c>
      <c r="D1341" s="7">
        <f t="shared" si="61"/>
        <v>-0.70740461482955586</v>
      </c>
      <c r="E1341" s="8">
        <f t="shared" si="62"/>
        <v>-1.1927775749590663</v>
      </c>
    </row>
    <row r="1342" spans="1:5" x14ac:dyDescent="0.2">
      <c r="A1342" s="1">
        <v>43571</v>
      </c>
      <c r="B1342">
        <v>72561.53</v>
      </c>
      <c r="C1342" s="6">
        <f t="shared" si="60"/>
        <v>1.6275407161723095E-2</v>
      </c>
      <c r="D1342" s="7">
        <f t="shared" si="61"/>
        <v>1.3423182194954808</v>
      </c>
      <c r="E1342" s="8">
        <f t="shared" si="62"/>
        <v>-2.2414432326965703</v>
      </c>
    </row>
    <row r="1343" spans="1:5" x14ac:dyDescent="0.2">
      <c r="A1343" s="1">
        <v>43572</v>
      </c>
      <c r="B1343">
        <v>73183.12</v>
      </c>
      <c r="C1343" s="6">
        <f t="shared" si="60"/>
        <v>8.5299016994798416E-3</v>
      </c>
      <c r="D1343" s="7">
        <f t="shared" si="61"/>
        <v>0.69157218952997757</v>
      </c>
      <c r="E1343" s="8">
        <f t="shared" si="62"/>
        <v>-1.1704957278038128</v>
      </c>
    </row>
    <row r="1344" spans="1:5" x14ac:dyDescent="0.2">
      <c r="A1344" s="1">
        <v>43573</v>
      </c>
      <c r="B1344">
        <v>73597.53</v>
      </c>
      <c r="C1344" s="6">
        <f t="shared" si="60"/>
        <v>5.6466721072304079E-3</v>
      </c>
      <c r="D1344" s="7">
        <f t="shared" si="61"/>
        <v>0.4493349049807035</v>
      </c>
      <c r="E1344" s="8">
        <f t="shared" si="62"/>
        <v>-0.87432798335949113</v>
      </c>
    </row>
    <row r="1345" spans="1:5" x14ac:dyDescent="0.2">
      <c r="A1345" s="1">
        <v>43578</v>
      </c>
      <c r="B1345">
        <v>74196.639999999999</v>
      </c>
      <c r="C1345" s="6">
        <f t="shared" si="60"/>
        <v>8.1074007400803033E-3</v>
      </c>
      <c r="D1345" s="7">
        <f t="shared" si="61"/>
        <v>0.65607536839595215</v>
      </c>
      <c r="E1345" s="8">
        <f t="shared" si="62"/>
        <v>-1.1216823164056</v>
      </c>
    </row>
    <row r="1346" spans="1:5" x14ac:dyDescent="0.2">
      <c r="A1346" s="1">
        <v>43579</v>
      </c>
      <c r="B1346">
        <v>74059.13</v>
      </c>
      <c r="C1346" s="6">
        <f t="shared" si="60"/>
        <v>-1.8550379446666469E-3</v>
      </c>
      <c r="D1346" s="7">
        <f t="shared" si="61"/>
        <v>-0.18092842102442433</v>
      </c>
      <c r="E1346" s="8">
        <f t="shared" si="62"/>
        <v>-0.67402134111775769</v>
      </c>
    </row>
    <row r="1347" spans="1:5" x14ac:dyDescent="0.2">
      <c r="A1347" s="1">
        <v>43580</v>
      </c>
      <c r="B1347">
        <v>73465.75</v>
      </c>
      <c r="C1347" s="6">
        <f t="shared" ref="C1347:C1410" si="63">LN(B1347/B1346)</f>
        <v>-8.0445169656605548E-3</v>
      </c>
      <c r="D1347" s="7">
        <f t="shared" ref="D1347:D1410" si="64">(C1347-$G$4)/$G$5</f>
        <v>-0.70094340521114129</v>
      </c>
      <c r="E1347" s="8">
        <f t="shared" ref="E1347:E1410" si="65">LN((PI()*(G$3-2))^(-1/2)*EXP(GAMMALN((G$3+1)/2))*((1+D1347^2/(G$3-2))^(-(G$3+1)/2))/EXP(GAMMALN(G$3/2)))</f>
        <v>-1.1836475075971207</v>
      </c>
    </row>
    <row r="1348" spans="1:5" x14ac:dyDescent="0.2">
      <c r="A1348" s="1">
        <v>43581</v>
      </c>
      <c r="B1348">
        <v>73797.58</v>
      </c>
      <c r="C1348" s="6">
        <f t="shared" si="63"/>
        <v>4.5066285220334108E-3</v>
      </c>
      <c r="D1348" s="7">
        <f t="shared" si="64"/>
        <v>0.35355305566551087</v>
      </c>
      <c r="E1348" s="8">
        <f t="shared" si="65"/>
        <v>-0.78525747813369851</v>
      </c>
    </row>
    <row r="1349" spans="1:5" x14ac:dyDescent="0.2">
      <c r="A1349" s="1">
        <v>43584</v>
      </c>
      <c r="B1349">
        <v>73557.59</v>
      </c>
      <c r="C1349" s="6">
        <f t="shared" si="63"/>
        <v>-3.2573029122978884E-3</v>
      </c>
      <c r="D1349" s="7">
        <f t="shared" si="64"/>
        <v>-0.2987410499217838</v>
      </c>
      <c r="E1349" s="8">
        <f t="shared" si="65"/>
        <v>-0.74273862080008757</v>
      </c>
    </row>
    <row r="1350" spans="1:5" x14ac:dyDescent="0.2">
      <c r="A1350" s="1">
        <v>43585</v>
      </c>
      <c r="B1350">
        <v>73365.45</v>
      </c>
      <c r="C1350" s="6">
        <f t="shared" si="63"/>
        <v>-2.6155204729626639E-3</v>
      </c>
      <c r="D1350" s="7">
        <f t="shared" si="64"/>
        <v>-0.24482108607503214</v>
      </c>
      <c r="E1350" s="8">
        <f t="shared" si="65"/>
        <v>-0.70733542901837598</v>
      </c>
    </row>
    <row r="1351" spans="1:5" x14ac:dyDescent="0.2">
      <c r="A1351" s="1">
        <v>43587</v>
      </c>
      <c r="B1351">
        <v>73884.27</v>
      </c>
      <c r="C1351" s="6">
        <f t="shared" si="63"/>
        <v>7.0468337319221355E-3</v>
      </c>
      <c r="D1351" s="7">
        <f t="shared" si="64"/>
        <v>0.56697081951458905</v>
      </c>
      <c r="E1351" s="8">
        <f t="shared" si="65"/>
        <v>-1.0067800214518425</v>
      </c>
    </row>
    <row r="1352" spans="1:5" x14ac:dyDescent="0.2">
      <c r="A1352" s="1">
        <v>43588</v>
      </c>
      <c r="B1352">
        <v>74505.72</v>
      </c>
      <c r="C1352" s="6">
        <f t="shared" si="63"/>
        <v>8.3759508741559525E-3</v>
      </c>
      <c r="D1352" s="7">
        <f t="shared" si="64"/>
        <v>0.67863786408436388</v>
      </c>
      <c r="E1352" s="8">
        <f t="shared" si="65"/>
        <v>-1.1525224598025541</v>
      </c>
    </row>
    <row r="1353" spans="1:5" x14ac:dyDescent="0.2">
      <c r="A1353" s="1">
        <v>43591</v>
      </c>
      <c r="B1353">
        <v>73246.91</v>
      </c>
      <c r="C1353" s="6">
        <f t="shared" si="63"/>
        <v>-1.7039838254631012E-2</v>
      </c>
      <c r="D1353" s="7">
        <f t="shared" si="64"/>
        <v>-1.4566939040774036</v>
      </c>
      <c r="E1353" s="8">
        <f t="shared" si="65"/>
        <v>-2.4436542603144193</v>
      </c>
    </row>
    <row r="1354" spans="1:5" x14ac:dyDescent="0.2">
      <c r="A1354" s="1">
        <v>43592</v>
      </c>
      <c r="B1354">
        <v>72120.08</v>
      </c>
      <c r="C1354" s="6">
        <f t="shared" si="63"/>
        <v>-1.5503555110210994E-2</v>
      </c>
      <c r="D1354" s="7">
        <f t="shared" si="64"/>
        <v>-1.3276216102151637</v>
      </c>
      <c r="E1354" s="8">
        <f t="shared" si="65"/>
        <v>-2.2154923012962624</v>
      </c>
    </row>
    <row r="1355" spans="1:5" x14ac:dyDescent="0.2">
      <c r="A1355" s="1">
        <v>43594</v>
      </c>
      <c r="B1355">
        <v>70084.289999999994</v>
      </c>
      <c r="C1355" s="6">
        <f t="shared" si="63"/>
        <v>-2.8633847088889112E-2</v>
      </c>
      <c r="D1355" s="7">
        <f t="shared" si="64"/>
        <v>-2.430775615988471</v>
      </c>
      <c r="E1355" s="8">
        <f t="shared" si="65"/>
        <v>-4.0724361411418588</v>
      </c>
    </row>
    <row r="1356" spans="1:5" x14ac:dyDescent="0.2">
      <c r="A1356" s="1">
        <v>43595</v>
      </c>
      <c r="B1356">
        <v>70229.240000000005</v>
      </c>
      <c r="C1356" s="6">
        <f t="shared" si="63"/>
        <v>2.0660880182057943E-3</v>
      </c>
      <c r="D1356" s="7">
        <f t="shared" si="64"/>
        <v>0.14850871716783146</v>
      </c>
      <c r="E1356" s="8">
        <f t="shared" si="65"/>
        <v>-0.66081889989069587</v>
      </c>
    </row>
    <row r="1357" spans="1:5" x14ac:dyDescent="0.2">
      <c r="A1357" s="1">
        <v>43598</v>
      </c>
      <c r="B1357">
        <v>69561.100000000006</v>
      </c>
      <c r="C1357" s="6">
        <f t="shared" si="63"/>
        <v>-9.5592454790848977E-3</v>
      </c>
      <c r="D1357" s="7">
        <f t="shared" si="64"/>
        <v>-0.82820476618899019</v>
      </c>
      <c r="E1357" s="8">
        <f t="shared" si="65"/>
        <v>-1.3719703111621699</v>
      </c>
    </row>
    <row r="1358" spans="1:5" x14ac:dyDescent="0.2">
      <c r="A1358" s="1">
        <v>43599</v>
      </c>
      <c r="B1358">
        <v>69310.94</v>
      </c>
      <c r="C1358" s="6">
        <f t="shared" si="63"/>
        <v>-3.6027449526184275E-3</v>
      </c>
      <c r="D1358" s="7">
        <f t="shared" si="64"/>
        <v>-0.32776369246171549</v>
      </c>
      <c r="E1358" s="8">
        <f t="shared" si="65"/>
        <v>-0.76445251725299246</v>
      </c>
    </row>
    <row r="1359" spans="1:5" x14ac:dyDescent="0.2">
      <c r="A1359" s="1">
        <v>43600</v>
      </c>
      <c r="B1359">
        <v>69004.36</v>
      </c>
      <c r="C1359" s="6">
        <f t="shared" si="63"/>
        <v>-4.4330670877021118E-3</v>
      </c>
      <c r="D1359" s="7">
        <f t="shared" si="64"/>
        <v>-0.39752399869764932</v>
      </c>
      <c r="E1359" s="8">
        <f t="shared" si="65"/>
        <v>-0.8238988296105797</v>
      </c>
    </row>
    <row r="1360" spans="1:5" x14ac:dyDescent="0.2">
      <c r="A1360" s="1">
        <v>43601</v>
      </c>
      <c r="B1360">
        <v>69725.34</v>
      </c>
      <c r="C1360" s="6">
        <f t="shared" si="63"/>
        <v>1.0394118794659292E-2</v>
      </c>
      <c r="D1360" s="7">
        <f t="shared" si="64"/>
        <v>0.84819616708644074</v>
      </c>
      <c r="E1360" s="8">
        <f t="shared" si="65"/>
        <v>-1.4030153421492568</v>
      </c>
    </row>
    <row r="1361" spans="1:5" x14ac:dyDescent="0.2">
      <c r="A1361" s="1">
        <v>43602</v>
      </c>
      <c r="B1361">
        <v>69421.2</v>
      </c>
      <c r="C1361" s="6">
        <f t="shared" si="63"/>
        <v>-4.3715134324731177E-3</v>
      </c>
      <c r="D1361" s="7">
        <f t="shared" si="64"/>
        <v>-0.39235250963662005</v>
      </c>
      <c r="E1361" s="8">
        <f t="shared" si="65"/>
        <v>-0.81915168830979035</v>
      </c>
    </row>
    <row r="1362" spans="1:5" x14ac:dyDescent="0.2">
      <c r="A1362" s="1">
        <v>43605</v>
      </c>
      <c r="B1362">
        <v>68209.59</v>
      </c>
      <c r="C1362" s="6">
        <f t="shared" si="63"/>
        <v>-1.760712556922581E-2</v>
      </c>
      <c r="D1362" s="7">
        <f t="shared" si="64"/>
        <v>-1.5043550889570589</v>
      </c>
      <c r="E1362" s="8">
        <f t="shared" si="65"/>
        <v>-2.5278435416214724</v>
      </c>
    </row>
    <row r="1363" spans="1:5" x14ac:dyDescent="0.2">
      <c r="A1363" s="1">
        <v>43606</v>
      </c>
      <c r="B1363">
        <v>68310.42</v>
      </c>
      <c r="C1363" s="6">
        <f t="shared" si="63"/>
        <v>1.4771463660739159E-3</v>
      </c>
      <c r="D1363" s="7">
        <f t="shared" si="64"/>
        <v>9.9028222463597257E-2</v>
      </c>
      <c r="E1363" s="8">
        <f t="shared" si="65"/>
        <v>-0.64559170039937053</v>
      </c>
    </row>
    <row r="1364" spans="1:5" x14ac:dyDescent="0.2">
      <c r="A1364" s="1">
        <v>43607</v>
      </c>
      <c r="B1364">
        <v>68317.14</v>
      </c>
      <c r="C1364" s="6">
        <f t="shared" si="63"/>
        <v>9.8369611598451076E-5</v>
      </c>
      <c r="D1364" s="7">
        <f t="shared" si="64"/>
        <v>-1.6811021799716896E-2</v>
      </c>
      <c r="E1364" s="8">
        <f t="shared" si="65"/>
        <v>-0.63368681364704649</v>
      </c>
    </row>
    <row r="1365" spans="1:5" x14ac:dyDescent="0.2">
      <c r="A1365" s="1">
        <v>43608</v>
      </c>
      <c r="B1365">
        <v>67157.149999999994</v>
      </c>
      <c r="C1365" s="6">
        <f t="shared" si="63"/>
        <v>-1.7125291442271196E-2</v>
      </c>
      <c r="D1365" s="7">
        <f t="shared" si="64"/>
        <v>-1.4638733351520854</v>
      </c>
      <c r="E1365" s="8">
        <f t="shared" si="65"/>
        <v>-2.4563437615036512</v>
      </c>
    </row>
    <row r="1366" spans="1:5" x14ac:dyDescent="0.2">
      <c r="A1366" s="1">
        <v>43609</v>
      </c>
      <c r="B1366">
        <v>67222.87</v>
      </c>
      <c r="C1366" s="6">
        <f t="shared" si="63"/>
        <v>9.781216767141786E-4</v>
      </c>
      <c r="D1366" s="7">
        <f t="shared" si="64"/>
        <v>5.7102187159819046E-2</v>
      </c>
      <c r="E1366" s="8">
        <f t="shared" si="65"/>
        <v>-0.6374154540104835</v>
      </c>
    </row>
    <row r="1367" spans="1:5" x14ac:dyDescent="0.2">
      <c r="A1367" s="1">
        <v>43612</v>
      </c>
      <c r="B1367">
        <v>67173.13</v>
      </c>
      <c r="C1367" s="6">
        <f t="shared" si="63"/>
        <v>-7.4020063500432126E-4</v>
      </c>
      <c r="D1367" s="7">
        <f t="shared" si="64"/>
        <v>-8.7264300992925634E-2</v>
      </c>
      <c r="E1367" s="8">
        <f t="shared" si="65"/>
        <v>-0.64285733266046796</v>
      </c>
    </row>
    <row r="1368" spans="1:5" x14ac:dyDescent="0.2">
      <c r="A1368" s="1">
        <v>43613</v>
      </c>
      <c r="B1368">
        <v>66738.73</v>
      </c>
      <c r="C1368" s="6">
        <f t="shared" si="63"/>
        <v>-6.487872302676877E-3</v>
      </c>
      <c r="D1368" s="7">
        <f t="shared" si="64"/>
        <v>-0.57016041894361391</v>
      </c>
      <c r="E1368" s="8">
        <f t="shared" si="65"/>
        <v>-1.0106904812053064</v>
      </c>
    </row>
    <row r="1369" spans="1:5" x14ac:dyDescent="0.2">
      <c r="A1369" s="1">
        <v>43614</v>
      </c>
      <c r="B1369">
        <v>67961.72</v>
      </c>
      <c r="C1369" s="6">
        <f t="shared" si="63"/>
        <v>1.8159161414613302E-2</v>
      </c>
      <c r="D1369" s="7">
        <f t="shared" si="64"/>
        <v>1.5005836299938042</v>
      </c>
      <c r="E1369" s="8">
        <f t="shared" si="65"/>
        <v>-2.5211867317246637</v>
      </c>
    </row>
    <row r="1370" spans="1:5" x14ac:dyDescent="0.2">
      <c r="A1370" s="1">
        <v>43615</v>
      </c>
      <c r="B1370">
        <v>68645.11</v>
      </c>
      <c r="C1370" s="6">
        <f t="shared" si="63"/>
        <v>1.0005293306897542E-2</v>
      </c>
      <c r="D1370" s="7">
        <f t="shared" si="64"/>
        <v>0.81552862282560723</v>
      </c>
      <c r="E1370" s="8">
        <f t="shared" si="65"/>
        <v>-1.3524723740955986</v>
      </c>
    </row>
    <row r="1371" spans="1:5" x14ac:dyDescent="0.2">
      <c r="A1371" s="1">
        <v>43616</v>
      </c>
      <c r="B1371">
        <v>68885.78</v>
      </c>
      <c r="C1371" s="6">
        <f t="shared" si="63"/>
        <v>3.4998718566558954E-3</v>
      </c>
      <c r="D1371" s="7">
        <f t="shared" si="64"/>
        <v>0.26896943406336632</v>
      </c>
      <c r="E1371" s="8">
        <f t="shared" si="65"/>
        <v>-0.72238385526693405</v>
      </c>
    </row>
    <row r="1372" spans="1:5" x14ac:dyDescent="0.2">
      <c r="A1372" s="1">
        <v>43619</v>
      </c>
      <c r="B1372">
        <v>69995.41</v>
      </c>
      <c r="C1372" s="6">
        <f t="shared" si="63"/>
        <v>1.5979897818573147E-2</v>
      </c>
      <c r="D1372" s="7">
        <f t="shared" si="64"/>
        <v>1.3174907201398935</v>
      </c>
      <c r="E1372" s="8">
        <f t="shared" si="65"/>
        <v>-2.1976134144037975</v>
      </c>
    </row>
    <row r="1373" spans="1:5" x14ac:dyDescent="0.2">
      <c r="A1373" s="1">
        <v>43620</v>
      </c>
      <c r="B1373">
        <v>70650.53</v>
      </c>
      <c r="C1373" s="6">
        <f t="shared" si="63"/>
        <v>9.3159424007959006E-3</v>
      </c>
      <c r="D1373" s="7">
        <f t="shared" si="64"/>
        <v>0.75761214886719319</v>
      </c>
      <c r="E1373" s="8">
        <f t="shared" si="65"/>
        <v>-1.2653774203101649</v>
      </c>
    </row>
    <row r="1374" spans="1:5" x14ac:dyDescent="0.2">
      <c r="A1374" s="1">
        <v>43621</v>
      </c>
      <c r="B1374">
        <v>71400.13</v>
      </c>
      <c r="C1374" s="6">
        <f t="shared" si="63"/>
        <v>1.0554079200489041E-2</v>
      </c>
      <c r="D1374" s="7">
        <f t="shared" si="64"/>
        <v>0.86163539317088433</v>
      </c>
      <c r="E1374" s="8">
        <f t="shared" si="65"/>
        <v>-1.4240805737869791</v>
      </c>
    </row>
    <row r="1375" spans="1:5" x14ac:dyDescent="0.2">
      <c r="A1375" s="1">
        <v>43622</v>
      </c>
      <c r="B1375">
        <v>71475.41</v>
      </c>
      <c r="C1375" s="6">
        <f t="shared" si="63"/>
        <v>1.0537843911742988E-3</v>
      </c>
      <c r="D1375" s="7">
        <f t="shared" si="64"/>
        <v>6.3459062290996945E-2</v>
      </c>
      <c r="E1375" s="8">
        <f t="shared" si="65"/>
        <v>-0.63837410881244283</v>
      </c>
    </row>
    <row r="1376" spans="1:5" x14ac:dyDescent="0.2">
      <c r="A1376" s="1">
        <v>43623</v>
      </c>
      <c r="B1376">
        <v>72807.09</v>
      </c>
      <c r="C1376" s="6">
        <f t="shared" si="63"/>
        <v>1.8459866107074605E-2</v>
      </c>
      <c r="D1376" s="7">
        <f t="shared" si="64"/>
        <v>1.5258476215777075</v>
      </c>
      <c r="E1376" s="8">
        <f t="shared" si="65"/>
        <v>-2.5657574466555464</v>
      </c>
    </row>
    <row r="1377" spans="1:5" x14ac:dyDescent="0.2">
      <c r="A1377" s="1">
        <v>43626</v>
      </c>
      <c r="B1377">
        <v>73460.539999999994</v>
      </c>
      <c r="C1377" s="6">
        <f t="shared" si="63"/>
        <v>8.935050733368248E-3</v>
      </c>
      <c r="D1377" s="7">
        <f t="shared" si="64"/>
        <v>0.72561117208992043</v>
      </c>
      <c r="E1377" s="8">
        <f t="shared" si="65"/>
        <v>-1.218771466374752</v>
      </c>
    </row>
    <row r="1378" spans="1:5" x14ac:dyDescent="0.2">
      <c r="A1378" s="1">
        <v>43627</v>
      </c>
      <c r="B1378">
        <v>73586.399999999994</v>
      </c>
      <c r="C1378" s="6">
        <f t="shared" si="63"/>
        <v>1.7118347479354223E-3</v>
      </c>
      <c r="D1378" s="7">
        <f t="shared" si="64"/>
        <v>0.11874579073849868</v>
      </c>
      <c r="E1378" s="8">
        <f t="shared" si="65"/>
        <v>-0.65094061227043865</v>
      </c>
    </row>
    <row r="1379" spans="1:5" x14ac:dyDescent="0.2">
      <c r="A1379" s="1">
        <v>43628</v>
      </c>
      <c r="B1379">
        <v>73187.06</v>
      </c>
      <c r="C1379" s="6">
        <f t="shared" si="63"/>
        <v>-5.4415966674545126E-3</v>
      </c>
      <c r="D1379" s="7">
        <f t="shared" si="64"/>
        <v>-0.48225657339220973</v>
      </c>
      <c r="E1379" s="8">
        <f t="shared" si="65"/>
        <v>-0.90898235368779967</v>
      </c>
    </row>
    <row r="1380" spans="1:5" x14ac:dyDescent="0.2">
      <c r="A1380" s="1">
        <v>43629</v>
      </c>
      <c r="B1380">
        <v>72843.039999999994</v>
      </c>
      <c r="C1380" s="6">
        <f t="shared" si="63"/>
        <v>-4.7116400854883347E-3</v>
      </c>
      <c r="D1380" s="7">
        <f t="shared" si="64"/>
        <v>-0.42092857484166651</v>
      </c>
      <c r="E1380" s="8">
        <f t="shared" si="65"/>
        <v>-0.84604052322967493</v>
      </c>
    </row>
    <row r="1381" spans="1:5" x14ac:dyDescent="0.2">
      <c r="A1381" s="1">
        <v>43630</v>
      </c>
      <c r="B1381">
        <v>72316.77</v>
      </c>
      <c r="C1381" s="6">
        <f t="shared" si="63"/>
        <v>-7.2509368228848136E-3</v>
      </c>
      <c r="D1381" s="7">
        <f t="shared" si="64"/>
        <v>-0.63427001250770298</v>
      </c>
      <c r="E1381" s="8">
        <f t="shared" si="65"/>
        <v>-1.0925193781975988</v>
      </c>
    </row>
    <row r="1382" spans="1:5" x14ac:dyDescent="0.2">
      <c r="A1382" s="1">
        <v>43634</v>
      </c>
      <c r="B1382">
        <v>73178.84</v>
      </c>
      <c r="C1382" s="6">
        <f t="shared" si="63"/>
        <v>1.1850255664030857E-2</v>
      </c>
      <c r="D1382" s="7">
        <f t="shared" si="64"/>
        <v>0.97053489519773772</v>
      </c>
      <c r="E1382" s="8">
        <f t="shared" si="65"/>
        <v>-1.5998785515172773</v>
      </c>
    </row>
    <row r="1383" spans="1:5" x14ac:dyDescent="0.2">
      <c r="A1383" s="1">
        <v>43635</v>
      </c>
      <c r="B1383">
        <v>72870.44</v>
      </c>
      <c r="C1383" s="6">
        <f t="shared" si="63"/>
        <v>-4.2232383258367341E-3</v>
      </c>
      <c r="D1383" s="7">
        <f t="shared" si="64"/>
        <v>-0.37989503511069123</v>
      </c>
      <c r="E1383" s="8">
        <f t="shared" si="65"/>
        <v>-0.80793583165459726</v>
      </c>
    </row>
    <row r="1384" spans="1:5" x14ac:dyDescent="0.2">
      <c r="A1384" s="1">
        <v>43636</v>
      </c>
      <c r="B1384">
        <v>73201.59</v>
      </c>
      <c r="C1384" s="6">
        <f t="shared" si="63"/>
        <v>4.5340722287452269E-3</v>
      </c>
      <c r="D1384" s="7">
        <f t="shared" si="64"/>
        <v>0.35585876486387219</v>
      </c>
      <c r="E1384" s="8">
        <f t="shared" si="65"/>
        <v>-0.78718546267350142</v>
      </c>
    </row>
    <row r="1385" spans="1:5" x14ac:dyDescent="0.2">
      <c r="A1385" s="1">
        <v>43637</v>
      </c>
      <c r="B1385">
        <v>72935.47</v>
      </c>
      <c r="C1385" s="6">
        <f t="shared" si="63"/>
        <v>-3.6420644313671356E-3</v>
      </c>
      <c r="D1385" s="7">
        <f t="shared" si="64"/>
        <v>-0.33106715597623532</v>
      </c>
      <c r="E1385" s="8">
        <f t="shared" si="65"/>
        <v>-0.76703898455552733</v>
      </c>
    </row>
    <row r="1386" spans="1:5" x14ac:dyDescent="0.2">
      <c r="A1386" s="1">
        <v>43640</v>
      </c>
      <c r="B1386">
        <v>72709.73</v>
      </c>
      <c r="C1386" s="6">
        <f t="shared" si="63"/>
        <v>-3.0998643383272533E-3</v>
      </c>
      <c r="D1386" s="7">
        <f t="shared" si="64"/>
        <v>-0.28551369794659731</v>
      </c>
      <c r="E1386" s="8">
        <f t="shared" si="65"/>
        <v>-0.73345216701711058</v>
      </c>
    </row>
    <row r="1387" spans="1:5" x14ac:dyDescent="0.2">
      <c r="A1387" s="1">
        <v>43641</v>
      </c>
      <c r="B1387">
        <v>71696.23</v>
      </c>
      <c r="C1387" s="6">
        <f t="shared" si="63"/>
        <v>-1.4037047245212883E-2</v>
      </c>
      <c r="D1387" s="7">
        <f t="shared" si="64"/>
        <v>-1.2044115530132524</v>
      </c>
      <c r="E1387" s="8">
        <f t="shared" si="65"/>
        <v>-1.998965147530398</v>
      </c>
    </row>
    <row r="1388" spans="1:5" x14ac:dyDescent="0.2">
      <c r="A1388" s="1">
        <v>43642</v>
      </c>
      <c r="B1388">
        <v>71950.23</v>
      </c>
      <c r="C1388" s="6">
        <f t="shared" si="63"/>
        <v>3.5364639646879065E-3</v>
      </c>
      <c r="D1388" s="7">
        <f t="shared" si="64"/>
        <v>0.27204375492544258</v>
      </c>
      <c r="E1388" s="8">
        <f t="shared" si="65"/>
        <v>-0.72439429501279695</v>
      </c>
    </row>
    <row r="1389" spans="1:5" x14ac:dyDescent="0.2">
      <c r="A1389" s="1">
        <v>43643</v>
      </c>
      <c r="B1389">
        <v>71406.36</v>
      </c>
      <c r="C1389" s="6">
        <f t="shared" si="63"/>
        <v>-7.5876889838252734E-3</v>
      </c>
      <c r="D1389" s="7">
        <f t="shared" si="64"/>
        <v>-0.66256256654210954</v>
      </c>
      <c r="E1389" s="8">
        <f t="shared" si="65"/>
        <v>-1.1304815372201464</v>
      </c>
    </row>
    <row r="1390" spans="1:5" x14ac:dyDescent="0.2">
      <c r="A1390" s="1">
        <v>43644</v>
      </c>
      <c r="B1390">
        <v>71742.320000000007</v>
      </c>
      <c r="C1390" s="6">
        <f t="shared" si="63"/>
        <v>4.6938695744014464E-3</v>
      </c>
      <c r="D1390" s="7">
        <f t="shared" si="64"/>
        <v>0.36928429129229112</v>
      </c>
      <c r="E1390" s="8">
        <f t="shared" si="65"/>
        <v>-0.79862982987462794</v>
      </c>
    </row>
    <row r="1391" spans="1:5" x14ac:dyDescent="0.2">
      <c r="A1391" s="1">
        <v>43647</v>
      </c>
      <c r="B1391">
        <v>72590.789999999994</v>
      </c>
      <c r="C1391" s="6">
        <f t="shared" si="63"/>
        <v>1.1757243696076764E-2</v>
      </c>
      <c r="D1391" s="7">
        <f t="shared" si="64"/>
        <v>0.96272040598454767</v>
      </c>
      <c r="E1391" s="8">
        <f t="shared" si="65"/>
        <v>-1.5869922833493748</v>
      </c>
    </row>
    <row r="1392" spans="1:5" x14ac:dyDescent="0.2">
      <c r="A1392" s="1">
        <v>43648</v>
      </c>
      <c r="B1392">
        <v>71978.09</v>
      </c>
      <c r="C1392" s="6">
        <f t="shared" si="63"/>
        <v>-8.4762871291016832E-3</v>
      </c>
      <c r="D1392" s="7">
        <f t="shared" si="64"/>
        <v>-0.73721898736475522</v>
      </c>
      <c r="E1392" s="8">
        <f t="shared" si="65"/>
        <v>-1.2355447114731704</v>
      </c>
    </row>
    <row r="1393" spans="1:5" x14ac:dyDescent="0.2">
      <c r="A1393" s="1">
        <v>43649</v>
      </c>
      <c r="B1393">
        <v>72044.22</v>
      </c>
      <c r="C1393" s="6">
        <f t="shared" si="63"/>
        <v>9.1833000939172814E-4</v>
      </c>
      <c r="D1393" s="7">
        <f t="shared" si="64"/>
        <v>5.2078733193545043E-2</v>
      </c>
      <c r="E1393" s="8">
        <f t="shared" si="65"/>
        <v>-0.63672917118989725</v>
      </c>
    </row>
    <row r="1394" spans="1:5" x14ac:dyDescent="0.2">
      <c r="A1394" s="1">
        <v>43650</v>
      </c>
      <c r="B1394">
        <v>71909.16</v>
      </c>
      <c r="C1394" s="6">
        <f t="shared" si="63"/>
        <v>-1.8764413816363258E-3</v>
      </c>
      <c r="D1394" s="7">
        <f t="shared" si="64"/>
        <v>-0.18272665119849504</v>
      </c>
      <c r="E1394" s="8">
        <f t="shared" si="65"/>
        <v>-0.67482744176342968</v>
      </c>
    </row>
    <row r="1395" spans="1:5" x14ac:dyDescent="0.2">
      <c r="A1395" s="1">
        <v>43651</v>
      </c>
      <c r="B1395">
        <v>72144.62</v>
      </c>
      <c r="C1395" s="6">
        <f t="shared" si="63"/>
        <v>3.2690597871411278E-3</v>
      </c>
      <c r="D1395" s="7">
        <f t="shared" si="64"/>
        <v>0.24957753786794931</v>
      </c>
      <c r="E1395" s="8">
        <f t="shared" si="65"/>
        <v>-0.71019459311265098</v>
      </c>
    </row>
    <row r="1396" spans="1:5" x14ac:dyDescent="0.2">
      <c r="A1396" s="1">
        <v>43654</v>
      </c>
      <c r="B1396">
        <v>71911.740000000005</v>
      </c>
      <c r="C1396" s="6">
        <f t="shared" si="63"/>
        <v>-3.2331818305955141E-3</v>
      </c>
      <c r="D1396" s="7">
        <f t="shared" si="64"/>
        <v>-0.29671449423309315</v>
      </c>
      <c r="E1396" s="8">
        <f t="shared" si="65"/>
        <v>-0.74129084647812837</v>
      </c>
    </row>
    <row r="1397" spans="1:5" x14ac:dyDescent="0.2">
      <c r="A1397" s="1">
        <v>43655</v>
      </c>
      <c r="B1397">
        <v>70979.81</v>
      </c>
      <c r="C1397" s="6">
        <f t="shared" si="63"/>
        <v>-1.3044063330071297E-2</v>
      </c>
      <c r="D1397" s="7">
        <f t="shared" si="64"/>
        <v>-1.1209850621602147</v>
      </c>
      <c r="E1397" s="8">
        <f t="shared" si="65"/>
        <v>-1.8541851588832416</v>
      </c>
    </row>
    <row r="1398" spans="1:5" x14ac:dyDescent="0.2">
      <c r="A1398" s="1">
        <v>43656</v>
      </c>
      <c r="B1398">
        <v>71919.77</v>
      </c>
      <c r="C1398" s="6">
        <f t="shared" si="63"/>
        <v>1.3155721756077385E-2</v>
      </c>
      <c r="D1398" s="7">
        <f t="shared" si="64"/>
        <v>1.080214874224932</v>
      </c>
      <c r="E1398" s="8">
        <f t="shared" si="65"/>
        <v>-1.7842594601281321</v>
      </c>
    </row>
    <row r="1399" spans="1:5" x14ac:dyDescent="0.2">
      <c r="A1399" s="1">
        <v>43657</v>
      </c>
      <c r="B1399">
        <v>71898.17</v>
      </c>
      <c r="C1399" s="6">
        <f t="shared" si="63"/>
        <v>-3.0037977407290818E-4</v>
      </c>
      <c r="D1399" s="7">
        <f t="shared" si="64"/>
        <v>-5.0312331809982958E-2</v>
      </c>
      <c r="E1399" s="8">
        <f t="shared" si="65"/>
        <v>-0.63650281894244098</v>
      </c>
    </row>
    <row r="1400" spans="1:5" x14ac:dyDescent="0.2">
      <c r="A1400" s="1">
        <v>43658</v>
      </c>
      <c r="B1400">
        <v>71575.78</v>
      </c>
      <c r="C1400" s="6">
        <f t="shared" si="63"/>
        <v>-4.494063801805958E-3</v>
      </c>
      <c r="D1400" s="7">
        <f t="shared" si="64"/>
        <v>-0.40264869581877466</v>
      </c>
      <c r="E1400" s="8">
        <f t="shared" si="65"/>
        <v>-0.82865527400918826</v>
      </c>
    </row>
    <row r="1401" spans="1:5" x14ac:dyDescent="0.2">
      <c r="A1401" s="1">
        <v>43661</v>
      </c>
      <c r="B1401">
        <v>72167.850000000006</v>
      </c>
      <c r="C1401" s="6">
        <f t="shared" si="63"/>
        <v>8.2379072840420842E-3</v>
      </c>
      <c r="D1401" s="7">
        <f t="shared" si="64"/>
        <v>0.66704000017907283</v>
      </c>
      <c r="E1401" s="8">
        <f t="shared" si="65"/>
        <v>-1.1365869612680675</v>
      </c>
    </row>
    <row r="1402" spans="1:5" x14ac:dyDescent="0.2">
      <c r="A1402" s="1">
        <v>43662</v>
      </c>
      <c r="B1402">
        <v>72801.17</v>
      </c>
      <c r="C1402" s="6">
        <f t="shared" si="63"/>
        <v>8.7373706334285105E-3</v>
      </c>
      <c r="D1402" s="7">
        <f t="shared" si="64"/>
        <v>0.70900288992343785</v>
      </c>
      <c r="E1402" s="8">
        <f t="shared" si="65"/>
        <v>-1.1950437769301452</v>
      </c>
    </row>
    <row r="1403" spans="1:5" x14ac:dyDescent="0.2">
      <c r="A1403" s="1">
        <v>43663</v>
      </c>
      <c r="B1403">
        <v>72315.63</v>
      </c>
      <c r="C1403" s="6">
        <f t="shared" si="63"/>
        <v>-6.6917381288196728E-3</v>
      </c>
      <c r="D1403" s="7">
        <f t="shared" si="64"/>
        <v>-0.5872884007977045</v>
      </c>
      <c r="E1403" s="8">
        <f t="shared" si="65"/>
        <v>-1.0319570432749006</v>
      </c>
    </row>
    <row r="1404" spans="1:5" x14ac:dyDescent="0.2">
      <c r="A1404" s="1">
        <v>43664</v>
      </c>
      <c r="B1404">
        <v>72603.429999999993</v>
      </c>
      <c r="C1404" s="6">
        <f t="shared" si="63"/>
        <v>3.9718775205472524E-3</v>
      </c>
      <c r="D1404" s="7">
        <f t="shared" si="64"/>
        <v>0.30862544016856036</v>
      </c>
      <c r="E1404" s="8">
        <f t="shared" si="65"/>
        <v>-0.74992883792226084</v>
      </c>
    </row>
    <row r="1405" spans="1:5" x14ac:dyDescent="0.2">
      <c r="A1405" s="1">
        <v>43665</v>
      </c>
      <c r="B1405">
        <v>72984.740000000005</v>
      </c>
      <c r="C1405" s="6">
        <f t="shared" si="63"/>
        <v>5.2382123065700965E-3</v>
      </c>
      <c r="D1405" s="7">
        <f t="shared" si="64"/>
        <v>0.41501776519222849</v>
      </c>
      <c r="E1405" s="8">
        <f t="shared" si="65"/>
        <v>-0.8403479045182467</v>
      </c>
    </row>
    <row r="1406" spans="1:5" x14ac:dyDescent="0.2">
      <c r="A1406" s="1">
        <v>43668</v>
      </c>
      <c r="B1406">
        <v>72795.45</v>
      </c>
      <c r="C1406" s="6">
        <f t="shared" si="63"/>
        <v>-2.5969249509316841E-3</v>
      </c>
      <c r="D1406" s="7">
        <f t="shared" si="64"/>
        <v>-0.24325876555304887</v>
      </c>
      <c r="E1406" s="8">
        <f t="shared" si="65"/>
        <v>-0.70640759721772683</v>
      </c>
    </row>
    <row r="1407" spans="1:5" x14ac:dyDescent="0.2">
      <c r="A1407" s="1">
        <v>43669</v>
      </c>
      <c r="B1407">
        <v>73199.360000000001</v>
      </c>
      <c r="C1407" s="6">
        <f t="shared" si="63"/>
        <v>5.533224510211405E-3</v>
      </c>
      <c r="D1407" s="7">
        <f t="shared" si="64"/>
        <v>0.43980349689776854</v>
      </c>
      <c r="E1407" s="8">
        <f t="shared" si="65"/>
        <v>-0.86466667399256603</v>
      </c>
    </row>
    <row r="1408" spans="1:5" x14ac:dyDescent="0.2">
      <c r="A1408" s="1">
        <v>43670</v>
      </c>
      <c r="B1408">
        <v>72924</v>
      </c>
      <c r="C1408" s="6">
        <f t="shared" si="63"/>
        <v>-3.7688748184268083E-3</v>
      </c>
      <c r="D1408" s="7">
        <f t="shared" si="64"/>
        <v>-0.34172125161140526</v>
      </c>
      <c r="E1408" s="8">
        <f t="shared" si="65"/>
        <v>-0.77553849516667628</v>
      </c>
    </row>
    <row r="1409" spans="1:5" x14ac:dyDescent="0.2">
      <c r="A1409" s="1">
        <v>43671</v>
      </c>
      <c r="B1409">
        <v>73123.59</v>
      </c>
      <c r="C1409" s="6">
        <f t="shared" si="63"/>
        <v>2.7332203736188175E-3</v>
      </c>
      <c r="D1409" s="7">
        <f t="shared" si="64"/>
        <v>0.20455847839552879</v>
      </c>
      <c r="E1409" s="8">
        <f t="shared" si="65"/>
        <v>-0.68522664389846399</v>
      </c>
    </row>
    <row r="1410" spans="1:5" x14ac:dyDescent="0.2">
      <c r="A1410" s="1">
        <v>43672</v>
      </c>
      <c r="B1410">
        <v>73524.39</v>
      </c>
      <c r="C1410" s="6">
        <f t="shared" si="63"/>
        <v>5.4661645930154032E-3</v>
      </c>
      <c r="D1410" s="7">
        <f t="shared" si="64"/>
        <v>0.43416939398507437</v>
      </c>
      <c r="E1410" s="8">
        <f t="shared" si="65"/>
        <v>-0.85903596671545279</v>
      </c>
    </row>
    <row r="1411" spans="1:5" x14ac:dyDescent="0.2">
      <c r="A1411" s="1">
        <v>43675</v>
      </c>
      <c r="B1411">
        <v>74167.37</v>
      </c>
      <c r="C1411" s="6">
        <f t="shared" ref="C1411:C1474" si="66">LN(B1411/B1410)</f>
        <v>8.7071081314350901E-3</v>
      </c>
      <c r="D1411" s="7">
        <f t="shared" ref="D1411:D1474" si="67">(C1411-$G$4)/$G$5</f>
        <v>0.70646035695060094</v>
      </c>
      <c r="E1411" s="8">
        <f t="shared" ref="E1411:E1474" si="68">LN((PI()*(G$3-2))^(-1/2)*EXP(GAMMALN((G$3+1)/2))*((1+D1411^2/(G$3-2))^(-(G$3+1)/2))/EXP(GAMMALN(G$3/2)))</f>
        <v>-1.1914401452789924</v>
      </c>
    </row>
    <row r="1412" spans="1:5" x14ac:dyDescent="0.2">
      <c r="A1412" s="1">
        <v>43676</v>
      </c>
      <c r="B1412">
        <v>73163.88</v>
      </c>
      <c r="C1412" s="6">
        <f t="shared" si="66"/>
        <v>-1.3622439477847349E-2</v>
      </c>
      <c r="D1412" s="7">
        <f t="shared" si="67"/>
        <v>-1.1695778859373993</v>
      </c>
      <c r="E1412" s="8">
        <f t="shared" si="68"/>
        <v>-1.9382748168854664</v>
      </c>
    </row>
    <row r="1413" spans="1:5" x14ac:dyDescent="0.2">
      <c r="A1413" s="1">
        <v>43677</v>
      </c>
      <c r="B1413">
        <v>72776.47</v>
      </c>
      <c r="C1413" s="6">
        <f t="shared" si="66"/>
        <v>-5.3091678895096006E-3</v>
      </c>
      <c r="D1413" s="7">
        <f t="shared" si="67"/>
        <v>-0.4711304432873481</v>
      </c>
      <c r="E1413" s="8">
        <f t="shared" si="68"/>
        <v>-0.89705098946114703</v>
      </c>
    </row>
    <row r="1414" spans="1:5" x14ac:dyDescent="0.2">
      <c r="A1414" s="1">
        <v>43678</v>
      </c>
      <c r="B1414">
        <v>74743.56</v>
      </c>
      <c r="C1414" s="6">
        <f t="shared" si="66"/>
        <v>2.667036604125532E-2</v>
      </c>
      <c r="D1414" s="7">
        <f t="shared" si="67"/>
        <v>2.2156606056683161</v>
      </c>
      <c r="E1414" s="8">
        <f t="shared" si="68"/>
        <v>-3.7348373414424509</v>
      </c>
    </row>
    <row r="1415" spans="1:5" x14ac:dyDescent="0.2">
      <c r="A1415" s="1">
        <v>43679</v>
      </c>
      <c r="B1415">
        <v>73193.06</v>
      </c>
      <c r="C1415" s="6">
        <f t="shared" si="66"/>
        <v>-2.0962446983722717E-2</v>
      </c>
      <c r="D1415" s="7">
        <f t="shared" si="67"/>
        <v>-1.7862556182880041</v>
      </c>
      <c r="E1415" s="8">
        <f t="shared" si="68"/>
        <v>-3.0200904972296843</v>
      </c>
    </row>
    <row r="1416" spans="1:5" x14ac:dyDescent="0.2">
      <c r="A1416" s="1">
        <v>43682</v>
      </c>
      <c r="B1416">
        <v>70641.88</v>
      </c>
      <c r="C1416" s="6">
        <f t="shared" si="66"/>
        <v>-3.5477437971365565E-2</v>
      </c>
      <c r="D1416" s="7">
        <f t="shared" si="67"/>
        <v>-3.0057464321848699</v>
      </c>
      <c r="E1416" s="8">
        <f t="shared" si="68"/>
        <v>-4.9044609816101286</v>
      </c>
    </row>
    <row r="1417" spans="1:5" x14ac:dyDescent="0.2">
      <c r="A1417" s="1">
        <v>43683</v>
      </c>
      <c r="B1417">
        <v>70809.16</v>
      </c>
      <c r="C1417" s="6">
        <f t="shared" si="66"/>
        <v>2.3652011039693994E-3</v>
      </c>
      <c r="D1417" s="7">
        <f t="shared" si="67"/>
        <v>0.17363898839676986</v>
      </c>
      <c r="E1417" s="8">
        <f t="shared" si="68"/>
        <v>-0.67083278249696054</v>
      </c>
    </row>
    <row r="1418" spans="1:5" x14ac:dyDescent="0.2">
      <c r="A1418" s="1">
        <v>43684</v>
      </c>
      <c r="B1418">
        <v>71288.91</v>
      </c>
      <c r="C1418" s="6">
        <f t="shared" si="66"/>
        <v>6.7524044886376729E-3</v>
      </c>
      <c r="D1418" s="7">
        <f t="shared" si="67"/>
        <v>0.54223406577952415</v>
      </c>
      <c r="E1418" s="8">
        <f t="shared" si="68"/>
        <v>-0.97699729196806995</v>
      </c>
    </row>
    <row r="1419" spans="1:5" x14ac:dyDescent="0.2">
      <c r="A1419" s="1">
        <v>43685</v>
      </c>
      <c r="B1419">
        <v>72038.84</v>
      </c>
      <c r="C1419" s="6">
        <f t="shared" si="66"/>
        <v>1.0464642661945477E-2</v>
      </c>
      <c r="D1419" s="7">
        <f t="shared" si="67"/>
        <v>0.85412129707027629</v>
      </c>
      <c r="E1419" s="8">
        <f t="shared" si="68"/>
        <v>-1.4122837365521044</v>
      </c>
    </row>
    <row r="1420" spans="1:5" x14ac:dyDescent="0.2">
      <c r="A1420" s="1">
        <v>43689</v>
      </c>
      <c r="B1420">
        <v>71535.72</v>
      </c>
      <c r="C1420" s="6">
        <f t="shared" si="66"/>
        <v>-7.0085126418594941E-3</v>
      </c>
      <c r="D1420" s="7">
        <f t="shared" si="67"/>
        <v>-0.61390251368675763</v>
      </c>
      <c r="E1420" s="8">
        <f t="shared" si="68"/>
        <v>-1.065873472671476</v>
      </c>
    </row>
    <row r="1421" spans="1:5" x14ac:dyDescent="0.2">
      <c r="A1421" s="1">
        <v>43690</v>
      </c>
      <c r="B1421">
        <v>71757.070000000007</v>
      </c>
      <c r="C1421" s="6">
        <f t="shared" si="66"/>
        <v>3.0894809998951336E-3</v>
      </c>
      <c r="D1421" s="7">
        <f t="shared" si="67"/>
        <v>0.23449005475454829</v>
      </c>
      <c r="E1421" s="8">
        <f t="shared" si="68"/>
        <v>-0.70130409524214377</v>
      </c>
    </row>
    <row r="1422" spans="1:5" x14ac:dyDescent="0.2">
      <c r="A1422" s="1">
        <v>43691</v>
      </c>
      <c r="B1422">
        <v>69735.289999999994</v>
      </c>
      <c r="C1422" s="6">
        <f t="shared" si="66"/>
        <v>-2.8579883968259445E-2</v>
      </c>
      <c r="D1422" s="7">
        <f t="shared" si="67"/>
        <v>-2.42624185293253</v>
      </c>
      <c r="E1422" s="8">
        <f t="shared" si="68"/>
        <v>-4.0654698276329295</v>
      </c>
    </row>
    <row r="1423" spans="1:5" x14ac:dyDescent="0.2">
      <c r="A1423" s="1">
        <v>43692</v>
      </c>
      <c r="B1423">
        <v>69454.25</v>
      </c>
      <c r="C1423" s="6">
        <f t="shared" si="66"/>
        <v>-4.0382399700261973E-3</v>
      </c>
      <c r="D1423" s="7">
        <f t="shared" si="67"/>
        <v>-0.36435222177453147</v>
      </c>
      <c r="E1423" s="8">
        <f t="shared" si="68"/>
        <v>-0.79438245052206735</v>
      </c>
    </row>
    <row r="1424" spans="1:5" x14ac:dyDescent="0.2">
      <c r="A1424" s="1">
        <v>43693</v>
      </c>
      <c r="B1424">
        <v>69614.259999999995</v>
      </c>
      <c r="C1424" s="6">
        <f t="shared" si="66"/>
        <v>2.3011689793677485E-3</v>
      </c>
      <c r="D1424" s="7">
        <f t="shared" si="67"/>
        <v>0.16825926836714733</v>
      </c>
      <c r="E1424" s="8">
        <f t="shared" si="68"/>
        <v>-0.66856117391386227</v>
      </c>
    </row>
    <row r="1425" spans="1:5" x14ac:dyDescent="0.2">
      <c r="A1425" s="1">
        <v>43696</v>
      </c>
      <c r="B1425">
        <v>70231.25</v>
      </c>
      <c r="C1425" s="6">
        <f t="shared" si="66"/>
        <v>8.8239372623073169E-3</v>
      </c>
      <c r="D1425" s="7">
        <f t="shared" si="67"/>
        <v>0.71627586782591102</v>
      </c>
      <c r="E1425" s="8">
        <f t="shared" si="68"/>
        <v>-1.2053945529302046</v>
      </c>
    </row>
    <row r="1426" spans="1:5" x14ac:dyDescent="0.2">
      <c r="A1426" s="1">
        <v>43697</v>
      </c>
      <c r="B1426">
        <v>70134.5</v>
      </c>
      <c r="C1426" s="6">
        <f t="shared" si="66"/>
        <v>-1.3785416360015267E-3</v>
      </c>
      <c r="D1426" s="7">
        <f t="shared" si="67"/>
        <v>-0.14089512911486837</v>
      </c>
      <c r="E1426" s="8">
        <f t="shared" si="68"/>
        <v>-0.65808644367549474</v>
      </c>
    </row>
    <row r="1427" spans="1:5" x14ac:dyDescent="0.2">
      <c r="A1427" s="1">
        <v>43698</v>
      </c>
      <c r="B1427">
        <v>70678.92</v>
      </c>
      <c r="C1427" s="6">
        <f t="shared" si="66"/>
        <v>7.7325401608557918E-3</v>
      </c>
      <c r="D1427" s="7">
        <f t="shared" si="67"/>
        <v>0.62458109924721283</v>
      </c>
      <c r="E1427" s="8">
        <f t="shared" si="68"/>
        <v>-1.0797708498389296</v>
      </c>
    </row>
    <row r="1428" spans="1:5" x14ac:dyDescent="0.2">
      <c r="A1428" s="1">
        <v>43699</v>
      </c>
      <c r="B1428">
        <v>70046.42</v>
      </c>
      <c r="C1428" s="6">
        <f t="shared" si="66"/>
        <v>-8.9892020744931529E-3</v>
      </c>
      <c r="D1428" s="7">
        <f t="shared" si="67"/>
        <v>-0.78031202577916536</v>
      </c>
      <c r="E1428" s="8">
        <f t="shared" si="68"/>
        <v>-1.2991095116081561</v>
      </c>
    </row>
    <row r="1429" spans="1:5" x14ac:dyDescent="0.2">
      <c r="A1429" s="1">
        <v>43700</v>
      </c>
      <c r="B1429">
        <v>69723.45</v>
      </c>
      <c r="C1429" s="6">
        <f t="shared" si="66"/>
        <v>-4.6214620480105727E-3</v>
      </c>
      <c r="D1429" s="7">
        <f t="shared" si="67"/>
        <v>-0.4133521810007747</v>
      </c>
      <c r="E1429" s="8">
        <f t="shared" si="68"/>
        <v>-0.83875602014905037</v>
      </c>
    </row>
    <row r="1430" spans="1:5" x14ac:dyDescent="0.2">
      <c r="A1430" s="1">
        <v>43703</v>
      </c>
      <c r="B1430">
        <v>69239.490000000005</v>
      </c>
      <c r="C1430" s="6">
        <f t="shared" si="66"/>
        <v>-6.9653384801196356E-3</v>
      </c>
      <c r="D1430" s="7">
        <f t="shared" si="67"/>
        <v>-0.61027519530369567</v>
      </c>
      <c r="E1430" s="8">
        <f t="shared" si="68"/>
        <v>-1.0611899123547821</v>
      </c>
    </row>
    <row r="1431" spans="1:5" x14ac:dyDescent="0.2">
      <c r="A1431" s="1">
        <v>43704</v>
      </c>
      <c r="B1431">
        <v>69438.070000000007</v>
      </c>
      <c r="C1431" s="6">
        <f t="shared" si="66"/>
        <v>2.8639115907324636E-3</v>
      </c>
      <c r="D1431" s="7">
        <f t="shared" si="67"/>
        <v>0.21553862566966595</v>
      </c>
      <c r="E1431" s="8">
        <f t="shared" si="68"/>
        <v>-0.69088174518398859</v>
      </c>
    </row>
    <row r="1432" spans="1:5" x14ac:dyDescent="0.2">
      <c r="A1432" s="1">
        <v>43705</v>
      </c>
      <c r="B1432">
        <v>69467.38</v>
      </c>
      <c r="C1432" s="6">
        <f t="shared" si="66"/>
        <v>4.2201368535214564E-4</v>
      </c>
      <c r="D1432" s="7">
        <f t="shared" si="67"/>
        <v>1.0380243785690408E-2</v>
      </c>
      <c r="E1432" s="8">
        <f t="shared" si="68"/>
        <v>-0.63346770724730728</v>
      </c>
    </row>
    <row r="1433" spans="1:5" x14ac:dyDescent="0.2">
      <c r="A1433" s="1">
        <v>43706</v>
      </c>
      <c r="B1433">
        <v>69875.8</v>
      </c>
      <c r="C1433" s="6">
        <f t="shared" si="66"/>
        <v>5.8620905534330905E-3</v>
      </c>
      <c r="D1433" s="7">
        <f t="shared" si="67"/>
        <v>0.46743349122934497</v>
      </c>
      <c r="E1433" s="8">
        <f t="shared" si="68"/>
        <v>-0.89313570321993974</v>
      </c>
    </row>
    <row r="1434" spans="1:5" x14ac:dyDescent="0.2">
      <c r="A1434" s="1">
        <v>43707</v>
      </c>
      <c r="B1434">
        <v>70645.45</v>
      </c>
      <c r="C1434" s="6">
        <f t="shared" si="66"/>
        <v>1.0954324649216349E-2</v>
      </c>
      <c r="D1434" s="7">
        <f t="shared" si="67"/>
        <v>0.8952623963459132</v>
      </c>
      <c r="E1434" s="8">
        <f t="shared" si="68"/>
        <v>-1.4774375549406289</v>
      </c>
    </row>
    <row r="1435" spans="1:5" x14ac:dyDescent="0.2">
      <c r="A1435" s="1">
        <v>43710</v>
      </c>
      <c r="B1435">
        <v>70338.960000000006</v>
      </c>
      <c r="C1435" s="6">
        <f t="shared" si="66"/>
        <v>-4.3478634669127337E-3</v>
      </c>
      <c r="D1435" s="7">
        <f t="shared" si="67"/>
        <v>-0.39036553522000356</v>
      </c>
      <c r="E1435" s="8">
        <f t="shared" si="68"/>
        <v>-0.81734190944950091</v>
      </c>
    </row>
    <row r="1436" spans="1:5" x14ac:dyDescent="0.2">
      <c r="A1436" s="1">
        <v>43711</v>
      </c>
      <c r="B1436">
        <v>70380.58</v>
      </c>
      <c r="C1436" s="6">
        <f t="shared" si="66"/>
        <v>5.9153122890544924E-4</v>
      </c>
      <c r="D1436" s="7">
        <f t="shared" si="67"/>
        <v>2.4622421912677071E-2</v>
      </c>
      <c r="E1436" s="8">
        <f t="shared" si="68"/>
        <v>-0.6340923106918529</v>
      </c>
    </row>
    <row r="1437" spans="1:5" x14ac:dyDescent="0.2">
      <c r="A1437" s="1">
        <v>43712</v>
      </c>
      <c r="B1437">
        <v>71225.14</v>
      </c>
      <c r="C1437" s="6">
        <f t="shared" si="66"/>
        <v>1.1928473146972913E-2</v>
      </c>
      <c r="D1437" s="7">
        <f t="shared" si="67"/>
        <v>0.97710641163995782</v>
      </c>
      <c r="E1437" s="8">
        <f t="shared" si="68"/>
        <v>-1.6107439477504453</v>
      </c>
    </row>
    <row r="1438" spans="1:5" x14ac:dyDescent="0.2">
      <c r="A1438" s="1">
        <v>43713</v>
      </c>
      <c r="B1438">
        <v>71690.31</v>
      </c>
      <c r="C1438" s="6">
        <f t="shared" si="66"/>
        <v>6.509746044950796E-3</v>
      </c>
      <c r="D1438" s="7">
        <f t="shared" si="67"/>
        <v>0.52184688515760136</v>
      </c>
      <c r="E1438" s="8">
        <f t="shared" si="68"/>
        <v>-0.9531957623260463</v>
      </c>
    </row>
    <row r="1439" spans="1:5" x14ac:dyDescent="0.2">
      <c r="A1439" s="1">
        <v>43714</v>
      </c>
      <c r="B1439">
        <v>71843.86</v>
      </c>
      <c r="C1439" s="6">
        <f t="shared" si="66"/>
        <v>2.1395610338047501E-3</v>
      </c>
      <c r="D1439" s="7">
        <f t="shared" si="67"/>
        <v>0.15468162266040167</v>
      </c>
      <c r="E1439" s="8">
        <f t="shared" si="68"/>
        <v>-0.66313749580741388</v>
      </c>
    </row>
    <row r="1440" spans="1:5" x14ac:dyDescent="0.2">
      <c r="A1440" s="1">
        <v>43717</v>
      </c>
      <c r="B1440">
        <v>71709.850000000006</v>
      </c>
      <c r="C1440" s="6">
        <f t="shared" si="66"/>
        <v>-1.8670369289371077E-3</v>
      </c>
      <c r="D1440" s="7">
        <f t="shared" si="67"/>
        <v>-0.18193652713392017</v>
      </c>
      <c r="E1440" s="8">
        <f t="shared" si="68"/>
        <v>-0.67447229954202659</v>
      </c>
    </row>
    <row r="1441" spans="1:5" x14ac:dyDescent="0.2">
      <c r="A1441" s="1">
        <v>43718</v>
      </c>
      <c r="B1441">
        <v>71457.740000000005</v>
      </c>
      <c r="C1441" s="6">
        <f t="shared" si="66"/>
        <v>-3.5218901231983497E-3</v>
      </c>
      <c r="D1441" s="7">
        <f t="shared" si="67"/>
        <v>-0.32097059683933954</v>
      </c>
      <c r="E1441" s="8">
        <f t="shared" si="68"/>
        <v>-0.75920710673337599</v>
      </c>
    </row>
    <row r="1442" spans="1:5" x14ac:dyDescent="0.2">
      <c r="A1442" s="1">
        <v>43719</v>
      </c>
      <c r="B1442">
        <v>73188.160000000003</v>
      </c>
      <c r="C1442" s="6">
        <f t="shared" si="66"/>
        <v>2.3927433240039282E-2</v>
      </c>
      <c r="D1442" s="7">
        <f t="shared" si="67"/>
        <v>1.9852104898489495</v>
      </c>
      <c r="E1442" s="8">
        <f t="shared" si="68"/>
        <v>-3.3575778657320403</v>
      </c>
    </row>
    <row r="1443" spans="1:5" x14ac:dyDescent="0.2">
      <c r="A1443" s="1">
        <v>43720</v>
      </c>
      <c r="B1443">
        <v>73660.44</v>
      </c>
      <c r="C1443" s="6">
        <f t="shared" si="66"/>
        <v>6.432225139670655E-3</v>
      </c>
      <c r="D1443" s="7">
        <f t="shared" si="67"/>
        <v>0.51533389235212301</v>
      </c>
      <c r="E1443" s="8">
        <f t="shared" si="68"/>
        <v>-0.9457376433610688</v>
      </c>
    </row>
    <row r="1444" spans="1:5" x14ac:dyDescent="0.2">
      <c r="A1444" s="1">
        <v>43721</v>
      </c>
      <c r="B1444">
        <v>73705.23</v>
      </c>
      <c r="C1444" s="6">
        <f t="shared" si="66"/>
        <v>6.0787565216789024E-4</v>
      </c>
      <c r="D1444" s="7">
        <f t="shared" si="67"/>
        <v>2.5995614224264298E-2</v>
      </c>
      <c r="E1444" s="8">
        <f t="shared" si="68"/>
        <v>-0.63417938731484769</v>
      </c>
    </row>
    <row r="1445" spans="1:5" x14ac:dyDescent="0.2">
      <c r="A1445" s="1">
        <v>43724</v>
      </c>
      <c r="B1445">
        <v>74442.67</v>
      </c>
      <c r="C1445" s="6">
        <f t="shared" si="66"/>
        <v>9.9555389013154718E-3</v>
      </c>
      <c r="D1445" s="7">
        <f t="shared" si="67"/>
        <v>0.81134845897914754</v>
      </c>
      <c r="E1445" s="8">
        <f t="shared" si="68"/>
        <v>-1.346075435948116</v>
      </c>
    </row>
    <row r="1446" spans="1:5" x14ac:dyDescent="0.2">
      <c r="A1446" s="1">
        <v>43725</v>
      </c>
      <c r="B1446">
        <v>73038.5</v>
      </c>
      <c r="C1446" s="6">
        <f t="shared" si="66"/>
        <v>-1.9042599560210337E-2</v>
      </c>
      <c r="D1446" s="7">
        <f t="shared" si="67"/>
        <v>-1.6249578056300358</v>
      </c>
      <c r="E1446" s="8">
        <f t="shared" si="68"/>
        <v>-2.7399543792101357</v>
      </c>
    </row>
    <row r="1447" spans="1:5" x14ac:dyDescent="0.2">
      <c r="A1447" s="1">
        <v>43726</v>
      </c>
      <c r="B1447">
        <v>71226.09</v>
      </c>
      <c r="C1447" s="6">
        <f t="shared" si="66"/>
        <v>-2.5127515501432437E-2</v>
      </c>
      <c r="D1447" s="7">
        <f t="shared" si="67"/>
        <v>-2.1361878229254168</v>
      </c>
      <c r="E1447" s="8">
        <f t="shared" si="68"/>
        <v>-3.6065087458688661</v>
      </c>
    </row>
    <row r="1448" spans="1:5" x14ac:dyDescent="0.2">
      <c r="A1448" s="1">
        <v>43727</v>
      </c>
      <c r="B1448">
        <v>71111.67</v>
      </c>
      <c r="C1448" s="6">
        <f t="shared" si="66"/>
        <v>-1.6077255205630167E-3</v>
      </c>
      <c r="D1448" s="7">
        <f t="shared" si="67"/>
        <v>-0.16015023179828547</v>
      </c>
      <c r="E1448" s="8">
        <f t="shared" si="68"/>
        <v>-0.66526852056342833</v>
      </c>
    </row>
    <row r="1449" spans="1:5" x14ac:dyDescent="0.2">
      <c r="A1449" s="1">
        <v>43728</v>
      </c>
      <c r="B1449">
        <v>72061.509999999995</v>
      </c>
      <c r="C1449" s="6">
        <f t="shared" si="66"/>
        <v>1.3268601498708003E-2</v>
      </c>
      <c r="D1449" s="7">
        <f t="shared" si="67"/>
        <v>1.0896985734797417</v>
      </c>
      <c r="E1449" s="8">
        <f t="shared" si="68"/>
        <v>-1.8004679250598918</v>
      </c>
    </row>
    <row r="1450" spans="1:5" x14ac:dyDescent="0.2">
      <c r="A1450" s="1">
        <v>43731</v>
      </c>
      <c r="B1450">
        <v>70633.320000000007</v>
      </c>
      <c r="C1450" s="6">
        <f t="shared" si="66"/>
        <v>-2.0018072022482427E-2</v>
      </c>
      <c r="D1450" s="7">
        <f t="shared" si="67"/>
        <v>-1.7069130550658023</v>
      </c>
      <c r="E1450" s="8">
        <f t="shared" si="68"/>
        <v>-2.8829097970796047</v>
      </c>
    </row>
    <row r="1451" spans="1:5" x14ac:dyDescent="0.2">
      <c r="A1451" s="1">
        <v>43733</v>
      </c>
      <c r="B1451">
        <v>69657.649999999994</v>
      </c>
      <c r="C1451" s="6">
        <f t="shared" si="66"/>
        <v>-1.3909458754704824E-2</v>
      </c>
      <c r="D1451" s="7">
        <f t="shared" si="67"/>
        <v>-1.1936920842746215</v>
      </c>
      <c r="E1451" s="8">
        <f t="shared" si="68"/>
        <v>-1.98025661147469</v>
      </c>
    </row>
    <row r="1452" spans="1:5" x14ac:dyDescent="0.2">
      <c r="A1452" s="1">
        <v>43734</v>
      </c>
      <c r="B1452">
        <v>70005.7</v>
      </c>
      <c r="C1452" s="6">
        <f t="shared" si="66"/>
        <v>4.9841382225270315E-3</v>
      </c>
      <c r="D1452" s="7">
        <f t="shared" si="67"/>
        <v>0.39367148865622809</v>
      </c>
      <c r="E1452" s="8">
        <f t="shared" si="68"/>
        <v>-0.82035738821635174</v>
      </c>
    </row>
    <row r="1453" spans="1:5" x14ac:dyDescent="0.2">
      <c r="A1453" s="1">
        <v>43735</v>
      </c>
      <c r="B1453">
        <v>69990.83</v>
      </c>
      <c r="C1453" s="6">
        <f t="shared" si="66"/>
        <v>-2.1243383755183249E-4</v>
      </c>
      <c r="D1453" s="7">
        <f t="shared" si="67"/>
        <v>-4.2923470060202064E-2</v>
      </c>
      <c r="E1453" s="8">
        <f t="shared" si="68"/>
        <v>-0.63564045949315962</v>
      </c>
    </row>
    <row r="1454" spans="1:5" x14ac:dyDescent="0.2">
      <c r="A1454" s="1">
        <v>43738</v>
      </c>
      <c r="B1454">
        <v>69641.179999999993</v>
      </c>
      <c r="C1454" s="6">
        <f t="shared" si="66"/>
        <v>-5.0081744267804467E-3</v>
      </c>
      <c r="D1454" s="7">
        <f t="shared" si="67"/>
        <v>-0.44584219039392903</v>
      </c>
      <c r="E1454" s="8">
        <f t="shared" si="68"/>
        <v>-0.87076797507020209</v>
      </c>
    </row>
    <row r="1455" spans="1:5" x14ac:dyDescent="0.2">
      <c r="A1455" s="1">
        <v>43739</v>
      </c>
      <c r="B1455">
        <v>69565.08</v>
      </c>
      <c r="C1455" s="6">
        <f t="shared" si="66"/>
        <v>-1.0933417445565189E-3</v>
      </c>
      <c r="D1455" s="7">
        <f t="shared" si="67"/>
        <v>-0.116933788178614</v>
      </c>
      <c r="E1455" s="8">
        <f t="shared" si="68"/>
        <v>-0.65040915575423364</v>
      </c>
    </row>
    <row r="1456" spans="1:5" x14ac:dyDescent="0.2">
      <c r="A1456" s="1">
        <v>43740</v>
      </c>
      <c r="B1456">
        <v>68020.73</v>
      </c>
      <c r="C1456" s="6">
        <f t="shared" si="66"/>
        <v>-2.2450205637705712E-2</v>
      </c>
      <c r="D1456" s="7">
        <f t="shared" si="67"/>
        <v>-1.9112510807979302</v>
      </c>
      <c r="E1456" s="8">
        <f t="shared" si="68"/>
        <v>-3.2333004357185988</v>
      </c>
    </row>
    <row r="1457" spans="1:5" x14ac:dyDescent="0.2">
      <c r="A1457" s="1">
        <v>43741</v>
      </c>
      <c r="B1457">
        <v>67618.820000000007</v>
      </c>
      <c r="C1457" s="6">
        <f t="shared" si="66"/>
        <v>-5.9261649900321303E-3</v>
      </c>
      <c r="D1457" s="7">
        <f t="shared" si="67"/>
        <v>-0.52296804325064061</v>
      </c>
      <c r="E1457" s="8">
        <f t="shared" si="68"/>
        <v>-0.95448680147982201</v>
      </c>
    </row>
    <row r="1458" spans="1:5" x14ac:dyDescent="0.2">
      <c r="A1458" s="1">
        <v>43742</v>
      </c>
      <c r="B1458">
        <v>68000.960000000006</v>
      </c>
      <c r="C1458" s="6">
        <f t="shared" si="66"/>
        <v>5.6354760544778783E-3</v>
      </c>
      <c r="D1458" s="7">
        <f t="shared" si="67"/>
        <v>0.4483942579286152</v>
      </c>
      <c r="E1458" s="8">
        <f t="shared" si="68"/>
        <v>-0.87336698003369684</v>
      </c>
    </row>
    <row r="1459" spans="1:5" x14ac:dyDescent="0.2">
      <c r="A1459" s="1">
        <v>43745</v>
      </c>
      <c r="B1459">
        <v>68880.95</v>
      </c>
      <c r="C1459" s="6">
        <f t="shared" si="66"/>
        <v>1.2857829403059221E-2</v>
      </c>
      <c r="D1459" s="7">
        <f t="shared" si="67"/>
        <v>1.0551871640220771</v>
      </c>
      <c r="E1459" s="8">
        <f t="shared" si="68"/>
        <v>-1.7416668818656815</v>
      </c>
    </row>
    <row r="1460" spans="1:5" x14ac:dyDescent="0.2">
      <c r="A1460" s="1">
        <v>43746</v>
      </c>
      <c r="B1460">
        <v>68630.539999999994</v>
      </c>
      <c r="C1460" s="6">
        <f t="shared" si="66"/>
        <v>-3.6420269578052709E-3</v>
      </c>
      <c r="D1460" s="7">
        <f t="shared" si="67"/>
        <v>-0.33106400759918869</v>
      </c>
      <c r="E1460" s="8">
        <f t="shared" si="68"/>
        <v>-0.76703650844789784</v>
      </c>
    </row>
    <row r="1461" spans="1:5" x14ac:dyDescent="0.2">
      <c r="A1461" s="1">
        <v>43747</v>
      </c>
      <c r="B1461">
        <v>68176.33</v>
      </c>
      <c r="C1461" s="6">
        <f t="shared" si="66"/>
        <v>-6.640188009876557E-3</v>
      </c>
      <c r="D1461" s="7">
        <f t="shared" si="67"/>
        <v>-0.58295736838025836</v>
      </c>
      <c r="E1461" s="8">
        <f t="shared" si="68"/>
        <v>-1.0265372802907002</v>
      </c>
    </row>
    <row r="1462" spans="1:5" x14ac:dyDescent="0.2">
      <c r="A1462" s="1">
        <v>43748</v>
      </c>
      <c r="B1462">
        <v>68811.97</v>
      </c>
      <c r="C1462" s="6">
        <f t="shared" si="66"/>
        <v>9.2802752053374443E-3</v>
      </c>
      <c r="D1462" s="7">
        <f t="shared" si="67"/>
        <v>0.75461553541727222</v>
      </c>
      <c r="E1462" s="8">
        <f t="shared" si="68"/>
        <v>-1.260965224986762</v>
      </c>
    </row>
    <row r="1463" spans="1:5" x14ac:dyDescent="0.2">
      <c r="A1463" s="1">
        <v>43749</v>
      </c>
      <c r="B1463">
        <v>68820.25</v>
      </c>
      <c r="C1463" s="6">
        <f t="shared" si="66"/>
        <v>1.2032066343167769E-4</v>
      </c>
      <c r="D1463" s="7">
        <f t="shared" si="67"/>
        <v>-1.4966783240507087E-2</v>
      </c>
      <c r="E1463" s="8">
        <f t="shared" si="68"/>
        <v>-0.6336133807870924</v>
      </c>
    </row>
    <row r="1464" spans="1:5" x14ac:dyDescent="0.2">
      <c r="A1464" s="1">
        <v>43752</v>
      </c>
      <c r="B1464">
        <v>68813.87</v>
      </c>
      <c r="C1464" s="6">
        <f t="shared" si="66"/>
        <v>-9.2709569466836882E-5</v>
      </c>
      <c r="D1464" s="7">
        <f t="shared" si="67"/>
        <v>-3.2864721470245974E-2</v>
      </c>
      <c r="E1464" s="8">
        <f t="shared" si="68"/>
        <v>-0.63468583701056958</v>
      </c>
    </row>
    <row r="1465" spans="1:5" x14ac:dyDescent="0.2">
      <c r="A1465" s="1">
        <v>43753</v>
      </c>
      <c r="B1465">
        <v>69253.14</v>
      </c>
      <c r="C1465" s="6">
        <f t="shared" si="66"/>
        <v>6.3631635415833691E-3</v>
      </c>
      <c r="D1465" s="7">
        <f t="shared" si="67"/>
        <v>0.50953161630991384</v>
      </c>
      <c r="E1465" s="8">
        <f t="shared" si="68"/>
        <v>-0.93915377305821324</v>
      </c>
    </row>
    <row r="1466" spans="1:5" x14ac:dyDescent="0.2">
      <c r="A1466" s="1">
        <v>43754</v>
      </c>
      <c r="B1466">
        <v>70079.839999999997</v>
      </c>
      <c r="C1466" s="6">
        <f t="shared" si="66"/>
        <v>1.1866676520731048E-2</v>
      </c>
      <c r="D1466" s="7">
        <f t="shared" si="67"/>
        <v>0.97191450913750854</v>
      </c>
      <c r="E1466" s="8">
        <f t="shared" si="68"/>
        <v>-1.6021574536515941</v>
      </c>
    </row>
    <row r="1467" spans="1:5" x14ac:dyDescent="0.2">
      <c r="A1467" s="1">
        <v>43755</v>
      </c>
      <c r="B1467">
        <v>70293.440000000002</v>
      </c>
      <c r="C1467" s="6">
        <f t="shared" si="66"/>
        <v>3.0433165750573415E-3</v>
      </c>
      <c r="D1467" s="7">
        <f t="shared" si="67"/>
        <v>0.23061150656485616</v>
      </c>
      <c r="E1467" s="8">
        <f t="shared" si="68"/>
        <v>-0.69910327040598352</v>
      </c>
    </row>
    <row r="1468" spans="1:5" x14ac:dyDescent="0.2">
      <c r="A1468" s="1">
        <v>43756</v>
      </c>
      <c r="B1468">
        <v>69810.929999999993</v>
      </c>
      <c r="C1468" s="6">
        <f t="shared" si="66"/>
        <v>-6.8878923283326185E-3</v>
      </c>
      <c r="D1468" s="7">
        <f t="shared" si="67"/>
        <v>-0.60376848298425068</v>
      </c>
      <c r="E1468" s="8">
        <f t="shared" si="68"/>
        <v>-1.0528362666895397</v>
      </c>
    </row>
    <row r="1469" spans="1:5" x14ac:dyDescent="0.2">
      <c r="A1469" s="1">
        <v>43759</v>
      </c>
      <c r="B1469">
        <v>69896.179999999993</v>
      </c>
      <c r="C1469" s="6">
        <f t="shared" si="66"/>
        <v>1.2204104799097431E-3</v>
      </c>
      <c r="D1469" s="7">
        <f t="shared" si="67"/>
        <v>7.7458312083258554E-2</v>
      </c>
      <c r="E1469" s="8">
        <f t="shared" si="68"/>
        <v>-0.64084004688627483</v>
      </c>
    </row>
    <row r="1470" spans="1:5" x14ac:dyDescent="0.2">
      <c r="A1470" s="1">
        <v>43760</v>
      </c>
      <c r="B1470">
        <v>69970.75</v>
      </c>
      <c r="C1470" s="6">
        <f t="shared" si="66"/>
        <v>1.0662993327368885E-3</v>
      </c>
      <c r="D1470" s="7">
        <f t="shared" si="67"/>
        <v>6.451051704457049E-2</v>
      </c>
      <c r="E1470" s="8">
        <f t="shared" si="68"/>
        <v>-0.63854238013845077</v>
      </c>
    </row>
    <row r="1471" spans="1:5" x14ac:dyDescent="0.2">
      <c r="A1471" s="1">
        <v>43761</v>
      </c>
      <c r="B1471">
        <v>68553.72</v>
      </c>
      <c r="C1471" s="6">
        <f t="shared" si="66"/>
        <v>-2.0459626085528534E-2</v>
      </c>
      <c r="D1471" s="7">
        <f t="shared" si="67"/>
        <v>-1.7440106408777385</v>
      </c>
      <c r="E1471" s="8">
        <f t="shared" si="68"/>
        <v>-2.9472128492143042</v>
      </c>
    </row>
    <row r="1472" spans="1:5" x14ac:dyDescent="0.2">
      <c r="A1472" s="1">
        <v>43762</v>
      </c>
      <c r="B1472">
        <v>68533.94</v>
      </c>
      <c r="C1472" s="6">
        <f t="shared" si="66"/>
        <v>-2.8857448055159818E-4</v>
      </c>
      <c r="D1472" s="7">
        <f t="shared" si="67"/>
        <v>-4.9320498813541565E-2</v>
      </c>
      <c r="E1472" s="8">
        <f t="shared" si="68"/>
        <v>-0.63637913741770014</v>
      </c>
    </row>
    <row r="1473" spans="1:5" x14ac:dyDescent="0.2">
      <c r="A1473" s="1">
        <v>43763</v>
      </c>
      <c r="B1473">
        <v>67543.63</v>
      </c>
      <c r="C1473" s="6">
        <f t="shared" si="66"/>
        <v>-1.4555337572298394E-2</v>
      </c>
      <c r="D1473" s="7">
        <f t="shared" si="67"/>
        <v>-1.2479562092483454</v>
      </c>
      <c r="E1473" s="8">
        <f t="shared" si="68"/>
        <v>-2.0752154074534492</v>
      </c>
    </row>
    <row r="1474" spans="1:5" x14ac:dyDescent="0.2">
      <c r="A1474" s="1">
        <v>43766</v>
      </c>
      <c r="B1474">
        <v>68208.490000000005</v>
      </c>
      <c r="C1474" s="6">
        <f t="shared" si="66"/>
        <v>9.7952844635966138E-3</v>
      </c>
      <c r="D1474" s="7">
        <f t="shared" si="67"/>
        <v>0.79788452952505895</v>
      </c>
      <c r="E1474" s="8">
        <f t="shared" si="68"/>
        <v>-1.3255849105739104</v>
      </c>
    </row>
    <row r="1475" spans="1:5" x14ac:dyDescent="0.2">
      <c r="A1475" s="1">
        <v>43767</v>
      </c>
      <c r="B1475">
        <v>68175.48</v>
      </c>
      <c r="C1475" s="6">
        <f t="shared" ref="C1475:C1538" si="69">LN(B1475/B1474)</f>
        <v>-4.8407449415949601E-4</v>
      </c>
      <c r="D1475" s="7">
        <f t="shared" ref="D1475:D1538" si="70">(C1475-$G$4)/$G$5</f>
        <v>-6.5745618947237211E-2</v>
      </c>
      <c r="E1475" s="8">
        <f t="shared" ref="E1475:E1538" si="71">LN((PI()*(G$3-2))^(-1/2)*EXP(GAMMALN((G$3+1)/2))*((1+D1475^2/(G$3-2))^(-(G$3+1)/2))/EXP(GAMMALN(G$3/2)))</f>
        <v>-0.63874355866528465</v>
      </c>
    </row>
    <row r="1476" spans="1:5" x14ac:dyDescent="0.2">
      <c r="A1476" s="1">
        <v>43768</v>
      </c>
      <c r="B1476">
        <v>68802.44</v>
      </c>
      <c r="C1476" s="6">
        <f t="shared" si="69"/>
        <v>9.154240015767777E-3</v>
      </c>
      <c r="D1476" s="7">
        <f t="shared" si="70"/>
        <v>0.74402656873869777</v>
      </c>
      <c r="E1476" s="8">
        <f t="shared" si="71"/>
        <v>-1.2454523868494198</v>
      </c>
    </row>
    <row r="1477" spans="1:5" x14ac:dyDescent="0.2">
      <c r="A1477" s="1">
        <v>43769</v>
      </c>
      <c r="B1477">
        <v>69772.98</v>
      </c>
      <c r="C1477" s="6">
        <f t="shared" si="69"/>
        <v>1.4007619379554114E-2</v>
      </c>
      <c r="D1477" s="7">
        <f t="shared" si="70"/>
        <v>1.1517878656993932</v>
      </c>
      <c r="E1477" s="8">
        <f t="shared" si="71"/>
        <v>-1.9074048871512557</v>
      </c>
    </row>
    <row r="1478" spans="1:5" x14ac:dyDescent="0.2">
      <c r="A1478" s="1">
        <v>43770</v>
      </c>
      <c r="B1478">
        <v>70076.740000000005</v>
      </c>
      <c r="C1478" s="6">
        <f t="shared" si="69"/>
        <v>4.3440984750290042E-3</v>
      </c>
      <c r="D1478" s="7">
        <f t="shared" si="70"/>
        <v>0.33989793872655871</v>
      </c>
      <c r="E1478" s="8">
        <f t="shared" si="71"/>
        <v>-0.77406689244405102</v>
      </c>
    </row>
    <row r="1479" spans="1:5" x14ac:dyDescent="0.2">
      <c r="A1479" s="1">
        <v>43773</v>
      </c>
      <c r="B1479">
        <v>70161.5</v>
      </c>
      <c r="C1479" s="6">
        <f t="shared" si="69"/>
        <v>1.208800257631915E-3</v>
      </c>
      <c r="D1479" s="7">
        <f t="shared" si="70"/>
        <v>7.6482868183419705E-2</v>
      </c>
      <c r="E1479" s="8">
        <f t="shared" si="71"/>
        <v>-0.64065243006970329</v>
      </c>
    </row>
    <row r="1480" spans="1:5" x14ac:dyDescent="0.2">
      <c r="A1480" s="1">
        <v>43774</v>
      </c>
      <c r="B1480">
        <v>70300.67</v>
      </c>
      <c r="C1480" s="6">
        <f t="shared" si="69"/>
        <v>1.9816018154984114E-3</v>
      </c>
      <c r="D1480" s="7">
        <f t="shared" si="70"/>
        <v>0.14141052825470052</v>
      </c>
      <c r="E1480" s="8">
        <f t="shared" si="71"/>
        <v>-0.65826697179574423</v>
      </c>
    </row>
    <row r="1481" spans="1:5" x14ac:dyDescent="0.2">
      <c r="A1481" s="1">
        <v>43775</v>
      </c>
      <c r="B1481">
        <v>70900.28</v>
      </c>
      <c r="C1481" s="6">
        <f t="shared" si="69"/>
        <v>8.4930534001247948E-3</v>
      </c>
      <c r="D1481" s="7">
        <f t="shared" si="70"/>
        <v>0.68847634450951167</v>
      </c>
      <c r="E1481" s="8">
        <f t="shared" si="71"/>
        <v>-1.1661747427935432</v>
      </c>
    </row>
    <row r="1482" spans="1:5" x14ac:dyDescent="0.2">
      <c r="A1482" s="1">
        <v>43776</v>
      </c>
      <c r="B1482">
        <v>70675.259999999995</v>
      </c>
      <c r="C1482" s="6">
        <f t="shared" si="69"/>
        <v>-3.1788003701950828E-3</v>
      </c>
      <c r="D1482" s="7">
        <f t="shared" si="70"/>
        <v>-0.29214558396225104</v>
      </c>
      <c r="E1482" s="8">
        <f t="shared" si="71"/>
        <v>-0.73805993716385176</v>
      </c>
    </row>
    <row r="1483" spans="1:5" x14ac:dyDescent="0.2">
      <c r="A1483" s="1">
        <v>43777</v>
      </c>
      <c r="B1483">
        <v>69264.210000000006</v>
      </c>
      <c r="C1483" s="6">
        <f t="shared" si="69"/>
        <v>-2.0167259811287513E-2</v>
      </c>
      <c r="D1483" s="7">
        <f t="shared" si="70"/>
        <v>-1.7194472094547559</v>
      </c>
      <c r="E1483" s="8">
        <f t="shared" si="71"/>
        <v>-2.904666396912468</v>
      </c>
    </row>
    <row r="1484" spans="1:5" x14ac:dyDescent="0.2">
      <c r="A1484" s="1">
        <v>43780</v>
      </c>
      <c r="B1484">
        <v>68728.09</v>
      </c>
      <c r="C1484" s="6">
        <f t="shared" si="69"/>
        <v>-7.7703277282103935E-3</v>
      </c>
      <c r="D1484" s="7">
        <f t="shared" si="70"/>
        <v>-0.67790713487349374</v>
      </c>
      <c r="E1484" s="8">
        <f t="shared" si="71"/>
        <v>-1.1515133480118547</v>
      </c>
    </row>
    <row r="1485" spans="1:5" x14ac:dyDescent="0.2">
      <c r="A1485" s="1">
        <v>43781</v>
      </c>
      <c r="B1485">
        <v>69093.17</v>
      </c>
      <c r="C1485" s="6">
        <f t="shared" si="69"/>
        <v>5.2978887859585445E-3</v>
      </c>
      <c r="D1485" s="7">
        <f t="shared" si="70"/>
        <v>0.4200315415343478</v>
      </c>
      <c r="E1485" s="8">
        <f t="shared" si="71"/>
        <v>-0.84517226073776919</v>
      </c>
    </row>
    <row r="1486" spans="1:5" x14ac:dyDescent="0.2">
      <c r="A1486" s="1">
        <v>43782</v>
      </c>
      <c r="B1486">
        <v>68659.600000000006</v>
      </c>
      <c r="C1486" s="6">
        <f t="shared" si="69"/>
        <v>-6.2949214265635494E-3</v>
      </c>
      <c r="D1486" s="7">
        <f t="shared" si="70"/>
        <v>-0.55394946702818548</v>
      </c>
      <c r="E1486" s="8">
        <f t="shared" si="71"/>
        <v>-0.99098115118822994</v>
      </c>
    </row>
    <row r="1487" spans="1:5" x14ac:dyDescent="0.2">
      <c r="A1487" s="1">
        <v>43783</v>
      </c>
      <c r="B1487">
        <v>68636.75</v>
      </c>
      <c r="C1487" s="6">
        <f t="shared" si="69"/>
        <v>-3.3285663036163862E-4</v>
      </c>
      <c r="D1487" s="7">
        <f t="shared" si="70"/>
        <v>-5.3040905871246428E-2</v>
      </c>
      <c r="E1487" s="8">
        <f t="shared" si="71"/>
        <v>-0.63685574373993148</v>
      </c>
    </row>
    <row r="1488" spans="1:5" x14ac:dyDescent="0.2">
      <c r="A1488" s="1">
        <v>43784</v>
      </c>
      <c r="B1488">
        <v>68281.740000000005</v>
      </c>
      <c r="C1488" s="6">
        <f t="shared" si="69"/>
        <v>-5.1857246682951658E-3</v>
      </c>
      <c r="D1488" s="7">
        <f t="shared" si="70"/>
        <v>-0.46075924330265638</v>
      </c>
      <c r="E1488" s="8">
        <f t="shared" si="71"/>
        <v>-0.88613008592126918</v>
      </c>
    </row>
    <row r="1489" spans="1:5" x14ac:dyDescent="0.2">
      <c r="A1489" s="1">
        <v>43787</v>
      </c>
      <c r="B1489">
        <v>69301.259999999995</v>
      </c>
      <c r="C1489" s="6">
        <f t="shared" si="69"/>
        <v>1.4820706943163843E-2</v>
      </c>
      <c r="D1489" s="7">
        <f t="shared" si="70"/>
        <v>1.2201001929726234</v>
      </c>
      <c r="E1489" s="8">
        <f t="shared" si="71"/>
        <v>-2.0263930709559008</v>
      </c>
    </row>
    <row r="1490" spans="1:5" x14ac:dyDescent="0.2">
      <c r="A1490" s="1">
        <v>43788</v>
      </c>
      <c r="B1490">
        <v>70653.33</v>
      </c>
      <c r="C1490" s="6">
        <f t="shared" si="69"/>
        <v>1.9322153928985609E-2</v>
      </c>
      <c r="D1490" s="7">
        <f t="shared" si="70"/>
        <v>1.5982935554849922</v>
      </c>
      <c r="E1490" s="8">
        <f t="shared" si="71"/>
        <v>-2.693211344787672</v>
      </c>
    </row>
    <row r="1491" spans="1:5" x14ac:dyDescent="0.2">
      <c r="A1491" s="1">
        <v>43789</v>
      </c>
      <c r="B1491">
        <v>70383.679999999993</v>
      </c>
      <c r="C1491" s="6">
        <f t="shared" si="69"/>
        <v>-3.8238236695472367E-3</v>
      </c>
      <c r="D1491" s="7">
        <f t="shared" si="70"/>
        <v>-0.34633783175483052</v>
      </c>
      <c r="E1491" s="8">
        <f t="shared" si="71"/>
        <v>-0.77929581970292783</v>
      </c>
    </row>
    <row r="1492" spans="1:5" x14ac:dyDescent="0.2">
      <c r="A1492" s="1">
        <v>43790</v>
      </c>
      <c r="B1492">
        <v>69914.34</v>
      </c>
      <c r="C1492" s="6">
        <f t="shared" si="69"/>
        <v>-6.6906396942612899E-3</v>
      </c>
      <c r="D1492" s="7">
        <f t="shared" si="70"/>
        <v>-0.58719611477046862</v>
      </c>
      <c r="E1492" s="8">
        <f t="shared" si="71"/>
        <v>-1.031841263249494</v>
      </c>
    </row>
    <row r="1493" spans="1:5" x14ac:dyDescent="0.2">
      <c r="A1493" s="1">
        <v>43791</v>
      </c>
      <c r="B1493">
        <v>70049.850000000006</v>
      </c>
      <c r="C1493" s="6">
        <f t="shared" si="69"/>
        <v>1.9363530391712386E-3</v>
      </c>
      <c r="D1493" s="7">
        <f t="shared" si="70"/>
        <v>0.13760890914807905</v>
      </c>
      <c r="E1493" s="8">
        <f t="shared" si="71"/>
        <v>-0.65695058514455751</v>
      </c>
    </row>
    <row r="1494" spans="1:5" x14ac:dyDescent="0.2">
      <c r="A1494" s="1">
        <v>43794</v>
      </c>
      <c r="B1494">
        <v>70222.990000000005</v>
      </c>
      <c r="C1494" s="6">
        <f t="shared" si="69"/>
        <v>2.4686188420708528E-3</v>
      </c>
      <c r="D1494" s="7">
        <f t="shared" si="70"/>
        <v>0.18232772831511238</v>
      </c>
      <c r="E1494" s="8">
        <f t="shared" si="71"/>
        <v>-0.67464794925159999</v>
      </c>
    </row>
    <row r="1495" spans="1:5" x14ac:dyDescent="0.2">
      <c r="A1495" s="1">
        <v>43795</v>
      </c>
      <c r="B1495">
        <v>69147.38</v>
      </c>
      <c r="C1495" s="6">
        <f t="shared" si="69"/>
        <v>-1.5435581550063828E-2</v>
      </c>
      <c r="D1495" s="7">
        <f t="shared" si="70"/>
        <v>-1.3219107467183895</v>
      </c>
      <c r="E1495" s="8">
        <f t="shared" si="71"/>
        <v>-2.2054127356621969</v>
      </c>
    </row>
    <row r="1496" spans="1:5" x14ac:dyDescent="0.2">
      <c r="A1496" s="1">
        <v>43796</v>
      </c>
      <c r="B1496">
        <v>69074.06</v>
      </c>
      <c r="C1496" s="6">
        <f t="shared" si="69"/>
        <v>-1.0609064248925043E-3</v>
      </c>
      <c r="D1496" s="7">
        <f t="shared" si="70"/>
        <v>-0.11420870385649844</v>
      </c>
      <c r="E1496" s="8">
        <f t="shared" si="71"/>
        <v>-0.64962507432236616</v>
      </c>
    </row>
    <row r="1497" spans="1:5" x14ac:dyDescent="0.2">
      <c r="A1497" s="1">
        <v>43797</v>
      </c>
      <c r="B1497">
        <v>68188.44</v>
      </c>
      <c r="C1497" s="6">
        <f t="shared" si="69"/>
        <v>-1.2904213304071044E-2</v>
      </c>
      <c r="D1497" s="7">
        <f t="shared" si="70"/>
        <v>-1.1092354288207427</v>
      </c>
      <c r="E1497" s="8">
        <f t="shared" si="71"/>
        <v>-1.8339691804701195</v>
      </c>
    </row>
    <row r="1498" spans="1:5" x14ac:dyDescent="0.2">
      <c r="A1498" s="1">
        <v>43798</v>
      </c>
      <c r="B1498">
        <v>67797.009999999995</v>
      </c>
      <c r="C1498" s="6">
        <f t="shared" si="69"/>
        <v>-5.756955337225823E-3</v>
      </c>
      <c r="D1498" s="7">
        <f t="shared" si="70"/>
        <v>-0.50875173285846453</v>
      </c>
      <c r="E1498" s="8">
        <f t="shared" si="71"/>
        <v>-0.93827320299764871</v>
      </c>
    </row>
    <row r="1499" spans="1:5" x14ac:dyDescent="0.2">
      <c r="A1499" s="1">
        <v>43801</v>
      </c>
      <c r="B1499">
        <v>66467.67</v>
      </c>
      <c r="C1499" s="6">
        <f t="shared" si="69"/>
        <v>-1.9802429647364814E-2</v>
      </c>
      <c r="D1499" s="7">
        <f t="shared" si="70"/>
        <v>-1.6887956552157637</v>
      </c>
      <c r="E1499" s="8">
        <f t="shared" si="71"/>
        <v>-2.8514090110505435</v>
      </c>
    </row>
    <row r="1500" spans="1:5" x14ac:dyDescent="0.2">
      <c r="A1500" s="1">
        <v>43802</v>
      </c>
      <c r="B1500">
        <v>65818.460000000006</v>
      </c>
      <c r="C1500" s="6">
        <f t="shared" si="69"/>
        <v>-9.815317933801913E-3</v>
      </c>
      <c r="D1500" s="7">
        <f t="shared" si="70"/>
        <v>-0.84971893774343865</v>
      </c>
      <c r="E1500" s="8">
        <f t="shared" si="71"/>
        <v>-1.4053944611919151</v>
      </c>
    </row>
    <row r="1501" spans="1:5" x14ac:dyDescent="0.2">
      <c r="A1501" s="1">
        <v>43803</v>
      </c>
      <c r="B1501">
        <v>66597.78</v>
      </c>
      <c r="C1501" s="6">
        <f t="shared" si="69"/>
        <v>1.177089755969098E-2</v>
      </c>
      <c r="D1501" s="7">
        <f t="shared" si="70"/>
        <v>0.96386754836072353</v>
      </c>
      <c r="E1501" s="8">
        <f t="shared" si="71"/>
        <v>-1.588881582731777</v>
      </c>
    </row>
    <row r="1502" spans="1:5" x14ac:dyDescent="0.2">
      <c r="A1502" s="1">
        <v>43804</v>
      </c>
      <c r="B1502">
        <v>66082.37</v>
      </c>
      <c r="C1502" s="6">
        <f t="shared" si="69"/>
        <v>-7.7692494704421165E-3</v>
      </c>
      <c r="D1502" s="7">
        <f t="shared" si="70"/>
        <v>-0.67781654401852554</v>
      </c>
      <c r="E1502" s="8">
        <f t="shared" si="71"/>
        <v>-1.1513882925029213</v>
      </c>
    </row>
    <row r="1503" spans="1:5" x14ac:dyDescent="0.2">
      <c r="A1503" s="1">
        <v>43805</v>
      </c>
      <c r="B1503">
        <v>66624.5</v>
      </c>
      <c r="C1503" s="6">
        <f t="shared" si="69"/>
        <v>8.1703835804166521E-3</v>
      </c>
      <c r="D1503" s="7">
        <f t="shared" si="70"/>
        <v>0.66136693180709716</v>
      </c>
      <c r="E1503" s="8">
        <f t="shared" si="71"/>
        <v>-1.1288556104672871</v>
      </c>
    </row>
    <row r="1504" spans="1:5" x14ac:dyDescent="0.2">
      <c r="A1504" s="1">
        <v>43808</v>
      </c>
      <c r="B1504">
        <v>66510.37</v>
      </c>
      <c r="C1504" s="6">
        <f t="shared" si="69"/>
        <v>-1.71450241333877E-3</v>
      </c>
      <c r="D1504" s="7">
        <f t="shared" si="70"/>
        <v>-0.16912119430093792</v>
      </c>
      <c r="E1504" s="8">
        <f t="shared" si="71"/>
        <v>-0.66892045405556155</v>
      </c>
    </row>
    <row r="1505" spans="1:5" x14ac:dyDescent="0.2">
      <c r="A1505" s="1">
        <v>43809</v>
      </c>
      <c r="B1505">
        <v>66287.41</v>
      </c>
      <c r="C1505" s="6">
        <f t="shared" si="69"/>
        <v>-3.3578906137953254E-3</v>
      </c>
      <c r="D1505" s="7">
        <f t="shared" si="70"/>
        <v>-0.30719202161522507</v>
      </c>
      <c r="E1505" s="8">
        <f t="shared" si="71"/>
        <v>-0.74887291370621101</v>
      </c>
    </row>
    <row r="1506" spans="1:5" x14ac:dyDescent="0.2">
      <c r="A1506" s="1">
        <v>43810</v>
      </c>
      <c r="B1506">
        <v>66514.259999999995</v>
      </c>
      <c r="C1506" s="6">
        <f t="shared" si="69"/>
        <v>3.4163760236192568E-3</v>
      </c>
      <c r="D1506" s="7">
        <f t="shared" si="70"/>
        <v>0.26195445200285161</v>
      </c>
      <c r="E1506" s="8">
        <f t="shared" si="71"/>
        <v>-0.71787610433556626</v>
      </c>
    </row>
    <row r="1507" spans="1:5" x14ac:dyDescent="0.2">
      <c r="A1507" s="1">
        <v>43811</v>
      </c>
      <c r="B1507">
        <v>66679.31</v>
      </c>
      <c r="C1507" s="6">
        <f t="shared" si="69"/>
        <v>2.4783491347373865E-3</v>
      </c>
      <c r="D1507" s="7">
        <f t="shared" si="70"/>
        <v>0.18314522813536496</v>
      </c>
      <c r="E1507" s="8">
        <f t="shared" si="71"/>
        <v>-0.67501618530991625</v>
      </c>
    </row>
    <row r="1508" spans="1:5" x14ac:dyDescent="0.2">
      <c r="A1508" s="1">
        <v>43812</v>
      </c>
      <c r="B1508">
        <v>67869.990000000005</v>
      </c>
      <c r="C1508" s="6">
        <f t="shared" si="69"/>
        <v>1.7699253476513199E-2</v>
      </c>
      <c r="D1508" s="7">
        <f t="shared" si="70"/>
        <v>1.4619440258611665</v>
      </c>
      <c r="E1508" s="8">
        <f t="shared" si="71"/>
        <v>-2.4529339573431299</v>
      </c>
    </row>
    <row r="1509" spans="1:5" x14ac:dyDescent="0.2">
      <c r="A1509" s="1">
        <v>43816</v>
      </c>
      <c r="B1509">
        <v>68900.81</v>
      </c>
      <c r="C1509" s="6">
        <f t="shared" si="69"/>
        <v>1.5073970743717266E-2</v>
      </c>
      <c r="D1509" s="7">
        <f t="shared" si="70"/>
        <v>1.2413783927682998</v>
      </c>
      <c r="E1509" s="8">
        <f t="shared" si="71"/>
        <v>-2.0636736364200536</v>
      </c>
    </row>
    <row r="1510" spans="1:5" x14ac:dyDescent="0.2">
      <c r="A1510" s="1">
        <v>43817</v>
      </c>
      <c r="B1510">
        <v>69858.460000000006</v>
      </c>
      <c r="C1510" s="6">
        <f t="shared" si="69"/>
        <v>1.3803260928665675E-2</v>
      </c>
      <c r="D1510" s="7">
        <f t="shared" si="70"/>
        <v>1.134618495507375</v>
      </c>
      <c r="E1510" s="8">
        <f t="shared" si="71"/>
        <v>-1.8777023393041246</v>
      </c>
    </row>
    <row r="1511" spans="1:5" x14ac:dyDescent="0.2">
      <c r="A1511" s="1">
        <v>43818</v>
      </c>
      <c r="B1511">
        <v>69851.19</v>
      </c>
      <c r="C1511" s="6">
        <f t="shared" si="69"/>
        <v>-1.0407298288362086E-4</v>
      </c>
      <c r="D1511" s="7">
        <f t="shared" si="70"/>
        <v>-3.3819429488189487E-2</v>
      </c>
      <c r="E1511" s="8">
        <f t="shared" si="71"/>
        <v>-0.63476557320029658</v>
      </c>
    </row>
    <row r="1512" spans="1:5" x14ac:dyDescent="0.2">
      <c r="A1512" s="1">
        <v>43819</v>
      </c>
      <c r="B1512">
        <v>70225.820000000007</v>
      </c>
      <c r="C1512" s="6">
        <f t="shared" si="69"/>
        <v>5.3489276107762662E-3</v>
      </c>
      <c r="D1512" s="7">
        <f t="shared" si="70"/>
        <v>0.42431961708811777</v>
      </c>
      <c r="E1512" s="8">
        <f t="shared" si="71"/>
        <v>-0.84933678854126238</v>
      </c>
    </row>
    <row r="1513" spans="1:5" x14ac:dyDescent="0.2">
      <c r="A1513" s="1">
        <v>43822</v>
      </c>
      <c r="B1513">
        <v>70064.77</v>
      </c>
      <c r="C1513" s="6">
        <f t="shared" si="69"/>
        <v>-2.2959497247302951E-3</v>
      </c>
      <c r="D1513" s="7">
        <f t="shared" si="70"/>
        <v>-0.21797204481890603</v>
      </c>
      <c r="E1513" s="8">
        <f t="shared" si="71"/>
        <v>-0.69217324678527936</v>
      </c>
    </row>
    <row r="1514" spans="1:5" x14ac:dyDescent="0.2">
      <c r="A1514" s="1">
        <v>43823</v>
      </c>
      <c r="B1514">
        <v>69985.06</v>
      </c>
      <c r="C1514" s="6">
        <f t="shared" si="69"/>
        <v>-1.1383092518857775E-3</v>
      </c>
      <c r="D1514" s="7">
        <f t="shared" si="70"/>
        <v>-0.12071177620206891</v>
      </c>
      <c r="E1514" s="8">
        <f t="shared" si="71"/>
        <v>-0.65152634385457253</v>
      </c>
    </row>
    <row r="1515" spans="1:5" x14ac:dyDescent="0.2">
      <c r="A1515" s="1">
        <v>43826</v>
      </c>
      <c r="B1515">
        <v>69920.98</v>
      </c>
      <c r="C1515" s="6">
        <f t="shared" si="69"/>
        <v>-9.1604343144853918E-4</v>
      </c>
      <c r="D1515" s="7">
        <f t="shared" si="70"/>
        <v>-0.10203790127529713</v>
      </c>
      <c r="E1515" s="8">
        <f t="shared" si="71"/>
        <v>-0.64634621023730354</v>
      </c>
    </row>
    <row r="1516" spans="1:5" x14ac:dyDescent="0.2">
      <c r="A1516" s="1">
        <v>43829</v>
      </c>
      <c r="B1516">
        <v>70322.78</v>
      </c>
      <c r="C1516" s="6">
        <f t="shared" si="69"/>
        <v>5.7300388889923023E-3</v>
      </c>
      <c r="D1516" s="7">
        <f t="shared" si="70"/>
        <v>0.45633904467526665</v>
      </c>
      <c r="E1516" s="8">
        <f t="shared" si="71"/>
        <v>-0.88153521881837993</v>
      </c>
    </row>
    <row r="1517" spans="1:5" x14ac:dyDescent="0.2">
      <c r="A1517" s="1">
        <v>43830</v>
      </c>
      <c r="B1517">
        <v>69303.710000000006</v>
      </c>
      <c r="C1517" s="6">
        <f t="shared" si="69"/>
        <v>-1.459734603992845E-2</v>
      </c>
      <c r="D1517" s="7">
        <f t="shared" si="70"/>
        <v>-1.2514855907287989</v>
      </c>
      <c r="E1517" s="8">
        <f t="shared" si="71"/>
        <v>-2.081411331286434</v>
      </c>
    </row>
    <row r="1518" spans="1:5" x14ac:dyDescent="0.2">
      <c r="A1518" s="1">
        <v>43832</v>
      </c>
      <c r="B1518">
        <v>70448.509999999995</v>
      </c>
      <c r="C1518" s="6">
        <f t="shared" si="69"/>
        <v>1.6383648253006016E-2</v>
      </c>
      <c r="D1518" s="7">
        <f t="shared" si="70"/>
        <v>1.3514121980324341</v>
      </c>
      <c r="E1518" s="8">
        <f t="shared" si="71"/>
        <v>-2.2575085010188727</v>
      </c>
    </row>
    <row r="1519" spans="1:5" x14ac:dyDescent="0.2">
      <c r="A1519" s="1">
        <v>43833</v>
      </c>
      <c r="B1519">
        <v>70394.789999999994</v>
      </c>
      <c r="C1519" s="6">
        <f t="shared" si="69"/>
        <v>-7.6283362581024974E-4</v>
      </c>
      <c r="D1519" s="7">
        <f t="shared" si="70"/>
        <v>-8.916583330543891E-2</v>
      </c>
      <c r="E1519" s="8">
        <f t="shared" si="71"/>
        <v>-0.64327611401918217</v>
      </c>
    </row>
    <row r="1520" spans="1:5" x14ac:dyDescent="0.2">
      <c r="A1520" s="1">
        <v>43836</v>
      </c>
      <c r="B1520">
        <v>69707.34</v>
      </c>
      <c r="C1520" s="6">
        <f t="shared" si="69"/>
        <v>-9.8136340568424803E-3</v>
      </c>
      <c r="D1520" s="7">
        <f t="shared" si="70"/>
        <v>-0.84957746521441613</v>
      </c>
      <c r="E1520" s="8">
        <f t="shared" si="71"/>
        <v>-1.4051733456768372</v>
      </c>
    </row>
    <row r="1521" spans="1:5" x14ac:dyDescent="0.2">
      <c r="A1521" s="1">
        <v>43837</v>
      </c>
      <c r="B1521">
        <v>70381.179999999993</v>
      </c>
      <c r="C1521" s="6">
        <f t="shared" si="69"/>
        <v>9.6202771928491342E-3</v>
      </c>
      <c r="D1521" s="7">
        <f t="shared" si="70"/>
        <v>0.7831811267311195</v>
      </c>
      <c r="E1521" s="8">
        <f t="shared" si="71"/>
        <v>-1.3034110203044629</v>
      </c>
    </row>
    <row r="1522" spans="1:5" x14ac:dyDescent="0.2">
      <c r="A1522" s="1">
        <v>43838</v>
      </c>
      <c r="B1522">
        <v>70039.89</v>
      </c>
      <c r="C1522" s="6">
        <f t="shared" si="69"/>
        <v>-4.8609609943368239E-3</v>
      </c>
      <c r="D1522" s="7">
        <f t="shared" si="70"/>
        <v>-0.43347391343805203</v>
      </c>
      <c r="E1522" s="8">
        <f t="shared" si="71"/>
        <v>-0.85834506460157201</v>
      </c>
    </row>
    <row r="1523" spans="1:5" x14ac:dyDescent="0.2">
      <c r="A1523" s="1">
        <v>43839</v>
      </c>
      <c r="B1523">
        <v>70315.850000000006</v>
      </c>
      <c r="C1523" s="6">
        <f t="shared" si="69"/>
        <v>3.9322988229305795E-3</v>
      </c>
      <c r="D1523" s="7">
        <f t="shared" si="70"/>
        <v>0.30530019813357567</v>
      </c>
      <c r="E1523" s="8">
        <f t="shared" si="71"/>
        <v>-0.74748615327978063</v>
      </c>
    </row>
    <row r="1524" spans="1:5" x14ac:dyDescent="0.2">
      <c r="A1524" s="1">
        <v>43840</v>
      </c>
      <c r="B1524">
        <v>71026.19</v>
      </c>
      <c r="C1524" s="6">
        <f t="shared" si="69"/>
        <v>1.005144655552132E-2</v>
      </c>
      <c r="D1524" s="7">
        <f t="shared" si="70"/>
        <v>0.81940623203501783</v>
      </c>
      <c r="E1524" s="8">
        <f t="shared" si="71"/>
        <v>-1.3584209703487962</v>
      </c>
    </row>
    <row r="1525" spans="1:5" x14ac:dyDescent="0.2">
      <c r="A1525" s="1">
        <v>43843</v>
      </c>
      <c r="B1525">
        <v>71316.59</v>
      </c>
      <c r="C1525" s="6">
        <f t="shared" si="69"/>
        <v>4.0802969128662971E-3</v>
      </c>
      <c r="D1525" s="7">
        <f t="shared" si="70"/>
        <v>0.31773439883714766</v>
      </c>
      <c r="E1525" s="8">
        <f t="shared" si="71"/>
        <v>-0.7567430476219843</v>
      </c>
    </row>
    <row r="1526" spans="1:5" x14ac:dyDescent="0.2">
      <c r="A1526" s="1">
        <v>43844</v>
      </c>
      <c r="B1526">
        <v>72147.61</v>
      </c>
      <c r="C1526" s="6">
        <f t="shared" si="69"/>
        <v>1.1585180061484348E-2</v>
      </c>
      <c r="D1526" s="7">
        <f t="shared" si="70"/>
        <v>0.948264315590155</v>
      </c>
      <c r="E1526" s="8">
        <f t="shared" si="71"/>
        <v>-1.5632550175302211</v>
      </c>
    </row>
    <row r="1527" spans="1:5" x14ac:dyDescent="0.2">
      <c r="A1527" s="1">
        <v>43845</v>
      </c>
      <c r="B1527">
        <v>72785.009999999995</v>
      </c>
      <c r="C1527" s="6">
        <f t="shared" si="69"/>
        <v>8.7958681694653776E-3</v>
      </c>
      <c r="D1527" s="7">
        <f t="shared" si="70"/>
        <v>0.71391761621526206</v>
      </c>
      <c r="E1527" s="8">
        <f t="shared" si="71"/>
        <v>-1.2020314660931632</v>
      </c>
    </row>
    <row r="1528" spans="1:5" x14ac:dyDescent="0.2">
      <c r="A1528" s="1">
        <v>43846</v>
      </c>
      <c r="B1528">
        <v>72630.75</v>
      </c>
      <c r="C1528" s="6">
        <f t="shared" si="69"/>
        <v>-2.1216415313582452E-3</v>
      </c>
      <c r="D1528" s="7">
        <f t="shared" si="70"/>
        <v>-0.20332737567752387</v>
      </c>
      <c r="E1528" s="8">
        <f t="shared" si="71"/>
        <v>-0.68461024591368813</v>
      </c>
    </row>
    <row r="1529" spans="1:5" x14ac:dyDescent="0.2">
      <c r="A1529" s="1">
        <v>43847</v>
      </c>
      <c r="B1529">
        <v>74105.48</v>
      </c>
      <c r="C1529" s="6">
        <f t="shared" si="69"/>
        <v>2.0101097807427283E-2</v>
      </c>
      <c r="D1529" s="7">
        <f t="shared" si="70"/>
        <v>1.6637372684786493</v>
      </c>
      <c r="E1529" s="8">
        <f t="shared" si="71"/>
        <v>-2.8077414848744242</v>
      </c>
    </row>
    <row r="1530" spans="1:5" x14ac:dyDescent="0.2">
      <c r="A1530" s="1">
        <v>43850</v>
      </c>
      <c r="B1530">
        <v>73696.92</v>
      </c>
      <c r="C1530" s="6">
        <f t="shared" si="69"/>
        <v>-5.5284764063849327E-3</v>
      </c>
      <c r="D1530" s="7">
        <f t="shared" si="70"/>
        <v>-0.48955585753434966</v>
      </c>
      <c r="E1530" s="8">
        <f t="shared" si="71"/>
        <v>-0.91692948089250592</v>
      </c>
    </row>
    <row r="1531" spans="1:5" x14ac:dyDescent="0.2">
      <c r="A1531" s="1">
        <v>43851</v>
      </c>
      <c r="B1531">
        <v>72639.17</v>
      </c>
      <c r="C1531" s="6">
        <f t="shared" si="69"/>
        <v>-1.4456699260940287E-2</v>
      </c>
      <c r="D1531" s="7">
        <f t="shared" si="70"/>
        <v>-1.2396690174270129</v>
      </c>
      <c r="E1531" s="8">
        <f t="shared" si="71"/>
        <v>-2.0606755418968694</v>
      </c>
    </row>
    <row r="1532" spans="1:5" x14ac:dyDescent="0.2">
      <c r="A1532" s="1">
        <v>43852</v>
      </c>
      <c r="B1532">
        <v>72566.899999999994</v>
      </c>
      <c r="C1532" s="6">
        <f t="shared" si="69"/>
        <v>-9.954130149983924E-4</v>
      </c>
      <c r="D1532" s="7">
        <f t="shared" si="70"/>
        <v>-0.10870621254908758</v>
      </c>
      <c r="E1532" s="8">
        <f t="shared" si="71"/>
        <v>-0.64809750457854853</v>
      </c>
    </row>
    <row r="1533" spans="1:5" x14ac:dyDescent="0.2">
      <c r="A1533" s="1">
        <v>43853</v>
      </c>
      <c r="B1533">
        <v>71275.210000000006</v>
      </c>
      <c r="C1533" s="6">
        <f t="shared" si="69"/>
        <v>-1.7960313872291359E-2</v>
      </c>
      <c r="D1533" s="7">
        <f t="shared" si="70"/>
        <v>-1.5340285411507901</v>
      </c>
      <c r="E1533" s="8">
        <f t="shared" si="71"/>
        <v>-2.5801784475931564</v>
      </c>
    </row>
    <row r="1534" spans="1:5" x14ac:dyDescent="0.2">
      <c r="A1534" s="1">
        <v>43854</v>
      </c>
      <c r="B1534">
        <v>72050.58</v>
      </c>
      <c r="C1534" s="6">
        <f t="shared" si="69"/>
        <v>1.0819791249417508E-2</v>
      </c>
      <c r="D1534" s="7">
        <f t="shared" si="70"/>
        <v>0.88395944442836305</v>
      </c>
      <c r="E1534" s="8">
        <f t="shared" si="71"/>
        <v>-1.4594026978289352</v>
      </c>
    </row>
    <row r="1535" spans="1:5" x14ac:dyDescent="0.2">
      <c r="A1535" s="1">
        <v>43857</v>
      </c>
      <c r="B1535">
        <v>70182.36</v>
      </c>
      <c r="C1535" s="6">
        <f t="shared" si="69"/>
        <v>-2.627137497457336E-2</v>
      </c>
      <c r="D1535" s="7">
        <f t="shared" si="70"/>
        <v>-2.2322902677062517</v>
      </c>
      <c r="E1535" s="8">
        <f t="shared" si="71"/>
        <v>-3.7614470484375366</v>
      </c>
    </row>
    <row r="1536" spans="1:5" x14ac:dyDescent="0.2">
      <c r="A1536" s="1">
        <v>43858</v>
      </c>
      <c r="B1536">
        <v>70087.520000000004</v>
      </c>
      <c r="C1536" s="6">
        <f t="shared" si="69"/>
        <v>-1.3522505965199245E-3</v>
      </c>
      <c r="D1536" s="7">
        <f t="shared" si="70"/>
        <v>-0.13868626235340026</v>
      </c>
      <c r="E1536" s="8">
        <f t="shared" si="71"/>
        <v>-0.65732006792437647</v>
      </c>
    </row>
    <row r="1537" spans="1:5" x14ac:dyDescent="0.2">
      <c r="A1537" s="1">
        <v>43859</v>
      </c>
      <c r="B1537">
        <v>71148.149999999994</v>
      </c>
      <c r="C1537" s="6">
        <f t="shared" si="69"/>
        <v>1.501957598499851E-2</v>
      </c>
      <c r="D1537" s="7">
        <f t="shared" si="70"/>
        <v>1.2368083652265582</v>
      </c>
      <c r="E1537" s="8">
        <f t="shared" si="71"/>
        <v>-2.0556594038848988</v>
      </c>
    </row>
    <row r="1538" spans="1:5" x14ac:dyDescent="0.2">
      <c r="A1538" s="1">
        <v>43860</v>
      </c>
      <c r="B1538">
        <v>71133.929999999993</v>
      </c>
      <c r="C1538" s="6">
        <f t="shared" si="69"/>
        <v>-1.99884624224633E-4</v>
      </c>
      <c r="D1538" s="7">
        <f t="shared" si="70"/>
        <v>-4.1869135931632467E-2</v>
      </c>
      <c r="E1538" s="8">
        <f t="shared" si="71"/>
        <v>-0.63552852882580901</v>
      </c>
    </row>
    <row r="1539" spans="1:5" x14ac:dyDescent="0.2">
      <c r="A1539" s="1">
        <v>43861</v>
      </c>
      <c r="B1539">
        <v>70697.53</v>
      </c>
      <c r="C1539" s="6">
        <f t="shared" ref="C1539:C1602" si="72">LN(B1539/B1538)</f>
        <v>-6.1538022266523669E-3</v>
      </c>
      <c r="D1539" s="7">
        <f t="shared" ref="D1539:D1602" si="73">(C1539-$G$4)/$G$5</f>
        <v>-0.54209320283190243</v>
      </c>
      <c r="E1539" s="8">
        <f t="shared" ref="E1539:E1602" si="74">LN((PI()*(G$3-2))^(-1/2)*EXP(GAMMALN((G$3+1)/2))*((1+D1539^2/(G$3-2))^(-(G$3+1)/2))/EXP(GAMMALN(G$3/2)))</f>
        <v>-0.97683049986142012</v>
      </c>
    </row>
    <row r="1540" spans="1:5" x14ac:dyDescent="0.2">
      <c r="A1540" s="1">
        <v>43864</v>
      </c>
      <c r="B1540">
        <v>70880.37</v>
      </c>
      <c r="C1540" s="6">
        <f t="shared" si="72"/>
        <v>2.5828904320337317E-3</v>
      </c>
      <c r="D1540" s="7">
        <f t="shared" si="73"/>
        <v>0.19192836495124646</v>
      </c>
      <c r="E1540" s="8">
        <f t="shared" si="74"/>
        <v>-0.67907280698594863</v>
      </c>
    </row>
    <row r="1541" spans="1:5" x14ac:dyDescent="0.2">
      <c r="A1541" s="1">
        <v>43865</v>
      </c>
      <c r="B1541">
        <v>72433.61</v>
      </c>
      <c r="C1541" s="6">
        <f t="shared" si="72"/>
        <v>2.1676891817719063E-2</v>
      </c>
      <c r="D1541" s="7">
        <f t="shared" si="73"/>
        <v>1.7961291054271196</v>
      </c>
      <c r="E1541" s="8">
        <f t="shared" si="74"/>
        <v>-3.0370671256594726</v>
      </c>
    </row>
    <row r="1542" spans="1:5" x14ac:dyDescent="0.2">
      <c r="A1542" s="1">
        <v>43866</v>
      </c>
      <c r="B1542">
        <v>73177.95</v>
      </c>
      <c r="C1542" s="6">
        <f t="shared" si="72"/>
        <v>1.0223727889134327E-2</v>
      </c>
      <c r="D1542" s="7">
        <f t="shared" si="73"/>
        <v>0.83388061262029178</v>
      </c>
      <c r="E1542" s="8">
        <f t="shared" si="74"/>
        <v>-1.3807482965544557</v>
      </c>
    </row>
    <row r="1543" spans="1:5" x14ac:dyDescent="0.2">
      <c r="A1543" s="1">
        <v>43867</v>
      </c>
      <c r="B1543">
        <v>73482.009999999995</v>
      </c>
      <c r="C1543" s="6">
        <f t="shared" si="72"/>
        <v>4.1464682745976341E-3</v>
      </c>
      <c r="D1543" s="7">
        <f t="shared" si="73"/>
        <v>0.32329384891487151</v>
      </c>
      <c r="E1543" s="8">
        <f t="shared" si="74"/>
        <v>-0.76098992359494622</v>
      </c>
    </row>
    <row r="1544" spans="1:5" x14ac:dyDescent="0.2">
      <c r="A1544" s="1">
        <v>43868</v>
      </c>
      <c r="B1544">
        <v>73363.199999999997</v>
      </c>
      <c r="C1544" s="6">
        <f t="shared" si="72"/>
        <v>-1.6181668564465982E-3</v>
      </c>
      <c r="D1544" s="7">
        <f t="shared" si="73"/>
        <v>-0.16102747059269323</v>
      </c>
      <c r="E1544" s="8">
        <f t="shared" si="74"/>
        <v>-0.66561708288307098</v>
      </c>
    </row>
    <row r="1545" spans="1:5" x14ac:dyDescent="0.2">
      <c r="A1545" s="1">
        <v>43871</v>
      </c>
      <c r="B1545">
        <v>73043.77</v>
      </c>
      <c r="C1545" s="6">
        <f t="shared" si="72"/>
        <v>-4.363596990700892E-3</v>
      </c>
      <c r="D1545" s="7">
        <f t="shared" si="73"/>
        <v>-0.39168740222951265</v>
      </c>
      <c r="E1545" s="8">
        <f t="shared" si="74"/>
        <v>-0.81854501739059449</v>
      </c>
    </row>
    <row r="1546" spans="1:5" x14ac:dyDescent="0.2">
      <c r="A1546" s="1">
        <v>43872</v>
      </c>
      <c r="B1546">
        <v>73281.36</v>
      </c>
      <c r="C1546" s="6">
        <f t="shared" si="72"/>
        <v>3.2474286378268097E-3</v>
      </c>
      <c r="D1546" s="7">
        <f t="shared" si="73"/>
        <v>0.24776017622402546</v>
      </c>
      <c r="E1546" s="8">
        <f t="shared" si="74"/>
        <v>-0.70909604693202821</v>
      </c>
    </row>
    <row r="1547" spans="1:5" x14ac:dyDescent="0.2">
      <c r="A1547" s="1">
        <v>43873</v>
      </c>
      <c r="B1547">
        <v>74033.789999999994</v>
      </c>
      <c r="C1547" s="6">
        <f t="shared" si="72"/>
        <v>1.0215331460238722E-2</v>
      </c>
      <c r="D1547" s="7">
        <f t="shared" si="73"/>
        <v>0.83317517863714652</v>
      </c>
      <c r="E1547" s="8">
        <f t="shared" si="74"/>
        <v>-1.3796557273544354</v>
      </c>
    </row>
    <row r="1548" spans="1:5" x14ac:dyDescent="0.2">
      <c r="A1548" s="1">
        <v>43874</v>
      </c>
      <c r="B1548">
        <v>74125.11</v>
      </c>
      <c r="C1548" s="6">
        <f t="shared" si="72"/>
        <v>1.2327306906887874E-3</v>
      </c>
      <c r="D1548" s="7">
        <f t="shared" si="73"/>
        <v>7.8493406344295885E-2</v>
      </c>
      <c r="E1548" s="8">
        <f t="shared" si="74"/>
        <v>-0.64104172132119186</v>
      </c>
    </row>
    <row r="1549" spans="1:5" x14ac:dyDescent="0.2">
      <c r="A1549" s="1">
        <v>43875</v>
      </c>
      <c r="B1549">
        <v>74080.17</v>
      </c>
      <c r="C1549" s="6">
        <f t="shared" si="72"/>
        <v>-6.0645614484678789E-4</v>
      </c>
      <c r="D1549" s="7">
        <f t="shared" si="73"/>
        <v>-7.6027630071442795E-2</v>
      </c>
      <c r="E1549" s="8">
        <f t="shared" si="74"/>
        <v>-0.64056567859254565</v>
      </c>
    </row>
    <row r="1550" spans="1:5" x14ac:dyDescent="0.2">
      <c r="A1550" s="1">
        <v>43878</v>
      </c>
      <c r="B1550">
        <v>74398.44</v>
      </c>
      <c r="C1550" s="6">
        <f t="shared" si="72"/>
        <v>4.2870887255789508E-3</v>
      </c>
      <c r="D1550" s="7">
        <f t="shared" si="73"/>
        <v>0.33510821024404785</v>
      </c>
      <c r="E1550" s="8">
        <f t="shared" si="74"/>
        <v>-0.77023452068787357</v>
      </c>
    </row>
    <row r="1551" spans="1:5" x14ac:dyDescent="0.2">
      <c r="A1551" s="1">
        <v>43879</v>
      </c>
      <c r="B1551">
        <v>73658.679999999993</v>
      </c>
      <c r="C1551" s="6">
        <f t="shared" si="72"/>
        <v>-9.9929831947050355E-3</v>
      </c>
      <c r="D1551" s="7">
        <f t="shared" si="73"/>
        <v>-0.86464565411580152</v>
      </c>
      <c r="E1551" s="8">
        <f t="shared" si="74"/>
        <v>-1.4288198324137302</v>
      </c>
    </row>
    <row r="1552" spans="1:5" x14ac:dyDescent="0.2">
      <c r="A1552" s="1">
        <v>43880</v>
      </c>
      <c r="B1552">
        <v>73580</v>
      </c>
      <c r="C1552" s="6">
        <f t="shared" si="72"/>
        <v>-1.0687410059512217E-3</v>
      </c>
      <c r="D1552" s="7">
        <f t="shared" si="73"/>
        <v>-0.11486693365767227</v>
      </c>
      <c r="E1552" s="8">
        <f t="shared" si="74"/>
        <v>-0.64981279398526104</v>
      </c>
    </row>
    <row r="1553" spans="1:5" x14ac:dyDescent="0.2">
      <c r="A1553" s="1">
        <v>43881</v>
      </c>
      <c r="B1553">
        <v>73430</v>
      </c>
      <c r="C1553" s="6">
        <f t="shared" si="72"/>
        <v>-2.0406782131091447E-3</v>
      </c>
      <c r="D1553" s="7">
        <f t="shared" si="73"/>
        <v>-0.19652516526268843</v>
      </c>
      <c r="E1553" s="8">
        <f t="shared" si="74"/>
        <v>-0.68126889175550842</v>
      </c>
    </row>
    <row r="1554" spans="1:5" x14ac:dyDescent="0.2">
      <c r="A1554" s="1">
        <v>43882</v>
      </c>
      <c r="B1554">
        <v>72688.83</v>
      </c>
      <c r="C1554" s="6">
        <f t="shared" si="72"/>
        <v>-1.0144843845584431E-2</v>
      </c>
      <c r="D1554" s="7">
        <f t="shared" si="73"/>
        <v>-0.87740437156161211</v>
      </c>
      <c r="E1554" s="8">
        <f t="shared" si="74"/>
        <v>-1.4489892851237409</v>
      </c>
    </row>
    <row r="1555" spans="1:5" x14ac:dyDescent="0.2">
      <c r="A1555" s="1">
        <v>43885</v>
      </c>
      <c r="B1555">
        <v>69886.83</v>
      </c>
      <c r="C1555" s="6">
        <f t="shared" si="72"/>
        <v>-3.9310508147111393E-2</v>
      </c>
      <c r="D1555" s="7">
        <f t="shared" si="73"/>
        <v>-3.3277854794239321</v>
      </c>
      <c r="E1555" s="8">
        <f t="shared" si="74"/>
        <v>-5.328070583324819</v>
      </c>
    </row>
    <row r="1556" spans="1:5" x14ac:dyDescent="0.2">
      <c r="A1556" s="1">
        <v>43886</v>
      </c>
      <c r="B1556">
        <v>70329.53</v>
      </c>
      <c r="C1556" s="6">
        <f t="shared" si="72"/>
        <v>6.3145480455992888E-3</v>
      </c>
      <c r="D1556" s="7">
        <f t="shared" si="73"/>
        <v>0.50544713903975236</v>
      </c>
      <c r="E1556" s="8">
        <f t="shared" si="74"/>
        <v>-0.93455351097216111</v>
      </c>
    </row>
    <row r="1557" spans="1:5" x14ac:dyDescent="0.2">
      <c r="A1557" s="1">
        <v>43887</v>
      </c>
      <c r="B1557">
        <v>70530.73</v>
      </c>
      <c r="C1557" s="6">
        <f t="shared" si="72"/>
        <v>2.8567338556885927E-3</v>
      </c>
      <c r="D1557" s="7">
        <f t="shared" si="73"/>
        <v>0.21493558141300481</v>
      </c>
      <c r="E1557" s="8">
        <f t="shared" si="74"/>
        <v>-0.69056382757181523</v>
      </c>
    </row>
    <row r="1558" spans="1:5" x14ac:dyDescent="0.2">
      <c r="A1558" s="1">
        <v>43888</v>
      </c>
      <c r="B1558">
        <v>68766.75</v>
      </c>
      <c r="C1558" s="6">
        <f t="shared" si="72"/>
        <v>-2.5328158136313103E-2</v>
      </c>
      <c r="D1558" s="7">
        <f t="shared" si="73"/>
        <v>-2.1530450052909682</v>
      </c>
      <c r="E1558" s="8">
        <f t="shared" si="74"/>
        <v>-3.6338881868309181</v>
      </c>
    </row>
    <row r="1559" spans="1:5" x14ac:dyDescent="0.2">
      <c r="A1559" s="1">
        <v>43889</v>
      </c>
      <c r="B1559">
        <v>66129.95</v>
      </c>
      <c r="C1559" s="6">
        <f t="shared" si="72"/>
        <v>-3.9098597636009071E-2</v>
      </c>
      <c r="D1559" s="7">
        <f t="shared" si="73"/>
        <v>-3.3099816156890198</v>
      </c>
      <c r="E1559" s="8">
        <f t="shared" si="74"/>
        <v>-5.3053936548810574</v>
      </c>
    </row>
    <row r="1560" spans="1:5" x14ac:dyDescent="0.2">
      <c r="A1560" s="1">
        <v>43892</v>
      </c>
      <c r="B1560">
        <v>67490.19</v>
      </c>
      <c r="C1560" s="6">
        <f t="shared" si="72"/>
        <v>2.0360508383449674E-2</v>
      </c>
      <c r="D1560" s="7">
        <f t="shared" si="73"/>
        <v>1.6855318954788534</v>
      </c>
      <c r="E1560" s="8">
        <f t="shared" si="74"/>
        <v>-2.84572783425681</v>
      </c>
    </row>
    <row r="1561" spans="1:5" x14ac:dyDescent="0.2">
      <c r="A1561" s="1">
        <v>43893</v>
      </c>
      <c r="B1561">
        <v>68495.06</v>
      </c>
      <c r="C1561" s="6">
        <f t="shared" si="72"/>
        <v>1.4779371896079099E-2</v>
      </c>
      <c r="D1561" s="7">
        <f t="shared" si="73"/>
        <v>1.2166273895616704</v>
      </c>
      <c r="E1561" s="8">
        <f t="shared" si="74"/>
        <v>-2.020317111380487</v>
      </c>
    </row>
    <row r="1562" spans="1:5" x14ac:dyDescent="0.2">
      <c r="A1562" s="1">
        <v>43894</v>
      </c>
      <c r="B1562">
        <v>68370.58</v>
      </c>
      <c r="C1562" s="6">
        <f t="shared" si="72"/>
        <v>-1.8190107367090696E-3</v>
      </c>
      <c r="D1562" s="7">
        <f t="shared" si="73"/>
        <v>-0.17790156078096836</v>
      </c>
      <c r="E1562" s="8">
        <f t="shared" si="74"/>
        <v>-0.67268190471029909</v>
      </c>
    </row>
    <row r="1563" spans="1:5" x14ac:dyDescent="0.2">
      <c r="A1563" s="1">
        <v>43895</v>
      </c>
      <c r="B1563">
        <v>69182.58</v>
      </c>
      <c r="C1563" s="6">
        <f t="shared" si="72"/>
        <v>1.1806481686620934E-2</v>
      </c>
      <c r="D1563" s="7">
        <f t="shared" si="73"/>
        <v>0.96685718272898202</v>
      </c>
      <c r="E1563" s="8">
        <f t="shared" si="74"/>
        <v>-1.5938092331395799</v>
      </c>
    </row>
    <row r="1564" spans="1:5" x14ac:dyDescent="0.2">
      <c r="A1564" s="1">
        <v>43896</v>
      </c>
      <c r="B1564">
        <v>68491.23</v>
      </c>
      <c r="C1564" s="6">
        <f t="shared" si="72"/>
        <v>-1.0043388954567585E-2</v>
      </c>
      <c r="D1564" s="7">
        <f t="shared" si="73"/>
        <v>-0.86888054211347243</v>
      </c>
      <c r="E1564" s="8">
        <f t="shared" si="74"/>
        <v>-1.435499787019036</v>
      </c>
    </row>
    <row r="1565" spans="1:5" x14ac:dyDescent="0.2">
      <c r="A1565" s="1">
        <v>43899</v>
      </c>
      <c r="B1565">
        <v>65798.41</v>
      </c>
      <c r="C1565" s="6">
        <f t="shared" si="72"/>
        <v>-4.0110033969086419E-2</v>
      </c>
      <c r="D1565" s="7">
        <f t="shared" si="73"/>
        <v>-3.3949584040369718</v>
      </c>
      <c r="E1565" s="8">
        <f t="shared" si="74"/>
        <v>-5.4128749104159786</v>
      </c>
    </row>
    <row r="1566" spans="1:5" x14ac:dyDescent="0.2">
      <c r="A1566" s="1">
        <v>43900</v>
      </c>
      <c r="B1566">
        <v>66943.28</v>
      </c>
      <c r="C1566" s="6">
        <f t="shared" si="72"/>
        <v>1.7250019780862956E-2</v>
      </c>
      <c r="D1566" s="7">
        <f t="shared" si="73"/>
        <v>1.4242012283902756</v>
      </c>
      <c r="E1566" s="8">
        <f t="shared" si="74"/>
        <v>-2.3862037856011198</v>
      </c>
    </row>
    <row r="1567" spans="1:5" x14ac:dyDescent="0.2">
      <c r="A1567" s="1">
        <v>43901</v>
      </c>
      <c r="B1567">
        <v>66699.56</v>
      </c>
      <c r="C1567" s="6">
        <f t="shared" si="72"/>
        <v>-3.6473374882681421E-3</v>
      </c>
      <c r="D1567" s="7">
        <f t="shared" si="73"/>
        <v>-0.33151017688182233</v>
      </c>
      <c r="E1567" s="8">
        <f t="shared" si="74"/>
        <v>-0.76738761796128918</v>
      </c>
    </row>
    <row r="1568" spans="1:5" x14ac:dyDescent="0.2">
      <c r="A1568" s="1">
        <v>43902</v>
      </c>
      <c r="B1568">
        <v>60884.22</v>
      </c>
      <c r="C1568" s="6">
        <f t="shared" si="72"/>
        <v>-9.122432835846303E-2</v>
      </c>
      <c r="D1568" s="7">
        <f t="shared" si="73"/>
        <v>-7.689374605861115</v>
      </c>
      <c r="E1568" s="8">
        <f t="shared" si="74"/>
        <v>-9.1786373602860465</v>
      </c>
    </row>
    <row r="1569" spans="1:5" x14ac:dyDescent="0.2">
      <c r="A1569" s="1">
        <v>43903</v>
      </c>
      <c r="B1569">
        <v>60016.53</v>
      </c>
      <c r="C1569" s="6">
        <f t="shared" si="72"/>
        <v>-1.4354003560762994E-2</v>
      </c>
      <c r="D1569" s="7">
        <f t="shared" si="73"/>
        <v>-1.2310409402136315</v>
      </c>
      <c r="E1569" s="8">
        <f t="shared" si="74"/>
        <v>-2.0455509127456719</v>
      </c>
    </row>
    <row r="1570" spans="1:5" x14ac:dyDescent="0.2">
      <c r="A1570" s="1">
        <v>43906</v>
      </c>
      <c r="B1570">
        <v>55613.56</v>
      </c>
      <c r="C1570" s="6">
        <f t="shared" si="72"/>
        <v>-7.6192967865407232E-2</v>
      </c>
      <c r="D1570" s="7">
        <f t="shared" si="73"/>
        <v>-6.4265005153942774</v>
      </c>
      <c r="E1570" s="8">
        <f t="shared" si="74"/>
        <v>-8.3179540835690737</v>
      </c>
    </row>
    <row r="1571" spans="1:5" x14ac:dyDescent="0.2">
      <c r="A1571" s="1">
        <v>43907</v>
      </c>
      <c r="B1571">
        <v>57182.83</v>
      </c>
      <c r="C1571" s="6">
        <f t="shared" si="72"/>
        <v>2.7826622085559617E-2</v>
      </c>
      <c r="D1571" s="7">
        <f t="shared" si="73"/>
        <v>2.312804560200719</v>
      </c>
      <c r="E1571" s="8">
        <f t="shared" si="74"/>
        <v>-3.8890756188857654</v>
      </c>
    </row>
    <row r="1572" spans="1:5" x14ac:dyDescent="0.2">
      <c r="A1572" s="1">
        <v>43908</v>
      </c>
      <c r="B1572">
        <v>54930.43</v>
      </c>
      <c r="C1572" s="6">
        <f t="shared" si="72"/>
        <v>-4.0186203030295867E-2</v>
      </c>
      <c r="D1572" s="7">
        <f t="shared" si="73"/>
        <v>-3.4013578203733066</v>
      </c>
      <c r="E1572" s="8">
        <f t="shared" si="74"/>
        <v>-5.4208923539585907</v>
      </c>
    </row>
    <row r="1573" spans="1:5" x14ac:dyDescent="0.2">
      <c r="A1573" s="1">
        <v>43909</v>
      </c>
      <c r="B1573">
        <v>56209.599999999999</v>
      </c>
      <c r="C1573" s="6">
        <f t="shared" si="72"/>
        <v>2.3020085348362751E-2</v>
      </c>
      <c r="D1573" s="7">
        <f t="shared" si="73"/>
        <v>1.9089787911968301</v>
      </c>
      <c r="E1573" s="8">
        <f t="shared" si="74"/>
        <v>-3.2294591787691873</v>
      </c>
    </row>
    <row r="1574" spans="1:5" x14ac:dyDescent="0.2">
      <c r="A1574" s="1">
        <v>43910</v>
      </c>
      <c r="B1574">
        <v>59016.1</v>
      </c>
      <c r="C1574" s="6">
        <f t="shared" si="72"/>
        <v>4.8722727219142503E-2</v>
      </c>
      <c r="D1574" s="7">
        <f t="shared" si="73"/>
        <v>4.0684107661103024</v>
      </c>
      <c r="E1574" s="8">
        <f t="shared" si="74"/>
        <v>-6.2019230299490742</v>
      </c>
    </row>
    <row r="1575" spans="1:5" x14ac:dyDescent="0.2">
      <c r="A1575" s="1">
        <v>43913</v>
      </c>
      <c r="B1575">
        <v>57112.73</v>
      </c>
      <c r="C1575" s="6">
        <f t="shared" si="72"/>
        <v>-3.2783254015607451E-2</v>
      </c>
      <c r="D1575" s="7">
        <f t="shared" si="73"/>
        <v>-2.7793919971189136</v>
      </c>
      <c r="E1575" s="8">
        <f t="shared" si="74"/>
        <v>-4.5889201504452277</v>
      </c>
    </row>
    <row r="1576" spans="1:5" x14ac:dyDescent="0.2">
      <c r="A1576" s="1">
        <v>43914</v>
      </c>
      <c r="B1576">
        <v>60235.66</v>
      </c>
      <c r="C1576" s="6">
        <f t="shared" si="72"/>
        <v>5.3237501722840169E-2</v>
      </c>
      <c r="D1576" s="7">
        <f t="shared" si="73"/>
        <v>4.4477238527503369</v>
      </c>
      <c r="E1576" s="8">
        <f t="shared" si="74"/>
        <v>-6.6027166907748525</v>
      </c>
    </row>
    <row r="1577" spans="1:5" x14ac:dyDescent="0.2">
      <c r="A1577" s="1">
        <v>43915</v>
      </c>
      <c r="B1577">
        <v>62201.96</v>
      </c>
      <c r="C1577" s="6">
        <f t="shared" si="72"/>
        <v>3.2121974759144759E-2</v>
      </c>
      <c r="D1577" s="7">
        <f t="shared" si="73"/>
        <v>2.6736827124740374</v>
      </c>
      <c r="E1577" s="8">
        <f t="shared" si="74"/>
        <v>-4.4362821565666657</v>
      </c>
    </row>
    <row r="1578" spans="1:5" x14ac:dyDescent="0.2">
      <c r="A1578" s="1">
        <v>43916</v>
      </c>
      <c r="B1578">
        <v>64624.29</v>
      </c>
      <c r="C1578" s="6">
        <f t="shared" si="72"/>
        <v>3.8203835805209536E-2</v>
      </c>
      <c r="D1578" s="7">
        <f t="shared" si="73"/>
        <v>3.184656069838665</v>
      </c>
      <c r="E1578" s="8">
        <f t="shared" si="74"/>
        <v>-5.1433472127376376</v>
      </c>
    </row>
    <row r="1579" spans="1:5" x14ac:dyDescent="0.2">
      <c r="A1579" s="1">
        <v>43917</v>
      </c>
      <c r="B1579">
        <v>62301.61</v>
      </c>
      <c r="C1579" s="6">
        <f t="shared" si="72"/>
        <v>-3.6603078151773501E-2</v>
      </c>
      <c r="D1579" s="7">
        <f t="shared" si="73"/>
        <v>-3.1003181657070833</v>
      </c>
      <c r="E1579" s="8">
        <f t="shared" si="74"/>
        <v>-5.031863913329448</v>
      </c>
    </row>
    <row r="1580" spans="1:5" x14ac:dyDescent="0.2">
      <c r="A1580" s="1">
        <v>43920</v>
      </c>
      <c r="B1580">
        <v>63231.72</v>
      </c>
      <c r="C1580" s="6">
        <f t="shared" si="72"/>
        <v>1.4818805821826667E-2</v>
      </c>
      <c r="D1580" s="7">
        <f t="shared" si="73"/>
        <v>1.2199404684499722</v>
      </c>
      <c r="E1580" s="8">
        <f t="shared" si="74"/>
        <v>-2.0261135643039583</v>
      </c>
    </row>
    <row r="1581" spans="1:5" x14ac:dyDescent="0.2">
      <c r="A1581" s="1">
        <v>43921</v>
      </c>
      <c r="B1581">
        <v>64676.959999999999</v>
      </c>
      <c r="C1581" s="6">
        <f t="shared" si="72"/>
        <v>2.2598959007966671E-2</v>
      </c>
      <c r="D1581" s="7">
        <f t="shared" si="73"/>
        <v>1.8735974599896501</v>
      </c>
      <c r="E1581" s="8">
        <f t="shared" si="74"/>
        <v>-3.1694766738205278</v>
      </c>
    </row>
    <row r="1582" spans="1:5" x14ac:dyDescent="0.2">
      <c r="A1582" s="1">
        <v>43922</v>
      </c>
      <c r="B1582">
        <v>63794.47</v>
      </c>
      <c r="C1582" s="6">
        <f t="shared" si="72"/>
        <v>-1.3738523507834784E-2</v>
      </c>
      <c r="D1582" s="7">
        <f t="shared" si="73"/>
        <v>-1.1793307964511106</v>
      </c>
      <c r="E1582" s="8">
        <f t="shared" si="74"/>
        <v>-1.9552360100547233</v>
      </c>
    </row>
    <row r="1583" spans="1:5" x14ac:dyDescent="0.2">
      <c r="A1583" s="1">
        <v>43923</v>
      </c>
      <c r="B1583">
        <v>65318.400000000001</v>
      </c>
      <c r="C1583" s="6">
        <f t="shared" si="72"/>
        <v>2.3607263529327457E-2</v>
      </c>
      <c r="D1583" s="7">
        <f t="shared" si="73"/>
        <v>1.9583111261887525</v>
      </c>
      <c r="E1583" s="8">
        <f t="shared" si="74"/>
        <v>-3.3125482006409848</v>
      </c>
    </row>
    <row r="1584" spans="1:5" x14ac:dyDescent="0.2">
      <c r="A1584" s="1">
        <v>43924</v>
      </c>
      <c r="B1584">
        <v>65055.5</v>
      </c>
      <c r="C1584" s="6">
        <f t="shared" si="72"/>
        <v>-4.0330212771828838E-3</v>
      </c>
      <c r="D1584" s="7">
        <f t="shared" si="73"/>
        <v>-0.36391376831711025</v>
      </c>
      <c r="E1584" s="8">
        <f t="shared" si="74"/>
        <v>-0.79400728174520085</v>
      </c>
    </row>
    <row r="1585" spans="1:5" x14ac:dyDescent="0.2">
      <c r="A1585" s="1">
        <v>43927</v>
      </c>
      <c r="B1585">
        <v>66876.92</v>
      </c>
      <c r="C1585" s="6">
        <f t="shared" si="72"/>
        <v>2.7613163354189216E-2</v>
      </c>
      <c r="D1585" s="7">
        <f t="shared" si="73"/>
        <v>2.2948706212631134</v>
      </c>
      <c r="E1585" s="8">
        <f t="shared" si="74"/>
        <v>-3.8608210610961056</v>
      </c>
    </row>
    <row r="1586" spans="1:5" x14ac:dyDescent="0.2">
      <c r="A1586" s="1">
        <v>43928</v>
      </c>
      <c r="B1586">
        <v>67389.119999999995</v>
      </c>
      <c r="C1586" s="6">
        <f t="shared" si="72"/>
        <v>7.6296654711949484E-3</v>
      </c>
      <c r="D1586" s="7">
        <f t="shared" si="73"/>
        <v>0.61593798406163025</v>
      </c>
      <c r="E1586" s="8">
        <f t="shared" si="74"/>
        <v>-1.0685099419564015</v>
      </c>
    </row>
    <row r="1587" spans="1:5" x14ac:dyDescent="0.2">
      <c r="A1587" s="1">
        <v>43929</v>
      </c>
      <c r="B1587">
        <v>66606.33</v>
      </c>
      <c r="C1587" s="6">
        <f t="shared" si="72"/>
        <v>-1.1683962480712792E-2</v>
      </c>
      <c r="D1587" s="7">
        <f t="shared" si="73"/>
        <v>-1.0067148918805311</v>
      </c>
      <c r="E1587" s="8">
        <f t="shared" si="74"/>
        <v>-1.6600103898997565</v>
      </c>
    </row>
    <row r="1588" spans="1:5" x14ac:dyDescent="0.2">
      <c r="A1588" s="1">
        <v>43930</v>
      </c>
      <c r="B1588">
        <v>67324.42</v>
      </c>
      <c r="C1588" s="6">
        <f t="shared" si="72"/>
        <v>1.0723405658069528E-2</v>
      </c>
      <c r="D1588" s="7">
        <f t="shared" si="73"/>
        <v>0.87586151702758497</v>
      </c>
      <c r="E1588" s="8">
        <f t="shared" si="74"/>
        <v>-1.4465432742766191</v>
      </c>
    </row>
    <row r="1589" spans="1:5" x14ac:dyDescent="0.2">
      <c r="A1589" s="1">
        <v>43935</v>
      </c>
      <c r="B1589">
        <v>68895.839999999997</v>
      </c>
      <c r="C1589" s="6">
        <f t="shared" si="72"/>
        <v>2.3072775105372437E-2</v>
      </c>
      <c r="D1589" s="7">
        <f t="shared" si="73"/>
        <v>1.9134055713935572</v>
      </c>
      <c r="E1589" s="8">
        <f t="shared" si="74"/>
        <v>-3.2369413148513999</v>
      </c>
    </row>
    <row r="1590" spans="1:5" x14ac:dyDescent="0.2">
      <c r="A1590" s="1">
        <v>43936</v>
      </c>
      <c r="B1590">
        <v>68373.16</v>
      </c>
      <c r="C1590" s="6">
        <f t="shared" si="72"/>
        <v>-7.6154488787580632E-3</v>
      </c>
      <c r="D1590" s="7">
        <f t="shared" si="73"/>
        <v>-0.66489484059547266</v>
      </c>
      <c r="E1590" s="8">
        <f t="shared" si="74"/>
        <v>-1.1336585566459116</v>
      </c>
    </row>
    <row r="1591" spans="1:5" x14ac:dyDescent="0.2">
      <c r="A1591" s="1">
        <v>43937</v>
      </c>
      <c r="B1591">
        <v>69456.98</v>
      </c>
      <c r="C1591" s="6">
        <f t="shared" si="72"/>
        <v>1.5727218150273174E-2</v>
      </c>
      <c r="D1591" s="7">
        <f t="shared" si="73"/>
        <v>1.2962615967727034</v>
      </c>
      <c r="E1591" s="8">
        <f t="shared" si="74"/>
        <v>-2.1601804264255504</v>
      </c>
    </row>
    <row r="1592" spans="1:5" x14ac:dyDescent="0.2">
      <c r="A1592" s="1">
        <v>43938</v>
      </c>
      <c r="B1592">
        <v>70183.199999999997</v>
      </c>
      <c r="C1592" s="6">
        <f t="shared" si="72"/>
        <v>1.0401398041896987E-2</v>
      </c>
      <c r="D1592" s="7">
        <f t="shared" si="73"/>
        <v>0.84880773998690007</v>
      </c>
      <c r="E1592" s="8">
        <f t="shared" si="74"/>
        <v>-1.4039706001268488</v>
      </c>
    </row>
    <row r="1593" spans="1:5" x14ac:dyDescent="0.2">
      <c r="A1593" s="1">
        <v>43941</v>
      </c>
      <c r="B1593">
        <v>69999.22</v>
      </c>
      <c r="C1593" s="6">
        <f t="shared" si="72"/>
        <v>-2.6248670216144016E-3</v>
      </c>
      <c r="D1593" s="7">
        <f t="shared" si="73"/>
        <v>-0.2456063452758224</v>
      </c>
      <c r="E1593" s="8">
        <f t="shared" si="74"/>
        <v>-0.70780389120510445</v>
      </c>
    </row>
    <row r="1594" spans="1:5" x14ac:dyDescent="0.2">
      <c r="A1594" s="1">
        <v>43942</v>
      </c>
      <c r="B1594">
        <v>69086.009999999995</v>
      </c>
      <c r="C1594" s="6">
        <f t="shared" si="72"/>
        <v>-1.3131849056948313E-2</v>
      </c>
      <c r="D1594" s="7">
        <f t="shared" si="73"/>
        <v>-1.1283604637439235</v>
      </c>
      <c r="E1594" s="8">
        <f t="shared" si="74"/>
        <v>-1.866899682855</v>
      </c>
    </row>
    <row r="1595" spans="1:5" x14ac:dyDescent="0.2">
      <c r="A1595" s="1">
        <v>43943</v>
      </c>
      <c r="B1595">
        <v>69486.039999999994</v>
      </c>
      <c r="C1595" s="6">
        <f t="shared" si="72"/>
        <v>5.7736190124719746E-3</v>
      </c>
      <c r="D1595" s="7">
        <f t="shared" si="73"/>
        <v>0.46000047032115204</v>
      </c>
      <c r="E1595" s="8">
        <f t="shared" si="74"/>
        <v>-0.88533878333415794</v>
      </c>
    </row>
    <row r="1596" spans="1:5" x14ac:dyDescent="0.2">
      <c r="A1596" s="1">
        <v>43944</v>
      </c>
      <c r="B1596">
        <v>70677.81</v>
      </c>
      <c r="C1596" s="6">
        <f t="shared" si="72"/>
        <v>1.7005793165937508E-2</v>
      </c>
      <c r="D1596" s="7">
        <f t="shared" si="73"/>
        <v>1.403682296365842</v>
      </c>
      <c r="E1596" s="8">
        <f t="shared" si="74"/>
        <v>-2.3499161743456192</v>
      </c>
    </row>
    <row r="1597" spans="1:5" x14ac:dyDescent="0.2">
      <c r="A1597" s="1">
        <v>43945</v>
      </c>
      <c r="B1597">
        <v>70149.600000000006</v>
      </c>
      <c r="C1597" s="6">
        <f t="shared" si="72"/>
        <v>-7.5015577863811623E-3</v>
      </c>
      <c r="D1597" s="7">
        <f t="shared" si="73"/>
        <v>-0.65532617182698694</v>
      </c>
      <c r="E1597" s="8">
        <f t="shared" si="74"/>
        <v>-1.1206696955802495</v>
      </c>
    </row>
    <row r="1598" spans="1:5" x14ac:dyDescent="0.2">
      <c r="A1598" s="1">
        <v>43949</v>
      </c>
      <c r="B1598">
        <v>71712.55</v>
      </c>
      <c r="C1598" s="6">
        <f t="shared" si="72"/>
        <v>2.2035662691049146E-2</v>
      </c>
      <c r="D1598" s="7">
        <f t="shared" si="73"/>
        <v>1.826271582586924</v>
      </c>
      <c r="E1598" s="8">
        <f t="shared" si="74"/>
        <v>-3.0887566908054818</v>
      </c>
    </row>
    <row r="1599" spans="1:5" x14ac:dyDescent="0.2">
      <c r="A1599" s="1">
        <v>43950</v>
      </c>
      <c r="B1599">
        <v>71487.33</v>
      </c>
      <c r="C1599" s="6">
        <f t="shared" si="72"/>
        <v>-3.1455359557745893E-3</v>
      </c>
      <c r="D1599" s="7">
        <f t="shared" si="73"/>
        <v>-0.28935084245328385</v>
      </c>
      <c r="E1599" s="8">
        <f t="shared" si="74"/>
        <v>-0.73610631839094021</v>
      </c>
    </row>
    <row r="1600" spans="1:5" x14ac:dyDescent="0.2">
      <c r="A1600" s="1">
        <v>43951</v>
      </c>
      <c r="B1600">
        <v>70875.48</v>
      </c>
      <c r="C1600" s="6">
        <f t="shared" si="72"/>
        <v>-8.5956966887331052E-3</v>
      </c>
      <c r="D1600" s="7">
        <f t="shared" si="73"/>
        <v>-0.7472512954237791</v>
      </c>
      <c r="E1600" s="8">
        <f t="shared" si="74"/>
        <v>-1.2501635881352569</v>
      </c>
    </row>
    <row r="1601" spans="1:5" x14ac:dyDescent="0.2">
      <c r="A1601" s="1">
        <v>43955</v>
      </c>
      <c r="B1601">
        <v>69736.73</v>
      </c>
      <c r="C1601" s="6">
        <f t="shared" si="72"/>
        <v>-1.6197382806335207E-2</v>
      </c>
      <c r="D1601" s="7">
        <f t="shared" si="73"/>
        <v>-1.3859142059578018</v>
      </c>
      <c r="E1601" s="8">
        <f t="shared" si="74"/>
        <v>-2.3184954528401227</v>
      </c>
    </row>
    <row r="1602" spans="1:5" x14ac:dyDescent="0.2">
      <c r="A1602" s="1">
        <v>43956</v>
      </c>
      <c r="B1602">
        <v>69957.539999999994</v>
      </c>
      <c r="C1602" s="6">
        <f t="shared" si="72"/>
        <v>3.1613348764927087E-3</v>
      </c>
      <c r="D1602" s="7">
        <f t="shared" si="73"/>
        <v>0.24052692673939624</v>
      </c>
      <c r="E1602" s="8">
        <f t="shared" si="74"/>
        <v>-0.70479866765175037</v>
      </c>
    </row>
    <row r="1603" spans="1:5" x14ac:dyDescent="0.2">
      <c r="A1603" s="1">
        <v>43957</v>
      </c>
      <c r="B1603">
        <v>70968.83</v>
      </c>
      <c r="C1603" s="6">
        <f t="shared" ref="C1603:C1666" si="75">LN(B1603/B1602)</f>
        <v>1.4352279979998866E-2</v>
      </c>
      <c r="D1603" s="7">
        <f t="shared" ref="D1603:D1666" si="76">(C1603-$G$4)/$G$5</f>
        <v>1.1807448548227331</v>
      </c>
      <c r="E1603" s="8">
        <f t="shared" ref="E1603:E1666" si="77">LN((PI()*(G$3-2))^(-1/2)*EXP(GAMMALN((G$3+1)/2))*((1+D1603^2/(G$3-2))^(-(G$3+1)/2))/EXP(GAMMALN(G$3/2)))</f>
        <v>-1.9576972857433512</v>
      </c>
    </row>
    <row r="1604" spans="1:5" x14ac:dyDescent="0.2">
      <c r="A1604" s="1">
        <v>43958</v>
      </c>
      <c r="B1604">
        <v>70868.3</v>
      </c>
      <c r="C1604" s="6">
        <f t="shared" si="75"/>
        <v>-1.417541610351989E-3</v>
      </c>
      <c r="D1604" s="7">
        <f t="shared" si="76"/>
        <v>-0.14417174916258951</v>
      </c>
      <c r="E1604" s="8">
        <f t="shared" si="77"/>
        <v>-0.65924513918610961</v>
      </c>
    </row>
    <row r="1605" spans="1:5" x14ac:dyDescent="0.2">
      <c r="A1605" s="1">
        <v>43959</v>
      </c>
      <c r="B1605">
        <v>72143.789999999994</v>
      </c>
      <c r="C1605" s="6">
        <f t="shared" si="75"/>
        <v>1.783798587795524E-2</v>
      </c>
      <c r="D1605" s="7">
        <f t="shared" si="76"/>
        <v>1.4735997609072615</v>
      </c>
      <c r="E1605" s="8">
        <f t="shared" si="77"/>
        <v>-2.4735313381959809</v>
      </c>
    </row>
    <row r="1606" spans="1:5" x14ac:dyDescent="0.2">
      <c r="A1606" s="1">
        <v>43962</v>
      </c>
      <c r="B1606">
        <v>73175.009999999995</v>
      </c>
      <c r="C1606" s="6">
        <f t="shared" si="75"/>
        <v>1.4192758407120074E-2</v>
      </c>
      <c r="D1606" s="7">
        <f t="shared" si="76"/>
        <v>1.1673424977072735</v>
      </c>
      <c r="E1606" s="8">
        <f t="shared" si="77"/>
        <v>-1.9343909233548326</v>
      </c>
    </row>
    <row r="1607" spans="1:5" x14ac:dyDescent="0.2">
      <c r="A1607" s="1">
        <v>43963</v>
      </c>
      <c r="B1607">
        <v>73364.539999999994</v>
      </c>
      <c r="C1607" s="6">
        <f t="shared" si="75"/>
        <v>2.5867433833742558E-3</v>
      </c>
      <c r="D1607" s="7">
        <f t="shared" si="76"/>
        <v>0.19225207433350933</v>
      </c>
      <c r="E1607" s="8">
        <f t="shared" si="77"/>
        <v>-0.67922581800093407</v>
      </c>
    </row>
    <row r="1608" spans="1:5" x14ac:dyDescent="0.2">
      <c r="A1608" s="1">
        <v>43964</v>
      </c>
      <c r="B1608">
        <v>74118.87</v>
      </c>
      <c r="C1608" s="6">
        <f t="shared" si="75"/>
        <v>1.0229443133174811E-2</v>
      </c>
      <c r="D1608" s="7">
        <f t="shared" si="76"/>
        <v>0.83436078430021099</v>
      </c>
      <c r="E1608" s="8">
        <f t="shared" si="77"/>
        <v>-1.3814922368699953</v>
      </c>
    </row>
    <row r="1609" spans="1:5" x14ac:dyDescent="0.2">
      <c r="A1609" s="1">
        <v>43965</v>
      </c>
      <c r="B1609">
        <v>72457.09</v>
      </c>
      <c r="C1609" s="6">
        <f t="shared" si="75"/>
        <v>-2.2675631181015427E-2</v>
      </c>
      <c r="D1609" s="7">
        <f t="shared" si="76"/>
        <v>-1.9301904228559406</v>
      </c>
      <c r="E1609" s="8">
        <f t="shared" si="77"/>
        <v>-3.2652644373394626</v>
      </c>
    </row>
    <row r="1610" spans="1:5" x14ac:dyDescent="0.2">
      <c r="A1610" s="1">
        <v>43966</v>
      </c>
      <c r="B1610">
        <v>71596.38</v>
      </c>
      <c r="C1610" s="6">
        <f t="shared" si="75"/>
        <v>-1.1950010542918544E-2</v>
      </c>
      <c r="D1610" s="7">
        <f t="shared" si="76"/>
        <v>-1.0290671736140291</v>
      </c>
      <c r="E1610" s="8">
        <f t="shared" si="77"/>
        <v>-1.6975196719637071</v>
      </c>
    </row>
    <row r="1611" spans="1:5" x14ac:dyDescent="0.2">
      <c r="A1611" s="1">
        <v>43969</v>
      </c>
      <c r="B1611">
        <v>72956.84</v>
      </c>
      <c r="C1611" s="6">
        <f t="shared" si="75"/>
        <v>1.8823519395351186E-2</v>
      </c>
      <c r="D1611" s="7">
        <f t="shared" si="76"/>
        <v>1.5564002994866517</v>
      </c>
      <c r="E1611" s="8">
        <f t="shared" si="77"/>
        <v>-2.6195807423081376</v>
      </c>
    </row>
    <row r="1612" spans="1:5" x14ac:dyDescent="0.2">
      <c r="A1612" s="1">
        <v>43970</v>
      </c>
      <c r="B1612">
        <v>73644.740000000005</v>
      </c>
      <c r="C1612" s="6">
        <f t="shared" si="75"/>
        <v>9.3846880605407291E-3</v>
      </c>
      <c r="D1612" s="7">
        <f t="shared" si="76"/>
        <v>0.76338788104818245</v>
      </c>
      <c r="E1612" s="8">
        <f t="shared" si="77"/>
        <v>-1.2739087512395753</v>
      </c>
    </row>
    <row r="1613" spans="1:5" x14ac:dyDescent="0.2">
      <c r="A1613" s="1">
        <v>43971</v>
      </c>
      <c r="B1613">
        <v>74462.41</v>
      </c>
      <c r="C1613" s="6">
        <f t="shared" si="75"/>
        <v>1.1041712806855317E-2</v>
      </c>
      <c r="D1613" s="7">
        <f t="shared" si="76"/>
        <v>0.90260439577084006</v>
      </c>
      <c r="E1613" s="8">
        <f t="shared" si="77"/>
        <v>-1.4892046757679402</v>
      </c>
    </row>
    <row r="1614" spans="1:5" x14ac:dyDescent="0.2">
      <c r="A1614" s="1">
        <v>43972</v>
      </c>
      <c r="B1614">
        <v>72717.73</v>
      </c>
      <c r="C1614" s="6">
        <f t="shared" si="75"/>
        <v>-2.3709200531553665E-2</v>
      </c>
      <c r="D1614" s="7">
        <f t="shared" si="76"/>
        <v>-2.0170267377788904</v>
      </c>
      <c r="E1614" s="8">
        <f t="shared" si="77"/>
        <v>-3.4105799301912101</v>
      </c>
    </row>
    <row r="1615" spans="1:5" x14ac:dyDescent="0.2">
      <c r="A1615" s="1">
        <v>43973</v>
      </c>
      <c r="B1615">
        <v>71237.679999999993</v>
      </c>
      <c r="C1615" s="6">
        <f t="shared" si="75"/>
        <v>-2.0563341843437399E-2</v>
      </c>
      <c r="D1615" s="7">
        <f t="shared" si="76"/>
        <v>-1.7527244192144864</v>
      </c>
      <c r="E1615" s="8">
        <f t="shared" si="77"/>
        <v>-2.9622763498657472</v>
      </c>
    </row>
    <row r="1616" spans="1:5" x14ac:dyDescent="0.2">
      <c r="A1616" s="1">
        <v>43976</v>
      </c>
      <c r="B1616">
        <v>71037.77</v>
      </c>
      <c r="C1616" s="6">
        <f t="shared" si="75"/>
        <v>-2.8101844915576269E-3</v>
      </c>
      <c r="D1616" s="7">
        <f t="shared" si="76"/>
        <v>-0.26117596929024778</v>
      </c>
      <c r="E1616" s="8">
        <f t="shared" si="77"/>
        <v>-0.7173827088030752</v>
      </c>
    </row>
    <row r="1617" spans="1:5" x14ac:dyDescent="0.2">
      <c r="A1617" s="1">
        <v>43977</v>
      </c>
      <c r="B1617">
        <v>71745.460000000006</v>
      </c>
      <c r="C1617" s="6">
        <f t="shared" si="75"/>
        <v>9.9128699509942082E-3</v>
      </c>
      <c r="D1617" s="7">
        <f t="shared" si="76"/>
        <v>0.80776358641534773</v>
      </c>
      <c r="E1617" s="8">
        <f t="shared" si="77"/>
        <v>-1.3406026623372653</v>
      </c>
    </row>
    <row r="1618" spans="1:5" x14ac:dyDescent="0.2">
      <c r="A1618" s="1">
        <v>43978</v>
      </c>
      <c r="B1618">
        <v>71255.070000000007</v>
      </c>
      <c r="C1618" s="6">
        <f t="shared" si="75"/>
        <v>-6.8586028645488397E-3</v>
      </c>
      <c r="D1618" s="7">
        <f t="shared" si="76"/>
        <v>-0.60130770074479278</v>
      </c>
      <c r="E1618" s="8">
        <f t="shared" si="77"/>
        <v>-1.0496930937971927</v>
      </c>
    </row>
    <row r="1619" spans="1:5" x14ac:dyDescent="0.2">
      <c r="A1619" s="1">
        <v>43979</v>
      </c>
      <c r="B1619">
        <v>71658.259999999995</v>
      </c>
      <c r="C1619" s="6">
        <f t="shared" si="75"/>
        <v>5.6424557416218215E-3</v>
      </c>
      <c r="D1619" s="7">
        <f t="shared" si="76"/>
        <v>0.44898066300204303</v>
      </c>
      <c r="E1619" s="8">
        <f t="shared" si="77"/>
        <v>-0.87396588237592931</v>
      </c>
    </row>
    <row r="1620" spans="1:5" x14ac:dyDescent="0.2">
      <c r="A1620" s="1">
        <v>43980</v>
      </c>
      <c r="B1620">
        <v>69740.28</v>
      </c>
      <c r="C1620" s="6">
        <f t="shared" si="75"/>
        <v>-2.7130374101538176E-2</v>
      </c>
      <c r="D1620" s="7">
        <f t="shared" si="76"/>
        <v>-2.3044598987704963</v>
      </c>
      <c r="E1620" s="8">
        <f t="shared" si="77"/>
        <v>-3.875941203786454</v>
      </c>
    </row>
    <row r="1621" spans="1:5" x14ac:dyDescent="0.2">
      <c r="A1621" s="1">
        <v>43983</v>
      </c>
      <c r="B1621">
        <v>70544.69</v>
      </c>
      <c r="C1621" s="6">
        <f t="shared" si="75"/>
        <v>1.1468353545277138E-2</v>
      </c>
      <c r="D1621" s="7">
        <f t="shared" si="76"/>
        <v>0.93844902438842059</v>
      </c>
      <c r="E1621" s="8">
        <f t="shared" si="77"/>
        <v>-1.547215422676735</v>
      </c>
    </row>
    <row r="1622" spans="1:5" x14ac:dyDescent="0.2">
      <c r="A1622" s="1">
        <v>43984</v>
      </c>
      <c r="B1622">
        <v>72055.47</v>
      </c>
      <c r="C1622" s="6">
        <f t="shared" si="75"/>
        <v>2.118982936688401E-2</v>
      </c>
      <c r="D1622" s="7">
        <f t="shared" si="76"/>
        <v>1.7552080890039534</v>
      </c>
      <c r="E1622" s="8">
        <f t="shared" si="77"/>
        <v>-2.9665669541936741</v>
      </c>
    </row>
    <row r="1623" spans="1:5" x14ac:dyDescent="0.2">
      <c r="A1623" s="1">
        <v>43985</v>
      </c>
      <c r="B1623">
        <v>73430.2</v>
      </c>
      <c r="C1623" s="6">
        <f t="shared" si="75"/>
        <v>1.8899056078089903E-2</v>
      </c>
      <c r="D1623" s="7">
        <f t="shared" si="76"/>
        <v>1.5627465859425325</v>
      </c>
      <c r="E1623" s="8">
        <f t="shared" si="77"/>
        <v>-2.6307484096971141</v>
      </c>
    </row>
    <row r="1624" spans="1:5" x14ac:dyDescent="0.2">
      <c r="A1624" s="1">
        <v>43986</v>
      </c>
      <c r="B1624">
        <v>72440.17</v>
      </c>
      <c r="C1624" s="6">
        <f t="shared" si="75"/>
        <v>-1.3574315360029069E-2</v>
      </c>
      <c r="D1624" s="7">
        <f t="shared" si="76"/>
        <v>-1.1655346922725707</v>
      </c>
      <c r="E1624" s="8">
        <f t="shared" si="77"/>
        <v>-1.9312509560374185</v>
      </c>
    </row>
    <row r="1625" spans="1:5" x14ac:dyDescent="0.2">
      <c r="A1625" s="1">
        <v>43987</v>
      </c>
      <c r="B1625">
        <v>74264.52</v>
      </c>
      <c r="C1625" s="6">
        <f t="shared" si="75"/>
        <v>2.4872334337669964E-2</v>
      </c>
      <c r="D1625" s="7">
        <f t="shared" si="76"/>
        <v>2.0645972569218798</v>
      </c>
      <c r="E1625" s="8">
        <f t="shared" si="77"/>
        <v>-3.4892921725259982</v>
      </c>
    </row>
    <row r="1626" spans="1:5" x14ac:dyDescent="0.2">
      <c r="A1626" s="1">
        <v>43990</v>
      </c>
      <c r="B1626">
        <v>73721.67</v>
      </c>
      <c r="C1626" s="6">
        <f t="shared" si="75"/>
        <v>-7.3365282921373318E-3</v>
      </c>
      <c r="D1626" s="7">
        <f t="shared" si="76"/>
        <v>-0.64146106144395398</v>
      </c>
      <c r="E1626" s="8">
        <f t="shared" si="77"/>
        <v>-1.1020654011520103</v>
      </c>
    </row>
    <row r="1627" spans="1:5" x14ac:dyDescent="0.2">
      <c r="A1627" s="1">
        <v>43991</v>
      </c>
      <c r="B1627">
        <v>73374.95</v>
      </c>
      <c r="C1627" s="6">
        <f t="shared" si="75"/>
        <v>-4.7141891107088637E-3</v>
      </c>
      <c r="D1627" s="7">
        <f t="shared" si="76"/>
        <v>-0.42114273362712307</v>
      </c>
      <c r="E1627" s="8">
        <f t="shared" si="77"/>
        <v>-0.84624804240908191</v>
      </c>
    </row>
    <row r="1628" spans="1:5" x14ac:dyDescent="0.2">
      <c r="A1628" s="1">
        <v>43992</v>
      </c>
      <c r="B1628">
        <v>73369.56</v>
      </c>
      <c r="C1628" s="6">
        <f t="shared" si="75"/>
        <v>-7.3461010601649746E-5</v>
      </c>
      <c r="D1628" s="7">
        <f t="shared" si="76"/>
        <v>-3.1247535435695035E-2</v>
      </c>
      <c r="E1628" s="8">
        <f t="shared" si="77"/>
        <v>-0.63455597516630191</v>
      </c>
    </row>
    <row r="1629" spans="1:5" x14ac:dyDescent="0.2">
      <c r="A1629" s="1">
        <v>43993</v>
      </c>
      <c r="B1629">
        <v>72805.3</v>
      </c>
      <c r="C1629" s="6">
        <f t="shared" si="75"/>
        <v>-7.7203809559303668E-3</v>
      </c>
      <c r="D1629" s="7">
        <f t="shared" si="76"/>
        <v>-0.67371080915540371</v>
      </c>
      <c r="E1629" s="8">
        <f t="shared" si="77"/>
        <v>-1.1457315556228425</v>
      </c>
    </row>
    <row r="1630" spans="1:5" x14ac:dyDescent="0.2">
      <c r="A1630" s="1">
        <v>43994</v>
      </c>
      <c r="B1630">
        <v>73339.61</v>
      </c>
      <c r="C1630" s="6">
        <f t="shared" si="75"/>
        <v>7.3120901801587241E-3</v>
      </c>
      <c r="D1630" s="7">
        <f t="shared" si="76"/>
        <v>0.58925659304533518</v>
      </c>
      <c r="E1630" s="8">
        <f t="shared" si="77"/>
        <v>-1.0344293437865764</v>
      </c>
    </row>
    <row r="1631" spans="1:5" x14ac:dyDescent="0.2">
      <c r="A1631" s="1">
        <v>43997</v>
      </c>
      <c r="B1631">
        <v>71618.759999999995</v>
      </c>
      <c r="C1631" s="6">
        <f t="shared" si="75"/>
        <v>-2.3743794109798592E-2</v>
      </c>
      <c r="D1631" s="7">
        <f t="shared" si="76"/>
        <v>-2.0199331502544768</v>
      </c>
      <c r="E1631" s="8">
        <f t="shared" si="77"/>
        <v>-3.4154075084617705</v>
      </c>
    </row>
    <row r="1632" spans="1:5" x14ac:dyDescent="0.2">
      <c r="A1632" s="1">
        <v>43999</v>
      </c>
      <c r="B1632">
        <v>74653.81</v>
      </c>
      <c r="C1632" s="6">
        <f t="shared" si="75"/>
        <v>4.1504510040109285E-2</v>
      </c>
      <c r="D1632" s="7">
        <f t="shared" si="76"/>
        <v>3.4619653642469812</v>
      </c>
      <c r="E1632" s="8">
        <f t="shared" si="77"/>
        <v>-5.4962988049851589</v>
      </c>
    </row>
    <row r="1633" spans="1:5" x14ac:dyDescent="0.2">
      <c r="A1633" s="1">
        <v>44000</v>
      </c>
      <c r="B1633">
        <v>75291.070000000007</v>
      </c>
      <c r="C1633" s="6">
        <f t="shared" si="75"/>
        <v>8.4999746147881201E-3</v>
      </c>
      <c r="D1633" s="7">
        <f t="shared" si="76"/>
        <v>0.68905783696170264</v>
      </c>
      <c r="E1633" s="8">
        <f t="shared" si="77"/>
        <v>-1.1669854445564192</v>
      </c>
    </row>
    <row r="1634" spans="1:5" x14ac:dyDescent="0.2">
      <c r="A1634" s="1">
        <v>44001</v>
      </c>
      <c r="B1634">
        <v>75183.31</v>
      </c>
      <c r="C1634" s="6">
        <f t="shared" si="75"/>
        <v>-1.4322706419734057E-3</v>
      </c>
      <c r="D1634" s="7">
        <f t="shared" si="76"/>
        <v>-0.14540922280450949</v>
      </c>
      <c r="E1634" s="8">
        <f t="shared" si="77"/>
        <v>-0.6596895278651036</v>
      </c>
    </row>
    <row r="1635" spans="1:5" x14ac:dyDescent="0.2">
      <c r="A1635" s="1">
        <v>44004</v>
      </c>
      <c r="B1635">
        <v>75710.42</v>
      </c>
      <c r="C1635" s="6">
        <f t="shared" si="75"/>
        <v>6.986534749872605E-3</v>
      </c>
      <c r="D1635" s="7">
        <f t="shared" si="76"/>
        <v>0.5619047430175842</v>
      </c>
      <c r="E1635" s="8">
        <f t="shared" si="77"/>
        <v>-1.0006016130503883</v>
      </c>
    </row>
    <row r="1636" spans="1:5" x14ac:dyDescent="0.2">
      <c r="A1636" s="1">
        <v>44005</v>
      </c>
      <c r="B1636">
        <v>77512.08</v>
      </c>
      <c r="C1636" s="6">
        <f t="shared" si="75"/>
        <v>2.3517995596778408E-2</v>
      </c>
      <c r="D1636" s="7">
        <f t="shared" si="76"/>
        <v>1.9508111956816094</v>
      </c>
      <c r="E1636" s="8">
        <f t="shared" si="77"/>
        <v>-3.2999581464617518</v>
      </c>
    </row>
    <row r="1637" spans="1:5" x14ac:dyDescent="0.2">
      <c r="A1637" s="1">
        <v>44006</v>
      </c>
      <c r="B1637">
        <v>76118.05</v>
      </c>
      <c r="C1637" s="6">
        <f t="shared" si="75"/>
        <v>-1.8148370526747479E-2</v>
      </c>
      <c r="D1637" s="7">
        <f t="shared" si="76"/>
        <v>-1.549828300365016</v>
      </c>
      <c r="E1637" s="8">
        <f t="shared" si="77"/>
        <v>-2.6080112020904669</v>
      </c>
    </row>
    <row r="1638" spans="1:5" x14ac:dyDescent="0.2">
      <c r="A1638" s="1">
        <v>44007</v>
      </c>
      <c r="B1638">
        <v>74731.210000000006</v>
      </c>
      <c r="C1638" s="6">
        <f t="shared" si="75"/>
        <v>-1.8387615219386061E-2</v>
      </c>
      <c r="D1638" s="7">
        <f t="shared" si="76"/>
        <v>-1.5699286714361873</v>
      </c>
      <c r="E1638" s="8">
        <f t="shared" si="77"/>
        <v>-2.643381280683029</v>
      </c>
    </row>
    <row r="1639" spans="1:5" x14ac:dyDescent="0.2">
      <c r="A1639" s="1">
        <v>44008</v>
      </c>
      <c r="B1639">
        <v>74797.25</v>
      </c>
      <c r="C1639" s="6">
        <f t="shared" si="75"/>
        <v>8.8331016441815964E-4</v>
      </c>
      <c r="D1639" s="7">
        <f t="shared" si="76"/>
        <v>4.9136507512129432E-2</v>
      </c>
      <c r="E1639" s="8">
        <f t="shared" si="77"/>
        <v>-0.63635646381874911</v>
      </c>
    </row>
    <row r="1640" spans="1:5" x14ac:dyDescent="0.2">
      <c r="A1640" s="1">
        <v>44011</v>
      </c>
      <c r="B1640">
        <v>75144.66</v>
      </c>
      <c r="C1640" s="6">
        <f t="shared" si="75"/>
        <v>4.6339361913100511E-3</v>
      </c>
      <c r="D1640" s="7">
        <f t="shared" si="76"/>
        <v>0.36424893094050442</v>
      </c>
      <c r="E1640" s="8">
        <f t="shared" si="77"/>
        <v>-0.79429403269262233</v>
      </c>
    </row>
    <row r="1641" spans="1:5" x14ac:dyDescent="0.2">
      <c r="A1641" s="1">
        <v>44012</v>
      </c>
      <c r="B1641">
        <v>75481.17</v>
      </c>
      <c r="C1641" s="6">
        <f t="shared" si="75"/>
        <v>4.4681653851049866E-3</v>
      </c>
      <c r="D1641" s="7">
        <f t="shared" si="76"/>
        <v>0.35032153852589965</v>
      </c>
      <c r="E1641" s="8">
        <f t="shared" si="77"/>
        <v>-0.78257396602301466</v>
      </c>
    </row>
    <row r="1642" spans="1:5" x14ac:dyDescent="0.2">
      <c r="A1642" s="1">
        <v>44013</v>
      </c>
      <c r="B1642">
        <v>75233.149999999994</v>
      </c>
      <c r="C1642" s="6">
        <f t="shared" si="75"/>
        <v>-3.2912628858074674E-3</v>
      </c>
      <c r="D1642" s="7">
        <f t="shared" si="76"/>
        <v>-0.30159422949112491</v>
      </c>
      <c r="E1642" s="8">
        <f t="shared" si="77"/>
        <v>-0.74479219933026231</v>
      </c>
    </row>
    <row r="1643" spans="1:5" x14ac:dyDescent="0.2">
      <c r="A1643" s="1">
        <v>44014</v>
      </c>
      <c r="B1643">
        <v>76156.33</v>
      </c>
      <c r="C1643" s="6">
        <f t="shared" si="75"/>
        <v>1.2196243007501143E-2</v>
      </c>
      <c r="D1643" s="7">
        <f t="shared" si="76"/>
        <v>0.99960335190196825</v>
      </c>
      <c r="E1643" s="8">
        <f t="shared" si="77"/>
        <v>-1.6481322154405622</v>
      </c>
    </row>
    <row r="1644" spans="1:5" x14ac:dyDescent="0.2">
      <c r="A1644" s="1">
        <v>44015</v>
      </c>
      <c r="B1644">
        <v>76554.73</v>
      </c>
      <c r="C1644" s="6">
        <f t="shared" si="75"/>
        <v>5.2177085779172416E-3</v>
      </c>
      <c r="D1644" s="7">
        <f t="shared" si="76"/>
        <v>0.41329512487064118</v>
      </c>
      <c r="E1644" s="8">
        <f t="shared" si="77"/>
        <v>-0.83870158412392792</v>
      </c>
    </row>
    <row r="1645" spans="1:5" x14ac:dyDescent="0.2">
      <c r="A1645" s="1">
        <v>44018</v>
      </c>
      <c r="B1645">
        <v>76434.98</v>
      </c>
      <c r="C1645" s="6">
        <f t="shared" si="75"/>
        <v>-1.5654650820078842E-3</v>
      </c>
      <c r="D1645" s="7">
        <f t="shared" si="76"/>
        <v>-0.15659968074020272</v>
      </c>
      <c r="E1645" s="8">
        <f t="shared" si="77"/>
        <v>-0.66387670751979133</v>
      </c>
    </row>
    <row r="1646" spans="1:5" x14ac:dyDescent="0.2">
      <c r="A1646" s="1">
        <v>44019</v>
      </c>
      <c r="B1646">
        <v>76855.87</v>
      </c>
      <c r="C1646" s="6">
        <f t="shared" si="75"/>
        <v>5.4914048383115505E-3</v>
      </c>
      <c r="D1646" s="7">
        <f t="shared" si="76"/>
        <v>0.43628997727068297</v>
      </c>
      <c r="E1646" s="8">
        <f t="shared" si="77"/>
        <v>-0.86114824070615381</v>
      </c>
    </row>
    <row r="1647" spans="1:5" x14ac:dyDescent="0.2">
      <c r="A1647" s="1">
        <v>44020</v>
      </c>
      <c r="B1647">
        <v>77503.350000000006</v>
      </c>
      <c r="C1647" s="6">
        <f t="shared" si="75"/>
        <v>8.3893116005040527E-3</v>
      </c>
      <c r="D1647" s="7">
        <f t="shared" si="76"/>
        <v>0.679760378253499</v>
      </c>
      <c r="E1647" s="8">
        <f t="shared" si="77"/>
        <v>-1.1540739347349367</v>
      </c>
    </row>
    <row r="1648" spans="1:5" x14ac:dyDescent="0.2">
      <c r="A1648" s="1">
        <v>44021</v>
      </c>
      <c r="B1648">
        <v>77428.31</v>
      </c>
      <c r="C1648" s="6">
        <f t="shared" si="75"/>
        <v>-9.6868523667566176E-4</v>
      </c>
      <c r="D1648" s="7">
        <f t="shared" si="76"/>
        <v>-0.10646065275727025</v>
      </c>
      <c r="E1648" s="8">
        <f t="shared" si="77"/>
        <v>-0.6474955165486681</v>
      </c>
    </row>
    <row r="1649" spans="1:5" x14ac:dyDescent="0.2">
      <c r="A1649" s="1">
        <v>44022</v>
      </c>
      <c r="B1649">
        <v>76134.69</v>
      </c>
      <c r="C1649" s="6">
        <f t="shared" si="75"/>
        <v>-1.6848467425179914E-2</v>
      </c>
      <c r="D1649" s="7">
        <f t="shared" si="76"/>
        <v>-1.4406157012895329</v>
      </c>
      <c r="E1649" s="8">
        <f t="shared" si="77"/>
        <v>-2.415229621038522</v>
      </c>
    </row>
    <row r="1650" spans="1:5" x14ac:dyDescent="0.2">
      <c r="A1650" s="1">
        <v>44025</v>
      </c>
      <c r="B1650">
        <v>76910.63</v>
      </c>
      <c r="C1650" s="6">
        <f t="shared" si="75"/>
        <v>1.0140089858260849E-2</v>
      </c>
      <c r="D1650" s="7">
        <f t="shared" si="76"/>
        <v>0.82685368367287027</v>
      </c>
      <c r="E1650" s="8">
        <f t="shared" si="77"/>
        <v>-1.3698850931931412</v>
      </c>
    </row>
    <row r="1651" spans="1:5" x14ac:dyDescent="0.2">
      <c r="A1651" s="1">
        <v>44026</v>
      </c>
      <c r="B1651">
        <v>75515.64</v>
      </c>
      <c r="C1651" s="6">
        <f t="shared" si="75"/>
        <v>-1.8304311308168869E-2</v>
      </c>
      <c r="D1651" s="7">
        <f t="shared" si="76"/>
        <v>-1.5629298138704106</v>
      </c>
      <c r="E1651" s="8">
        <f t="shared" si="77"/>
        <v>-2.6310707713191577</v>
      </c>
    </row>
    <row r="1652" spans="1:5" x14ac:dyDescent="0.2">
      <c r="A1652" s="1">
        <v>44027</v>
      </c>
      <c r="B1652">
        <v>76137.759999999995</v>
      </c>
      <c r="C1652" s="6">
        <f t="shared" si="75"/>
        <v>8.2045439113960037E-3</v>
      </c>
      <c r="D1652" s="7">
        <f t="shared" si="76"/>
        <v>0.66423694460038518</v>
      </c>
      <c r="E1652" s="8">
        <f t="shared" si="77"/>
        <v>-1.1327616512694239</v>
      </c>
    </row>
    <row r="1653" spans="1:5" x14ac:dyDescent="0.2">
      <c r="A1653" s="1">
        <v>44028</v>
      </c>
      <c r="B1653">
        <v>74882.740000000005</v>
      </c>
      <c r="C1653" s="6">
        <f t="shared" si="75"/>
        <v>-1.662090765096514E-2</v>
      </c>
      <c r="D1653" s="7">
        <f t="shared" si="76"/>
        <v>-1.4214970497861585</v>
      </c>
      <c r="E1653" s="8">
        <f t="shared" si="77"/>
        <v>-2.3814215719431062</v>
      </c>
    </row>
    <row r="1654" spans="1:5" x14ac:dyDescent="0.2">
      <c r="A1654" s="1">
        <v>44029</v>
      </c>
      <c r="B1654">
        <v>74864.11</v>
      </c>
      <c r="C1654" s="6">
        <f t="shared" si="75"/>
        <v>-2.4881992637732251E-4</v>
      </c>
      <c r="D1654" s="7">
        <f t="shared" si="76"/>
        <v>-4.5980482022117602E-2</v>
      </c>
      <c r="E1654" s="8">
        <f t="shared" si="77"/>
        <v>-0.63598070445964805</v>
      </c>
    </row>
    <row r="1655" spans="1:5" x14ac:dyDescent="0.2">
      <c r="A1655" s="1">
        <v>44032</v>
      </c>
      <c r="B1655">
        <v>75017.759999999995</v>
      </c>
      <c r="C1655" s="6">
        <f t="shared" si="75"/>
        <v>2.0502820497810361E-3</v>
      </c>
      <c r="D1655" s="7">
        <f t="shared" si="76"/>
        <v>0.14718076365307237</v>
      </c>
      <c r="E1655" s="8">
        <f t="shared" si="77"/>
        <v>-0.66033217571610681</v>
      </c>
    </row>
    <row r="1656" spans="1:5" x14ac:dyDescent="0.2">
      <c r="A1656" s="1">
        <v>44033</v>
      </c>
      <c r="B1656">
        <v>76329.58</v>
      </c>
      <c r="C1656" s="6">
        <f t="shared" si="75"/>
        <v>1.7335657867938201E-2</v>
      </c>
      <c r="D1656" s="7">
        <f t="shared" si="76"/>
        <v>1.4313961939673725</v>
      </c>
      <c r="E1656" s="8">
        <f t="shared" si="77"/>
        <v>-2.3989272966192678</v>
      </c>
    </row>
    <row r="1657" spans="1:5" x14ac:dyDescent="0.2">
      <c r="A1657" s="1">
        <v>44034</v>
      </c>
      <c r="B1657">
        <v>75057.72</v>
      </c>
      <c r="C1657" s="6">
        <f t="shared" si="75"/>
        <v>-1.6803125825470524E-2</v>
      </c>
      <c r="D1657" s="7">
        <f t="shared" si="76"/>
        <v>-1.4368062835379087</v>
      </c>
      <c r="E1657" s="8">
        <f t="shared" si="77"/>
        <v>-2.4084938697013181</v>
      </c>
    </row>
    <row r="1658" spans="1:5" x14ac:dyDescent="0.2">
      <c r="A1658" s="1">
        <v>44035</v>
      </c>
      <c r="B1658">
        <v>75275.100000000006</v>
      </c>
      <c r="C1658" s="6">
        <f t="shared" si="75"/>
        <v>2.8919852831366696E-3</v>
      </c>
      <c r="D1658" s="7">
        <f t="shared" si="76"/>
        <v>0.2178972637169263</v>
      </c>
      <c r="E1658" s="8">
        <f t="shared" si="77"/>
        <v>-0.69213335187475866</v>
      </c>
    </row>
    <row r="1659" spans="1:5" x14ac:dyDescent="0.2">
      <c r="A1659" s="1">
        <v>44036</v>
      </c>
      <c r="B1659">
        <v>73920.649999999994</v>
      </c>
      <c r="C1659" s="6">
        <f t="shared" si="75"/>
        <v>-1.8157182244408942E-2</v>
      </c>
      <c r="D1659" s="7">
        <f t="shared" si="76"/>
        <v>-1.5505686252299749</v>
      </c>
      <c r="E1659" s="8">
        <f t="shared" si="77"/>
        <v>-2.6093147241897863</v>
      </c>
    </row>
    <row r="1660" spans="1:5" x14ac:dyDescent="0.2">
      <c r="A1660" s="1">
        <v>44039</v>
      </c>
      <c r="B1660">
        <v>73913.53</v>
      </c>
      <c r="C1660" s="6">
        <f t="shared" si="75"/>
        <v>-9.6324138375823476E-5</v>
      </c>
      <c r="D1660" s="7">
        <f t="shared" si="76"/>
        <v>-3.3168402925126593E-2</v>
      </c>
      <c r="E1660" s="8">
        <f t="shared" si="77"/>
        <v>-0.63471095281848844</v>
      </c>
    </row>
    <row r="1661" spans="1:5" x14ac:dyDescent="0.2">
      <c r="A1661" s="1">
        <v>44040</v>
      </c>
      <c r="B1661">
        <v>74160.350000000006</v>
      </c>
      <c r="C1661" s="6">
        <f t="shared" si="75"/>
        <v>3.333744325378073E-3</v>
      </c>
      <c r="D1661" s="7">
        <f t="shared" si="76"/>
        <v>0.25501207105148838</v>
      </c>
      <c r="E1661" s="8">
        <f t="shared" si="77"/>
        <v>-0.71352456666214481</v>
      </c>
    </row>
    <row r="1662" spans="1:5" x14ac:dyDescent="0.2">
      <c r="A1662" s="1">
        <v>44041</v>
      </c>
      <c r="B1662">
        <v>74841.48</v>
      </c>
      <c r="C1662" s="6">
        <f t="shared" si="75"/>
        <v>9.1426359596540659E-3</v>
      </c>
      <c r="D1662" s="7">
        <f t="shared" si="76"/>
        <v>0.74305164289501913</v>
      </c>
      <c r="E1662" s="8">
        <f t="shared" si="77"/>
        <v>-1.2440303224909592</v>
      </c>
    </row>
    <row r="1663" spans="1:5" x14ac:dyDescent="0.2">
      <c r="A1663" s="1">
        <v>44042</v>
      </c>
      <c r="B1663">
        <v>74341.06</v>
      </c>
      <c r="C1663" s="6">
        <f t="shared" si="75"/>
        <v>-6.7088531531483593E-3</v>
      </c>
      <c r="D1663" s="7">
        <f t="shared" si="76"/>
        <v>-0.58872633589296042</v>
      </c>
      <c r="E1663" s="8">
        <f t="shared" si="77"/>
        <v>-1.0337627002857381</v>
      </c>
    </row>
    <row r="1664" spans="1:5" x14ac:dyDescent="0.2">
      <c r="A1664" s="1">
        <v>44043</v>
      </c>
      <c r="B1664">
        <v>74508.19</v>
      </c>
      <c r="C1664" s="6">
        <f t="shared" si="75"/>
        <v>2.2456286509237792E-3</v>
      </c>
      <c r="D1664" s="7">
        <f t="shared" si="76"/>
        <v>0.16359299469216559</v>
      </c>
      <c r="E1664" s="8">
        <f t="shared" si="77"/>
        <v>-0.66664711144775624</v>
      </c>
    </row>
    <row r="1665" spans="1:5" x14ac:dyDescent="0.2">
      <c r="A1665" s="1">
        <v>44046</v>
      </c>
      <c r="B1665">
        <v>74738.740000000005</v>
      </c>
      <c r="C1665" s="6">
        <f t="shared" si="75"/>
        <v>3.0895132433887574E-3</v>
      </c>
      <c r="D1665" s="7">
        <f t="shared" si="76"/>
        <v>0.23449276372242264</v>
      </c>
      <c r="E1665" s="8">
        <f t="shared" si="77"/>
        <v>-0.70130564454982303</v>
      </c>
    </row>
    <row r="1666" spans="1:5" x14ac:dyDescent="0.2">
      <c r="A1666" s="1">
        <v>44047</v>
      </c>
      <c r="B1666">
        <v>74943.490000000005</v>
      </c>
      <c r="C1666" s="6">
        <f t="shared" si="75"/>
        <v>2.7357973983386575E-3</v>
      </c>
      <c r="D1666" s="7">
        <f t="shared" si="76"/>
        <v>0.20477498958562912</v>
      </c>
      <c r="E1666" s="8">
        <f t="shared" si="77"/>
        <v>-0.68533541731911218</v>
      </c>
    </row>
    <row r="1667" spans="1:5" x14ac:dyDescent="0.2">
      <c r="A1667" s="1">
        <v>44048</v>
      </c>
      <c r="B1667">
        <v>76162.429999999993</v>
      </c>
      <c r="C1667" s="6">
        <f t="shared" ref="C1667:C1730" si="78">LN(B1667/B1666)</f>
        <v>1.6133933615742505E-2</v>
      </c>
      <c r="D1667" s="7">
        <f t="shared" ref="D1667:D1730" si="79">(C1667-$G$4)/$G$5</f>
        <v>1.3304321845761604</v>
      </c>
      <c r="E1667" s="8">
        <f t="shared" ref="E1667:E1730" si="80">LN((PI()*(G$3-2))^(-1/2)*EXP(GAMMALN((G$3+1)/2))*((1+D1667^2/(G$3-2))^(-(G$3+1)/2))/EXP(GAMMALN(G$3/2)))</f>
        <v>-2.2204538953534803</v>
      </c>
    </row>
    <row r="1668" spans="1:5" x14ac:dyDescent="0.2">
      <c r="A1668" s="1">
        <v>44049</v>
      </c>
      <c r="B1668">
        <v>76178.5</v>
      </c>
      <c r="C1668" s="6">
        <f t="shared" si="78"/>
        <v>2.1097416248682527E-4</v>
      </c>
      <c r="D1668" s="7">
        <f t="shared" si="79"/>
        <v>-7.3504430416411765E-3</v>
      </c>
      <c r="E1668" s="8">
        <f t="shared" si="80"/>
        <v>-0.63340038995021519</v>
      </c>
    </row>
    <row r="1669" spans="1:5" x14ac:dyDescent="0.2">
      <c r="A1669" s="1">
        <v>44050</v>
      </c>
      <c r="B1669">
        <v>74671.490000000005</v>
      </c>
      <c r="C1669" s="6">
        <f t="shared" si="78"/>
        <v>-1.9980911334358625E-2</v>
      </c>
      <c r="D1669" s="7">
        <f t="shared" si="79"/>
        <v>-1.7037909644049369</v>
      </c>
      <c r="E1669" s="8">
        <f t="shared" si="80"/>
        <v>-2.8774858102050844</v>
      </c>
    </row>
    <row r="1670" spans="1:5" x14ac:dyDescent="0.2">
      <c r="A1670" s="1">
        <v>44054</v>
      </c>
      <c r="B1670">
        <v>75524.639999999999</v>
      </c>
      <c r="C1670" s="6">
        <f t="shared" si="78"/>
        <v>1.1360601312969084E-2</v>
      </c>
      <c r="D1670" s="7">
        <f t="shared" si="79"/>
        <v>0.92939611780457076</v>
      </c>
      <c r="E1670" s="8">
        <f t="shared" si="80"/>
        <v>-1.5324790375906678</v>
      </c>
    </row>
    <row r="1671" spans="1:5" x14ac:dyDescent="0.2">
      <c r="A1671" s="1">
        <v>44055</v>
      </c>
      <c r="B1671">
        <v>76210.179999999993</v>
      </c>
      <c r="C1671" s="6">
        <f t="shared" si="78"/>
        <v>9.0360889421910538E-3</v>
      </c>
      <c r="D1671" s="7">
        <f t="shared" si="79"/>
        <v>0.73409999358604827</v>
      </c>
      <c r="E1671" s="8">
        <f t="shared" si="80"/>
        <v>-1.2310227288793785</v>
      </c>
    </row>
    <row r="1672" spans="1:5" x14ac:dyDescent="0.2">
      <c r="A1672" s="1">
        <v>44056</v>
      </c>
      <c r="B1672">
        <v>75743.149999999994</v>
      </c>
      <c r="C1672" s="6">
        <f t="shared" si="78"/>
        <v>-6.1470383123794423E-3</v>
      </c>
      <c r="D1672" s="7">
        <f t="shared" si="79"/>
        <v>-0.54152492612206216</v>
      </c>
      <c r="E1672" s="8">
        <f t="shared" si="80"/>
        <v>-0.97615794535360145</v>
      </c>
    </row>
    <row r="1673" spans="1:5" x14ac:dyDescent="0.2">
      <c r="A1673" s="1">
        <v>44057</v>
      </c>
      <c r="B1673">
        <v>75107.47</v>
      </c>
      <c r="C1673" s="6">
        <f t="shared" si="78"/>
        <v>-8.4279900572532644E-3</v>
      </c>
      <c r="D1673" s="7">
        <f t="shared" si="79"/>
        <v>-0.73316126280210092</v>
      </c>
      <c r="E1673" s="8">
        <f t="shared" si="80"/>
        <v>-1.2296638906304582</v>
      </c>
    </row>
    <row r="1674" spans="1:5" x14ac:dyDescent="0.2">
      <c r="A1674" s="1">
        <v>44060</v>
      </c>
      <c r="B1674">
        <v>75290.59</v>
      </c>
      <c r="C1674" s="6">
        <f t="shared" si="78"/>
        <v>2.4351389970095742E-3</v>
      </c>
      <c r="D1674" s="7">
        <f t="shared" si="79"/>
        <v>0.17951488719535708</v>
      </c>
      <c r="E1674" s="8">
        <f t="shared" si="80"/>
        <v>-0.67339310585864731</v>
      </c>
    </row>
    <row r="1675" spans="1:5" x14ac:dyDescent="0.2">
      <c r="A1675" s="1">
        <v>44061</v>
      </c>
      <c r="B1675">
        <v>74887.75</v>
      </c>
      <c r="C1675" s="6">
        <f t="shared" si="78"/>
        <v>-5.3648344520623595E-3</v>
      </c>
      <c r="D1675" s="7">
        <f t="shared" si="79"/>
        <v>-0.47580732264139647</v>
      </c>
      <c r="E1675" s="8">
        <f t="shared" si="80"/>
        <v>-0.90203936056156198</v>
      </c>
    </row>
    <row r="1676" spans="1:5" x14ac:dyDescent="0.2">
      <c r="A1676" s="1">
        <v>44062</v>
      </c>
      <c r="B1676">
        <v>74104.47</v>
      </c>
      <c r="C1676" s="6">
        <f t="shared" si="78"/>
        <v>-1.0514471376047205E-2</v>
      </c>
      <c r="D1676" s="7">
        <f t="shared" si="79"/>
        <v>-0.9084589811267495</v>
      </c>
      <c r="E1676" s="8">
        <f t="shared" si="80"/>
        <v>-1.4986167555983869</v>
      </c>
    </row>
    <row r="1677" spans="1:5" x14ac:dyDescent="0.2">
      <c r="A1677" s="1">
        <v>44063</v>
      </c>
      <c r="B1677">
        <v>73459.06</v>
      </c>
      <c r="C1677" s="6">
        <f t="shared" si="78"/>
        <v>-8.747610139116754E-3</v>
      </c>
      <c r="D1677" s="7">
        <f t="shared" si="79"/>
        <v>-0.76001444887030578</v>
      </c>
      <c r="E1677" s="8">
        <f t="shared" si="80"/>
        <v>-1.2689215269165022</v>
      </c>
    </row>
    <row r="1678" spans="1:5" x14ac:dyDescent="0.2">
      <c r="A1678" s="1">
        <v>44064</v>
      </c>
      <c r="B1678">
        <v>74311.87</v>
      </c>
      <c r="C1678" s="6">
        <f t="shared" si="78"/>
        <v>1.1542452472549439E-2</v>
      </c>
      <c r="D1678" s="7">
        <f t="shared" si="79"/>
        <v>0.9446745164472935</v>
      </c>
      <c r="E1678" s="8">
        <f t="shared" si="80"/>
        <v>-1.5573813795329328</v>
      </c>
    </row>
    <row r="1679" spans="1:5" x14ac:dyDescent="0.2">
      <c r="A1679" s="1">
        <v>44067</v>
      </c>
      <c r="B1679">
        <v>75349.61</v>
      </c>
      <c r="C1679" s="6">
        <f t="shared" si="78"/>
        <v>1.3868052510356679E-2</v>
      </c>
      <c r="D1679" s="7">
        <f t="shared" si="79"/>
        <v>1.1400620220488171</v>
      </c>
      <c r="E1679" s="8">
        <f t="shared" si="80"/>
        <v>-1.8871094180376569</v>
      </c>
    </row>
    <row r="1680" spans="1:5" x14ac:dyDescent="0.2">
      <c r="A1680" s="1">
        <v>44068</v>
      </c>
      <c r="B1680">
        <v>75395.83</v>
      </c>
      <c r="C1680" s="6">
        <f t="shared" si="78"/>
        <v>6.1321923168458788E-4</v>
      </c>
      <c r="D1680" s="7">
        <f t="shared" si="79"/>
        <v>2.6444560154681197E-2</v>
      </c>
      <c r="E1680" s="8">
        <f t="shared" si="80"/>
        <v>-0.63420887990716135</v>
      </c>
    </row>
    <row r="1681" spans="1:5" x14ac:dyDescent="0.2">
      <c r="A1681" s="1">
        <v>44069</v>
      </c>
      <c r="B1681">
        <v>76427.990000000005</v>
      </c>
      <c r="C1681" s="6">
        <f t="shared" si="78"/>
        <v>1.3597021890378359E-2</v>
      </c>
      <c r="D1681" s="7">
        <f t="shared" si="79"/>
        <v>1.1172911259711196</v>
      </c>
      <c r="E1681" s="8">
        <f t="shared" si="80"/>
        <v>-1.8478242184389468</v>
      </c>
    </row>
    <row r="1682" spans="1:5" x14ac:dyDescent="0.2">
      <c r="A1682" s="1">
        <v>44070</v>
      </c>
      <c r="B1682">
        <v>77441.05</v>
      </c>
      <c r="C1682" s="6">
        <f t="shared" si="78"/>
        <v>1.3168011425577525E-2</v>
      </c>
      <c r="D1682" s="7">
        <f t="shared" si="79"/>
        <v>1.0812474025312884</v>
      </c>
      <c r="E1682" s="8">
        <f t="shared" si="80"/>
        <v>-1.7860223651435134</v>
      </c>
    </row>
    <row r="1683" spans="1:5" x14ac:dyDescent="0.2">
      <c r="A1683" s="1">
        <v>44071</v>
      </c>
      <c r="B1683">
        <v>75432.61</v>
      </c>
      <c r="C1683" s="6">
        <f t="shared" si="78"/>
        <v>-2.6277326876387286E-2</v>
      </c>
      <c r="D1683" s="7">
        <f t="shared" si="79"/>
        <v>-2.2327903224147581</v>
      </c>
      <c r="E1683" s="8">
        <f t="shared" si="80"/>
        <v>-3.7622458904435154</v>
      </c>
    </row>
    <row r="1684" spans="1:5" x14ac:dyDescent="0.2">
      <c r="A1684" s="1">
        <v>44074</v>
      </c>
      <c r="B1684">
        <v>74753.16</v>
      </c>
      <c r="C1684" s="6">
        <f t="shared" si="78"/>
        <v>-9.048189259554246E-3</v>
      </c>
      <c r="D1684" s="7">
        <f t="shared" si="79"/>
        <v>-0.78526789040084355</v>
      </c>
      <c r="E1684" s="8">
        <f t="shared" si="80"/>
        <v>-1.3065448528138066</v>
      </c>
    </row>
    <row r="1685" spans="1:5" x14ac:dyDescent="0.2">
      <c r="A1685" s="1">
        <v>44075</v>
      </c>
      <c r="B1685">
        <v>75268.17</v>
      </c>
      <c r="C1685" s="6">
        <f t="shared" si="78"/>
        <v>6.865850651041277E-3</v>
      </c>
      <c r="D1685" s="7">
        <f t="shared" si="79"/>
        <v>0.55176535333187793</v>
      </c>
      <c r="E1685" s="8">
        <f t="shared" si="80"/>
        <v>-0.98835743329262982</v>
      </c>
    </row>
    <row r="1686" spans="1:5" x14ac:dyDescent="0.2">
      <c r="A1686" s="1">
        <v>44076</v>
      </c>
      <c r="B1686">
        <v>76073.39</v>
      </c>
      <c r="C1686" s="6">
        <f t="shared" si="78"/>
        <v>1.0641195957625128E-2</v>
      </c>
      <c r="D1686" s="7">
        <f t="shared" si="79"/>
        <v>0.86895459062366864</v>
      </c>
      <c r="E1686" s="8">
        <f t="shared" si="80"/>
        <v>-1.4356167194127665</v>
      </c>
    </row>
    <row r="1687" spans="1:5" x14ac:dyDescent="0.2">
      <c r="A1687" s="1">
        <v>44077</v>
      </c>
      <c r="B1687">
        <v>74381.84</v>
      </c>
      <c r="C1687" s="6">
        <f t="shared" si="78"/>
        <v>-2.2486706209723473E-2</v>
      </c>
      <c r="D1687" s="7">
        <f t="shared" si="79"/>
        <v>-1.9143177111744516</v>
      </c>
      <c r="E1687" s="8">
        <f t="shared" si="80"/>
        <v>-3.2384823775716263</v>
      </c>
    </row>
    <row r="1688" spans="1:5" x14ac:dyDescent="0.2">
      <c r="A1688" s="1">
        <v>44078</v>
      </c>
      <c r="B1688">
        <v>72322.429999999993</v>
      </c>
      <c r="C1688" s="6">
        <f t="shared" si="78"/>
        <v>-2.8077509840551476E-2</v>
      </c>
      <c r="D1688" s="7">
        <f t="shared" si="79"/>
        <v>-2.3840344113708452</v>
      </c>
      <c r="E1688" s="8">
        <f t="shared" si="80"/>
        <v>-4.0003074508470036</v>
      </c>
    </row>
    <row r="1689" spans="1:5" x14ac:dyDescent="0.2">
      <c r="A1689" s="1">
        <v>44081</v>
      </c>
      <c r="B1689">
        <v>72400.759999999995</v>
      </c>
      <c r="C1689" s="6">
        <f t="shared" si="78"/>
        <v>1.082480390995967E-3</v>
      </c>
      <c r="D1689" s="7">
        <f t="shared" si="79"/>
        <v>6.5869984089563863E-2</v>
      </c>
      <c r="E1689" s="8">
        <f t="shared" si="80"/>
        <v>-0.6387640262881974</v>
      </c>
    </row>
    <row r="1690" spans="1:5" x14ac:dyDescent="0.2">
      <c r="A1690" s="1">
        <v>44082</v>
      </c>
      <c r="B1690">
        <v>72541.37</v>
      </c>
      <c r="C1690" s="6">
        <f t="shared" si="78"/>
        <v>1.9402232340608469E-3</v>
      </c>
      <c r="D1690" s="7">
        <f t="shared" si="79"/>
        <v>0.13793406726356711</v>
      </c>
      <c r="E1690" s="8">
        <f t="shared" si="80"/>
        <v>-0.65706180164181016</v>
      </c>
    </row>
    <row r="1691" spans="1:5" x14ac:dyDescent="0.2">
      <c r="A1691" s="1">
        <v>44083</v>
      </c>
      <c r="B1691">
        <v>73152.23</v>
      </c>
      <c r="C1691" s="6">
        <f t="shared" si="78"/>
        <v>8.3855924974305038E-3</v>
      </c>
      <c r="D1691" s="7">
        <f t="shared" si="79"/>
        <v>0.67944791426106588</v>
      </c>
      <c r="E1691" s="8">
        <f t="shared" si="80"/>
        <v>-1.1536419042197994</v>
      </c>
    </row>
    <row r="1692" spans="1:5" x14ac:dyDescent="0.2">
      <c r="A1692" s="1">
        <v>44084</v>
      </c>
      <c r="B1692">
        <v>74549.210000000006</v>
      </c>
      <c r="C1692" s="6">
        <f t="shared" si="78"/>
        <v>1.8916831934142307E-2</v>
      </c>
      <c r="D1692" s="7">
        <f t="shared" si="79"/>
        <v>1.5642400414454338</v>
      </c>
      <c r="E1692" s="8">
        <f t="shared" si="80"/>
        <v>-2.6333758048326827</v>
      </c>
    </row>
    <row r="1693" spans="1:5" x14ac:dyDescent="0.2">
      <c r="A1693" s="1">
        <v>44085</v>
      </c>
      <c r="B1693">
        <v>74819.19</v>
      </c>
      <c r="C1693" s="6">
        <f t="shared" si="78"/>
        <v>3.6149586392634609E-3</v>
      </c>
      <c r="D1693" s="7">
        <f t="shared" si="79"/>
        <v>0.2786385598871684</v>
      </c>
      <c r="E1693" s="8">
        <f t="shared" si="80"/>
        <v>-0.72877839754942197</v>
      </c>
    </row>
    <row r="1694" spans="1:5" x14ac:dyDescent="0.2">
      <c r="A1694" s="1">
        <v>44088</v>
      </c>
      <c r="B1694">
        <v>75196.490000000005</v>
      </c>
      <c r="C1694" s="6">
        <f t="shared" si="78"/>
        <v>5.0301514555016391E-3</v>
      </c>
      <c r="D1694" s="7">
        <f t="shared" si="79"/>
        <v>0.39753733431731059</v>
      </c>
      <c r="E1694" s="8">
        <f t="shared" si="80"/>
        <v>-0.82391113958512807</v>
      </c>
    </row>
    <row r="1695" spans="1:5" x14ac:dyDescent="0.2">
      <c r="A1695" s="1">
        <v>44089</v>
      </c>
      <c r="B1695">
        <v>74889.69</v>
      </c>
      <c r="C1695" s="6">
        <f t="shared" si="78"/>
        <v>-4.0883234862942154E-3</v>
      </c>
      <c r="D1695" s="7">
        <f t="shared" si="79"/>
        <v>-0.36856003616921479</v>
      </c>
      <c r="E1695" s="8">
        <f t="shared" si="80"/>
        <v>-0.79800299624302407</v>
      </c>
    </row>
    <row r="1696" spans="1:5" x14ac:dyDescent="0.2">
      <c r="A1696" s="1">
        <v>44090</v>
      </c>
      <c r="B1696">
        <v>74197.91</v>
      </c>
      <c r="C1696" s="6">
        <f t="shared" si="78"/>
        <v>-9.2802481875172808E-3</v>
      </c>
      <c r="D1696" s="7">
        <f t="shared" si="79"/>
        <v>-0.80476454259818897</v>
      </c>
      <c r="E1696" s="8">
        <f t="shared" si="80"/>
        <v>-1.3360336674185262</v>
      </c>
    </row>
    <row r="1697" spans="1:5" x14ac:dyDescent="0.2">
      <c r="A1697" s="1">
        <v>44091</v>
      </c>
      <c r="B1697">
        <v>73349.36</v>
      </c>
      <c r="C1697" s="6">
        <f t="shared" si="78"/>
        <v>-1.1502203399512955E-2</v>
      </c>
      <c r="D1697" s="7">
        <f t="shared" si="79"/>
        <v>-0.99144422929078257</v>
      </c>
      <c r="E1697" s="8">
        <f t="shared" si="80"/>
        <v>-1.6345388392273663</v>
      </c>
    </row>
    <row r="1698" spans="1:5" x14ac:dyDescent="0.2">
      <c r="A1698" s="1">
        <v>44092</v>
      </c>
      <c r="B1698">
        <v>72558</v>
      </c>
      <c r="C1698" s="6">
        <f t="shared" si="78"/>
        <v>-1.0847537230024852E-2</v>
      </c>
      <c r="D1698" s="7">
        <f t="shared" si="79"/>
        <v>-0.93644182656525121</v>
      </c>
      <c r="E1698" s="8">
        <f t="shared" si="80"/>
        <v>-1.5439432864253262</v>
      </c>
    </row>
    <row r="1699" spans="1:5" x14ac:dyDescent="0.2">
      <c r="A1699" s="1">
        <v>44095</v>
      </c>
      <c r="B1699">
        <v>71014.52</v>
      </c>
      <c r="C1699" s="6">
        <f t="shared" si="78"/>
        <v>-2.1501878856338988E-2</v>
      </c>
      <c r="D1699" s="7">
        <f t="shared" si="79"/>
        <v>-1.8315765016381047</v>
      </c>
      <c r="E1699" s="8">
        <f t="shared" si="80"/>
        <v>-3.0978318152071815</v>
      </c>
    </row>
    <row r="1700" spans="1:5" x14ac:dyDescent="0.2">
      <c r="A1700" s="1">
        <v>44096</v>
      </c>
      <c r="B1700">
        <v>71886.850000000006</v>
      </c>
      <c r="C1700" s="6">
        <f t="shared" si="78"/>
        <v>1.2208991918384397E-2</v>
      </c>
      <c r="D1700" s="7">
        <f t="shared" si="79"/>
        <v>1.0006744638112044</v>
      </c>
      <c r="E1700" s="8">
        <f t="shared" si="80"/>
        <v>-1.649919483707563</v>
      </c>
    </row>
    <row r="1701" spans="1:5" x14ac:dyDescent="0.2">
      <c r="A1701" s="1">
        <v>44097</v>
      </c>
      <c r="B1701">
        <v>74229.7</v>
      </c>
      <c r="C1701" s="6">
        <f t="shared" si="78"/>
        <v>3.2070984535391929E-2</v>
      </c>
      <c r="D1701" s="7">
        <f t="shared" si="79"/>
        <v>2.6693987201850957</v>
      </c>
      <c r="E1701" s="8">
        <f t="shared" si="80"/>
        <v>-4.4300240809320028</v>
      </c>
    </row>
    <row r="1702" spans="1:5" x14ac:dyDescent="0.2">
      <c r="A1702" s="1">
        <v>44099</v>
      </c>
      <c r="B1702">
        <v>72949.7</v>
      </c>
      <c r="C1702" s="6">
        <f t="shared" si="78"/>
        <v>-1.7394177074049465E-2</v>
      </c>
      <c r="D1702" s="7">
        <f t="shared" si="79"/>
        <v>-1.486464018000019</v>
      </c>
      <c r="E1702" s="8">
        <f t="shared" si="80"/>
        <v>-2.4962561371585377</v>
      </c>
    </row>
    <row r="1703" spans="1:5" x14ac:dyDescent="0.2">
      <c r="A1703" s="1">
        <v>44102</v>
      </c>
      <c r="B1703">
        <v>73991.070000000007</v>
      </c>
      <c r="C1703" s="6">
        <f t="shared" si="78"/>
        <v>1.4174247692017656E-2</v>
      </c>
      <c r="D1703" s="7">
        <f t="shared" si="79"/>
        <v>1.165787302320292</v>
      </c>
      <c r="E1703" s="8">
        <f t="shared" si="80"/>
        <v>-1.9316896579178773</v>
      </c>
    </row>
    <row r="1704" spans="1:5" x14ac:dyDescent="0.2">
      <c r="A1704" s="1">
        <v>44103</v>
      </c>
      <c r="B1704">
        <v>73358.17</v>
      </c>
      <c r="C1704" s="6">
        <f t="shared" si="78"/>
        <v>-8.5905280839060627E-3</v>
      </c>
      <c r="D1704" s="7">
        <f t="shared" si="79"/>
        <v>-0.7468170501588246</v>
      </c>
      <c r="E1704" s="8">
        <f t="shared" si="80"/>
        <v>-1.2495285041591437</v>
      </c>
    </row>
    <row r="1705" spans="1:5" x14ac:dyDescent="0.2">
      <c r="A1705" s="1">
        <v>44104</v>
      </c>
      <c r="B1705">
        <v>73187.399999999994</v>
      </c>
      <c r="C1705" s="6">
        <f t="shared" si="78"/>
        <v>-2.330607159234368E-3</v>
      </c>
      <c r="D1705" s="7">
        <f t="shared" si="79"/>
        <v>-0.22088382223901815</v>
      </c>
      <c r="E1705" s="8">
        <f t="shared" si="80"/>
        <v>-0.69373679008985956</v>
      </c>
    </row>
    <row r="1706" spans="1:5" x14ac:dyDescent="0.2">
      <c r="A1706" s="1">
        <v>44105</v>
      </c>
      <c r="B1706">
        <v>73766.429999999993</v>
      </c>
      <c r="C1706" s="6">
        <f t="shared" si="78"/>
        <v>7.8804750657836976E-3</v>
      </c>
      <c r="D1706" s="7">
        <f t="shared" si="79"/>
        <v>0.63700999140208037</v>
      </c>
      <c r="E1706" s="8">
        <f t="shared" si="80"/>
        <v>-1.096148274629188</v>
      </c>
    </row>
    <row r="1707" spans="1:5" x14ac:dyDescent="0.2">
      <c r="A1707" s="1">
        <v>44106</v>
      </c>
      <c r="B1707">
        <v>73055.25</v>
      </c>
      <c r="C1707" s="6">
        <f t="shared" si="78"/>
        <v>-9.6877458717945092E-3</v>
      </c>
      <c r="D1707" s="7">
        <f t="shared" si="79"/>
        <v>-0.83900084926096186</v>
      </c>
      <c r="E1707" s="8">
        <f t="shared" si="80"/>
        <v>-1.3886917852923748</v>
      </c>
    </row>
    <row r="1708" spans="1:5" x14ac:dyDescent="0.2">
      <c r="A1708" s="1">
        <v>44109</v>
      </c>
      <c r="B1708">
        <v>73823.570000000007</v>
      </c>
      <c r="C1708" s="6">
        <f t="shared" si="78"/>
        <v>1.0462053112866113E-2</v>
      </c>
      <c r="D1708" s="7">
        <f t="shared" si="79"/>
        <v>0.85390373363416328</v>
      </c>
      <c r="E1708" s="8">
        <f t="shared" si="80"/>
        <v>-1.4119428815111632</v>
      </c>
    </row>
    <row r="1709" spans="1:5" x14ac:dyDescent="0.2">
      <c r="A1709" s="1">
        <v>44110</v>
      </c>
      <c r="B1709">
        <v>73798.27</v>
      </c>
      <c r="C1709" s="6">
        <f t="shared" si="78"/>
        <v>-3.4276771306613262E-4</v>
      </c>
      <c r="D1709" s="7">
        <f t="shared" si="79"/>
        <v>-5.387359493899662E-2</v>
      </c>
      <c r="E1709" s="8">
        <f t="shared" si="80"/>
        <v>-0.63696714790262998</v>
      </c>
    </row>
    <row r="1710" spans="1:5" x14ac:dyDescent="0.2">
      <c r="A1710" s="1">
        <v>44111</v>
      </c>
      <c r="B1710">
        <v>74501.58</v>
      </c>
      <c r="C1710" s="6">
        <f t="shared" si="78"/>
        <v>9.485043617069696E-3</v>
      </c>
      <c r="D1710" s="7">
        <f t="shared" si="79"/>
        <v>0.77181934886065107</v>
      </c>
      <c r="E1710" s="8">
        <f t="shared" si="80"/>
        <v>-1.2864262949991727</v>
      </c>
    </row>
    <row r="1711" spans="1:5" x14ac:dyDescent="0.2">
      <c r="A1711" s="1">
        <v>44112</v>
      </c>
      <c r="B1711">
        <v>73887.429999999993</v>
      </c>
      <c r="C1711" s="6">
        <f t="shared" si="78"/>
        <v>-8.2776144505076338E-3</v>
      </c>
      <c r="D1711" s="7">
        <f t="shared" si="79"/>
        <v>-0.72052731275579474</v>
      </c>
      <c r="E1711" s="8">
        <f t="shared" si="80"/>
        <v>-1.2114740179568504</v>
      </c>
    </row>
    <row r="1712" spans="1:5" x14ac:dyDescent="0.2">
      <c r="A1712" s="1">
        <v>44113</v>
      </c>
      <c r="B1712">
        <v>74610.64</v>
      </c>
      <c r="C1712" s="6">
        <f t="shared" si="78"/>
        <v>9.7404056214368245E-3</v>
      </c>
      <c r="D1712" s="7">
        <f t="shared" si="79"/>
        <v>0.7932738312512444</v>
      </c>
      <c r="E1712" s="8">
        <f t="shared" si="80"/>
        <v>-1.3186084799608662</v>
      </c>
    </row>
    <row r="1713" spans="1:5" x14ac:dyDescent="0.2">
      <c r="A1713" s="1">
        <v>44116</v>
      </c>
      <c r="B1713">
        <v>75278.509999999995</v>
      </c>
      <c r="C1713" s="6">
        <f t="shared" si="78"/>
        <v>8.9115779223526547E-3</v>
      </c>
      <c r="D1713" s="7">
        <f t="shared" si="79"/>
        <v>0.7236390814813749</v>
      </c>
      <c r="E1713" s="8">
        <f t="shared" si="80"/>
        <v>-1.2159371410754642</v>
      </c>
    </row>
    <row r="1714" spans="1:5" x14ac:dyDescent="0.2">
      <c r="A1714" s="1">
        <v>44117</v>
      </c>
      <c r="B1714">
        <v>75319.320000000007</v>
      </c>
      <c r="C1714" s="6">
        <f t="shared" si="78"/>
        <v>5.4197329402367678E-4</v>
      </c>
      <c r="D1714" s="7">
        <f t="shared" si="79"/>
        <v>2.0458764739519231E-2</v>
      </c>
      <c r="E1714" s="8">
        <f t="shared" si="80"/>
        <v>-0.63385715079457583</v>
      </c>
    </row>
    <row r="1715" spans="1:5" x14ac:dyDescent="0.2">
      <c r="A1715" s="1">
        <v>44118</v>
      </c>
      <c r="B1715">
        <v>75514.83</v>
      </c>
      <c r="C1715" s="6">
        <f t="shared" si="78"/>
        <v>2.5923852057786758E-3</v>
      </c>
      <c r="D1715" s="7">
        <f t="shared" si="79"/>
        <v>0.19272607742463663</v>
      </c>
      <c r="E1715" s="8">
        <f t="shared" si="80"/>
        <v>-0.67945031811806855</v>
      </c>
    </row>
    <row r="1716" spans="1:5" x14ac:dyDescent="0.2">
      <c r="A1716" s="1">
        <v>44119</v>
      </c>
      <c r="B1716">
        <v>74473.42</v>
      </c>
      <c r="C1716" s="6">
        <f t="shared" si="78"/>
        <v>-1.3886777605977613E-2</v>
      </c>
      <c r="D1716" s="7">
        <f t="shared" si="79"/>
        <v>-1.1917865059284132</v>
      </c>
      <c r="E1716" s="8">
        <f t="shared" si="80"/>
        <v>-1.9769337001557552</v>
      </c>
    </row>
    <row r="1717" spans="1:5" x14ac:dyDescent="0.2">
      <c r="A1717" s="1">
        <v>44120</v>
      </c>
      <c r="B1717">
        <v>75222.100000000006</v>
      </c>
      <c r="C1717" s="6">
        <f t="shared" si="78"/>
        <v>1.000278755794954E-2</v>
      </c>
      <c r="D1717" s="7">
        <f t="shared" si="79"/>
        <v>0.81531809993746895</v>
      </c>
      <c r="E1717" s="8">
        <f t="shared" si="80"/>
        <v>-1.3521498158195169</v>
      </c>
    </row>
    <row r="1718" spans="1:5" x14ac:dyDescent="0.2">
      <c r="A1718" s="1">
        <v>44123</v>
      </c>
      <c r="B1718">
        <v>74762.95</v>
      </c>
      <c r="C1718" s="6">
        <f t="shared" si="78"/>
        <v>-6.1226293464551104E-3</v>
      </c>
      <c r="D1718" s="7">
        <f t="shared" si="79"/>
        <v>-0.53947418356584664</v>
      </c>
      <c r="E1718" s="8">
        <f t="shared" si="80"/>
        <v>-0.97373525933433769</v>
      </c>
    </row>
    <row r="1719" spans="1:5" x14ac:dyDescent="0.2">
      <c r="A1719" s="1">
        <v>44124</v>
      </c>
      <c r="B1719">
        <v>75567.070000000007</v>
      </c>
      <c r="C1719" s="6">
        <f t="shared" si="78"/>
        <v>1.0698164868585743E-2</v>
      </c>
      <c r="D1719" s="7">
        <f t="shared" si="79"/>
        <v>0.87374088802153294</v>
      </c>
      <c r="E1719" s="8">
        <f t="shared" si="80"/>
        <v>-1.4431843925163992</v>
      </c>
    </row>
    <row r="1720" spans="1:5" x14ac:dyDescent="0.2">
      <c r="A1720" s="1">
        <v>44125</v>
      </c>
      <c r="B1720">
        <v>74577.7</v>
      </c>
      <c r="C1720" s="6">
        <f t="shared" si="78"/>
        <v>-1.3179071373495452E-2</v>
      </c>
      <c r="D1720" s="7">
        <f t="shared" si="79"/>
        <v>-1.1323278917147155</v>
      </c>
      <c r="E1720" s="8">
        <f t="shared" si="80"/>
        <v>-1.8737467784107864</v>
      </c>
    </row>
    <row r="1721" spans="1:5" x14ac:dyDescent="0.2">
      <c r="A1721" s="1">
        <v>44126</v>
      </c>
      <c r="B1721">
        <v>74130.97</v>
      </c>
      <c r="C1721" s="6">
        <f t="shared" si="78"/>
        <v>-6.0081412042562706E-3</v>
      </c>
      <c r="D1721" s="7">
        <f t="shared" si="79"/>
        <v>-0.52985535308703591</v>
      </c>
      <c r="E1721" s="8">
        <f t="shared" si="80"/>
        <v>-0.96246365847118243</v>
      </c>
    </row>
    <row r="1722" spans="1:5" x14ac:dyDescent="0.2">
      <c r="A1722" s="1">
        <v>44127</v>
      </c>
      <c r="B1722">
        <v>74905.7</v>
      </c>
      <c r="C1722" s="6">
        <f t="shared" si="78"/>
        <v>1.0396595392475873E-2</v>
      </c>
      <c r="D1722" s="7">
        <f t="shared" si="79"/>
        <v>0.84840424081446497</v>
      </c>
      <c r="E1722" s="8">
        <f t="shared" si="80"/>
        <v>-1.4033403106404365</v>
      </c>
    </row>
    <row r="1723" spans="1:5" x14ac:dyDescent="0.2">
      <c r="A1723" s="1">
        <v>44130</v>
      </c>
      <c r="B1723">
        <v>74457.36</v>
      </c>
      <c r="C1723" s="6">
        <f t="shared" si="78"/>
        <v>-6.0033765582126787E-3</v>
      </c>
      <c r="D1723" s="7">
        <f t="shared" si="79"/>
        <v>-0.5294550468046153</v>
      </c>
      <c r="E1723" s="8">
        <f t="shared" si="80"/>
        <v>-0.96199786973078349</v>
      </c>
    </row>
    <row r="1724" spans="1:5" x14ac:dyDescent="0.2">
      <c r="A1724" s="1">
        <v>44131</v>
      </c>
      <c r="B1724">
        <v>74333.649999999994</v>
      </c>
      <c r="C1724" s="6">
        <f t="shared" si="78"/>
        <v>-1.6628696653951313E-3</v>
      </c>
      <c r="D1724" s="7">
        <f t="shared" si="79"/>
        <v>-0.16478321972919174</v>
      </c>
      <c r="E1724" s="8">
        <f t="shared" si="80"/>
        <v>-0.66713035535642773</v>
      </c>
    </row>
    <row r="1725" spans="1:5" x14ac:dyDescent="0.2">
      <c r="A1725" s="1">
        <v>44132</v>
      </c>
      <c r="B1725">
        <v>72862.13</v>
      </c>
      <c r="C1725" s="6">
        <f t="shared" si="78"/>
        <v>-1.9994717571832056E-2</v>
      </c>
      <c r="D1725" s="7">
        <f t="shared" si="79"/>
        <v>-1.7049509086162467</v>
      </c>
      <c r="E1725" s="8">
        <f t="shared" si="80"/>
        <v>-2.8795011901961649</v>
      </c>
    </row>
    <row r="1726" spans="1:5" x14ac:dyDescent="0.2">
      <c r="A1726" s="1">
        <v>44133</v>
      </c>
      <c r="B1726">
        <v>72681.119999999995</v>
      </c>
      <c r="C1726" s="6">
        <f t="shared" si="78"/>
        <v>-2.4873718750409311E-3</v>
      </c>
      <c r="D1726" s="7">
        <f t="shared" si="79"/>
        <v>-0.23405455937774658</v>
      </c>
      <c r="E1726" s="8">
        <f t="shared" si="80"/>
        <v>-0.70105524780580653</v>
      </c>
    </row>
    <row r="1727" spans="1:5" x14ac:dyDescent="0.2">
      <c r="A1727" s="1">
        <v>44134</v>
      </c>
      <c r="B1727">
        <v>73439.58</v>
      </c>
      <c r="C1727" s="6">
        <f t="shared" si="78"/>
        <v>1.0381373915885467E-2</v>
      </c>
      <c r="D1727" s="7">
        <f t="shared" si="79"/>
        <v>0.84712539393872477</v>
      </c>
      <c r="E1727" s="8">
        <f t="shared" si="80"/>
        <v>-1.4013436060897808</v>
      </c>
    </row>
    <row r="1728" spans="1:5" x14ac:dyDescent="0.2">
      <c r="A1728" s="1">
        <v>44137</v>
      </c>
      <c r="B1728">
        <v>74209.3</v>
      </c>
      <c r="C1728" s="6">
        <f t="shared" si="78"/>
        <v>1.0426451904908618E-2</v>
      </c>
      <c r="D1728" s="7">
        <f t="shared" si="79"/>
        <v>0.85091266418708222</v>
      </c>
      <c r="E1728" s="8">
        <f t="shared" si="80"/>
        <v>-1.4072608898110119</v>
      </c>
    </row>
    <row r="1729" spans="1:5" x14ac:dyDescent="0.2">
      <c r="A1729" s="1">
        <v>44138</v>
      </c>
      <c r="B1729">
        <v>73456.55</v>
      </c>
      <c r="C1729" s="6">
        <f t="shared" si="78"/>
        <v>-1.0195404292211278E-2</v>
      </c>
      <c r="D1729" s="7">
        <f t="shared" si="79"/>
        <v>-0.88165225571534345</v>
      </c>
      <c r="E1729" s="8">
        <f t="shared" si="80"/>
        <v>-1.4557336084479346</v>
      </c>
    </row>
    <row r="1730" spans="1:5" x14ac:dyDescent="0.2">
      <c r="A1730" s="1">
        <v>44139</v>
      </c>
      <c r="B1730">
        <v>75313.36</v>
      </c>
      <c r="C1730" s="6">
        <f t="shared" si="78"/>
        <v>2.4963467752582895E-2</v>
      </c>
      <c r="D1730" s="7">
        <f t="shared" si="79"/>
        <v>2.072253917709336</v>
      </c>
      <c r="E1730" s="8">
        <f t="shared" si="80"/>
        <v>-3.501900368063767</v>
      </c>
    </row>
    <row r="1731" spans="1:5" x14ac:dyDescent="0.2">
      <c r="A1731" s="1">
        <v>44140</v>
      </c>
      <c r="B1731">
        <v>78247.73</v>
      </c>
      <c r="C1731" s="6">
        <f t="shared" ref="C1731:C1794" si="81">LN(B1731/B1730)</f>
        <v>3.8222276707898087E-2</v>
      </c>
      <c r="D1731" s="7">
        <f t="shared" ref="D1731:D1794" si="82">(C1731-$G$4)/$G$5</f>
        <v>3.1862053998691002</v>
      </c>
      <c r="E1731" s="8">
        <f t="shared" ref="E1731:E1794" si="83">LN((PI()*(G$3-2))^(-1/2)*EXP(GAMMALN((G$3+1)/2))*((1+D1731^2/(G$3-2))^(-(G$3+1)/2))/EXP(GAMMALN(G$3/2)))</f>
        <v>-5.1453766963955738</v>
      </c>
    </row>
    <row r="1732" spans="1:5" x14ac:dyDescent="0.2">
      <c r="A1732" s="1">
        <v>44141</v>
      </c>
      <c r="B1732">
        <v>80571.62</v>
      </c>
      <c r="C1732" s="6">
        <f t="shared" si="81"/>
        <v>2.9266658911636143E-2</v>
      </c>
      <c r="D1732" s="7">
        <f t="shared" si="82"/>
        <v>2.4337906278165078</v>
      </c>
      <c r="E1732" s="8">
        <f t="shared" si="83"/>
        <v>-4.0770652659926743</v>
      </c>
    </row>
    <row r="1733" spans="1:5" x14ac:dyDescent="0.2">
      <c r="A1733" s="1">
        <v>44144</v>
      </c>
      <c r="B1733">
        <v>81679.06</v>
      </c>
      <c r="C1733" s="6">
        <f t="shared" si="81"/>
        <v>1.365118713856941E-2</v>
      </c>
      <c r="D1733" s="7">
        <f t="shared" si="82"/>
        <v>1.1218418709669424</v>
      </c>
      <c r="E1733" s="8">
        <f t="shared" si="83"/>
        <v>-1.8556612603181664</v>
      </c>
    </row>
    <row r="1734" spans="1:5" x14ac:dyDescent="0.2">
      <c r="A1734" s="1">
        <v>44145</v>
      </c>
      <c r="B1734">
        <v>80216.22</v>
      </c>
      <c r="C1734" s="6">
        <f t="shared" si="81"/>
        <v>-1.8071926652160598E-2</v>
      </c>
      <c r="D1734" s="7">
        <f t="shared" si="82"/>
        <v>-1.5434057953206279</v>
      </c>
      <c r="E1734" s="8">
        <f t="shared" si="83"/>
        <v>-2.5967004067253088</v>
      </c>
    </row>
    <row r="1735" spans="1:5" x14ac:dyDescent="0.2">
      <c r="A1735" s="1">
        <v>44146</v>
      </c>
      <c r="B1735">
        <v>78985.08</v>
      </c>
      <c r="C1735" s="6">
        <f t="shared" si="81"/>
        <v>-1.5466764941768024E-2</v>
      </c>
      <c r="D1735" s="7">
        <f t="shared" si="82"/>
        <v>-1.3245306491187279</v>
      </c>
      <c r="E1735" s="8">
        <f t="shared" si="83"/>
        <v>-2.2100364726218009</v>
      </c>
    </row>
    <row r="1736" spans="1:5" x14ac:dyDescent="0.2">
      <c r="A1736" s="1">
        <v>44147</v>
      </c>
      <c r="B1736">
        <v>79558.81</v>
      </c>
      <c r="C1736" s="6">
        <f t="shared" si="81"/>
        <v>7.2375227378642494E-3</v>
      </c>
      <c r="D1736" s="7">
        <f t="shared" si="82"/>
        <v>0.58299173824995065</v>
      </c>
      <c r="E1736" s="8">
        <f t="shared" si="83"/>
        <v>-1.0265801783018405</v>
      </c>
    </row>
    <row r="1737" spans="1:5" x14ac:dyDescent="0.2">
      <c r="A1737" s="1">
        <v>44148</v>
      </c>
      <c r="B1737">
        <v>79932.89</v>
      </c>
      <c r="C1737" s="6">
        <f t="shared" si="81"/>
        <v>4.6909110123965307E-3</v>
      </c>
      <c r="D1737" s="7">
        <f t="shared" si="82"/>
        <v>0.36903572488323094</v>
      </c>
      <c r="E1737" s="8">
        <f t="shared" si="83"/>
        <v>-0.79841457785088199</v>
      </c>
    </row>
    <row r="1738" spans="1:5" x14ac:dyDescent="0.2">
      <c r="A1738" s="1">
        <v>44151</v>
      </c>
      <c r="B1738">
        <v>79088.98</v>
      </c>
      <c r="C1738" s="6">
        <f t="shared" si="81"/>
        <v>-1.0613859873149081E-2</v>
      </c>
      <c r="D1738" s="7">
        <f t="shared" si="82"/>
        <v>-0.91680920051895831</v>
      </c>
      <c r="E1738" s="8">
        <f t="shared" si="83"/>
        <v>-1.512084332819972</v>
      </c>
    </row>
    <row r="1739" spans="1:5" x14ac:dyDescent="0.2">
      <c r="A1739" s="1">
        <v>44152</v>
      </c>
      <c r="B1739">
        <v>78871.27</v>
      </c>
      <c r="C1739" s="6">
        <f t="shared" si="81"/>
        <v>-2.7565180208792223E-3</v>
      </c>
      <c r="D1739" s="7">
        <f t="shared" si="82"/>
        <v>-0.25666712956294124</v>
      </c>
      <c r="E1739" s="8">
        <f t="shared" si="83"/>
        <v>-0.71455204402488826</v>
      </c>
    </row>
    <row r="1740" spans="1:5" x14ac:dyDescent="0.2">
      <c r="A1740" s="1">
        <v>44153</v>
      </c>
      <c r="B1740">
        <v>79353.429999999993</v>
      </c>
      <c r="C1740" s="6">
        <f t="shared" si="81"/>
        <v>6.0946425238511846E-3</v>
      </c>
      <c r="D1740" s="7">
        <f t="shared" si="82"/>
        <v>0.48697156685887283</v>
      </c>
      <c r="E1740" s="8">
        <f t="shared" si="83"/>
        <v>-0.91410507109407124</v>
      </c>
    </row>
    <row r="1741" spans="1:5" x14ac:dyDescent="0.2">
      <c r="A1741" s="1">
        <v>44154</v>
      </c>
      <c r="B1741">
        <v>78490.75</v>
      </c>
      <c r="C1741" s="6">
        <f t="shared" si="81"/>
        <v>-1.0930888800732107E-2</v>
      </c>
      <c r="D1741" s="7">
        <f t="shared" si="82"/>
        <v>-0.94344468828854877</v>
      </c>
      <c r="E1741" s="8">
        <f t="shared" si="83"/>
        <v>-1.5553710821069648</v>
      </c>
    </row>
    <row r="1742" spans="1:5" x14ac:dyDescent="0.2">
      <c r="A1742" s="1">
        <v>44155</v>
      </c>
      <c r="B1742">
        <v>78746.960000000006</v>
      </c>
      <c r="C1742" s="6">
        <f t="shared" si="81"/>
        <v>3.2588903355770201E-3</v>
      </c>
      <c r="D1742" s="7">
        <f t="shared" si="82"/>
        <v>0.2487231416939967</v>
      </c>
      <c r="E1742" s="8">
        <f t="shared" si="83"/>
        <v>-0.70967719387879247</v>
      </c>
    </row>
    <row r="1743" spans="1:5" x14ac:dyDescent="0.2">
      <c r="A1743" s="1">
        <v>44158</v>
      </c>
      <c r="B1743">
        <v>79917.53</v>
      </c>
      <c r="C1743" s="6">
        <f t="shared" si="81"/>
        <v>1.4755554170777252E-2</v>
      </c>
      <c r="D1743" s="7">
        <f t="shared" si="82"/>
        <v>1.2146263206503463</v>
      </c>
      <c r="E1743" s="8">
        <f t="shared" si="83"/>
        <v>-2.0168172307056751</v>
      </c>
    </row>
    <row r="1744" spans="1:5" x14ac:dyDescent="0.2">
      <c r="A1744" s="1">
        <v>44159</v>
      </c>
      <c r="B1744">
        <v>80126.12</v>
      </c>
      <c r="C1744" s="6">
        <f t="shared" si="81"/>
        <v>2.6066653454719772E-3</v>
      </c>
      <c r="D1744" s="7">
        <f t="shared" si="82"/>
        <v>0.19392583698301119</v>
      </c>
      <c r="E1744" s="8">
        <f t="shared" si="83"/>
        <v>-0.68002093487170978</v>
      </c>
    </row>
    <row r="1745" spans="1:5" x14ac:dyDescent="0.2">
      <c r="A1745" s="1">
        <v>44160</v>
      </c>
      <c r="B1745">
        <v>79835.5</v>
      </c>
      <c r="C1745" s="6">
        <f t="shared" si="81"/>
        <v>-3.6336256129472703E-3</v>
      </c>
      <c r="D1745" s="7">
        <f t="shared" si="82"/>
        <v>-0.33035816059677348</v>
      </c>
      <c r="E1745" s="8">
        <f t="shared" si="83"/>
        <v>-0.76648191269369192</v>
      </c>
    </row>
    <row r="1746" spans="1:5" x14ac:dyDescent="0.2">
      <c r="A1746" s="1">
        <v>44161</v>
      </c>
      <c r="B1746">
        <v>79993.34</v>
      </c>
      <c r="C1746" s="6">
        <f t="shared" si="81"/>
        <v>1.9751135190884664E-3</v>
      </c>
      <c r="D1746" s="7">
        <f t="shared" si="82"/>
        <v>0.14086540784253462</v>
      </c>
      <c r="E1746" s="8">
        <f t="shared" si="83"/>
        <v>-0.65807605295258631</v>
      </c>
    </row>
    <row r="1747" spans="1:5" x14ac:dyDescent="0.2">
      <c r="A1747" s="1">
        <v>44162</v>
      </c>
      <c r="B1747">
        <v>79894.95</v>
      </c>
      <c r="C1747" s="6">
        <f t="shared" si="81"/>
        <v>-1.230734438642549E-3</v>
      </c>
      <c r="D1747" s="7">
        <f t="shared" si="82"/>
        <v>-0.12847696643322654</v>
      </c>
      <c r="E1747" s="8">
        <f t="shared" si="83"/>
        <v>-0.65393242337177526</v>
      </c>
    </row>
    <row r="1748" spans="1:5" x14ac:dyDescent="0.2">
      <c r="A1748" s="1">
        <v>44165</v>
      </c>
      <c r="B1748">
        <v>78965.649999999994</v>
      </c>
      <c r="C1748" s="6">
        <f t="shared" si="81"/>
        <v>-1.1699698986660016E-2</v>
      </c>
      <c r="D1748" s="7">
        <f t="shared" si="82"/>
        <v>-1.0080370094389788</v>
      </c>
      <c r="E1748" s="8">
        <f t="shared" si="83"/>
        <v>-1.6622217140668443</v>
      </c>
    </row>
    <row r="1749" spans="1:5" x14ac:dyDescent="0.2">
      <c r="A1749" s="1">
        <v>44166</v>
      </c>
      <c r="B1749">
        <v>79067.55</v>
      </c>
      <c r="C1749" s="6">
        <f t="shared" si="81"/>
        <v>1.2896026166943424E-3</v>
      </c>
      <c r="D1749" s="7">
        <f t="shared" si="82"/>
        <v>8.3271555458645383E-2</v>
      </c>
      <c r="E1749" s="8">
        <f t="shared" si="83"/>
        <v>-0.64200715711249012</v>
      </c>
    </row>
    <row r="1750" spans="1:5" x14ac:dyDescent="0.2">
      <c r="A1750" s="1">
        <v>44167</v>
      </c>
      <c r="B1750">
        <v>79065.38</v>
      </c>
      <c r="C1750" s="6">
        <f t="shared" si="81"/>
        <v>-2.7445263932464472E-5</v>
      </c>
      <c r="D1750" s="7">
        <f t="shared" si="82"/>
        <v>-2.7381478584164766E-2</v>
      </c>
      <c r="E1750" s="8">
        <f t="shared" si="83"/>
        <v>-0.63427205427721778</v>
      </c>
    </row>
    <row r="1751" spans="1:5" x14ac:dyDescent="0.2">
      <c r="A1751" s="1">
        <v>44168</v>
      </c>
      <c r="B1751">
        <v>79681.429999999993</v>
      </c>
      <c r="C1751" s="6">
        <f t="shared" si="81"/>
        <v>7.7614547665824209E-3</v>
      </c>
      <c r="D1751" s="7">
        <f t="shared" si="82"/>
        <v>0.6270103874294165</v>
      </c>
      <c r="E1751" s="8">
        <f t="shared" si="83"/>
        <v>-1.0829549362868358</v>
      </c>
    </row>
    <row r="1752" spans="1:5" x14ac:dyDescent="0.2">
      <c r="A1752" s="1">
        <v>44169</v>
      </c>
      <c r="B1752">
        <v>79758.36</v>
      </c>
      <c r="C1752" s="6">
        <f t="shared" si="81"/>
        <v>9.6500385468379973E-4</v>
      </c>
      <c r="D1752" s="7">
        <f t="shared" si="82"/>
        <v>5.6000080828647374E-2</v>
      </c>
      <c r="E1752" s="8">
        <f t="shared" si="83"/>
        <v>-0.63725949781894597</v>
      </c>
    </row>
    <row r="1753" spans="1:5" x14ac:dyDescent="0.2">
      <c r="A1753" s="1">
        <v>44172</v>
      </c>
      <c r="B1753">
        <v>79729.89</v>
      </c>
      <c r="C1753" s="6">
        <f t="shared" si="81"/>
        <v>-3.5701690002124106E-4</v>
      </c>
      <c r="D1753" s="7">
        <f t="shared" si="82"/>
        <v>-5.5070753973545598E-2</v>
      </c>
      <c r="E1753" s="8">
        <f t="shared" si="83"/>
        <v>-0.63713034581794725</v>
      </c>
    </row>
    <row r="1754" spans="1:5" x14ac:dyDescent="0.2">
      <c r="A1754" s="1">
        <v>44173</v>
      </c>
      <c r="B1754">
        <v>78960.350000000006</v>
      </c>
      <c r="C1754" s="6">
        <f t="shared" si="81"/>
        <v>-9.6987191175965382E-3</v>
      </c>
      <c r="D1754" s="7">
        <f t="shared" si="82"/>
        <v>-0.83992277697456486</v>
      </c>
      <c r="E1754" s="8">
        <f t="shared" si="83"/>
        <v>-1.3901245282908896</v>
      </c>
    </row>
    <row r="1755" spans="1:5" x14ac:dyDescent="0.2">
      <c r="A1755" s="1">
        <v>44174</v>
      </c>
      <c r="B1755">
        <v>79226.39</v>
      </c>
      <c r="C1755" s="6">
        <f t="shared" si="81"/>
        <v>3.3636226504241795E-3</v>
      </c>
      <c r="D1755" s="7">
        <f t="shared" si="82"/>
        <v>0.25752232703162442</v>
      </c>
      <c r="E1755" s="8">
        <f t="shared" si="83"/>
        <v>-0.71508539724730968</v>
      </c>
    </row>
    <row r="1756" spans="1:5" x14ac:dyDescent="0.2">
      <c r="A1756" s="1">
        <v>44175</v>
      </c>
      <c r="B1756">
        <v>79224.92</v>
      </c>
      <c r="C1756" s="6">
        <f t="shared" si="81"/>
        <v>-1.8554595730887193E-5</v>
      </c>
      <c r="D1756" s="7">
        <f t="shared" si="82"/>
        <v>-2.6634520614266011E-2</v>
      </c>
      <c r="E1756" s="8">
        <f t="shared" si="83"/>
        <v>-0.63422151090674772</v>
      </c>
    </row>
    <row r="1757" spans="1:5" x14ac:dyDescent="0.2">
      <c r="A1757" s="1">
        <v>44176</v>
      </c>
      <c r="B1757">
        <v>79659.55</v>
      </c>
      <c r="C1757" s="6">
        <f t="shared" si="81"/>
        <v>5.4710329350483172E-3</v>
      </c>
      <c r="D1757" s="7">
        <f t="shared" si="82"/>
        <v>0.43457841238495493</v>
      </c>
      <c r="E1757" s="8">
        <f t="shared" si="83"/>
        <v>-0.85944272029104829</v>
      </c>
    </row>
    <row r="1758" spans="1:5" x14ac:dyDescent="0.2">
      <c r="A1758" s="1">
        <v>44179</v>
      </c>
      <c r="B1758">
        <v>79467.289999999994</v>
      </c>
      <c r="C1758" s="6">
        <f t="shared" si="81"/>
        <v>-2.4164382772044928E-3</v>
      </c>
      <c r="D1758" s="7">
        <f t="shared" si="82"/>
        <v>-0.22809500549088341</v>
      </c>
      <c r="E1758" s="8">
        <f t="shared" si="83"/>
        <v>-0.697693934151422</v>
      </c>
    </row>
    <row r="1759" spans="1:5" x14ac:dyDescent="0.2">
      <c r="A1759" s="1">
        <v>44180</v>
      </c>
      <c r="B1759">
        <v>78941.88</v>
      </c>
      <c r="C1759" s="6">
        <f t="shared" si="81"/>
        <v>-6.6336049448189249E-3</v>
      </c>
      <c r="D1759" s="7">
        <f t="shared" si="82"/>
        <v>-0.58240428588975579</v>
      </c>
      <c r="E1759" s="8">
        <f t="shared" si="83"/>
        <v>-1.0258472088056634</v>
      </c>
    </row>
    <row r="1760" spans="1:5" x14ac:dyDescent="0.2">
      <c r="A1760" s="1">
        <v>44182</v>
      </c>
      <c r="B1760">
        <v>79995.33</v>
      </c>
      <c r="C1760" s="6">
        <f t="shared" si="81"/>
        <v>1.3256372462761193E-2</v>
      </c>
      <c r="D1760" s="7">
        <f t="shared" si="82"/>
        <v>1.0886711393592077</v>
      </c>
      <c r="E1760" s="8">
        <f t="shared" si="83"/>
        <v>-1.7987102007957192</v>
      </c>
    </row>
    <row r="1761" spans="1:5" x14ac:dyDescent="0.2">
      <c r="A1761" s="1">
        <v>44183</v>
      </c>
      <c r="B1761">
        <v>78160.86</v>
      </c>
      <c r="C1761" s="6">
        <f t="shared" si="81"/>
        <v>-2.3199247225376734E-2</v>
      </c>
      <c r="D1761" s="7">
        <f t="shared" si="82"/>
        <v>-1.9741825243082423</v>
      </c>
      <c r="E1761" s="8">
        <f t="shared" si="83"/>
        <v>-3.3391409740041516</v>
      </c>
    </row>
    <row r="1762" spans="1:5" x14ac:dyDescent="0.2">
      <c r="A1762" s="1">
        <v>44186</v>
      </c>
      <c r="B1762">
        <v>77586.19</v>
      </c>
      <c r="C1762" s="6">
        <f t="shared" si="81"/>
        <v>-7.3795633104280205E-3</v>
      </c>
      <c r="D1762" s="7">
        <f t="shared" si="82"/>
        <v>-0.64507668955740283</v>
      </c>
      <c r="E1762" s="8">
        <f t="shared" si="83"/>
        <v>-1.1068918433612123</v>
      </c>
    </row>
    <row r="1763" spans="1:5" x14ac:dyDescent="0.2">
      <c r="A1763" s="1">
        <v>44187</v>
      </c>
      <c r="B1763">
        <v>77483.14</v>
      </c>
      <c r="C1763" s="6">
        <f t="shared" si="81"/>
        <v>-1.3290831290686824E-3</v>
      </c>
      <c r="D1763" s="7">
        <f t="shared" si="82"/>
        <v>-0.13673982547568558</v>
      </c>
      <c r="E1763" s="8">
        <f t="shared" si="83"/>
        <v>-0.65665458954738132</v>
      </c>
    </row>
    <row r="1764" spans="1:5" x14ac:dyDescent="0.2">
      <c r="A1764" s="1">
        <v>44188</v>
      </c>
      <c r="B1764">
        <v>77773.070000000007</v>
      </c>
      <c r="C1764" s="6">
        <f t="shared" si="81"/>
        <v>3.734862998707341E-3</v>
      </c>
      <c r="D1764" s="7">
        <f t="shared" si="82"/>
        <v>0.28871243902443305</v>
      </c>
      <c r="E1764" s="8">
        <f t="shared" si="83"/>
        <v>-0.73566247442478372</v>
      </c>
    </row>
    <row r="1765" spans="1:5" x14ac:dyDescent="0.2">
      <c r="A1765" s="1">
        <v>44189</v>
      </c>
      <c r="B1765">
        <v>77510.19</v>
      </c>
      <c r="C1765" s="6">
        <f t="shared" si="81"/>
        <v>-3.3858157168064049E-3</v>
      </c>
      <c r="D1765" s="7">
        <f t="shared" si="82"/>
        <v>-0.30953817578288023</v>
      </c>
      <c r="E1765" s="8">
        <f t="shared" si="83"/>
        <v>-0.75060352997674851</v>
      </c>
    </row>
    <row r="1766" spans="1:5" x14ac:dyDescent="0.2">
      <c r="A1766" s="1">
        <v>44193</v>
      </c>
      <c r="B1766">
        <v>76471.259999999995</v>
      </c>
      <c r="C1766" s="6">
        <f t="shared" si="81"/>
        <v>-1.3494427616810469E-2</v>
      </c>
      <c r="D1766" s="7">
        <f t="shared" si="82"/>
        <v>-1.15882284731993</v>
      </c>
      <c r="E1766" s="8">
        <f t="shared" si="83"/>
        <v>-1.9196013077969658</v>
      </c>
    </row>
    <row r="1767" spans="1:5" x14ac:dyDescent="0.2">
      <c r="A1767" s="1">
        <v>44194</v>
      </c>
      <c r="B1767">
        <v>77381.09</v>
      </c>
      <c r="C1767" s="6">
        <f t="shared" si="81"/>
        <v>1.1827451530159763E-2</v>
      </c>
      <c r="D1767" s="7">
        <f t="shared" si="82"/>
        <v>0.96861898413734848</v>
      </c>
      <c r="E1767" s="8">
        <f t="shared" si="83"/>
        <v>-1.5967156953087442</v>
      </c>
    </row>
    <row r="1768" spans="1:5" x14ac:dyDescent="0.2">
      <c r="A1768" s="1">
        <v>44195</v>
      </c>
      <c r="B1768">
        <v>78156.77</v>
      </c>
      <c r="C1768" s="6">
        <f t="shared" si="81"/>
        <v>9.9742458940518808E-3</v>
      </c>
      <c r="D1768" s="7">
        <f t="shared" si="82"/>
        <v>0.81292014481878105</v>
      </c>
      <c r="E1768" s="8">
        <f t="shared" si="83"/>
        <v>-1.3484786655730607</v>
      </c>
    </row>
    <row r="1769" spans="1:5" x14ac:dyDescent="0.2">
      <c r="A1769" s="1">
        <v>44196</v>
      </c>
      <c r="B1769">
        <v>77900.52</v>
      </c>
      <c r="C1769" s="6">
        <f t="shared" si="81"/>
        <v>-3.2840533153532954E-3</v>
      </c>
      <c r="D1769" s="7">
        <f t="shared" si="82"/>
        <v>-0.30098851055209902</v>
      </c>
      <c r="E1769" s="8">
        <f t="shared" si="83"/>
        <v>-0.74435474211280006</v>
      </c>
    </row>
    <row r="1770" spans="1:5" x14ac:dyDescent="0.2">
      <c r="A1770" s="1">
        <v>44200</v>
      </c>
      <c r="B1770">
        <v>78397.8</v>
      </c>
      <c r="C1770" s="6">
        <f t="shared" si="81"/>
        <v>6.3632376590784055E-3</v>
      </c>
      <c r="D1770" s="7">
        <f t="shared" si="82"/>
        <v>0.50953784336196106</v>
      </c>
      <c r="E1770" s="8">
        <f t="shared" si="83"/>
        <v>-0.93916080822870396</v>
      </c>
    </row>
    <row r="1771" spans="1:5" x14ac:dyDescent="0.2">
      <c r="A1771" s="1">
        <v>44201</v>
      </c>
      <c r="B1771">
        <v>79782.81</v>
      </c>
      <c r="C1771" s="6">
        <f t="shared" si="81"/>
        <v>1.7512201978951775E-2</v>
      </c>
      <c r="D1771" s="7">
        <f t="shared" si="82"/>
        <v>1.4462287158622831</v>
      </c>
      <c r="E1771" s="8">
        <f t="shared" si="83"/>
        <v>-2.4251537818123801</v>
      </c>
    </row>
    <row r="1772" spans="1:5" x14ac:dyDescent="0.2">
      <c r="A1772" s="1">
        <v>44202</v>
      </c>
      <c r="B1772">
        <v>79959.539999999994</v>
      </c>
      <c r="C1772" s="6">
        <f t="shared" si="81"/>
        <v>2.2126890221124949E-3</v>
      </c>
      <c r="D1772" s="7">
        <f t="shared" si="82"/>
        <v>0.16082554035597402</v>
      </c>
      <c r="E1772" s="8">
        <f t="shared" si="83"/>
        <v>-0.66553668348072448</v>
      </c>
    </row>
    <row r="1773" spans="1:5" x14ac:dyDescent="0.2">
      <c r="A1773" s="1">
        <v>44203</v>
      </c>
      <c r="B1773">
        <v>80614.42</v>
      </c>
      <c r="C1773" s="6">
        <f t="shared" si="81"/>
        <v>8.1567849597936701E-3</v>
      </c>
      <c r="D1773" s="7">
        <f t="shared" si="82"/>
        <v>0.66022443072352688</v>
      </c>
      <c r="E1773" s="8">
        <f t="shared" si="83"/>
        <v>-1.1273036955963132</v>
      </c>
    </row>
    <row r="1774" spans="1:5" x14ac:dyDescent="0.2">
      <c r="A1774" s="1">
        <v>44204</v>
      </c>
      <c r="B1774">
        <v>81562.03</v>
      </c>
      <c r="C1774" s="6">
        <f t="shared" si="81"/>
        <v>1.1686293349295393E-2</v>
      </c>
      <c r="D1774" s="7">
        <f t="shared" si="82"/>
        <v>0.95675944491909881</v>
      </c>
      <c r="E1774" s="8">
        <f t="shared" si="83"/>
        <v>-1.5771880964735421</v>
      </c>
    </row>
    <row r="1775" spans="1:5" x14ac:dyDescent="0.2">
      <c r="A1775" s="1">
        <v>44207</v>
      </c>
      <c r="B1775">
        <v>83021.42</v>
      </c>
      <c r="C1775" s="6">
        <f t="shared" si="81"/>
        <v>1.7734811742527171E-2</v>
      </c>
      <c r="D1775" s="7">
        <f t="shared" si="82"/>
        <v>1.4649314874998998</v>
      </c>
      <c r="E1775" s="8">
        <f t="shared" si="83"/>
        <v>-2.4582138391895514</v>
      </c>
    </row>
    <row r="1776" spans="1:5" x14ac:dyDescent="0.2">
      <c r="A1776" s="1">
        <v>44208</v>
      </c>
      <c r="B1776">
        <v>82862.47</v>
      </c>
      <c r="C1776" s="6">
        <f t="shared" si="81"/>
        <v>-1.9164012689424843E-3</v>
      </c>
      <c r="D1776" s="7">
        <f t="shared" si="82"/>
        <v>-0.1860839192488645</v>
      </c>
      <c r="E1776" s="8">
        <f t="shared" si="83"/>
        <v>-0.67635304233356253</v>
      </c>
    </row>
    <row r="1777" spans="1:5" x14ac:dyDescent="0.2">
      <c r="A1777" s="1">
        <v>44209</v>
      </c>
      <c r="B1777">
        <v>82485.11</v>
      </c>
      <c r="C1777" s="6">
        <f t="shared" si="81"/>
        <v>-4.5644533190868381E-3</v>
      </c>
      <c r="D1777" s="7">
        <f t="shared" si="82"/>
        <v>-0.40856253825875594</v>
      </c>
      <c r="E1777" s="8">
        <f t="shared" si="83"/>
        <v>-0.8342083957675861</v>
      </c>
    </row>
    <row r="1778" spans="1:5" x14ac:dyDescent="0.2">
      <c r="A1778" s="1">
        <v>44210</v>
      </c>
      <c r="B1778">
        <v>83747.39</v>
      </c>
      <c r="C1778" s="6">
        <f t="shared" si="81"/>
        <v>1.5187213837657981E-2</v>
      </c>
      <c r="D1778" s="7">
        <f t="shared" si="82"/>
        <v>1.2508926193300338</v>
      </c>
      <c r="E1778" s="8">
        <f t="shared" si="83"/>
        <v>-2.0803702065817169</v>
      </c>
    </row>
    <row r="1779" spans="1:5" x14ac:dyDescent="0.2">
      <c r="A1779" s="1">
        <v>44211</v>
      </c>
      <c r="B1779">
        <v>83811.009999999995</v>
      </c>
      <c r="C1779" s="6">
        <f t="shared" si="81"/>
        <v>7.5937706563473527E-4</v>
      </c>
      <c r="D1779" s="7">
        <f t="shared" si="82"/>
        <v>3.8724149996177411E-2</v>
      </c>
      <c r="E1779" s="8">
        <f t="shared" si="83"/>
        <v>-0.63521115744082157</v>
      </c>
    </row>
    <row r="1780" spans="1:5" x14ac:dyDescent="0.2">
      <c r="A1780" s="1">
        <v>44214</v>
      </c>
      <c r="B1780">
        <v>84813.75</v>
      </c>
      <c r="C1780" s="6">
        <f t="shared" si="81"/>
        <v>1.189329277390107E-2</v>
      </c>
      <c r="D1780" s="7">
        <f t="shared" si="82"/>
        <v>0.9741506990372355</v>
      </c>
      <c r="E1780" s="8">
        <f t="shared" si="83"/>
        <v>-1.6058537311006977</v>
      </c>
    </row>
    <row r="1781" spans="1:5" x14ac:dyDescent="0.2">
      <c r="A1781" s="1">
        <v>44215</v>
      </c>
      <c r="B1781">
        <v>85061.23</v>
      </c>
      <c r="C1781" s="6">
        <f t="shared" si="81"/>
        <v>2.9136742218507233E-3</v>
      </c>
      <c r="D1781" s="7">
        <f t="shared" si="82"/>
        <v>0.21971948059239513</v>
      </c>
      <c r="E1781" s="8">
        <f t="shared" si="83"/>
        <v>-0.69310919926565329</v>
      </c>
    </row>
    <row r="1782" spans="1:5" x14ac:dyDescent="0.2">
      <c r="A1782" s="1">
        <v>44216</v>
      </c>
      <c r="B1782">
        <v>85626.27</v>
      </c>
      <c r="C1782" s="6">
        <f t="shared" si="81"/>
        <v>6.6207784873382365E-3</v>
      </c>
      <c r="D1782" s="7">
        <f t="shared" si="82"/>
        <v>0.53117538172031298</v>
      </c>
      <c r="E1782" s="8">
        <f t="shared" si="83"/>
        <v>-0.9640014955536369</v>
      </c>
    </row>
    <row r="1783" spans="1:5" x14ac:dyDescent="0.2">
      <c r="A1783" s="1">
        <v>44217</v>
      </c>
      <c r="B1783">
        <v>85543.15</v>
      </c>
      <c r="C1783" s="6">
        <f t="shared" si="81"/>
        <v>-9.7120159118926094E-4</v>
      </c>
      <c r="D1783" s="7">
        <f t="shared" si="82"/>
        <v>-0.10667206668211902</v>
      </c>
      <c r="E1783" s="8">
        <f t="shared" si="83"/>
        <v>-0.64755166257777985</v>
      </c>
    </row>
    <row r="1784" spans="1:5" x14ac:dyDescent="0.2">
      <c r="A1784" s="1">
        <v>44218</v>
      </c>
      <c r="B1784">
        <v>86576.24</v>
      </c>
      <c r="C1784" s="6">
        <f t="shared" si="81"/>
        <v>1.200448602938802E-2</v>
      </c>
      <c r="D1784" s="7">
        <f t="shared" si="82"/>
        <v>0.98349270646590448</v>
      </c>
      <c r="E1784" s="8">
        <f t="shared" si="83"/>
        <v>-1.6213277714072503</v>
      </c>
    </row>
    <row r="1785" spans="1:5" x14ac:dyDescent="0.2">
      <c r="A1785" s="1">
        <v>44221</v>
      </c>
      <c r="B1785">
        <v>88868.7</v>
      </c>
      <c r="C1785" s="6">
        <f t="shared" si="81"/>
        <v>2.6134586507537118E-2</v>
      </c>
      <c r="D1785" s="7">
        <f t="shared" si="82"/>
        <v>2.1706465770547578</v>
      </c>
      <c r="E1785" s="8">
        <f t="shared" si="83"/>
        <v>-3.6623855321603656</v>
      </c>
    </row>
    <row r="1786" spans="1:5" x14ac:dyDescent="0.2">
      <c r="A1786" s="1">
        <v>44222</v>
      </c>
      <c r="B1786">
        <v>86905.72</v>
      </c>
      <c r="C1786" s="6">
        <f t="shared" si="81"/>
        <v>-2.2336146644986878E-2</v>
      </c>
      <c r="D1786" s="7">
        <f t="shared" si="82"/>
        <v>-1.9016683057220543</v>
      </c>
      <c r="E1786" s="8">
        <f t="shared" si="83"/>
        <v>-3.2170918772299646</v>
      </c>
    </row>
    <row r="1787" spans="1:5" x14ac:dyDescent="0.2">
      <c r="A1787" s="1">
        <v>44223</v>
      </c>
      <c r="B1787">
        <v>85836.54</v>
      </c>
      <c r="C1787" s="6">
        <f t="shared" si="81"/>
        <v>-1.2379062928788468E-2</v>
      </c>
      <c r="D1787" s="7">
        <f t="shared" si="82"/>
        <v>-1.0651144190924691</v>
      </c>
      <c r="E1787" s="8">
        <f t="shared" si="83"/>
        <v>-1.7585286503713013</v>
      </c>
    </row>
    <row r="1788" spans="1:5" x14ac:dyDescent="0.2">
      <c r="A1788" s="1">
        <v>44224</v>
      </c>
      <c r="B1788">
        <v>85679.03</v>
      </c>
      <c r="C1788" s="6">
        <f t="shared" si="81"/>
        <v>-1.8366850808802498E-3</v>
      </c>
      <c r="D1788" s="7">
        <f t="shared" si="82"/>
        <v>-0.17938648766633505</v>
      </c>
      <c r="E1788" s="8">
        <f t="shared" si="83"/>
        <v>-0.67333627590639356</v>
      </c>
    </row>
    <row r="1789" spans="1:5" x14ac:dyDescent="0.2">
      <c r="A1789" s="1">
        <v>44225</v>
      </c>
      <c r="B1789">
        <v>84462.3</v>
      </c>
      <c r="C1789" s="6">
        <f t="shared" si="81"/>
        <v>-1.4302823919528902E-2</v>
      </c>
      <c r="D1789" s="7">
        <f t="shared" si="82"/>
        <v>-1.2267410338343132</v>
      </c>
      <c r="E1789" s="8">
        <f t="shared" si="83"/>
        <v>-2.0380186917758945</v>
      </c>
    </row>
    <row r="1790" spans="1:5" x14ac:dyDescent="0.2">
      <c r="A1790" s="1">
        <v>44228</v>
      </c>
      <c r="B1790">
        <v>84690.28</v>
      </c>
      <c r="C1790" s="6">
        <f t="shared" si="81"/>
        <v>2.6955561427712601E-3</v>
      </c>
      <c r="D1790" s="7">
        <f t="shared" si="82"/>
        <v>0.20139408211239018</v>
      </c>
      <c r="E1790" s="8">
        <f t="shared" si="83"/>
        <v>-0.68364947569678347</v>
      </c>
    </row>
    <row r="1791" spans="1:5" x14ac:dyDescent="0.2">
      <c r="A1791" s="1">
        <v>44229</v>
      </c>
      <c r="B1791">
        <v>85670.51</v>
      </c>
      <c r="C1791" s="6">
        <f t="shared" si="81"/>
        <v>1.150782193048311E-2</v>
      </c>
      <c r="D1791" s="7">
        <f t="shared" si="82"/>
        <v>0.94176499842099159</v>
      </c>
      <c r="E1791" s="8">
        <f t="shared" si="83"/>
        <v>-1.5526270519630867</v>
      </c>
    </row>
    <row r="1792" spans="1:5" x14ac:dyDescent="0.2">
      <c r="A1792" s="1">
        <v>44230</v>
      </c>
      <c r="B1792">
        <v>85954.27</v>
      </c>
      <c r="C1792" s="6">
        <f t="shared" si="81"/>
        <v>3.3067516073954631E-3</v>
      </c>
      <c r="D1792" s="7">
        <f t="shared" si="82"/>
        <v>0.25274425210141627</v>
      </c>
      <c r="E1792" s="8">
        <f t="shared" si="83"/>
        <v>-0.71212679615582519</v>
      </c>
    </row>
    <row r="1793" spans="1:5" x14ac:dyDescent="0.2">
      <c r="A1793" s="1">
        <v>44231</v>
      </c>
      <c r="B1793">
        <v>86802.86</v>
      </c>
      <c r="C1793" s="6">
        <f t="shared" si="81"/>
        <v>9.8241597908594516E-3</v>
      </c>
      <c r="D1793" s="7">
        <f t="shared" si="82"/>
        <v>0.80031051768965888</v>
      </c>
      <c r="E1793" s="8">
        <f t="shared" si="83"/>
        <v>-1.3292640364631825</v>
      </c>
    </row>
    <row r="1794" spans="1:5" x14ac:dyDescent="0.2">
      <c r="A1794" s="1">
        <v>44232</v>
      </c>
      <c r="B1794">
        <v>86793.34</v>
      </c>
      <c r="C1794" s="6">
        <f t="shared" si="81"/>
        <v>-1.096798202904274E-4</v>
      </c>
      <c r="D1794" s="7">
        <f t="shared" si="82"/>
        <v>-3.4290493281369579E-2</v>
      </c>
      <c r="E1794" s="8">
        <f t="shared" si="83"/>
        <v>-0.63480575616370616</v>
      </c>
    </row>
    <row r="1795" spans="1:5" x14ac:dyDescent="0.2">
      <c r="A1795" s="1">
        <v>44235</v>
      </c>
      <c r="B1795">
        <v>87381.37</v>
      </c>
      <c r="C1795" s="6">
        <f t="shared" ref="C1795:C1858" si="84">LN(B1795/B1794)</f>
        <v>6.7522114334266714E-3</v>
      </c>
      <c r="D1795" s="7">
        <f t="shared" ref="D1795:D1858" si="85">(C1795-$G$4)/$G$5</f>
        <v>0.54221784606181356</v>
      </c>
      <c r="E1795" s="8">
        <f t="shared" ref="E1795:E1858" si="86">LN((PI()*(G$3-2))^(-1/2)*EXP(GAMMALN((G$3+1)/2))*((1+D1795^2/(G$3-2))^(-(G$3+1)/2))/EXP(GAMMALN(G$3/2)))</f>
        <v>-0.97697808498771432</v>
      </c>
    </row>
    <row r="1796" spans="1:5" x14ac:dyDescent="0.2">
      <c r="A1796" s="1">
        <v>44236</v>
      </c>
      <c r="B1796">
        <v>87943.27</v>
      </c>
      <c r="C1796" s="6">
        <f t="shared" si="84"/>
        <v>6.4098454598988004E-3</v>
      </c>
      <c r="D1796" s="7">
        <f t="shared" si="85"/>
        <v>0.51345364220777467</v>
      </c>
      <c r="E1796" s="8">
        <f t="shared" si="86"/>
        <v>-0.94359785518187522</v>
      </c>
    </row>
    <row r="1797" spans="1:5" x14ac:dyDescent="0.2">
      <c r="A1797" s="1">
        <v>44237</v>
      </c>
      <c r="B1797">
        <v>88593.15</v>
      </c>
      <c r="C1797" s="6">
        <f t="shared" si="84"/>
        <v>7.3625933471411905E-3</v>
      </c>
      <c r="D1797" s="7">
        <f t="shared" si="85"/>
        <v>0.59349966479510396</v>
      </c>
      <c r="E1797" s="8">
        <f t="shared" si="86"/>
        <v>-1.0397789304285958</v>
      </c>
    </row>
    <row r="1798" spans="1:5" x14ac:dyDescent="0.2">
      <c r="A1798" s="1">
        <v>44238</v>
      </c>
      <c r="B1798">
        <v>88824.73</v>
      </c>
      <c r="C1798" s="6">
        <f t="shared" si="84"/>
        <v>2.6105613652774124E-3</v>
      </c>
      <c r="D1798" s="7">
        <f t="shared" si="85"/>
        <v>0.19425316480343721</v>
      </c>
      <c r="E1798" s="8">
        <f t="shared" si="86"/>
        <v>-0.68017720711659546</v>
      </c>
    </row>
    <row r="1799" spans="1:5" x14ac:dyDescent="0.2">
      <c r="A1799" s="1">
        <v>44239</v>
      </c>
      <c r="B1799">
        <v>89200.59</v>
      </c>
      <c r="C1799" s="6">
        <f t="shared" si="84"/>
        <v>4.2225516961672356E-3</v>
      </c>
      <c r="D1799" s="7">
        <f t="shared" si="85"/>
        <v>0.32968607015517137</v>
      </c>
      <c r="E1799" s="8">
        <f t="shared" si="86"/>
        <v>-0.76595482595583619</v>
      </c>
    </row>
    <row r="1800" spans="1:5" x14ac:dyDescent="0.2">
      <c r="A1800" s="1">
        <v>44242</v>
      </c>
      <c r="B1800">
        <v>89672.13</v>
      </c>
      <c r="C1800" s="6">
        <f t="shared" si="84"/>
        <v>5.2723645317759643E-3</v>
      </c>
      <c r="D1800" s="7">
        <f t="shared" si="85"/>
        <v>0.41788709697122511</v>
      </c>
      <c r="E1800" s="8">
        <f t="shared" si="86"/>
        <v>-0.84310288513513176</v>
      </c>
    </row>
    <row r="1801" spans="1:5" x14ac:dyDescent="0.2">
      <c r="A1801" s="1">
        <v>44243</v>
      </c>
      <c r="B1801">
        <v>89325.28</v>
      </c>
      <c r="C1801" s="6">
        <f t="shared" si="84"/>
        <v>-3.8754799203132434E-3</v>
      </c>
      <c r="D1801" s="7">
        <f t="shared" si="85"/>
        <v>-0.35067778093861768</v>
      </c>
      <c r="E1801" s="8">
        <f t="shared" si="86"/>
        <v>-0.78286872896244697</v>
      </c>
    </row>
    <row r="1802" spans="1:5" x14ac:dyDescent="0.2">
      <c r="A1802" s="1">
        <v>44244</v>
      </c>
      <c r="B1802">
        <v>89719.43</v>
      </c>
      <c r="C1802" s="6">
        <f t="shared" si="84"/>
        <v>4.4028180079702132E-3</v>
      </c>
      <c r="D1802" s="7">
        <f t="shared" si="85"/>
        <v>0.34483131630006747</v>
      </c>
      <c r="E1802" s="8">
        <f t="shared" si="86"/>
        <v>-0.77806478365632692</v>
      </c>
    </row>
    <row r="1803" spans="1:5" x14ac:dyDescent="0.2">
      <c r="A1803" s="1">
        <v>44245</v>
      </c>
      <c r="B1803">
        <v>88884.86</v>
      </c>
      <c r="C1803" s="6">
        <f t="shared" si="84"/>
        <v>-9.3455322287986139E-3</v>
      </c>
      <c r="D1803" s="7">
        <f t="shared" si="85"/>
        <v>-0.81024944360187723</v>
      </c>
      <c r="E1803" s="8">
        <f t="shared" si="86"/>
        <v>-1.344396346581525</v>
      </c>
    </row>
    <row r="1804" spans="1:5" x14ac:dyDescent="0.2">
      <c r="A1804" s="1">
        <v>44246</v>
      </c>
      <c r="B1804">
        <v>90064.94</v>
      </c>
      <c r="C1804" s="6">
        <f t="shared" si="84"/>
        <v>1.318914138526805E-2</v>
      </c>
      <c r="D1804" s="7">
        <f t="shared" si="85"/>
        <v>1.0830226562508767</v>
      </c>
      <c r="E1804" s="8">
        <f t="shared" si="86"/>
        <v>-1.7890543984618961</v>
      </c>
    </row>
    <row r="1805" spans="1:5" x14ac:dyDescent="0.2">
      <c r="A1805" s="1">
        <v>44249</v>
      </c>
      <c r="B1805">
        <v>89000.89</v>
      </c>
      <c r="C1805" s="6">
        <f t="shared" si="84"/>
        <v>-1.1884596007627023E-2</v>
      </c>
      <c r="D1805" s="7">
        <f t="shared" si="85"/>
        <v>-1.0235713090315945</v>
      </c>
      <c r="E1805" s="8">
        <f t="shared" si="86"/>
        <v>-1.6882731385662393</v>
      </c>
    </row>
    <row r="1806" spans="1:5" x14ac:dyDescent="0.2">
      <c r="A1806" s="1">
        <v>44250</v>
      </c>
      <c r="B1806">
        <v>86641.24</v>
      </c>
      <c r="C1806" s="6">
        <f t="shared" si="84"/>
        <v>-2.6870454995792492E-2</v>
      </c>
      <c r="D1806" s="7">
        <f t="shared" si="85"/>
        <v>-2.2826225471604955</v>
      </c>
      <c r="E1806" s="8">
        <f t="shared" si="86"/>
        <v>-3.8414670994313398</v>
      </c>
    </row>
    <row r="1807" spans="1:5" x14ac:dyDescent="0.2">
      <c r="A1807" s="1">
        <v>44251</v>
      </c>
      <c r="B1807">
        <v>86550.38</v>
      </c>
      <c r="C1807" s="6">
        <f t="shared" si="84"/>
        <v>-1.0492425480600398E-3</v>
      </c>
      <c r="D1807" s="7">
        <f t="shared" si="85"/>
        <v>-0.1132287521180699</v>
      </c>
      <c r="E1807" s="8">
        <f t="shared" si="86"/>
        <v>-0.64934757592878622</v>
      </c>
    </row>
    <row r="1808" spans="1:5" x14ac:dyDescent="0.2">
      <c r="A1808" s="1">
        <v>44252</v>
      </c>
      <c r="B1808">
        <v>86843.77</v>
      </c>
      <c r="C1808" s="6">
        <f t="shared" si="84"/>
        <v>3.3840851031317126E-3</v>
      </c>
      <c r="D1808" s="7">
        <f t="shared" si="85"/>
        <v>0.2592414995152918</v>
      </c>
      <c r="E1808" s="8">
        <f t="shared" si="86"/>
        <v>-0.71616259832188833</v>
      </c>
    </row>
    <row r="1809" spans="1:5" x14ac:dyDescent="0.2">
      <c r="A1809" s="1">
        <v>44253</v>
      </c>
      <c r="B1809">
        <v>86144.34</v>
      </c>
      <c r="C1809" s="6">
        <f t="shared" si="84"/>
        <v>-8.0864957873569322E-3</v>
      </c>
      <c r="D1809" s="7">
        <f t="shared" si="85"/>
        <v>-0.70447029596019706</v>
      </c>
      <c r="E1809" s="8">
        <f t="shared" si="86"/>
        <v>-1.1886249680680685</v>
      </c>
    </row>
    <row r="1810" spans="1:5" x14ac:dyDescent="0.2">
      <c r="A1810" s="1">
        <v>44256</v>
      </c>
      <c r="B1810">
        <v>88082.08</v>
      </c>
      <c r="C1810" s="6">
        <f t="shared" si="84"/>
        <v>2.2244845577084477E-2</v>
      </c>
      <c r="D1810" s="7">
        <f t="shared" si="85"/>
        <v>1.84384628229991</v>
      </c>
      <c r="E1810" s="8">
        <f t="shared" si="86"/>
        <v>-3.1187959849390716</v>
      </c>
    </row>
    <row r="1811" spans="1:5" x14ac:dyDescent="0.2">
      <c r="A1811" s="1">
        <v>44257</v>
      </c>
      <c r="B1811">
        <v>89150.720000000001</v>
      </c>
      <c r="C1811" s="6">
        <f t="shared" si="84"/>
        <v>1.2059313521329221E-2</v>
      </c>
      <c r="D1811" s="7">
        <f t="shared" si="85"/>
        <v>0.98809909050212064</v>
      </c>
      <c r="E1811" s="8">
        <f t="shared" si="86"/>
        <v>-1.6289766153719771</v>
      </c>
    </row>
    <row r="1812" spans="1:5" x14ac:dyDescent="0.2">
      <c r="A1812" s="1">
        <v>44258</v>
      </c>
      <c r="B1812">
        <v>89680.18</v>
      </c>
      <c r="C1812" s="6">
        <f t="shared" si="84"/>
        <v>5.9213653458994198E-3</v>
      </c>
      <c r="D1812" s="7">
        <f t="shared" si="85"/>
        <v>0.47241351946152721</v>
      </c>
      <c r="E1812" s="8">
        <f t="shared" si="86"/>
        <v>-0.89841560741580595</v>
      </c>
    </row>
    <row r="1813" spans="1:5" x14ac:dyDescent="0.2">
      <c r="A1813" s="1">
        <v>44259</v>
      </c>
      <c r="B1813">
        <v>87893.58</v>
      </c>
      <c r="C1813" s="6">
        <f t="shared" si="84"/>
        <v>-2.0123021417277384E-2</v>
      </c>
      <c r="D1813" s="7">
        <f t="shared" si="85"/>
        <v>-1.71573047858232</v>
      </c>
      <c r="E1813" s="8">
        <f t="shared" si="86"/>
        <v>-2.8982181354630656</v>
      </c>
    </row>
    <row r="1814" spans="1:5" x14ac:dyDescent="0.2">
      <c r="A1814" s="1">
        <v>44260</v>
      </c>
      <c r="B1814">
        <v>87613.31</v>
      </c>
      <c r="C1814" s="6">
        <f t="shared" si="84"/>
        <v>-3.1938374412927416E-3</v>
      </c>
      <c r="D1814" s="7">
        <f t="shared" si="85"/>
        <v>-0.29340893783461103</v>
      </c>
      <c r="E1814" s="8">
        <f t="shared" si="86"/>
        <v>-0.73894872107801091</v>
      </c>
    </row>
    <row r="1815" spans="1:5" x14ac:dyDescent="0.2">
      <c r="A1815" s="1">
        <v>44263</v>
      </c>
      <c r="B1815">
        <v>87156.37</v>
      </c>
      <c r="C1815" s="6">
        <f t="shared" si="84"/>
        <v>-5.2290653754145907E-3</v>
      </c>
      <c r="D1815" s="7">
        <f t="shared" si="85"/>
        <v>-0.46440055415465276</v>
      </c>
      <c r="E1815" s="8">
        <f t="shared" si="86"/>
        <v>-0.88994213402927114</v>
      </c>
    </row>
    <row r="1816" spans="1:5" x14ac:dyDescent="0.2">
      <c r="A1816" s="1">
        <v>44264</v>
      </c>
      <c r="B1816">
        <v>88303.23</v>
      </c>
      <c r="C1816" s="6">
        <f t="shared" si="84"/>
        <v>1.3072825117947011E-2</v>
      </c>
      <c r="D1816" s="7">
        <f t="shared" si="85"/>
        <v>1.0732502340960481</v>
      </c>
      <c r="E1816" s="8">
        <f t="shared" si="86"/>
        <v>-1.7723798450542263</v>
      </c>
    </row>
    <row r="1817" spans="1:5" x14ac:dyDescent="0.2">
      <c r="A1817" s="1">
        <v>44265</v>
      </c>
      <c r="B1817">
        <v>88066.98</v>
      </c>
      <c r="C1817" s="6">
        <f t="shared" si="84"/>
        <v>-2.6790254578781926E-3</v>
      </c>
      <c r="D1817" s="7">
        <f t="shared" si="85"/>
        <v>-0.25015651796107857</v>
      </c>
      <c r="E1817" s="8">
        <f t="shared" si="86"/>
        <v>-0.71054615515776609</v>
      </c>
    </row>
    <row r="1818" spans="1:5" x14ac:dyDescent="0.2">
      <c r="A1818" s="1">
        <v>44266</v>
      </c>
      <c r="B1818">
        <v>88932.06</v>
      </c>
      <c r="C1818" s="6">
        <f t="shared" si="84"/>
        <v>9.7750461053187042E-3</v>
      </c>
      <c r="D1818" s="7">
        <f t="shared" si="85"/>
        <v>0.79618418454866347</v>
      </c>
      <c r="E1818" s="8">
        <f t="shared" si="86"/>
        <v>-1.3230096899107053</v>
      </c>
    </row>
    <row r="1819" spans="1:5" x14ac:dyDescent="0.2">
      <c r="A1819" s="1">
        <v>44267</v>
      </c>
      <c r="B1819">
        <v>87476.54</v>
      </c>
      <c r="C1819" s="6">
        <f t="shared" si="84"/>
        <v>-1.650206430098472E-2</v>
      </c>
      <c r="D1819" s="7">
        <f t="shared" si="85"/>
        <v>-1.4115123123710795</v>
      </c>
      <c r="E1819" s="8">
        <f t="shared" si="86"/>
        <v>-2.3637635939224602</v>
      </c>
    </row>
    <row r="1820" spans="1:5" x14ac:dyDescent="0.2">
      <c r="A1820" s="1">
        <v>44270</v>
      </c>
      <c r="B1820">
        <v>86981.32</v>
      </c>
      <c r="C1820" s="6">
        <f t="shared" si="84"/>
        <v>-5.6772601719475482E-3</v>
      </c>
      <c r="D1820" s="7">
        <f t="shared" si="85"/>
        <v>-0.50205606752518339</v>
      </c>
      <c r="E1820" s="8">
        <f t="shared" si="86"/>
        <v>-0.93075596365944968</v>
      </c>
    </row>
    <row r="1821" spans="1:5" x14ac:dyDescent="0.2">
      <c r="A1821" s="1">
        <v>44271</v>
      </c>
      <c r="B1821">
        <v>86895.75</v>
      </c>
      <c r="C1821" s="6">
        <f t="shared" si="84"/>
        <v>-9.8425867088867145E-4</v>
      </c>
      <c r="D1821" s="7">
        <f t="shared" si="85"/>
        <v>-0.10776906968841135</v>
      </c>
      <c r="E1821" s="8">
        <f t="shared" si="86"/>
        <v>-0.64784476598197427</v>
      </c>
    </row>
    <row r="1822" spans="1:5" x14ac:dyDescent="0.2">
      <c r="A1822" s="1">
        <v>44272</v>
      </c>
      <c r="B1822">
        <v>86602.51</v>
      </c>
      <c r="C1822" s="6">
        <f t="shared" si="84"/>
        <v>-3.3803253038727195E-3</v>
      </c>
      <c r="D1822" s="7">
        <f t="shared" si="85"/>
        <v>-0.30907689350286843</v>
      </c>
      <c r="E1822" s="8">
        <f t="shared" si="86"/>
        <v>-0.75026232495674161</v>
      </c>
    </row>
    <row r="1823" spans="1:5" x14ac:dyDescent="0.2">
      <c r="A1823" s="1">
        <v>44273</v>
      </c>
      <c r="B1823">
        <v>86782.36</v>
      </c>
      <c r="C1823" s="6">
        <f t="shared" si="84"/>
        <v>2.0745762246060446E-3</v>
      </c>
      <c r="D1823" s="7">
        <f t="shared" si="85"/>
        <v>0.14922186192557729</v>
      </c>
      <c r="E1823" s="8">
        <f t="shared" si="86"/>
        <v>-0.66108204788497038</v>
      </c>
    </row>
    <row r="1824" spans="1:5" x14ac:dyDescent="0.2">
      <c r="A1824" s="1">
        <v>44274</v>
      </c>
      <c r="B1824">
        <v>86583.4</v>
      </c>
      <c r="C1824" s="6">
        <f t="shared" si="84"/>
        <v>-2.2952639246338401E-3</v>
      </c>
      <c r="D1824" s="7">
        <f t="shared" si="85"/>
        <v>-0.21791442666960725</v>
      </c>
      <c r="E1824" s="8">
        <f t="shared" si="86"/>
        <v>-0.69214250697071411</v>
      </c>
    </row>
    <row r="1825" spans="1:5" x14ac:dyDescent="0.2">
      <c r="A1825" s="1">
        <v>44278</v>
      </c>
      <c r="B1825">
        <v>87264.85</v>
      </c>
      <c r="C1825" s="6">
        <f t="shared" si="84"/>
        <v>7.8396358910716186E-3</v>
      </c>
      <c r="D1825" s="7">
        <f t="shared" si="85"/>
        <v>0.63357884918153684</v>
      </c>
      <c r="E1825" s="8">
        <f t="shared" si="86"/>
        <v>-1.0916056235922289</v>
      </c>
    </row>
    <row r="1826" spans="1:5" x14ac:dyDescent="0.2">
      <c r="A1826" s="1">
        <v>44279</v>
      </c>
      <c r="B1826">
        <v>86580.34</v>
      </c>
      <c r="C1826" s="6">
        <f t="shared" si="84"/>
        <v>-7.8749781630774694E-3</v>
      </c>
      <c r="D1826" s="7">
        <f t="shared" si="85"/>
        <v>-0.68669944098648816</v>
      </c>
      <c r="E1826" s="8">
        <f t="shared" si="86"/>
        <v>-1.1637000428647852</v>
      </c>
    </row>
    <row r="1827" spans="1:5" x14ac:dyDescent="0.2">
      <c r="A1827" s="1">
        <v>44280</v>
      </c>
      <c r="B1827">
        <v>85982.25</v>
      </c>
      <c r="C1827" s="6">
        <f t="shared" si="84"/>
        <v>-6.9318894078315299E-3</v>
      </c>
      <c r="D1827" s="7">
        <f t="shared" si="85"/>
        <v>-0.6074649395878331</v>
      </c>
      <c r="E1827" s="8">
        <f t="shared" si="86"/>
        <v>-1.0575744111034107</v>
      </c>
    </row>
    <row r="1828" spans="1:5" x14ac:dyDescent="0.2">
      <c r="A1828" s="1">
        <v>44281</v>
      </c>
      <c r="B1828">
        <v>87917.55</v>
      </c>
      <c r="C1828" s="6">
        <f t="shared" si="84"/>
        <v>2.2258563862837432E-2</v>
      </c>
      <c r="D1828" s="7">
        <f t="shared" si="85"/>
        <v>1.8449988371635255</v>
      </c>
      <c r="E1828" s="8">
        <f t="shared" si="86"/>
        <v>-3.1207633805855362</v>
      </c>
    </row>
    <row r="1829" spans="1:5" x14ac:dyDescent="0.2">
      <c r="A1829" s="1">
        <v>44284</v>
      </c>
      <c r="B1829">
        <v>88427.17</v>
      </c>
      <c r="C1829" s="6">
        <f t="shared" si="84"/>
        <v>5.7798318964780108E-3</v>
      </c>
      <c r="D1829" s="7">
        <f t="shared" si="85"/>
        <v>0.46052245169748346</v>
      </c>
      <c r="E1829" s="8">
        <f t="shared" si="86"/>
        <v>-0.88588302969019628</v>
      </c>
    </row>
    <row r="1830" spans="1:5" x14ac:dyDescent="0.2">
      <c r="A1830" s="1">
        <v>44285</v>
      </c>
      <c r="B1830">
        <v>88705.45</v>
      </c>
      <c r="C1830" s="6">
        <f t="shared" si="84"/>
        <v>3.1420551329673797E-3</v>
      </c>
      <c r="D1830" s="7">
        <f t="shared" si="85"/>
        <v>0.23890712069587597</v>
      </c>
      <c r="E1830" s="8">
        <f t="shared" si="86"/>
        <v>-0.70385277224768172</v>
      </c>
    </row>
    <row r="1831" spans="1:5" x14ac:dyDescent="0.2">
      <c r="A1831" s="1">
        <v>44286</v>
      </c>
      <c r="B1831">
        <v>87397.47</v>
      </c>
      <c r="C1831" s="6">
        <f t="shared" si="84"/>
        <v>-1.4854995620416648E-2</v>
      </c>
      <c r="D1831" s="7">
        <f t="shared" si="85"/>
        <v>-1.2731322660093576</v>
      </c>
      <c r="E1831" s="8">
        <f t="shared" si="86"/>
        <v>-2.1194563697720321</v>
      </c>
    </row>
    <row r="1832" spans="1:5" x14ac:dyDescent="0.2">
      <c r="A1832" s="1">
        <v>44287</v>
      </c>
      <c r="B1832">
        <v>89425.34</v>
      </c>
      <c r="C1832" s="6">
        <f t="shared" si="84"/>
        <v>2.2937752332540699E-2</v>
      </c>
      <c r="D1832" s="7">
        <f t="shared" si="85"/>
        <v>1.9020615043338278</v>
      </c>
      <c r="E1832" s="8">
        <f t="shared" si="86"/>
        <v>-3.2177574111394955</v>
      </c>
    </row>
    <row r="1833" spans="1:5" x14ac:dyDescent="0.2">
      <c r="A1833" s="1">
        <v>44292</v>
      </c>
      <c r="B1833">
        <v>89894.1</v>
      </c>
      <c r="C1833" s="6">
        <f t="shared" si="84"/>
        <v>5.2282236412211115E-3</v>
      </c>
      <c r="D1833" s="7">
        <f t="shared" si="85"/>
        <v>0.41417855794459418</v>
      </c>
      <c r="E1833" s="8">
        <f t="shared" si="86"/>
        <v>-0.8395451578077423</v>
      </c>
    </row>
    <row r="1834" spans="1:5" x14ac:dyDescent="0.2">
      <c r="A1834" s="1">
        <v>44293</v>
      </c>
      <c r="B1834">
        <v>87500.76</v>
      </c>
      <c r="C1834" s="6">
        <f t="shared" si="84"/>
        <v>-2.6984831807713598E-2</v>
      </c>
      <c r="D1834" s="7">
        <f t="shared" si="85"/>
        <v>-2.2922320241198229</v>
      </c>
      <c r="E1834" s="8">
        <f t="shared" si="86"/>
        <v>-3.8566555769866797</v>
      </c>
    </row>
    <row r="1835" spans="1:5" x14ac:dyDescent="0.2">
      <c r="A1835" s="1">
        <v>44294</v>
      </c>
      <c r="B1835">
        <v>87439.57</v>
      </c>
      <c r="C1835" s="6">
        <f t="shared" si="84"/>
        <v>-6.9955284176482049E-4</v>
      </c>
      <c r="D1835" s="7">
        <f t="shared" si="85"/>
        <v>-8.3849237869362492E-2</v>
      </c>
      <c r="E1835" s="8">
        <f t="shared" si="86"/>
        <v>-0.64212771743072372</v>
      </c>
    </row>
    <row r="1836" spans="1:5" x14ac:dyDescent="0.2">
      <c r="A1836" s="1">
        <v>44295</v>
      </c>
      <c r="B1836">
        <v>87543.87</v>
      </c>
      <c r="C1836" s="6">
        <f t="shared" si="84"/>
        <v>1.1921129491110642E-3</v>
      </c>
      <c r="D1836" s="7">
        <f t="shared" si="85"/>
        <v>7.5080868039763729E-2</v>
      </c>
      <c r="E1836" s="8">
        <f t="shared" si="86"/>
        <v>-0.64038690994750058</v>
      </c>
    </row>
    <row r="1837" spans="1:5" x14ac:dyDescent="0.2">
      <c r="A1837" s="1">
        <v>44298</v>
      </c>
      <c r="B1837">
        <v>86617.38</v>
      </c>
      <c r="C1837" s="6">
        <f t="shared" si="84"/>
        <v>-1.0639550874557997E-2</v>
      </c>
      <c r="D1837" s="7">
        <f t="shared" si="85"/>
        <v>-0.91896765450936435</v>
      </c>
      <c r="E1837" s="8">
        <f t="shared" si="86"/>
        <v>-1.5155737487930461</v>
      </c>
    </row>
    <row r="1838" spans="1:5" x14ac:dyDescent="0.2">
      <c r="A1838" s="1">
        <v>44299</v>
      </c>
      <c r="B1838">
        <v>87974.15</v>
      </c>
      <c r="C1838" s="6">
        <f t="shared" si="84"/>
        <v>1.5542533052302139E-2</v>
      </c>
      <c r="D1838" s="7">
        <f t="shared" si="85"/>
        <v>1.2807451020927507</v>
      </c>
      <c r="E1838" s="8">
        <f t="shared" si="86"/>
        <v>-2.1328526967278392</v>
      </c>
    </row>
    <row r="1839" spans="1:5" x14ac:dyDescent="0.2">
      <c r="A1839" s="1">
        <v>44300</v>
      </c>
      <c r="B1839">
        <v>88846.65</v>
      </c>
      <c r="C1839" s="6">
        <f t="shared" si="84"/>
        <v>9.8688285691245544E-3</v>
      </c>
      <c r="D1839" s="7">
        <f t="shared" si="85"/>
        <v>0.80406340770582663</v>
      </c>
      <c r="E1839" s="8">
        <f t="shared" si="86"/>
        <v>-1.3349667466813013</v>
      </c>
    </row>
    <row r="1840" spans="1:5" x14ac:dyDescent="0.2">
      <c r="A1840" s="1">
        <v>44301</v>
      </c>
      <c r="B1840">
        <v>88642.38</v>
      </c>
      <c r="C1840" s="6">
        <f t="shared" si="84"/>
        <v>-2.3017770753292069E-3</v>
      </c>
      <c r="D1840" s="7">
        <f t="shared" si="85"/>
        <v>-0.21846163523827172</v>
      </c>
      <c r="E1840" s="8">
        <f t="shared" si="86"/>
        <v>-0.69243476039166185</v>
      </c>
    </row>
    <row r="1841" spans="1:5" x14ac:dyDescent="0.2">
      <c r="A1841" s="1">
        <v>44302</v>
      </c>
      <c r="B1841">
        <v>89364.17</v>
      </c>
      <c r="C1841" s="6">
        <f t="shared" si="84"/>
        <v>8.1097460277152061E-3</v>
      </c>
      <c r="D1841" s="7">
        <f t="shared" si="85"/>
        <v>0.65627240997380398</v>
      </c>
      <c r="E1841" s="8">
        <f t="shared" si="86"/>
        <v>-1.121948763458124</v>
      </c>
    </row>
    <row r="1842" spans="1:5" x14ac:dyDescent="0.2">
      <c r="A1842" s="1">
        <v>44305</v>
      </c>
      <c r="B1842">
        <v>88302.56</v>
      </c>
      <c r="C1842" s="6">
        <f t="shared" si="84"/>
        <v>-1.1950719584602115E-2</v>
      </c>
      <c r="D1842" s="7">
        <f t="shared" si="85"/>
        <v>-1.0291267444274399</v>
      </c>
      <c r="E1842" s="8">
        <f t="shared" si="86"/>
        <v>-1.6976199803636538</v>
      </c>
    </row>
    <row r="1843" spans="1:5" x14ac:dyDescent="0.2">
      <c r="A1843" s="1">
        <v>44306</v>
      </c>
      <c r="B1843">
        <v>86451.839999999997</v>
      </c>
      <c r="C1843" s="6">
        <f t="shared" si="84"/>
        <v>-2.1181603380154908E-2</v>
      </c>
      <c r="D1843" s="7">
        <f t="shared" si="85"/>
        <v>-1.804668251990865</v>
      </c>
      <c r="E1843" s="8">
        <f t="shared" si="86"/>
        <v>-3.0517316872670244</v>
      </c>
    </row>
    <row r="1844" spans="1:5" x14ac:dyDescent="0.2">
      <c r="A1844" s="1">
        <v>44307</v>
      </c>
      <c r="B1844">
        <v>86734.78</v>
      </c>
      <c r="C1844" s="6">
        <f t="shared" si="84"/>
        <v>3.2674608665419114E-3</v>
      </c>
      <c r="D1844" s="7">
        <f t="shared" si="85"/>
        <v>0.24944320302857154</v>
      </c>
      <c r="E1844" s="8">
        <f t="shared" si="86"/>
        <v>-0.71011313312573077</v>
      </c>
    </row>
    <row r="1845" spans="1:5" x14ac:dyDescent="0.2">
      <c r="A1845" s="1">
        <v>44308</v>
      </c>
      <c r="B1845">
        <v>86813.55</v>
      </c>
      <c r="C1845" s="6">
        <f t="shared" si="84"/>
        <v>9.0775872529627686E-4</v>
      </c>
      <c r="D1845" s="7">
        <f t="shared" si="85"/>
        <v>5.1190576676157479E-2</v>
      </c>
      <c r="E1845" s="8">
        <f t="shared" si="86"/>
        <v>-0.63661438637730805</v>
      </c>
    </row>
    <row r="1846" spans="1:5" x14ac:dyDescent="0.2">
      <c r="A1846" s="1">
        <v>44309</v>
      </c>
      <c r="B1846">
        <v>86986.45</v>
      </c>
      <c r="C1846" s="6">
        <f t="shared" si="84"/>
        <v>1.9896439244881685E-3</v>
      </c>
      <c r="D1846" s="7">
        <f t="shared" si="85"/>
        <v>0.14208619371296469</v>
      </c>
      <c r="E1846" s="8">
        <f t="shared" si="86"/>
        <v>-0.65850461476230626</v>
      </c>
    </row>
    <row r="1847" spans="1:5" x14ac:dyDescent="0.2">
      <c r="A1847" s="1">
        <v>44312</v>
      </c>
      <c r="B1847">
        <v>86871.33</v>
      </c>
      <c r="C1847" s="6">
        <f t="shared" si="84"/>
        <v>-1.3243010099924346E-3</v>
      </c>
      <c r="D1847" s="7">
        <f t="shared" si="85"/>
        <v>-0.1363380511797587</v>
      </c>
      <c r="E1847" s="8">
        <f t="shared" si="86"/>
        <v>-0.65651837390919954</v>
      </c>
    </row>
    <row r="1848" spans="1:5" x14ac:dyDescent="0.2">
      <c r="A1848" s="1">
        <v>44314</v>
      </c>
      <c r="B1848">
        <v>86896.68</v>
      </c>
      <c r="C1848" s="6">
        <f t="shared" si="84"/>
        <v>2.9176832007029533E-4</v>
      </c>
      <c r="D1848" s="7">
        <f t="shared" si="85"/>
        <v>-5.6244482149361721E-4</v>
      </c>
      <c r="E1848" s="8">
        <f t="shared" si="86"/>
        <v>-0.63333308058618798</v>
      </c>
    </row>
    <row r="1849" spans="1:5" x14ac:dyDescent="0.2">
      <c r="A1849" s="1">
        <v>44315</v>
      </c>
      <c r="B1849">
        <v>86202.15</v>
      </c>
      <c r="C1849" s="6">
        <f t="shared" si="84"/>
        <v>-8.0247073544209204E-3</v>
      </c>
      <c r="D1849" s="7">
        <f t="shared" si="85"/>
        <v>-0.69927908182615472</v>
      </c>
      <c r="E1849" s="8">
        <f t="shared" si="86"/>
        <v>-1.1813039079956937</v>
      </c>
    </row>
    <row r="1850" spans="1:5" x14ac:dyDescent="0.2">
      <c r="A1850" s="1">
        <v>44316</v>
      </c>
      <c r="B1850">
        <v>86102.06</v>
      </c>
      <c r="C1850" s="6">
        <f t="shared" si="84"/>
        <v>-1.1617825386616358E-3</v>
      </c>
      <c r="D1850" s="7">
        <f t="shared" si="85"/>
        <v>-0.12268390678206692</v>
      </c>
      <c r="E1850" s="8">
        <f t="shared" si="86"/>
        <v>-0.65212342781251864</v>
      </c>
    </row>
    <row r="1851" spans="1:5" x14ac:dyDescent="0.2">
      <c r="A1851" s="1">
        <v>44319</v>
      </c>
      <c r="B1851">
        <v>85589.41</v>
      </c>
      <c r="C1851" s="6">
        <f t="shared" si="84"/>
        <v>-5.9717762741995882E-3</v>
      </c>
      <c r="D1851" s="7">
        <f t="shared" si="85"/>
        <v>-0.52680011879926536</v>
      </c>
      <c r="E1851" s="8">
        <f t="shared" si="86"/>
        <v>-0.95891536586730952</v>
      </c>
    </row>
    <row r="1852" spans="1:5" x14ac:dyDescent="0.2">
      <c r="A1852" s="1">
        <v>44320</v>
      </c>
      <c r="B1852">
        <v>84575.97</v>
      </c>
      <c r="C1852" s="6">
        <f t="shared" si="84"/>
        <v>-1.1911376829839724E-2</v>
      </c>
      <c r="D1852" s="7">
        <f t="shared" si="85"/>
        <v>-1.0258213253564272</v>
      </c>
      <c r="E1852" s="8">
        <f t="shared" si="86"/>
        <v>-1.6920568394071205</v>
      </c>
    </row>
    <row r="1853" spans="1:5" x14ac:dyDescent="0.2">
      <c r="A1853" s="1">
        <v>44321</v>
      </c>
      <c r="B1853">
        <v>85649.08</v>
      </c>
      <c r="C1853" s="6">
        <f t="shared" si="84"/>
        <v>1.2608299611804794E-2</v>
      </c>
      <c r="D1853" s="7">
        <f t="shared" si="85"/>
        <v>1.034222680579584</v>
      </c>
      <c r="E1853" s="8">
        <f t="shared" si="86"/>
        <v>-1.7062073105523585</v>
      </c>
    </row>
    <row r="1854" spans="1:5" x14ac:dyDescent="0.2">
      <c r="A1854" s="1">
        <v>44322</v>
      </c>
      <c r="B1854">
        <v>86103.42</v>
      </c>
      <c r="C1854" s="6">
        <f t="shared" si="84"/>
        <v>5.2906485761079428E-3</v>
      </c>
      <c r="D1854" s="7">
        <f t="shared" si="85"/>
        <v>0.41942324839720346</v>
      </c>
      <c r="E1854" s="8">
        <f t="shared" si="86"/>
        <v>-0.84458436001443549</v>
      </c>
    </row>
    <row r="1855" spans="1:5" x14ac:dyDescent="0.2">
      <c r="A1855" s="1">
        <v>44323</v>
      </c>
      <c r="B1855">
        <v>86856.14</v>
      </c>
      <c r="C1855" s="6">
        <f t="shared" si="84"/>
        <v>8.7040548923935888E-3</v>
      </c>
      <c r="D1855" s="7">
        <f t="shared" si="85"/>
        <v>0.70620383615999816</v>
      </c>
      <c r="E1855" s="8">
        <f t="shared" si="86"/>
        <v>-1.1910769987693948</v>
      </c>
    </row>
    <row r="1856" spans="1:5" x14ac:dyDescent="0.2">
      <c r="A1856" s="1">
        <v>44326</v>
      </c>
      <c r="B1856">
        <v>85665.25</v>
      </c>
      <c r="C1856" s="6">
        <f t="shared" si="84"/>
        <v>-1.3805927666173515E-2</v>
      </c>
      <c r="D1856" s="7">
        <f t="shared" si="85"/>
        <v>-1.1849938211117881</v>
      </c>
      <c r="E1856" s="8">
        <f t="shared" si="86"/>
        <v>-1.9650960475327466</v>
      </c>
    </row>
    <row r="1857" spans="1:5" x14ac:dyDescent="0.2">
      <c r="A1857" s="1">
        <v>44327</v>
      </c>
      <c r="B1857">
        <v>84183.64</v>
      </c>
      <c r="C1857" s="6">
        <f t="shared" si="84"/>
        <v>-1.7446656043074323E-2</v>
      </c>
      <c r="D1857" s="7">
        <f t="shared" si="85"/>
        <v>-1.490873088643127</v>
      </c>
      <c r="E1857" s="8">
        <f t="shared" si="86"/>
        <v>-2.5040425252473906</v>
      </c>
    </row>
    <row r="1858" spans="1:5" x14ac:dyDescent="0.2">
      <c r="A1858" s="1">
        <v>44328</v>
      </c>
      <c r="B1858">
        <v>83756.13</v>
      </c>
      <c r="C1858" s="6">
        <f t="shared" si="84"/>
        <v>-5.0912410258438451E-3</v>
      </c>
      <c r="D1858" s="7">
        <f t="shared" si="85"/>
        <v>-0.45282110995272912</v>
      </c>
      <c r="E1858" s="8">
        <f t="shared" si="86"/>
        <v>-0.87790394337281386</v>
      </c>
    </row>
    <row r="1859" spans="1:5" x14ac:dyDescent="0.2">
      <c r="A1859" s="1">
        <v>44329</v>
      </c>
      <c r="B1859">
        <v>82513.42</v>
      </c>
      <c r="C1859" s="6">
        <f t="shared" ref="C1859:C1922" si="87">LN(B1859/B1858)</f>
        <v>-1.4948415277960002E-2</v>
      </c>
      <c r="D1859" s="7">
        <f t="shared" ref="D1859:D1922" si="88">(C1859-$G$4)/$G$5</f>
        <v>-1.2809810076522907</v>
      </c>
      <c r="E1859" s="8">
        <f t="shared" ref="E1859:E1922" si="89">LN((PI()*(G$3-2))^(-1/2)*EXP(GAMMALN((G$3+1)/2))*((1+D1859^2/(G$3-2))^(-(G$3+1)/2))/EXP(GAMMALN(G$3/2)))</f>
        <v>-2.1332679460575656</v>
      </c>
    </row>
    <row r="1860" spans="1:5" x14ac:dyDescent="0.2">
      <c r="A1860" s="1">
        <v>44330</v>
      </c>
      <c r="B1860">
        <v>83277.45</v>
      </c>
      <c r="C1860" s="6">
        <f t="shared" si="87"/>
        <v>9.2168574628678675E-3</v>
      </c>
      <c r="D1860" s="7">
        <f t="shared" si="88"/>
        <v>0.7492874332885443</v>
      </c>
      <c r="E1860" s="8">
        <f t="shared" si="89"/>
        <v>-1.2531442048473609</v>
      </c>
    </row>
    <row r="1861" spans="1:5" x14ac:dyDescent="0.2">
      <c r="A1861" s="1">
        <v>44333</v>
      </c>
      <c r="B1861">
        <v>83982.17</v>
      </c>
      <c r="C1861" s="6">
        <f t="shared" si="87"/>
        <v>8.4267101664229783E-3</v>
      </c>
      <c r="D1861" s="7">
        <f t="shared" si="88"/>
        <v>0.68290245444423681</v>
      </c>
      <c r="E1861" s="8">
        <f t="shared" si="89"/>
        <v>-1.1584252177065493</v>
      </c>
    </row>
    <row r="1862" spans="1:5" x14ac:dyDescent="0.2">
      <c r="A1862" s="1">
        <v>44334</v>
      </c>
      <c r="B1862">
        <v>83774.240000000005</v>
      </c>
      <c r="C1862" s="6">
        <f t="shared" si="87"/>
        <v>-2.4789527444113941E-3</v>
      </c>
      <c r="D1862" s="7">
        <f t="shared" si="88"/>
        <v>-0.23334721808676964</v>
      </c>
      <c r="E1862" s="8">
        <f t="shared" si="89"/>
        <v>-0.70065199743302287</v>
      </c>
    </row>
    <row r="1863" spans="1:5" x14ac:dyDescent="0.2">
      <c r="A1863" s="1">
        <v>44335</v>
      </c>
      <c r="B1863">
        <v>82912.81</v>
      </c>
      <c r="C1863" s="6">
        <f t="shared" si="87"/>
        <v>-1.0335987937358298E-2</v>
      </c>
      <c r="D1863" s="7">
        <f t="shared" si="88"/>
        <v>-0.89346352476724178</v>
      </c>
      <c r="E1863" s="8">
        <f t="shared" si="89"/>
        <v>-1.4745607077868894</v>
      </c>
    </row>
    <row r="1864" spans="1:5" x14ac:dyDescent="0.2">
      <c r="A1864" s="1">
        <v>44336</v>
      </c>
      <c r="B1864">
        <v>83654.649999999994</v>
      </c>
      <c r="C1864" s="6">
        <f t="shared" si="87"/>
        <v>8.90744092450102E-3</v>
      </c>
      <c r="D1864" s="7">
        <f t="shared" si="88"/>
        <v>0.72329150766052475</v>
      </c>
      <c r="E1864" s="8">
        <f t="shared" si="89"/>
        <v>-1.2154380678820467</v>
      </c>
    </row>
    <row r="1865" spans="1:5" x14ac:dyDescent="0.2">
      <c r="A1865" s="1">
        <v>44337</v>
      </c>
      <c r="B1865">
        <v>84155.28</v>
      </c>
      <c r="C1865" s="6">
        <f t="shared" si="87"/>
        <v>5.9666491159263459E-3</v>
      </c>
      <c r="D1865" s="7">
        <f t="shared" si="88"/>
        <v>0.47621807859721443</v>
      </c>
      <c r="E1865" s="8">
        <f t="shared" si="89"/>
        <v>-0.90247934907079264</v>
      </c>
    </row>
    <row r="1866" spans="1:5" x14ac:dyDescent="0.2">
      <c r="A1866" s="1">
        <v>44340</v>
      </c>
      <c r="B1866">
        <v>84504.1</v>
      </c>
      <c r="C1866" s="6">
        <f t="shared" si="87"/>
        <v>4.1363901296329591E-3</v>
      </c>
      <c r="D1866" s="7">
        <f t="shared" si="88"/>
        <v>0.32244712395196901</v>
      </c>
      <c r="E1866" s="8">
        <f t="shared" si="89"/>
        <v>-0.76033882241136497</v>
      </c>
    </row>
    <row r="1867" spans="1:5" x14ac:dyDescent="0.2">
      <c r="A1867" s="1">
        <v>44341</v>
      </c>
      <c r="B1867">
        <v>85060.26</v>
      </c>
      <c r="C1867" s="6">
        <f t="shared" si="87"/>
        <v>6.5598925906029774E-3</v>
      </c>
      <c r="D1867" s="7">
        <f t="shared" si="88"/>
        <v>0.52605999502611989</v>
      </c>
      <c r="E1867" s="8">
        <f t="shared" si="89"/>
        <v>-0.95805813092807768</v>
      </c>
    </row>
    <row r="1868" spans="1:5" x14ac:dyDescent="0.2">
      <c r="A1868" s="1">
        <v>44342</v>
      </c>
      <c r="B1868">
        <v>85522.27</v>
      </c>
      <c r="C1868" s="6">
        <f t="shared" si="87"/>
        <v>5.4168633764155672E-3</v>
      </c>
      <c r="D1868" s="7">
        <f t="shared" si="88"/>
        <v>0.43002730524326088</v>
      </c>
      <c r="E1868" s="8">
        <f t="shared" si="89"/>
        <v>-0.85493469081048767</v>
      </c>
    </row>
    <row r="1869" spans="1:5" x14ac:dyDescent="0.2">
      <c r="A1869" s="1">
        <v>44343</v>
      </c>
      <c r="B1869">
        <v>85488.42</v>
      </c>
      <c r="C1869" s="6">
        <f t="shared" si="87"/>
        <v>-3.9588168952585823E-4</v>
      </c>
      <c r="D1869" s="7">
        <f t="shared" si="88"/>
        <v>-5.8336016337488188E-2</v>
      </c>
      <c r="E1869" s="8">
        <f t="shared" si="89"/>
        <v>-0.63759364401283403</v>
      </c>
    </row>
    <row r="1870" spans="1:5" x14ac:dyDescent="0.2">
      <c r="A1870" s="1">
        <v>44344</v>
      </c>
      <c r="B1870">
        <v>87078.41</v>
      </c>
      <c r="C1870" s="6">
        <f t="shared" si="87"/>
        <v>1.8428048953941855E-2</v>
      </c>
      <c r="D1870" s="7">
        <f t="shared" si="88"/>
        <v>1.5231744731063948</v>
      </c>
      <c r="E1870" s="8">
        <f t="shared" si="89"/>
        <v>-2.5610440020255383</v>
      </c>
    </row>
    <row r="1871" spans="1:5" x14ac:dyDescent="0.2">
      <c r="A1871" s="1">
        <v>44347</v>
      </c>
      <c r="B1871">
        <v>86872.1</v>
      </c>
      <c r="C1871" s="6">
        <f t="shared" si="87"/>
        <v>-2.3720550947057867E-3</v>
      </c>
      <c r="D1871" s="7">
        <f t="shared" si="88"/>
        <v>-0.22436611007546367</v>
      </c>
      <c r="E1871" s="8">
        <f t="shared" si="89"/>
        <v>-0.69563261128888598</v>
      </c>
    </row>
    <row r="1872" spans="1:5" x14ac:dyDescent="0.2">
      <c r="A1872" s="1">
        <v>44348</v>
      </c>
      <c r="B1872">
        <v>88357.88</v>
      </c>
      <c r="C1872" s="6">
        <f t="shared" si="87"/>
        <v>1.6958463474357737E-2</v>
      </c>
      <c r="D1872" s="7">
        <f t="shared" si="88"/>
        <v>1.3997058471792569</v>
      </c>
      <c r="E1872" s="8">
        <f t="shared" si="89"/>
        <v>-2.3428839374900883</v>
      </c>
    </row>
    <row r="1873" spans="1:5" x14ac:dyDescent="0.2">
      <c r="A1873" s="1">
        <v>44349</v>
      </c>
      <c r="B1873">
        <v>88879.26</v>
      </c>
      <c r="C1873" s="6">
        <f t="shared" si="87"/>
        <v>5.8834339569492364E-3</v>
      </c>
      <c r="D1873" s="7">
        <f t="shared" si="88"/>
        <v>0.46922667763555032</v>
      </c>
      <c r="E1873" s="8">
        <f t="shared" si="89"/>
        <v>-0.89503170634624107</v>
      </c>
    </row>
    <row r="1874" spans="1:5" x14ac:dyDescent="0.2">
      <c r="A1874" s="1">
        <v>44350</v>
      </c>
      <c r="B1874">
        <v>87421.95</v>
      </c>
      <c r="C1874" s="6">
        <f t="shared" si="87"/>
        <v>-1.6532424169298444E-2</v>
      </c>
      <c r="D1874" s="7">
        <f t="shared" si="88"/>
        <v>-1.4140630256681959</v>
      </c>
      <c r="E1874" s="8">
        <f t="shared" si="89"/>
        <v>-2.368274559881602</v>
      </c>
    </row>
    <row r="1875" spans="1:5" x14ac:dyDescent="0.2">
      <c r="A1875" s="1">
        <v>44351</v>
      </c>
      <c r="B1875">
        <v>87556.21</v>
      </c>
      <c r="C1875" s="6">
        <f t="shared" si="87"/>
        <v>1.5345918181813524E-3</v>
      </c>
      <c r="D1875" s="7">
        <f t="shared" si="88"/>
        <v>0.10385455692049157</v>
      </c>
      <c r="E1875" s="8">
        <f t="shared" si="89"/>
        <v>-0.64681245363169027</v>
      </c>
    </row>
    <row r="1876" spans="1:5" x14ac:dyDescent="0.2">
      <c r="A1876" s="1">
        <v>44354</v>
      </c>
      <c r="B1876">
        <v>87592.57</v>
      </c>
      <c r="C1876" s="6">
        <f t="shared" si="87"/>
        <v>4.1518988053827651E-4</v>
      </c>
      <c r="D1876" s="7">
        <f t="shared" si="88"/>
        <v>9.8069353149222837E-3</v>
      </c>
      <c r="E1876" s="8">
        <f t="shared" si="89"/>
        <v>-0.63345320462814281</v>
      </c>
    </row>
    <row r="1877" spans="1:5" x14ac:dyDescent="0.2">
      <c r="A1877" s="1">
        <v>44355</v>
      </c>
      <c r="B1877">
        <v>87534.55</v>
      </c>
      <c r="C1877" s="6">
        <f t="shared" si="87"/>
        <v>-6.6260442269342747E-4</v>
      </c>
      <c r="D1877" s="7">
        <f t="shared" si="88"/>
        <v>-8.0744981195422061E-2</v>
      </c>
      <c r="E1877" s="8">
        <f t="shared" si="89"/>
        <v>-0.64148959797973326</v>
      </c>
    </row>
    <row r="1878" spans="1:5" x14ac:dyDescent="0.2">
      <c r="A1878" s="1">
        <v>44356</v>
      </c>
      <c r="B1878">
        <v>87697.47</v>
      </c>
      <c r="C1878" s="6">
        <f t="shared" si="87"/>
        <v>1.859478044520335E-3</v>
      </c>
      <c r="D1878" s="7">
        <f t="shared" si="88"/>
        <v>0.13115018314026003</v>
      </c>
      <c r="E1878" s="8">
        <f t="shared" si="89"/>
        <v>-0.65479486431896838</v>
      </c>
    </row>
    <row r="1879" spans="1:5" x14ac:dyDescent="0.2">
      <c r="A1879" s="1">
        <v>44357</v>
      </c>
      <c r="B1879">
        <v>87546.27</v>
      </c>
      <c r="C1879" s="6">
        <f t="shared" si="87"/>
        <v>-1.7255970172609446E-3</v>
      </c>
      <c r="D1879" s="7">
        <f t="shared" si="88"/>
        <v>-0.17005331803277035</v>
      </c>
      <c r="E1879" s="8">
        <f t="shared" si="89"/>
        <v>-0.6693110024634138</v>
      </c>
    </row>
    <row r="1880" spans="1:5" x14ac:dyDescent="0.2">
      <c r="A1880" s="1">
        <v>44358</v>
      </c>
      <c r="B1880">
        <v>87619.64</v>
      </c>
      <c r="C1880" s="6">
        <f t="shared" si="87"/>
        <v>8.3772012820029795E-4</v>
      </c>
      <c r="D1880" s="7">
        <f t="shared" si="88"/>
        <v>4.5306217130258772E-2</v>
      </c>
      <c r="E1880" s="8">
        <f t="shared" si="89"/>
        <v>-0.63590365161870521</v>
      </c>
    </row>
    <row r="1881" spans="1:5" x14ac:dyDescent="0.2">
      <c r="A1881" s="1">
        <v>44361</v>
      </c>
      <c r="B1881">
        <v>88227.44</v>
      </c>
      <c r="C1881" s="6">
        <f t="shared" si="87"/>
        <v>6.9128520125112903E-3</v>
      </c>
      <c r="D1881" s="7">
        <f t="shared" si="88"/>
        <v>0.55571421755109263</v>
      </c>
      <c r="E1881" s="8">
        <f t="shared" si="89"/>
        <v>-0.99310664703283436</v>
      </c>
    </row>
    <row r="1882" spans="1:5" x14ac:dyDescent="0.2">
      <c r="A1882" s="1">
        <v>44362</v>
      </c>
      <c r="B1882">
        <v>88247.96</v>
      </c>
      <c r="C1882" s="6">
        <f t="shared" si="87"/>
        <v>2.3255366008498516E-4</v>
      </c>
      <c r="D1882" s="7">
        <f t="shared" si="88"/>
        <v>-5.5374209659217188E-3</v>
      </c>
      <c r="E1882" s="8">
        <f t="shared" si="89"/>
        <v>-0.63337110938307073</v>
      </c>
    </row>
    <row r="1883" spans="1:5" x14ac:dyDescent="0.2">
      <c r="A1883" s="1">
        <v>44364</v>
      </c>
      <c r="B1883">
        <v>89074.53</v>
      </c>
      <c r="C1883" s="6">
        <f t="shared" si="87"/>
        <v>9.3228556266363831E-3</v>
      </c>
      <c r="D1883" s="7">
        <f t="shared" si="88"/>
        <v>0.75819297013081233</v>
      </c>
      <c r="E1883" s="8">
        <f t="shared" si="89"/>
        <v>-1.266233736918114</v>
      </c>
    </row>
    <row r="1884" spans="1:5" x14ac:dyDescent="0.2">
      <c r="A1884" s="1">
        <v>44365</v>
      </c>
      <c r="B1884">
        <v>87956.07</v>
      </c>
      <c r="C1884" s="6">
        <f t="shared" si="87"/>
        <v>-1.2635949736872201E-2</v>
      </c>
      <c r="D1884" s="7">
        <f t="shared" si="88"/>
        <v>-1.0866970093218462</v>
      </c>
      <c r="E1884" s="8">
        <f t="shared" si="89"/>
        <v>-1.7953340616201445</v>
      </c>
    </row>
    <row r="1885" spans="1:5" x14ac:dyDescent="0.2">
      <c r="A1885" s="1">
        <v>44368</v>
      </c>
      <c r="B1885">
        <v>87977.72</v>
      </c>
      <c r="C1885" s="6">
        <f t="shared" si="87"/>
        <v>2.4611531541822885E-4</v>
      </c>
      <c r="D1885" s="7">
        <f t="shared" si="88"/>
        <v>-4.3980255564305386E-3</v>
      </c>
      <c r="E1885" s="8">
        <f t="shared" si="89"/>
        <v>-0.6333569233461831</v>
      </c>
    </row>
    <row r="1886" spans="1:5" x14ac:dyDescent="0.2">
      <c r="A1886" s="1">
        <v>44369</v>
      </c>
      <c r="B1886">
        <v>87234.34</v>
      </c>
      <c r="C1886" s="6">
        <f t="shared" si="87"/>
        <v>-8.4855398714724431E-3</v>
      </c>
      <c r="D1886" s="7">
        <f t="shared" si="88"/>
        <v>-0.73799636534136592</v>
      </c>
      <c r="E1886" s="8">
        <f t="shared" si="89"/>
        <v>-1.2366734766706724</v>
      </c>
    </row>
    <row r="1887" spans="1:5" x14ac:dyDescent="0.2">
      <c r="A1887" s="1">
        <v>44370</v>
      </c>
      <c r="B1887">
        <v>86785.5</v>
      </c>
      <c r="C1887" s="6">
        <f t="shared" si="87"/>
        <v>-5.1585037120855295E-3</v>
      </c>
      <c r="D1887" s="7">
        <f t="shared" si="88"/>
        <v>-0.45847224870022085</v>
      </c>
      <c r="E1887" s="8">
        <f t="shared" si="89"/>
        <v>-0.88374824461775259</v>
      </c>
    </row>
    <row r="1888" spans="1:5" x14ac:dyDescent="0.2">
      <c r="A1888" s="1">
        <v>44371</v>
      </c>
      <c r="B1888">
        <v>87123.65</v>
      </c>
      <c r="C1888" s="6">
        <f t="shared" si="87"/>
        <v>3.8888169616208071E-3</v>
      </c>
      <c r="D1888" s="7">
        <f t="shared" si="88"/>
        <v>0.30164702807762811</v>
      </c>
      <c r="E1888" s="8">
        <f t="shared" si="89"/>
        <v>-0.74483036911377343</v>
      </c>
    </row>
    <row r="1889" spans="1:5" x14ac:dyDescent="0.2">
      <c r="A1889" s="1">
        <v>44372</v>
      </c>
      <c r="B1889">
        <v>86394.67</v>
      </c>
      <c r="C1889" s="6">
        <f t="shared" si="87"/>
        <v>-8.4023898898600898E-3</v>
      </c>
      <c r="D1889" s="7">
        <f t="shared" si="88"/>
        <v>-0.73101044031817541</v>
      </c>
      <c r="E1889" s="8">
        <f t="shared" si="89"/>
        <v>-1.226554290237851</v>
      </c>
    </row>
    <row r="1890" spans="1:5" x14ac:dyDescent="0.2">
      <c r="A1890" s="1">
        <v>44375</v>
      </c>
      <c r="B1890">
        <v>86459.16</v>
      </c>
      <c r="C1890" s="6">
        <f t="shared" si="87"/>
        <v>7.4617962462573278E-4</v>
      </c>
      <c r="D1890" s="7">
        <f t="shared" si="88"/>
        <v>3.7615354400566924E-2</v>
      </c>
      <c r="E1890" s="8">
        <f t="shared" si="89"/>
        <v>-0.63510516183537746</v>
      </c>
    </row>
    <row r="1891" spans="1:5" x14ac:dyDescent="0.2">
      <c r="A1891" s="1">
        <v>44376</v>
      </c>
      <c r="B1891">
        <v>87913.07</v>
      </c>
      <c r="C1891" s="6">
        <f t="shared" si="87"/>
        <v>1.6676321615799176E-2</v>
      </c>
      <c r="D1891" s="7">
        <f t="shared" si="88"/>
        <v>1.3760014297930612</v>
      </c>
      <c r="E1891" s="8">
        <f t="shared" si="89"/>
        <v>-2.3009687450070961</v>
      </c>
    </row>
    <row r="1892" spans="1:5" x14ac:dyDescent="0.2">
      <c r="A1892" s="1">
        <v>44377</v>
      </c>
      <c r="B1892">
        <v>87227.61</v>
      </c>
      <c r="C1892" s="6">
        <f t="shared" si="87"/>
        <v>-7.8275760936302192E-3</v>
      </c>
      <c r="D1892" s="7">
        <f t="shared" si="88"/>
        <v>-0.6827169109043244</v>
      </c>
      <c r="E1892" s="8">
        <f t="shared" si="89"/>
        <v>-1.1581679225751986</v>
      </c>
    </row>
    <row r="1893" spans="1:5" x14ac:dyDescent="0.2">
      <c r="A1893" s="1">
        <v>44378</v>
      </c>
      <c r="B1893">
        <v>87141.78</v>
      </c>
      <c r="C1893" s="6">
        <f t="shared" si="87"/>
        <v>-9.8446185918240432E-4</v>
      </c>
      <c r="D1893" s="7">
        <f t="shared" si="88"/>
        <v>-0.10778614074673372</v>
      </c>
      <c r="E1893" s="8">
        <f t="shared" si="89"/>
        <v>-0.64784935054572323</v>
      </c>
    </row>
    <row r="1894" spans="1:5" x14ac:dyDescent="0.2">
      <c r="A1894" s="1">
        <v>44379</v>
      </c>
      <c r="B1894">
        <v>86859.09</v>
      </c>
      <c r="C1894" s="6">
        <f t="shared" si="87"/>
        <v>-3.2492969571750693E-3</v>
      </c>
      <c r="D1894" s="7">
        <f t="shared" si="88"/>
        <v>-0.29806842196513816</v>
      </c>
      <c r="E1894" s="8">
        <f t="shared" si="89"/>
        <v>-0.74225709502113557</v>
      </c>
    </row>
    <row r="1895" spans="1:5" x14ac:dyDescent="0.2">
      <c r="A1895" s="1">
        <v>44382</v>
      </c>
      <c r="B1895">
        <v>85031.9</v>
      </c>
      <c r="C1895" s="6">
        <f t="shared" si="87"/>
        <v>-2.1260670219996624E-2</v>
      </c>
      <c r="D1895" s="7">
        <f t="shared" si="88"/>
        <v>-1.8113111279632246</v>
      </c>
      <c r="E1895" s="8">
        <f t="shared" si="89"/>
        <v>-3.0631281700704691</v>
      </c>
    </row>
    <row r="1896" spans="1:5" x14ac:dyDescent="0.2">
      <c r="A1896" s="1">
        <v>44383</v>
      </c>
      <c r="B1896">
        <v>85105.53</v>
      </c>
      <c r="C1896" s="6">
        <f t="shared" si="87"/>
        <v>8.6553563900284474E-4</v>
      </c>
      <c r="D1896" s="7">
        <f t="shared" si="88"/>
        <v>4.764316380397237E-2</v>
      </c>
      <c r="E1896" s="8">
        <f t="shared" si="89"/>
        <v>-0.63617556398245168</v>
      </c>
    </row>
    <row r="1897" spans="1:5" x14ac:dyDescent="0.2">
      <c r="A1897" s="1">
        <v>44384</v>
      </c>
      <c r="B1897">
        <v>86174.25</v>
      </c>
      <c r="C1897" s="6">
        <f t="shared" si="87"/>
        <v>1.2479393303120982E-2</v>
      </c>
      <c r="D1897" s="7">
        <f t="shared" si="88"/>
        <v>1.0233924940898305</v>
      </c>
      <c r="E1897" s="8">
        <f t="shared" si="89"/>
        <v>-1.6879725480226968</v>
      </c>
    </row>
    <row r="1898" spans="1:5" x14ac:dyDescent="0.2">
      <c r="A1898" s="1">
        <v>44385</v>
      </c>
      <c r="B1898">
        <v>84300.49</v>
      </c>
      <c r="C1898" s="6">
        <f t="shared" si="87"/>
        <v>-2.1983731579807549E-2</v>
      </c>
      <c r="D1898" s="7">
        <f t="shared" si="88"/>
        <v>-1.872059817846937</v>
      </c>
      <c r="E1898" s="8">
        <f t="shared" si="89"/>
        <v>-3.1668626913697251</v>
      </c>
    </row>
    <row r="1899" spans="1:5" x14ac:dyDescent="0.2">
      <c r="A1899" s="1">
        <v>44386</v>
      </c>
      <c r="B1899">
        <v>84879.86</v>
      </c>
      <c r="C1899" s="6">
        <f t="shared" si="87"/>
        <v>6.8491673519401677E-3</v>
      </c>
      <c r="D1899" s="7">
        <f t="shared" si="88"/>
        <v>0.5503636900434461</v>
      </c>
      <c r="E1899" s="8">
        <f t="shared" si="89"/>
        <v>-0.98667766513037258</v>
      </c>
    </row>
    <row r="1900" spans="1:5" x14ac:dyDescent="0.2">
      <c r="A1900" s="1">
        <v>44389</v>
      </c>
      <c r="B1900">
        <v>86401.82</v>
      </c>
      <c r="C1900" s="6">
        <f t="shared" si="87"/>
        <v>1.7771895485967668E-2</v>
      </c>
      <c r="D1900" s="7">
        <f t="shared" si="88"/>
        <v>1.4680471135797983</v>
      </c>
      <c r="E1900" s="8">
        <f t="shared" si="89"/>
        <v>-2.4637198037815411</v>
      </c>
    </row>
    <row r="1901" spans="1:5" x14ac:dyDescent="0.2">
      <c r="A1901" s="1">
        <v>44390</v>
      </c>
      <c r="B1901">
        <v>86391.28</v>
      </c>
      <c r="C1901" s="6">
        <f t="shared" si="87"/>
        <v>-1.2199561224465836E-4</v>
      </c>
      <c r="D1901" s="7">
        <f t="shared" si="88"/>
        <v>-3.5325216290625031E-2</v>
      </c>
      <c r="E1901" s="8">
        <f t="shared" si="89"/>
        <v>-0.63489596973276596</v>
      </c>
    </row>
    <row r="1902" spans="1:5" x14ac:dyDescent="0.2">
      <c r="A1902" s="1">
        <v>44391</v>
      </c>
      <c r="B1902">
        <v>87744.17</v>
      </c>
      <c r="C1902" s="6">
        <f t="shared" si="87"/>
        <v>1.5538676601665212E-2</v>
      </c>
      <c r="D1902" s="7">
        <f t="shared" si="88"/>
        <v>1.2804210987137625</v>
      </c>
      <c r="E1902" s="8">
        <f t="shared" si="89"/>
        <v>-2.1322823865546572</v>
      </c>
    </row>
    <row r="1903" spans="1:5" x14ac:dyDescent="0.2">
      <c r="A1903" s="1">
        <v>44392</v>
      </c>
      <c r="B1903">
        <v>87727.360000000001</v>
      </c>
      <c r="C1903" s="6">
        <f t="shared" si="87"/>
        <v>-1.915980336117482E-4</v>
      </c>
      <c r="D1903" s="7">
        <f t="shared" si="88"/>
        <v>-4.1172930116586487E-2</v>
      </c>
      <c r="E1903" s="8">
        <f t="shared" si="89"/>
        <v>-0.63545614114311033</v>
      </c>
    </row>
    <row r="1904" spans="1:5" x14ac:dyDescent="0.2">
      <c r="A1904" s="1">
        <v>44393</v>
      </c>
      <c r="B1904">
        <v>87249.65</v>
      </c>
      <c r="C1904" s="6">
        <f t="shared" si="87"/>
        <v>-5.4602737456009454E-3</v>
      </c>
      <c r="D1904" s="7">
        <f t="shared" si="88"/>
        <v>-0.48382574592903038</v>
      </c>
      <c r="E1904" s="8">
        <f t="shared" si="89"/>
        <v>-0.91068285095461099</v>
      </c>
    </row>
    <row r="1905" spans="1:5" x14ac:dyDescent="0.2">
      <c r="A1905" s="1">
        <v>44396</v>
      </c>
      <c r="B1905">
        <v>85495.35</v>
      </c>
      <c r="C1905" s="6">
        <f t="shared" si="87"/>
        <v>-2.0311561114340421E-2</v>
      </c>
      <c r="D1905" s="7">
        <f t="shared" si="88"/>
        <v>-1.7315708210819476</v>
      </c>
      <c r="E1905" s="8">
        <f t="shared" si="89"/>
        <v>-2.9256809908082313</v>
      </c>
    </row>
    <row r="1906" spans="1:5" x14ac:dyDescent="0.2">
      <c r="A1906" s="1">
        <v>44397</v>
      </c>
      <c r="B1906">
        <v>86285.78</v>
      </c>
      <c r="C1906" s="6">
        <f t="shared" si="87"/>
        <v>9.2028219697834219E-3</v>
      </c>
      <c r="D1906" s="7">
        <f t="shared" si="88"/>
        <v>0.74810822794838494</v>
      </c>
      <c r="E1906" s="8">
        <f t="shared" si="89"/>
        <v>-1.2514174609748063</v>
      </c>
    </row>
    <row r="1907" spans="1:5" x14ac:dyDescent="0.2">
      <c r="A1907" s="1">
        <v>44398</v>
      </c>
      <c r="B1907">
        <v>87506.44</v>
      </c>
      <c r="C1907" s="6">
        <f t="shared" si="87"/>
        <v>1.4047580186606156E-2</v>
      </c>
      <c r="D1907" s="7">
        <f t="shared" si="88"/>
        <v>1.1551452110230902</v>
      </c>
      <c r="E1907" s="8">
        <f t="shared" si="89"/>
        <v>-1.9132236261331288</v>
      </c>
    </row>
    <row r="1908" spans="1:5" x14ac:dyDescent="0.2">
      <c r="A1908" s="1">
        <v>44399</v>
      </c>
      <c r="B1908">
        <v>88831.1</v>
      </c>
      <c r="C1908" s="6">
        <f t="shared" si="87"/>
        <v>1.5024423253589408E-2</v>
      </c>
      <c r="D1908" s="7">
        <f t="shared" si="88"/>
        <v>1.2372156131211056</v>
      </c>
      <c r="E1908" s="8">
        <f t="shared" si="89"/>
        <v>-2.056373418629839</v>
      </c>
    </row>
    <row r="1909" spans="1:5" x14ac:dyDescent="0.2">
      <c r="A1909" s="1">
        <v>44400</v>
      </c>
      <c r="B1909">
        <v>89441.52</v>
      </c>
      <c r="C1909" s="6">
        <f t="shared" si="87"/>
        <v>6.8481899868446557E-3</v>
      </c>
      <c r="D1909" s="7">
        <f t="shared" si="88"/>
        <v>0.55028157578262327</v>
      </c>
      <c r="E1909" s="8">
        <f t="shared" si="89"/>
        <v>-0.98657935599723223</v>
      </c>
    </row>
    <row r="1910" spans="1:5" x14ac:dyDescent="0.2">
      <c r="A1910" s="1">
        <v>44403</v>
      </c>
      <c r="B1910">
        <v>87227.85</v>
      </c>
      <c r="C1910" s="6">
        <f t="shared" si="87"/>
        <v>-2.5061343237946551E-2</v>
      </c>
      <c r="D1910" s="7">
        <f t="shared" si="88"/>
        <v>-2.130628297085924</v>
      </c>
      <c r="E1910" s="8">
        <f t="shared" si="89"/>
        <v>-3.5974603210044824</v>
      </c>
    </row>
    <row r="1911" spans="1:5" x14ac:dyDescent="0.2">
      <c r="A1911" s="1">
        <v>44404</v>
      </c>
      <c r="B1911">
        <v>84962.42</v>
      </c>
      <c r="C1911" s="6">
        <f t="shared" si="87"/>
        <v>-2.6314619577274583E-2</v>
      </c>
      <c r="D1911" s="7">
        <f t="shared" si="88"/>
        <v>-2.2359235042538774</v>
      </c>
      <c r="E1911" s="8">
        <f t="shared" si="89"/>
        <v>-3.7672494296808168</v>
      </c>
    </row>
    <row r="1912" spans="1:5" x14ac:dyDescent="0.2">
      <c r="A1912" s="1">
        <v>44405</v>
      </c>
      <c r="B1912">
        <v>87347.16</v>
      </c>
      <c r="C1912" s="6">
        <f t="shared" si="87"/>
        <v>2.7681482091854531E-2</v>
      </c>
      <c r="D1912" s="7">
        <f t="shared" si="88"/>
        <v>2.3006104851783449</v>
      </c>
      <c r="E1912" s="8">
        <f t="shared" si="89"/>
        <v>-3.8698749712368814</v>
      </c>
    </row>
    <row r="1913" spans="1:5" x14ac:dyDescent="0.2">
      <c r="A1913" s="1">
        <v>44406</v>
      </c>
      <c r="B1913">
        <v>88427.85</v>
      </c>
      <c r="C1913" s="6">
        <f t="shared" si="87"/>
        <v>1.2296442103843947E-2</v>
      </c>
      <c r="D1913" s="7">
        <f t="shared" si="88"/>
        <v>1.0080216745626467</v>
      </c>
      <c r="E1913" s="8">
        <f t="shared" si="89"/>
        <v>-1.6621960601275207</v>
      </c>
    </row>
    <row r="1914" spans="1:5" x14ac:dyDescent="0.2">
      <c r="A1914" s="1">
        <v>44407</v>
      </c>
      <c r="B1914">
        <v>88050.85</v>
      </c>
      <c r="C1914" s="6">
        <f t="shared" si="87"/>
        <v>-4.2724767746076192E-3</v>
      </c>
      <c r="D1914" s="7">
        <f t="shared" si="88"/>
        <v>-0.3840318503534802</v>
      </c>
      <c r="E1914" s="8">
        <f t="shared" si="89"/>
        <v>-0.81162576857517621</v>
      </c>
    </row>
    <row r="1915" spans="1:5" x14ac:dyDescent="0.2">
      <c r="A1915" s="1">
        <v>44410</v>
      </c>
      <c r="B1915">
        <v>87738.83</v>
      </c>
      <c r="C1915" s="6">
        <f t="shared" si="87"/>
        <v>-3.5499277053419195E-3</v>
      </c>
      <c r="D1915" s="7">
        <f t="shared" si="88"/>
        <v>-0.32332620104860638</v>
      </c>
      <c r="E1915" s="8">
        <f t="shared" si="89"/>
        <v>-0.76101483172121565</v>
      </c>
    </row>
    <row r="1916" spans="1:5" x14ac:dyDescent="0.2">
      <c r="A1916" s="1">
        <v>44411</v>
      </c>
      <c r="B1916">
        <v>86170.38</v>
      </c>
      <c r="C1916" s="6">
        <f t="shared" si="87"/>
        <v>-1.8038061666799523E-2</v>
      </c>
      <c r="D1916" s="7">
        <f t="shared" si="88"/>
        <v>-1.5405605962711939</v>
      </c>
      <c r="E1916" s="8">
        <f t="shared" si="89"/>
        <v>-2.5916883190462032</v>
      </c>
    </row>
    <row r="1917" spans="1:5" x14ac:dyDescent="0.2">
      <c r="A1917" s="1">
        <v>44412</v>
      </c>
      <c r="B1917">
        <v>86236.6</v>
      </c>
      <c r="C1917" s="6">
        <f t="shared" si="87"/>
        <v>7.6818239326956E-4</v>
      </c>
      <c r="D1917" s="7">
        <f t="shared" si="88"/>
        <v>3.9463937996952789E-2</v>
      </c>
      <c r="E1917" s="8">
        <f t="shared" si="89"/>
        <v>-0.63528358759065939</v>
      </c>
    </row>
    <row r="1918" spans="1:5" x14ac:dyDescent="0.2">
      <c r="A1918" s="1">
        <v>44413</v>
      </c>
      <c r="B1918">
        <v>86202.13</v>
      </c>
      <c r="C1918" s="6">
        <f t="shared" si="87"/>
        <v>-3.9979418149425824E-4</v>
      </c>
      <c r="D1918" s="7">
        <f t="shared" si="88"/>
        <v>-5.866472808239874E-2</v>
      </c>
      <c r="E1918" s="8">
        <f t="shared" si="89"/>
        <v>-0.63764175706355586</v>
      </c>
    </row>
    <row r="1919" spans="1:5" x14ac:dyDescent="0.2">
      <c r="A1919" s="1">
        <v>44414</v>
      </c>
      <c r="B1919">
        <v>86830.29</v>
      </c>
      <c r="C1919" s="6">
        <f t="shared" si="87"/>
        <v>7.2606365853127505E-3</v>
      </c>
      <c r="D1919" s="7">
        <f t="shared" si="88"/>
        <v>0.58493367019198617</v>
      </c>
      <c r="E1919" s="8">
        <f t="shared" si="89"/>
        <v>-1.0290068661060596</v>
      </c>
    </row>
    <row r="1920" spans="1:5" x14ac:dyDescent="0.2">
      <c r="A1920" s="1">
        <v>44418</v>
      </c>
      <c r="B1920">
        <v>89841.26</v>
      </c>
      <c r="C1920" s="6">
        <f t="shared" si="87"/>
        <v>3.4088811338581819E-2</v>
      </c>
      <c r="D1920" s="7">
        <f t="shared" si="88"/>
        <v>2.8389283638906861</v>
      </c>
      <c r="E1920" s="8">
        <f t="shared" si="89"/>
        <v>-4.673392416969425</v>
      </c>
    </row>
    <row r="1921" spans="1:5" x14ac:dyDescent="0.2">
      <c r="A1921" s="1">
        <v>44419</v>
      </c>
      <c r="B1921">
        <v>88724.14</v>
      </c>
      <c r="C1921" s="6">
        <f t="shared" si="87"/>
        <v>-1.2512329650701232E-2</v>
      </c>
      <c r="D1921" s="7">
        <f t="shared" si="88"/>
        <v>-1.0763109498591172</v>
      </c>
      <c r="E1921" s="8">
        <f t="shared" si="89"/>
        <v>-1.7775980191815484</v>
      </c>
    </row>
    <row r="1922" spans="1:5" x14ac:dyDescent="0.2">
      <c r="A1922" s="1">
        <v>44420</v>
      </c>
      <c r="B1922">
        <v>88971.04</v>
      </c>
      <c r="C1922" s="6">
        <f t="shared" si="87"/>
        <v>2.7789179074867981E-3</v>
      </c>
      <c r="D1922" s="7">
        <f t="shared" si="88"/>
        <v>0.20839780029501781</v>
      </c>
      <c r="E1922" s="8">
        <f t="shared" si="89"/>
        <v>-0.68717184270858256</v>
      </c>
    </row>
    <row r="1923" spans="1:5" x14ac:dyDescent="0.2">
      <c r="A1923" s="1">
        <v>44421</v>
      </c>
      <c r="B1923">
        <v>88699.87</v>
      </c>
      <c r="C1923" s="6">
        <f t="shared" ref="C1923:C1986" si="90">LN(B1923/B1922)</f>
        <v>-3.0524998218102958E-3</v>
      </c>
      <c r="D1923" s="7">
        <f t="shared" ref="D1923:D1986" si="91">(C1923-$G$4)/$G$5</f>
        <v>-0.28153432290969449</v>
      </c>
      <c r="E1923" s="8">
        <f t="shared" ref="E1923:E1986" si="92">LN((PI()*(G$3-2))^(-1/2)*EXP(GAMMALN((G$3+1)/2))*((1+D1923^2/(G$3-2))^(-(G$3+1)/2))/EXP(GAMMALN(G$3/2)))</f>
        <v>-0.73073413776395757</v>
      </c>
    </row>
    <row r="1924" spans="1:5" x14ac:dyDescent="0.2">
      <c r="A1924" s="1">
        <v>44424</v>
      </c>
      <c r="B1924">
        <v>87006.06</v>
      </c>
      <c r="C1924" s="6">
        <f t="shared" si="90"/>
        <v>-1.9280652298840493E-2</v>
      </c>
      <c r="D1924" s="7">
        <f t="shared" si="91"/>
        <v>-1.6449580335481662</v>
      </c>
      <c r="E1924" s="8">
        <f t="shared" si="92"/>
        <v>-2.7749453844752705</v>
      </c>
    </row>
    <row r="1925" spans="1:5" x14ac:dyDescent="0.2">
      <c r="A1925" s="1">
        <v>44425</v>
      </c>
      <c r="B1925">
        <v>85224.73</v>
      </c>
      <c r="C1925" s="6">
        <f t="shared" si="90"/>
        <v>-2.068612146672253E-2</v>
      </c>
      <c r="D1925" s="7">
        <f t="shared" si="91"/>
        <v>-1.7630398663861315</v>
      </c>
      <c r="E1925" s="8">
        <f t="shared" si="92"/>
        <v>-2.9800879907605795</v>
      </c>
    </row>
    <row r="1926" spans="1:5" x14ac:dyDescent="0.2">
      <c r="A1926" s="1">
        <v>44426</v>
      </c>
      <c r="B1926">
        <v>85420.92</v>
      </c>
      <c r="C1926" s="6">
        <f t="shared" si="90"/>
        <v>2.2993857322573955E-3</v>
      </c>
      <c r="D1926" s="7">
        <f t="shared" si="91"/>
        <v>0.16810944716010456</v>
      </c>
      <c r="E1926" s="8">
        <f t="shared" si="92"/>
        <v>-0.66849890534255474</v>
      </c>
    </row>
    <row r="1927" spans="1:5" x14ac:dyDescent="0.2">
      <c r="A1927" s="1">
        <v>44427</v>
      </c>
      <c r="B1927">
        <v>82705.91</v>
      </c>
      <c r="C1927" s="6">
        <f t="shared" si="90"/>
        <v>-3.2299973070735177E-2</v>
      </c>
      <c r="D1927" s="7">
        <f t="shared" si="91"/>
        <v>-2.7387886875264464</v>
      </c>
      <c r="E1927" s="8">
        <f t="shared" si="92"/>
        <v>-4.5306952342229208</v>
      </c>
    </row>
    <row r="1928" spans="1:5" x14ac:dyDescent="0.2">
      <c r="A1928" s="1">
        <v>44428</v>
      </c>
      <c r="B1928">
        <v>82931.06</v>
      </c>
      <c r="C1928" s="6">
        <f t="shared" si="90"/>
        <v>2.7185976496594774E-3</v>
      </c>
      <c r="D1928" s="7">
        <f t="shared" si="91"/>
        <v>0.20332993629324667</v>
      </c>
      <c r="E1928" s="8">
        <f t="shared" si="92"/>
        <v>-0.68461152427844485</v>
      </c>
    </row>
    <row r="1929" spans="1:5" x14ac:dyDescent="0.2">
      <c r="A1929" s="1">
        <v>44431</v>
      </c>
      <c r="B1929">
        <v>83009.27</v>
      </c>
      <c r="C1929" s="6">
        <f t="shared" si="90"/>
        <v>9.4262806143766576E-4</v>
      </c>
      <c r="D1929" s="7">
        <f t="shared" si="91"/>
        <v>5.4120157214464878E-2</v>
      </c>
      <c r="E1929" s="8">
        <f t="shared" si="92"/>
        <v>-0.63700046710619762</v>
      </c>
    </row>
    <row r="1930" spans="1:5" x14ac:dyDescent="0.2">
      <c r="A1930" s="1">
        <v>44432</v>
      </c>
      <c r="B1930">
        <v>83927.2</v>
      </c>
      <c r="C1930" s="6">
        <f t="shared" si="90"/>
        <v>1.0997468096876994E-2</v>
      </c>
      <c r="D1930" s="7">
        <f t="shared" si="91"/>
        <v>0.89888713425631139</v>
      </c>
      <c r="E1930" s="8">
        <f t="shared" si="92"/>
        <v>-1.4832418929630538</v>
      </c>
    </row>
    <row r="1931" spans="1:5" x14ac:dyDescent="0.2">
      <c r="A1931" s="1">
        <v>44433</v>
      </c>
      <c r="B1931">
        <v>84051</v>
      </c>
      <c r="C1931" s="6">
        <f t="shared" si="90"/>
        <v>1.4740010598376561E-3</v>
      </c>
      <c r="D1931" s="7">
        <f t="shared" si="91"/>
        <v>9.876396655980256E-2</v>
      </c>
      <c r="E1931" s="8">
        <f t="shared" si="92"/>
        <v>-0.64552652090235652</v>
      </c>
    </row>
    <row r="1932" spans="1:5" x14ac:dyDescent="0.2">
      <c r="A1932" s="1">
        <v>44434</v>
      </c>
      <c r="B1932">
        <v>83475.490000000005</v>
      </c>
      <c r="C1932" s="6">
        <f t="shared" si="90"/>
        <v>-6.8707016303460816E-3</v>
      </c>
      <c r="D1932" s="7">
        <f t="shared" si="91"/>
        <v>-0.60232419009444416</v>
      </c>
      <c r="E1932" s="8">
        <f t="shared" si="92"/>
        <v>-1.0509903857556675</v>
      </c>
    </row>
    <row r="1933" spans="1:5" x14ac:dyDescent="0.2">
      <c r="A1933" s="1">
        <v>44435</v>
      </c>
      <c r="B1933">
        <v>83488.649999999994</v>
      </c>
      <c r="C1933" s="6">
        <f t="shared" si="90"/>
        <v>1.5763864057572599E-4</v>
      </c>
      <c r="D1933" s="7">
        <f t="shared" si="91"/>
        <v>-1.1831477792565472E-2</v>
      </c>
      <c r="E1933" s="8">
        <f t="shared" si="92"/>
        <v>-0.633508099431627</v>
      </c>
    </row>
    <row r="1934" spans="1:5" x14ac:dyDescent="0.2">
      <c r="A1934" s="1">
        <v>44438</v>
      </c>
      <c r="B1934">
        <v>82030.37</v>
      </c>
      <c r="C1934" s="6">
        <f t="shared" si="90"/>
        <v>-1.7621149924621198E-2</v>
      </c>
      <c r="D1934" s="7">
        <f t="shared" si="91"/>
        <v>-1.5055333585536479</v>
      </c>
      <c r="E1934" s="8">
        <f t="shared" si="92"/>
        <v>-2.5299230287549523</v>
      </c>
    </row>
    <row r="1935" spans="1:5" x14ac:dyDescent="0.2">
      <c r="A1935" s="1">
        <v>44439</v>
      </c>
      <c r="B1935">
        <v>83461.83</v>
      </c>
      <c r="C1935" s="6">
        <f t="shared" si="90"/>
        <v>1.729985704507132E-2</v>
      </c>
      <c r="D1935" s="7">
        <f t="shared" si="91"/>
        <v>1.4283883536832636</v>
      </c>
      <c r="E1935" s="8">
        <f t="shared" si="92"/>
        <v>-2.3936083514726691</v>
      </c>
    </row>
    <row r="1936" spans="1:5" x14ac:dyDescent="0.2">
      <c r="A1936" s="1">
        <v>44440</v>
      </c>
      <c r="B1936">
        <v>84754.63</v>
      </c>
      <c r="C1936" s="6">
        <f t="shared" si="90"/>
        <v>1.5370974442282916E-2</v>
      </c>
      <c r="D1936" s="7">
        <f t="shared" si="91"/>
        <v>1.2663314418196256</v>
      </c>
      <c r="E1936" s="8">
        <f t="shared" si="92"/>
        <v>-2.1074958777393449</v>
      </c>
    </row>
    <row r="1937" spans="1:5" x14ac:dyDescent="0.2">
      <c r="A1937" s="1">
        <v>44441</v>
      </c>
      <c r="B1937">
        <v>84608.11</v>
      </c>
      <c r="C1937" s="6">
        <f t="shared" si="90"/>
        <v>-1.7302511349771687E-3</v>
      </c>
      <c r="D1937" s="7">
        <f t="shared" si="91"/>
        <v>-0.1704443381723324</v>
      </c>
      <c r="E1937" s="8">
        <f t="shared" si="92"/>
        <v>-0.66947545594151026</v>
      </c>
    </row>
    <row r="1938" spans="1:5" x14ac:dyDescent="0.2">
      <c r="A1938" s="1">
        <v>44442</v>
      </c>
      <c r="B1938">
        <v>83563.56</v>
      </c>
      <c r="C1938" s="6">
        <f t="shared" si="90"/>
        <v>-1.2422585004147996E-2</v>
      </c>
      <c r="D1938" s="7">
        <f t="shared" si="91"/>
        <v>-1.0687709677701676</v>
      </c>
      <c r="E1938" s="8">
        <f t="shared" si="92"/>
        <v>-1.7647503794245463</v>
      </c>
    </row>
    <row r="1939" spans="1:5" x14ac:dyDescent="0.2">
      <c r="A1939" s="1">
        <v>44445</v>
      </c>
      <c r="B1939">
        <v>84394.52</v>
      </c>
      <c r="C1939" s="6">
        <f t="shared" si="90"/>
        <v>9.8949306863482869E-3</v>
      </c>
      <c r="D1939" s="7">
        <f t="shared" si="91"/>
        <v>0.80625640198358395</v>
      </c>
      <c r="E1939" s="8">
        <f t="shared" si="92"/>
        <v>-1.3383054123063127</v>
      </c>
    </row>
    <row r="1940" spans="1:5" x14ac:dyDescent="0.2">
      <c r="A1940" s="1">
        <v>44446</v>
      </c>
      <c r="B1940">
        <v>85214.49</v>
      </c>
      <c r="C1940" s="6">
        <f t="shared" si="90"/>
        <v>9.6690192134845469E-3</v>
      </c>
      <c r="D1940" s="7">
        <f t="shared" si="91"/>
        <v>0.78727623409055647</v>
      </c>
      <c r="E1940" s="8">
        <f t="shared" si="92"/>
        <v>-1.3095650656960924</v>
      </c>
    </row>
    <row r="1941" spans="1:5" x14ac:dyDescent="0.2">
      <c r="A1941" s="1">
        <v>44447</v>
      </c>
      <c r="B1941">
        <v>83899.5</v>
      </c>
      <c r="C1941" s="6">
        <f t="shared" si="90"/>
        <v>-1.5551835817633921E-2</v>
      </c>
      <c r="D1941" s="7">
        <f t="shared" si="91"/>
        <v>-1.3316779599049999</v>
      </c>
      <c r="E1941" s="8">
        <f t="shared" si="92"/>
        <v>-2.2226533000387554</v>
      </c>
    </row>
    <row r="1942" spans="1:5" x14ac:dyDescent="0.2">
      <c r="A1942" s="1">
        <v>44448</v>
      </c>
      <c r="B1942">
        <v>81562.53</v>
      </c>
      <c r="C1942" s="6">
        <f t="shared" si="90"/>
        <v>-2.8249688646799727E-2</v>
      </c>
      <c r="D1942" s="7">
        <f t="shared" si="91"/>
        <v>-2.398500178021767</v>
      </c>
      <c r="E1942" s="8">
        <f t="shared" si="92"/>
        <v>-4.0227033860479375</v>
      </c>
    </row>
    <row r="1943" spans="1:5" x14ac:dyDescent="0.2">
      <c r="A1943" s="1">
        <v>44449</v>
      </c>
      <c r="B1943">
        <v>81827.05</v>
      </c>
      <c r="C1943" s="6">
        <f t="shared" si="90"/>
        <v>3.2379082081410802E-3</v>
      </c>
      <c r="D1943" s="7">
        <f t="shared" si="91"/>
        <v>0.24696030824229662</v>
      </c>
      <c r="E1943" s="8">
        <f t="shared" si="92"/>
        <v>-0.70861494044531903</v>
      </c>
    </row>
    <row r="1944" spans="1:5" x14ac:dyDescent="0.2">
      <c r="A1944" s="1">
        <v>44452</v>
      </c>
      <c r="B1944">
        <v>81362.38</v>
      </c>
      <c r="C1944" s="6">
        <f t="shared" si="90"/>
        <v>-5.6948695246938985E-3</v>
      </c>
      <c r="D1944" s="7">
        <f t="shared" si="91"/>
        <v>-0.50353553409399665</v>
      </c>
      <c r="E1944" s="8">
        <f t="shared" si="92"/>
        <v>-0.93241033539365314</v>
      </c>
    </row>
    <row r="1945" spans="1:5" x14ac:dyDescent="0.2">
      <c r="A1945" s="1">
        <v>44453</v>
      </c>
      <c r="B1945">
        <v>80933.87</v>
      </c>
      <c r="C1945" s="6">
        <f t="shared" si="90"/>
        <v>-5.2806025492419398E-3</v>
      </c>
      <c r="D1945" s="7">
        <f t="shared" si="91"/>
        <v>-0.46873049897584929</v>
      </c>
      <c r="E1945" s="8">
        <f t="shared" si="92"/>
        <v>-0.89450649585171271</v>
      </c>
    </row>
    <row r="1946" spans="1:5" x14ac:dyDescent="0.2">
      <c r="A1946" s="1">
        <v>44454</v>
      </c>
      <c r="B1946">
        <v>80418.2</v>
      </c>
      <c r="C1946" s="6">
        <f t="shared" si="90"/>
        <v>-6.3918827405233161E-3</v>
      </c>
      <c r="D1946" s="7">
        <f t="shared" si="91"/>
        <v>-0.56209576431338337</v>
      </c>
      <c r="E1946" s="8">
        <f t="shared" si="92"/>
        <v>-1.000833846379102</v>
      </c>
    </row>
    <row r="1947" spans="1:5" x14ac:dyDescent="0.2">
      <c r="A1947" s="1">
        <v>44455</v>
      </c>
      <c r="B1947">
        <v>80357.7</v>
      </c>
      <c r="C1947" s="6">
        <f t="shared" si="90"/>
        <v>-7.5260039415908826E-4</v>
      </c>
      <c r="D1947" s="7">
        <f t="shared" si="91"/>
        <v>-8.8306078586631698E-2</v>
      </c>
      <c r="E1947" s="8">
        <f t="shared" si="92"/>
        <v>-0.64308565778263493</v>
      </c>
    </row>
    <row r="1948" spans="1:5" x14ac:dyDescent="0.2">
      <c r="A1948" s="1">
        <v>44456</v>
      </c>
      <c r="B1948">
        <v>81169.56</v>
      </c>
      <c r="C1948" s="6">
        <f t="shared" si="90"/>
        <v>1.0052381703890717E-2</v>
      </c>
      <c r="D1948" s="7">
        <f t="shared" si="91"/>
        <v>0.81948479941732499</v>
      </c>
      <c r="E1948" s="8">
        <f t="shared" si="92"/>
        <v>-1.3585416445444263</v>
      </c>
    </row>
    <row r="1949" spans="1:5" x14ac:dyDescent="0.2">
      <c r="A1949" s="1">
        <v>44459</v>
      </c>
      <c r="B1949">
        <v>79201.039999999994</v>
      </c>
      <c r="C1949" s="6">
        <f t="shared" si="90"/>
        <v>-2.4550869989154043E-2</v>
      </c>
      <c r="D1949" s="7">
        <f t="shared" si="91"/>
        <v>-2.0877404001404472</v>
      </c>
      <c r="E1949" s="8">
        <f t="shared" si="92"/>
        <v>-3.527349709587623</v>
      </c>
    </row>
    <row r="1950" spans="1:5" x14ac:dyDescent="0.2">
      <c r="A1950" s="1">
        <v>44460</v>
      </c>
      <c r="B1950">
        <v>80767.37</v>
      </c>
      <c r="C1950" s="6">
        <f t="shared" si="90"/>
        <v>1.9583617282116612E-2</v>
      </c>
      <c r="D1950" s="7">
        <f t="shared" si="91"/>
        <v>1.6202606485121516</v>
      </c>
      <c r="E1950" s="8">
        <f t="shared" si="92"/>
        <v>-2.7317276456990487</v>
      </c>
    </row>
    <row r="1951" spans="1:5" x14ac:dyDescent="0.2">
      <c r="A1951" s="1">
        <v>44461</v>
      </c>
      <c r="B1951">
        <v>81495.149999999994</v>
      </c>
      <c r="C1951" s="6">
        <f t="shared" si="90"/>
        <v>8.9704619442070362E-3</v>
      </c>
      <c r="D1951" s="7">
        <f t="shared" si="91"/>
        <v>0.72858627874783233</v>
      </c>
      <c r="E1951" s="8">
        <f t="shared" si="92"/>
        <v>-1.2230558265466656</v>
      </c>
    </row>
    <row r="1952" spans="1:5" x14ac:dyDescent="0.2">
      <c r="A1952" s="1">
        <v>44462</v>
      </c>
      <c r="B1952">
        <v>82878.850000000006</v>
      </c>
      <c r="C1952" s="6">
        <f t="shared" si="90"/>
        <v>1.6836393658662022E-2</v>
      </c>
      <c r="D1952" s="7">
        <f t="shared" si="91"/>
        <v>1.3894500351693329</v>
      </c>
      <c r="E1952" s="8">
        <f t="shared" si="92"/>
        <v>-2.3247477239734913</v>
      </c>
    </row>
    <row r="1953" spans="1:5" x14ac:dyDescent="0.2">
      <c r="A1953" s="1">
        <v>44466</v>
      </c>
      <c r="B1953">
        <v>82890.59</v>
      </c>
      <c r="C1953" s="6">
        <f t="shared" si="90"/>
        <v>1.4164251287345609E-4</v>
      </c>
      <c r="D1953" s="7">
        <f t="shared" si="91"/>
        <v>-1.3175407720420505E-2</v>
      </c>
      <c r="E1953" s="8">
        <f t="shared" si="92"/>
        <v>-0.63355021151473434</v>
      </c>
    </row>
    <row r="1954" spans="1:5" x14ac:dyDescent="0.2">
      <c r="A1954" s="1">
        <v>44467</v>
      </c>
      <c r="B1954">
        <v>82305.03</v>
      </c>
      <c r="C1954" s="6">
        <f t="shared" si="90"/>
        <v>-7.08932176826952E-3</v>
      </c>
      <c r="D1954" s="7">
        <f t="shared" si="91"/>
        <v>-0.62069176952714722</v>
      </c>
      <c r="E1954" s="8">
        <f t="shared" si="92"/>
        <v>-1.0746904077204094</v>
      </c>
    </row>
    <row r="1955" spans="1:5" x14ac:dyDescent="0.2">
      <c r="A1955" s="1">
        <v>44468</v>
      </c>
      <c r="B1955">
        <v>83246.2</v>
      </c>
      <c r="C1955" s="6">
        <f t="shared" si="90"/>
        <v>1.1370258496227213E-2</v>
      </c>
      <c r="D1955" s="7">
        <f t="shared" si="91"/>
        <v>0.93020747526813607</v>
      </c>
      <c r="E1955" s="8">
        <f t="shared" si="92"/>
        <v>-1.5337974847136302</v>
      </c>
    </row>
    <row r="1956" spans="1:5" x14ac:dyDescent="0.2">
      <c r="A1956" s="1">
        <v>44469</v>
      </c>
      <c r="B1956">
        <v>81971.77</v>
      </c>
      <c r="C1956" s="6">
        <f t="shared" si="90"/>
        <v>-1.5427562475476277E-2</v>
      </c>
      <c r="D1956" s="7">
        <f t="shared" si="91"/>
        <v>-1.3212370165173997</v>
      </c>
      <c r="E1956" s="8">
        <f t="shared" si="92"/>
        <v>-2.2042237983086901</v>
      </c>
    </row>
    <row r="1957" spans="1:5" x14ac:dyDescent="0.2">
      <c r="A1957" s="1">
        <v>44470</v>
      </c>
      <c r="B1957">
        <v>81115.95</v>
      </c>
      <c r="C1957" s="6">
        <f t="shared" si="90"/>
        <v>-1.0495307136613083E-2</v>
      </c>
      <c r="D1957" s="7">
        <f t="shared" si="91"/>
        <v>-0.90684887926963298</v>
      </c>
      <c r="E1957" s="8">
        <f t="shared" si="92"/>
        <v>-1.4960257627031637</v>
      </c>
    </row>
    <row r="1958" spans="1:5" x14ac:dyDescent="0.2">
      <c r="A1958" s="1">
        <v>44473</v>
      </c>
      <c r="B1958">
        <v>81428.259999999995</v>
      </c>
      <c r="C1958" s="6">
        <f t="shared" si="90"/>
        <v>3.8427746435412283E-3</v>
      </c>
      <c r="D1958" s="7">
        <f t="shared" si="91"/>
        <v>0.29777873880370681</v>
      </c>
      <c r="E1958" s="8">
        <f t="shared" si="92"/>
        <v>-0.74205002036017542</v>
      </c>
    </row>
    <row r="1959" spans="1:5" x14ac:dyDescent="0.2">
      <c r="A1959" s="1">
        <v>44474</v>
      </c>
      <c r="B1959">
        <v>82537.37</v>
      </c>
      <c r="C1959" s="6">
        <f t="shared" si="90"/>
        <v>1.3528773273236304E-2</v>
      </c>
      <c r="D1959" s="7">
        <f t="shared" si="91"/>
        <v>1.1115571532985389</v>
      </c>
      <c r="E1959" s="8">
        <f t="shared" si="92"/>
        <v>-1.837959926951914</v>
      </c>
    </row>
    <row r="1960" spans="1:5" x14ac:dyDescent="0.2">
      <c r="A1960" s="1">
        <v>44475</v>
      </c>
      <c r="B1960">
        <v>81898.87</v>
      </c>
      <c r="C1960" s="6">
        <f t="shared" si="90"/>
        <v>-7.7659670277590662E-3</v>
      </c>
      <c r="D1960" s="7">
        <f t="shared" si="91"/>
        <v>-0.67754076646533712</v>
      </c>
      <c r="E1960" s="8">
        <f t="shared" si="92"/>
        <v>-1.1510076616383085</v>
      </c>
    </row>
    <row r="1961" spans="1:5" x14ac:dyDescent="0.2">
      <c r="A1961" s="1">
        <v>44476</v>
      </c>
      <c r="B1961">
        <v>83305.240000000005</v>
      </c>
      <c r="C1961" s="6">
        <f t="shared" si="90"/>
        <v>1.7026258906372493E-2</v>
      </c>
      <c r="D1961" s="7">
        <f t="shared" si="91"/>
        <v>1.4054017450710674</v>
      </c>
      <c r="E1961" s="8">
        <f t="shared" si="92"/>
        <v>-2.3529570067892522</v>
      </c>
    </row>
    <row r="1962" spans="1:5" x14ac:dyDescent="0.2">
      <c r="A1962" s="1">
        <v>44477</v>
      </c>
      <c r="B1962">
        <v>82565.69</v>
      </c>
      <c r="C1962" s="6">
        <f t="shared" si="90"/>
        <v>-8.9172334243638029E-3</v>
      </c>
      <c r="D1962" s="7">
        <f t="shared" si="91"/>
        <v>-0.77426551098656105</v>
      </c>
      <c r="E1962" s="8">
        <f t="shared" si="92"/>
        <v>-1.2900718331112104</v>
      </c>
    </row>
    <row r="1963" spans="1:5" x14ac:dyDescent="0.2">
      <c r="A1963" s="1">
        <v>44480</v>
      </c>
      <c r="B1963">
        <v>83131.87</v>
      </c>
      <c r="C1963" s="6">
        <f t="shared" si="90"/>
        <v>6.8339232454646464E-3</v>
      </c>
      <c r="D1963" s="7">
        <f t="shared" si="91"/>
        <v>0.5490829418963209</v>
      </c>
      <c r="E1963" s="8">
        <f t="shared" si="92"/>
        <v>-0.98514555304213591</v>
      </c>
    </row>
    <row r="1964" spans="1:5" x14ac:dyDescent="0.2">
      <c r="A1964" s="1">
        <v>44481</v>
      </c>
      <c r="B1964">
        <v>82692.639999999999</v>
      </c>
      <c r="C1964" s="6">
        <f t="shared" si="90"/>
        <v>-5.2975404807130838E-3</v>
      </c>
      <c r="D1964" s="7">
        <f t="shared" si="91"/>
        <v>-0.47015355544574716</v>
      </c>
      <c r="E1964" s="8">
        <f t="shared" si="92"/>
        <v>-0.89601400837919676</v>
      </c>
    </row>
    <row r="1965" spans="1:5" x14ac:dyDescent="0.2">
      <c r="A1965" s="1">
        <v>44482</v>
      </c>
      <c r="B1965">
        <v>83111.44</v>
      </c>
      <c r="C1965" s="6">
        <f t="shared" si="90"/>
        <v>5.0517561528764928E-3</v>
      </c>
      <c r="D1965" s="7">
        <f t="shared" si="91"/>
        <v>0.39935247357630743</v>
      </c>
      <c r="E1965" s="8">
        <f t="shared" si="92"/>
        <v>-0.82558996061074286</v>
      </c>
    </row>
    <row r="1966" spans="1:5" x14ac:dyDescent="0.2">
      <c r="A1966" s="1">
        <v>44483</v>
      </c>
      <c r="B1966">
        <v>84200.09</v>
      </c>
      <c r="C1966" s="6">
        <f t="shared" si="90"/>
        <v>1.3013632281640845E-2</v>
      </c>
      <c r="D1966" s="7">
        <f t="shared" si="91"/>
        <v>1.0682770914888413</v>
      </c>
      <c r="E1966" s="8">
        <f t="shared" si="92"/>
        <v>-1.7639096949279878</v>
      </c>
    </row>
    <row r="1967" spans="1:5" x14ac:dyDescent="0.2">
      <c r="A1967" s="1">
        <v>44484</v>
      </c>
      <c r="B1967">
        <v>84818.559999999998</v>
      </c>
      <c r="C1967" s="6">
        <f t="shared" si="90"/>
        <v>7.3183966429755656E-3</v>
      </c>
      <c r="D1967" s="7">
        <f t="shared" si="91"/>
        <v>0.58978643653472262</v>
      </c>
      <c r="E1967" s="8">
        <f t="shared" si="92"/>
        <v>-1.0350958886426083</v>
      </c>
    </row>
    <row r="1968" spans="1:5" x14ac:dyDescent="0.2">
      <c r="A1968" s="1">
        <v>44487</v>
      </c>
      <c r="B1968">
        <v>84496.02</v>
      </c>
      <c r="C1968" s="6">
        <f t="shared" si="90"/>
        <v>-3.8099541121511368E-3</v>
      </c>
      <c r="D1968" s="7">
        <f t="shared" si="91"/>
        <v>-0.34517256765981608</v>
      </c>
      <c r="E1968" s="8">
        <f t="shared" si="92"/>
        <v>-0.77834321725809674</v>
      </c>
    </row>
    <row r="1969" spans="1:5" x14ac:dyDescent="0.2">
      <c r="A1969" s="1">
        <v>44488</v>
      </c>
      <c r="B1969">
        <v>84981.36</v>
      </c>
      <c r="C1969" s="6">
        <f t="shared" si="90"/>
        <v>5.7275056620540981E-3</v>
      </c>
      <c r="D1969" s="7">
        <f t="shared" si="91"/>
        <v>0.4561262131975698</v>
      </c>
      <c r="E1969" s="8">
        <f t="shared" si="92"/>
        <v>-0.88131488229570565</v>
      </c>
    </row>
    <row r="1970" spans="1:5" x14ac:dyDescent="0.2">
      <c r="A1970" s="1">
        <v>44489</v>
      </c>
      <c r="B1970">
        <v>85485.73</v>
      </c>
      <c r="C1970" s="6">
        <f t="shared" si="90"/>
        <v>5.9175231042680118E-3</v>
      </c>
      <c r="D1970" s="7">
        <f t="shared" si="91"/>
        <v>0.4720907098656919</v>
      </c>
      <c r="E1970" s="8">
        <f t="shared" si="92"/>
        <v>-0.89807200357038719</v>
      </c>
    </row>
    <row r="1971" spans="1:5" x14ac:dyDescent="0.2">
      <c r="A1971" s="1">
        <v>44490</v>
      </c>
      <c r="B1971">
        <v>85432.69</v>
      </c>
      <c r="C1971" s="6">
        <f t="shared" si="90"/>
        <v>-6.2064699290562033E-4</v>
      </c>
      <c r="D1971" s="7">
        <f t="shared" si="91"/>
        <v>-7.7219887707970808E-2</v>
      </c>
      <c r="E1971" s="8">
        <f t="shared" si="92"/>
        <v>-0.64079397010841099</v>
      </c>
    </row>
    <row r="1972" spans="1:5" x14ac:dyDescent="0.2">
      <c r="A1972" s="1">
        <v>44491</v>
      </c>
      <c r="B1972">
        <v>86658.91</v>
      </c>
      <c r="C1972" s="6">
        <f t="shared" si="90"/>
        <v>1.425102390649303E-2</v>
      </c>
      <c r="D1972" s="7">
        <f t="shared" si="91"/>
        <v>1.172237729217436</v>
      </c>
      <c r="E1972" s="8">
        <f t="shared" si="92"/>
        <v>-1.9428979778408901</v>
      </c>
    </row>
    <row r="1973" spans="1:5" x14ac:dyDescent="0.2">
      <c r="A1973" s="1">
        <v>44494</v>
      </c>
      <c r="B1973">
        <v>85827.23</v>
      </c>
      <c r="C1973" s="6">
        <f t="shared" si="90"/>
        <v>-9.6435162306975283E-3</v>
      </c>
      <c r="D1973" s="7">
        <f t="shared" si="91"/>
        <v>-0.83528485377287354</v>
      </c>
      <c r="E1973" s="8">
        <f t="shared" si="92"/>
        <v>-1.3829244981289925</v>
      </c>
    </row>
    <row r="1974" spans="1:5" x14ac:dyDescent="0.2">
      <c r="A1974" s="1">
        <v>44495</v>
      </c>
      <c r="B1974">
        <v>87147.06</v>
      </c>
      <c r="C1974" s="6">
        <f t="shared" si="90"/>
        <v>1.5260714345878482E-2</v>
      </c>
      <c r="D1974" s="7">
        <f t="shared" si="91"/>
        <v>1.2570678346414288</v>
      </c>
      <c r="E1974" s="8">
        <f t="shared" si="92"/>
        <v>-2.0912153552680715</v>
      </c>
    </row>
    <row r="1975" spans="1:5" x14ac:dyDescent="0.2">
      <c r="A1975" s="1">
        <v>44496</v>
      </c>
      <c r="B1975">
        <v>87252.66</v>
      </c>
      <c r="C1975" s="6">
        <f t="shared" si="90"/>
        <v>1.2110112665963207E-3</v>
      </c>
      <c r="D1975" s="7">
        <f t="shared" si="91"/>
        <v>7.6668628210679227E-2</v>
      </c>
      <c r="E1975" s="8">
        <f t="shared" si="92"/>
        <v>-0.64068797694209656</v>
      </c>
    </row>
    <row r="1976" spans="1:5" x14ac:dyDescent="0.2">
      <c r="A1976" s="1">
        <v>44497</v>
      </c>
      <c r="B1976">
        <v>87814.52</v>
      </c>
      <c r="C1976" s="6">
        <f t="shared" si="90"/>
        <v>6.4188150983745052E-3</v>
      </c>
      <c r="D1976" s="7">
        <f t="shared" si="91"/>
        <v>0.51420723494058518</v>
      </c>
      <c r="E1976" s="8">
        <f t="shared" si="92"/>
        <v>-0.94445475019196912</v>
      </c>
    </row>
    <row r="1977" spans="1:5" x14ac:dyDescent="0.2">
      <c r="A1977" s="1">
        <v>44498</v>
      </c>
      <c r="B1977">
        <v>87489.63</v>
      </c>
      <c r="C1977" s="6">
        <f t="shared" si="90"/>
        <v>-3.7065907677243755E-3</v>
      </c>
      <c r="D1977" s="7">
        <f t="shared" si="91"/>
        <v>-0.3364883976779397</v>
      </c>
      <c r="E1977" s="8">
        <f t="shared" si="92"/>
        <v>-0.77133386414256799</v>
      </c>
    </row>
    <row r="1978" spans="1:5" x14ac:dyDescent="0.2">
      <c r="A1978" s="1">
        <v>44502</v>
      </c>
      <c r="B1978">
        <v>88564.58</v>
      </c>
      <c r="C1978" s="6">
        <f t="shared" si="90"/>
        <v>1.221173135915235E-2</v>
      </c>
      <c r="D1978" s="7">
        <f t="shared" si="91"/>
        <v>1.0009046205405181</v>
      </c>
      <c r="E1978" s="8">
        <f t="shared" si="92"/>
        <v>-1.650303608286386</v>
      </c>
    </row>
    <row r="1979" spans="1:5" x14ac:dyDescent="0.2">
      <c r="A1979" s="1">
        <v>44503</v>
      </c>
      <c r="B1979">
        <v>89792.08</v>
      </c>
      <c r="C1979" s="6">
        <f t="shared" si="90"/>
        <v>1.3764772013933595E-2</v>
      </c>
      <c r="D1979" s="7">
        <f t="shared" si="91"/>
        <v>1.1313848126209998</v>
      </c>
      <c r="E1979" s="8">
        <f t="shared" si="92"/>
        <v>-1.8721187120052953</v>
      </c>
    </row>
    <row r="1980" spans="1:5" x14ac:dyDescent="0.2">
      <c r="A1980" s="1">
        <v>44504</v>
      </c>
      <c r="B1980">
        <v>89103.49</v>
      </c>
      <c r="C1980" s="6">
        <f t="shared" si="90"/>
        <v>-7.6982722454047893E-3</v>
      </c>
      <c r="D1980" s="7">
        <f t="shared" si="91"/>
        <v>-0.67185332475076298</v>
      </c>
      <c r="E1980" s="8">
        <f t="shared" si="92"/>
        <v>-1.1431794767276842</v>
      </c>
    </row>
    <row r="1981" spans="1:5" x14ac:dyDescent="0.2">
      <c r="A1981" s="1">
        <v>44505</v>
      </c>
      <c r="B1981">
        <v>89603.66</v>
      </c>
      <c r="C1981" s="6">
        <f t="shared" si="90"/>
        <v>5.5976641787422359E-3</v>
      </c>
      <c r="D1981" s="7">
        <f t="shared" si="91"/>
        <v>0.44521745711936345</v>
      </c>
      <c r="E1981" s="8">
        <f t="shared" si="92"/>
        <v>-0.87013360113465066</v>
      </c>
    </row>
    <row r="1982" spans="1:5" x14ac:dyDescent="0.2">
      <c r="A1982" s="1">
        <v>44508</v>
      </c>
      <c r="B1982">
        <v>89581.89</v>
      </c>
      <c r="C1982" s="6">
        <f t="shared" si="90"/>
        <v>-2.4298834484277833E-4</v>
      </c>
      <c r="D1982" s="7">
        <f t="shared" si="91"/>
        <v>-4.5490536136658807E-2</v>
      </c>
      <c r="E1982" s="8">
        <f t="shared" si="92"/>
        <v>-0.63592460219269886</v>
      </c>
    </row>
    <row r="1983" spans="1:5" x14ac:dyDescent="0.2">
      <c r="A1983" s="1">
        <v>44509</v>
      </c>
      <c r="B1983">
        <v>90125.81</v>
      </c>
      <c r="C1983" s="6">
        <f t="shared" si="90"/>
        <v>6.0534040660005515E-3</v>
      </c>
      <c r="D1983" s="7">
        <f t="shared" si="91"/>
        <v>0.48350687848456148</v>
      </c>
      <c r="E1983" s="8">
        <f t="shared" si="92"/>
        <v>-0.910336944015538</v>
      </c>
    </row>
    <row r="1984" spans="1:5" x14ac:dyDescent="0.2">
      <c r="A1984" s="1">
        <v>44510</v>
      </c>
      <c r="B1984">
        <v>89851.69</v>
      </c>
      <c r="C1984" s="6">
        <f t="shared" si="90"/>
        <v>-3.0461609030623784E-3</v>
      </c>
      <c r="D1984" s="7">
        <f t="shared" si="91"/>
        <v>-0.28100175260429744</v>
      </c>
      <c r="E1984" s="8">
        <f t="shared" si="92"/>
        <v>-0.73037304842856632</v>
      </c>
    </row>
    <row r="1985" spans="1:5" x14ac:dyDescent="0.2">
      <c r="A1985" s="1">
        <v>44511</v>
      </c>
      <c r="B1985">
        <v>89627.31</v>
      </c>
      <c r="C1985" s="6">
        <f t="shared" si="90"/>
        <v>-2.5003495327838828E-3</v>
      </c>
      <c r="D1985" s="7">
        <f t="shared" si="91"/>
        <v>-0.23514488967260522</v>
      </c>
      <c r="E1985" s="8">
        <f t="shared" si="92"/>
        <v>-0.70167909987006549</v>
      </c>
    </row>
    <row r="1986" spans="1:5" x14ac:dyDescent="0.2">
      <c r="A1986" s="1">
        <v>44512</v>
      </c>
      <c r="B1986">
        <v>92953.33</v>
      </c>
      <c r="C1986" s="6">
        <f t="shared" si="90"/>
        <v>3.6437466592259743E-2</v>
      </c>
      <c r="D1986" s="7">
        <f t="shared" si="91"/>
        <v>3.0362528754463054</v>
      </c>
      <c r="E1986" s="8">
        <f t="shared" si="92"/>
        <v>-4.9458376756181757</v>
      </c>
    </row>
    <row r="1987" spans="1:5" x14ac:dyDescent="0.2">
      <c r="A1987" s="1">
        <v>44515</v>
      </c>
      <c r="B1987">
        <v>94091.04</v>
      </c>
      <c r="C1987" s="6">
        <f t="shared" ref="C1987:C2050" si="93">LN(B1987/B1986)</f>
        <v>1.2165284966002535E-2</v>
      </c>
      <c r="D1987" s="7">
        <f t="shared" ref="D1987:D2050" si="94">(C1987-$G$4)/$G$5</f>
        <v>0.99700238251411744</v>
      </c>
      <c r="E1987" s="8">
        <f t="shared" ref="E1987:E2050" si="95">LN((PI()*(G$3-2))^(-1/2)*EXP(GAMMALN((G$3+1)/2))*((1+D1987^2/(G$3-2))^(-(G$3+1)/2))/EXP(GAMMALN(G$3/2)))</f>
        <v>-1.6437948605500274</v>
      </c>
    </row>
    <row r="1988" spans="1:5" x14ac:dyDescent="0.2">
      <c r="A1988" s="1">
        <v>44516</v>
      </c>
      <c r="B1988">
        <v>95652.47</v>
      </c>
      <c r="C1988" s="6">
        <f t="shared" si="93"/>
        <v>1.6458694662533382E-2</v>
      </c>
      <c r="D1988" s="7">
        <f t="shared" si="94"/>
        <v>1.3577172937167841</v>
      </c>
      <c r="E1988" s="8">
        <f t="shared" si="95"/>
        <v>-2.268649770206129</v>
      </c>
    </row>
    <row r="1989" spans="1:5" x14ac:dyDescent="0.2">
      <c r="A1989" s="1">
        <v>44517</v>
      </c>
      <c r="B1989">
        <v>95178.1</v>
      </c>
      <c r="C1989" s="6">
        <f t="shared" si="93"/>
        <v>-4.9716455502225136E-3</v>
      </c>
      <c r="D1989" s="7">
        <f t="shared" si="94"/>
        <v>-0.44277318198446486</v>
      </c>
      <c r="E1989" s="8">
        <f t="shared" si="95"/>
        <v>-0.86765861422691548</v>
      </c>
    </row>
    <row r="1990" spans="1:5" x14ac:dyDescent="0.2">
      <c r="A1990" s="1">
        <v>44518</v>
      </c>
      <c r="B1990">
        <v>95389.92</v>
      </c>
      <c r="C1990" s="6">
        <f t="shared" si="93"/>
        <v>2.223039177641857E-3</v>
      </c>
      <c r="D1990" s="7">
        <f t="shared" si="94"/>
        <v>0.16169511854594371</v>
      </c>
      <c r="E1990" s="8">
        <f t="shared" si="95"/>
        <v>-0.66588360950347825</v>
      </c>
    </row>
    <row r="1991" spans="1:5" x14ac:dyDescent="0.2">
      <c r="A1991" s="1">
        <v>44519</v>
      </c>
      <c r="B1991">
        <v>94560.68</v>
      </c>
      <c r="C1991" s="6">
        <f t="shared" si="93"/>
        <v>-8.7311676611463961E-3</v>
      </c>
      <c r="D1991" s="7">
        <f t="shared" si="94"/>
        <v>-0.75863301839889707</v>
      </c>
      <c r="E1991" s="8">
        <f t="shared" si="95"/>
        <v>-1.2668827502195057</v>
      </c>
    </row>
    <row r="1992" spans="1:5" x14ac:dyDescent="0.2">
      <c r="A1992" s="1">
        <v>44522</v>
      </c>
      <c r="B1992">
        <v>94905.11</v>
      </c>
      <c r="C1992" s="6">
        <f t="shared" si="93"/>
        <v>3.6358054867911961E-3</v>
      </c>
      <c r="D1992" s="7">
        <f t="shared" si="94"/>
        <v>0.2803900276683351</v>
      </c>
      <c r="E1992" s="8">
        <f t="shared" si="95"/>
        <v>-0.72995907067534671</v>
      </c>
    </row>
    <row r="1993" spans="1:5" x14ac:dyDescent="0.2">
      <c r="A1993" s="1">
        <v>44523</v>
      </c>
      <c r="B1993">
        <v>94355.47</v>
      </c>
      <c r="C1993" s="6">
        <f t="shared" si="93"/>
        <v>-5.8083045633570123E-3</v>
      </c>
      <c r="D1993" s="7">
        <f t="shared" si="94"/>
        <v>-0.51306588707468204</v>
      </c>
      <c r="E1993" s="8">
        <f t="shared" si="95"/>
        <v>-0.94315732187974877</v>
      </c>
    </row>
    <row r="1994" spans="1:5" x14ac:dyDescent="0.2">
      <c r="A1994" s="1">
        <v>44524</v>
      </c>
      <c r="B1994">
        <v>93462.89</v>
      </c>
      <c r="C1994" s="6">
        <f t="shared" si="93"/>
        <v>-9.5047866428153022E-3</v>
      </c>
      <c r="D1994" s="7">
        <f t="shared" si="94"/>
        <v>-0.82362935511069024</v>
      </c>
      <c r="E1994" s="8">
        <f t="shared" si="95"/>
        <v>-1.364915505633771</v>
      </c>
    </row>
    <row r="1995" spans="1:5" x14ac:dyDescent="0.2">
      <c r="A1995" s="1">
        <v>44525</v>
      </c>
      <c r="B1995">
        <v>94130.01</v>
      </c>
      <c r="C1995" s="6">
        <f t="shared" si="93"/>
        <v>7.1124526812756904E-3</v>
      </c>
      <c r="D1995" s="7">
        <f t="shared" si="94"/>
        <v>0.57248385813943892</v>
      </c>
      <c r="E1995" s="8">
        <f t="shared" si="95"/>
        <v>-1.0135489571201992</v>
      </c>
    </row>
    <row r="1996" spans="1:5" x14ac:dyDescent="0.2">
      <c r="A1996" s="1">
        <v>44526</v>
      </c>
      <c r="B1996">
        <v>92908.82</v>
      </c>
      <c r="C1996" s="6">
        <f t="shared" si="93"/>
        <v>-1.3058329685423541E-2</v>
      </c>
      <c r="D1996" s="7">
        <f t="shared" si="94"/>
        <v>-1.1221836636140263</v>
      </c>
      <c r="E1996" s="8">
        <f t="shared" si="95"/>
        <v>-1.8562501682013</v>
      </c>
    </row>
    <row r="1997" spans="1:5" x14ac:dyDescent="0.2">
      <c r="A1997" s="1">
        <v>44529</v>
      </c>
      <c r="B1997">
        <v>93899.6</v>
      </c>
      <c r="C1997" s="6">
        <f t="shared" si="93"/>
        <v>1.0607544244482665E-2</v>
      </c>
      <c r="D1997" s="7">
        <f t="shared" si="94"/>
        <v>0.86612730984312503</v>
      </c>
      <c r="E1997" s="8">
        <f t="shared" si="95"/>
        <v>-1.4311552615170293</v>
      </c>
    </row>
    <row r="1998" spans="1:5" x14ac:dyDescent="0.2">
      <c r="A1998" s="1">
        <v>44530</v>
      </c>
      <c r="B1998">
        <v>93123.17</v>
      </c>
      <c r="C1998" s="6">
        <f t="shared" si="93"/>
        <v>-8.3031008543102362E-3</v>
      </c>
      <c r="D1998" s="7">
        <f t="shared" si="94"/>
        <v>-0.7226685772831376</v>
      </c>
      <c r="E1998" s="8">
        <f t="shared" si="95"/>
        <v>-1.2145439670216609</v>
      </c>
    </row>
    <row r="1999" spans="1:5" x14ac:dyDescent="0.2">
      <c r="A1999" s="1">
        <v>44531</v>
      </c>
      <c r="B1999">
        <v>93996.91</v>
      </c>
      <c r="C1999" s="6">
        <f t="shared" si="93"/>
        <v>9.3388838893425884E-3</v>
      </c>
      <c r="D1999" s="7">
        <f t="shared" si="94"/>
        <v>0.75953959991167697</v>
      </c>
      <c r="E1999" s="8">
        <f t="shared" si="95"/>
        <v>-1.2682204931739893</v>
      </c>
    </row>
    <row r="2000" spans="1:5" x14ac:dyDescent="0.2">
      <c r="A2000" s="1">
        <v>44532</v>
      </c>
      <c r="B2000">
        <v>93672.56</v>
      </c>
      <c r="C2000" s="6">
        <f t="shared" si="93"/>
        <v>-3.4566125534326924E-3</v>
      </c>
      <c r="D2000" s="7">
        <f t="shared" si="94"/>
        <v>-0.31548623954621396</v>
      </c>
      <c r="E2000" s="8">
        <f t="shared" si="95"/>
        <v>-0.75504456920013197</v>
      </c>
    </row>
    <row r="2001" spans="1:5" x14ac:dyDescent="0.2">
      <c r="A2001" s="1">
        <v>44533</v>
      </c>
      <c r="B2001">
        <v>93791.039999999994</v>
      </c>
      <c r="C2001" s="6">
        <f t="shared" si="93"/>
        <v>1.2640322257267942E-3</v>
      </c>
      <c r="D2001" s="7">
        <f t="shared" si="94"/>
        <v>8.1123234669523051E-2</v>
      </c>
      <c r="E2001" s="8">
        <f t="shared" si="95"/>
        <v>-0.64156607362567553</v>
      </c>
    </row>
    <row r="2002" spans="1:5" x14ac:dyDescent="0.2">
      <c r="A2002" s="1">
        <v>44536</v>
      </c>
      <c r="B2002">
        <v>93387.7</v>
      </c>
      <c r="C2002" s="6">
        <f t="shared" si="93"/>
        <v>-4.3096841476972462E-3</v>
      </c>
      <c r="D2002" s="7">
        <f t="shared" si="94"/>
        <v>-0.38715786329628271</v>
      </c>
      <c r="E2002" s="8">
        <f t="shared" si="95"/>
        <v>-0.81443694053314775</v>
      </c>
    </row>
    <row r="2003" spans="1:5" x14ac:dyDescent="0.2">
      <c r="A2003" s="1">
        <v>44537</v>
      </c>
      <c r="B2003">
        <v>96001.37</v>
      </c>
      <c r="C2003" s="6">
        <f t="shared" si="93"/>
        <v>2.7602817285474028E-2</v>
      </c>
      <c r="D2003" s="7">
        <f t="shared" si="94"/>
        <v>2.2940013864307351</v>
      </c>
      <c r="E2003" s="8">
        <f t="shared" si="95"/>
        <v>-3.8594490614470525</v>
      </c>
    </row>
    <row r="2004" spans="1:5" x14ac:dyDescent="0.2">
      <c r="A2004" s="1">
        <v>44538</v>
      </c>
      <c r="B2004">
        <v>95799.88</v>
      </c>
      <c r="C2004" s="6">
        <f t="shared" si="93"/>
        <v>-2.1010298329150736E-3</v>
      </c>
      <c r="D2004" s="7">
        <f t="shared" si="94"/>
        <v>-0.20159566417100905</v>
      </c>
      <c r="E2004" s="8">
        <f t="shared" si="95"/>
        <v>-0.6837492425517353</v>
      </c>
    </row>
    <row r="2005" spans="1:5" x14ac:dyDescent="0.2">
      <c r="A2005" s="1">
        <v>44539</v>
      </c>
      <c r="B2005">
        <v>95511.65</v>
      </c>
      <c r="C2005" s="6">
        <f t="shared" si="93"/>
        <v>-3.0132027910642375E-3</v>
      </c>
      <c r="D2005" s="7">
        <f t="shared" si="94"/>
        <v>-0.27823274538553072</v>
      </c>
      <c r="E2005" s="8">
        <f t="shared" si="95"/>
        <v>-0.72850581229782119</v>
      </c>
    </row>
    <row r="2006" spans="1:5" x14ac:dyDescent="0.2">
      <c r="A2006" s="1">
        <v>44540</v>
      </c>
      <c r="B2006">
        <v>95032.31</v>
      </c>
      <c r="C2006" s="6">
        <f t="shared" si="93"/>
        <v>-5.0312905343490172E-3</v>
      </c>
      <c r="D2006" s="7">
        <f t="shared" si="94"/>
        <v>-0.44778431222210807</v>
      </c>
      <c r="E2006" s="8">
        <f t="shared" si="95"/>
        <v>-0.87274471364288708</v>
      </c>
    </row>
    <row r="2007" spans="1:5" x14ac:dyDescent="0.2">
      <c r="A2007" s="1">
        <v>44543</v>
      </c>
      <c r="B2007">
        <v>94711.26</v>
      </c>
      <c r="C2007" s="6">
        <f t="shared" si="93"/>
        <v>-3.3840441220970106E-3</v>
      </c>
      <c r="D2007" s="7">
        <f t="shared" si="94"/>
        <v>-0.30938933356341936</v>
      </c>
      <c r="E2007" s="8">
        <f t="shared" si="95"/>
        <v>-0.75049338264880627</v>
      </c>
    </row>
    <row r="2008" spans="1:5" x14ac:dyDescent="0.2">
      <c r="A2008" s="1">
        <v>44544</v>
      </c>
      <c r="B2008">
        <v>94413.46</v>
      </c>
      <c r="C2008" s="6">
        <f t="shared" si="93"/>
        <v>-3.1492471859378363E-3</v>
      </c>
      <c r="D2008" s="7">
        <f t="shared" si="94"/>
        <v>-0.28966264499564781</v>
      </c>
      <c r="E2008" s="8">
        <f t="shared" si="95"/>
        <v>-0.73632342375430337</v>
      </c>
    </row>
    <row r="2009" spans="1:5" x14ac:dyDescent="0.2">
      <c r="A2009" s="1">
        <v>44545</v>
      </c>
      <c r="B2009">
        <v>94115.44</v>
      </c>
      <c r="C2009" s="6">
        <f t="shared" si="93"/>
        <v>-3.1615338362780553E-3</v>
      </c>
      <c r="D2009" s="7">
        <f t="shared" si="94"/>
        <v>-0.29069491964440342</v>
      </c>
      <c r="E2009" s="8">
        <f t="shared" si="95"/>
        <v>-0.73704372069763768</v>
      </c>
    </row>
    <row r="2010" spans="1:5" x14ac:dyDescent="0.2">
      <c r="A2010" s="1">
        <v>44547</v>
      </c>
      <c r="B2010">
        <v>91785.56</v>
      </c>
      <c r="C2010" s="6">
        <f t="shared" si="93"/>
        <v>-2.5067127117904413E-2</v>
      </c>
      <c r="D2010" s="7">
        <f t="shared" si="94"/>
        <v>-2.1311142352779147</v>
      </c>
      <c r="E2010" s="8">
        <f t="shared" si="95"/>
        <v>-3.5982515791514196</v>
      </c>
    </row>
    <row r="2011" spans="1:5" x14ac:dyDescent="0.2">
      <c r="A2011" s="1">
        <v>44550</v>
      </c>
      <c r="B2011">
        <v>91285.14</v>
      </c>
      <c r="C2011" s="6">
        <f t="shared" si="93"/>
        <v>-5.4669725561762722E-3</v>
      </c>
      <c r="D2011" s="7">
        <f t="shared" si="94"/>
        <v>-0.48438855288961352</v>
      </c>
      <c r="E2011" s="8">
        <f t="shared" si="95"/>
        <v>-0.91129382246065305</v>
      </c>
    </row>
    <row r="2012" spans="1:5" x14ac:dyDescent="0.2">
      <c r="A2012" s="1">
        <v>44551</v>
      </c>
      <c r="B2012">
        <v>91675.54</v>
      </c>
      <c r="C2012" s="6">
        <f t="shared" si="93"/>
        <v>4.2675900910234864E-3</v>
      </c>
      <c r="D2012" s="7">
        <f t="shared" si="94"/>
        <v>0.33347001386182723</v>
      </c>
      <c r="E2012" s="8">
        <f t="shared" si="95"/>
        <v>-0.76893490860379787</v>
      </c>
    </row>
    <row r="2013" spans="1:5" x14ac:dyDescent="0.2">
      <c r="A2013" s="1">
        <v>44552</v>
      </c>
      <c r="B2013">
        <v>92166.83</v>
      </c>
      <c r="C2013" s="6">
        <f t="shared" si="93"/>
        <v>5.3447001309643574E-3</v>
      </c>
      <c r="D2013" s="7">
        <f t="shared" si="94"/>
        <v>0.42396444133906314</v>
      </c>
      <c r="E2013" s="8">
        <f t="shared" si="95"/>
        <v>-0.8489905043311653</v>
      </c>
    </row>
    <row r="2014" spans="1:5" x14ac:dyDescent="0.2">
      <c r="A2014" s="1">
        <v>44553</v>
      </c>
      <c r="B2014">
        <v>92564.61</v>
      </c>
      <c r="C2014" s="6">
        <f t="shared" si="93"/>
        <v>4.3065827321056814E-3</v>
      </c>
      <c r="D2014" s="7">
        <f t="shared" si="94"/>
        <v>0.3367460177980196</v>
      </c>
      <c r="E2014" s="8">
        <f t="shared" si="95"/>
        <v>-0.77153950972397645</v>
      </c>
    </row>
    <row r="2015" spans="1:5" x14ac:dyDescent="0.2">
      <c r="A2015" s="1">
        <v>44554</v>
      </c>
      <c r="B2015">
        <v>92575.62</v>
      </c>
      <c r="C2015" s="6">
        <f t="shared" si="93"/>
        <v>1.1893687301756083E-4</v>
      </c>
      <c r="D2015" s="7">
        <f t="shared" si="94"/>
        <v>-1.5083043712167779E-2</v>
      </c>
      <c r="E2015" s="8">
        <f t="shared" si="95"/>
        <v>-0.63361775832093814</v>
      </c>
    </row>
    <row r="2016" spans="1:5" x14ac:dyDescent="0.2">
      <c r="A2016" s="1">
        <v>44558</v>
      </c>
      <c r="B2016">
        <v>93580.32</v>
      </c>
      <c r="C2016" s="6">
        <f t="shared" si="93"/>
        <v>1.0794280916580655E-2</v>
      </c>
      <c r="D2016" s="7">
        <f t="shared" si="94"/>
        <v>0.88181616948038144</v>
      </c>
      <c r="E2016" s="8">
        <f t="shared" si="95"/>
        <v>-1.4559941396171021</v>
      </c>
    </row>
    <row r="2017" spans="1:5" x14ac:dyDescent="0.2">
      <c r="A2017" s="1">
        <v>44559</v>
      </c>
      <c r="B2017">
        <v>94950.98</v>
      </c>
      <c r="C2017" s="6">
        <f t="shared" si="93"/>
        <v>1.4540653460414851E-2</v>
      </c>
      <c r="D2017" s="7">
        <f t="shared" si="94"/>
        <v>1.1965712324722022</v>
      </c>
      <c r="E2017" s="8">
        <f t="shared" si="95"/>
        <v>-1.9852788816737434</v>
      </c>
    </row>
    <row r="2018" spans="1:5" x14ac:dyDescent="0.2">
      <c r="A2018" s="1">
        <v>44560</v>
      </c>
      <c r="B2018">
        <v>95425.08</v>
      </c>
      <c r="C2018" s="6">
        <f t="shared" si="93"/>
        <v>4.980678558943772E-3</v>
      </c>
      <c r="D2018" s="7">
        <f t="shared" si="94"/>
        <v>0.39338082172005501</v>
      </c>
      <c r="E2018" s="8">
        <f t="shared" si="95"/>
        <v>-0.82009138737468656</v>
      </c>
    </row>
    <row r="2019" spans="1:5" x14ac:dyDescent="0.2">
      <c r="A2019" s="1">
        <v>44561</v>
      </c>
      <c r="B2019">
        <v>95457.11</v>
      </c>
      <c r="C2019" s="6">
        <f t="shared" si="93"/>
        <v>3.3559967329194077E-4</v>
      </c>
      <c r="D2019" s="7">
        <f t="shared" si="94"/>
        <v>3.1200881308155511E-3</v>
      </c>
      <c r="E2019" s="8">
        <f t="shared" si="95"/>
        <v>-0.63334488352632912</v>
      </c>
    </row>
    <row r="2020" spans="1:5" x14ac:dyDescent="0.2">
      <c r="A2020" s="1">
        <v>44564</v>
      </c>
      <c r="B2020">
        <v>95410.86</v>
      </c>
      <c r="C2020" s="6">
        <f t="shared" si="93"/>
        <v>-4.8462820561461336E-4</v>
      </c>
      <c r="D2020" s="7">
        <f t="shared" si="94"/>
        <v>-6.5792139543332656E-2</v>
      </c>
      <c r="E2020" s="8">
        <f t="shared" si="95"/>
        <v>-0.63875121036962745</v>
      </c>
    </row>
    <row r="2021" spans="1:5" x14ac:dyDescent="0.2">
      <c r="A2021" s="1">
        <v>44565</v>
      </c>
      <c r="B2021">
        <v>97184.19</v>
      </c>
      <c r="C2021" s="6">
        <f t="shared" si="93"/>
        <v>1.8415635462408968E-2</v>
      </c>
      <c r="D2021" s="7">
        <f t="shared" si="94"/>
        <v>1.5221315417738412</v>
      </c>
      <c r="E2021" s="8">
        <f t="shared" si="95"/>
        <v>-2.5592048756549448</v>
      </c>
    </row>
    <row r="2022" spans="1:5" x14ac:dyDescent="0.2">
      <c r="A2022" s="1">
        <v>44566</v>
      </c>
      <c r="B2022">
        <v>96508.71</v>
      </c>
      <c r="C2022" s="6">
        <f t="shared" si="93"/>
        <v>-6.9747805765638391E-3</v>
      </c>
      <c r="D2022" s="7">
        <f t="shared" si="94"/>
        <v>-0.61106848204341446</v>
      </c>
      <c r="E2022" s="8">
        <f t="shared" si="95"/>
        <v>-1.0622125755650196</v>
      </c>
    </row>
    <row r="2023" spans="1:5" x14ac:dyDescent="0.2">
      <c r="A2023" s="1">
        <v>44567</v>
      </c>
      <c r="B2023">
        <v>94807.28</v>
      </c>
      <c r="C2023" s="6">
        <f t="shared" si="93"/>
        <v>-1.77870637777226E-2</v>
      </c>
      <c r="D2023" s="7">
        <f t="shared" si="94"/>
        <v>-1.519472769189703</v>
      </c>
      <c r="E2023" s="8">
        <f t="shared" si="95"/>
        <v>-2.5545159133285504</v>
      </c>
    </row>
    <row r="2024" spans="1:5" x14ac:dyDescent="0.2">
      <c r="A2024" s="1">
        <v>44568</v>
      </c>
      <c r="B2024">
        <v>93742.88</v>
      </c>
      <c r="C2024" s="6">
        <f t="shared" si="93"/>
        <v>-1.1290484261711168E-2</v>
      </c>
      <c r="D2024" s="7">
        <f t="shared" si="94"/>
        <v>-0.97365644396626871</v>
      </c>
      <c r="E2024" s="8">
        <f t="shared" si="95"/>
        <v>-1.6050364995443682</v>
      </c>
    </row>
    <row r="2025" spans="1:5" x14ac:dyDescent="0.2">
      <c r="A2025" s="1">
        <v>44571</v>
      </c>
      <c r="B2025">
        <v>92776.47</v>
      </c>
      <c r="C2025" s="6">
        <f t="shared" si="93"/>
        <v>-1.0362663692853378E-2</v>
      </c>
      <c r="D2025" s="7">
        <f t="shared" si="94"/>
        <v>-0.89570471381156869</v>
      </c>
      <c r="E2025" s="8">
        <f t="shared" si="95"/>
        <v>-1.4781453094942469</v>
      </c>
    </row>
    <row r="2026" spans="1:5" x14ac:dyDescent="0.2">
      <c r="A2026" s="1">
        <v>44572</v>
      </c>
      <c r="B2026">
        <v>93316.7</v>
      </c>
      <c r="C2026" s="6">
        <f t="shared" si="93"/>
        <v>5.8060327264667097E-3</v>
      </c>
      <c r="D2026" s="7">
        <f t="shared" si="94"/>
        <v>0.46272373942235312</v>
      </c>
      <c r="E2026" s="8">
        <f t="shared" si="95"/>
        <v>-0.88818369114321916</v>
      </c>
    </row>
    <row r="2027" spans="1:5" x14ac:dyDescent="0.2">
      <c r="A2027" s="1">
        <v>44573</v>
      </c>
      <c r="B2027">
        <v>95302.48</v>
      </c>
      <c r="C2027" s="6">
        <f t="shared" si="93"/>
        <v>2.1056749073183629E-2</v>
      </c>
      <c r="D2027" s="7">
        <f t="shared" si="94"/>
        <v>1.7440272211814054</v>
      </c>
      <c r="E2027" s="8">
        <f t="shared" si="95"/>
        <v>-2.9472415265700831</v>
      </c>
    </row>
    <row r="2028" spans="1:5" x14ac:dyDescent="0.2">
      <c r="A2028" s="1">
        <v>44574</v>
      </c>
      <c r="B2028">
        <v>95210.82</v>
      </c>
      <c r="C2028" s="6">
        <f t="shared" si="93"/>
        <v>-9.6224260534464136E-4</v>
      </c>
      <c r="D2028" s="7">
        <f t="shared" si="94"/>
        <v>-0.10591936894027083</v>
      </c>
      <c r="E2028" s="8">
        <f t="shared" si="95"/>
        <v>-0.64735226761974618</v>
      </c>
    </row>
    <row r="2029" spans="1:5" x14ac:dyDescent="0.2">
      <c r="A2029" s="1">
        <v>44575</v>
      </c>
      <c r="B2029">
        <v>94293.73</v>
      </c>
      <c r="C2029" s="6">
        <f t="shared" si="93"/>
        <v>-9.6788932981220575E-3</v>
      </c>
      <c r="D2029" s="7">
        <f t="shared" si="94"/>
        <v>-0.83825709183926644</v>
      </c>
      <c r="E2029" s="8">
        <f t="shared" si="95"/>
        <v>-1.3875364798280132</v>
      </c>
    </row>
    <row r="2030" spans="1:5" x14ac:dyDescent="0.2">
      <c r="A2030" s="1">
        <v>44578</v>
      </c>
      <c r="B2030">
        <v>95568.8</v>
      </c>
      <c r="C2030" s="6">
        <f t="shared" si="93"/>
        <v>1.343170945466975E-2</v>
      </c>
      <c r="D2030" s="7">
        <f t="shared" si="94"/>
        <v>1.1034022439910209</v>
      </c>
      <c r="E2030" s="8">
        <f t="shared" si="95"/>
        <v>-1.8239514334453368</v>
      </c>
    </row>
    <row r="2031" spans="1:5" x14ac:dyDescent="0.2">
      <c r="A2031" s="1">
        <v>44579</v>
      </c>
      <c r="B2031">
        <v>94293.9</v>
      </c>
      <c r="C2031" s="6">
        <f t="shared" si="93"/>
        <v>-1.3429906579263922E-2</v>
      </c>
      <c r="D2031" s="7">
        <f t="shared" si="94"/>
        <v>-1.1534020508028606</v>
      </c>
      <c r="E2031" s="8">
        <f t="shared" si="95"/>
        <v>-1.910202070137315</v>
      </c>
    </row>
    <row r="2032" spans="1:5" x14ac:dyDescent="0.2">
      <c r="A2032" s="1">
        <v>44580</v>
      </c>
      <c r="B2032">
        <v>95623.34</v>
      </c>
      <c r="C2032" s="6">
        <f t="shared" si="93"/>
        <v>1.4000432140402501E-2</v>
      </c>
      <c r="D2032" s="7">
        <f t="shared" si="94"/>
        <v>1.1511840229460537</v>
      </c>
      <c r="E2032" s="8">
        <f t="shared" si="95"/>
        <v>-1.9063587039612881</v>
      </c>
    </row>
    <row r="2033" spans="1:5" x14ac:dyDescent="0.2">
      <c r="A2033" s="1">
        <v>44581</v>
      </c>
      <c r="B2033">
        <v>95830.64</v>
      </c>
      <c r="C2033" s="6">
        <f t="shared" si="93"/>
        <v>2.165534307636613E-3</v>
      </c>
      <c r="D2033" s="7">
        <f t="shared" si="94"/>
        <v>0.15686379203768547</v>
      </c>
      <c r="E2033" s="8">
        <f t="shared" si="95"/>
        <v>-0.66397919120623228</v>
      </c>
    </row>
    <row r="2034" spans="1:5" x14ac:dyDescent="0.2">
      <c r="A2034" s="1">
        <v>44582</v>
      </c>
      <c r="B2034">
        <v>94147.08</v>
      </c>
      <c r="C2034" s="6">
        <f t="shared" si="93"/>
        <v>-1.772422654314889E-2</v>
      </c>
      <c r="D2034" s="7">
        <f t="shared" si="94"/>
        <v>-1.5141934389856015</v>
      </c>
      <c r="E2034" s="8">
        <f t="shared" si="95"/>
        <v>-2.5452036028979679</v>
      </c>
    </row>
    <row r="2035" spans="1:5" x14ac:dyDescent="0.2">
      <c r="A2035" s="1">
        <v>44585</v>
      </c>
      <c r="B2035">
        <v>90959.44</v>
      </c>
      <c r="C2035" s="6">
        <f t="shared" si="93"/>
        <v>-3.444454741238754E-2</v>
      </c>
      <c r="D2035" s="7">
        <f t="shared" si="94"/>
        <v>-2.9189671465823608</v>
      </c>
      <c r="E2035" s="8">
        <f t="shared" si="95"/>
        <v>-4.7852819701310976</v>
      </c>
    </row>
    <row r="2036" spans="1:5" x14ac:dyDescent="0.2">
      <c r="A2036" s="1">
        <v>44586</v>
      </c>
      <c r="B2036">
        <v>89866.48</v>
      </c>
      <c r="C2036" s="6">
        <f t="shared" si="93"/>
        <v>-1.2088679654448592E-2</v>
      </c>
      <c r="D2036" s="7">
        <f t="shared" si="94"/>
        <v>-1.0407175912977948</v>
      </c>
      <c r="E2036" s="8">
        <f t="shared" si="95"/>
        <v>-1.7171705540996689</v>
      </c>
    </row>
    <row r="2037" spans="1:5" x14ac:dyDescent="0.2">
      <c r="A2037" s="1">
        <v>44587</v>
      </c>
      <c r="B2037">
        <v>91472.16</v>
      </c>
      <c r="C2037" s="6">
        <f t="shared" si="93"/>
        <v>1.7709650472680753E-2</v>
      </c>
      <c r="D2037" s="7">
        <f t="shared" si="94"/>
        <v>1.462817539412036</v>
      </c>
      <c r="E2037" s="8">
        <f t="shared" si="95"/>
        <v>-2.4544777993580986</v>
      </c>
    </row>
    <row r="2038" spans="1:5" x14ac:dyDescent="0.2">
      <c r="A2038" s="1">
        <v>44588</v>
      </c>
      <c r="B2038">
        <v>90476.77</v>
      </c>
      <c r="C2038" s="6">
        <f t="shared" si="93"/>
        <v>-1.0941531015477252E-2</v>
      </c>
      <c r="D2038" s="7">
        <f t="shared" si="94"/>
        <v>-0.94433880411213211</v>
      </c>
      <c r="E2038" s="8">
        <f t="shared" si="95"/>
        <v>-1.5568325194427513</v>
      </c>
    </row>
    <row r="2039" spans="1:5" x14ac:dyDescent="0.2">
      <c r="A2039" s="1">
        <v>44589</v>
      </c>
      <c r="B2039">
        <v>90993.07</v>
      </c>
      <c r="C2039" s="6">
        <f t="shared" si="93"/>
        <v>5.6902170970918528E-3</v>
      </c>
      <c r="D2039" s="7">
        <f t="shared" si="94"/>
        <v>0.45299337884213908</v>
      </c>
      <c r="E2039" s="8">
        <f t="shared" si="95"/>
        <v>-0.87808123069930089</v>
      </c>
    </row>
    <row r="2040" spans="1:5" x14ac:dyDescent="0.2">
      <c r="A2040" s="1">
        <v>44592</v>
      </c>
      <c r="B2040">
        <v>93568.42</v>
      </c>
      <c r="C2040" s="6">
        <f t="shared" si="93"/>
        <v>2.7909583620429737E-2</v>
      </c>
      <c r="D2040" s="7">
        <f t="shared" si="94"/>
        <v>2.3197746526910987</v>
      </c>
      <c r="E2040" s="8">
        <f t="shared" si="95"/>
        <v>-3.9000298774455961</v>
      </c>
    </row>
    <row r="2041" spans="1:5" x14ac:dyDescent="0.2">
      <c r="A2041" s="1">
        <v>44593</v>
      </c>
      <c r="B2041">
        <v>94781.28</v>
      </c>
      <c r="C2041" s="6">
        <f t="shared" si="93"/>
        <v>1.2878988015828602E-2</v>
      </c>
      <c r="D2041" s="7">
        <f t="shared" si="94"/>
        <v>1.0569648250574184</v>
      </c>
      <c r="E2041" s="8">
        <f t="shared" si="95"/>
        <v>-1.7446830521378571</v>
      </c>
    </row>
    <row r="2042" spans="1:5" x14ac:dyDescent="0.2">
      <c r="A2042" s="1">
        <v>44594</v>
      </c>
      <c r="B2042">
        <v>94852.800000000003</v>
      </c>
      <c r="C2042" s="6">
        <f t="shared" si="93"/>
        <v>7.542948334076327E-4</v>
      </c>
      <c r="D2042" s="7">
        <f t="shared" si="94"/>
        <v>3.8297161407598986E-2</v>
      </c>
      <c r="E2042" s="8">
        <f t="shared" si="95"/>
        <v>-0.63516997533313424</v>
      </c>
    </row>
    <row r="2043" spans="1:5" x14ac:dyDescent="0.2">
      <c r="A2043" s="1">
        <v>44595</v>
      </c>
      <c r="B2043">
        <v>93896.33</v>
      </c>
      <c r="C2043" s="6">
        <f t="shared" si="93"/>
        <v>-1.0134914922153558E-2</v>
      </c>
      <c r="D2043" s="7">
        <f t="shared" si="94"/>
        <v>-0.8765701835882167</v>
      </c>
      <c r="E2043" s="8">
        <f t="shared" si="95"/>
        <v>-1.4476665432262212</v>
      </c>
    </row>
    <row r="2044" spans="1:5" x14ac:dyDescent="0.2">
      <c r="A2044" s="1">
        <v>44596</v>
      </c>
      <c r="B2044">
        <v>93596.9</v>
      </c>
      <c r="C2044" s="6">
        <f t="shared" si="93"/>
        <v>-3.1940380413986694E-3</v>
      </c>
      <c r="D2044" s="7">
        <f t="shared" si="94"/>
        <v>-0.29342579144386605</v>
      </c>
      <c r="E2044" s="8">
        <f t="shared" si="95"/>
        <v>-0.73896060156381482</v>
      </c>
    </row>
    <row r="2045" spans="1:5" x14ac:dyDescent="0.2">
      <c r="A2045" s="1">
        <v>44599</v>
      </c>
      <c r="B2045">
        <v>93753.89</v>
      </c>
      <c r="C2045" s="6">
        <f t="shared" si="93"/>
        <v>1.675894046070421E-3</v>
      </c>
      <c r="D2045" s="7">
        <f t="shared" si="94"/>
        <v>0.11572619838692998</v>
      </c>
      <c r="E2045" s="8">
        <f t="shared" si="95"/>
        <v>-0.65005944839356666</v>
      </c>
    </row>
    <row r="2046" spans="1:5" x14ac:dyDescent="0.2">
      <c r="A2046" s="1">
        <v>44600</v>
      </c>
      <c r="B2046">
        <v>93254.7</v>
      </c>
      <c r="C2046" s="6">
        <f t="shared" si="93"/>
        <v>-5.338697924477373E-3</v>
      </c>
      <c r="D2046" s="7">
        <f t="shared" si="94"/>
        <v>-0.47361143734431377</v>
      </c>
      <c r="E2046" s="8">
        <f t="shared" si="95"/>
        <v>-0.89969232939209309</v>
      </c>
    </row>
    <row r="2047" spans="1:5" x14ac:dyDescent="0.2">
      <c r="A2047" s="1">
        <v>44601</v>
      </c>
      <c r="B2047">
        <v>94989.5</v>
      </c>
      <c r="C2047" s="6">
        <f t="shared" si="93"/>
        <v>1.8431899777716452E-2</v>
      </c>
      <c r="D2047" s="7">
        <f t="shared" si="94"/>
        <v>1.5234980037391765</v>
      </c>
      <c r="E2047" s="8">
        <f t="shared" si="95"/>
        <v>-2.5616145030816635</v>
      </c>
    </row>
    <row r="2048" spans="1:5" x14ac:dyDescent="0.2">
      <c r="A2048" s="1">
        <v>44602</v>
      </c>
      <c r="B2048">
        <v>93846.34</v>
      </c>
      <c r="C2048" s="6">
        <f t="shared" si="93"/>
        <v>-1.2107595305912534E-2</v>
      </c>
      <c r="D2048" s="7">
        <f t="shared" si="94"/>
        <v>-1.0423068077994646</v>
      </c>
      <c r="E2048" s="8">
        <f t="shared" si="95"/>
        <v>-1.7198562108773252</v>
      </c>
    </row>
    <row r="2049" spans="1:5" x14ac:dyDescent="0.2">
      <c r="A2049" s="1">
        <v>44603</v>
      </c>
      <c r="B2049">
        <v>93466.25</v>
      </c>
      <c r="C2049" s="6">
        <f t="shared" si="93"/>
        <v>-4.058355305227755E-3</v>
      </c>
      <c r="D2049" s="7">
        <f t="shared" si="94"/>
        <v>-0.36604223084981369</v>
      </c>
      <c r="E2049" s="8">
        <f t="shared" si="95"/>
        <v>-0.7958322264278066</v>
      </c>
    </row>
    <row r="2050" spans="1:5" x14ac:dyDescent="0.2">
      <c r="A2050" s="1">
        <v>44606</v>
      </c>
      <c r="B2050">
        <v>91419.41</v>
      </c>
      <c r="C2050" s="6">
        <f t="shared" si="93"/>
        <v>-2.2142589412391979E-2</v>
      </c>
      <c r="D2050" s="7">
        <f t="shared" si="94"/>
        <v>-1.8854064101884138</v>
      </c>
      <c r="E2050" s="8">
        <f t="shared" si="95"/>
        <v>-3.1895320095026238</v>
      </c>
    </row>
    <row r="2051" spans="1:5" x14ac:dyDescent="0.2">
      <c r="A2051" s="1">
        <v>44607</v>
      </c>
      <c r="B2051">
        <v>92756.82</v>
      </c>
      <c r="C2051" s="6">
        <f t="shared" ref="C2051:C2114" si="96">LN(B2051/B2050)</f>
        <v>1.4523410628842119E-2</v>
      </c>
      <c r="D2051" s="7">
        <f t="shared" ref="D2051:D2114" si="97">(C2051-$G$4)/$G$5</f>
        <v>1.1951225595294206</v>
      </c>
      <c r="E2051" s="8">
        <f t="shared" ref="E2051:E2114" si="98">LN((PI()*(G$3-2))^(-1/2)*EXP(GAMMALN((G$3+1)/2))*((1+D2051^2/(G$3-2))^(-(G$3+1)/2))/EXP(GAMMALN(G$3/2)))</f>
        <v>-1.9827516258280153</v>
      </c>
    </row>
    <row r="2052" spans="1:5" x14ac:dyDescent="0.2">
      <c r="A2052" s="1">
        <v>44608</v>
      </c>
      <c r="B2052">
        <v>92337.26</v>
      </c>
      <c r="C2052" s="6">
        <f t="shared" si="96"/>
        <v>-4.5334860907872898E-3</v>
      </c>
      <c r="D2052" s="7">
        <f t="shared" si="97"/>
        <v>-0.40596079703306065</v>
      </c>
      <c r="E2052" s="8">
        <f t="shared" si="98"/>
        <v>-0.83175689893884541</v>
      </c>
    </row>
    <row r="2053" spans="1:5" x14ac:dyDescent="0.2">
      <c r="A2053" s="1">
        <v>44609</v>
      </c>
      <c r="B2053">
        <v>91811.29</v>
      </c>
      <c r="C2053" s="6">
        <f t="shared" si="96"/>
        <v>-5.7124688768947825E-3</v>
      </c>
      <c r="D2053" s="7">
        <f t="shared" si="97"/>
        <v>-0.50501416045744296</v>
      </c>
      <c r="E2053" s="8">
        <f t="shared" si="98"/>
        <v>-0.93406753161104594</v>
      </c>
    </row>
    <row r="2054" spans="1:5" x14ac:dyDescent="0.2">
      <c r="A2054" s="1">
        <v>44610</v>
      </c>
      <c r="B2054">
        <v>91405.17</v>
      </c>
      <c r="C2054" s="6">
        <f t="shared" si="96"/>
        <v>-4.4332334020830717E-3</v>
      </c>
      <c r="D2054" s="7">
        <f t="shared" si="97"/>
        <v>-0.39753797175901545</v>
      </c>
      <c r="E2054" s="8">
        <f t="shared" si="98"/>
        <v>-0.82391172800988721</v>
      </c>
    </row>
    <row r="2055" spans="1:5" x14ac:dyDescent="0.2">
      <c r="A2055" s="1">
        <v>44613</v>
      </c>
      <c r="B2055">
        <v>89458.26</v>
      </c>
      <c r="C2055" s="6">
        <f t="shared" si="96"/>
        <v>-2.1529893629799561E-2</v>
      </c>
      <c r="D2055" s="7">
        <f t="shared" si="97"/>
        <v>-1.8339301895541122</v>
      </c>
      <c r="E2055" s="8">
        <f t="shared" si="98"/>
        <v>-3.1018561262054094</v>
      </c>
    </row>
    <row r="2056" spans="1:5" x14ac:dyDescent="0.2">
      <c r="A2056" s="1">
        <v>44614</v>
      </c>
      <c r="B2056">
        <v>88957.23</v>
      </c>
      <c r="C2056" s="6">
        <f t="shared" si="96"/>
        <v>-5.6164553544538059E-3</v>
      </c>
      <c r="D2056" s="7">
        <f t="shared" si="97"/>
        <v>-0.49694749278080896</v>
      </c>
      <c r="E2056" s="8">
        <f t="shared" si="98"/>
        <v>-0.92507252163862319</v>
      </c>
    </row>
    <row r="2057" spans="1:5" x14ac:dyDescent="0.2">
      <c r="A2057" s="1">
        <v>44615</v>
      </c>
      <c r="B2057">
        <v>88882.240000000005</v>
      </c>
      <c r="C2057" s="6">
        <f t="shared" si="96"/>
        <v>-8.4334489351085287E-4</v>
      </c>
      <c r="D2057" s="7">
        <f t="shared" si="97"/>
        <v>-9.593006426222446E-2</v>
      </c>
      <c r="E2057" s="8">
        <f t="shared" si="98"/>
        <v>-0.64483837548778866</v>
      </c>
    </row>
    <row r="2058" spans="1:5" x14ac:dyDescent="0.2">
      <c r="A2058" s="1">
        <v>44616</v>
      </c>
      <c r="B2058">
        <v>84775.43</v>
      </c>
      <c r="C2058" s="6">
        <f t="shared" si="96"/>
        <v>-4.7306587285136301E-2</v>
      </c>
      <c r="D2058" s="7">
        <f t="shared" si="97"/>
        <v>-3.9995836957862609</v>
      </c>
      <c r="E2058" s="8">
        <f t="shared" si="98"/>
        <v>-6.1260429040482283</v>
      </c>
    </row>
    <row r="2059" spans="1:5" x14ac:dyDescent="0.2">
      <c r="A2059" s="1">
        <v>44617</v>
      </c>
      <c r="B2059">
        <v>85987.54</v>
      </c>
      <c r="C2059" s="6">
        <f t="shared" si="96"/>
        <v>1.4196641787005089E-2</v>
      </c>
      <c r="D2059" s="7">
        <f t="shared" si="97"/>
        <v>1.1676687635727281</v>
      </c>
      <c r="E2059" s="8">
        <f t="shared" si="98"/>
        <v>-1.934957710125657</v>
      </c>
    </row>
    <row r="2060" spans="1:5" x14ac:dyDescent="0.2">
      <c r="A2060" s="1">
        <v>44620</v>
      </c>
      <c r="B2060">
        <v>86334.37</v>
      </c>
      <c r="C2060" s="6">
        <f t="shared" si="96"/>
        <v>4.0253786454264497E-3</v>
      </c>
      <c r="D2060" s="7">
        <f t="shared" si="97"/>
        <v>0.31312038821082061</v>
      </c>
      <c r="E2060" s="8">
        <f t="shared" si="98"/>
        <v>-0.75326896337692362</v>
      </c>
    </row>
    <row r="2061" spans="1:5" x14ac:dyDescent="0.2">
      <c r="A2061" s="1">
        <v>44621</v>
      </c>
      <c r="B2061">
        <v>85805.53</v>
      </c>
      <c r="C2061" s="6">
        <f t="shared" si="96"/>
        <v>-6.1443240499295644E-3</v>
      </c>
      <c r="D2061" s="7">
        <f t="shared" si="97"/>
        <v>-0.54129688477315963</v>
      </c>
      <c r="E2061" s="8">
        <f t="shared" si="98"/>
        <v>-0.9758882062252846</v>
      </c>
    </row>
    <row r="2062" spans="1:5" x14ac:dyDescent="0.2">
      <c r="A2062" s="1">
        <v>44622</v>
      </c>
      <c r="B2062">
        <v>85940.94</v>
      </c>
      <c r="C2062" s="6">
        <f t="shared" si="96"/>
        <v>1.5768595192428671E-3</v>
      </c>
      <c r="D2062" s="7">
        <f t="shared" si="97"/>
        <v>0.10740571814497585</v>
      </c>
      <c r="E2062" s="8">
        <f t="shared" si="98"/>
        <v>-0.6477473553610793</v>
      </c>
    </row>
    <row r="2063" spans="1:5" x14ac:dyDescent="0.2">
      <c r="A2063" s="1">
        <v>44623</v>
      </c>
      <c r="B2063">
        <v>84771.35</v>
      </c>
      <c r="C2063" s="6">
        <f t="shared" si="96"/>
        <v>-1.3702684211828495E-2</v>
      </c>
      <c r="D2063" s="7">
        <f t="shared" si="97"/>
        <v>-1.1763197238094942</v>
      </c>
      <c r="E2063" s="8">
        <f t="shared" si="98"/>
        <v>-1.9499967613766434</v>
      </c>
    </row>
    <row r="2064" spans="1:5" x14ac:dyDescent="0.2">
      <c r="A2064" s="1">
        <v>44624</v>
      </c>
      <c r="B2064">
        <v>79728.27</v>
      </c>
      <c r="C2064" s="6">
        <f t="shared" si="96"/>
        <v>-6.1333403891365691E-2</v>
      </c>
      <c r="D2064" s="7">
        <f t="shared" si="97"/>
        <v>-5.1780600733517286</v>
      </c>
      <c r="E2064" s="8">
        <f t="shared" si="98"/>
        <v>-7.3010476082780214</v>
      </c>
    </row>
    <row r="2065" spans="1:5" x14ac:dyDescent="0.2">
      <c r="A2065" s="1">
        <v>44627</v>
      </c>
      <c r="B2065">
        <v>77337.67</v>
      </c>
      <c r="C2065" s="6">
        <f t="shared" si="96"/>
        <v>-3.0443069035344616E-2</v>
      </c>
      <c r="D2065" s="7">
        <f t="shared" si="97"/>
        <v>-2.5827791236641851</v>
      </c>
      <c r="E2065" s="8">
        <f t="shared" si="98"/>
        <v>-4.3022719568124961</v>
      </c>
    </row>
    <row r="2066" spans="1:5" x14ac:dyDescent="0.2">
      <c r="A2066" s="1">
        <v>44628</v>
      </c>
      <c r="B2066">
        <v>77192.58</v>
      </c>
      <c r="C2066" s="6">
        <f t="shared" si="96"/>
        <v>-1.8778205902704008E-3</v>
      </c>
      <c r="D2066" s="7">
        <f t="shared" si="97"/>
        <v>-0.1828425267275349</v>
      </c>
      <c r="E2066" s="8">
        <f t="shared" si="98"/>
        <v>-0.67487965023339436</v>
      </c>
    </row>
    <row r="2067" spans="1:5" x14ac:dyDescent="0.2">
      <c r="A2067" s="1">
        <v>44629</v>
      </c>
      <c r="B2067">
        <v>80245.56</v>
      </c>
      <c r="C2067" s="6">
        <f t="shared" si="96"/>
        <v>3.8788094954873127E-2</v>
      </c>
      <c r="D2067" s="7">
        <f t="shared" si="97"/>
        <v>3.2337431596313158</v>
      </c>
      <c r="E2067" s="8">
        <f t="shared" si="98"/>
        <v>-5.2073259576451747</v>
      </c>
    </row>
    <row r="2068" spans="1:5" x14ac:dyDescent="0.2">
      <c r="A2068" s="1">
        <v>44630</v>
      </c>
      <c r="B2068">
        <v>80671.87</v>
      </c>
      <c r="C2068" s="6">
        <f t="shared" si="96"/>
        <v>5.2985061637851345E-3</v>
      </c>
      <c r="D2068" s="7">
        <f t="shared" si="97"/>
        <v>0.42008341112137482</v>
      </c>
      <c r="E2068" s="8">
        <f t="shared" si="98"/>
        <v>-0.84522242446035445</v>
      </c>
    </row>
    <row r="2069" spans="1:5" x14ac:dyDescent="0.2">
      <c r="A2069" s="1">
        <v>44631</v>
      </c>
      <c r="B2069">
        <v>80271.41</v>
      </c>
      <c r="C2069" s="6">
        <f t="shared" si="96"/>
        <v>-4.9764218355863787E-3</v>
      </c>
      <c r="D2069" s="7">
        <f t="shared" si="97"/>
        <v>-0.44317446615548106</v>
      </c>
      <c r="E2069" s="8">
        <f t="shared" si="98"/>
        <v>-0.86806417373183986</v>
      </c>
    </row>
    <row r="2070" spans="1:5" x14ac:dyDescent="0.2">
      <c r="A2070" s="1">
        <v>44634</v>
      </c>
      <c r="B2070">
        <v>77872.28</v>
      </c>
      <c r="C2070" s="6">
        <f t="shared" si="96"/>
        <v>-3.0343468976151543E-2</v>
      </c>
      <c r="D2070" s="7">
        <f t="shared" si="97"/>
        <v>-2.5744111296810721</v>
      </c>
      <c r="E2070" s="8">
        <f t="shared" si="98"/>
        <v>-4.2898069198835893</v>
      </c>
    </row>
    <row r="2071" spans="1:5" x14ac:dyDescent="0.2">
      <c r="A2071" s="1">
        <v>44635</v>
      </c>
      <c r="B2071">
        <v>76152.17</v>
      </c>
      <c r="C2071" s="6">
        <f t="shared" si="96"/>
        <v>-2.233647340490524E-2</v>
      </c>
      <c r="D2071" s="7">
        <f t="shared" si="97"/>
        <v>-1.9016957587682966</v>
      </c>
      <c r="E2071" s="8">
        <f t="shared" si="98"/>
        <v>-3.2171383459655298</v>
      </c>
    </row>
    <row r="2072" spans="1:5" x14ac:dyDescent="0.2">
      <c r="A2072" s="1">
        <v>44636</v>
      </c>
      <c r="B2072">
        <v>81686.259999999995</v>
      </c>
      <c r="C2072" s="6">
        <f t="shared" si="96"/>
        <v>7.015223614429221E-2</v>
      </c>
      <c r="D2072" s="7">
        <f t="shared" si="97"/>
        <v>5.8688314003903397</v>
      </c>
      <c r="E2072" s="8">
        <f t="shared" si="98"/>
        <v>-7.8875949665337659</v>
      </c>
    </row>
    <row r="2073" spans="1:5" x14ac:dyDescent="0.2">
      <c r="A2073" s="1">
        <v>44637</v>
      </c>
      <c r="B2073">
        <v>82096.86</v>
      </c>
      <c r="C2073" s="6">
        <f t="shared" si="96"/>
        <v>5.0139582174159592E-3</v>
      </c>
      <c r="D2073" s="7">
        <f t="shared" si="97"/>
        <v>0.39617684397256675</v>
      </c>
      <c r="E2073" s="8">
        <f t="shared" si="98"/>
        <v>-0.82265710083741439</v>
      </c>
    </row>
    <row r="2074" spans="1:5" x14ac:dyDescent="0.2">
      <c r="A2074" s="1">
        <v>44638</v>
      </c>
      <c r="B2074">
        <v>83556.350000000006</v>
      </c>
      <c r="C2074" s="6">
        <f t="shared" si="96"/>
        <v>1.7621484861572174E-2</v>
      </c>
      <c r="D2074" s="7">
        <f t="shared" si="97"/>
        <v>1.4554102214922351</v>
      </c>
      <c r="E2074" s="8">
        <f t="shared" si="98"/>
        <v>-2.4413851595552778</v>
      </c>
    </row>
    <row r="2075" spans="1:5" x14ac:dyDescent="0.2">
      <c r="A2075" s="1">
        <v>44641</v>
      </c>
      <c r="B2075">
        <v>83556.350000000006</v>
      </c>
      <c r="C2075" s="6">
        <f t="shared" si="96"/>
        <v>0</v>
      </c>
      <c r="D2075" s="7">
        <f t="shared" si="97"/>
        <v>-2.5075638554425236E-2</v>
      </c>
      <c r="E2075" s="8">
        <f t="shared" si="98"/>
        <v>-0.63412052798388097</v>
      </c>
    </row>
    <row r="2076" spans="1:5" x14ac:dyDescent="0.2">
      <c r="A2076" s="1">
        <v>44642</v>
      </c>
      <c r="B2076">
        <v>83655.09</v>
      </c>
      <c r="C2076" s="6">
        <f t="shared" si="96"/>
        <v>1.1810198091342474E-3</v>
      </c>
      <c r="D2076" s="7">
        <f t="shared" si="97"/>
        <v>7.4148867302697E-2</v>
      </c>
      <c r="E2076" s="8">
        <f t="shared" si="98"/>
        <v>-0.64021310428291767</v>
      </c>
    </row>
    <row r="2077" spans="1:5" x14ac:dyDescent="0.2">
      <c r="A2077" s="1">
        <v>44643</v>
      </c>
      <c r="B2077">
        <v>80961.039999999994</v>
      </c>
      <c r="C2077" s="6">
        <f t="shared" si="96"/>
        <v>-3.2734223049827184E-2</v>
      </c>
      <c r="D2077" s="7">
        <f t="shared" si="97"/>
        <v>-2.7752726137575028</v>
      </c>
      <c r="E2077" s="8">
        <f t="shared" si="98"/>
        <v>-4.5830358146794108</v>
      </c>
    </row>
    <row r="2078" spans="1:5" x14ac:dyDescent="0.2">
      <c r="A2078" s="1">
        <v>44644</v>
      </c>
      <c r="B2078">
        <v>79519.69</v>
      </c>
      <c r="C2078" s="6">
        <f t="shared" si="96"/>
        <v>-1.7963387356072606E-2</v>
      </c>
      <c r="D2078" s="7">
        <f t="shared" si="97"/>
        <v>-1.5342867628225145</v>
      </c>
      <c r="E2078" s="8">
        <f t="shared" si="98"/>
        <v>-2.5806335282971338</v>
      </c>
    </row>
    <row r="2079" spans="1:5" x14ac:dyDescent="0.2">
      <c r="A2079" s="1">
        <v>44645</v>
      </c>
      <c r="B2079">
        <v>80214.899999999994</v>
      </c>
      <c r="C2079" s="6">
        <f t="shared" si="96"/>
        <v>8.7046192022551296E-3</v>
      </c>
      <c r="D2079" s="7">
        <f t="shared" si="97"/>
        <v>0.70625124719131926</v>
      </c>
      <c r="E2079" s="8">
        <f t="shared" si="98"/>
        <v>-1.1911441107680301</v>
      </c>
    </row>
    <row r="2080" spans="1:5" x14ac:dyDescent="0.2">
      <c r="A2080" s="1">
        <v>44648</v>
      </c>
      <c r="B2080">
        <v>80555.41</v>
      </c>
      <c r="C2080" s="6">
        <f t="shared" si="96"/>
        <v>4.2359874676385035E-3</v>
      </c>
      <c r="D2080" s="7">
        <f t="shared" si="97"/>
        <v>0.33081488931191616</v>
      </c>
      <c r="E2080" s="8">
        <f t="shared" si="98"/>
        <v>-0.76684065097264287</v>
      </c>
    </row>
    <row r="2081" spans="1:5" x14ac:dyDescent="0.2">
      <c r="A2081" s="1">
        <v>44649</v>
      </c>
      <c r="B2081">
        <v>83054.02</v>
      </c>
      <c r="C2081" s="6">
        <f t="shared" si="96"/>
        <v>3.0545968843125833E-2</v>
      </c>
      <c r="D2081" s="7">
        <f t="shared" si="97"/>
        <v>2.5412730720637611</v>
      </c>
      <c r="E2081" s="8">
        <f t="shared" si="98"/>
        <v>-4.240229822158665</v>
      </c>
    </row>
    <row r="2082" spans="1:5" x14ac:dyDescent="0.2">
      <c r="A2082" s="1">
        <v>44650</v>
      </c>
      <c r="B2082">
        <v>82303.83</v>
      </c>
      <c r="C2082" s="6">
        <f t="shared" si="96"/>
        <v>-9.073595803650053E-3</v>
      </c>
      <c r="D2082" s="7">
        <f t="shared" si="97"/>
        <v>-0.78740244543874049</v>
      </c>
      <c r="E2082" s="8">
        <f t="shared" si="98"/>
        <v>-1.3097550019031108</v>
      </c>
    </row>
    <row r="2083" spans="1:5" x14ac:dyDescent="0.2">
      <c r="A2083" s="1">
        <v>44651</v>
      </c>
      <c r="B2083">
        <v>81810.97</v>
      </c>
      <c r="C2083" s="6">
        <f t="shared" si="96"/>
        <v>-6.0063014632011497E-3</v>
      </c>
      <c r="D2083" s="7">
        <f t="shared" si="97"/>
        <v>-0.52970078548733301</v>
      </c>
      <c r="E2083" s="8">
        <f t="shared" si="98"/>
        <v>-0.96228377514718233</v>
      </c>
    </row>
    <row r="2084" spans="1:5" x14ac:dyDescent="0.2">
      <c r="A2084" s="1">
        <v>44652</v>
      </c>
      <c r="B2084">
        <v>82170.559999999998</v>
      </c>
      <c r="C2084" s="6">
        <f t="shared" si="96"/>
        <v>4.3857448626728563E-3</v>
      </c>
      <c r="D2084" s="7">
        <f t="shared" si="97"/>
        <v>0.34339689971157777</v>
      </c>
      <c r="E2084" s="8">
        <f t="shared" si="98"/>
        <v>-0.77689708895745235</v>
      </c>
    </row>
    <row r="2085" spans="1:5" x14ac:dyDescent="0.2">
      <c r="A2085" s="1">
        <v>44655</v>
      </c>
      <c r="B2085">
        <v>82714.13</v>
      </c>
      <c r="C2085" s="6">
        <f t="shared" si="96"/>
        <v>6.593358900559859E-3</v>
      </c>
      <c r="D2085" s="7">
        <f t="shared" si="97"/>
        <v>0.52887169898116793</v>
      </c>
      <c r="E2085" s="8">
        <f t="shared" si="98"/>
        <v>-0.96131957219765396</v>
      </c>
    </row>
    <row r="2086" spans="1:5" x14ac:dyDescent="0.2">
      <c r="A2086" s="1">
        <v>44656</v>
      </c>
      <c r="B2086">
        <v>81968.539999999994</v>
      </c>
      <c r="C2086" s="6">
        <f t="shared" si="96"/>
        <v>-9.0549308478768704E-3</v>
      </c>
      <c r="D2086" s="7">
        <f t="shared" si="97"/>
        <v>-0.7858342913746722</v>
      </c>
      <c r="E2086" s="8">
        <f t="shared" si="98"/>
        <v>-1.3073962139614883</v>
      </c>
    </row>
    <row r="2087" spans="1:5" x14ac:dyDescent="0.2">
      <c r="A2087" s="1">
        <v>44657</v>
      </c>
      <c r="B2087">
        <v>80147.289999999994</v>
      </c>
      <c r="C2087" s="6">
        <f t="shared" si="96"/>
        <v>-2.2469448231209065E-2</v>
      </c>
      <c r="D2087" s="7">
        <f t="shared" si="97"/>
        <v>-1.9128677656469162</v>
      </c>
      <c r="E2087" s="8">
        <f t="shared" si="98"/>
        <v>-3.2360325888360757</v>
      </c>
    </row>
    <row r="2088" spans="1:5" x14ac:dyDescent="0.2">
      <c r="A2088" s="1">
        <v>44658</v>
      </c>
      <c r="B2088">
        <v>79960.2</v>
      </c>
      <c r="C2088" s="6">
        <f t="shared" si="96"/>
        <v>-2.3370560009963915E-3</v>
      </c>
      <c r="D2088" s="7">
        <f t="shared" si="97"/>
        <v>-0.22142562783130249</v>
      </c>
      <c r="E2088" s="8">
        <f t="shared" si="98"/>
        <v>-0.69402990506164153</v>
      </c>
    </row>
    <row r="2089" spans="1:5" x14ac:dyDescent="0.2">
      <c r="A2089" s="1">
        <v>44659</v>
      </c>
      <c r="B2089">
        <v>79904.67</v>
      </c>
      <c r="C2089" s="6">
        <f t="shared" si="96"/>
        <v>-6.9471175541367864E-4</v>
      </c>
      <c r="D2089" s="7">
        <f t="shared" si="97"/>
        <v>-8.3442509381585608E-2</v>
      </c>
      <c r="E2089" s="8">
        <f t="shared" si="98"/>
        <v>-0.6420427483802067</v>
      </c>
    </row>
    <row r="2090" spans="1:5" x14ac:dyDescent="0.2">
      <c r="A2090" s="1">
        <v>44662</v>
      </c>
      <c r="B2090">
        <v>79780.55</v>
      </c>
      <c r="C2090" s="6">
        <f t="shared" si="96"/>
        <v>-1.5545587123997691E-3</v>
      </c>
      <c r="D2090" s="7">
        <f t="shared" si="97"/>
        <v>-0.15568337169382554</v>
      </c>
      <c r="E2090" s="8">
        <f t="shared" si="98"/>
        <v>-0.66352245663206244</v>
      </c>
    </row>
    <row r="2091" spans="1:5" x14ac:dyDescent="0.2">
      <c r="A2091" s="1">
        <v>44663</v>
      </c>
      <c r="B2091">
        <v>78991.22</v>
      </c>
      <c r="C2091" s="6">
        <f t="shared" si="96"/>
        <v>-9.9430333617907662E-3</v>
      </c>
      <c r="D2091" s="7">
        <f t="shared" si="97"/>
        <v>-0.86044907125560599</v>
      </c>
      <c r="E2091" s="8">
        <f t="shared" si="98"/>
        <v>-1.4222149396640908</v>
      </c>
    </row>
    <row r="2092" spans="1:5" x14ac:dyDescent="0.2">
      <c r="A2092" s="1">
        <v>44664</v>
      </c>
      <c r="B2092">
        <v>78037.37</v>
      </c>
      <c r="C2092" s="6">
        <f t="shared" si="96"/>
        <v>-1.2148892529386919E-2</v>
      </c>
      <c r="D2092" s="7">
        <f t="shared" si="97"/>
        <v>-1.045776433423713</v>
      </c>
      <c r="E2092" s="8">
        <f t="shared" si="98"/>
        <v>-1.7257237941298771</v>
      </c>
    </row>
    <row r="2093" spans="1:5" x14ac:dyDescent="0.2">
      <c r="A2093" s="1">
        <v>44665</v>
      </c>
      <c r="B2093">
        <v>78661.45</v>
      </c>
      <c r="C2093" s="6">
        <f t="shared" si="96"/>
        <v>7.9653860786317188E-3</v>
      </c>
      <c r="D2093" s="7">
        <f t="shared" si="97"/>
        <v>0.64414387114440985</v>
      </c>
      <c r="E2093" s="8">
        <f t="shared" si="98"/>
        <v>-1.1056449371694834</v>
      </c>
    </row>
    <row r="2094" spans="1:5" x14ac:dyDescent="0.2">
      <c r="A2094" s="1">
        <v>44670</v>
      </c>
      <c r="B2094">
        <v>79144.05</v>
      </c>
      <c r="C2094" s="6">
        <f t="shared" si="96"/>
        <v>6.1164091812151364E-3</v>
      </c>
      <c r="D2094" s="7">
        <f t="shared" si="97"/>
        <v>0.48880031334084983</v>
      </c>
      <c r="E2094" s="8">
        <f t="shared" si="98"/>
        <v>-0.91610251994803127</v>
      </c>
    </row>
    <row r="2095" spans="1:5" x14ac:dyDescent="0.2">
      <c r="A2095" s="1">
        <v>44671</v>
      </c>
      <c r="B2095">
        <v>80125.919999999998</v>
      </c>
      <c r="C2095" s="6">
        <f t="shared" si="96"/>
        <v>1.2329787453645999E-2</v>
      </c>
      <c r="D2095" s="7">
        <f t="shared" si="97"/>
        <v>1.0108232159349011</v>
      </c>
      <c r="E2095" s="8">
        <f t="shared" si="98"/>
        <v>-1.6668848937958074</v>
      </c>
    </row>
    <row r="2096" spans="1:5" x14ac:dyDescent="0.2">
      <c r="A2096" s="1">
        <v>44672</v>
      </c>
      <c r="B2096">
        <v>80506.83</v>
      </c>
      <c r="C2096" s="6">
        <f t="shared" si="96"/>
        <v>4.7426283117067407E-3</v>
      </c>
      <c r="D2096" s="7">
        <f t="shared" si="97"/>
        <v>0.37338080311869448</v>
      </c>
      <c r="E2096" s="8">
        <f t="shared" si="98"/>
        <v>-0.80219547728055407</v>
      </c>
    </row>
    <row r="2097" spans="1:5" x14ac:dyDescent="0.2">
      <c r="A2097" s="1">
        <v>44673</v>
      </c>
      <c r="B2097">
        <v>80389.66</v>
      </c>
      <c r="C2097" s="6">
        <f t="shared" si="96"/>
        <v>-1.4564645967431863E-3</v>
      </c>
      <c r="D2097" s="7">
        <f t="shared" si="97"/>
        <v>-0.14744190099347301</v>
      </c>
      <c r="E2097" s="8">
        <f t="shared" si="98"/>
        <v>-0.66042755045223778</v>
      </c>
    </row>
    <row r="2098" spans="1:5" x14ac:dyDescent="0.2">
      <c r="A2098" s="1">
        <v>44676</v>
      </c>
      <c r="B2098">
        <v>78018.44</v>
      </c>
      <c r="C2098" s="6">
        <f t="shared" si="96"/>
        <v>-2.9940351943660837E-2</v>
      </c>
      <c r="D2098" s="7">
        <f t="shared" si="97"/>
        <v>-2.5405428676569142</v>
      </c>
      <c r="E2098" s="8">
        <f t="shared" si="98"/>
        <v>-4.2391335215298369</v>
      </c>
    </row>
    <row r="2099" spans="1:5" x14ac:dyDescent="0.2">
      <c r="A2099" s="1">
        <v>44677</v>
      </c>
      <c r="B2099">
        <v>78398.59</v>
      </c>
      <c r="C2099" s="6">
        <f t="shared" si="96"/>
        <v>4.8607334952570696E-3</v>
      </c>
      <c r="D2099" s="7">
        <f t="shared" si="97"/>
        <v>0.38330352277700125</v>
      </c>
      <c r="E2099" s="8">
        <f t="shared" si="98"/>
        <v>-0.81097361672316381</v>
      </c>
    </row>
    <row r="2100" spans="1:5" x14ac:dyDescent="0.2">
      <c r="A2100" s="1">
        <v>44679</v>
      </c>
      <c r="B2100">
        <v>79120.350000000006</v>
      </c>
      <c r="C2100" s="6">
        <f t="shared" si="96"/>
        <v>9.1641684641773028E-3</v>
      </c>
      <c r="D2100" s="7">
        <f t="shared" si="97"/>
        <v>0.74486071680272159</v>
      </c>
      <c r="E2100" s="8">
        <f t="shared" si="98"/>
        <v>-1.2466699434738595</v>
      </c>
    </row>
    <row r="2101" spans="1:5" x14ac:dyDescent="0.2">
      <c r="A2101" s="1">
        <v>44680</v>
      </c>
      <c r="B2101">
        <v>80198.5</v>
      </c>
      <c r="C2101" s="6">
        <f t="shared" si="96"/>
        <v>1.3534700490730387E-2</v>
      </c>
      <c r="D2101" s="7">
        <f t="shared" si="97"/>
        <v>1.1120551341303668</v>
      </c>
      <c r="E2101" s="8">
        <f t="shared" si="98"/>
        <v>-1.8388161471885507</v>
      </c>
    </row>
    <row r="2102" spans="1:5" x14ac:dyDescent="0.2">
      <c r="A2102" s="1">
        <v>44684</v>
      </c>
      <c r="B2102">
        <v>78480.27</v>
      </c>
      <c r="C2102" s="6">
        <f t="shared" si="96"/>
        <v>-2.1657555837503575E-2</v>
      </c>
      <c r="D2102" s="7">
        <f t="shared" si="97"/>
        <v>-1.8446558517132812</v>
      </c>
      <c r="E2102" s="8">
        <f t="shared" si="98"/>
        <v>-3.1201779426365075</v>
      </c>
    </row>
    <row r="2103" spans="1:5" x14ac:dyDescent="0.2">
      <c r="A2103" s="1">
        <v>44685</v>
      </c>
      <c r="B2103">
        <v>77185.05</v>
      </c>
      <c r="C2103" s="6">
        <f t="shared" si="96"/>
        <v>-1.6641470190306738E-2</v>
      </c>
      <c r="D2103" s="7">
        <f t="shared" si="97"/>
        <v>-1.423224631143861</v>
      </c>
      <c r="E2103" s="8">
        <f t="shared" si="98"/>
        <v>-2.3844767276226801</v>
      </c>
    </row>
    <row r="2104" spans="1:5" x14ac:dyDescent="0.2">
      <c r="A2104" s="1">
        <v>44686</v>
      </c>
      <c r="B2104">
        <v>76472.3</v>
      </c>
      <c r="C2104" s="6">
        <f t="shared" si="96"/>
        <v>-9.2772016695904323E-3</v>
      </c>
      <c r="D2104" s="7">
        <f t="shared" si="97"/>
        <v>-0.80450858648844503</v>
      </c>
      <c r="E2104" s="8">
        <f t="shared" si="98"/>
        <v>-1.335644122717013</v>
      </c>
    </row>
    <row r="2105" spans="1:5" x14ac:dyDescent="0.2">
      <c r="A2105" s="1">
        <v>44687</v>
      </c>
      <c r="B2105">
        <v>74631.75</v>
      </c>
      <c r="C2105" s="6">
        <f t="shared" si="96"/>
        <v>-2.4362563874751334E-2</v>
      </c>
      <c r="D2105" s="7">
        <f t="shared" si="97"/>
        <v>-2.071919682310845</v>
      </c>
      <c r="E2105" s="8">
        <f t="shared" si="98"/>
        <v>-3.5013503393540013</v>
      </c>
    </row>
    <row r="2106" spans="1:5" x14ac:dyDescent="0.2">
      <c r="A2106" s="1">
        <v>44690</v>
      </c>
      <c r="B2106">
        <v>73540.960000000006</v>
      </c>
      <c r="C2106" s="6">
        <f t="shared" si="96"/>
        <v>-1.4723489975385091E-2</v>
      </c>
      <c r="D2106" s="7">
        <f t="shared" si="97"/>
        <v>-1.2620836937968021</v>
      </c>
      <c r="E2106" s="8">
        <f t="shared" si="98"/>
        <v>-2.1000289293926802</v>
      </c>
    </row>
    <row r="2107" spans="1:5" x14ac:dyDescent="0.2">
      <c r="A2107" s="1">
        <v>44691</v>
      </c>
      <c r="B2107">
        <v>74388.5</v>
      </c>
      <c r="C2107" s="6">
        <f t="shared" si="96"/>
        <v>1.145883009128768E-2</v>
      </c>
      <c r="D2107" s="7">
        <f t="shared" si="97"/>
        <v>0.9376489023169291</v>
      </c>
      <c r="E2107" s="8">
        <f t="shared" si="98"/>
        <v>-1.5459107372386598</v>
      </c>
    </row>
    <row r="2108" spans="1:5" x14ac:dyDescent="0.2">
      <c r="A2108" s="1">
        <v>44692</v>
      </c>
      <c r="B2108">
        <v>76546.13</v>
      </c>
      <c r="C2108" s="6">
        <f t="shared" si="96"/>
        <v>2.8592205633635386E-2</v>
      </c>
      <c r="D2108" s="7">
        <f t="shared" si="97"/>
        <v>2.3771257922940627</v>
      </c>
      <c r="E2108" s="8">
        <f t="shared" si="98"/>
        <v>-3.9895884093897411</v>
      </c>
    </row>
    <row r="2109" spans="1:5" x14ac:dyDescent="0.2">
      <c r="A2109" s="1">
        <v>44693</v>
      </c>
      <c r="B2109">
        <v>75834.14</v>
      </c>
      <c r="C2109" s="6">
        <f t="shared" si="96"/>
        <v>-9.3449786040950208E-3</v>
      </c>
      <c r="D2109" s="7">
        <f t="shared" si="97"/>
        <v>-0.81020293029429391</v>
      </c>
      <c r="E2109" s="8">
        <f t="shared" si="98"/>
        <v>-1.3443253082683209</v>
      </c>
    </row>
    <row r="2110" spans="1:5" x14ac:dyDescent="0.2">
      <c r="A2110" s="1">
        <v>44694</v>
      </c>
      <c r="B2110">
        <v>77045.88</v>
      </c>
      <c r="C2110" s="6">
        <f t="shared" si="96"/>
        <v>1.5852501535925302E-2</v>
      </c>
      <c r="D2110" s="7">
        <f t="shared" si="97"/>
        <v>1.3067873999279886</v>
      </c>
      <c r="E2110" s="8">
        <f t="shared" si="98"/>
        <v>-2.1787345825623063</v>
      </c>
    </row>
    <row r="2111" spans="1:5" x14ac:dyDescent="0.2">
      <c r="A2111" s="1">
        <v>44697</v>
      </c>
      <c r="B2111">
        <v>77093.16</v>
      </c>
      <c r="C2111" s="6">
        <f t="shared" si="96"/>
        <v>6.1347211560167471E-4</v>
      </c>
      <c r="D2111" s="7">
        <f t="shared" si="97"/>
        <v>2.6465806438205054E-2</v>
      </c>
      <c r="E2111" s="8">
        <f t="shared" si="98"/>
        <v>-0.63421028814443747</v>
      </c>
    </row>
    <row r="2112" spans="1:5" x14ac:dyDescent="0.2">
      <c r="A2112" s="1">
        <v>44698</v>
      </c>
      <c r="B2112">
        <v>77795.520000000004</v>
      </c>
      <c r="C2112" s="6">
        <f t="shared" si="96"/>
        <v>9.0692852983085253E-3</v>
      </c>
      <c r="D2112" s="7">
        <f t="shared" si="97"/>
        <v>0.73688901711176524</v>
      </c>
      <c r="E2112" s="8">
        <f t="shared" si="98"/>
        <v>-1.2350657948325825</v>
      </c>
    </row>
    <row r="2113" spans="1:5" x14ac:dyDescent="0.2">
      <c r="A2113" s="1">
        <v>44699</v>
      </c>
      <c r="B2113">
        <v>76803.87</v>
      </c>
      <c r="C2113" s="6">
        <f t="shared" si="96"/>
        <v>-1.2828816469730435E-2</v>
      </c>
      <c r="D2113" s="7">
        <f t="shared" si="97"/>
        <v>-1.1029008918614325</v>
      </c>
      <c r="E2113" s="8">
        <f t="shared" si="98"/>
        <v>-1.8230910167932683</v>
      </c>
    </row>
    <row r="2114" spans="1:5" x14ac:dyDescent="0.2">
      <c r="A2114" s="1">
        <v>44700</v>
      </c>
      <c r="B2114">
        <v>75802.179999999993</v>
      </c>
      <c r="C2114" s="6">
        <f t="shared" si="96"/>
        <v>-1.3127977379834394E-2</v>
      </c>
      <c r="D2114" s="7">
        <f t="shared" si="97"/>
        <v>-1.1280351810979461</v>
      </c>
      <c r="E2114" s="8">
        <f t="shared" si="98"/>
        <v>-1.8663385347837271</v>
      </c>
    </row>
    <row r="2115" spans="1:5" x14ac:dyDescent="0.2">
      <c r="A2115" s="1">
        <v>44701</v>
      </c>
      <c r="B2115">
        <v>72948.12</v>
      </c>
      <c r="C2115" s="6">
        <f t="shared" ref="C2115:C2178" si="99">LN(B2115/B2114)</f>
        <v>-3.8378548568591984E-2</v>
      </c>
      <c r="D2115" s="7">
        <f t="shared" ref="D2115:D2178" si="100">(C2115-$G$4)/$G$5</f>
        <v>-3.249486006424247</v>
      </c>
      <c r="E2115" s="8">
        <f t="shared" ref="E2115:E2178" si="101">LN((PI()*(G$3-2))^(-1/2)*EXP(GAMMALN((G$3+1)/2))*((1+D2115^2/(G$3-2))^(-(G$3+1)/2))/EXP(GAMMALN(G$3/2)))</f>
        <v>-5.2277051746644991</v>
      </c>
    </row>
    <row r="2116" spans="1:5" x14ac:dyDescent="0.2">
      <c r="A2116" s="1">
        <v>44704</v>
      </c>
      <c r="B2116">
        <v>73017.95</v>
      </c>
      <c r="C2116" s="6">
        <f t="shared" si="99"/>
        <v>9.567977726224568E-4</v>
      </c>
      <c r="D2116" s="7">
        <f t="shared" si="100"/>
        <v>5.5310639016357507E-2</v>
      </c>
      <c r="E2116" s="8">
        <f t="shared" si="101"/>
        <v>-0.6371634772349426</v>
      </c>
    </row>
    <row r="2117" spans="1:5" x14ac:dyDescent="0.2">
      <c r="A2117" s="1">
        <v>44705</v>
      </c>
      <c r="B2117">
        <v>71771.009999999995</v>
      </c>
      <c r="C2117" s="6">
        <f t="shared" si="99"/>
        <v>-1.7224667257957755E-2</v>
      </c>
      <c r="D2117" s="7">
        <f t="shared" si="100"/>
        <v>-1.4722224891030895</v>
      </c>
      <c r="E2117" s="8">
        <f t="shared" si="101"/>
        <v>-2.4710978410724525</v>
      </c>
    </row>
    <row r="2118" spans="1:5" x14ac:dyDescent="0.2">
      <c r="A2118" s="1">
        <v>44706</v>
      </c>
      <c r="B2118">
        <v>72681.350000000006</v>
      </c>
      <c r="C2118" s="6">
        <f t="shared" si="99"/>
        <v>1.2604183853638113E-2</v>
      </c>
      <c r="D2118" s="7">
        <f t="shared" si="100"/>
        <v>1.0338768912311262</v>
      </c>
      <c r="E2118" s="8">
        <f t="shared" si="101"/>
        <v>-1.7056242035358429</v>
      </c>
    </row>
    <row r="2119" spans="1:5" x14ac:dyDescent="0.2">
      <c r="A2119" s="1">
        <v>44707</v>
      </c>
      <c r="B2119">
        <v>75124.66</v>
      </c>
      <c r="C2119" s="6">
        <f t="shared" si="99"/>
        <v>3.3064049125842883E-2</v>
      </c>
      <c r="D2119" s="7">
        <f t="shared" si="100"/>
        <v>2.7528319890512072</v>
      </c>
      <c r="E2119" s="8">
        <f t="shared" si="101"/>
        <v>-4.5508899961595715</v>
      </c>
    </row>
    <row r="2120" spans="1:5" x14ac:dyDescent="0.2">
      <c r="A2120" s="1">
        <v>44708</v>
      </c>
      <c r="B2120">
        <v>76114.759999999995</v>
      </c>
      <c r="C2120" s="6">
        <f t="shared" si="99"/>
        <v>1.3093334327902358E-2</v>
      </c>
      <c r="D2120" s="7">
        <f t="shared" si="100"/>
        <v>1.074973334934493</v>
      </c>
      <c r="E2120" s="8">
        <f t="shared" si="101"/>
        <v>-1.7753170512492968</v>
      </c>
    </row>
    <row r="2121" spans="1:5" x14ac:dyDescent="0.2">
      <c r="A2121" s="1">
        <v>44711</v>
      </c>
      <c r="B2121">
        <v>77647</v>
      </c>
      <c r="C2121" s="6">
        <f t="shared" si="99"/>
        <v>1.9930712565472783E-2</v>
      </c>
      <c r="D2121" s="7">
        <f t="shared" si="100"/>
        <v>1.6494221898427754</v>
      </c>
      <c r="E2121" s="8">
        <f t="shared" si="101"/>
        <v>-2.7827468868556</v>
      </c>
    </row>
    <row r="2122" spans="1:5" x14ac:dyDescent="0.2">
      <c r="A2122" s="1">
        <v>44712</v>
      </c>
      <c r="B2122">
        <v>78302.28</v>
      </c>
      <c r="C2122" s="6">
        <f t="shared" si="99"/>
        <v>8.4038073986045288E-3</v>
      </c>
      <c r="D2122" s="7">
        <f t="shared" si="100"/>
        <v>0.68097825655867217</v>
      </c>
      <c r="E2122" s="8">
        <f t="shared" si="101"/>
        <v>-1.1557590236929283</v>
      </c>
    </row>
    <row r="2123" spans="1:5" x14ac:dyDescent="0.2">
      <c r="A2123" s="1">
        <v>44713</v>
      </c>
      <c r="B2123">
        <v>77329.240000000005</v>
      </c>
      <c r="C2123" s="6">
        <f t="shared" si="99"/>
        <v>-1.2504570783939592E-2</v>
      </c>
      <c r="D2123" s="7">
        <f t="shared" si="100"/>
        <v>-1.0756590812668374</v>
      </c>
      <c r="E2123" s="8">
        <f t="shared" si="101"/>
        <v>-1.7764863263020276</v>
      </c>
    </row>
    <row r="2124" spans="1:5" x14ac:dyDescent="0.2">
      <c r="A2124" s="1">
        <v>44714</v>
      </c>
      <c r="B2124">
        <v>77119.520000000004</v>
      </c>
      <c r="C2124" s="6">
        <f t="shared" si="99"/>
        <v>-2.7157243462903164E-3</v>
      </c>
      <c r="D2124" s="7">
        <f t="shared" si="100"/>
        <v>-0.25323981007864943</v>
      </c>
      <c r="E2124" s="8">
        <f t="shared" si="101"/>
        <v>-0.71243123396739205</v>
      </c>
    </row>
    <row r="2125" spans="1:5" x14ac:dyDescent="0.2">
      <c r="A2125" s="1">
        <v>44715</v>
      </c>
      <c r="B2125">
        <v>77542.460000000006</v>
      </c>
      <c r="C2125" s="6">
        <f t="shared" si="99"/>
        <v>5.4692310840083417E-3</v>
      </c>
      <c r="D2125" s="7">
        <f t="shared" si="100"/>
        <v>0.43442702815101836</v>
      </c>
      <c r="E2125" s="8">
        <f t="shared" si="101"/>
        <v>-0.85929213738706633</v>
      </c>
    </row>
    <row r="2126" spans="1:5" x14ac:dyDescent="0.2">
      <c r="A2126" s="1">
        <v>44718</v>
      </c>
      <c r="B2126">
        <v>78117.69</v>
      </c>
      <c r="C2126" s="6">
        <f t="shared" si="99"/>
        <v>7.3908783782683221E-3</v>
      </c>
      <c r="D2126" s="7">
        <f t="shared" si="100"/>
        <v>0.59587605866677018</v>
      </c>
      <c r="E2126" s="8">
        <f t="shared" si="101"/>
        <v>-1.0427867723683717</v>
      </c>
    </row>
    <row r="2127" spans="1:5" x14ac:dyDescent="0.2">
      <c r="A2127" s="1">
        <v>44719</v>
      </c>
      <c r="B2127">
        <v>76754.899999999994</v>
      </c>
      <c r="C2127" s="6">
        <f t="shared" si="99"/>
        <v>-1.7599307601211249E-2</v>
      </c>
      <c r="D2127" s="7">
        <f t="shared" si="100"/>
        <v>-1.5036982549166373</v>
      </c>
      <c r="E2127" s="8">
        <f t="shared" si="101"/>
        <v>-2.5266842728227505</v>
      </c>
    </row>
    <row r="2128" spans="1:5" x14ac:dyDescent="0.2">
      <c r="A2128" s="1">
        <v>44720</v>
      </c>
      <c r="B2128">
        <v>77119.73</v>
      </c>
      <c r="C2128" s="6">
        <f t="shared" si="99"/>
        <v>4.7419211812210768E-3</v>
      </c>
      <c r="D2128" s="7">
        <f t="shared" si="100"/>
        <v>0.37332139287639893</v>
      </c>
      <c r="E2128" s="8">
        <f t="shared" si="101"/>
        <v>-0.80214352145483914</v>
      </c>
    </row>
    <row r="2129" spans="1:5" x14ac:dyDescent="0.2">
      <c r="A2129" s="1">
        <v>44721</v>
      </c>
      <c r="B2129">
        <v>76230.97</v>
      </c>
      <c r="C2129" s="6">
        <f t="shared" si="99"/>
        <v>-1.1591338690504037E-2</v>
      </c>
      <c r="D2129" s="7">
        <f t="shared" si="100"/>
        <v>-0.99893301579090432</v>
      </c>
      <c r="E2129" s="8">
        <f t="shared" si="101"/>
        <v>-1.6470140088575205</v>
      </c>
    </row>
    <row r="2130" spans="1:5" x14ac:dyDescent="0.2">
      <c r="A2130" s="1">
        <v>44722</v>
      </c>
      <c r="B2130">
        <v>75271.990000000005</v>
      </c>
      <c r="C2130" s="6">
        <f t="shared" si="99"/>
        <v>-1.2659723715382447E-2</v>
      </c>
      <c r="D2130" s="7">
        <f t="shared" si="100"/>
        <v>-1.0886944028047434</v>
      </c>
      <c r="E2130" s="8">
        <f t="shared" si="101"/>
        <v>-1.7987499950191805</v>
      </c>
    </row>
    <row r="2131" spans="1:5" x14ac:dyDescent="0.2">
      <c r="A2131" s="1">
        <v>44725</v>
      </c>
      <c r="B2131">
        <v>73962.210000000006</v>
      </c>
      <c r="C2131" s="6">
        <f t="shared" si="99"/>
        <v>-1.7553799763669355E-2</v>
      </c>
      <c r="D2131" s="7">
        <f t="shared" si="100"/>
        <v>-1.4998748705349387</v>
      </c>
      <c r="E2131" s="8">
        <f t="shared" si="101"/>
        <v>-2.5199356208732668</v>
      </c>
    </row>
    <row r="2132" spans="1:5" x14ac:dyDescent="0.2">
      <c r="A2132" s="1">
        <v>44726</v>
      </c>
      <c r="B2132">
        <v>73210.850000000006</v>
      </c>
      <c r="C2132" s="6">
        <f t="shared" si="99"/>
        <v>-1.021065306237766E-2</v>
      </c>
      <c r="D2132" s="7">
        <f t="shared" si="100"/>
        <v>-0.88293339568690532</v>
      </c>
      <c r="E2132" s="8">
        <f t="shared" si="101"/>
        <v>-1.4577704691930629</v>
      </c>
    </row>
    <row r="2133" spans="1:5" x14ac:dyDescent="0.2">
      <c r="A2133" s="1">
        <v>44727</v>
      </c>
      <c r="B2133">
        <v>75181.710000000006</v>
      </c>
      <c r="C2133" s="6">
        <f t="shared" si="99"/>
        <v>2.6564349261489123E-2</v>
      </c>
      <c r="D2133" s="7">
        <f t="shared" si="100"/>
        <v>2.2067535047852447</v>
      </c>
      <c r="E2133" s="8">
        <f t="shared" si="101"/>
        <v>-3.7205499755855778</v>
      </c>
    </row>
    <row r="2134" spans="1:5" x14ac:dyDescent="0.2">
      <c r="A2134" s="1">
        <v>44729</v>
      </c>
      <c r="B2134">
        <v>73335.97</v>
      </c>
      <c r="C2134" s="6">
        <f t="shared" si="99"/>
        <v>-2.4856771705015369E-2</v>
      </c>
      <c r="D2134" s="7">
        <f t="shared" si="100"/>
        <v>-2.1134410246028228</v>
      </c>
      <c r="E2134" s="8">
        <f t="shared" si="101"/>
        <v>-3.5694289197213749</v>
      </c>
    </row>
    <row r="2135" spans="1:5" x14ac:dyDescent="0.2">
      <c r="A2135" s="1">
        <v>44732</v>
      </c>
      <c r="B2135">
        <v>74401.17</v>
      </c>
      <c r="C2135" s="6">
        <f t="shared" si="99"/>
        <v>1.4420455938491313E-2</v>
      </c>
      <c r="D2135" s="7">
        <f t="shared" si="100"/>
        <v>1.1864727230095569</v>
      </c>
      <c r="E2135" s="8">
        <f t="shared" si="101"/>
        <v>-1.9676723545722969</v>
      </c>
    </row>
    <row r="2136" spans="1:5" x14ac:dyDescent="0.2">
      <c r="A2136" s="1">
        <v>44733</v>
      </c>
      <c r="B2136">
        <v>74905.73</v>
      </c>
      <c r="C2136" s="6">
        <f t="shared" si="99"/>
        <v>6.7587220778664624E-3</v>
      </c>
      <c r="D2136" s="7">
        <f t="shared" si="100"/>
        <v>0.54276484406502512</v>
      </c>
      <c r="E2136" s="8">
        <f t="shared" si="101"/>
        <v>-0.97762606162146926</v>
      </c>
    </row>
    <row r="2137" spans="1:5" x14ac:dyDescent="0.2">
      <c r="A2137" s="1">
        <v>44734</v>
      </c>
      <c r="B2137">
        <v>74523.44</v>
      </c>
      <c r="C2137" s="6">
        <f t="shared" si="99"/>
        <v>-5.1166828276312378E-3</v>
      </c>
      <c r="D2137" s="7">
        <f t="shared" si="100"/>
        <v>-0.45495862719921754</v>
      </c>
      <c r="E2137" s="8">
        <f t="shared" si="101"/>
        <v>-0.88010760732574134</v>
      </c>
    </row>
    <row r="2138" spans="1:5" x14ac:dyDescent="0.2">
      <c r="A2138" s="1">
        <v>44735</v>
      </c>
      <c r="B2138">
        <v>74588.490000000005</v>
      </c>
      <c r="C2138" s="6">
        <f t="shared" si="99"/>
        <v>8.7249898953945166E-4</v>
      </c>
      <c r="D2138" s="7">
        <f t="shared" si="100"/>
        <v>4.8228196341751094E-2</v>
      </c>
      <c r="E2138" s="8">
        <f t="shared" si="101"/>
        <v>-0.63624576975056546</v>
      </c>
    </row>
    <row r="2139" spans="1:5" x14ac:dyDescent="0.2">
      <c r="A2139" s="1">
        <v>44736</v>
      </c>
      <c r="B2139">
        <v>76589.820000000007</v>
      </c>
      <c r="C2139" s="6">
        <f t="shared" si="99"/>
        <v>2.6477963980854266E-2</v>
      </c>
      <c r="D2139" s="7">
        <f t="shared" si="100"/>
        <v>2.1994957630284779</v>
      </c>
      <c r="E2139" s="8">
        <f t="shared" si="101"/>
        <v>-3.7088903482824405</v>
      </c>
    </row>
    <row r="2140" spans="1:5" x14ac:dyDescent="0.2">
      <c r="A2140" s="1">
        <v>44739</v>
      </c>
      <c r="B2140">
        <v>80202.62</v>
      </c>
      <c r="C2140" s="6">
        <f t="shared" si="99"/>
        <v>4.6092012925570219E-2</v>
      </c>
      <c r="D2140" s="7">
        <f t="shared" si="100"/>
        <v>3.8473887952575625</v>
      </c>
      <c r="E2140" s="8">
        <f t="shared" si="101"/>
        <v>-5.9545854985958213</v>
      </c>
    </row>
    <row r="2141" spans="1:5" x14ac:dyDescent="0.2">
      <c r="A2141" s="1">
        <v>44740</v>
      </c>
      <c r="B2141">
        <v>80452.289999999994</v>
      </c>
      <c r="C2141" s="6">
        <f t="shared" si="99"/>
        <v>3.1081552502492502E-3</v>
      </c>
      <c r="D2141" s="7">
        <f t="shared" si="100"/>
        <v>0.23605898971170003</v>
      </c>
      <c r="E2141" s="8">
        <f t="shared" si="101"/>
        <v>-0.70220423208562399</v>
      </c>
    </row>
    <row r="2142" spans="1:5" x14ac:dyDescent="0.2">
      <c r="A2142" s="1">
        <v>44741</v>
      </c>
      <c r="B2142">
        <v>80547.91</v>
      </c>
      <c r="C2142" s="6">
        <f t="shared" si="99"/>
        <v>1.1878247510594248E-3</v>
      </c>
      <c r="D2142" s="7">
        <f t="shared" si="100"/>
        <v>7.4720590989878086E-2</v>
      </c>
      <c r="E2142" s="8">
        <f t="shared" si="101"/>
        <v>-0.64031946713246723</v>
      </c>
    </row>
    <row r="2143" spans="1:5" x14ac:dyDescent="0.2">
      <c r="A2143" s="1">
        <v>44742</v>
      </c>
      <c r="B2143">
        <v>79404.52</v>
      </c>
      <c r="C2143" s="6">
        <f t="shared" si="99"/>
        <v>-1.4296869084402346E-2</v>
      </c>
      <c r="D2143" s="7">
        <f t="shared" si="100"/>
        <v>-1.2262407326807483</v>
      </c>
      <c r="E2143" s="8">
        <f t="shared" si="101"/>
        <v>-2.037142542206158</v>
      </c>
    </row>
    <row r="2144" spans="1:5" x14ac:dyDescent="0.2">
      <c r="A2144" s="1">
        <v>44743</v>
      </c>
      <c r="B2144">
        <v>80264.429999999993</v>
      </c>
      <c r="C2144" s="6">
        <f t="shared" si="99"/>
        <v>1.0771265344848581E-2</v>
      </c>
      <c r="D2144" s="7">
        <f t="shared" si="100"/>
        <v>0.8798824942664083</v>
      </c>
      <c r="E2144" s="8">
        <f t="shared" si="101"/>
        <v>-1.4529220327242132</v>
      </c>
    </row>
    <row r="2145" spans="1:5" x14ac:dyDescent="0.2">
      <c r="A2145" s="1">
        <v>44746</v>
      </c>
      <c r="B2145">
        <v>81243.55</v>
      </c>
      <c r="C2145" s="6">
        <f t="shared" si="99"/>
        <v>1.2124874513534624E-2</v>
      </c>
      <c r="D2145" s="7">
        <f t="shared" si="100"/>
        <v>0.99360725980188236</v>
      </c>
      <c r="E2145" s="8">
        <f t="shared" si="101"/>
        <v>-1.6381388734281881</v>
      </c>
    </row>
    <row r="2146" spans="1:5" x14ac:dyDescent="0.2">
      <c r="A2146" s="1">
        <v>44747</v>
      </c>
      <c r="B2146">
        <v>80332.95</v>
      </c>
      <c r="C2146" s="6">
        <f t="shared" si="99"/>
        <v>-1.1271560416409006E-2</v>
      </c>
      <c r="D2146" s="7">
        <f t="shared" si="100"/>
        <v>-0.97206653905146456</v>
      </c>
      <c r="E2146" s="8">
        <f t="shared" si="101"/>
        <v>-1.6024086534846746</v>
      </c>
    </row>
    <row r="2147" spans="1:5" x14ac:dyDescent="0.2">
      <c r="A2147" s="1">
        <v>44748</v>
      </c>
      <c r="B2147">
        <v>81440.7</v>
      </c>
      <c r="C2147" s="6">
        <f t="shared" si="99"/>
        <v>1.3695275023217704E-2</v>
      </c>
      <c r="D2147" s="7">
        <f t="shared" si="100"/>
        <v>1.1255459566517707</v>
      </c>
      <c r="E2147" s="8">
        <f t="shared" si="101"/>
        <v>-1.8620455350153748</v>
      </c>
    </row>
    <row r="2148" spans="1:5" x14ac:dyDescent="0.2">
      <c r="A2148" s="1">
        <v>44749</v>
      </c>
      <c r="B2148">
        <v>83689.710000000006</v>
      </c>
      <c r="C2148" s="6">
        <f t="shared" si="99"/>
        <v>2.7240882819557128E-2</v>
      </c>
      <c r="D2148" s="7">
        <f t="shared" si="100"/>
        <v>2.2635931170219501</v>
      </c>
      <c r="E2148" s="8">
        <f t="shared" si="101"/>
        <v>-3.8113053360913036</v>
      </c>
    </row>
    <row r="2149" spans="1:5" x14ac:dyDescent="0.2">
      <c r="A2149" s="1">
        <v>44750</v>
      </c>
      <c r="B2149">
        <v>83493</v>
      </c>
      <c r="C2149" s="6">
        <f t="shared" si="99"/>
        <v>-2.3532348623488443E-3</v>
      </c>
      <c r="D2149" s="7">
        <f t="shared" si="100"/>
        <v>-0.22278491030109004</v>
      </c>
      <c r="E2149" s="8">
        <f t="shared" si="101"/>
        <v>-0.69476828030631022</v>
      </c>
    </row>
    <row r="2150" spans="1:5" x14ac:dyDescent="0.2">
      <c r="A2150" s="1">
        <v>44753</v>
      </c>
      <c r="B2150">
        <v>82724.37</v>
      </c>
      <c r="C2150" s="6">
        <f t="shared" si="99"/>
        <v>-9.2485578225118444E-3</v>
      </c>
      <c r="D2150" s="7">
        <f t="shared" si="100"/>
        <v>-0.80210204635233739</v>
      </c>
      <c r="E2150" s="8">
        <f t="shared" si="101"/>
        <v>-1.3319846540600413</v>
      </c>
    </row>
    <row r="2151" spans="1:5" x14ac:dyDescent="0.2">
      <c r="A2151" s="1">
        <v>44754</v>
      </c>
      <c r="B2151">
        <v>83036.11</v>
      </c>
      <c r="C2151" s="6">
        <f t="shared" si="99"/>
        <v>3.7613352414531311E-3</v>
      </c>
      <c r="D2151" s="7">
        <f t="shared" si="100"/>
        <v>0.29093652975099443</v>
      </c>
      <c r="E2151" s="8">
        <f t="shared" si="101"/>
        <v>-0.73721265049966866</v>
      </c>
    </row>
    <row r="2152" spans="1:5" x14ac:dyDescent="0.2">
      <c r="A2152" s="1">
        <v>44755</v>
      </c>
      <c r="B2152">
        <v>81447.64</v>
      </c>
      <c r="C2152" s="6">
        <f t="shared" si="99"/>
        <v>-1.9315213629204402E-2</v>
      </c>
      <c r="D2152" s="7">
        <f t="shared" si="100"/>
        <v>-1.6478617366872672</v>
      </c>
      <c r="E2152" s="8">
        <f t="shared" si="101"/>
        <v>-2.7800202278210877</v>
      </c>
    </row>
    <row r="2153" spans="1:5" x14ac:dyDescent="0.2">
      <c r="A2153" s="1">
        <v>44756</v>
      </c>
      <c r="B2153">
        <v>80920.59</v>
      </c>
      <c r="C2153" s="6">
        <f t="shared" si="99"/>
        <v>-6.4920563723716903E-3</v>
      </c>
      <c r="D2153" s="7">
        <f t="shared" si="100"/>
        <v>-0.57051194755027124</v>
      </c>
      <c r="E2153" s="8">
        <f t="shared" si="101"/>
        <v>-1.0111224226866127</v>
      </c>
    </row>
    <row r="2154" spans="1:5" x14ac:dyDescent="0.2">
      <c r="A2154" s="1">
        <v>44757</v>
      </c>
      <c r="B2154">
        <v>80898.02</v>
      </c>
      <c r="C2154" s="6">
        <f t="shared" si="99"/>
        <v>-2.7895431985671304E-4</v>
      </c>
      <c r="D2154" s="7">
        <f t="shared" si="100"/>
        <v>-4.8512251835943584E-2</v>
      </c>
      <c r="E2154" s="8">
        <f t="shared" si="101"/>
        <v>-0.63628016560272194</v>
      </c>
    </row>
    <row r="2155" spans="1:5" x14ac:dyDescent="0.2">
      <c r="A2155" s="1">
        <v>44760</v>
      </c>
      <c r="B2155">
        <v>83324.600000000006</v>
      </c>
      <c r="C2155" s="6">
        <f t="shared" si="99"/>
        <v>2.9554474597370674E-2</v>
      </c>
      <c r="D2155" s="7">
        <f t="shared" si="100"/>
        <v>2.4579717372052423</v>
      </c>
      <c r="E2155" s="8">
        <f t="shared" si="101"/>
        <v>-4.1140889318897846</v>
      </c>
    </row>
    <row r="2156" spans="1:5" x14ac:dyDescent="0.2">
      <c r="A2156" s="1">
        <v>44761</v>
      </c>
      <c r="B2156">
        <v>85368.89</v>
      </c>
      <c r="C2156" s="6">
        <f t="shared" si="99"/>
        <v>2.423792500984601E-2</v>
      </c>
      <c r="D2156" s="7">
        <f t="shared" si="100"/>
        <v>2.0112967520720701</v>
      </c>
      <c r="E2156" s="8">
        <f t="shared" si="101"/>
        <v>-3.4010553898960221</v>
      </c>
    </row>
    <row r="2157" spans="1:5" x14ac:dyDescent="0.2">
      <c r="A2157" s="1">
        <v>44762</v>
      </c>
      <c r="B2157">
        <v>85015.45</v>
      </c>
      <c r="C2157" s="6">
        <f t="shared" si="99"/>
        <v>-4.1487440330830842E-3</v>
      </c>
      <c r="D2157" s="7">
        <f t="shared" si="100"/>
        <v>-0.37363632604375757</v>
      </c>
      <c r="E2157" s="8">
        <f t="shared" si="101"/>
        <v>-0.80241902073609139</v>
      </c>
    </row>
    <row r="2158" spans="1:5" x14ac:dyDescent="0.2">
      <c r="A2158" s="1">
        <v>44763</v>
      </c>
      <c r="B2158">
        <v>85586.76</v>
      </c>
      <c r="C2158" s="6">
        <f t="shared" si="99"/>
        <v>6.6975936084178933E-3</v>
      </c>
      <c r="D2158" s="7">
        <f t="shared" si="100"/>
        <v>0.53762907739292942</v>
      </c>
      <c r="E2158" s="8">
        <f t="shared" si="101"/>
        <v>-0.97156136073260002</v>
      </c>
    </row>
    <row r="2159" spans="1:5" x14ac:dyDescent="0.2">
      <c r="A2159" s="1">
        <v>44764</v>
      </c>
      <c r="B2159">
        <v>84942.41</v>
      </c>
      <c r="C2159" s="6">
        <f t="shared" si="99"/>
        <v>-7.5571008356391262E-3</v>
      </c>
      <c r="D2159" s="7">
        <f t="shared" si="100"/>
        <v>-0.65999267409375184</v>
      </c>
      <c r="E2159" s="8">
        <f t="shared" si="101"/>
        <v>-1.1269890990096287</v>
      </c>
    </row>
    <row r="2160" spans="1:5" x14ac:dyDescent="0.2">
      <c r="A2160" s="1">
        <v>44767</v>
      </c>
      <c r="B2160">
        <v>84273.48</v>
      </c>
      <c r="C2160" s="6">
        <f t="shared" si="99"/>
        <v>-7.9062726853456645E-3</v>
      </c>
      <c r="D2160" s="7">
        <f t="shared" si="100"/>
        <v>-0.68932868012716997</v>
      </c>
      <c r="E2160" s="8">
        <f t="shared" si="101"/>
        <v>-1.1673631907960094</v>
      </c>
    </row>
    <row r="2161" spans="1:5" x14ac:dyDescent="0.2">
      <c r="A2161" s="1">
        <v>44768</v>
      </c>
      <c r="B2161">
        <v>84827.34</v>
      </c>
      <c r="C2161" s="6">
        <f t="shared" si="99"/>
        <v>6.5506717302688255E-3</v>
      </c>
      <c r="D2161" s="7">
        <f t="shared" si="100"/>
        <v>0.52528529564922755</v>
      </c>
      <c r="E2161" s="8">
        <f t="shared" si="101"/>
        <v>-0.95716182559081753</v>
      </c>
    </row>
    <row r="2162" spans="1:5" x14ac:dyDescent="0.2">
      <c r="A2162" s="1">
        <v>44769</v>
      </c>
      <c r="B2162">
        <v>84701.34</v>
      </c>
      <c r="C2162" s="6">
        <f t="shared" si="99"/>
        <v>-1.4864744207394485E-3</v>
      </c>
      <c r="D2162" s="7">
        <f t="shared" si="100"/>
        <v>-0.14996320498334526</v>
      </c>
      <c r="E2162" s="8">
        <f t="shared" si="101"/>
        <v>-0.66135690770430811</v>
      </c>
    </row>
    <row r="2163" spans="1:5" x14ac:dyDescent="0.2">
      <c r="A2163" s="1">
        <v>44770</v>
      </c>
      <c r="B2163">
        <v>84469.24</v>
      </c>
      <c r="C2163" s="6">
        <f t="shared" si="99"/>
        <v>-2.7439776541686466E-3</v>
      </c>
      <c r="D2163" s="7">
        <f t="shared" si="100"/>
        <v>-0.25561353869130626</v>
      </c>
      <c r="E2163" s="8">
        <f t="shared" si="101"/>
        <v>-0.71389724399515231</v>
      </c>
    </row>
    <row r="2164" spans="1:5" x14ac:dyDescent="0.2">
      <c r="A2164" s="1">
        <v>44771</v>
      </c>
      <c r="B2164">
        <v>84014.41</v>
      </c>
      <c r="C2164" s="6">
        <f t="shared" si="99"/>
        <v>-5.399112672038766E-3</v>
      </c>
      <c r="D2164" s="7">
        <f t="shared" si="100"/>
        <v>-0.4786872399912282</v>
      </c>
      <c r="E2164" s="8">
        <f t="shared" si="101"/>
        <v>-0.90513059337184831</v>
      </c>
    </row>
    <row r="2165" spans="1:5" x14ac:dyDescent="0.2">
      <c r="A2165" s="1">
        <v>44774</v>
      </c>
      <c r="B2165">
        <v>84268.43</v>
      </c>
      <c r="C2165" s="6">
        <f t="shared" si="99"/>
        <v>3.0189672688149738E-3</v>
      </c>
      <c r="D2165" s="7">
        <f t="shared" si="100"/>
        <v>0.2285657763737311</v>
      </c>
      <c r="E2165" s="8">
        <f t="shared" si="101"/>
        <v>-0.69795646823321911</v>
      </c>
    </row>
    <row r="2166" spans="1:5" x14ac:dyDescent="0.2">
      <c r="A2166" s="1">
        <v>44775</v>
      </c>
      <c r="B2166">
        <v>83619.899999999994</v>
      </c>
      <c r="C2166" s="6">
        <f t="shared" si="99"/>
        <v>-7.7257689770137573E-3</v>
      </c>
      <c r="D2166" s="7">
        <f t="shared" si="100"/>
        <v>-0.67416348888643973</v>
      </c>
      <c r="E2166" s="8">
        <f t="shared" si="101"/>
        <v>-1.1463541837875013</v>
      </c>
    </row>
    <row r="2167" spans="1:5" x14ac:dyDescent="0.2">
      <c r="A2167" s="1">
        <v>44776</v>
      </c>
      <c r="B2167">
        <v>84697.55</v>
      </c>
      <c r="C2167" s="6">
        <f t="shared" si="99"/>
        <v>1.2805145578268097E-2</v>
      </c>
      <c r="D2167" s="7">
        <f t="shared" si="100"/>
        <v>1.0507608822263514</v>
      </c>
      <c r="E2167" s="8">
        <f t="shared" si="101"/>
        <v>-1.7341630412522748</v>
      </c>
    </row>
    <row r="2168" spans="1:5" x14ac:dyDescent="0.2">
      <c r="A2168" s="1">
        <v>44777</v>
      </c>
      <c r="B2168">
        <v>84686.64</v>
      </c>
      <c r="C2168" s="6">
        <f t="shared" si="99"/>
        <v>-1.2881957891214881E-4</v>
      </c>
      <c r="D2168" s="7">
        <f t="shared" si="100"/>
        <v>-3.5898538359679544E-2</v>
      </c>
      <c r="E2168" s="8">
        <f t="shared" si="101"/>
        <v>-0.63494710867368764</v>
      </c>
    </row>
    <row r="2169" spans="1:5" x14ac:dyDescent="0.2">
      <c r="A2169" s="1">
        <v>44778</v>
      </c>
      <c r="B2169">
        <v>84927.84</v>
      </c>
      <c r="C2169" s="6">
        <f t="shared" si="99"/>
        <v>2.8440987183030574E-3</v>
      </c>
      <c r="D2169" s="7">
        <f t="shared" si="100"/>
        <v>0.21387402829270988</v>
      </c>
      <c r="E2169" s="8">
        <f t="shared" si="101"/>
        <v>-0.69000625592770626</v>
      </c>
    </row>
    <row r="2170" spans="1:5" x14ac:dyDescent="0.2">
      <c r="A2170" s="1">
        <v>44781</v>
      </c>
      <c r="B2170">
        <v>85828.99</v>
      </c>
      <c r="C2170" s="6">
        <f t="shared" si="99"/>
        <v>1.0554873454401167E-2</v>
      </c>
      <c r="D2170" s="7">
        <f t="shared" si="100"/>
        <v>0.86170212317096251</v>
      </c>
      <c r="E2170" s="8">
        <f t="shared" si="101"/>
        <v>-1.4241855496611979</v>
      </c>
    </row>
    <row r="2171" spans="1:5" x14ac:dyDescent="0.2">
      <c r="A2171" s="1">
        <v>44783</v>
      </c>
      <c r="B2171">
        <v>84635.47</v>
      </c>
      <c r="C2171" s="6">
        <f t="shared" si="99"/>
        <v>-1.4003382329862613E-2</v>
      </c>
      <c r="D2171" s="7">
        <f t="shared" si="100"/>
        <v>-1.201583163036626</v>
      </c>
      <c r="E2171" s="8">
        <f t="shared" si="101"/>
        <v>-1.9940261878291019</v>
      </c>
    </row>
    <row r="2172" spans="1:5" x14ac:dyDescent="0.2">
      <c r="A2172" s="1">
        <v>44784</v>
      </c>
      <c r="B2172">
        <v>87062.89</v>
      </c>
      <c r="C2172" s="6">
        <f t="shared" si="99"/>
        <v>2.8277285186801674E-2</v>
      </c>
      <c r="D2172" s="7">
        <f t="shared" si="100"/>
        <v>2.350667450545938</v>
      </c>
      <c r="E2172" s="8">
        <f t="shared" si="101"/>
        <v>-3.9483990838053731</v>
      </c>
    </row>
    <row r="2173" spans="1:5" x14ac:dyDescent="0.2">
      <c r="A2173" s="1">
        <v>44785</v>
      </c>
      <c r="B2173">
        <v>86577.01</v>
      </c>
      <c r="C2173" s="6">
        <f t="shared" si="99"/>
        <v>-5.5964241875821339E-3</v>
      </c>
      <c r="D2173" s="7">
        <f t="shared" si="100"/>
        <v>-0.49526455518805157</v>
      </c>
      <c r="E2173" s="8">
        <f t="shared" si="101"/>
        <v>-0.9232101182152056</v>
      </c>
    </row>
    <row r="2174" spans="1:5" x14ac:dyDescent="0.2">
      <c r="A2174" s="1">
        <v>44788</v>
      </c>
      <c r="B2174">
        <v>86967.02</v>
      </c>
      <c r="C2174" s="6">
        <f t="shared" si="99"/>
        <v>4.4946594426837549E-3</v>
      </c>
      <c r="D2174" s="7">
        <f t="shared" si="100"/>
        <v>0.3525474620464632</v>
      </c>
      <c r="E2174" s="8">
        <f t="shared" si="101"/>
        <v>-0.78442008336633595</v>
      </c>
    </row>
    <row r="2175" spans="1:5" x14ac:dyDescent="0.2">
      <c r="A2175" s="1">
        <v>44789</v>
      </c>
      <c r="B2175">
        <v>87072.33</v>
      </c>
      <c r="C2175" s="6">
        <f t="shared" si="99"/>
        <v>1.2101862349249949E-3</v>
      </c>
      <c r="D2175" s="7">
        <f t="shared" si="100"/>
        <v>7.6599312387802571E-2</v>
      </c>
      <c r="E2175" s="8">
        <f t="shared" si="101"/>
        <v>-0.64067470270250881</v>
      </c>
    </row>
    <row r="2176" spans="1:5" x14ac:dyDescent="0.2">
      <c r="A2176" s="1">
        <v>44790</v>
      </c>
      <c r="B2176">
        <v>87430.21</v>
      </c>
      <c r="C2176" s="6">
        <f t="shared" si="99"/>
        <v>4.1017225508744679E-3</v>
      </c>
      <c r="D2176" s="7">
        <f t="shared" si="100"/>
        <v>0.31953449425264518</v>
      </c>
      <c r="E2176" s="8">
        <f t="shared" si="101"/>
        <v>-0.75811086891234081</v>
      </c>
    </row>
    <row r="2177" spans="1:5" x14ac:dyDescent="0.2">
      <c r="A2177" s="1">
        <v>44791</v>
      </c>
      <c r="B2177">
        <v>86863.97</v>
      </c>
      <c r="C2177" s="6">
        <f t="shared" si="99"/>
        <v>-6.4975433158876951E-3</v>
      </c>
      <c r="D2177" s="7">
        <f t="shared" si="100"/>
        <v>-0.57097293834384699</v>
      </c>
      <c r="E2177" s="8">
        <f t="shared" si="101"/>
        <v>-1.0116891561383541</v>
      </c>
    </row>
    <row r="2178" spans="1:5" x14ac:dyDescent="0.2">
      <c r="A2178" s="1">
        <v>44792</v>
      </c>
      <c r="B2178">
        <v>86102.8</v>
      </c>
      <c r="C2178" s="6">
        <f t="shared" si="99"/>
        <v>-8.8014005654505657E-3</v>
      </c>
      <c r="D2178" s="7">
        <f t="shared" si="100"/>
        <v>-0.76453370285024447</v>
      </c>
      <c r="E2178" s="8">
        <f t="shared" si="101"/>
        <v>-1.2756054665616734</v>
      </c>
    </row>
    <row r="2179" spans="1:5" x14ac:dyDescent="0.2">
      <c r="A2179" s="1">
        <v>44795</v>
      </c>
      <c r="B2179">
        <v>85003.62</v>
      </c>
      <c r="C2179" s="6">
        <f t="shared" ref="C2179:C2242" si="102">LN(B2179/B2178)</f>
        <v>-1.2848087411356669E-2</v>
      </c>
      <c r="D2179" s="7">
        <f t="shared" ref="D2179:D2242" si="103">(C2179-$G$4)/$G$5</f>
        <v>-1.1045199584050041</v>
      </c>
      <c r="E2179" s="8">
        <f t="shared" ref="E2179:E2242" si="104">LN((PI()*(G$3-2))^(-1/2)*EXP(GAMMALN((G$3+1)/2))*((1+D2179^2/(G$3-2))^(-(G$3+1)/2))/EXP(GAMMALN(G$3/2)))</f>
        <v>-1.8258699855000957</v>
      </c>
    </row>
    <row r="2180" spans="1:5" x14ac:dyDescent="0.2">
      <c r="A2180" s="1">
        <v>44796</v>
      </c>
      <c r="B2180">
        <v>85055.14</v>
      </c>
      <c r="C2180" s="6">
        <f t="shared" si="102"/>
        <v>6.0590823520295374E-4</v>
      </c>
      <c r="D2180" s="7">
        <f t="shared" si="103"/>
        <v>2.5830319811206277E-2</v>
      </c>
      <c r="E2180" s="8">
        <f t="shared" si="104"/>
        <v>-0.63416865573667547</v>
      </c>
    </row>
    <row r="2181" spans="1:5" x14ac:dyDescent="0.2">
      <c r="A2181" s="1">
        <v>44797</v>
      </c>
      <c r="B2181">
        <v>85622.86</v>
      </c>
      <c r="C2181" s="6">
        <f t="shared" si="102"/>
        <v>6.6525515153765405E-3</v>
      </c>
      <c r="D2181" s="7">
        <f t="shared" si="103"/>
        <v>0.53384482297972446</v>
      </c>
      <c r="E2181" s="8">
        <f t="shared" si="104"/>
        <v>-0.96712018454843651</v>
      </c>
    </row>
    <row r="2182" spans="1:5" x14ac:dyDescent="0.2">
      <c r="A2182" s="1">
        <v>44798</v>
      </c>
      <c r="B2182">
        <v>86623.44</v>
      </c>
      <c r="C2182" s="6">
        <f t="shared" si="102"/>
        <v>1.1618145120564104E-2</v>
      </c>
      <c r="D2182" s="7">
        <f t="shared" si="103"/>
        <v>0.95103390647461061</v>
      </c>
      <c r="E2182" s="8">
        <f t="shared" si="104"/>
        <v>-1.5677923798928786</v>
      </c>
    </row>
    <row r="2183" spans="1:5" x14ac:dyDescent="0.2">
      <c r="A2183" s="1">
        <v>44799</v>
      </c>
      <c r="B2183">
        <v>85474.81</v>
      </c>
      <c r="C2183" s="6">
        <f t="shared" si="102"/>
        <v>-1.3348736039191369E-2</v>
      </c>
      <c r="D2183" s="7">
        <f t="shared" si="103"/>
        <v>-1.1465824304488559</v>
      </c>
      <c r="E2183" s="8">
        <f t="shared" si="104"/>
        <v>-1.8983898944024766</v>
      </c>
    </row>
    <row r="2184" spans="1:5" x14ac:dyDescent="0.2">
      <c r="A2184" s="1">
        <v>44802</v>
      </c>
      <c r="B2184">
        <v>84620.99</v>
      </c>
      <c r="C2184" s="6">
        <f t="shared" si="102"/>
        <v>-1.0039368065372029E-2</v>
      </c>
      <c r="D2184" s="7">
        <f t="shared" si="103"/>
        <v>-0.86854272327212068</v>
      </c>
      <c r="E2184" s="8">
        <f t="shared" si="104"/>
        <v>-1.4349663833183544</v>
      </c>
    </row>
    <row r="2185" spans="1:5" x14ac:dyDescent="0.2">
      <c r="A2185" s="1">
        <v>44803</v>
      </c>
      <c r="B2185">
        <v>83585.67</v>
      </c>
      <c r="C2185" s="6">
        <f t="shared" si="102"/>
        <v>-1.2310250670562479E-2</v>
      </c>
      <c r="D2185" s="7">
        <f t="shared" si="103"/>
        <v>-1.0593330915765558</v>
      </c>
      <c r="E2185" s="8">
        <f t="shared" si="104"/>
        <v>-1.7487035225836542</v>
      </c>
    </row>
    <row r="2186" spans="1:5" x14ac:dyDescent="0.2">
      <c r="A2186" s="1">
        <v>44804</v>
      </c>
      <c r="B2186">
        <v>83458.039999999994</v>
      </c>
      <c r="C2186" s="6">
        <f t="shared" si="102"/>
        <v>-1.5281033309872444E-3</v>
      </c>
      <c r="D2186" s="7">
        <f t="shared" si="103"/>
        <v>-0.1534606975882627</v>
      </c>
      <c r="E2186" s="8">
        <f t="shared" si="104"/>
        <v>-0.66267158877907173</v>
      </c>
    </row>
    <row r="2187" spans="1:5" x14ac:dyDescent="0.2">
      <c r="A2187" s="1">
        <v>44805</v>
      </c>
      <c r="B2187">
        <v>81947.259999999995</v>
      </c>
      <c r="C2187" s="6">
        <f t="shared" si="102"/>
        <v>-1.8268120974266396E-2</v>
      </c>
      <c r="D2187" s="7">
        <f t="shared" si="103"/>
        <v>-1.5598892484450859</v>
      </c>
      <c r="E2187" s="8">
        <f t="shared" si="104"/>
        <v>-2.6257208652126383</v>
      </c>
    </row>
    <row r="2188" spans="1:5" x14ac:dyDescent="0.2">
      <c r="A2188" s="1">
        <v>44806</v>
      </c>
      <c r="B2188">
        <v>83359.929999999993</v>
      </c>
      <c r="C2188" s="6">
        <f t="shared" si="102"/>
        <v>1.7091868663896823E-2</v>
      </c>
      <c r="D2188" s="7">
        <f t="shared" si="103"/>
        <v>1.4109140114356167</v>
      </c>
      <c r="E2188" s="8">
        <f t="shared" si="104"/>
        <v>-2.3627054910363121</v>
      </c>
    </row>
    <row r="2189" spans="1:5" x14ac:dyDescent="0.2">
      <c r="A2189" s="1">
        <v>44809</v>
      </c>
      <c r="B2189">
        <v>82598.09</v>
      </c>
      <c r="C2189" s="6">
        <f t="shared" si="102"/>
        <v>-9.1811815005205053E-3</v>
      </c>
      <c r="D2189" s="7">
        <f t="shared" si="103"/>
        <v>-0.79644136038893953</v>
      </c>
      <c r="E2189" s="8">
        <f t="shared" si="104"/>
        <v>-1.3233990078491058</v>
      </c>
    </row>
    <row r="2190" spans="1:5" x14ac:dyDescent="0.2">
      <c r="A2190" s="1">
        <v>44810</v>
      </c>
      <c r="B2190">
        <v>82750.28</v>
      </c>
      <c r="C2190" s="6">
        <f t="shared" si="102"/>
        <v>1.8408411643506231E-3</v>
      </c>
      <c r="D2190" s="7">
        <f t="shared" si="103"/>
        <v>0.12958438787479903</v>
      </c>
      <c r="E2190" s="8">
        <f t="shared" si="104"/>
        <v>-0.65428758426002542</v>
      </c>
    </row>
    <row r="2191" spans="1:5" x14ac:dyDescent="0.2">
      <c r="A2191" s="1">
        <v>44811</v>
      </c>
      <c r="B2191">
        <v>82502.7</v>
      </c>
      <c r="C2191" s="6">
        <f t="shared" si="102"/>
        <v>-2.9963778594111943E-3</v>
      </c>
      <c r="D2191" s="7">
        <f t="shared" si="103"/>
        <v>-0.27681918270314282</v>
      </c>
      <c r="E2191" s="8">
        <f t="shared" si="104"/>
        <v>-0.72755919439649008</v>
      </c>
    </row>
    <row r="2192" spans="1:5" x14ac:dyDescent="0.2">
      <c r="A2192" s="1">
        <v>44812</v>
      </c>
      <c r="B2192">
        <v>83303.97</v>
      </c>
      <c r="C2192" s="6">
        <f t="shared" si="102"/>
        <v>9.6651870229284408E-3</v>
      </c>
      <c r="D2192" s="7">
        <f t="shared" si="103"/>
        <v>0.78695426894540055</v>
      </c>
      <c r="E2192" s="8">
        <f t="shared" si="104"/>
        <v>-1.3090806108946271</v>
      </c>
    </row>
    <row r="2193" spans="1:5" x14ac:dyDescent="0.2">
      <c r="A2193" s="1">
        <v>44813</v>
      </c>
      <c r="B2193">
        <v>84682.12</v>
      </c>
      <c r="C2193" s="6">
        <f t="shared" si="102"/>
        <v>1.6408274280009721E-2</v>
      </c>
      <c r="D2193" s="7">
        <f t="shared" si="103"/>
        <v>1.353481177182291</v>
      </c>
      <c r="E2193" s="8">
        <f t="shared" si="104"/>
        <v>-2.2611642055485834</v>
      </c>
    </row>
    <row r="2194" spans="1:5" x14ac:dyDescent="0.2">
      <c r="A2194" s="1">
        <v>44816</v>
      </c>
      <c r="B2194">
        <v>85722.55</v>
      </c>
      <c r="C2194" s="6">
        <f t="shared" si="102"/>
        <v>1.2211436798936666E-2</v>
      </c>
      <c r="D2194" s="7">
        <f t="shared" si="103"/>
        <v>1.0008798727830119</v>
      </c>
      <c r="E2194" s="8">
        <f t="shared" si="104"/>
        <v>-1.6502623036301851</v>
      </c>
    </row>
    <row r="2195" spans="1:5" x14ac:dyDescent="0.2">
      <c r="A2195" s="1">
        <v>44817</v>
      </c>
      <c r="B2195">
        <v>84291.01</v>
      </c>
      <c r="C2195" s="6">
        <f t="shared" si="102"/>
        <v>-1.684070180053911E-2</v>
      </c>
      <c r="D2195" s="7">
        <f t="shared" si="103"/>
        <v>-1.4399632649275886</v>
      </c>
      <c r="E2195" s="8">
        <f t="shared" si="104"/>
        <v>-2.4140760182829211</v>
      </c>
    </row>
    <row r="2196" spans="1:5" x14ac:dyDescent="0.2">
      <c r="A2196" s="1">
        <v>44818</v>
      </c>
      <c r="B2196">
        <v>84066.68</v>
      </c>
      <c r="C2196" s="6">
        <f t="shared" si="102"/>
        <v>-2.6649229121934789E-3</v>
      </c>
      <c r="D2196" s="7">
        <f t="shared" si="103"/>
        <v>-0.24897167913274515</v>
      </c>
      <c r="E2196" s="8">
        <f t="shared" si="104"/>
        <v>-0.70982752949559691</v>
      </c>
    </row>
    <row r="2197" spans="1:5" x14ac:dyDescent="0.2">
      <c r="A2197" s="1">
        <v>44819</v>
      </c>
      <c r="B2197">
        <v>83474.69</v>
      </c>
      <c r="C2197" s="6">
        <f t="shared" si="102"/>
        <v>-7.0668213308891599E-3</v>
      </c>
      <c r="D2197" s="7">
        <f t="shared" si="103"/>
        <v>-0.61880137381712785</v>
      </c>
      <c r="E2197" s="8">
        <f t="shared" si="104"/>
        <v>-1.0722288199794623</v>
      </c>
    </row>
    <row r="2198" spans="1:5" x14ac:dyDescent="0.2">
      <c r="A2198" s="1">
        <v>44820</v>
      </c>
      <c r="B2198">
        <v>81582.42</v>
      </c>
      <c r="C2198" s="6">
        <f t="shared" si="102"/>
        <v>-2.2929674553283288E-2</v>
      </c>
      <c r="D2198" s="7">
        <f t="shared" si="103"/>
        <v>-1.9515341191128508</v>
      </c>
      <c r="E2198" s="8">
        <f t="shared" si="104"/>
        <v>-3.3011723718354089</v>
      </c>
    </row>
    <row r="2199" spans="1:5" x14ac:dyDescent="0.2">
      <c r="A2199" s="1">
        <v>44823</v>
      </c>
      <c r="B2199">
        <v>81915.92</v>
      </c>
      <c r="C2199" s="6">
        <f t="shared" si="102"/>
        <v>4.0795577805963551E-3</v>
      </c>
      <c r="D2199" s="7">
        <f t="shared" si="103"/>
        <v>0.31767229993441898</v>
      </c>
      <c r="E2199" s="8">
        <f t="shared" si="104"/>
        <v>-0.75669598567005081</v>
      </c>
    </row>
    <row r="2200" spans="1:5" x14ac:dyDescent="0.2">
      <c r="A2200" s="1">
        <v>44824</v>
      </c>
      <c r="B2200">
        <v>82301.240000000005</v>
      </c>
      <c r="C2200" s="6">
        <f t="shared" si="102"/>
        <v>4.6928190347933513E-3</v>
      </c>
      <c r="D2200" s="7">
        <f t="shared" si="103"/>
        <v>0.36919602920499134</v>
      </c>
      <c r="E2200" s="8">
        <f t="shared" si="104"/>
        <v>-0.79855338274101118</v>
      </c>
    </row>
    <row r="2201" spans="1:5" x14ac:dyDescent="0.2">
      <c r="A2201" s="1">
        <v>44825</v>
      </c>
      <c r="B2201">
        <v>81408.740000000005</v>
      </c>
      <c r="C2201" s="6">
        <f t="shared" si="102"/>
        <v>-1.0903536146184637E-2</v>
      </c>
      <c r="D2201" s="7">
        <f t="shared" si="103"/>
        <v>-0.94114662892463108</v>
      </c>
      <c r="E2201" s="8">
        <f t="shared" si="104"/>
        <v>-1.5516173232140389</v>
      </c>
    </row>
    <row r="2202" spans="1:5" x14ac:dyDescent="0.2">
      <c r="A2202" s="1">
        <v>44826</v>
      </c>
      <c r="B2202">
        <v>79383.23</v>
      </c>
      <c r="C2202" s="6">
        <f t="shared" si="102"/>
        <v>-2.5195501374708083E-2</v>
      </c>
      <c r="D2202" s="7">
        <f t="shared" si="103"/>
        <v>-2.1418997209214257</v>
      </c>
      <c r="E2202" s="8">
        <f t="shared" si="104"/>
        <v>-3.6157955471329037</v>
      </c>
    </row>
    <row r="2203" spans="1:5" x14ac:dyDescent="0.2">
      <c r="A2203" s="1">
        <v>44827</v>
      </c>
      <c r="B2203">
        <v>78435.960000000006</v>
      </c>
      <c r="C2203" s="6">
        <f t="shared" si="102"/>
        <v>-1.2004641210074931E-2</v>
      </c>
      <c r="D2203" s="7">
        <f t="shared" si="103"/>
        <v>-1.033657021228195</v>
      </c>
      <c r="E2203" s="8">
        <f t="shared" si="104"/>
        <v>-1.7052534657731355</v>
      </c>
    </row>
    <row r="2204" spans="1:5" x14ac:dyDescent="0.2">
      <c r="A2204" s="1">
        <v>44830</v>
      </c>
      <c r="B2204">
        <v>79528.800000000003</v>
      </c>
      <c r="C2204" s="6">
        <f t="shared" si="102"/>
        <v>1.38367245421864E-2</v>
      </c>
      <c r="D2204" s="7">
        <f t="shared" si="103"/>
        <v>1.1374299729187671</v>
      </c>
      <c r="E2204" s="8">
        <f t="shared" si="104"/>
        <v>-1.8825597212005454</v>
      </c>
    </row>
    <row r="2205" spans="1:5" x14ac:dyDescent="0.2">
      <c r="A2205" s="1">
        <v>44831</v>
      </c>
      <c r="B2205">
        <v>79272.08</v>
      </c>
      <c r="C2205" s="6">
        <f t="shared" si="102"/>
        <v>-3.2332342697556304E-3</v>
      </c>
      <c r="D2205" s="7">
        <f t="shared" si="103"/>
        <v>-0.29671889995915285</v>
      </c>
      <c r="E2205" s="8">
        <f t="shared" si="104"/>
        <v>-0.74129398415453285</v>
      </c>
    </row>
    <row r="2206" spans="1:5" x14ac:dyDescent="0.2">
      <c r="A2206" s="1">
        <v>44832</v>
      </c>
      <c r="B2206">
        <v>78522.83</v>
      </c>
      <c r="C2206" s="6">
        <f t="shared" si="102"/>
        <v>-9.4965754080914878E-3</v>
      </c>
      <c r="D2206" s="7">
        <f t="shared" si="103"/>
        <v>-0.82293948039254772</v>
      </c>
      <c r="E2206" s="8">
        <f t="shared" si="104"/>
        <v>-1.363853455639795</v>
      </c>
    </row>
    <row r="2207" spans="1:5" x14ac:dyDescent="0.2">
      <c r="A2207" s="1">
        <v>44833</v>
      </c>
      <c r="B2207">
        <v>76768.460000000006</v>
      </c>
      <c r="C2207" s="6">
        <f t="shared" si="102"/>
        <v>-2.2595531812202953E-2</v>
      </c>
      <c r="D2207" s="7">
        <f t="shared" si="103"/>
        <v>-1.9234607979771579</v>
      </c>
      <c r="E2207" s="8">
        <f t="shared" si="104"/>
        <v>-3.2539176191260584</v>
      </c>
    </row>
    <row r="2208" spans="1:5" x14ac:dyDescent="0.2">
      <c r="A2208" s="1">
        <v>44834</v>
      </c>
      <c r="B2208">
        <v>77399.55</v>
      </c>
      <c r="C2208" s="6">
        <f t="shared" si="102"/>
        <v>8.1870879059269246E-3</v>
      </c>
      <c r="D2208" s="7">
        <f t="shared" si="103"/>
        <v>0.66277036164935221</v>
      </c>
      <c r="E2208" s="8">
        <f t="shared" si="104"/>
        <v>-1.1307643062503785</v>
      </c>
    </row>
    <row r="2209" spans="1:5" x14ac:dyDescent="0.2">
      <c r="A2209" s="1">
        <v>44837</v>
      </c>
      <c r="B2209">
        <v>77524.19</v>
      </c>
      <c r="C2209" s="6">
        <f t="shared" si="102"/>
        <v>1.6090500641350899E-3</v>
      </c>
      <c r="D2209" s="7">
        <f t="shared" si="103"/>
        <v>0.11011023748114494</v>
      </c>
      <c r="E2209" s="8">
        <f t="shared" si="104"/>
        <v>-0.64848020325094691</v>
      </c>
    </row>
    <row r="2210" spans="1:5" x14ac:dyDescent="0.2">
      <c r="A2210" s="1">
        <v>44838</v>
      </c>
      <c r="B2210">
        <v>80072.58</v>
      </c>
      <c r="C2210" s="6">
        <f t="shared" si="102"/>
        <v>3.2343456681924031E-2</v>
      </c>
      <c r="D2210" s="7">
        <f t="shared" si="103"/>
        <v>2.692290727491303</v>
      </c>
      <c r="E2210" s="8">
        <f t="shared" si="104"/>
        <v>-4.4633992465971897</v>
      </c>
    </row>
    <row r="2211" spans="1:5" x14ac:dyDescent="0.2">
      <c r="A2211" s="1">
        <v>44839</v>
      </c>
      <c r="B2211">
        <v>79239.09</v>
      </c>
      <c r="C2211" s="6">
        <f t="shared" si="102"/>
        <v>-1.0463735705883591E-2</v>
      </c>
      <c r="D2211" s="7">
        <f t="shared" si="103"/>
        <v>-0.90419637540042819</v>
      </c>
      <c r="E2211" s="8">
        <f t="shared" si="104"/>
        <v>-1.4917614964054595</v>
      </c>
    </row>
    <row r="2212" spans="1:5" x14ac:dyDescent="0.2">
      <c r="A2212" s="1">
        <v>44840</v>
      </c>
      <c r="B2212">
        <v>80027.399999999994</v>
      </c>
      <c r="C2212" s="6">
        <f t="shared" si="102"/>
        <v>9.8993383686782118E-3</v>
      </c>
      <c r="D2212" s="7">
        <f t="shared" si="103"/>
        <v>0.80662671761908766</v>
      </c>
      <c r="E2212" s="8">
        <f t="shared" si="104"/>
        <v>-1.3388696455864879</v>
      </c>
    </row>
    <row r="2213" spans="1:5" x14ac:dyDescent="0.2">
      <c r="A2213" s="1">
        <v>44841</v>
      </c>
      <c r="B2213">
        <v>79504.94</v>
      </c>
      <c r="C2213" s="6">
        <f t="shared" si="102"/>
        <v>-6.54991793958764E-3</v>
      </c>
      <c r="D2213" s="7">
        <f t="shared" si="103"/>
        <v>-0.5753732423149458</v>
      </c>
      <c r="E2213" s="8">
        <f t="shared" si="104"/>
        <v>-1.0171153262109029</v>
      </c>
    </row>
    <row r="2214" spans="1:5" x14ac:dyDescent="0.2">
      <c r="A2214" s="1">
        <v>44844</v>
      </c>
      <c r="B2214">
        <v>78085.31</v>
      </c>
      <c r="C2214" s="6">
        <f t="shared" si="102"/>
        <v>-1.8017211129972639E-2</v>
      </c>
      <c r="D2214" s="7">
        <f t="shared" si="103"/>
        <v>-1.5388088185300399</v>
      </c>
      <c r="E2214" s="8">
        <f t="shared" si="104"/>
        <v>-2.5886019929643491</v>
      </c>
    </row>
    <row r="2215" spans="1:5" x14ac:dyDescent="0.2">
      <c r="A2215" s="1">
        <v>44845</v>
      </c>
      <c r="B2215">
        <v>77884.62</v>
      </c>
      <c r="C2215" s="6">
        <f t="shared" si="102"/>
        <v>-2.5734461861703934E-3</v>
      </c>
      <c r="D2215" s="7">
        <f t="shared" si="103"/>
        <v>-0.24128617473487923</v>
      </c>
      <c r="E2215" s="8">
        <f t="shared" si="104"/>
        <v>-0.70524411095681305</v>
      </c>
    </row>
    <row r="2216" spans="1:5" x14ac:dyDescent="0.2">
      <c r="A2216" s="1">
        <v>44846</v>
      </c>
      <c r="B2216">
        <v>78389.8</v>
      </c>
      <c r="C2216" s="6">
        <f t="shared" si="102"/>
        <v>6.4653160731263926E-3</v>
      </c>
      <c r="D2216" s="7">
        <f t="shared" si="103"/>
        <v>0.51811405869235005</v>
      </c>
      <c r="E2216" s="8">
        <f t="shared" si="104"/>
        <v>-0.94891251691352352</v>
      </c>
    </row>
    <row r="2217" spans="1:5" x14ac:dyDescent="0.2">
      <c r="A2217" s="1">
        <v>44847</v>
      </c>
      <c r="B2217">
        <v>77491.44</v>
      </c>
      <c r="C2217" s="6">
        <f t="shared" si="102"/>
        <v>-1.1526338205371757E-2</v>
      </c>
      <c r="D2217" s="7">
        <f t="shared" si="103"/>
        <v>-0.99347193802756717</v>
      </c>
      <c r="E2217" s="8">
        <f t="shared" si="104"/>
        <v>-1.6379135732759034</v>
      </c>
    </row>
    <row r="2218" spans="1:5" x14ac:dyDescent="0.2">
      <c r="A2218" s="1">
        <v>44848</v>
      </c>
      <c r="B2218">
        <v>77993.740000000005</v>
      </c>
      <c r="C2218" s="6">
        <f t="shared" si="102"/>
        <v>6.4610884124478426E-3</v>
      </c>
      <c r="D2218" s="7">
        <f t="shared" si="103"/>
        <v>0.51775886774761204</v>
      </c>
      <c r="E2218" s="8">
        <f t="shared" si="104"/>
        <v>-0.94850617224566103</v>
      </c>
    </row>
    <row r="2219" spans="1:5" x14ac:dyDescent="0.2">
      <c r="A2219" s="1">
        <v>44851</v>
      </c>
      <c r="B2219">
        <v>80073.97</v>
      </c>
      <c r="C2219" s="6">
        <f t="shared" si="102"/>
        <v>2.6322265412883263E-2</v>
      </c>
      <c r="D2219" s="7">
        <f t="shared" si="103"/>
        <v>2.1864145993171684</v>
      </c>
      <c r="E2219" s="8">
        <f t="shared" si="104"/>
        <v>-3.6878348412497024</v>
      </c>
    </row>
    <row r="2220" spans="1:5" x14ac:dyDescent="0.2">
      <c r="A2220" s="1">
        <v>44852</v>
      </c>
      <c r="B2220">
        <v>80979.39</v>
      </c>
      <c r="C2220" s="6">
        <f t="shared" si="102"/>
        <v>1.1243845380013773E-2</v>
      </c>
      <c r="D2220" s="7">
        <f t="shared" si="103"/>
        <v>0.91958675672207502</v>
      </c>
      <c r="E2220" s="8">
        <f t="shared" si="104"/>
        <v>-1.5165752193986046</v>
      </c>
    </row>
    <row r="2221" spans="1:5" x14ac:dyDescent="0.2">
      <c r="A2221" s="1">
        <v>44853</v>
      </c>
      <c r="B2221">
        <v>79174.73</v>
      </c>
      <c r="C2221" s="6">
        <f t="shared" si="102"/>
        <v>-2.253749559997658E-2</v>
      </c>
      <c r="D2221" s="7">
        <f t="shared" si="103"/>
        <v>-1.9185848302453361</v>
      </c>
      <c r="E2221" s="8">
        <f t="shared" si="104"/>
        <v>-3.2456887998355004</v>
      </c>
    </row>
    <row r="2222" spans="1:5" x14ac:dyDescent="0.2">
      <c r="A2222" s="1">
        <v>44854</v>
      </c>
      <c r="B2222">
        <v>79588.63</v>
      </c>
      <c r="C2222" s="6">
        <f t="shared" si="102"/>
        <v>5.2140612003298758E-3</v>
      </c>
      <c r="D2222" s="7">
        <f t="shared" si="103"/>
        <v>0.41298868696334984</v>
      </c>
      <c r="E2222" s="8">
        <f t="shared" si="104"/>
        <v>-0.83840932657679768</v>
      </c>
    </row>
    <row r="2223" spans="1:5" x14ac:dyDescent="0.2">
      <c r="A2223" s="1">
        <v>44855</v>
      </c>
      <c r="B2223">
        <v>78405.100000000006</v>
      </c>
      <c r="C2223" s="6">
        <f t="shared" si="102"/>
        <v>-1.4982267190823479E-2</v>
      </c>
      <c r="D2223" s="7">
        <f t="shared" si="103"/>
        <v>-1.2838251084033687</v>
      </c>
      <c r="E2223" s="8">
        <f t="shared" si="104"/>
        <v>-2.1382748097196251</v>
      </c>
    </row>
    <row r="2224" spans="1:5" x14ac:dyDescent="0.2">
      <c r="A2224" s="1">
        <v>44858</v>
      </c>
      <c r="B2224">
        <v>76126.070000000007</v>
      </c>
      <c r="C2224" s="6">
        <f t="shared" si="102"/>
        <v>-2.949819450053735E-2</v>
      </c>
      <c r="D2224" s="7">
        <f t="shared" si="103"/>
        <v>-2.5033945882922031</v>
      </c>
      <c r="E2224" s="8">
        <f t="shared" si="104"/>
        <v>-4.183140668521534</v>
      </c>
    </row>
    <row r="2225" spans="1:5" x14ac:dyDescent="0.2">
      <c r="A2225" s="1">
        <v>44859</v>
      </c>
      <c r="B2225">
        <v>77849.3</v>
      </c>
      <c r="C2225" s="6">
        <f t="shared" si="102"/>
        <v>2.2384124828464799E-2</v>
      </c>
      <c r="D2225" s="7">
        <f t="shared" si="103"/>
        <v>1.8555479614652182</v>
      </c>
      <c r="E2225" s="8">
        <f t="shared" si="104"/>
        <v>-3.1387555892710615</v>
      </c>
    </row>
    <row r="2226" spans="1:5" x14ac:dyDescent="0.2">
      <c r="A2226" s="1">
        <v>44860</v>
      </c>
      <c r="B2226">
        <v>78777.2</v>
      </c>
      <c r="C2226" s="6">
        <f t="shared" si="102"/>
        <v>1.1848708306415143E-2</v>
      </c>
      <c r="D2226" s="7">
        <f t="shared" si="103"/>
        <v>0.97040489247160555</v>
      </c>
      <c r="E2226" s="8">
        <f t="shared" si="104"/>
        <v>-1.5996638674192727</v>
      </c>
    </row>
    <row r="2227" spans="1:5" x14ac:dyDescent="0.2">
      <c r="A2227" s="1">
        <v>44861</v>
      </c>
      <c r="B2227">
        <v>78914.710000000006</v>
      </c>
      <c r="C2227" s="6">
        <f t="shared" si="102"/>
        <v>1.7440341087229614E-3</v>
      </c>
      <c r="D2227" s="7">
        <f t="shared" si="103"/>
        <v>0.1214510507505224</v>
      </c>
      <c r="E2227" s="8">
        <f t="shared" si="104"/>
        <v>-0.65174905024067942</v>
      </c>
    </row>
    <row r="2228" spans="1:5" x14ac:dyDescent="0.2">
      <c r="A2228" s="1">
        <v>44862</v>
      </c>
      <c r="B2228">
        <v>77459.58</v>
      </c>
      <c r="C2228" s="6">
        <f t="shared" si="102"/>
        <v>-1.8611397085573616E-2</v>
      </c>
      <c r="D2228" s="7">
        <f t="shared" si="103"/>
        <v>-1.5887299183928512</v>
      </c>
      <c r="E2228" s="8">
        <f t="shared" si="104"/>
        <v>-2.676421957468933</v>
      </c>
    </row>
    <row r="2229" spans="1:5" x14ac:dyDescent="0.2">
      <c r="A2229" s="1">
        <v>44865</v>
      </c>
      <c r="B2229">
        <v>78640.320000000007</v>
      </c>
      <c r="C2229" s="6">
        <f t="shared" si="102"/>
        <v>1.5128293088087186E-2</v>
      </c>
      <c r="D2229" s="7">
        <f t="shared" si="103"/>
        <v>1.2459423363494468</v>
      </c>
      <c r="E2229" s="8">
        <f t="shared" si="104"/>
        <v>-2.0716809566422971</v>
      </c>
    </row>
    <row r="2230" spans="1:5" x14ac:dyDescent="0.2">
      <c r="A2230" s="1">
        <v>44866</v>
      </c>
      <c r="B2230">
        <v>80490.06</v>
      </c>
      <c r="C2230" s="6">
        <f t="shared" si="102"/>
        <v>2.3249153532955959E-2</v>
      </c>
      <c r="D2230" s="7">
        <f t="shared" si="103"/>
        <v>1.928224173237044</v>
      </c>
      <c r="E2230" s="8">
        <f t="shared" si="104"/>
        <v>-3.2619503814186048</v>
      </c>
    </row>
    <row r="2231" spans="1:5" x14ac:dyDescent="0.2">
      <c r="A2231" s="1">
        <v>44867</v>
      </c>
      <c r="B2231">
        <v>79607.33</v>
      </c>
      <c r="C2231" s="6">
        <f t="shared" si="102"/>
        <v>-1.1027524501709678E-2</v>
      </c>
      <c r="D2231" s="7">
        <f t="shared" si="103"/>
        <v>-0.95156362888844015</v>
      </c>
      <c r="E2231" s="8">
        <f t="shared" si="104"/>
        <v>-1.5686607796467456</v>
      </c>
    </row>
    <row r="2232" spans="1:5" x14ac:dyDescent="0.2">
      <c r="A2232" s="1">
        <v>44868</v>
      </c>
      <c r="B2232">
        <v>78778.86</v>
      </c>
      <c r="C2232" s="6">
        <f t="shared" si="102"/>
        <v>-1.0461487277648831E-2</v>
      </c>
      <c r="D2232" s="7">
        <f t="shared" si="103"/>
        <v>-0.90400747155747507</v>
      </c>
      <c r="E2232" s="8">
        <f t="shared" si="104"/>
        <v>-1.4914580062278142</v>
      </c>
    </row>
    <row r="2233" spans="1:5" x14ac:dyDescent="0.2">
      <c r="A2233" s="1">
        <v>44869</v>
      </c>
      <c r="B2233">
        <v>82270.75</v>
      </c>
      <c r="C2233" s="6">
        <f t="shared" si="102"/>
        <v>4.3370950703362082E-2</v>
      </c>
      <c r="D2233" s="7">
        <f t="shared" si="103"/>
        <v>3.6187761569962218</v>
      </c>
      <c r="E2233" s="8">
        <f t="shared" si="104"/>
        <v>-5.6870874916288816</v>
      </c>
    </row>
    <row r="2234" spans="1:5" x14ac:dyDescent="0.2">
      <c r="A2234" s="1">
        <v>44872</v>
      </c>
      <c r="B2234">
        <v>81942.44</v>
      </c>
      <c r="C2234" s="6">
        <f t="shared" si="102"/>
        <v>-3.9985879019527578E-3</v>
      </c>
      <c r="D2234" s="7">
        <f t="shared" si="103"/>
        <v>-0.3610208154506323</v>
      </c>
      <c r="E2234" s="8">
        <f t="shared" si="104"/>
        <v>-0.79154180751222958</v>
      </c>
    </row>
    <row r="2235" spans="1:5" x14ac:dyDescent="0.2">
      <c r="A2235" s="1">
        <v>44873</v>
      </c>
      <c r="B2235">
        <v>81157.919999999998</v>
      </c>
      <c r="C2235" s="6">
        <f t="shared" si="102"/>
        <v>-9.6201633207982883E-3</v>
      </c>
      <c r="D2235" s="7">
        <f t="shared" si="103"/>
        <v>-0.83332283677099384</v>
      </c>
      <c r="E2235" s="8">
        <f t="shared" si="104"/>
        <v>-1.3798843818716975</v>
      </c>
    </row>
    <row r="2236" spans="1:5" x14ac:dyDescent="0.2">
      <c r="A2236" s="1">
        <v>44874</v>
      </c>
      <c r="B2236">
        <v>81484.100000000006</v>
      </c>
      <c r="C2236" s="6">
        <f t="shared" si="102"/>
        <v>4.0110229485201135E-3</v>
      </c>
      <c r="D2236" s="7">
        <f t="shared" si="103"/>
        <v>0.31191428064111776</v>
      </c>
      <c r="E2236" s="8">
        <f t="shared" si="104"/>
        <v>-0.75236842308644181</v>
      </c>
    </row>
    <row r="2237" spans="1:5" x14ac:dyDescent="0.2">
      <c r="A2237" s="1">
        <v>44875</v>
      </c>
      <c r="B2237">
        <v>83022.92</v>
      </c>
      <c r="C2237" s="6">
        <f t="shared" si="102"/>
        <v>1.8708805064662073E-2</v>
      </c>
      <c r="D2237" s="7">
        <f t="shared" si="103"/>
        <v>1.5467624655660659</v>
      </c>
      <c r="E2237" s="8">
        <f t="shared" si="104"/>
        <v>-2.6026124376460107</v>
      </c>
    </row>
    <row r="2238" spans="1:5" x14ac:dyDescent="0.2">
      <c r="A2238" s="1">
        <v>44876</v>
      </c>
      <c r="B2238">
        <v>87136.12</v>
      </c>
      <c r="C2238" s="6">
        <f t="shared" si="102"/>
        <v>4.8354779393932665E-2</v>
      </c>
      <c r="D2238" s="7">
        <f t="shared" si="103"/>
        <v>4.0374972785842873</v>
      </c>
      <c r="E2238" s="8">
        <f t="shared" si="104"/>
        <v>-6.1679668645920929</v>
      </c>
    </row>
    <row r="2239" spans="1:5" x14ac:dyDescent="0.2">
      <c r="A2239" s="1">
        <v>44879</v>
      </c>
      <c r="B2239">
        <v>86897.27</v>
      </c>
      <c r="C2239" s="6">
        <f t="shared" si="102"/>
        <v>-2.7448772900988019E-3</v>
      </c>
      <c r="D2239" s="7">
        <f t="shared" si="103"/>
        <v>-0.25568912246215458</v>
      </c>
      <c r="E2239" s="8">
        <f t="shared" si="104"/>
        <v>-0.71394413485796782</v>
      </c>
    </row>
    <row r="2240" spans="1:5" x14ac:dyDescent="0.2">
      <c r="A2240" s="1">
        <v>44880</v>
      </c>
      <c r="B2240">
        <v>87561.09</v>
      </c>
      <c r="C2240" s="6">
        <f t="shared" si="102"/>
        <v>7.6101048259999051E-3</v>
      </c>
      <c r="D2240" s="7">
        <f t="shared" si="103"/>
        <v>0.61429457779637264</v>
      </c>
      <c r="E2240" s="8">
        <f t="shared" si="104"/>
        <v>-1.0663808365613459</v>
      </c>
    </row>
    <row r="2241" spans="1:5" x14ac:dyDescent="0.2">
      <c r="A2241" s="1">
        <v>44881</v>
      </c>
      <c r="B2241">
        <v>88053.8</v>
      </c>
      <c r="C2241" s="6">
        <f t="shared" si="102"/>
        <v>5.6112701241076328E-3</v>
      </c>
      <c r="D2241" s="7">
        <f t="shared" si="103"/>
        <v>0.44636057359815495</v>
      </c>
      <c r="E2241" s="8">
        <f t="shared" si="104"/>
        <v>-0.87129491045509355</v>
      </c>
    </row>
    <row r="2242" spans="1:5" x14ac:dyDescent="0.2">
      <c r="A2242" s="1">
        <v>44882</v>
      </c>
      <c r="B2242">
        <v>87654.52</v>
      </c>
      <c r="C2242" s="6">
        <f t="shared" si="102"/>
        <v>-4.5448125310303365E-3</v>
      </c>
      <c r="D2242" s="7">
        <f t="shared" si="103"/>
        <v>-0.40691239871454332</v>
      </c>
      <c r="E2242" s="8">
        <f t="shared" si="104"/>
        <v>-0.83265201044134118</v>
      </c>
    </row>
    <row r="2243" spans="1:5" x14ac:dyDescent="0.2">
      <c r="A2243" s="1">
        <v>44883</v>
      </c>
      <c r="B2243">
        <v>88013.94</v>
      </c>
      <c r="C2243" s="6">
        <f t="shared" ref="C2243:C2306" si="105">LN(B2243/B2242)</f>
        <v>4.0920322467944614E-3</v>
      </c>
      <c r="D2243" s="7">
        <f t="shared" ref="D2243:D2306" si="106">(C2243-$G$4)/$G$5</f>
        <v>0.31872035411163541</v>
      </c>
      <c r="E2243" s="8">
        <f t="shared" ref="E2243:E2306" si="107">LN((PI()*(G$3-2))^(-1/2)*EXP(GAMMALN((G$3+1)/2))*((1+D2243^2/(G$3-2))^(-(G$3+1)/2))/EXP(GAMMALN(G$3/2)))</f>
        <v>-0.75749137177932868</v>
      </c>
    </row>
    <row r="2244" spans="1:5" x14ac:dyDescent="0.2">
      <c r="A2244" s="1">
        <v>44886</v>
      </c>
      <c r="B2244">
        <v>87234.99</v>
      </c>
      <c r="C2244" s="6">
        <f t="shared" si="105"/>
        <v>-8.8896991247499405E-3</v>
      </c>
      <c r="D2244" s="7">
        <f t="shared" si="106"/>
        <v>-0.77195219053911646</v>
      </c>
      <c r="E2244" s="8">
        <f t="shared" si="107"/>
        <v>-1.2866241105677994</v>
      </c>
    </row>
    <row r="2245" spans="1:5" x14ac:dyDescent="0.2">
      <c r="A2245" s="1">
        <v>44887</v>
      </c>
      <c r="B2245">
        <v>86389.51</v>
      </c>
      <c r="C2245" s="6">
        <f t="shared" si="105"/>
        <v>-9.7392554970355989E-3</v>
      </c>
      <c r="D2245" s="7">
        <f t="shared" si="106"/>
        <v>-0.84332847956140478</v>
      </c>
      <c r="E2245" s="8">
        <f t="shared" si="107"/>
        <v>-1.3954237289443494</v>
      </c>
    </row>
    <row r="2246" spans="1:5" x14ac:dyDescent="0.2">
      <c r="A2246" s="1">
        <v>44888</v>
      </c>
      <c r="B2246">
        <v>87014.69</v>
      </c>
      <c r="C2246" s="6">
        <f t="shared" si="105"/>
        <v>7.2106985737076705E-3</v>
      </c>
      <c r="D2246" s="7">
        <f t="shared" si="106"/>
        <v>0.58073808051035869</v>
      </c>
      <c r="E2246" s="8">
        <f t="shared" si="107"/>
        <v>-1.0237711219773347</v>
      </c>
    </row>
    <row r="2247" spans="1:5" x14ac:dyDescent="0.2">
      <c r="A2247" s="1">
        <v>44889</v>
      </c>
      <c r="B2247">
        <v>87528.29</v>
      </c>
      <c r="C2247" s="6">
        <f t="shared" si="105"/>
        <v>5.8851004188395896E-3</v>
      </c>
      <c r="D2247" s="7">
        <f t="shared" si="106"/>
        <v>0.46936668702093159</v>
      </c>
      <c r="E2247" s="8">
        <f t="shared" si="107"/>
        <v>-0.89517998831228085</v>
      </c>
    </row>
    <row r="2248" spans="1:5" x14ac:dyDescent="0.2">
      <c r="A2248" s="1">
        <v>44890</v>
      </c>
      <c r="B2248">
        <v>87346.99</v>
      </c>
      <c r="C2248" s="6">
        <f t="shared" si="105"/>
        <v>-2.0734784808399877E-3</v>
      </c>
      <c r="D2248" s="7">
        <f t="shared" si="106"/>
        <v>-0.19928091104476808</v>
      </c>
      <c r="E2248" s="8">
        <f t="shared" si="107"/>
        <v>-0.6826093963498121</v>
      </c>
    </row>
    <row r="2249" spans="1:5" x14ac:dyDescent="0.2">
      <c r="A2249" s="1">
        <v>44893</v>
      </c>
      <c r="B2249">
        <v>88375.84</v>
      </c>
      <c r="C2249" s="6">
        <f t="shared" si="105"/>
        <v>1.1710052208418071E-2</v>
      </c>
      <c r="D2249" s="7">
        <f t="shared" si="106"/>
        <v>0.95875556813222673</v>
      </c>
      <c r="E2249" s="8">
        <f t="shared" si="107"/>
        <v>-1.5804686903820804</v>
      </c>
    </row>
    <row r="2250" spans="1:5" x14ac:dyDescent="0.2">
      <c r="A2250" s="1">
        <v>44894</v>
      </c>
      <c r="B2250">
        <v>88068</v>
      </c>
      <c r="C2250" s="6">
        <f t="shared" si="105"/>
        <v>-3.4893857711340314E-3</v>
      </c>
      <c r="D2250" s="7">
        <f t="shared" si="106"/>
        <v>-0.31823971269426143</v>
      </c>
      <c r="E2250" s="8">
        <f t="shared" si="107"/>
        <v>-0.75712631108994766</v>
      </c>
    </row>
    <row r="2251" spans="1:5" x14ac:dyDescent="0.2">
      <c r="A2251" s="1">
        <v>44895</v>
      </c>
      <c r="B2251">
        <v>90489.26</v>
      </c>
      <c r="C2251" s="6">
        <f t="shared" si="105"/>
        <v>2.7121926279484929E-2</v>
      </c>
      <c r="D2251" s="7">
        <f t="shared" si="106"/>
        <v>2.2535988698333367</v>
      </c>
      <c r="E2251" s="8">
        <f t="shared" si="107"/>
        <v>-3.7954195831017405</v>
      </c>
    </row>
    <row r="2252" spans="1:5" x14ac:dyDescent="0.2">
      <c r="A2252" s="1">
        <v>44896</v>
      </c>
      <c r="B2252">
        <v>92168.09</v>
      </c>
      <c r="C2252" s="6">
        <f t="shared" si="105"/>
        <v>1.8382805582600924E-2</v>
      </c>
      <c r="D2252" s="7">
        <f t="shared" si="106"/>
        <v>1.5193733081048482</v>
      </c>
      <c r="E2252" s="8">
        <f t="shared" si="107"/>
        <v>-2.5543404937679042</v>
      </c>
    </row>
    <row r="2253" spans="1:5" x14ac:dyDescent="0.2">
      <c r="A2253" s="1">
        <v>44897</v>
      </c>
      <c r="B2253">
        <v>91592.14</v>
      </c>
      <c r="C2253" s="6">
        <f t="shared" si="105"/>
        <v>-6.2685150748944141E-3</v>
      </c>
      <c r="D2253" s="7">
        <f t="shared" si="106"/>
        <v>-0.55173091220328374</v>
      </c>
      <c r="E2253" s="8">
        <f t="shared" si="107"/>
        <v>-0.98831612103806576</v>
      </c>
    </row>
    <row r="2254" spans="1:5" x14ac:dyDescent="0.2">
      <c r="A2254" s="1">
        <v>44900</v>
      </c>
      <c r="B2254">
        <v>91501.26</v>
      </c>
      <c r="C2254" s="6">
        <f t="shared" si="105"/>
        <v>-9.9271745965106694E-4</v>
      </c>
      <c r="D2254" s="7">
        <f t="shared" si="106"/>
        <v>-0.10847974289525091</v>
      </c>
      <c r="E2254" s="8">
        <f t="shared" si="107"/>
        <v>-0.64803622968718377</v>
      </c>
    </row>
    <row r="2255" spans="1:5" x14ac:dyDescent="0.2">
      <c r="A2255" s="1">
        <v>44901</v>
      </c>
      <c r="B2255">
        <v>91397.43</v>
      </c>
      <c r="C2255" s="6">
        <f t="shared" si="105"/>
        <v>-1.1353827756107606E-3</v>
      </c>
      <c r="D2255" s="7">
        <f t="shared" si="106"/>
        <v>-0.12046590550621326</v>
      </c>
      <c r="E2255" s="8">
        <f t="shared" si="107"/>
        <v>-0.65145257226867082</v>
      </c>
    </row>
    <row r="2256" spans="1:5" x14ac:dyDescent="0.2">
      <c r="A2256" s="1">
        <v>44902</v>
      </c>
      <c r="B2256">
        <v>90782.59</v>
      </c>
      <c r="C2256" s="6">
        <f t="shared" si="105"/>
        <v>-6.7498327681946363E-3</v>
      </c>
      <c r="D2256" s="7">
        <f t="shared" si="106"/>
        <v>-0.59216927734214975</v>
      </c>
      <c r="E2256" s="8">
        <f t="shared" si="107"/>
        <v>-1.0380987071280205</v>
      </c>
    </row>
    <row r="2257" spans="1:5" x14ac:dyDescent="0.2">
      <c r="A2257" s="1">
        <v>44903</v>
      </c>
      <c r="B2257">
        <v>91704.68</v>
      </c>
      <c r="C2257" s="6">
        <f t="shared" si="105"/>
        <v>1.010588681238018E-2</v>
      </c>
      <c r="D2257" s="7">
        <f t="shared" si="106"/>
        <v>0.82398008214640173</v>
      </c>
      <c r="E2257" s="8">
        <f t="shared" si="107"/>
        <v>-1.3654556115851881</v>
      </c>
    </row>
    <row r="2258" spans="1:5" x14ac:dyDescent="0.2">
      <c r="A2258" s="1">
        <v>44904</v>
      </c>
      <c r="B2258">
        <v>92605.08</v>
      </c>
      <c r="C2258" s="6">
        <f t="shared" si="105"/>
        <v>9.7705858115900487E-3</v>
      </c>
      <c r="D2258" s="7">
        <f t="shared" si="106"/>
        <v>0.79580944871630865</v>
      </c>
      <c r="E2258" s="8">
        <f t="shared" si="107"/>
        <v>-1.3224425237161033</v>
      </c>
    </row>
    <row r="2259" spans="1:5" x14ac:dyDescent="0.2">
      <c r="A2259" s="1">
        <v>44907</v>
      </c>
      <c r="B2259">
        <v>92745.05</v>
      </c>
      <c r="C2259" s="6">
        <f t="shared" si="105"/>
        <v>1.5103310324856539E-3</v>
      </c>
      <c r="D2259" s="7">
        <f t="shared" si="106"/>
        <v>0.10181626386753602</v>
      </c>
      <c r="E2259" s="8">
        <f t="shared" si="107"/>
        <v>-0.64628988438676971</v>
      </c>
    </row>
    <row r="2260" spans="1:5" x14ac:dyDescent="0.2">
      <c r="A2260" s="1">
        <v>44908</v>
      </c>
      <c r="B2260">
        <v>94927.38</v>
      </c>
      <c r="C2260" s="6">
        <f t="shared" si="105"/>
        <v>2.3257847438040061E-2</v>
      </c>
      <c r="D2260" s="7">
        <f t="shared" si="106"/>
        <v>1.9289545999659328</v>
      </c>
      <c r="E2260" s="8">
        <f t="shared" si="107"/>
        <v>-3.263181613596835</v>
      </c>
    </row>
    <row r="2261" spans="1:5" x14ac:dyDescent="0.2">
      <c r="A2261" s="1">
        <v>44909</v>
      </c>
      <c r="B2261">
        <v>93259.27</v>
      </c>
      <c r="C2261" s="6">
        <f t="shared" si="105"/>
        <v>-1.7728714458429967E-2</v>
      </c>
      <c r="D2261" s="7">
        <f t="shared" si="106"/>
        <v>-1.5145704954690318</v>
      </c>
      <c r="E2261" s="8">
        <f t="shared" si="107"/>
        <v>-2.5458687768811057</v>
      </c>
    </row>
    <row r="2262" spans="1:5" x14ac:dyDescent="0.2">
      <c r="A2262" s="1">
        <v>44910</v>
      </c>
      <c r="B2262">
        <v>91085.74</v>
      </c>
      <c r="C2262" s="6">
        <f t="shared" si="105"/>
        <v>-2.3582203041417643E-2</v>
      </c>
      <c r="D2262" s="7">
        <f t="shared" si="106"/>
        <v>-2.0063569225002804</v>
      </c>
      <c r="E2262" s="8">
        <f t="shared" si="107"/>
        <v>-3.392836854936665</v>
      </c>
    </row>
    <row r="2263" spans="1:5" x14ac:dyDescent="0.2">
      <c r="A2263" s="1">
        <v>44914</v>
      </c>
      <c r="B2263">
        <v>90786.12</v>
      </c>
      <c r="C2263" s="6">
        <f t="shared" si="105"/>
        <v>-3.294850242991248E-3</v>
      </c>
      <c r="D2263" s="7">
        <f t="shared" si="106"/>
        <v>-0.30189562472695464</v>
      </c>
      <c r="E2263" s="8">
        <f t="shared" si="107"/>
        <v>-0.74501016950725263</v>
      </c>
    </row>
    <row r="2264" spans="1:5" x14ac:dyDescent="0.2">
      <c r="A2264" s="1">
        <v>44915</v>
      </c>
      <c r="B2264">
        <v>90046.97</v>
      </c>
      <c r="C2264" s="6">
        <f t="shared" si="105"/>
        <v>-8.1749874038071994E-3</v>
      </c>
      <c r="D2264" s="7">
        <f t="shared" si="106"/>
        <v>-0.71190500352976138</v>
      </c>
      <c r="E2264" s="8">
        <f t="shared" si="107"/>
        <v>-1.1991664917848179</v>
      </c>
    </row>
    <row r="2265" spans="1:5" x14ac:dyDescent="0.2">
      <c r="A2265" s="1">
        <v>44916</v>
      </c>
      <c r="B2265">
        <v>90508.4</v>
      </c>
      <c r="C2265" s="6">
        <f t="shared" si="105"/>
        <v>5.111240995632791E-3</v>
      </c>
      <c r="D2265" s="7">
        <f t="shared" si="106"/>
        <v>0.40435014938397151</v>
      </c>
      <c r="E2265" s="8">
        <f t="shared" si="107"/>
        <v>-0.83024591196439457</v>
      </c>
    </row>
    <row r="2266" spans="1:5" x14ac:dyDescent="0.2">
      <c r="A2266" s="1">
        <v>44917</v>
      </c>
      <c r="B2266">
        <v>90142.88</v>
      </c>
      <c r="C2266" s="6">
        <f t="shared" si="105"/>
        <v>-4.0466970265076608E-3</v>
      </c>
      <c r="D2266" s="7">
        <f t="shared" si="106"/>
        <v>-0.36506274944213607</v>
      </c>
      <c r="E2266" s="8">
        <f t="shared" si="107"/>
        <v>-0.79499126253684693</v>
      </c>
    </row>
    <row r="2267" spans="1:5" x14ac:dyDescent="0.2">
      <c r="A2267" s="1">
        <v>44918</v>
      </c>
      <c r="B2267">
        <v>89894.88</v>
      </c>
      <c r="C2267" s="6">
        <f t="shared" si="105"/>
        <v>-2.7549793649748015E-3</v>
      </c>
      <c r="D2267" s="7">
        <f t="shared" si="106"/>
        <v>-0.25653785791938416</v>
      </c>
      <c r="E2267" s="8">
        <f t="shared" si="107"/>
        <v>-0.71447156681797441</v>
      </c>
    </row>
    <row r="2268" spans="1:5" x14ac:dyDescent="0.2">
      <c r="A2268" s="1">
        <v>44923</v>
      </c>
      <c r="B2268">
        <v>91413.15</v>
      </c>
      <c r="C2268" s="6">
        <f t="shared" si="105"/>
        <v>1.6748353510042252E-2</v>
      </c>
      <c r="D2268" s="7">
        <f t="shared" si="106"/>
        <v>1.3820532581002096</v>
      </c>
      <c r="E2268" s="8">
        <f t="shared" si="107"/>
        <v>-2.3116686183460953</v>
      </c>
    </row>
    <row r="2269" spans="1:5" x14ac:dyDescent="0.2">
      <c r="A2269" s="1">
        <v>44924</v>
      </c>
      <c r="B2269">
        <v>90922.84</v>
      </c>
      <c r="C2269" s="6">
        <f t="shared" si="105"/>
        <v>-5.378106448552961E-3</v>
      </c>
      <c r="D2269" s="7">
        <f t="shared" si="106"/>
        <v>-0.47692238208691312</v>
      </c>
      <c r="E2269" s="8">
        <f t="shared" si="107"/>
        <v>-0.90323447901656539</v>
      </c>
    </row>
    <row r="2270" spans="1:5" x14ac:dyDescent="0.2">
      <c r="A2270" s="1">
        <v>44925</v>
      </c>
      <c r="B2270">
        <v>90308.1</v>
      </c>
      <c r="C2270" s="6">
        <f t="shared" si="105"/>
        <v>-6.7840773514269651E-3</v>
      </c>
      <c r="D2270" s="7">
        <f t="shared" si="106"/>
        <v>-0.5950463686688412</v>
      </c>
      <c r="E2270" s="8">
        <f t="shared" si="107"/>
        <v>-1.041735666106016</v>
      </c>
    </row>
    <row r="2271" spans="1:5" x14ac:dyDescent="0.2">
      <c r="A2271" s="1">
        <v>44929</v>
      </c>
      <c r="B2271">
        <v>92966.95</v>
      </c>
      <c r="C2271" s="6">
        <f t="shared" si="105"/>
        <v>2.901689625130878E-2</v>
      </c>
      <c r="D2271" s="7">
        <f t="shared" si="106"/>
        <v>2.4128065796567144</v>
      </c>
      <c r="E2271" s="8">
        <f t="shared" si="107"/>
        <v>-4.0447881671076908</v>
      </c>
    </row>
    <row r="2272" spans="1:5" x14ac:dyDescent="0.2">
      <c r="A2272" s="1">
        <v>44930</v>
      </c>
      <c r="B2272">
        <v>94235.69</v>
      </c>
      <c r="C2272" s="6">
        <f t="shared" si="105"/>
        <v>1.3554930913983371E-2</v>
      </c>
      <c r="D2272" s="7">
        <f t="shared" si="106"/>
        <v>1.1137548124380738</v>
      </c>
      <c r="E2272" s="8">
        <f t="shared" si="107"/>
        <v>-1.8417392209071504</v>
      </c>
    </row>
    <row r="2273" spans="1:5" x14ac:dyDescent="0.2">
      <c r="A2273" s="1">
        <v>44931</v>
      </c>
      <c r="B2273">
        <v>94936.19</v>
      </c>
      <c r="C2273" s="6">
        <f t="shared" si="105"/>
        <v>7.4059971470961704E-3</v>
      </c>
      <c r="D2273" s="7">
        <f t="shared" si="106"/>
        <v>0.59714627645186469</v>
      </c>
      <c r="E2273" s="8">
        <f t="shared" si="107"/>
        <v>-1.0443979462889676</v>
      </c>
    </row>
    <row r="2274" spans="1:5" x14ac:dyDescent="0.2">
      <c r="A2274" s="1">
        <v>44932</v>
      </c>
      <c r="B2274">
        <v>96608.3</v>
      </c>
      <c r="C2274" s="6">
        <f t="shared" si="105"/>
        <v>1.7459677143386393E-2</v>
      </c>
      <c r="D2274" s="7">
        <f t="shared" si="106"/>
        <v>1.4418157916980201</v>
      </c>
      <c r="E2274" s="8">
        <f t="shared" si="107"/>
        <v>-2.4173515278517752</v>
      </c>
    </row>
    <row r="2275" spans="1:5" x14ac:dyDescent="0.2">
      <c r="A2275" s="1">
        <v>44935</v>
      </c>
      <c r="B2275">
        <v>98198.47</v>
      </c>
      <c r="C2275" s="6">
        <f t="shared" si="105"/>
        <v>1.6325975938480217E-2</v>
      </c>
      <c r="D2275" s="7">
        <f t="shared" si="106"/>
        <v>1.3465668035130536</v>
      </c>
      <c r="E2275" s="8">
        <f t="shared" si="107"/>
        <v>-2.2489480781691213</v>
      </c>
    </row>
    <row r="2276" spans="1:5" x14ac:dyDescent="0.2">
      <c r="A2276" s="1">
        <v>44936</v>
      </c>
      <c r="B2276">
        <v>97905.53</v>
      </c>
      <c r="C2276" s="6">
        <f t="shared" si="105"/>
        <v>-2.9876006393810836E-3</v>
      </c>
      <c r="D2276" s="7">
        <f t="shared" si="106"/>
        <v>-0.27608175618958974</v>
      </c>
      <c r="E2276" s="8">
        <f t="shared" si="107"/>
        <v>-0.72706713528820421</v>
      </c>
    </row>
    <row r="2277" spans="1:5" x14ac:dyDescent="0.2">
      <c r="A2277" s="1">
        <v>44937</v>
      </c>
      <c r="B2277">
        <v>99030.56</v>
      </c>
      <c r="C2277" s="6">
        <f t="shared" si="105"/>
        <v>1.1425455217690204E-2</v>
      </c>
      <c r="D2277" s="7">
        <f t="shared" si="106"/>
        <v>0.93484488047483905</v>
      </c>
      <c r="E2277" s="8">
        <f t="shared" si="107"/>
        <v>-1.5413418882180563</v>
      </c>
    </row>
    <row r="2278" spans="1:5" x14ac:dyDescent="0.2">
      <c r="A2278" s="1">
        <v>44938</v>
      </c>
      <c r="B2278">
        <v>98769.06</v>
      </c>
      <c r="C2278" s="6">
        <f t="shared" si="105"/>
        <v>-2.6440915543753381E-3</v>
      </c>
      <c r="D2278" s="7">
        <f t="shared" si="106"/>
        <v>-0.24722151273430587</v>
      </c>
      <c r="E2278" s="8">
        <f t="shared" si="107"/>
        <v>-0.70877188946856085</v>
      </c>
    </row>
    <row r="2279" spans="1:5" x14ac:dyDescent="0.2">
      <c r="A2279" s="1">
        <v>44939</v>
      </c>
      <c r="B2279">
        <v>99708.02</v>
      </c>
      <c r="C2279" s="6">
        <f t="shared" si="105"/>
        <v>9.4617172416224093E-3</v>
      </c>
      <c r="D2279" s="7">
        <f t="shared" si="106"/>
        <v>0.76985956117606391</v>
      </c>
      <c r="E2279" s="8">
        <f t="shared" si="107"/>
        <v>-1.2835100973938323</v>
      </c>
    </row>
    <row r="2280" spans="1:5" x14ac:dyDescent="0.2">
      <c r="A2280" s="1">
        <v>44942</v>
      </c>
      <c r="B2280">
        <v>99627.11</v>
      </c>
      <c r="C2280" s="6">
        <f t="shared" si="105"/>
        <v>-8.1179874760085988E-4</v>
      </c>
      <c r="D2280" s="7">
        <f t="shared" si="106"/>
        <v>-9.3279684721249354E-2</v>
      </c>
      <c r="E2280" s="8">
        <f t="shared" si="107"/>
        <v>-0.64421275841176784</v>
      </c>
    </row>
    <row r="2281" spans="1:5" x14ac:dyDescent="0.2">
      <c r="A2281" s="1">
        <v>44943</v>
      </c>
      <c r="B2281">
        <v>100628.4</v>
      </c>
      <c r="C2281" s="6">
        <f t="shared" si="105"/>
        <v>1.0000207678839806E-2</v>
      </c>
      <c r="D2281" s="7">
        <f t="shared" si="106"/>
        <v>0.81510134893307884</v>
      </c>
      <c r="E2281" s="8">
        <f t="shared" si="107"/>
        <v>-1.3518177584331916</v>
      </c>
    </row>
    <row r="2282" spans="1:5" x14ac:dyDescent="0.2">
      <c r="A2282" s="1">
        <v>44944</v>
      </c>
      <c r="B2282">
        <v>100801</v>
      </c>
      <c r="C2282" s="6">
        <f t="shared" si="105"/>
        <v>1.7137522352059351E-3</v>
      </c>
      <c r="D2282" s="7">
        <f t="shared" si="106"/>
        <v>0.118906890260651</v>
      </c>
      <c r="E2282" s="8">
        <f t="shared" si="107"/>
        <v>-0.65098825246898762</v>
      </c>
    </row>
    <row r="2283" spans="1:5" x14ac:dyDescent="0.2">
      <c r="A2283" s="1">
        <v>44945</v>
      </c>
      <c r="B2283">
        <v>100528.1</v>
      </c>
      <c r="C2283" s="6">
        <f t="shared" si="105"/>
        <v>-2.710985815151262E-3</v>
      </c>
      <c r="D2283" s="7">
        <f t="shared" si="106"/>
        <v>-0.25284169786484506</v>
      </c>
      <c r="E2283" s="8">
        <f t="shared" si="107"/>
        <v>-0.71218661617178347</v>
      </c>
    </row>
    <row r="2284" spans="1:5" x14ac:dyDescent="0.2">
      <c r="A2284" s="1">
        <v>44946</v>
      </c>
      <c r="B2284">
        <v>100317.9</v>
      </c>
      <c r="C2284" s="6">
        <f t="shared" si="105"/>
        <v>-2.0931467566706573E-3</v>
      </c>
      <c r="D2284" s="7">
        <f t="shared" si="106"/>
        <v>-0.20093336000054843</v>
      </c>
      <c r="E2284" s="8">
        <f t="shared" si="107"/>
        <v>-0.68342181523649093</v>
      </c>
    </row>
    <row r="2285" spans="1:5" x14ac:dyDescent="0.2">
      <c r="A2285" s="1">
        <v>44949</v>
      </c>
      <c r="B2285">
        <v>101333.6</v>
      </c>
      <c r="C2285" s="6">
        <f t="shared" si="105"/>
        <v>1.0073900662439047E-2</v>
      </c>
      <c r="D2285" s="7">
        <f t="shared" si="106"/>
        <v>0.82129273524702373</v>
      </c>
      <c r="E2285" s="8">
        <f t="shared" si="107"/>
        <v>-1.3613200940179195</v>
      </c>
    </row>
    <row r="2286" spans="1:5" x14ac:dyDescent="0.2">
      <c r="A2286" s="1">
        <v>44950</v>
      </c>
      <c r="B2286">
        <v>101911.6</v>
      </c>
      <c r="C2286" s="6">
        <f t="shared" si="105"/>
        <v>5.6877265313233063E-3</v>
      </c>
      <c r="D2286" s="7">
        <f t="shared" si="106"/>
        <v>0.45278413158330622</v>
      </c>
      <c r="E2286" s="8">
        <f t="shared" si="107"/>
        <v>-0.877865894920699</v>
      </c>
    </row>
    <row r="2287" spans="1:5" x14ac:dyDescent="0.2">
      <c r="A2287" s="1">
        <v>44951</v>
      </c>
      <c r="B2287">
        <v>101175</v>
      </c>
      <c r="C2287" s="6">
        <f t="shared" si="105"/>
        <v>-7.25408008299081E-3</v>
      </c>
      <c r="D2287" s="7">
        <f t="shared" si="106"/>
        <v>-0.63453409650391168</v>
      </c>
      <c r="E2287" s="8">
        <f t="shared" si="107"/>
        <v>-1.0928686859121601</v>
      </c>
    </row>
    <row r="2288" spans="1:5" x14ac:dyDescent="0.2">
      <c r="A2288" s="1">
        <v>44952</v>
      </c>
      <c r="B2288">
        <v>103168.8</v>
      </c>
      <c r="C2288" s="6">
        <f t="shared" si="105"/>
        <v>1.9514790994546137E-2</v>
      </c>
      <c r="D2288" s="7">
        <f t="shared" si="106"/>
        <v>1.6144781423074785</v>
      </c>
      <c r="E2288" s="8">
        <f t="shared" si="107"/>
        <v>-2.7215955114684491</v>
      </c>
    </row>
    <row r="2289" spans="1:5" x14ac:dyDescent="0.2">
      <c r="A2289" s="1">
        <v>44953</v>
      </c>
      <c r="B2289">
        <v>103871.6</v>
      </c>
      <c r="C2289" s="6">
        <f t="shared" si="105"/>
        <v>6.7890392348286116E-3</v>
      </c>
      <c r="D2289" s="7">
        <f t="shared" si="106"/>
        <v>0.54531196892719591</v>
      </c>
      <c r="E2289" s="8">
        <f t="shared" si="107"/>
        <v>-0.98064977837069234</v>
      </c>
    </row>
    <row r="2290" spans="1:5" x14ac:dyDescent="0.2">
      <c r="A2290" s="1">
        <v>44956</v>
      </c>
      <c r="B2290">
        <v>102701.1</v>
      </c>
      <c r="C2290" s="6">
        <f t="shared" si="105"/>
        <v>-1.1332693305972604E-2</v>
      </c>
      <c r="D2290" s="7">
        <f t="shared" si="106"/>
        <v>-0.97720267708374087</v>
      </c>
      <c r="E2290" s="8">
        <f t="shared" si="107"/>
        <v>-1.6109033064583105</v>
      </c>
    </row>
    <row r="2291" spans="1:5" x14ac:dyDescent="0.2">
      <c r="A2291" s="1">
        <v>44957</v>
      </c>
      <c r="B2291">
        <v>102288.6</v>
      </c>
      <c r="C2291" s="6">
        <f t="shared" si="105"/>
        <v>-4.0245978874555166E-3</v>
      </c>
      <c r="D2291" s="7">
        <f t="shared" si="106"/>
        <v>-0.36320606919396625</v>
      </c>
      <c r="E2291" s="8">
        <f t="shared" si="107"/>
        <v>-0.79340256351076266</v>
      </c>
    </row>
    <row r="2292" spans="1:5" x14ac:dyDescent="0.2">
      <c r="A2292" s="1">
        <v>44958</v>
      </c>
      <c r="B2292">
        <v>102508.1</v>
      </c>
      <c r="C2292" s="6">
        <f t="shared" si="105"/>
        <v>2.1435900485682778E-3</v>
      </c>
      <c r="D2292" s="7">
        <f t="shared" si="106"/>
        <v>0.15502012417909772</v>
      </c>
      <c r="E2292" s="8">
        <f t="shared" si="107"/>
        <v>-0.66326730676335899</v>
      </c>
    </row>
    <row r="2293" spans="1:5" x14ac:dyDescent="0.2">
      <c r="A2293" s="1">
        <v>44959</v>
      </c>
      <c r="B2293">
        <v>102624.4</v>
      </c>
      <c r="C2293" s="6">
        <f t="shared" si="105"/>
        <v>1.1339013804334385E-3</v>
      </c>
      <c r="D2293" s="7">
        <f t="shared" si="106"/>
        <v>7.0190167568414757E-2</v>
      </c>
      <c r="E2293" s="8">
        <f t="shared" si="107"/>
        <v>-0.63949892718650347</v>
      </c>
    </row>
    <row r="2294" spans="1:5" x14ac:dyDescent="0.2">
      <c r="A2294" s="1">
        <v>44960</v>
      </c>
      <c r="B2294">
        <v>103461.3</v>
      </c>
      <c r="C2294" s="6">
        <f t="shared" si="105"/>
        <v>8.1219085121553951E-3</v>
      </c>
      <c r="D2294" s="7">
        <f t="shared" si="106"/>
        <v>0.65729425270602482</v>
      </c>
      <c r="E2294" s="8">
        <f t="shared" si="107"/>
        <v>-1.123331364250614</v>
      </c>
    </row>
    <row r="2295" spans="1:5" x14ac:dyDescent="0.2">
      <c r="A2295" s="1">
        <v>44963</v>
      </c>
      <c r="B2295">
        <v>103120.5</v>
      </c>
      <c r="C2295" s="6">
        <f t="shared" si="105"/>
        <v>-3.299422399917977E-3</v>
      </c>
      <c r="D2295" s="7">
        <f t="shared" si="106"/>
        <v>-0.30227975885260361</v>
      </c>
      <c r="E2295" s="8">
        <f t="shared" si="107"/>
        <v>-0.7452882646974488</v>
      </c>
    </row>
    <row r="2296" spans="1:5" x14ac:dyDescent="0.2">
      <c r="A2296" s="1">
        <v>44964</v>
      </c>
      <c r="B2296">
        <v>102656</v>
      </c>
      <c r="C2296" s="6">
        <f t="shared" si="105"/>
        <v>-4.514614535120285E-3</v>
      </c>
      <c r="D2296" s="7">
        <f t="shared" si="106"/>
        <v>-0.40437528528183403</v>
      </c>
      <c r="E2296" s="8">
        <f t="shared" si="107"/>
        <v>-0.83026945342463776</v>
      </c>
    </row>
    <row r="2297" spans="1:5" x14ac:dyDescent="0.2">
      <c r="A2297" s="1">
        <v>44965</v>
      </c>
      <c r="B2297">
        <v>103851</v>
      </c>
      <c r="C2297" s="6">
        <f t="shared" si="105"/>
        <v>1.1573586744755332E-2</v>
      </c>
      <c r="D2297" s="7">
        <f t="shared" si="106"/>
        <v>0.94729029202612614</v>
      </c>
      <c r="E2297" s="8">
        <f t="shared" si="107"/>
        <v>-1.5616604827323326</v>
      </c>
    </row>
    <row r="2298" spans="1:5" x14ac:dyDescent="0.2">
      <c r="A2298" s="1">
        <v>44966</v>
      </c>
      <c r="B2298">
        <v>104302.7</v>
      </c>
      <c r="C2298" s="6">
        <f t="shared" si="105"/>
        <v>4.3400689877306688E-3</v>
      </c>
      <c r="D2298" s="7">
        <f t="shared" si="106"/>
        <v>0.33955939750740005</v>
      </c>
      <c r="E2298" s="8">
        <f t="shared" si="107"/>
        <v>-0.77379442597302694</v>
      </c>
    </row>
    <row r="2299" spans="1:5" x14ac:dyDescent="0.2">
      <c r="A2299" s="1">
        <v>44967</v>
      </c>
      <c r="B2299">
        <v>103602.8</v>
      </c>
      <c r="C2299" s="6">
        <f t="shared" si="105"/>
        <v>-6.7328920492944599E-3</v>
      </c>
      <c r="D2299" s="7">
        <f t="shared" si="106"/>
        <v>-0.59074598668374267</v>
      </c>
      <c r="E2299" s="8">
        <f t="shared" si="107"/>
        <v>-1.0363040768906147</v>
      </c>
    </row>
    <row r="2300" spans="1:5" x14ac:dyDescent="0.2">
      <c r="A2300" s="1">
        <v>44970</v>
      </c>
      <c r="B2300">
        <v>104890.2</v>
      </c>
      <c r="C2300" s="6">
        <f t="shared" si="105"/>
        <v>1.2349732243970624E-2</v>
      </c>
      <c r="D2300" s="7">
        <f t="shared" si="106"/>
        <v>1.0124988965196624</v>
      </c>
      <c r="E2300" s="8">
        <f t="shared" si="107"/>
        <v>-1.6696914194007511</v>
      </c>
    </row>
    <row r="2301" spans="1:5" x14ac:dyDescent="0.2">
      <c r="A2301" s="1">
        <v>44971</v>
      </c>
      <c r="B2301">
        <v>105070</v>
      </c>
      <c r="C2301" s="6">
        <f t="shared" si="105"/>
        <v>1.7127059695269669E-3</v>
      </c>
      <c r="D2301" s="7">
        <f t="shared" si="106"/>
        <v>0.11881898725158378</v>
      </c>
      <c r="E2301" s="8">
        <f t="shared" si="107"/>
        <v>-0.65096224998059826</v>
      </c>
    </row>
    <row r="2302" spans="1:5" x14ac:dyDescent="0.2">
      <c r="A2302" s="1">
        <v>44972</v>
      </c>
      <c r="B2302">
        <v>106082.1</v>
      </c>
      <c r="C2302" s="6">
        <f t="shared" si="105"/>
        <v>9.5865279210132891E-3</v>
      </c>
      <c r="D2302" s="7">
        <f t="shared" si="106"/>
        <v>0.78034564946388874</v>
      </c>
      <c r="E2302" s="8">
        <f t="shared" si="107"/>
        <v>-1.2991598734810794</v>
      </c>
    </row>
    <row r="2303" spans="1:5" x14ac:dyDescent="0.2">
      <c r="A2303" s="1">
        <v>44973</v>
      </c>
      <c r="B2303">
        <v>106940.1</v>
      </c>
      <c r="C2303" s="6">
        <f t="shared" si="105"/>
        <v>8.0555420022476558E-3</v>
      </c>
      <c r="D2303" s="7">
        <f t="shared" si="106"/>
        <v>0.65171840706810569</v>
      </c>
      <c r="E2303" s="8">
        <f t="shared" si="107"/>
        <v>-1.1158038829310462</v>
      </c>
    </row>
    <row r="2304" spans="1:5" x14ac:dyDescent="0.2">
      <c r="A2304" s="1">
        <v>44974</v>
      </c>
      <c r="B2304">
        <v>105125.6</v>
      </c>
      <c r="C2304" s="6">
        <f t="shared" si="105"/>
        <v>-1.7113038856038303E-2</v>
      </c>
      <c r="D2304" s="7">
        <f t="shared" si="106"/>
        <v>-1.4628439224318011</v>
      </c>
      <c r="E2304" s="8">
        <f t="shared" si="107"/>
        <v>-2.4545244280191385</v>
      </c>
    </row>
    <row r="2305" spans="1:5" x14ac:dyDescent="0.2">
      <c r="A2305" s="1">
        <v>44977</v>
      </c>
      <c r="B2305">
        <v>105309.5</v>
      </c>
      <c r="C2305" s="6">
        <f t="shared" si="105"/>
        <v>1.7478077261378819E-3</v>
      </c>
      <c r="D2305" s="7">
        <f t="shared" si="106"/>
        <v>0.12176809481734784</v>
      </c>
      <c r="E2305" s="8">
        <f t="shared" si="107"/>
        <v>-0.6518449702262783</v>
      </c>
    </row>
    <row r="2306" spans="1:5" x14ac:dyDescent="0.2">
      <c r="A2306" s="1">
        <v>44978</v>
      </c>
      <c r="B2306">
        <v>104097.2</v>
      </c>
      <c r="C2306" s="6">
        <f t="shared" si="105"/>
        <v>-1.1578555449074856E-2</v>
      </c>
      <c r="D2306" s="7">
        <f t="shared" si="106"/>
        <v>-0.99785901956810374</v>
      </c>
      <c r="E2306" s="8">
        <f t="shared" si="107"/>
        <v>-1.645222965596711</v>
      </c>
    </row>
    <row r="2307" spans="1:5" x14ac:dyDescent="0.2">
      <c r="A2307" s="1">
        <v>44979</v>
      </c>
      <c r="B2307">
        <v>104248.1</v>
      </c>
      <c r="C2307" s="6">
        <f t="shared" ref="C2307:C2370" si="108">LN(B2307/B2306)</f>
        <v>1.4485570481920784E-3</v>
      </c>
      <c r="D2307" s="7">
        <f t="shared" ref="D2307:D2370" si="109">(C2307-$G$4)/$G$5</f>
        <v>9.6626263649970734E-2</v>
      </c>
      <c r="E2307" s="8">
        <f t="shared" ref="E2307:E2370" si="110">LN((PI()*(G$3-2))^(-1/2)*EXP(GAMMALN((G$3+1)/2))*((1+D2307^2/(G$3-2))^(-(G$3+1)/2))/EXP(GAMMALN(G$3/2)))</f>
        <v>-0.64500559211802655</v>
      </c>
    </row>
    <row r="2308" spans="1:5" x14ac:dyDescent="0.2">
      <c r="A2308" s="1">
        <v>44980</v>
      </c>
      <c r="B2308">
        <v>105136.6</v>
      </c>
      <c r="C2308" s="6">
        <f t="shared" si="108"/>
        <v>8.4868219399940673E-3</v>
      </c>
      <c r="D2308" s="7">
        <f t="shared" si="109"/>
        <v>0.68795280244234436</v>
      </c>
      <c r="E2308" s="8">
        <f t="shared" si="110"/>
        <v>-1.1654451944012156</v>
      </c>
    </row>
    <row r="2309" spans="1:5" x14ac:dyDescent="0.2">
      <c r="A2309" s="1">
        <v>44981</v>
      </c>
      <c r="B2309">
        <v>102807.5</v>
      </c>
      <c r="C2309" s="6">
        <f t="shared" si="108"/>
        <v>-2.2402149474894353E-2</v>
      </c>
      <c r="D2309" s="7">
        <f t="shared" si="109"/>
        <v>-1.9072135964378312</v>
      </c>
      <c r="E2309" s="8">
        <f t="shared" si="110"/>
        <v>-3.226474229181294</v>
      </c>
    </row>
    <row r="2310" spans="1:5" x14ac:dyDescent="0.2">
      <c r="A2310" s="1">
        <v>44984</v>
      </c>
      <c r="B2310">
        <v>104047.6</v>
      </c>
      <c r="C2310" s="6">
        <f t="shared" si="108"/>
        <v>1.1990179181627838E-2</v>
      </c>
      <c r="D2310" s="7">
        <f t="shared" si="109"/>
        <v>0.98229070300381371</v>
      </c>
      <c r="E2310" s="8">
        <f t="shared" si="110"/>
        <v>-1.6193338907469612</v>
      </c>
    </row>
    <row r="2311" spans="1:5" x14ac:dyDescent="0.2">
      <c r="A2311" s="1">
        <v>44985</v>
      </c>
      <c r="B2311">
        <v>103991.4</v>
      </c>
      <c r="C2311" s="6">
        <f t="shared" si="108"/>
        <v>-5.4028332540629394E-4</v>
      </c>
      <c r="D2311" s="7">
        <f t="shared" si="109"/>
        <v>-7.046805752289359E-2</v>
      </c>
      <c r="E2311" s="8">
        <f t="shared" si="110"/>
        <v>-0.63954778853255545</v>
      </c>
    </row>
    <row r="2312" spans="1:5" x14ac:dyDescent="0.2">
      <c r="A2312" s="1">
        <v>44986</v>
      </c>
      <c r="B2312">
        <v>105311.5</v>
      </c>
      <c r="C2312" s="6">
        <f t="shared" si="108"/>
        <v>1.2614421538153578E-2</v>
      </c>
      <c r="D2312" s="7">
        <f t="shared" si="109"/>
        <v>1.0347370200615755</v>
      </c>
      <c r="E2312" s="8">
        <f t="shared" si="110"/>
        <v>-1.7070747534592527</v>
      </c>
    </row>
    <row r="2313" spans="1:5" x14ac:dyDescent="0.2">
      <c r="A2313" s="1">
        <v>44987</v>
      </c>
      <c r="B2313">
        <v>103620</v>
      </c>
      <c r="C2313" s="6">
        <f t="shared" si="108"/>
        <v>-1.6192263565994139E-2</v>
      </c>
      <c r="D2313" s="7">
        <f t="shared" si="109"/>
        <v>-1.385484108097226</v>
      </c>
      <c r="E2313" s="8">
        <f t="shared" si="110"/>
        <v>-2.3177349461789256</v>
      </c>
    </row>
    <row r="2314" spans="1:5" x14ac:dyDescent="0.2">
      <c r="A2314" s="1">
        <v>44988</v>
      </c>
      <c r="B2314">
        <v>104204.5</v>
      </c>
      <c r="C2314" s="6">
        <f t="shared" si="108"/>
        <v>5.6249531805504177E-3</v>
      </c>
      <c r="D2314" s="7">
        <f t="shared" si="109"/>
        <v>0.44751016863767057</v>
      </c>
      <c r="E2314" s="8">
        <f t="shared" si="110"/>
        <v>-0.872465257885912</v>
      </c>
    </row>
    <row r="2315" spans="1:5" x14ac:dyDescent="0.2">
      <c r="A2315" s="1">
        <v>44991</v>
      </c>
      <c r="B2315">
        <v>106111.5</v>
      </c>
      <c r="C2315" s="6">
        <f t="shared" si="108"/>
        <v>1.813511349206854E-2</v>
      </c>
      <c r="D2315" s="7">
        <f t="shared" si="109"/>
        <v>1.498563220841528</v>
      </c>
      <c r="E2315" s="8">
        <f t="shared" si="110"/>
        <v>-2.5176201861482381</v>
      </c>
    </row>
    <row r="2316" spans="1:5" x14ac:dyDescent="0.2">
      <c r="A2316" s="1">
        <v>44992</v>
      </c>
      <c r="B2316">
        <v>106401.7</v>
      </c>
      <c r="C2316" s="6">
        <f t="shared" si="108"/>
        <v>2.7311261642539958E-3</v>
      </c>
      <c r="D2316" s="7">
        <f t="shared" si="109"/>
        <v>0.20438253139804521</v>
      </c>
      <c r="E2316" s="8">
        <f t="shared" si="110"/>
        <v>-0.68513833085401876</v>
      </c>
    </row>
    <row r="2317" spans="1:5" x14ac:dyDescent="0.2">
      <c r="A2317" s="1">
        <v>44993</v>
      </c>
      <c r="B2317">
        <v>105090.5</v>
      </c>
      <c r="C2317" s="6">
        <f t="shared" si="108"/>
        <v>-1.239967053070353E-2</v>
      </c>
      <c r="D2317" s="7">
        <f t="shared" si="109"/>
        <v>-1.066845786425267</v>
      </c>
      <c r="E2317" s="8">
        <f t="shared" si="110"/>
        <v>-1.761473900034576</v>
      </c>
    </row>
    <row r="2318" spans="1:5" x14ac:dyDescent="0.2">
      <c r="A2318" s="1">
        <v>44994</v>
      </c>
      <c r="B2318">
        <v>104746.1</v>
      </c>
      <c r="C2318" s="6">
        <f t="shared" si="108"/>
        <v>-3.2825570872539777E-3</v>
      </c>
      <c r="D2318" s="7">
        <f t="shared" si="109"/>
        <v>-0.30086280352106015</v>
      </c>
      <c r="E2318" s="8">
        <f t="shared" si="110"/>
        <v>-0.74426405564654463</v>
      </c>
    </row>
    <row r="2319" spans="1:5" x14ac:dyDescent="0.2">
      <c r="A2319" s="1">
        <v>44995</v>
      </c>
      <c r="B2319">
        <v>102565.1</v>
      </c>
      <c r="C2319" s="6">
        <f t="shared" si="108"/>
        <v>-2.1041607680463738E-2</v>
      </c>
      <c r="D2319" s="7">
        <f t="shared" si="109"/>
        <v>-1.7929063797372902</v>
      </c>
      <c r="E2319" s="8">
        <f t="shared" si="110"/>
        <v>-3.0315283299030611</v>
      </c>
    </row>
    <row r="2320" spans="1:5" x14ac:dyDescent="0.2">
      <c r="A2320" s="1">
        <v>44998</v>
      </c>
      <c r="B2320">
        <v>100399.2</v>
      </c>
      <c r="C2320" s="6">
        <f t="shared" si="108"/>
        <v>-2.1343479826700696E-2</v>
      </c>
      <c r="D2320" s="7">
        <f t="shared" si="109"/>
        <v>-1.8182684560638069</v>
      </c>
      <c r="E2320" s="8">
        <f t="shared" si="110"/>
        <v>-3.0750531716346323</v>
      </c>
    </row>
    <row r="2321" spans="1:5" x14ac:dyDescent="0.2">
      <c r="A2321" s="1">
        <v>44999</v>
      </c>
      <c r="B2321">
        <v>100568.9</v>
      </c>
      <c r="C2321" s="6">
        <f t="shared" si="108"/>
        <v>1.688825642814926E-3</v>
      </c>
      <c r="D2321" s="7">
        <f t="shared" si="109"/>
        <v>0.11681265882306584</v>
      </c>
      <c r="E2321" s="8">
        <f t="shared" si="110"/>
        <v>-0.6503739161756068</v>
      </c>
    </row>
    <row r="2322" spans="1:5" x14ac:dyDescent="0.2">
      <c r="A2322" s="1">
        <v>45000</v>
      </c>
      <c r="B2322">
        <v>98172.49</v>
      </c>
      <c r="C2322" s="6">
        <f t="shared" si="108"/>
        <v>-2.4117031194237894E-2</v>
      </c>
      <c r="D2322" s="7">
        <f t="shared" si="109"/>
        <v>-2.0512910199401606</v>
      </c>
      <c r="E2322" s="8">
        <f t="shared" si="110"/>
        <v>-3.4673404604323239</v>
      </c>
    </row>
    <row r="2323" spans="1:5" x14ac:dyDescent="0.2">
      <c r="A2323" s="1">
        <v>45001</v>
      </c>
      <c r="B2323">
        <v>98877.94</v>
      </c>
      <c r="C2323" s="6">
        <f t="shared" si="108"/>
        <v>7.1601266120603479E-3</v>
      </c>
      <c r="D2323" s="7">
        <f t="shared" si="109"/>
        <v>0.57648922891119758</v>
      </c>
      <c r="E2323" s="8">
        <f t="shared" si="110"/>
        <v>-1.0184962266741748</v>
      </c>
    </row>
    <row r="2324" spans="1:5" x14ac:dyDescent="0.2">
      <c r="A2324" s="1">
        <v>45002</v>
      </c>
      <c r="B2324">
        <v>97048.61</v>
      </c>
      <c r="C2324" s="6">
        <f t="shared" si="108"/>
        <v>-1.8674173160747348E-2</v>
      </c>
      <c r="D2324" s="7">
        <f t="shared" si="109"/>
        <v>-1.5940041102316225</v>
      </c>
      <c r="E2324" s="8">
        <f t="shared" si="110"/>
        <v>-2.6856825415384673</v>
      </c>
    </row>
    <row r="2325" spans="1:5" x14ac:dyDescent="0.2">
      <c r="A2325" s="1">
        <v>45005</v>
      </c>
      <c r="B2325">
        <v>99818.2</v>
      </c>
      <c r="C2325" s="6">
        <f t="shared" si="108"/>
        <v>2.8138544422168052E-2</v>
      </c>
      <c r="D2325" s="7">
        <f t="shared" si="109"/>
        <v>2.3390110128583244</v>
      </c>
      <c r="E2325" s="8">
        <f t="shared" si="110"/>
        <v>-3.9301834212056055</v>
      </c>
    </row>
    <row r="2326" spans="1:5" x14ac:dyDescent="0.2">
      <c r="A2326" s="1">
        <v>45007</v>
      </c>
      <c r="B2326">
        <v>101692</v>
      </c>
      <c r="C2326" s="6">
        <f t="shared" si="108"/>
        <v>1.8598105806458039E-2</v>
      </c>
      <c r="D2326" s="7">
        <f t="shared" si="109"/>
        <v>1.5374619617903527</v>
      </c>
      <c r="E2326" s="8">
        <f t="shared" si="110"/>
        <v>-2.5862288604629304</v>
      </c>
    </row>
    <row r="2327" spans="1:5" x14ac:dyDescent="0.2">
      <c r="A2327" s="1">
        <v>45008</v>
      </c>
      <c r="B2327">
        <v>102646</v>
      </c>
      <c r="C2327" s="6">
        <f t="shared" si="108"/>
        <v>9.3375381139538804E-3</v>
      </c>
      <c r="D2327" s="7">
        <f t="shared" si="109"/>
        <v>0.75942653330863918</v>
      </c>
      <c r="E2327" s="8">
        <f t="shared" si="110"/>
        <v>-1.2680536051278171</v>
      </c>
    </row>
    <row r="2328" spans="1:5" x14ac:dyDescent="0.2">
      <c r="A2328" s="1">
        <v>45009</v>
      </c>
      <c r="B2328">
        <v>101619.2</v>
      </c>
      <c r="C2328" s="6">
        <f t="shared" si="108"/>
        <v>-1.0053681672315301E-2</v>
      </c>
      <c r="D2328" s="7">
        <f t="shared" si="109"/>
        <v>-0.86974529461342631</v>
      </c>
      <c r="E2328" s="8">
        <f t="shared" si="110"/>
        <v>-1.4368656251452085</v>
      </c>
    </row>
    <row r="2329" spans="1:5" x14ac:dyDescent="0.2">
      <c r="A2329" s="1">
        <v>45012</v>
      </c>
      <c r="B2329">
        <v>102191</v>
      </c>
      <c r="C2329" s="6">
        <f t="shared" si="108"/>
        <v>5.6111176010067683E-3</v>
      </c>
      <c r="D2329" s="7">
        <f t="shared" si="109"/>
        <v>0.44634775922434172</v>
      </c>
      <c r="E2329" s="8">
        <f t="shared" si="110"/>
        <v>-0.87128187863296958</v>
      </c>
    </row>
    <row r="2330" spans="1:5" x14ac:dyDescent="0.2">
      <c r="A2330" s="1">
        <v>45013</v>
      </c>
      <c r="B2330">
        <v>102327</v>
      </c>
      <c r="C2330" s="6">
        <f t="shared" si="108"/>
        <v>1.3299564835000503E-3</v>
      </c>
      <c r="D2330" s="7">
        <f t="shared" si="109"/>
        <v>8.6661924072492527E-2</v>
      </c>
      <c r="E2330" s="8">
        <f t="shared" si="110"/>
        <v>-0.64272653737854812</v>
      </c>
    </row>
    <row r="2331" spans="1:5" x14ac:dyDescent="0.2">
      <c r="A2331" s="1">
        <v>45014</v>
      </c>
      <c r="B2331">
        <v>103311.4</v>
      </c>
      <c r="C2331" s="6">
        <f t="shared" si="108"/>
        <v>9.5741604635805194E-3</v>
      </c>
      <c r="D2331" s="7">
        <f t="shared" si="109"/>
        <v>0.77930658573016942</v>
      </c>
      <c r="E2331" s="8">
        <f t="shared" si="110"/>
        <v>-1.2976040875268056</v>
      </c>
    </row>
    <row r="2332" spans="1:5" x14ac:dyDescent="0.2">
      <c r="A2332" s="1">
        <v>45015</v>
      </c>
      <c r="B2332">
        <v>103221.9</v>
      </c>
      <c r="C2332" s="6">
        <f t="shared" si="108"/>
        <v>-8.6668838005609077E-4</v>
      </c>
      <c r="D2332" s="7">
        <f t="shared" si="109"/>
        <v>-9.7891289552028471E-2</v>
      </c>
      <c r="E2332" s="8">
        <f t="shared" si="110"/>
        <v>-0.64531249785019151</v>
      </c>
    </row>
    <row r="2333" spans="1:5" x14ac:dyDescent="0.2">
      <c r="A2333" s="1">
        <v>45016</v>
      </c>
      <c r="B2333">
        <v>102950.2</v>
      </c>
      <c r="C2333" s="6">
        <f t="shared" si="108"/>
        <v>-2.6356636740409458E-3</v>
      </c>
      <c r="D2333" s="7">
        <f t="shared" si="109"/>
        <v>-0.24651343632852901</v>
      </c>
      <c r="E2333" s="8">
        <f t="shared" si="110"/>
        <v>-0.70834679198570094</v>
      </c>
    </row>
    <row r="2334" spans="1:5" x14ac:dyDescent="0.2">
      <c r="A2334" s="1">
        <v>45019</v>
      </c>
      <c r="B2334">
        <v>103235.3</v>
      </c>
      <c r="C2334" s="6">
        <f t="shared" si="108"/>
        <v>2.7654726612674914E-3</v>
      </c>
      <c r="D2334" s="7">
        <f t="shared" si="109"/>
        <v>0.20726818510827849</v>
      </c>
      <c r="E2334" s="8">
        <f t="shared" si="110"/>
        <v>-0.68659592387466351</v>
      </c>
    </row>
    <row r="2335" spans="1:5" x14ac:dyDescent="0.2">
      <c r="A2335" s="1">
        <v>45020</v>
      </c>
      <c r="B2335">
        <v>104092</v>
      </c>
      <c r="C2335" s="6">
        <f t="shared" si="108"/>
        <v>8.2642746605905322E-3</v>
      </c>
      <c r="D2335" s="7">
        <f t="shared" si="109"/>
        <v>0.66925528047203109</v>
      </c>
      <c r="E2335" s="8">
        <f t="shared" si="110"/>
        <v>-1.1396173697349623</v>
      </c>
    </row>
    <row r="2336" spans="1:5" x14ac:dyDescent="0.2">
      <c r="A2336" s="1">
        <v>45021</v>
      </c>
      <c r="B2336">
        <v>102852.3</v>
      </c>
      <c r="C2336" s="6">
        <f t="shared" si="108"/>
        <v>-1.1981144971396579E-2</v>
      </c>
      <c r="D2336" s="7">
        <f t="shared" si="109"/>
        <v>-1.0316829623222148</v>
      </c>
      <c r="E2336" s="8">
        <f t="shared" si="110"/>
        <v>-1.7019259387124177</v>
      </c>
    </row>
    <row r="2337" spans="1:5" x14ac:dyDescent="0.2">
      <c r="A2337" s="1">
        <v>45022</v>
      </c>
      <c r="B2337">
        <v>103070</v>
      </c>
      <c r="C2337" s="6">
        <f t="shared" si="108"/>
        <v>2.1143905357018404E-3</v>
      </c>
      <c r="D2337" s="7">
        <f t="shared" si="109"/>
        <v>0.15256689925176581</v>
      </c>
      <c r="E2337" s="8">
        <f t="shared" si="110"/>
        <v>-0.66233279997651517</v>
      </c>
    </row>
    <row r="2338" spans="1:5" x14ac:dyDescent="0.2">
      <c r="A2338" s="1">
        <v>45027</v>
      </c>
      <c r="B2338">
        <v>103461</v>
      </c>
      <c r="C2338" s="6">
        <f t="shared" si="108"/>
        <v>3.7863610511916414E-3</v>
      </c>
      <c r="D2338" s="7">
        <f t="shared" si="109"/>
        <v>0.29303909702867487</v>
      </c>
      <c r="E2338" s="8">
        <f t="shared" si="110"/>
        <v>-0.73868816960304884</v>
      </c>
    </row>
    <row r="2339" spans="1:5" x14ac:dyDescent="0.2">
      <c r="A2339" s="1">
        <v>45028</v>
      </c>
      <c r="B2339">
        <v>102461.3</v>
      </c>
      <c r="C2339" s="6">
        <f t="shared" si="108"/>
        <v>-9.7095637911307226E-3</v>
      </c>
      <c r="D2339" s="7">
        <f t="shared" si="109"/>
        <v>-0.84083390256643797</v>
      </c>
      <c r="E2339" s="8">
        <f t="shared" si="110"/>
        <v>-1.3915412210072027</v>
      </c>
    </row>
    <row r="2340" spans="1:5" x14ac:dyDescent="0.2">
      <c r="A2340" s="1">
        <v>45029</v>
      </c>
      <c r="B2340">
        <v>104011.9</v>
      </c>
      <c r="C2340" s="6">
        <f t="shared" si="108"/>
        <v>1.5020149363712567E-2</v>
      </c>
      <c r="D2340" s="7">
        <f t="shared" si="109"/>
        <v>1.2368565381861745</v>
      </c>
      <c r="E2340" s="8">
        <f t="shared" si="110"/>
        <v>-2.0557438623919504</v>
      </c>
    </row>
    <row r="2341" spans="1:5" x14ac:dyDescent="0.2">
      <c r="A2341" s="1">
        <v>45030</v>
      </c>
      <c r="B2341">
        <v>105968.6</v>
      </c>
      <c r="C2341" s="6">
        <f t="shared" si="108"/>
        <v>1.8637508140787115E-2</v>
      </c>
      <c r="D2341" s="7">
        <f t="shared" si="109"/>
        <v>1.5407723864954943</v>
      </c>
      <c r="E2341" s="8">
        <f t="shared" si="110"/>
        <v>-2.592061435667385</v>
      </c>
    </row>
    <row r="2342" spans="1:5" x14ac:dyDescent="0.2">
      <c r="A2342" s="1">
        <v>45033</v>
      </c>
      <c r="B2342">
        <v>105831.6</v>
      </c>
      <c r="C2342" s="6">
        <f t="shared" si="108"/>
        <v>-1.2936722355010974E-3</v>
      </c>
      <c r="D2342" s="7">
        <f t="shared" si="109"/>
        <v>-0.13376474547361647</v>
      </c>
      <c r="E2342" s="8">
        <f t="shared" si="110"/>
        <v>-0.65565526477805602</v>
      </c>
    </row>
    <row r="2343" spans="1:5" x14ac:dyDescent="0.2">
      <c r="A2343" s="1">
        <v>45034</v>
      </c>
      <c r="B2343">
        <v>105857.5</v>
      </c>
      <c r="C2343" s="6">
        <f t="shared" si="108"/>
        <v>2.4469847648493143E-4</v>
      </c>
      <c r="D2343" s="7">
        <f t="shared" si="109"/>
        <v>-4.5170626309556684E-3</v>
      </c>
      <c r="E2343" s="8">
        <f t="shared" si="110"/>
        <v>-0.63335825321326655</v>
      </c>
    </row>
    <row r="2344" spans="1:5" x14ac:dyDescent="0.2">
      <c r="A2344" s="1">
        <v>45035</v>
      </c>
      <c r="B2344">
        <v>106028.9</v>
      </c>
      <c r="C2344" s="6">
        <f t="shared" si="108"/>
        <v>1.6178484073131917E-3</v>
      </c>
      <c r="D2344" s="7">
        <f t="shared" si="109"/>
        <v>0.11084943867612618</v>
      </c>
      <c r="E2344" s="8">
        <f t="shared" si="110"/>
        <v>-0.64868363880529656</v>
      </c>
    </row>
    <row r="2345" spans="1:5" x14ac:dyDescent="0.2">
      <c r="A2345" s="1">
        <v>45036</v>
      </c>
      <c r="B2345">
        <v>106035.1</v>
      </c>
      <c r="C2345" s="6">
        <f t="shared" si="108"/>
        <v>5.8472913854080122E-5</v>
      </c>
      <c r="D2345" s="7">
        <f t="shared" si="109"/>
        <v>-2.0162980918775313E-2</v>
      </c>
      <c r="E2345" s="8">
        <f t="shared" si="110"/>
        <v>-0.63384209693965532</v>
      </c>
    </row>
    <row r="2346" spans="1:5" x14ac:dyDescent="0.2">
      <c r="A2346" s="1">
        <v>45037</v>
      </c>
      <c r="B2346">
        <v>105644.9</v>
      </c>
      <c r="C2346" s="6">
        <f t="shared" si="108"/>
        <v>-3.6867010767082323E-3</v>
      </c>
      <c r="D2346" s="7">
        <f t="shared" si="109"/>
        <v>-0.33481734631414051</v>
      </c>
      <c r="E2346" s="8">
        <f t="shared" si="110"/>
        <v>-0.77000335732215697</v>
      </c>
    </row>
    <row r="2347" spans="1:5" x14ac:dyDescent="0.2">
      <c r="A2347" s="1">
        <v>45040</v>
      </c>
      <c r="B2347">
        <v>106172.1</v>
      </c>
      <c r="C2347" s="6">
        <f t="shared" si="108"/>
        <v>4.977892129920179E-3</v>
      </c>
      <c r="D2347" s="7">
        <f t="shared" si="109"/>
        <v>0.3931467172276209</v>
      </c>
      <c r="E2347" s="8">
        <f t="shared" si="110"/>
        <v>-0.81987727131951871</v>
      </c>
    </row>
    <row r="2348" spans="1:5" x14ac:dyDescent="0.2">
      <c r="A2348" s="1">
        <v>45041</v>
      </c>
      <c r="B2348">
        <v>106573.5</v>
      </c>
      <c r="C2348" s="6">
        <f t="shared" si="108"/>
        <v>3.7735255282457295E-3</v>
      </c>
      <c r="D2348" s="7">
        <f t="shared" si="109"/>
        <v>0.2919607083243741</v>
      </c>
      <c r="E2348" s="8">
        <f t="shared" si="110"/>
        <v>-0.737930170236334</v>
      </c>
    </row>
    <row r="2349" spans="1:5" x14ac:dyDescent="0.2">
      <c r="A2349" s="1">
        <v>45042</v>
      </c>
      <c r="B2349">
        <v>106107.9</v>
      </c>
      <c r="C2349" s="6">
        <f t="shared" si="108"/>
        <v>-4.3783870503614425E-3</v>
      </c>
      <c r="D2349" s="7">
        <f t="shared" si="109"/>
        <v>-0.39293000320035604</v>
      </c>
      <c r="E2349" s="8">
        <f t="shared" si="110"/>
        <v>-0.81967915813641234</v>
      </c>
    </row>
    <row r="2350" spans="1:5" x14ac:dyDescent="0.2">
      <c r="A2350" s="1">
        <v>45044</v>
      </c>
      <c r="B2350">
        <v>106036.9</v>
      </c>
      <c r="C2350" s="6">
        <f t="shared" si="108"/>
        <v>-6.6935416423949108E-4</v>
      </c>
      <c r="D2350" s="7">
        <f t="shared" si="109"/>
        <v>-8.1312067170095426E-2</v>
      </c>
      <c r="E2350" s="8">
        <f t="shared" si="110"/>
        <v>-0.64160438483186333</v>
      </c>
    </row>
    <row r="2351" spans="1:5" x14ac:dyDescent="0.2">
      <c r="A2351" s="1">
        <v>45048</v>
      </c>
      <c r="B2351">
        <v>105057</v>
      </c>
      <c r="C2351" s="6">
        <f t="shared" si="108"/>
        <v>-9.2840867355241212E-3</v>
      </c>
      <c r="D2351" s="7">
        <f t="shared" si="109"/>
        <v>-0.80508704187063274</v>
      </c>
      <c r="E2351" s="8">
        <f t="shared" si="110"/>
        <v>-1.3365245753127275</v>
      </c>
    </row>
    <row r="2352" spans="1:5" x14ac:dyDescent="0.2">
      <c r="A2352" s="1">
        <v>45049</v>
      </c>
      <c r="B2352">
        <v>106182.5</v>
      </c>
      <c r="C2352" s="6">
        <f t="shared" si="108"/>
        <v>1.0656251795316899E-2</v>
      </c>
      <c r="D2352" s="7">
        <f t="shared" si="109"/>
        <v>0.87021952118933477</v>
      </c>
      <c r="E2352" s="8">
        <f t="shared" si="110"/>
        <v>-1.4376149042295285</v>
      </c>
    </row>
    <row r="2353" spans="1:5" x14ac:dyDescent="0.2">
      <c r="A2353" s="1">
        <v>45050</v>
      </c>
      <c r="B2353">
        <v>104282.6</v>
      </c>
      <c r="C2353" s="6">
        <f t="shared" si="108"/>
        <v>-1.8054790174546247E-2</v>
      </c>
      <c r="D2353" s="7">
        <f t="shared" si="109"/>
        <v>-1.5419660578071122</v>
      </c>
      <c r="E2353" s="8">
        <f t="shared" si="110"/>
        <v>-2.5941642748249589</v>
      </c>
    </row>
    <row r="2354" spans="1:5" x14ac:dyDescent="0.2">
      <c r="A2354" s="1">
        <v>45051</v>
      </c>
      <c r="B2354">
        <v>105221.6</v>
      </c>
      <c r="C2354" s="6">
        <f t="shared" si="108"/>
        <v>8.9640807940874704E-3</v>
      </c>
      <c r="D2354" s="7">
        <f t="shared" si="109"/>
        <v>0.72805016033346104</v>
      </c>
      <c r="E2354" s="8">
        <f t="shared" si="110"/>
        <v>-1.2222830276766798</v>
      </c>
    </row>
    <row r="2355" spans="1:5" x14ac:dyDescent="0.2">
      <c r="A2355" s="1">
        <v>45054</v>
      </c>
      <c r="B2355">
        <v>105298.8</v>
      </c>
      <c r="C2355" s="6">
        <f t="shared" si="108"/>
        <v>7.3342064199501003E-4</v>
      </c>
      <c r="D2355" s="7">
        <f t="shared" si="109"/>
        <v>3.65433963038597E-2</v>
      </c>
      <c r="E2355" s="8">
        <f t="shared" si="110"/>
        <v>-0.63500561094951269</v>
      </c>
    </row>
    <row r="2356" spans="1:5" x14ac:dyDescent="0.2">
      <c r="A2356" s="1">
        <v>45055</v>
      </c>
      <c r="B2356">
        <v>104245.2</v>
      </c>
      <c r="C2356" s="6">
        <f t="shared" si="108"/>
        <v>-1.0056206610174683E-2</v>
      </c>
      <c r="D2356" s="7">
        <f t="shared" si="109"/>
        <v>-0.86995742967625889</v>
      </c>
      <c r="E2356" s="8">
        <f t="shared" si="110"/>
        <v>-1.4372007763522046</v>
      </c>
    </row>
    <row r="2357" spans="1:5" x14ac:dyDescent="0.2">
      <c r="A2357" s="1">
        <v>45056</v>
      </c>
      <c r="B2357">
        <v>104892.5</v>
      </c>
      <c r="C2357" s="6">
        <f t="shared" si="108"/>
        <v>6.1901997293301236E-3</v>
      </c>
      <c r="D2357" s="7">
        <f t="shared" si="109"/>
        <v>0.49499989663065352</v>
      </c>
      <c r="E2357" s="8">
        <f t="shared" si="110"/>
        <v>-0.92291768555551978</v>
      </c>
    </row>
    <row r="2358" spans="1:5" x14ac:dyDescent="0.2">
      <c r="A2358" s="1">
        <v>45057</v>
      </c>
      <c r="B2358">
        <v>105652.2</v>
      </c>
      <c r="C2358" s="6">
        <f t="shared" si="108"/>
        <v>7.2165511362399931E-3</v>
      </c>
      <c r="D2358" s="7">
        <f t="shared" si="109"/>
        <v>0.58122978913435996</v>
      </c>
      <c r="E2358" s="8">
        <f t="shared" si="110"/>
        <v>-1.0243833503108848</v>
      </c>
    </row>
    <row r="2359" spans="1:5" x14ac:dyDescent="0.2">
      <c r="A2359" s="1">
        <v>45058</v>
      </c>
      <c r="B2359">
        <v>108036</v>
      </c>
      <c r="C2359" s="6">
        <f t="shared" si="108"/>
        <v>2.2311937595345777E-2</v>
      </c>
      <c r="D2359" s="7">
        <f t="shared" si="109"/>
        <v>1.849483082214227</v>
      </c>
      <c r="E2359" s="8">
        <f t="shared" si="110"/>
        <v>-3.1284148617590271</v>
      </c>
    </row>
    <row r="2360" spans="1:5" x14ac:dyDescent="0.2">
      <c r="A2360" s="1">
        <v>45061</v>
      </c>
      <c r="B2360">
        <v>108180.9</v>
      </c>
      <c r="C2360" s="6">
        <f t="shared" si="108"/>
        <v>1.3403209618882727E-3</v>
      </c>
      <c r="D2360" s="7">
        <f t="shared" si="109"/>
        <v>8.7532705611112163E-2</v>
      </c>
      <c r="E2360" s="8">
        <f t="shared" si="110"/>
        <v>-0.64291590144118493</v>
      </c>
    </row>
    <row r="2361" spans="1:5" x14ac:dyDescent="0.2">
      <c r="A2361" s="1">
        <v>45062</v>
      </c>
      <c r="B2361">
        <v>108084.9</v>
      </c>
      <c r="C2361" s="6">
        <f t="shared" si="108"/>
        <v>-8.877964644013359E-4</v>
      </c>
      <c r="D2361" s="7">
        <f t="shared" si="109"/>
        <v>-9.9664705393616049E-2</v>
      </c>
      <c r="E2361" s="8">
        <f t="shared" si="110"/>
        <v>-0.64574939867614078</v>
      </c>
    </row>
    <row r="2362" spans="1:5" x14ac:dyDescent="0.2">
      <c r="A2362" s="1">
        <v>45063</v>
      </c>
      <c r="B2362">
        <v>109297.9</v>
      </c>
      <c r="C2362" s="6">
        <f t="shared" si="108"/>
        <v>1.1160152411341925E-2</v>
      </c>
      <c r="D2362" s="7">
        <f t="shared" si="109"/>
        <v>0.91255521212311752</v>
      </c>
      <c r="E2362" s="8">
        <f t="shared" si="110"/>
        <v>-1.5052170083222449</v>
      </c>
    </row>
    <row r="2363" spans="1:5" x14ac:dyDescent="0.2">
      <c r="A2363" s="1">
        <v>45064</v>
      </c>
      <c r="B2363">
        <v>108103.3</v>
      </c>
      <c r="C2363" s="6">
        <f t="shared" si="108"/>
        <v>-1.0989930354407916E-2</v>
      </c>
      <c r="D2363" s="7">
        <f t="shared" si="109"/>
        <v>-0.94840512074125538</v>
      </c>
      <c r="E2363" s="8">
        <f t="shared" si="110"/>
        <v>-1.5634855752360444</v>
      </c>
    </row>
    <row r="2364" spans="1:5" x14ac:dyDescent="0.2">
      <c r="A2364" s="1">
        <v>45065</v>
      </c>
      <c r="B2364">
        <v>108474.5</v>
      </c>
      <c r="C2364" s="6">
        <f t="shared" si="108"/>
        <v>3.4278708480355359E-3</v>
      </c>
      <c r="D2364" s="7">
        <f t="shared" si="109"/>
        <v>0.26292020064127264</v>
      </c>
      <c r="E2364" s="8">
        <f t="shared" si="110"/>
        <v>-0.71849009196455682</v>
      </c>
    </row>
    <row r="2365" spans="1:5" x14ac:dyDescent="0.2">
      <c r="A2365" s="1">
        <v>45068</v>
      </c>
      <c r="B2365">
        <v>108051.4</v>
      </c>
      <c r="C2365" s="6">
        <f t="shared" si="108"/>
        <v>-3.9080824834740492E-3</v>
      </c>
      <c r="D2365" s="7">
        <f t="shared" si="109"/>
        <v>-0.35341691638265221</v>
      </c>
      <c r="E2365" s="8">
        <f t="shared" si="110"/>
        <v>-0.78514398681312936</v>
      </c>
    </row>
    <row r="2366" spans="1:5" x14ac:dyDescent="0.2">
      <c r="A2366" s="1">
        <v>45069</v>
      </c>
      <c r="B2366">
        <v>105542.6</v>
      </c>
      <c r="C2366" s="6">
        <f t="shared" si="108"/>
        <v>-2.3492376949843206E-2</v>
      </c>
      <c r="D2366" s="7">
        <f t="shared" si="109"/>
        <v>-1.998810097730183</v>
      </c>
      <c r="E2366" s="8">
        <f t="shared" si="110"/>
        <v>-3.3802677834164894</v>
      </c>
    </row>
    <row r="2367" spans="1:5" x14ac:dyDescent="0.2">
      <c r="A2367" s="1">
        <v>45070</v>
      </c>
      <c r="B2367">
        <v>103899</v>
      </c>
      <c r="C2367" s="6">
        <f t="shared" si="108"/>
        <v>-1.5695389463690774E-2</v>
      </c>
      <c r="D2367" s="7">
        <f t="shared" si="109"/>
        <v>-1.3437387564164667</v>
      </c>
      <c r="E2367" s="8">
        <f t="shared" si="110"/>
        <v>-2.243952389782613</v>
      </c>
    </row>
    <row r="2368" spans="1:5" x14ac:dyDescent="0.2">
      <c r="A2368" s="1">
        <v>45071</v>
      </c>
      <c r="B2368">
        <v>105305.9</v>
      </c>
      <c r="C2368" s="6">
        <f t="shared" si="108"/>
        <v>1.345017453986122E-2</v>
      </c>
      <c r="D2368" s="7">
        <f t="shared" si="109"/>
        <v>1.1049536057375073</v>
      </c>
      <c r="E2368" s="8">
        <f t="shared" si="110"/>
        <v>-1.826614465046672</v>
      </c>
    </row>
    <row r="2369" spans="1:5" x14ac:dyDescent="0.2">
      <c r="A2369" s="1">
        <v>45072</v>
      </c>
      <c r="B2369">
        <v>106353.2</v>
      </c>
      <c r="C2369" s="6">
        <f t="shared" si="108"/>
        <v>9.8961825616130563E-3</v>
      </c>
      <c r="D2369" s="7">
        <f t="shared" si="109"/>
        <v>0.80636157947813636</v>
      </c>
      <c r="E2369" s="8">
        <f t="shared" si="110"/>
        <v>-1.3384656531496884</v>
      </c>
    </row>
    <row r="2370" spans="1:5" x14ac:dyDescent="0.2">
      <c r="A2370" s="1">
        <v>45075</v>
      </c>
      <c r="B2370">
        <v>106260.5</v>
      </c>
      <c r="C2370" s="6">
        <f t="shared" si="108"/>
        <v>-8.7200407004834766E-4</v>
      </c>
      <c r="D2370" s="7">
        <f t="shared" si="109"/>
        <v>-9.8337892317445247E-2</v>
      </c>
      <c r="E2370" s="8">
        <f t="shared" si="110"/>
        <v>-0.64542179166224667</v>
      </c>
    </row>
    <row r="2371" spans="1:5" x14ac:dyDescent="0.2">
      <c r="A2371" s="1">
        <v>45076</v>
      </c>
      <c r="B2371">
        <v>105731.3</v>
      </c>
      <c r="C2371" s="6">
        <f t="shared" ref="C2371:C2434" si="111">LN(B2371/B2370)</f>
        <v>-4.9926563127757886E-3</v>
      </c>
      <c r="D2371" s="7">
        <f t="shared" ref="D2371:D2434" si="112">(C2371-$G$4)/$G$5</f>
        <v>-0.44453842124286336</v>
      </c>
      <c r="E2371" s="8">
        <f t="shared" ref="E2371:E2434" si="113">LN((PI()*(G$3-2))^(-1/2)*EXP(GAMMALN((G$3+1)/2))*((1+D2371^2/(G$3-2))^(-(G$3+1)/2))/EXP(GAMMALN(G$3/2)))</f>
        <v>-0.86944491297697701</v>
      </c>
    </row>
    <row r="2372" spans="1:5" x14ac:dyDescent="0.2">
      <c r="A2372" s="1">
        <v>45077</v>
      </c>
      <c r="B2372">
        <v>102774.3</v>
      </c>
      <c r="C2372" s="6">
        <f t="shared" si="111"/>
        <v>-2.8365648372583444E-2</v>
      </c>
      <c r="D2372" s="7">
        <f t="shared" si="112"/>
        <v>-2.4082426449992269</v>
      </c>
      <c r="E2372" s="8">
        <f t="shared" si="113"/>
        <v>-4.0377497858637232</v>
      </c>
    </row>
    <row r="2373" spans="1:5" x14ac:dyDescent="0.2">
      <c r="A2373" s="1">
        <v>45078</v>
      </c>
      <c r="B2373">
        <v>102956</v>
      </c>
      <c r="C2373" s="6">
        <f t="shared" si="111"/>
        <v>1.7663907284834347E-3</v>
      </c>
      <c r="D2373" s="7">
        <f t="shared" si="112"/>
        <v>0.12332936348601724</v>
      </c>
      <c r="E2373" s="8">
        <f t="shared" si="113"/>
        <v>-0.65232091702772499</v>
      </c>
    </row>
    <row r="2374" spans="1:5" x14ac:dyDescent="0.2">
      <c r="A2374" s="1">
        <v>45079</v>
      </c>
      <c r="B2374">
        <v>105035.6</v>
      </c>
      <c r="C2374" s="6">
        <f t="shared" si="111"/>
        <v>1.9997627818576485E-2</v>
      </c>
      <c r="D2374" s="7">
        <f t="shared" si="112"/>
        <v>1.6550441386637578</v>
      </c>
      <c r="E2374" s="8">
        <f t="shared" si="113"/>
        <v>-2.7925670810786647</v>
      </c>
    </row>
    <row r="2375" spans="1:5" x14ac:dyDescent="0.2">
      <c r="A2375" s="1">
        <v>45082</v>
      </c>
      <c r="B2375">
        <v>103842.3</v>
      </c>
      <c r="C2375" s="6">
        <f t="shared" si="111"/>
        <v>-1.142593814172233E-2</v>
      </c>
      <c r="D2375" s="7">
        <f t="shared" si="112"/>
        <v>-0.98503673090691712</v>
      </c>
      <c r="E2375" s="8">
        <f t="shared" si="113"/>
        <v>-1.623890233388777</v>
      </c>
    </row>
    <row r="2376" spans="1:5" x14ac:dyDescent="0.2">
      <c r="A2376" s="1">
        <v>45083</v>
      </c>
      <c r="B2376">
        <v>103875.9</v>
      </c>
      <c r="C2376" s="6">
        <f t="shared" si="111"/>
        <v>3.2351522681263293E-4</v>
      </c>
      <c r="D2376" s="7">
        <f t="shared" si="112"/>
        <v>2.1048018323197226E-3</v>
      </c>
      <c r="E2376" s="8">
        <f t="shared" si="113"/>
        <v>-0.63333823586614713</v>
      </c>
    </row>
    <row r="2377" spans="1:5" x14ac:dyDescent="0.2">
      <c r="A2377" s="1">
        <v>45084</v>
      </c>
      <c r="B2377">
        <v>103485.9</v>
      </c>
      <c r="C2377" s="6">
        <f t="shared" si="111"/>
        <v>-3.7615458570457797E-3</v>
      </c>
      <c r="D2377" s="7">
        <f t="shared" si="112"/>
        <v>-0.34110550192977068</v>
      </c>
      <c r="E2377" s="8">
        <f t="shared" si="113"/>
        <v>-0.77504073794042683</v>
      </c>
    </row>
    <row r="2378" spans="1:5" x14ac:dyDescent="0.2">
      <c r="A2378" s="1">
        <v>45085</v>
      </c>
      <c r="B2378">
        <v>103426.8</v>
      </c>
      <c r="C2378" s="6">
        <f t="shared" si="111"/>
        <v>-5.7125542904979678E-4</v>
      </c>
      <c r="D2378" s="7">
        <f t="shared" si="112"/>
        <v>-7.3070208355261901E-2</v>
      </c>
      <c r="E2378" s="8">
        <f t="shared" si="113"/>
        <v>-0.64001464430999466</v>
      </c>
    </row>
    <row r="2379" spans="1:5" x14ac:dyDescent="0.2">
      <c r="A2379" s="1">
        <v>45086</v>
      </c>
      <c r="B2379">
        <v>102983.9</v>
      </c>
      <c r="C2379" s="6">
        <f t="shared" si="111"/>
        <v>-4.2914507796733307E-3</v>
      </c>
      <c r="D2379" s="7">
        <f t="shared" si="112"/>
        <v>-0.38562596948866718</v>
      </c>
      <c r="E2379" s="8">
        <f t="shared" si="113"/>
        <v>-0.81305688169019397</v>
      </c>
    </row>
    <row r="2380" spans="1:5" x14ac:dyDescent="0.2">
      <c r="A2380" s="1">
        <v>45089</v>
      </c>
      <c r="B2380">
        <v>103299.5</v>
      </c>
      <c r="C2380" s="6">
        <f t="shared" si="111"/>
        <v>3.0598705105870571E-3</v>
      </c>
      <c r="D2380" s="7">
        <f t="shared" si="112"/>
        <v>0.23200230124943538</v>
      </c>
      <c r="E2380" s="8">
        <f t="shared" si="113"/>
        <v>-0.69988845773389863</v>
      </c>
    </row>
    <row r="2381" spans="1:5" x14ac:dyDescent="0.2">
      <c r="A2381" s="1">
        <v>45090</v>
      </c>
      <c r="B2381">
        <v>105484</v>
      </c>
      <c r="C2381" s="6">
        <f t="shared" si="111"/>
        <v>2.0926746804171295E-2</v>
      </c>
      <c r="D2381" s="7">
        <f t="shared" si="112"/>
        <v>1.733104956539198</v>
      </c>
      <c r="E2381" s="8">
        <f t="shared" si="113"/>
        <v>-2.9283381023062929</v>
      </c>
    </row>
    <row r="2382" spans="1:5" x14ac:dyDescent="0.2">
      <c r="A2382" s="1">
        <v>45091</v>
      </c>
      <c r="B2382">
        <v>104636.3</v>
      </c>
      <c r="C2382" s="6">
        <f t="shared" si="111"/>
        <v>-8.0687548904791965E-3</v>
      </c>
      <c r="D2382" s="7">
        <f t="shared" si="112"/>
        <v>-0.70297977758570351</v>
      </c>
      <c r="E2382" s="8">
        <f t="shared" si="113"/>
        <v>-1.1865195800967712</v>
      </c>
    </row>
    <row r="2383" spans="1:5" x14ac:dyDescent="0.2">
      <c r="A2383" s="1">
        <v>45092</v>
      </c>
      <c r="B2383">
        <v>105503.3</v>
      </c>
      <c r="C2383" s="6">
        <f t="shared" si="111"/>
        <v>8.2517042912613921E-3</v>
      </c>
      <c r="D2383" s="7">
        <f t="shared" si="112"/>
        <v>0.66819916890177744</v>
      </c>
      <c r="E2383" s="8">
        <f t="shared" si="113"/>
        <v>-1.1381718601375259</v>
      </c>
    </row>
    <row r="2384" spans="1:5" x14ac:dyDescent="0.2">
      <c r="A2384" s="1">
        <v>45096</v>
      </c>
      <c r="B2384">
        <v>105334.5</v>
      </c>
      <c r="C2384" s="6">
        <f t="shared" si="111"/>
        <v>-1.6012312409455619E-3</v>
      </c>
      <c r="D2384" s="7">
        <f t="shared" si="112"/>
        <v>-0.15960460870123319</v>
      </c>
      <c r="E2384" s="8">
        <f t="shared" si="113"/>
        <v>-0.66505265856045148</v>
      </c>
    </row>
    <row r="2385" spans="1:5" x14ac:dyDescent="0.2">
      <c r="A2385" s="1">
        <v>45097</v>
      </c>
      <c r="B2385">
        <v>103613.2</v>
      </c>
      <c r="C2385" s="6">
        <f t="shared" si="111"/>
        <v>-1.6476265970398966E-2</v>
      </c>
      <c r="D2385" s="7">
        <f t="shared" si="112"/>
        <v>-1.4093448410174987</v>
      </c>
      <c r="E2385" s="8">
        <f t="shared" si="113"/>
        <v>-2.3599303939998206</v>
      </c>
    </row>
    <row r="2386" spans="1:5" x14ac:dyDescent="0.2">
      <c r="A2386" s="1">
        <v>45098</v>
      </c>
      <c r="B2386">
        <v>102304.2</v>
      </c>
      <c r="C2386" s="6">
        <f t="shared" si="111"/>
        <v>-1.2714007003139741E-2</v>
      </c>
      <c r="D2386" s="7">
        <f t="shared" si="112"/>
        <v>-1.0932550650073238</v>
      </c>
      <c r="E2386" s="8">
        <f t="shared" si="113"/>
        <v>-1.8065555625425815</v>
      </c>
    </row>
    <row r="2387" spans="1:5" x14ac:dyDescent="0.2">
      <c r="A2387" s="1">
        <v>45099</v>
      </c>
      <c r="B2387">
        <v>102453.8</v>
      </c>
      <c r="C2387" s="6">
        <f t="shared" si="111"/>
        <v>1.461237427783119E-3</v>
      </c>
      <c r="D2387" s="7">
        <f t="shared" si="112"/>
        <v>9.7691617837318431E-2</v>
      </c>
      <c r="E2387" s="8">
        <f t="shared" si="113"/>
        <v>-0.64526379305014236</v>
      </c>
    </row>
    <row r="2388" spans="1:5" x14ac:dyDescent="0.2">
      <c r="A2388" s="1">
        <v>45100</v>
      </c>
      <c r="B2388">
        <v>101623.3</v>
      </c>
      <c r="C2388" s="6">
        <f t="shared" si="111"/>
        <v>-8.1391257003003981E-3</v>
      </c>
      <c r="D2388" s="7">
        <f t="shared" si="112"/>
        <v>-0.70889204830061459</v>
      </c>
      <c r="E2388" s="8">
        <f t="shared" si="113"/>
        <v>-1.1948865154652375</v>
      </c>
    </row>
    <row r="2389" spans="1:5" x14ac:dyDescent="0.2">
      <c r="A2389" s="1">
        <v>45103</v>
      </c>
      <c r="B2389">
        <v>101641</v>
      </c>
      <c r="C2389" s="6">
        <f t="shared" si="111"/>
        <v>1.7415748899071639E-4</v>
      </c>
      <c r="D2389" s="7">
        <f t="shared" si="112"/>
        <v>-1.0443630985400009E-2</v>
      </c>
      <c r="E2389" s="8">
        <f t="shared" si="113"/>
        <v>-0.63346936128023756</v>
      </c>
    </row>
    <row r="2390" spans="1:5" x14ac:dyDescent="0.2">
      <c r="A2390" s="1">
        <v>45104</v>
      </c>
      <c r="B2390">
        <v>103878</v>
      </c>
      <c r="C2390" s="6">
        <f t="shared" si="111"/>
        <v>2.1770136575227625E-2</v>
      </c>
      <c r="D2390" s="7">
        <f t="shared" si="112"/>
        <v>1.8039631526767899</v>
      </c>
      <c r="E2390" s="8">
        <f t="shared" si="113"/>
        <v>-3.0505214269726002</v>
      </c>
    </row>
    <row r="2391" spans="1:5" x14ac:dyDescent="0.2">
      <c r="A2391" s="1">
        <v>45105</v>
      </c>
      <c r="B2391">
        <v>105307.4</v>
      </c>
      <c r="C2391" s="6">
        <f t="shared" si="111"/>
        <v>1.366655844934387E-2</v>
      </c>
      <c r="D2391" s="7">
        <f t="shared" si="112"/>
        <v>1.1231333063045852</v>
      </c>
      <c r="E2391" s="8">
        <f t="shared" si="113"/>
        <v>-1.857886612108953</v>
      </c>
    </row>
    <row r="2392" spans="1:5" x14ac:dyDescent="0.2">
      <c r="A2392" s="1">
        <v>45106</v>
      </c>
      <c r="B2392">
        <v>104777.5</v>
      </c>
      <c r="C2392" s="6">
        <f t="shared" si="111"/>
        <v>-5.0446378940818088E-3</v>
      </c>
      <c r="D2392" s="7">
        <f t="shared" si="112"/>
        <v>-0.44890570338230745</v>
      </c>
      <c r="E2392" s="8">
        <f t="shared" si="113"/>
        <v>-0.87388928962394308</v>
      </c>
    </row>
    <row r="2393" spans="1:5" x14ac:dyDescent="0.2">
      <c r="A2393" s="1">
        <v>45107</v>
      </c>
      <c r="B2393">
        <v>106419.9</v>
      </c>
      <c r="C2393" s="6">
        <f t="shared" si="111"/>
        <v>1.5553535314531675E-2</v>
      </c>
      <c r="D2393" s="7">
        <f t="shared" si="112"/>
        <v>1.28166946764919</v>
      </c>
      <c r="E2393" s="8">
        <f t="shared" si="113"/>
        <v>-2.1344798399120246</v>
      </c>
    </row>
    <row r="2394" spans="1:5" x14ac:dyDescent="0.2">
      <c r="A2394" s="1">
        <v>45110</v>
      </c>
      <c r="B2394">
        <v>105768.3</v>
      </c>
      <c r="C2394" s="6">
        <f t="shared" si="111"/>
        <v>-6.1417368943731954E-3</v>
      </c>
      <c r="D2394" s="7">
        <f t="shared" si="112"/>
        <v>-0.54107952243116431</v>
      </c>
      <c r="E2394" s="8">
        <f t="shared" si="113"/>
        <v>-0.97563117741453709</v>
      </c>
    </row>
    <row r="2395" spans="1:5" x14ac:dyDescent="0.2">
      <c r="A2395" s="1">
        <v>45111</v>
      </c>
      <c r="B2395">
        <v>105619.5</v>
      </c>
      <c r="C2395" s="6">
        <f t="shared" si="111"/>
        <v>-1.4078392847358147E-3</v>
      </c>
      <c r="D2395" s="7">
        <f t="shared" si="112"/>
        <v>-0.14335659902075107</v>
      </c>
      <c r="E2395" s="8">
        <f t="shared" si="113"/>
        <v>-0.65895444306167283</v>
      </c>
    </row>
    <row r="2396" spans="1:5" x14ac:dyDescent="0.2">
      <c r="A2396" s="1">
        <v>45112</v>
      </c>
      <c r="B2396">
        <v>105124.7</v>
      </c>
      <c r="C2396" s="6">
        <f t="shared" si="111"/>
        <v>-4.6957487721797225E-3</v>
      </c>
      <c r="D2396" s="7">
        <f t="shared" si="112"/>
        <v>-0.41959345099507867</v>
      </c>
      <c r="E2396" s="8">
        <f t="shared" si="113"/>
        <v>-0.84474878484428451</v>
      </c>
    </row>
    <row r="2397" spans="1:5" x14ac:dyDescent="0.2">
      <c r="A2397" s="1">
        <v>45113</v>
      </c>
      <c r="B2397">
        <v>102842.2</v>
      </c>
      <c r="C2397" s="6">
        <f t="shared" si="111"/>
        <v>-2.1951489920327832E-2</v>
      </c>
      <c r="D2397" s="7">
        <f t="shared" si="112"/>
        <v>-1.8693510040699408</v>
      </c>
      <c r="E2397" s="8">
        <f t="shared" si="113"/>
        <v>-3.1622562868894271</v>
      </c>
    </row>
    <row r="2398" spans="1:5" x14ac:dyDescent="0.2">
      <c r="A2398" s="1">
        <v>45114</v>
      </c>
      <c r="B2398">
        <v>103543.8</v>
      </c>
      <c r="C2398" s="6">
        <f t="shared" si="111"/>
        <v>6.7989369690909345E-3</v>
      </c>
      <c r="D2398" s="7">
        <f t="shared" si="112"/>
        <v>0.54614353651284375</v>
      </c>
      <c r="E2398" s="8">
        <f t="shared" si="113"/>
        <v>-0.98163920994278386</v>
      </c>
    </row>
    <row r="2399" spans="1:5" x14ac:dyDescent="0.2">
      <c r="A2399" s="1">
        <v>45117</v>
      </c>
      <c r="B2399">
        <v>103338</v>
      </c>
      <c r="C2399" s="6">
        <f t="shared" si="111"/>
        <v>-1.9895425105977346E-3</v>
      </c>
      <c r="D2399" s="7">
        <f t="shared" si="112"/>
        <v>-0.19222895043707011</v>
      </c>
      <c r="E2399" s="8">
        <f t="shared" si="113"/>
        <v>-0.67921487955244331</v>
      </c>
    </row>
    <row r="2400" spans="1:5" x14ac:dyDescent="0.2">
      <c r="A2400" s="1">
        <v>45118</v>
      </c>
      <c r="B2400">
        <v>103979</v>
      </c>
      <c r="C2400" s="6">
        <f t="shared" si="111"/>
        <v>6.1837865935758613E-3</v>
      </c>
      <c r="D2400" s="7">
        <f t="shared" si="112"/>
        <v>0.49446109091267171</v>
      </c>
      <c r="E2400" s="8">
        <f t="shared" si="113"/>
        <v>-0.9223227131509284</v>
      </c>
    </row>
    <row r="2401" spans="1:5" x14ac:dyDescent="0.2">
      <c r="A2401" s="1">
        <v>45119</v>
      </c>
      <c r="B2401">
        <v>106098.6</v>
      </c>
      <c r="C2401" s="6">
        <f t="shared" si="111"/>
        <v>2.0179894758677784E-2</v>
      </c>
      <c r="D2401" s="7">
        <f t="shared" si="112"/>
        <v>1.670357469503567</v>
      </c>
      <c r="E2401" s="8">
        <f t="shared" si="113"/>
        <v>-2.8192888075839679</v>
      </c>
    </row>
    <row r="2402" spans="1:5" x14ac:dyDescent="0.2">
      <c r="A2402" s="1">
        <v>45120</v>
      </c>
      <c r="B2402">
        <v>106437.9</v>
      </c>
      <c r="C2402" s="6">
        <f t="shared" si="111"/>
        <v>3.1928660559144553E-3</v>
      </c>
      <c r="D2402" s="7">
        <f t="shared" si="112"/>
        <v>0.24317604885658456</v>
      </c>
      <c r="E2402" s="8">
        <f t="shared" si="113"/>
        <v>-0.70635862936548799</v>
      </c>
    </row>
    <row r="2403" spans="1:5" x14ac:dyDescent="0.2">
      <c r="A2403" s="1">
        <v>45121</v>
      </c>
      <c r="B2403">
        <v>107007.4</v>
      </c>
      <c r="C2403" s="6">
        <f t="shared" si="111"/>
        <v>5.3362744592132041E-3</v>
      </c>
      <c r="D2403" s="7">
        <f t="shared" si="112"/>
        <v>0.42325655048951394</v>
      </c>
      <c r="E2403" s="8">
        <f t="shared" si="113"/>
        <v>-0.84830105683727519</v>
      </c>
    </row>
    <row r="2404" spans="1:5" x14ac:dyDescent="0.2">
      <c r="A2404" s="1">
        <v>45124</v>
      </c>
      <c r="B2404">
        <v>106209.60000000001</v>
      </c>
      <c r="C2404" s="6">
        <f t="shared" si="111"/>
        <v>-7.4834907464065084E-3</v>
      </c>
      <c r="D2404" s="7">
        <f t="shared" si="112"/>
        <v>-0.65380825222909289</v>
      </c>
      <c r="E2404" s="8">
        <f t="shared" si="113"/>
        <v>-1.1186203519198044</v>
      </c>
    </row>
    <row r="2405" spans="1:5" x14ac:dyDescent="0.2">
      <c r="A2405" s="1">
        <v>45125</v>
      </c>
      <c r="B2405">
        <v>105127.4</v>
      </c>
      <c r="C2405" s="6">
        <f t="shared" si="111"/>
        <v>-1.0241552205798726E-2</v>
      </c>
      <c r="D2405" s="7">
        <f t="shared" si="112"/>
        <v>-0.88552941669658769</v>
      </c>
      <c r="E2405" s="8">
        <f t="shared" si="113"/>
        <v>-1.4619017950363391</v>
      </c>
    </row>
    <row r="2406" spans="1:5" x14ac:dyDescent="0.2">
      <c r="A2406" s="1">
        <v>45126</v>
      </c>
      <c r="B2406">
        <v>105474</v>
      </c>
      <c r="C2406" s="6">
        <f t="shared" si="111"/>
        <v>3.2915290489683282E-3</v>
      </c>
      <c r="D2406" s="7">
        <f t="shared" si="112"/>
        <v>0.25146531433413116</v>
      </c>
      <c r="E2406" s="8">
        <f t="shared" si="113"/>
        <v>-0.71134368682922877</v>
      </c>
    </row>
    <row r="2407" spans="1:5" x14ac:dyDescent="0.2">
      <c r="A2407" s="1">
        <v>45127</v>
      </c>
      <c r="B2407">
        <v>104386.6</v>
      </c>
      <c r="C2407" s="6">
        <f t="shared" si="111"/>
        <v>-1.036316232557782E-2</v>
      </c>
      <c r="D2407" s="7">
        <f t="shared" si="112"/>
        <v>-0.89574660691556596</v>
      </c>
      <c r="E2407" s="8">
        <f t="shared" si="113"/>
        <v>-1.4782123505917397</v>
      </c>
    </row>
    <row r="2408" spans="1:5" x14ac:dyDescent="0.2">
      <c r="A2408" s="1">
        <v>45128</v>
      </c>
      <c r="B2408">
        <v>104220</v>
      </c>
      <c r="C2408" s="6">
        <f t="shared" si="111"/>
        <v>-1.5972652391625908E-3</v>
      </c>
      <c r="D2408" s="7">
        <f t="shared" si="112"/>
        <v>-0.15927140127820763</v>
      </c>
      <c r="E2408" s="8">
        <f t="shared" si="113"/>
        <v>-0.66492118662290989</v>
      </c>
    </row>
    <row r="2409" spans="1:5" x14ac:dyDescent="0.2">
      <c r="A2409" s="1">
        <v>45131</v>
      </c>
      <c r="B2409">
        <v>104129.1</v>
      </c>
      <c r="C2409" s="6">
        <f t="shared" si="111"/>
        <v>-8.7257401896612651E-4</v>
      </c>
      <c r="D2409" s="7">
        <f t="shared" si="112"/>
        <v>-9.8385777119455356E-2</v>
      </c>
      <c r="E2409" s="8">
        <f t="shared" si="113"/>
        <v>-0.64543353940300929</v>
      </c>
    </row>
    <row r="2410" spans="1:5" x14ac:dyDescent="0.2">
      <c r="A2410" s="1">
        <v>45132</v>
      </c>
      <c r="B2410">
        <v>105031.3</v>
      </c>
      <c r="C2410" s="6">
        <f t="shared" si="111"/>
        <v>8.6269255119583062E-3</v>
      </c>
      <c r="D2410" s="7">
        <f t="shared" si="112"/>
        <v>0.69972373768784213</v>
      </c>
      <c r="E2410" s="8">
        <f t="shared" si="113"/>
        <v>-1.1819297154535651</v>
      </c>
    </row>
    <row r="2411" spans="1:5" x14ac:dyDescent="0.2">
      <c r="A2411" s="1">
        <v>45133</v>
      </c>
      <c r="B2411">
        <v>105289.60000000001</v>
      </c>
      <c r="C2411" s="6">
        <f t="shared" si="111"/>
        <v>2.4562478561438485E-3</v>
      </c>
      <c r="D2411" s="7">
        <f t="shared" si="112"/>
        <v>0.181288368131584</v>
      </c>
      <c r="E2411" s="8">
        <f t="shared" si="113"/>
        <v>-0.67418207881942638</v>
      </c>
    </row>
    <row r="2412" spans="1:5" x14ac:dyDescent="0.2">
      <c r="A2412" s="1">
        <v>45134</v>
      </c>
      <c r="B2412">
        <v>106913</v>
      </c>
      <c r="C2412" s="6">
        <f t="shared" si="111"/>
        <v>1.5300770787377646E-2</v>
      </c>
      <c r="D2412" s="7">
        <f t="shared" si="112"/>
        <v>1.2604332147844282</v>
      </c>
      <c r="E2412" s="8">
        <f t="shared" si="113"/>
        <v>-2.0971283666059923</v>
      </c>
    </row>
    <row r="2413" spans="1:5" x14ac:dyDescent="0.2">
      <c r="A2413" s="1">
        <v>45135</v>
      </c>
      <c r="B2413">
        <v>108465.60000000001</v>
      </c>
      <c r="C2413" s="6">
        <f t="shared" si="111"/>
        <v>1.441765240049131E-2</v>
      </c>
      <c r="D2413" s="7">
        <f t="shared" si="112"/>
        <v>1.1862371810901491</v>
      </c>
      <c r="E2413" s="8">
        <f t="shared" si="113"/>
        <v>-1.9672619939535416</v>
      </c>
    </row>
    <row r="2414" spans="1:5" x14ac:dyDescent="0.2">
      <c r="A2414" s="1">
        <v>45138</v>
      </c>
      <c r="B2414">
        <v>109103.7</v>
      </c>
      <c r="C2414" s="6">
        <f t="shared" si="111"/>
        <v>5.8657340864033541E-3</v>
      </c>
      <c r="D2414" s="7">
        <f t="shared" si="112"/>
        <v>0.46773960612746307</v>
      </c>
      <c r="E2414" s="8">
        <f t="shared" si="113"/>
        <v>-0.89345895794121233</v>
      </c>
    </row>
    <row r="2415" spans="1:5" x14ac:dyDescent="0.2">
      <c r="A2415" s="1">
        <v>45139</v>
      </c>
      <c r="B2415">
        <v>109563.4</v>
      </c>
      <c r="C2415" s="6">
        <f t="shared" si="111"/>
        <v>4.2045710326841026E-3</v>
      </c>
      <c r="D2415" s="7">
        <f t="shared" si="112"/>
        <v>0.32817540756060831</v>
      </c>
      <c r="E2415" s="8">
        <f t="shared" si="113"/>
        <v>-0.76477360296758057</v>
      </c>
    </row>
    <row r="2416" spans="1:5" x14ac:dyDescent="0.2">
      <c r="A2416" s="1">
        <v>45140</v>
      </c>
      <c r="B2416">
        <v>106658.4</v>
      </c>
      <c r="C2416" s="6">
        <f t="shared" si="111"/>
        <v>-2.6872173014778775E-2</v>
      </c>
      <c r="D2416" s="7">
        <f t="shared" si="112"/>
        <v>-2.2827668881644723</v>
      </c>
      <c r="E2416" s="8">
        <f t="shared" si="113"/>
        <v>-3.8416954525897866</v>
      </c>
    </row>
    <row r="2417" spans="1:5" x14ac:dyDescent="0.2">
      <c r="A2417" s="1">
        <v>45141</v>
      </c>
      <c r="B2417">
        <v>107247</v>
      </c>
      <c r="C2417" s="6">
        <f t="shared" si="111"/>
        <v>5.5033812665475895E-3</v>
      </c>
      <c r="D2417" s="7">
        <f t="shared" si="112"/>
        <v>0.43729618831343031</v>
      </c>
      <c r="E2417" s="8">
        <f t="shared" si="113"/>
        <v>-0.86215348128352498</v>
      </c>
    </row>
    <row r="2418" spans="1:5" x14ac:dyDescent="0.2">
      <c r="A2418" s="1">
        <v>45142</v>
      </c>
      <c r="B2418">
        <v>107079.1</v>
      </c>
      <c r="C2418" s="6">
        <f t="shared" si="111"/>
        <v>-1.5667717029925012E-3</v>
      </c>
      <c r="D2418" s="7">
        <f t="shared" si="112"/>
        <v>-0.1567094577486309</v>
      </c>
      <c r="E2418" s="8">
        <f t="shared" si="113"/>
        <v>-0.66391928407158263</v>
      </c>
    </row>
    <row r="2419" spans="1:5" x14ac:dyDescent="0.2">
      <c r="A2419" s="1">
        <v>45145</v>
      </c>
      <c r="B2419">
        <v>106866.9</v>
      </c>
      <c r="C2419" s="6">
        <f t="shared" si="111"/>
        <v>-1.9836787748646555E-3</v>
      </c>
      <c r="D2419" s="7">
        <f t="shared" si="112"/>
        <v>-0.19173630308594902</v>
      </c>
      <c r="E2419" s="8">
        <f t="shared" si="113"/>
        <v>-0.678982140598831</v>
      </c>
    </row>
    <row r="2420" spans="1:5" x14ac:dyDescent="0.2">
      <c r="A2420" s="1">
        <v>45146</v>
      </c>
      <c r="B2420">
        <v>106460.5</v>
      </c>
      <c r="C2420" s="6">
        <f t="shared" si="111"/>
        <v>-3.8101105778285838E-3</v>
      </c>
      <c r="D2420" s="7">
        <f t="shared" si="112"/>
        <v>-0.34518571327296171</v>
      </c>
      <c r="E2420" s="8">
        <f t="shared" si="113"/>
        <v>-0.77835394790605816</v>
      </c>
    </row>
    <row r="2421" spans="1:5" x14ac:dyDescent="0.2">
      <c r="A2421" s="1">
        <v>45148</v>
      </c>
      <c r="B2421">
        <v>108144.3</v>
      </c>
      <c r="C2421" s="6">
        <f t="shared" si="111"/>
        <v>1.5692422099912107E-2</v>
      </c>
      <c r="D2421" s="7">
        <f t="shared" si="112"/>
        <v>1.2933381734091383</v>
      </c>
      <c r="E2421" s="8">
        <f t="shared" si="113"/>
        <v>-2.1550294286357623</v>
      </c>
    </row>
    <row r="2422" spans="1:5" x14ac:dyDescent="0.2">
      <c r="A2422" s="1">
        <v>45149</v>
      </c>
      <c r="B2422">
        <v>106096.6</v>
      </c>
      <c r="C2422" s="6">
        <f t="shared" si="111"/>
        <v>-1.9116446567017806E-2</v>
      </c>
      <c r="D2422" s="7">
        <f t="shared" si="112"/>
        <v>-1.6311621323507453</v>
      </c>
      <c r="E2422" s="8">
        <f t="shared" si="113"/>
        <v>-2.750815698045598</v>
      </c>
    </row>
    <row r="2423" spans="1:5" x14ac:dyDescent="0.2">
      <c r="A2423" s="1">
        <v>45152</v>
      </c>
      <c r="B2423">
        <v>106414.7</v>
      </c>
      <c r="C2423" s="6">
        <f t="shared" si="111"/>
        <v>2.9937253932192059E-3</v>
      </c>
      <c r="D2423" s="7">
        <f t="shared" si="112"/>
        <v>0.22644505611694468</v>
      </c>
      <c r="E2423" s="8">
        <f t="shared" si="113"/>
        <v>-0.69677786616130821</v>
      </c>
    </row>
    <row r="2424" spans="1:5" x14ac:dyDescent="0.2">
      <c r="A2424" s="1">
        <v>45153</v>
      </c>
      <c r="B2424">
        <v>106154.1</v>
      </c>
      <c r="C2424" s="6">
        <f t="shared" si="111"/>
        <v>-2.4519132681554926E-3</v>
      </c>
      <c r="D2424" s="7">
        <f t="shared" si="112"/>
        <v>-0.23107547069576356</v>
      </c>
      <c r="E2424" s="8">
        <f t="shared" si="113"/>
        <v>-0.69936470874152812</v>
      </c>
    </row>
    <row r="2425" spans="1:5" x14ac:dyDescent="0.2">
      <c r="A2425" s="1">
        <v>45154</v>
      </c>
      <c r="B2425">
        <v>104847.2</v>
      </c>
      <c r="C2425" s="6">
        <f t="shared" si="111"/>
        <v>-1.2387759816257803E-2</v>
      </c>
      <c r="D2425" s="7">
        <f t="shared" si="112"/>
        <v>-1.065845096389298</v>
      </c>
      <c r="E2425" s="8">
        <f t="shared" si="113"/>
        <v>-1.7597714546956138</v>
      </c>
    </row>
    <row r="2426" spans="1:5" x14ac:dyDescent="0.2">
      <c r="A2426" s="1">
        <v>45155</v>
      </c>
      <c r="B2426">
        <v>104806.39999999999</v>
      </c>
      <c r="C2426" s="6">
        <f t="shared" si="111"/>
        <v>-3.892134503300962E-4</v>
      </c>
      <c r="D2426" s="7">
        <f t="shared" si="112"/>
        <v>-5.7775777860521731E-2</v>
      </c>
      <c r="E2426" s="8">
        <f t="shared" si="113"/>
        <v>-0.63751226365714087</v>
      </c>
    </row>
    <row r="2427" spans="1:5" x14ac:dyDescent="0.2">
      <c r="A2427" s="1">
        <v>45156</v>
      </c>
      <c r="B2427">
        <v>102967.5</v>
      </c>
      <c r="C2427" s="6">
        <f t="shared" si="111"/>
        <v>-1.7701434266881848E-2</v>
      </c>
      <c r="D2427" s="7">
        <f t="shared" si="112"/>
        <v>-1.512278524153128</v>
      </c>
      <c r="E2427" s="8">
        <f t="shared" si="113"/>
        <v>-2.5418252788409941</v>
      </c>
    </row>
    <row r="2428" spans="1:5" x14ac:dyDescent="0.2">
      <c r="A2428" s="1">
        <v>45159</v>
      </c>
      <c r="B2428">
        <v>103713.2</v>
      </c>
      <c r="C2428" s="6">
        <f t="shared" si="111"/>
        <v>7.215992937397696E-3</v>
      </c>
      <c r="D2428" s="7">
        <f t="shared" si="112"/>
        <v>0.58118289152614999</v>
      </c>
      <c r="E2428" s="8">
        <f t="shared" si="113"/>
        <v>-1.0243249420427343</v>
      </c>
    </row>
    <row r="2429" spans="1:5" x14ac:dyDescent="0.2">
      <c r="A2429" s="1">
        <v>45160</v>
      </c>
      <c r="B2429">
        <v>102450</v>
      </c>
      <c r="C2429" s="6">
        <f t="shared" si="111"/>
        <v>-1.2254522710221486E-2</v>
      </c>
      <c r="D2429" s="7">
        <f t="shared" si="112"/>
        <v>-1.0546510538287608</v>
      </c>
      <c r="E2429" s="8">
        <f t="shared" si="113"/>
        <v>-1.7407575414015586</v>
      </c>
    </row>
    <row r="2430" spans="1:5" x14ac:dyDescent="0.2">
      <c r="A2430" s="1">
        <v>45161</v>
      </c>
      <c r="B2430">
        <v>102379.9</v>
      </c>
      <c r="C2430" s="6">
        <f t="shared" si="111"/>
        <v>-6.8447040922078504E-4</v>
      </c>
      <c r="D2430" s="7">
        <f t="shared" si="112"/>
        <v>-8.2582072911814186E-2</v>
      </c>
      <c r="E2430" s="8">
        <f t="shared" si="113"/>
        <v>-0.64186434799963843</v>
      </c>
    </row>
    <row r="2431" spans="1:5" x14ac:dyDescent="0.2">
      <c r="A2431" s="1">
        <v>45162</v>
      </c>
      <c r="B2431">
        <v>102465.9</v>
      </c>
      <c r="C2431" s="6">
        <f t="shared" si="111"/>
        <v>8.3965602470396309E-4</v>
      </c>
      <c r="D2431" s="7">
        <f t="shared" si="112"/>
        <v>4.5468863321695231E-2</v>
      </c>
      <c r="E2431" s="8">
        <f t="shared" si="113"/>
        <v>-0.63592213435391265</v>
      </c>
    </row>
    <row r="2432" spans="1:5" x14ac:dyDescent="0.2">
      <c r="A2432" s="1">
        <v>45163</v>
      </c>
      <c r="B2432">
        <v>101676.1</v>
      </c>
      <c r="C2432" s="6">
        <f t="shared" si="111"/>
        <v>-7.7377897802809554E-3</v>
      </c>
      <c r="D2432" s="7">
        <f t="shared" si="112"/>
        <v>-0.67517342813976</v>
      </c>
      <c r="E2432" s="8">
        <f t="shared" si="113"/>
        <v>-1.1477442287855093</v>
      </c>
    </row>
    <row r="2433" spans="1:5" x14ac:dyDescent="0.2">
      <c r="A2433" s="1">
        <v>45166</v>
      </c>
      <c r="B2433">
        <v>103199.9</v>
      </c>
      <c r="C2433" s="6">
        <f t="shared" si="111"/>
        <v>1.4875613534633582E-2</v>
      </c>
      <c r="D2433" s="7">
        <f t="shared" si="112"/>
        <v>1.2247132226311839</v>
      </c>
      <c r="E2433" s="8">
        <f t="shared" si="113"/>
        <v>-2.0344678083109362</v>
      </c>
    </row>
    <row r="2434" spans="1:5" x14ac:dyDescent="0.2">
      <c r="A2434" s="1">
        <v>45167</v>
      </c>
      <c r="B2434">
        <v>103361.3</v>
      </c>
      <c r="C2434" s="6">
        <f t="shared" si="111"/>
        <v>1.5627332998329481E-3</v>
      </c>
      <c r="D2434" s="7">
        <f t="shared" si="112"/>
        <v>0.10621889034603656</v>
      </c>
      <c r="E2434" s="8">
        <f t="shared" si="113"/>
        <v>-0.64743144572783706</v>
      </c>
    </row>
    <row r="2435" spans="1:5" x14ac:dyDescent="0.2">
      <c r="A2435" s="1">
        <v>45168</v>
      </c>
      <c r="B2435">
        <v>103518</v>
      </c>
      <c r="C2435" s="6">
        <f t="shared" ref="C2435:C2498" si="114">LN(B2435/B2434)</f>
        <v>1.5148932732041737E-3</v>
      </c>
      <c r="D2435" s="7">
        <f t="shared" ref="D2435:D2498" si="115">(C2435-$G$4)/$G$5</f>
        <v>0.10219956487349308</v>
      </c>
      <c r="E2435" s="8">
        <f t="shared" ref="E2435:E2498" si="116">LN((PI()*(G$3-2))^(-1/2)*EXP(GAMMALN((G$3+1)/2))*((1+D2435^2/(G$3-2))^(-(G$3+1)/2))/EXP(GAMMALN(G$3/2)))</f>
        <v>-0.64638737108209954</v>
      </c>
    </row>
    <row r="2436" spans="1:5" x14ac:dyDescent="0.2">
      <c r="A2436" s="1">
        <v>45169</v>
      </c>
      <c r="B2436">
        <v>103493.9</v>
      </c>
      <c r="C2436" s="6">
        <f t="shared" si="114"/>
        <v>-2.3283685729068518E-4</v>
      </c>
      <c r="D2436" s="7">
        <f t="shared" si="115"/>
        <v>-4.4637649226311749E-2</v>
      </c>
      <c r="E2436" s="8">
        <f t="shared" si="116"/>
        <v>-0.63582837138916792</v>
      </c>
    </row>
    <row r="2437" spans="1:5" x14ac:dyDescent="0.2">
      <c r="A2437" s="1">
        <v>45170</v>
      </c>
      <c r="B2437">
        <v>103455.2</v>
      </c>
      <c r="C2437" s="6">
        <f t="shared" si="114"/>
        <v>-3.7400501332073358E-4</v>
      </c>
      <c r="D2437" s="7">
        <f t="shared" si="115"/>
        <v>-5.6498026517621397E-2</v>
      </c>
      <c r="E2437" s="8">
        <f t="shared" si="116"/>
        <v>-0.63732958562635222</v>
      </c>
    </row>
    <row r="2438" spans="1:5" x14ac:dyDescent="0.2">
      <c r="A2438" s="1">
        <v>45173</v>
      </c>
      <c r="B2438">
        <v>104564.4</v>
      </c>
      <c r="C2438" s="6">
        <f t="shared" si="114"/>
        <v>1.0664480775171115E-2</v>
      </c>
      <c r="D2438" s="7">
        <f t="shared" si="115"/>
        <v>0.87091088678153539</v>
      </c>
      <c r="E2438" s="8">
        <f t="shared" si="116"/>
        <v>-1.4387075919322072</v>
      </c>
    </row>
    <row r="2439" spans="1:5" x14ac:dyDescent="0.2">
      <c r="A2439" s="1">
        <v>45174</v>
      </c>
      <c r="B2439">
        <v>104281</v>
      </c>
      <c r="C2439" s="6">
        <f t="shared" si="114"/>
        <v>-2.7139709464685507E-3</v>
      </c>
      <c r="D2439" s="7">
        <f t="shared" si="115"/>
        <v>-0.25309249652002908</v>
      </c>
      <c r="E2439" s="8">
        <f t="shared" si="116"/>
        <v>-0.71234067592339434</v>
      </c>
    </row>
    <row r="2440" spans="1:5" x14ac:dyDescent="0.2">
      <c r="A2440" s="1">
        <v>45175</v>
      </c>
      <c r="B2440">
        <v>103310</v>
      </c>
      <c r="C2440" s="6">
        <f t="shared" si="114"/>
        <v>-9.3550017245189344E-3</v>
      </c>
      <c r="D2440" s="7">
        <f t="shared" si="115"/>
        <v>-0.81104503231791558</v>
      </c>
      <c r="E2440" s="8">
        <f t="shared" si="116"/>
        <v>-1.3456117423878877</v>
      </c>
    </row>
    <row r="2441" spans="1:5" x14ac:dyDescent="0.2">
      <c r="A2441" s="1">
        <v>45176</v>
      </c>
      <c r="B2441">
        <v>101564.5</v>
      </c>
      <c r="C2441" s="6">
        <f t="shared" si="114"/>
        <v>-1.7040112223496058E-2</v>
      </c>
      <c r="D2441" s="7">
        <f t="shared" si="115"/>
        <v>-1.4567169218329434</v>
      </c>
      <c r="E2441" s="8">
        <f t="shared" si="116"/>
        <v>-2.4436949470632277</v>
      </c>
    </row>
    <row r="2442" spans="1:5" x14ac:dyDescent="0.2">
      <c r="A2442" s="1">
        <v>45177</v>
      </c>
      <c r="B2442">
        <v>101948.3</v>
      </c>
      <c r="C2442" s="6">
        <f t="shared" si="114"/>
        <v>3.7717574029714034E-3</v>
      </c>
      <c r="D2442" s="7">
        <f t="shared" si="115"/>
        <v>0.29181215759281004</v>
      </c>
      <c r="E2442" s="8">
        <f t="shared" si="116"/>
        <v>-0.73782595493006309</v>
      </c>
    </row>
    <row r="2443" spans="1:5" x14ac:dyDescent="0.2">
      <c r="A2443" s="1">
        <v>45180</v>
      </c>
      <c r="B2443">
        <v>102674.5</v>
      </c>
      <c r="C2443" s="6">
        <f t="shared" si="114"/>
        <v>7.0979680553361988E-3</v>
      </c>
      <c r="D2443" s="7">
        <f t="shared" si="115"/>
        <v>0.57126691847402822</v>
      </c>
      <c r="E2443" s="8">
        <f t="shared" si="116"/>
        <v>-1.0120507415919502</v>
      </c>
    </row>
    <row r="2444" spans="1:5" x14ac:dyDescent="0.2">
      <c r="A2444" s="1">
        <v>45181</v>
      </c>
      <c r="B2444">
        <v>102420.2</v>
      </c>
      <c r="C2444" s="6">
        <f t="shared" si="114"/>
        <v>-2.4798313200631822E-3</v>
      </c>
      <c r="D2444" s="7">
        <f t="shared" si="115"/>
        <v>-0.23342103245824125</v>
      </c>
      <c r="E2444" s="8">
        <f t="shared" si="116"/>
        <v>-0.70069402449879326</v>
      </c>
    </row>
    <row r="2445" spans="1:5" x14ac:dyDescent="0.2">
      <c r="A2445" s="1">
        <v>45182</v>
      </c>
      <c r="B2445">
        <v>101638.1</v>
      </c>
      <c r="C2445" s="6">
        <f t="shared" si="114"/>
        <v>-7.6654939266476542E-3</v>
      </c>
      <c r="D2445" s="7">
        <f t="shared" si="115"/>
        <v>-0.66909942303264691</v>
      </c>
      <c r="E2445" s="8">
        <f t="shared" si="116"/>
        <v>-1.1394039553184816</v>
      </c>
    </row>
    <row r="2446" spans="1:5" x14ac:dyDescent="0.2">
      <c r="A2446" s="1">
        <v>45183</v>
      </c>
      <c r="B2446">
        <v>102386.8</v>
      </c>
      <c r="C2446" s="6">
        <f t="shared" si="114"/>
        <v>7.3393331968279792E-3</v>
      </c>
      <c r="D2446" s="7">
        <f t="shared" si="115"/>
        <v>0.5915454410783294</v>
      </c>
      <c r="E2446" s="8">
        <f t="shared" si="116"/>
        <v>-1.0373117379072743</v>
      </c>
    </row>
    <row r="2447" spans="1:5" x14ac:dyDescent="0.2">
      <c r="A2447" s="1">
        <v>45184</v>
      </c>
      <c r="B2447">
        <v>102474.7</v>
      </c>
      <c r="C2447" s="6">
        <f t="shared" si="114"/>
        <v>8.5814079653010085E-4</v>
      </c>
      <c r="D2447" s="7">
        <f t="shared" si="115"/>
        <v>4.7021879059572398E-2</v>
      </c>
      <c r="E2447" s="8">
        <f t="shared" si="116"/>
        <v>-0.6361019438279405</v>
      </c>
    </row>
    <row r="2448" spans="1:5" x14ac:dyDescent="0.2">
      <c r="A2448" s="1">
        <v>45187</v>
      </c>
      <c r="B2448">
        <v>101319.7</v>
      </c>
      <c r="C2448" s="6">
        <f t="shared" si="114"/>
        <v>-1.1335074629631837E-2</v>
      </c>
      <c r="D2448" s="7">
        <f t="shared" si="115"/>
        <v>-0.97740274626255197</v>
      </c>
      <c r="E2448" s="8">
        <f t="shared" si="116"/>
        <v>-1.6112345204977649</v>
      </c>
    </row>
    <row r="2449" spans="1:5" x14ac:dyDescent="0.2">
      <c r="A2449" s="1">
        <v>45188</v>
      </c>
      <c r="B2449">
        <v>101378.2</v>
      </c>
      <c r="C2449" s="6">
        <f t="shared" si="114"/>
        <v>5.7721369214206516E-4</v>
      </c>
      <c r="D2449" s="7">
        <f t="shared" si="115"/>
        <v>2.3419520403785886E-2</v>
      </c>
      <c r="E2449" s="8">
        <f t="shared" si="116"/>
        <v>-0.63401991221567933</v>
      </c>
    </row>
    <row r="2450" spans="1:5" x14ac:dyDescent="0.2">
      <c r="A2450" s="1">
        <v>45189</v>
      </c>
      <c r="B2450">
        <v>101406.3</v>
      </c>
      <c r="C2450" s="6">
        <f t="shared" si="114"/>
        <v>2.7714149927489265E-4</v>
      </c>
      <c r="D2450" s="7">
        <f t="shared" si="115"/>
        <v>-1.7913311233655747E-3</v>
      </c>
      <c r="E2450" s="8">
        <f t="shared" si="116"/>
        <v>-0.63333670536174413</v>
      </c>
    </row>
    <row r="2451" spans="1:5" x14ac:dyDescent="0.2">
      <c r="A2451" s="1">
        <v>45190</v>
      </c>
      <c r="B2451">
        <v>99087.39</v>
      </c>
      <c r="C2451" s="6">
        <f t="shared" si="114"/>
        <v>-2.3133031371875695E-2</v>
      </c>
      <c r="D2451" s="7">
        <f t="shared" si="115"/>
        <v>-1.9686193362120454</v>
      </c>
      <c r="E2451" s="8">
        <f t="shared" si="116"/>
        <v>-3.3298275896049585</v>
      </c>
    </row>
    <row r="2452" spans="1:5" x14ac:dyDescent="0.2">
      <c r="A2452" s="1">
        <v>45191</v>
      </c>
      <c r="B2452">
        <v>99904.85</v>
      </c>
      <c r="C2452" s="6">
        <f t="shared" si="114"/>
        <v>8.2160449918914323E-3</v>
      </c>
      <c r="D2452" s="7">
        <f t="shared" si="115"/>
        <v>0.66520321884926381</v>
      </c>
      <c r="E2452" s="8">
        <f t="shared" si="116"/>
        <v>-1.1340791613424848</v>
      </c>
    </row>
    <row r="2453" spans="1:5" x14ac:dyDescent="0.2">
      <c r="A2453" s="1">
        <v>45195</v>
      </c>
      <c r="B2453">
        <v>98547.41</v>
      </c>
      <c r="C2453" s="6">
        <f t="shared" si="114"/>
        <v>-1.3680480846834221E-2</v>
      </c>
      <c r="D2453" s="7">
        <f t="shared" si="115"/>
        <v>-1.1744542869193735</v>
      </c>
      <c r="E2453" s="8">
        <f t="shared" si="116"/>
        <v>-1.9467521211480159</v>
      </c>
    </row>
    <row r="2454" spans="1:5" x14ac:dyDescent="0.2">
      <c r="A2454" s="1">
        <v>45196</v>
      </c>
      <c r="B2454">
        <v>98255.69</v>
      </c>
      <c r="C2454" s="6">
        <f t="shared" si="114"/>
        <v>-2.964589619324989E-3</v>
      </c>
      <c r="D2454" s="7">
        <f t="shared" si="115"/>
        <v>-0.27414846338901594</v>
      </c>
      <c r="E2454" s="8">
        <f t="shared" si="116"/>
        <v>-0.72578289049151368</v>
      </c>
    </row>
    <row r="2455" spans="1:5" x14ac:dyDescent="0.2">
      <c r="A2455" s="1">
        <v>45197</v>
      </c>
      <c r="B2455">
        <v>98140.52</v>
      </c>
      <c r="C2455" s="6">
        <f t="shared" si="114"/>
        <v>-1.172833357647059E-3</v>
      </c>
      <c r="D2455" s="7">
        <f t="shared" si="115"/>
        <v>-0.12361235188067109</v>
      </c>
      <c r="E2455" s="8">
        <f t="shared" si="116"/>
        <v>-0.65240782429144095</v>
      </c>
    </row>
    <row r="2456" spans="1:5" x14ac:dyDescent="0.2">
      <c r="A2456" s="1">
        <v>45198</v>
      </c>
      <c r="B2456">
        <v>98306.6</v>
      </c>
      <c r="C2456" s="6">
        <f t="shared" si="114"/>
        <v>1.6908371022960403E-3</v>
      </c>
      <c r="D2456" s="7">
        <f t="shared" si="115"/>
        <v>0.11698165351013336</v>
      </c>
      <c r="E2456" s="8">
        <f t="shared" si="116"/>
        <v>-0.6504230909144717</v>
      </c>
    </row>
    <row r="2457" spans="1:5" x14ac:dyDescent="0.2">
      <c r="A2457" s="1">
        <v>45201</v>
      </c>
      <c r="B2457">
        <v>97536.639999999999</v>
      </c>
      <c r="C2457" s="6">
        <f t="shared" si="114"/>
        <v>-7.8630640207147991E-3</v>
      </c>
      <c r="D2457" s="7">
        <f t="shared" si="115"/>
        <v>-0.68569846295080727</v>
      </c>
      <c r="E2457" s="8">
        <f t="shared" si="116"/>
        <v>-1.1623077149305012</v>
      </c>
    </row>
    <row r="2458" spans="1:5" x14ac:dyDescent="0.2">
      <c r="A2458" s="1">
        <v>45202</v>
      </c>
      <c r="B2458">
        <v>96677.91</v>
      </c>
      <c r="C2458" s="6">
        <f t="shared" si="114"/>
        <v>-8.8431643886747284E-3</v>
      </c>
      <c r="D2458" s="7">
        <f t="shared" si="115"/>
        <v>-0.76804253029756697</v>
      </c>
      <c r="E2458" s="8">
        <f t="shared" si="116"/>
        <v>-1.2808099116261298</v>
      </c>
    </row>
    <row r="2459" spans="1:5" x14ac:dyDescent="0.2">
      <c r="A2459" s="1">
        <v>45203</v>
      </c>
      <c r="B2459">
        <v>96824.33</v>
      </c>
      <c r="C2459" s="6">
        <f t="shared" si="114"/>
        <v>1.5133677826702112E-3</v>
      </c>
      <c r="D2459" s="7">
        <f t="shared" si="115"/>
        <v>0.10207139933109366</v>
      </c>
      <c r="E2459" s="8">
        <f t="shared" si="116"/>
        <v>-0.64635473381375663</v>
      </c>
    </row>
    <row r="2460" spans="1:5" x14ac:dyDescent="0.2">
      <c r="A2460" s="1">
        <v>45204</v>
      </c>
      <c r="B2460">
        <v>98042.64</v>
      </c>
      <c r="C2460" s="6">
        <f t="shared" si="114"/>
        <v>1.2504180405559159E-2</v>
      </c>
      <c r="D2460" s="7">
        <f t="shared" si="115"/>
        <v>1.025475006145967</v>
      </c>
      <c r="E2460" s="8">
        <f t="shared" si="116"/>
        <v>-1.6914742904047184</v>
      </c>
    </row>
    <row r="2461" spans="1:5" x14ac:dyDescent="0.2">
      <c r="A2461" s="1">
        <v>45205</v>
      </c>
      <c r="B2461">
        <v>98452.86</v>
      </c>
      <c r="C2461" s="6">
        <f t="shared" si="114"/>
        <v>4.1753688605697019E-3</v>
      </c>
      <c r="D2461" s="7">
        <f t="shared" si="115"/>
        <v>0.32572195921402208</v>
      </c>
      <c r="E2461" s="8">
        <f t="shared" si="116"/>
        <v>-0.76286557279220413</v>
      </c>
    </row>
    <row r="2462" spans="1:5" x14ac:dyDescent="0.2">
      <c r="A2462" s="1">
        <v>45208</v>
      </c>
      <c r="B2462">
        <v>97371.28</v>
      </c>
      <c r="C2462" s="6">
        <f t="shared" si="114"/>
        <v>-1.1046554305480613E-2</v>
      </c>
      <c r="D2462" s="7">
        <f t="shared" si="115"/>
        <v>-0.95316243600507378</v>
      </c>
      <c r="E2462" s="8">
        <f t="shared" si="116"/>
        <v>-1.5712828799606215</v>
      </c>
    </row>
    <row r="2463" spans="1:5" x14ac:dyDescent="0.2">
      <c r="A2463" s="1">
        <v>45209</v>
      </c>
      <c r="B2463">
        <v>99614.99</v>
      </c>
      <c r="C2463" s="6">
        <f t="shared" si="114"/>
        <v>2.2781354637261469E-2</v>
      </c>
      <c r="D2463" s="7">
        <f t="shared" si="115"/>
        <v>1.8889216027748099</v>
      </c>
      <c r="E2463" s="8">
        <f t="shared" si="116"/>
        <v>-3.1954951078976008</v>
      </c>
    </row>
    <row r="2464" spans="1:5" x14ac:dyDescent="0.2">
      <c r="A2464" s="1">
        <v>45210</v>
      </c>
      <c r="B2464">
        <v>100062.3</v>
      </c>
      <c r="C2464" s="6">
        <f t="shared" si="114"/>
        <v>4.4803367298615537E-3</v>
      </c>
      <c r="D2464" s="7">
        <f t="shared" si="115"/>
        <v>0.351344125666053</v>
      </c>
      <c r="E2464" s="8">
        <f t="shared" si="116"/>
        <v>-0.78342078811060401</v>
      </c>
    </row>
    <row r="2465" spans="1:5" x14ac:dyDescent="0.2">
      <c r="A2465" s="1">
        <v>45211</v>
      </c>
      <c r="B2465">
        <v>99168.75</v>
      </c>
      <c r="C2465" s="6">
        <f t="shared" si="114"/>
        <v>-8.9700475038925077E-3</v>
      </c>
      <c r="D2465" s="7">
        <f t="shared" si="115"/>
        <v>-0.77870273625831665</v>
      </c>
      <c r="E2465" s="8">
        <f t="shared" si="116"/>
        <v>-1.2967004534176463</v>
      </c>
    </row>
    <row r="2466" spans="1:5" x14ac:dyDescent="0.2">
      <c r="A2466" s="1">
        <v>45212</v>
      </c>
      <c r="B2466">
        <v>97090.54</v>
      </c>
      <c r="C2466" s="6">
        <f t="shared" si="114"/>
        <v>-2.1178999283846207E-2</v>
      </c>
      <c r="D2466" s="7">
        <f t="shared" si="115"/>
        <v>-1.8044494663554025</v>
      </c>
      <c r="E2466" s="8">
        <f t="shared" si="116"/>
        <v>-3.0513561671576315</v>
      </c>
    </row>
    <row r="2467" spans="1:5" x14ac:dyDescent="0.2">
      <c r="A2467" s="1">
        <v>45215</v>
      </c>
      <c r="B2467">
        <v>97466.77</v>
      </c>
      <c r="C2467" s="6">
        <f t="shared" si="114"/>
        <v>3.8675541820538161E-3</v>
      </c>
      <c r="D2467" s="7">
        <f t="shared" si="115"/>
        <v>0.29986061536941949</v>
      </c>
      <c r="E2467" s="8">
        <f t="shared" si="116"/>
        <v>-0.74354230329365045</v>
      </c>
    </row>
    <row r="2468" spans="1:5" x14ac:dyDescent="0.2">
      <c r="A2468" s="1">
        <v>45216</v>
      </c>
      <c r="B2468">
        <v>96273.919999999998</v>
      </c>
      <c r="C2468" s="6">
        <f t="shared" si="114"/>
        <v>-1.2314037625907864E-2</v>
      </c>
      <c r="D2468" s="7">
        <f t="shared" si="115"/>
        <v>-1.0596512562423324</v>
      </c>
      <c r="E2468" s="8">
        <f t="shared" si="116"/>
        <v>-1.7492438443036318</v>
      </c>
    </row>
    <row r="2469" spans="1:5" x14ac:dyDescent="0.2">
      <c r="A2469" s="1">
        <v>45217</v>
      </c>
      <c r="B2469">
        <v>95738.51</v>
      </c>
      <c r="C2469" s="6">
        <f t="shared" si="114"/>
        <v>-5.5768409123830853E-3</v>
      </c>
      <c r="D2469" s="7">
        <f t="shared" si="115"/>
        <v>-0.49361924764142023</v>
      </c>
      <c r="E2469" s="8">
        <f t="shared" si="116"/>
        <v>-0.92139412741231286</v>
      </c>
    </row>
    <row r="2470" spans="1:5" x14ac:dyDescent="0.2">
      <c r="A2470" s="1">
        <v>45218</v>
      </c>
      <c r="B2470">
        <v>94064.61</v>
      </c>
      <c r="C2470" s="6">
        <f t="shared" si="114"/>
        <v>-1.7638734274887859E-2</v>
      </c>
      <c r="D2470" s="7">
        <f t="shared" si="115"/>
        <v>-1.5070107245152797</v>
      </c>
      <c r="E2470" s="8">
        <f t="shared" si="116"/>
        <v>-2.5325302320376655</v>
      </c>
    </row>
    <row r="2471" spans="1:5" x14ac:dyDescent="0.2">
      <c r="A2471" s="1">
        <v>45219</v>
      </c>
      <c r="B2471">
        <v>93397.4</v>
      </c>
      <c r="C2471" s="6">
        <f t="shared" si="114"/>
        <v>-7.1183789970588641E-3</v>
      </c>
      <c r="D2471" s="7">
        <f t="shared" si="115"/>
        <v>-0.62313304032201522</v>
      </c>
      <c r="E2471" s="8">
        <f t="shared" si="116"/>
        <v>-1.0778768218930905</v>
      </c>
    </row>
    <row r="2472" spans="1:5" x14ac:dyDescent="0.2">
      <c r="A2472" s="1">
        <v>45222</v>
      </c>
      <c r="B2472">
        <v>93721.9</v>
      </c>
      <c r="C2472" s="6">
        <f t="shared" si="114"/>
        <v>3.468378999940713E-3</v>
      </c>
      <c r="D2472" s="7">
        <f t="shared" si="115"/>
        <v>0.26632353166492662</v>
      </c>
      <c r="E2472" s="8">
        <f t="shared" si="116"/>
        <v>-0.72067059495042207</v>
      </c>
    </row>
    <row r="2473" spans="1:5" x14ac:dyDescent="0.2">
      <c r="A2473" s="1">
        <v>45223</v>
      </c>
      <c r="B2473">
        <v>95057.34</v>
      </c>
      <c r="C2473" s="6">
        <f t="shared" si="114"/>
        <v>1.4148401879226159E-2</v>
      </c>
      <c r="D2473" s="7">
        <f t="shared" si="115"/>
        <v>1.1636158417039015</v>
      </c>
      <c r="E2473" s="8">
        <f t="shared" si="116"/>
        <v>-1.9279191220820013</v>
      </c>
    </row>
    <row r="2474" spans="1:5" x14ac:dyDescent="0.2">
      <c r="A2474" s="1">
        <v>45224</v>
      </c>
      <c r="B2474">
        <v>94536.1</v>
      </c>
      <c r="C2474" s="6">
        <f t="shared" si="114"/>
        <v>-5.4985163331568079E-3</v>
      </c>
      <c r="D2474" s="7">
        <f t="shared" si="115"/>
        <v>-0.48703873340272047</v>
      </c>
      <c r="E2474" s="8">
        <f t="shared" si="116"/>
        <v>-0.91417832956369227</v>
      </c>
    </row>
    <row r="2475" spans="1:5" x14ac:dyDescent="0.2">
      <c r="A2475" s="1">
        <v>45225</v>
      </c>
      <c r="B2475">
        <v>93953.68</v>
      </c>
      <c r="C2475" s="6">
        <f t="shared" si="114"/>
        <v>-6.1798772707289005E-3</v>
      </c>
      <c r="D2475" s="7">
        <f t="shared" si="115"/>
        <v>-0.54428392253337243</v>
      </c>
      <c r="E2475" s="8">
        <f t="shared" si="116"/>
        <v>-0.97942811171167865</v>
      </c>
    </row>
    <row r="2476" spans="1:5" x14ac:dyDescent="0.2">
      <c r="A2476" s="1">
        <v>45226</v>
      </c>
      <c r="B2476">
        <v>93377.78</v>
      </c>
      <c r="C2476" s="6">
        <f t="shared" si="114"/>
        <v>-6.1484794306966312E-3</v>
      </c>
      <c r="D2476" s="7">
        <f t="shared" si="115"/>
        <v>-0.54164600305218547</v>
      </c>
      <c r="E2476" s="8">
        <f t="shared" si="116"/>
        <v>-0.97630119574530672</v>
      </c>
    </row>
    <row r="2477" spans="1:5" x14ac:dyDescent="0.2">
      <c r="A2477" s="1">
        <v>45229</v>
      </c>
      <c r="B2477">
        <v>93871.99</v>
      </c>
      <c r="C2477" s="6">
        <f t="shared" si="114"/>
        <v>5.2786302226432878E-3</v>
      </c>
      <c r="D2477" s="7">
        <f t="shared" si="115"/>
        <v>0.41841351496638085</v>
      </c>
      <c r="E2477" s="8">
        <f t="shared" si="116"/>
        <v>-0.84361005299362291</v>
      </c>
    </row>
    <row r="2478" spans="1:5" x14ac:dyDescent="0.2">
      <c r="A2478" s="1">
        <v>45230</v>
      </c>
      <c r="B2478">
        <v>93734.69</v>
      </c>
      <c r="C2478" s="6">
        <f t="shared" si="114"/>
        <v>-1.4637008075922878E-3</v>
      </c>
      <c r="D2478" s="7">
        <f t="shared" si="115"/>
        <v>-0.14804985815069158</v>
      </c>
      <c r="E2478" s="8">
        <f t="shared" si="116"/>
        <v>-0.66065023439188886</v>
      </c>
    </row>
    <row r="2479" spans="1:5" x14ac:dyDescent="0.2">
      <c r="A2479" s="1">
        <v>45231</v>
      </c>
      <c r="B2479">
        <v>94390.11</v>
      </c>
      <c r="C2479" s="6">
        <f t="shared" si="114"/>
        <v>6.9679558659943948E-3</v>
      </c>
      <c r="D2479" s="7">
        <f t="shared" si="115"/>
        <v>0.56034382036587727</v>
      </c>
      <c r="E2479" s="8">
        <f t="shared" si="116"/>
        <v>-0.99870607804193301</v>
      </c>
    </row>
    <row r="2480" spans="1:5" x14ac:dyDescent="0.2">
      <c r="A2480" s="1">
        <v>45232</v>
      </c>
      <c r="B2480">
        <v>96486.720000000001</v>
      </c>
      <c r="C2480" s="6">
        <f t="shared" si="114"/>
        <v>2.1969081580736672E-2</v>
      </c>
      <c r="D2480" s="7">
        <f t="shared" si="115"/>
        <v>1.8206777070912907</v>
      </c>
      <c r="E2480" s="8">
        <f t="shared" si="116"/>
        <v>-3.0791800445518946</v>
      </c>
    </row>
    <row r="2481" spans="1:5" x14ac:dyDescent="0.2">
      <c r="A2481" s="1">
        <v>45233</v>
      </c>
      <c r="B2481">
        <v>98789.49</v>
      </c>
      <c r="C2481" s="6">
        <f t="shared" si="114"/>
        <v>2.3585840282621513E-2</v>
      </c>
      <c r="D2481" s="7">
        <f t="shared" si="115"/>
        <v>1.9565112316807927</v>
      </c>
      <c r="E2481" s="8">
        <f t="shared" si="116"/>
        <v>-3.3095281236652014</v>
      </c>
    </row>
    <row r="2482" spans="1:5" x14ac:dyDescent="0.2">
      <c r="A2482" s="1">
        <v>45236</v>
      </c>
      <c r="B2482">
        <v>99044.3</v>
      </c>
      <c r="C2482" s="6">
        <f t="shared" si="114"/>
        <v>2.5760022178759291E-3</v>
      </c>
      <c r="D2482" s="7">
        <f t="shared" si="115"/>
        <v>0.19134964506800672</v>
      </c>
      <c r="E2482" s="8">
        <f t="shared" si="116"/>
        <v>-0.67879987682850462</v>
      </c>
    </row>
    <row r="2483" spans="1:5" x14ac:dyDescent="0.2">
      <c r="A2483" s="1">
        <v>45237</v>
      </c>
      <c r="B2483">
        <v>97684.45</v>
      </c>
      <c r="C2483" s="6">
        <f t="shared" si="114"/>
        <v>-1.3824839109775229E-2</v>
      </c>
      <c r="D2483" s="7">
        <f t="shared" si="115"/>
        <v>-1.1865826840858988</v>
      </c>
      <c r="E2483" s="8">
        <f t="shared" si="116"/>
        <v>-1.9678639333123193</v>
      </c>
    </row>
    <row r="2484" spans="1:5" x14ac:dyDescent="0.2">
      <c r="A2484" s="1">
        <v>45238</v>
      </c>
      <c r="B2484">
        <v>99246.38</v>
      </c>
      <c r="C2484" s="6">
        <f t="shared" si="114"/>
        <v>1.5863059665165345E-2</v>
      </c>
      <c r="D2484" s="7">
        <f t="shared" si="115"/>
        <v>1.3076744512276506</v>
      </c>
      <c r="E2484" s="8">
        <f t="shared" si="116"/>
        <v>-2.1802987573096315</v>
      </c>
    </row>
    <row r="2485" spans="1:5" x14ac:dyDescent="0.2">
      <c r="A2485" s="1">
        <v>45239</v>
      </c>
      <c r="B2485">
        <v>99388.55</v>
      </c>
      <c r="C2485" s="6">
        <f t="shared" si="114"/>
        <v>1.431470530150911E-3</v>
      </c>
      <c r="D2485" s="7">
        <f t="shared" si="115"/>
        <v>9.5190723537653343E-2</v>
      </c>
      <c r="E2485" s="8">
        <f t="shared" si="116"/>
        <v>-0.64466210870603613</v>
      </c>
    </row>
    <row r="2486" spans="1:5" x14ac:dyDescent="0.2">
      <c r="A2486" s="1">
        <v>45240</v>
      </c>
      <c r="B2486">
        <v>98711.85</v>
      </c>
      <c r="C2486" s="6">
        <f t="shared" si="114"/>
        <v>-6.8319158576476986E-3</v>
      </c>
      <c r="D2486" s="7">
        <f t="shared" si="115"/>
        <v>-0.59906556640285269</v>
      </c>
      <c r="E2486" s="8">
        <f t="shared" si="116"/>
        <v>-1.0468369471475878</v>
      </c>
    </row>
    <row r="2487" spans="1:5" x14ac:dyDescent="0.2">
      <c r="A2487" s="1">
        <v>45243</v>
      </c>
      <c r="B2487">
        <v>98956.55</v>
      </c>
      <c r="C2487" s="6">
        <f t="shared" si="114"/>
        <v>2.4758648827935634E-3</v>
      </c>
      <c r="D2487" s="7">
        <f t="shared" si="115"/>
        <v>0.18293651133853905</v>
      </c>
      <c r="E2487" s="8">
        <f t="shared" si="116"/>
        <v>-0.67492201911466287</v>
      </c>
    </row>
    <row r="2488" spans="1:5" x14ac:dyDescent="0.2">
      <c r="A2488" s="1">
        <v>45244</v>
      </c>
      <c r="B2488">
        <v>100443.9</v>
      </c>
      <c r="C2488" s="6">
        <f t="shared" si="114"/>
        <v>1.4918497781501236E-2</v>
      </c>
      <c r="D2488" s="7">
        <f t="shared" si="115"/>
        <v>1.2283161835397034</v>
      </c>
      <c r="E2488" s="8">
        <f t="shared" si="116"/>
        <v>-2.0407774878870879</v>
      </c>
    </row>
    <row r="2489" spans="1:5" x14ac:dyDescent="0.2">
      <c r="A2489" s="1">
        <v>45245</v>
      </c>
      <c r="B2489">
        <v>102857.7</v>
      </c>
      <c r="C2489" s="6">
        <f t="shared" si="114"/>
        <v>2.3747116919499572E-2</v>
      </c>
      <c r="D2489" s="7">
        <f t="shared" si="115"/>
        <v>1.9700610421723328</v>
      </c>
      <c r="E2489" s="8">
        <f t="shared" si="116"/>
        <v>-3.3322419758318129</v>
      </c>
    </row>
    <row r="2490" spans="1:5" x14ac:dyDescent="0.2">
      <c r="A2490" s="1">
        <v>45246</v>
      </c>
      <c r="B2490">
        <v>101024.8</v>
      </c>
      <c r="C2490" s="6">
        <f t="shared" si="114"/>
        <v>-1.798044835219954E-2</v>
      </c>
      <c r="D2490" s="7">
        <f t="shared" si="115"/>
        <v>-1.5357201586868616</v>
      </c>
      <c r="E2490" s="8">
        <f t="shared" si="116"/>
        <v>-2.5831595778057723</v>
      </c>
    </row>
    <row r="2491" spans="1:5" x14ac:dyDescent="0.2">
      <c r="A2491" s="1">
        <v>45247</v>
      </c>
      <c r="B2491">
        <v>101172.8</v>
      </c>
      <c r="C2491" s="6">
        <f t="shared" si="114"/>
        <v>1.4639147688291349E-3</v>
      </c>
      <c r="D2491" s="7">
        <f t="shared" si="115"/>
        <v>9.7916557199255683E-2</v>
      </c>
      <c r="E2491" s="8">
        <f t="shared" si="116"/>
        <v>-0.64531866826615114</v>
      </c>
    </row>
    <row r="2492" spans="1:5" x14ac:dyDescent="0.2">
      <c r="A2492" s="1">
        <v>45250</v>
      </c>
      <c r="B2492">
        <v>101905.9</v>
      </c>
      <c r="C2492" s="6">
        <f t="shared" si="114"/>
        <v>7.2198924309952624E-3</v>
      </c>
      <c r="D2492" s="7">
        <f t="shared" si="115"/>
        <v>0.58151051120053565</v>
      </c>
      <c r="E2492" s="8">
        <f t="shared" si="116"/>
        <v>-1.0247330434132864</v>
      </c>
    </row>
    <row r="2493" spans="1:5" x14ac:dyDescent="0.2">
      <c r="A2493" s="1">
        <v>45251</v>
      </c>
      <c r="B2493">
        <v>101614.1</v>
      </c>
      <c r="C2493" s="6">
        <f t="shared" si="114"/>
        <v>-2.8675334114561858E-3</v>
      </c>
      <c r="D2493" s="7">
        <f t="shared" si="115"/>
        <v>-0.2659941935015297</v>
      </c>
      <c r="E2493" s="8">
        <f t="shared" si="116"/>
        <v>-0.72045844715940943</v>
      </c>
    </row>
    <row r="2494" spans="1:5" x14ac:dyDescent="0.2">
      <c r="A2494" s="1">
        <v>45252</v>
      </c>
      <c r="B2494">
        <v>102641.4</v>
      </c>
      <c r="C2494" s="6">
        <f t="shared" si="114"/>
        <v>1.0059055077874681E-2</v>
      </c>
      <c r="D2494" s="7">
        <f t="shared" si="115"/>
        <v>0.82004546929842037</v>
      </c>
      <c r="E2494" s="8">
        <f t="shared" si="116"/>
        <v>-1.3594029620539616</v>
      </c>
    </row>
    <row r="2495" spans="1:5" x14ac:dyDescent="0.2">
      <c r="A2495" s="1">
        <v>45253</v>
      </c>
      <c r="B2495">
        <v>104296.6</v>
      </c>
      <c r="C2495" s="6">
        <f t="shared" si="114"/>
        <v>1.5997403080354966E-2</v>
      </c>
      <c r="D2495" s="7">
        <f t="shared" si="115"/>
        <v>1.3189614414070279</v>
      </c>
      <c r="E2495" s="8">
        <f t="shared" si="116"/>
        <v>-2.2002083686468281</v>
      </c>
    </row>
    <row r="2496" spans="1:5" x14ac:dyDescent="0.2">
      <c r="A2496" s="1">
        <v>45254</v>
      </c>
      <c r="B2496">
        <v>104274.2</v>
      </c>
      <c r="C2496" s="6">
        <f t="shared" si="114"/>
        <v>-2.1479516870171264E-4</v>
      </c>
      <c r="D2496" s="7">
        <f t="shared" si="115"/>
        <v>-4.3121859549268844E-2</v>
      </c>
      <c r="E2496" s="8">
        <f t="shared" si="116"/>
        <v>-0.63566183159372014</v>
      </c>
    </row>
    <row r="2497" spans="1:5" x14ac:dyDescent="0.2">
      <c r="A2497" s="1">
        <v>45257</v>
      </c>
      <c r="B2497">
        <v>103396.4</v>
      </c>
      <c r="C2497" s="6">
        <f t="shared" si="114"/>
        <v>-8.4538228118339054E-3</v>
      </c>
      <c r="D2497" s="7">
        <f t="shared" si="115"/>
        <v>-0.7353316263204499</v>
      </c>
      <c r="E2497" s="8">
        <f t="shared" si="116"/>
        <v>-1.232807063830635</v>
      </c>
    </row>
    <row r="2498" spans="1:5" x14ac:dyDescent="0.2">
      <c r="A2498" s="1">
        <v>45258</v>
      </c>
      <c r="B2498">
        <v>103214.3</v>
      </c>
      <c r="C2498" s="6">
        <f t="shared" si="114"/>
        <v>-1.762735881078011E-3</v>
      </c>
      <c r="D2498" s="7">
        <f t="shared" si="115"/>
        <v>-0.17317357510368667</v>
      </c>
      <c r="E2498" s="8">
        <f t="shared" si="116"/>
        <v>-0.67063351784909064</v>
      </c>
    </row>
    <row r="2499" spans="1:5" x14ac:dyDescent="0.2">
      <c r="A2499" s="1">
        <v>45259</v>
      </c>
      <c r="B2499">
        <v>102643.1</v>
      </c>
      <c r="C2499" s="6">
        <f t="shared" ref="C2499:C2562" si="117">LN(B2499/B2498)</f>
        <v>-5.5494868382397105E-3</v>
      </c>
      <c r="D2499" s="7">
        <f t="shared" ref="D2499:D2562" si="118">(C2499-$G$4)/$G$5</f>
        <v>-0.49132106900879841</v>
      </c>
      <c r="E2499" s="8">
        <f t="shared" ref="E2499:E2562" si="119">LN((PI()*(G$3-2))^(-1/2)*EXP(GAMMALN((G$3+1)/2))*((1+D2499^2/(G$3-2))^(-(G$3+1)/2))/EXP(GAMMALN(G$3/2)))</f>
        <v>-0.91886545258079988</v>
      </c>
    </row>
    <row r="2500" spans="1:5" x14ac:dyDescent="0.2">
      <c r="A2500" s="1">
        <v>45260</v>
      </c>
      <c r="B2500">
        <v>103476.9</v>
      </c>
      <c r="C2500" s="6">
        <f t="shared" si="117"/>
        <v>8.0904768880586189E-3</v>
      </c>
      <c r="D2500" s="7">
        <f t="shared" si="118"/>
        <v>0.65465349482443125</v>
      </c>
      <c r="E2500" s="8">
        <f t="shared" si="119"/>
        <v>-1.1197611354547214</v>
      </c>
    </row>
    <row r="2501" spans="1:5" x14ac:dyDescent="0.2">
      <c r="A2501" s="1">
        <v>45261</v>
      </c>
      <c r="B2501">
        <v>102227.4</v>
      </c>
      <c r="C2501" s="6">
        <f t="shared" si="117"/>
        <v>-1.2148655791386263E-2</v>
      </c>
      <c r="D2501" s="7">
        <f t="shared" si="118"/>
        <v>-1.0457565436547598</v>
      </c>
      <c r="E2501" s="8">
        <f t="shared" si="119"/>
        <v>-1.7256901417477699</v>
      </c>
    </row>
    <row r="2502" spans="1:5" x14ac:dyDescent="0.2">
      <c r="A2502" s="1">
        <v>45264</v>
      </c>
      <c r="B2502">
        <v>104080.7</v>
      </c>
      <c r="C2502" s="6">
        <f t="shared" si="117"/>
        <v>1.7966816179327161E-2</v>
      </c>
      <c r="D2502" s="7">
        <f t="shared" si="118"/>
        <v>1.4844235615702019</v>
      </c>
      <c r="E2502" s="8">
        <f t="shared" si="119"/>
        <v>-2.4926522958088055</v>
      </c>
    </row>
    <row r="2503" spans="1:5" x14ac:dyDescent="0.2">
      <c r="A2503" s="1">
        <v>45265</v>
      </c>
      <c r="B2503">
        <v>103498.4</v>
      </c>
      <c r="C2503" s="6">
        <f t="shared" si="117"/>
        <v>-5.6104061285936375E-3</v>
      </c>
      <c r="D2503" s="7">
        <f t="shared" si="118"/>
        <v>-0.4964392612997186</v>
      </c>
      <c r="E2503" s="8">
        <f t="shared" si="119"/>
        <v>-0.92450957383180554</v>
      </c>
    </row>
    <row r="2504" spans="1:5" x14ac:dyDescent="0.2">
      <c r="A2504" s="1">
        <v>45266</v>
      </c>
      <c r="B2504">
        <v>103029.4</v>
      </c>
      <c r="C2504" s="6">
        <f t="shared" si="117"/>
        <v>-4.5417692552551349E-3</v>
      </c>
      <c r="D2504" s="7">
        <f t="shared" si="118"/>
        <v>-0.40665671499726286</v>
      </c>
      <c r="E2504" s="8">
        <f t="shared" si="119"/>
        <v>-0.83241133059689298</v>
      </c>
    </row>
    <row r="2505" spans="1:5" x14ac:dyDescent="0.2">
      <c r="A2505" s="1">
        <v>45267</v>
      </c>
      <c r="B2505">
        <v>102463.7</v>
      </c>
      <c r="C2505" s="6">
        <f t="shared" si="117"/>
        <v>-5.5057948811055362E-3</v>
      </c>
      <c r="D2505" s="7">
        <f t="shared" si="118"/>
        <v>-0.48765024755175018</v>
      </c>
      <c r="E2505" s="8">
        <f t="shared" si="119"/>
        <v>-0.91484567304101427</v>
      </c>
    </row>
    <row r="2506" spans="1:5" x14ac:dyDescent="0.2">
      <c r="A2506" s="1">
        <v>45268</v>
      </c>
      <c r="B2506">
        <v>103207.6</v>
      </c>
      <c r="C2506" s="6">
        <f t="shared" si="117"/>
        <v>7.2339042343980507E-3</v>
      </c>
      <c r="D2506" s="7">
        <f t="shared" si="118"/>
        <v>0.58268772622949261</v>
      </c>
      <c r="E2506" s="8">
        <f t="shared" si="119"/>
        <v>-1.0262007944383698</v>
      </c>
    </row>
    <row r="2507" spans="1:5" x14ac:dyDescent="0.2">
      <c r="A2507" s="1">
        <v>45271</v>
      </c>
      <c r="B2507">
        <v>104174.2</v>
      </c>
      <c r="C2507" s="6">
        <f t="shared" si="117"/>
        <v>9.3220041466091814E-3</v>
      </c>
      <c r="D2507" s="7">
        <f t="shared" si="118"/>
        <v>0.75812143222408723</v>
      </c>
      <c r="E2507" s="8">
        <f t="shared" si="119"/>
        <v>-1.2661282475586872</v>
      </c>
    </row>
    <row r="2508" spans="1:5" x14ac:dyDescent="0.2">
      <c r="A2508" s="1">
        <v>45272</v>
      </c>
      <c r="B2508">
        <v>103393.4</v>
      </c>
      <c r="C2508" s="6">
        <f t="shared" si="117"/>
        <v>-7.5233676434942566E-3</v>
      </c>
      <c r="D2508" s="7">
        <f t="shared" si="118"/>
        <v>-0.65715854777709715</v>
      </c>
      <c r="E2508" s="8">
        <f t="shared" si="119"/>
        <v>-1.1231476694194522</v>
      </c>
    </row>
    <row r="2509" spans="1:5" x14ac:dyDescent="0.2">
      <c r="A2509" s="1">
        <v>45273</v>
      </c>
      <c r="B2509">
        <v>103663.8</v>
      </c>
      <c r="C2509" s="6">
        <f t="shared" si="117"/>
        <v>2.6118401457745958E-3</v>
      </c>
      <c r="D2509" s="7">
        <f t="shared" si="118"/>
        <v>0.19436060276675618</v>
      </c>
      <c r="E2509" s="8">
        <f t="shared" si="119"/>
        <v>-0.68022855526395121</v>
      </c>
    </row>
    <row r="2510" spans="1:5" x14ac:dyDescent="0.2">
      <c r="A2510" s="1">
        <v>45274</v>
      </c>
      <c r="B2510">
        <v>105334</v>
      </c>
      <c r="C2510" s="6">
        <f t="shared" si="117"/>
        <v>1.598328361703617E-2</v>
      </c>
      <c r="D2510" s="7">
        <f t="shared" si="118"/>
        <v>1.3177751812275289</v>
      </c>
      <c r="E2510" s="8">
        <f t="shared" si="119"/>
        <v>-2.1981153047825153</v>
      </c>
    </row>
    <row r="2511" spans="1:5" x14ac:dyDescent="0.2">
      <c r="A2511" s="1">
        <v>45278</v>
      </c>
      <c r="B2511">
        <v>102901.5</v>
      </c>
      <c r="C2511" s="6">
        <f t="shared" si="117"/>
        <v>-2.3364034019465778E-2</v>
      </c>
      <c r="D2511" s="7">
        <f t="shared" si="118"/>
        <v>-1.9880272440062554</v>
      </c>
      <c r="E2511" s="8">
        <f t="shared" si="119"/>
        <v>-3.3622816215284841</v>
      </c>
    </row>
    <row r="2512" spans="1:5" x14ac:dyDescent="0.2">
      <c r="A2512" s="1">
        <v>45279</v>
      </c>
      <c r="B2512">
        <v>103410.3</v>
      </c>
      <c r="C2512" s="6">
        <f t="shared" si="117"/>
        <v>4.9323502728408622E-3</v>
      </c>
      <c r="D2512" s="7">
        <f t="shared" si="118"/>
        <v>0.3893204746620339</v>
      </c>
      <c r="E2512" s="8">
        <f t="shared" si="119"/>
        <v>-0.81639320902327595</v>
      </c>
    </row>
    <row r="2513" spans="1:5" x14ac:dyDescent="0.2">
      <c r="A2513" s="1">
        <v>45280</v>
      </c>
      <c r="B2513">
        <v>103078.6</v>
      </c>
      <c r="C2513" s="6">
        <f t="shared" si="117"/>
        <v>-3.2127662582691935E-3</v>
      </c>
      <c r="D2513" s="7">
        <f t="shared" si="118"/>
        <v>-0.29499926044937325</v>
      </c>
      <c r="E2513" s="8">
        <f t="shared" si="119"/>
        <v>-0.74007253051426292</v>
      </c>
    </row>
    <row r="2514" spans="1:5" x14ac:dyDescent="0.2">
      <c r="A2514" s="1">
        <v>45281</v>
      </c>
      <c r="B2514">
        <v>103706.9</v>
      </c>
      <c r="C2514" s="6">
        <f t="shared" si="117"/>
        <v>6.0768471047634174E-3</v>
      </c>
      <c r="D2514" s="7">
        <f t="shared" si="118"/>
        <v>0.48547646774889391</v>
      </c>
      <c r="E2514" s="8">
        <f t="shared" si="119"/>
        <v>-0.9124764286744993</v>
      </c>
    </row>
    <row r="2515" spans="1:5" x14ac:dyDescent="0.2">
      <c r="A2515" s="1">
        <v>45282</v>
      </c>
      <c r="B2515">
        <v>98120.2</v>
      </c>
      <c r="C2515" s="6">
        <f t="shared" si="117"/>
        <v>-5.5375393403931994E-2</v>
      </c>
      <c r="D2515" s="7">
        <f t="shared" si="118"/>
        <v>-4.6774921388134167</v>
      </c>
      <c r="E2515" s="8">
        <f t="shared" si="119"/>
        <v>-6.8321692919369328</v>
      </c>
    </row>
    <row r="2516" spans="1:5" x14ac:dyDescent="0.2">
      <c r="A2516" s="1">
        <v>45287</v>
      </c>
      <c r="B2516">
        <v>102172.5</v>
      </c>
      <c r="C2516" s="6">
        <f t="shared" si="117"/>
        <v>4.0469303617553375E-2</v>
      </c>
      <c r="D2516" s="7">
        <f t="shared" si="118"/>
        <v>3.374991509156839</v>
      </c>
      <c r="E2516" s="8">
        <f t="shared" si="119"/>
        <v>-5.3877909393883652</v>
      </c>
    </row>
    <row r="2517" spans="1:5" x14ac:dyDescent="0.2">
      <c r="A2517" s="1">
        <v>45288</v>
      </c>
      <c r="B2517">
        <v>102467.2</v>
      </c>
      <c r="C2517" s="6">
        <f t="shared" si="117"/>
        <v>2.8801860413490096E-3</v>
      </c>
      <c r="D2517" s="7">
        <f t="shared" si="118"/>
        <v>0.21690593916266035</v>
      </c>
      <c r="E2517" s="8">
        <f t="shared" si="119"/>
        <v>-0.69160572450052982</v>
      </c>
    </row>
    <row r="2518" spans="1:5" x14ac:dyDescent="0.2">
      <c r="A2518" s="1">
        <v>45289</v>
      </c>
      <c r="B2518">
        <v>103717</v>
      </c>
      <c r="C2518" s="6">
        <f t="shared" si="117"/>
        <v>1.2123288858393939E-2</v>
      </c>
      <c r="D2518" s="7">
        <f t="shared" si="118"/>
        <v>0.99347403947265722</v>
      </c>
      <c r="E2518" s="8">
        <f t="shared" si="119"/>
        <v>-1.6379170719382306</v>
      </c>
    </row>
    <row r="2519" spans="1:5" x14ac:dyDescent="0.2">
      <c r="A2519" s="1">
        <v>45293</v>
      </c>
      <c r="B2519">
        <v>102370</v>
      </c>
      <c r="C2519" s="6">
        <f t="shared" si="117"/>
        <v>-1.3072335294252004E-2</v>
      </c>
      <c r="D2519" s="7">
        <f t="shared" si="118"/>
        <v>-1.1233603581999123</v>
      </c>
      <c r="E2519" s="8">
        <f t="shared" si="119"/>
        <v>-1.8582779186867038</v>
      </c>
    </row>
    <row r="2520" spans="1:5" x14ac:dyDescent="0.2">
      <c r="A2520" s="1">
        <v>45294</v>
      </c>
      <c r="B2520">
        <v>102175</v>
      </c>
      <c r="C2520" s="6">
        <f t="shared" si="117"/>
        <v>-1.9066714813384144E-3</v>
      </c>
      <c r="D2520" s="7">
        <f t="shared" si="118"/>
        <v>-0.18526646186191661</v>
      </c>
      <c r="E2520" s="8">
        <f t="shared" si="119"/>
        <v>-0.67597910375912973</v>
      </c>
    </row>
    <row r="2521" spans="1:5" x14ac:dyDescent="0.2">
      <c r="A2521" s="1">
        <v>45295</v>
      </c>
      <c r="B2521">
        <v>102311.9</v>
      </c>
      <c r="C2521" s="6">
        <f t="shared" si="117"/>
        <v>1.3389612777448619E-3</v>
      </c>
      <c r="D2521" s="7">
        <f t="shared" si="118"/>
        <v>8.7418470450780175E-2</v>
      </c>
      <c r="E2521" s="8">
        <f t="shared" si="119"/>
        <v>-0.64289095228023929</v>
      </c>
    </row>
    <row r="2522" spans="1:5" x14ac:dyDescent="0.2">
      <c r="A2522" s="1">
        <v>45296</v>
      </c>
      <c r="B2522">
        <v>102013.6</v>
      </c>
      <c r="C2522" s="6">
        <f t="shared" si="117"/>
        <v>-2.9198529985803713E-3</v>
      </c>
      <c r="D2522" s="7">
        <f t="shared" si="118"/>
        <v>-0.27038987352221583</v>
      </c>
      <c r="E2522" s="8">
        <f t="shared" si="119"/>
        <v>-0.7233101074855971</v>
      </c>
    </row>
    <row r="2523" spans="1:5" x14ac:dyDescent="0.2">
      <c r="A2523" s="1">
        <v>45299</v>
      </c>
      <c r="B2523">
        <v>101942.1</v>
      </c>
      <c r="C2523" s="6">
        <f t="shared" si="117"/>
        <v>-7.0113267664538028E-4</v>
      </c>
      <c r="D2523" s="7">
        <f t="shared" si="118"/>
        <v>-8.3981969203881165E-2</v>
      </c>
      <c r="E2523" s="8">
        <f t="shared" si="119"/>
        <v>-0.64215553492595556</v>
      </c>
    </row>
    <row r="2524" spans="1:5" x14ac:dyDescent="0.2">
      <c r="A2524" s="1">
        <v>45300</v>
      </c>
      <c r="B2524">
        <v>101295.7</v>
      </c>
      <c r="C2524" s="6">
        <f t="shared" si="117"/>
        <v>-6.3610428729132008E-3</v>
      </c>
      <c r="D2524" s="7">
        <f t="shared" si="118"/>
        <v>-0.55950472341750201</v>
      </c>
      <c r="E2524" s="8">
        <f t="shared" si="119"/>
        <v>-0.99768869089870682</v>
      </c>
    </row>
    <row r="2525" spans="1:5" x14ac:dyDescent="0.2">
      <c r="A2525" s="1">
        <v>45301</v>
      </c>
      <c r="B2525">
        <v>100988.1</v>
      </c>
      <c r="C2525" s="6">
        <f t="shared" si="117"/>
        <v>-3.0412740623971899E-3</v>
      </c>
      <c r="D2525" s="7">
        <f t="shared" si="118"/>
        <v>-0.28059118002418021</v>
      </c>
      <c r="E2525" s="8">
        <f t="shared" si="119"/>
        <v>-0.7300951062164821</v>
      </c>
    </row>
    <row r="2526" spans="1:5" x14ac:dyDescent="0.2">
      <c r="A2526" s="1">
        <v>45302</v>
      </c>
      <c r="B2526">
        <v>101452.8</v>
      </c>
      <c r="C2526" s="6">
        <f t="shared" si="117"/>
        <v>4.5909775762649173E-3</v>
      </c>
      <c r="D2526" s="7">
        <f t="shared" si="118"/>
        <v>0.36063972191861304</v>
      </c>
      <c r="E2526" s="8">
        <f t="shared" si="119"/>
        <v>-0.79121831256823028</v>
      </c>
    </row>
    <row r="2527" spans="1:5" x14ac:dyDescent="0.2">
      <c r="A2527" s="1">
        <v>45303</v>
      </c>
      <c r="B2527">
        <v>101360.5</v>
      </c>
      <c r="C2527" s="6">
        <f t="shared" si="117"/>
        <v>-9.1019678070644963E-4</v>
      </c>
      <c r="D2527" s="7">
        <f t="shared" si="118"/>
        <v>-0.10154668933599165</v>
      </c>
      <c r="E2527" s="8">
        <f t="shared" si="119"/>
        <v>-0.64622153940168192</v>
      </c>
    </row>
    <row r="2528" spans="1:5" x14ac:dyDescent="0.2">
      <c r="A2528" s="1">
        <v>45306</v>
      </c>
      <c r="B2528">
        <v>101224.4</v>
      </c>
      <c r="C2528" s="6">
        <f t="shared" si="117"/>
        <v>-1.343634401929488E-3</v>
      </c>
      <c r="D2528" s="7">
        <f t="shared" si="118"/>
        <v>-0.13796236454576605</v>
      </c>
      <c r="E2528" s="8">
        <f t="shared" si="119"/>
        <v>-0.65707149257411523</v>
      </c>
    </row>
    <row r="2529" spans="1:5" x14ac:dyDescent="0.2">
      <c r="A2529" s="1">
        <v>45307</v>
      </c>
      <c r="B2529">
        <v>100073.4</v>
      </c>
      <c r="C2529" s="6">
        <f t="shared" si="117"/>
        <v>-1.1435917769344377E-2</v>
      </c>
      <c r="D2529" s="7">
        <f t="shared" si="118"/>
        <v>-0.98587517884130149</v>
      </c>
      <c r="E2529" s="8">
        <f t="shared" si="119"/>
        <v>-1.6252823019011042</v>
      </c>
    </row>
    <row r="2530" spans="1:5" x14ac:dyDescent="0.2">
      <c r="A2530" s="1">
        <v>45308</v>
      </c>
      <c r="B2530">
        <v>98661.38</v>
      </c>
      <c r="C2530" s="6">
        <f t="shared" si="117"/>
        <v>-1.4210333602482188E-2</v>
      </c>
      <c r="D2530" s="7">
        <f t="shared" si="118"/>
        <v>-1.2189703716197173</v>
      </c>
      <c r="E2530" s="8">
        <f t="shared" si="119"/>
        <v>-2.0244160771566069</v>
      </c>
    </row>
    <row r="2531" spans="1:5" x14ac:dyDescent="0.2">
      <c r="A2531" s="1">
        <v>45309</v>
      </c>
      <c r="B2531">
        <v>99833.65</v>
      </c>
      <c r="C2531" s="6">
        <f t="shared" si="117"/>
        <v>1.181171769626683E-2</v>
      </c>
      <c r="D2531" s="7">
        <f t="shared" si="118"/>
        <v>0.96729709107409101</v>
      </c>
      <c r="E2531" s="8">
        <f t="shared" si="119"/>
        <v>-1.5945347758438662</v>
      </c>
    </row>
    <row r="2532" spans="1:5" x14ac:dyDescent="0.2">
      <c r="A2532" s="1">
        <v>45310</v>
      </c>
      <c r="B2532">
        <v>100091.7</v>
      </c>
      <c r="C2532" s="6">
        <f t="shared" si="117"/>
        <v>2.5814649648273598E-3</v>
      </c>
      <c r="D2532" s="7">
        <f t="shared" si="118"/>
        <v>0.19180860296412836</v>
      </c>
      <c r="E2532" s="8">
        <f t="shared" si="119"/>
        <v>-0.67901626083792765</v>
      </c>
    </row>
    <row r="2533" spans="1:5" x14ac:dyDescent="0.2">
      <c r="A2533" s="1">
        <v>45313</v>
      </c>
      <c r="B2533">
        <v>99809.26</v>
      </c>
      <c r="C2533" s="6">
        <f t="shared" si="117"/>
        <v>-2.8258012162007684E-3</v>
      </c>
      <c r="D2533" s="7">
        <f t="shared" si="118"/>
        <v>-0.26248802330817178</v>
      </c>
      <c r="E2533" s="8">
        <f t="shared" si="119"/>
        <v>-0.7182150687987694</v>
      </c>
    </row>
    <row r="2534" spans="1:5" x14ac:dyDescent="0.2">
      <c r="A2534" s="1">
        <v>45314</v>
      </c>
      <c r="B2534">
        <v>100836</v>
      </c>
      <c r="C2534" s="6">
        <f t="shared" si="117"/>
        <v>1.0234470149835823E-2</v>
      </c>
      <c r="D2534" s="7">
        <f t="shared" si="118"/>
        <v>0.83478313390033332</v>
      </c>
      <c r="E2534" s="8">
        <f t="shared" si="119"/>
        <v>-1.3821467628015722</v>
      </c>
    </row>
    <row r="2535" spans="1:5" x14ac:dyDescent="0.2">
      <c r="A2535" s="1">
        <v>45315</v>
      </c>
      <c r="B2535">
        <v>102488.7</v>
      </c>
      <c r="C2535" s="6">
        <f t="shared" si="117"/>
        <v>1.6257113864636661E-2</v>
      </c>
      <c r="D2535" s="7">
        <f t="shared" si="118"/>
        <v>1.3407812906905106</v>
      </c>
      <c r="E2535" s="8">
        <f t="shared" si="119"/>
        <v>-2.2387286372101025</v>
      </c>
    </row>
    <row r="2536" spans="1:5" x14ac:dyDescent="0.2">
      <c r="A2536" s="1">
        <v>45316</v>
      </c>
      <c r="B2536">
        <v>102512.8</v>
      </c>
      <c r="C2536" s="6">
        <f t="shared" si="117"/>
        <v>2.3512023191087065E-4</v>
      </c>
      <c r="D2536" s="7">
        <f t="shared" si="118"/>
        <v>-5.3217879856781577E-3</v>
      </c>
      <c r="E2536" s="8">
        <f t="shared" si="119"/>
        <v>-0.63336817503501941</v>
      </c>
    </row>
    <row r="2537" spans="1:5" x14ac:dyDescent="0.2">
      <c r="A2537" s="1">
        <v>45317</v>
      </c>
      <c r="B2537">
        <v>104052.4</v>
      </c>
      <c r="C2537" s="6">
        <f t="shared" si="117"/>
        <v>1.4906949576735884E-2</v>
      </c>
      <c r="D2537" s="7">
        <f t="shared" si="118"/>
        <v>1.2273459501003348</v>
      </c>
      <c r="E2537" s="8">
        <f t="shared" si="119"/>
        <v>-2.0390781143866343</v>
      </c>
    </row>
    <row r="2538" spans="1:5" x14ac:dyDescent="0.2">
      <c r="A2538" s="1">
        <v>45320</v>
      </c>
      <c r="B2538">
        <v>102907.1</v>
      </c>
      <c r="C2538" s="6">
        <f t="shared" si="117"/>
        <v>-1.106797891950163E-2</v>
      </c>
      <c r="D2538" s="7">
        <f t="shared" si="118"/>
        <v>-0.95496244538931374</v>
      </c>
      <c r="E2538" s="8">
        <f t="shared" si="119"/>
        <v>-1.5742369250014221</v>
      </c>
    </row>
    <row r="2539" spans="1:5" x14ac:dyDescent="0.2">
      <c r="A2539" s="1">
        <v>45321</v>
      </c>
      <c r="B2539">
        <v>102744.1</v>
      </c>
      <c r="C2539" s="6">
        <f t="shared" si="117"/>
        <v>-1.5852086847377811E-3</v>
      </c>
      <c r="D2539" s="7">
        <f t="shared" si="118"/>
        <v>-0.15825845835727709</v>
      </c>
      <c r="E2539" s="8">
        <f t="shared" si="119"/>
        <v>-0.66452315996333</v>
      </c>
    </row>
    <row r="2540" spans="1:5" x14ac:dyDescent="0.2">
      <c r="A2540" s="1">
        <v>45322</v>
      </c>
      <c r="B2540">
        <v>102159.2</v>
      </c>
      <c r="C2540" s="6">
        <f t="shared" si="117"/>
        <v>-5.7090499630659932E-3</v>
      </c>
      <c r="D2540" s="7">
        <f t="shared" si="118"/>
        <v>-0.50472691715076345</v>
      </c>
      <c r="E2540" s="8">
        <f t="shared" si="119"/>
        <v>-0.9337453045673193</v>
      </c>
    </row>
    <row r="2541" spans="1:5" x14ac:dyDescent="0.2">
      <c r="A2541" s="1">
        <v>45323</v>
      </c>
      <c r="B2541">
        <v>102685.7</v>
      </c>
      <c r="C2541" s="6">
        <f t="shared" si="117"/>
        <v>5.140485893264741E-3</v>
      </c>
      <c r="D2541" s="7">
        <f t="shared" si="118"/>
        <v>0.40680718735567123</v>
      </c>
      <c r="E2541" s="8">
        <f t="shared" si="119"/>
        <v>-0.83255295752310154</v>
      </c>
    </row>
    <row r="2542" spans="1:5" x14ac:dyDescent="0.2">
      <c r="A2542" s="1">
        <v>45324</v>
      </c>
      <c r="B2542">
        <v>103282.8</v>
      </c>
      <c r="C2542" s="6">
        <f t="shared" si="117"/>
        <v>5.7979902044200888E-3</v>
      </c>
      <c r="D2542" s="7">
        <f t="shared" si="118"/>
        <v>0.46204803926072252</v>
      </c>
      <c r="E2542" s="8">
        <f t="shared" si="119"/>
        <v>-0.88747654636160289</v>
      </c>
    </row>
    <row r="2543" spans="1:5" x14ac:dyDescent="0.2">
      <c r="A2543" s="1">
        <v>45327</v>
      </c>
      <c r="B2543">
        <v>103315.2</v>
      </c>
      <c r="C2543" s="6">
        <f t="shared" si="117"/>
        <v>3.1365260327417002E-4</v>
      </c>
      <c r="D2543" s="7">
        <f t="shared" si="118"/>
        <v>1.2761841076295818E-3</v>
      </c>
      <c r="E2543" s="8">
        <f t="shared" si="119"/>
        <v>-0.63333472510240485</v>
      </c>
    </row>
    <row r="2544" spans="1:5" x14ac:dyDescent="0.2">
      <c r="A2544" s="1">
        <v>45328</v>
      </c>
      <c r="B2544">
        <v>104498.5</v>
      </c>
      <c r="C2544" s="6">
        <f t="shared" si="117"/>
        <v>1.1388207693841119E-2</v>
      </c>
      <c r="D2544" s="7">
        <f t="shared" si="118"/>
        <v>0.93171549422768019</v>
      </c>
      <c r="E2544" s="8">
        <f t="shared" si="119"/>
        <v>-1.5362492030865158</v>
      </c>
    </row>
    <row r="2545" spans="1:5" x14ac:dyDescent="0.2">
      <c r="A2545" s="1">
        <v>45329</v>
      </c>
      <c r="B2545">
        <v>104961.3</v>
      </c>
      <c r="C2545" s="6">
        <f t="shared" si="117"/>
        <v>4.4189935549493855E-3</v>
      </c>
      <c r="D2545" s="7">
        <f t="shared" si="118"/>
        <v>0.34619032030962221</v>
      </c>
      <c r="E2545" s="8">
        <f t="shared" si="119"/>
        <v>-0.77917507185776835</v>
      </c>
    </row>
    <row r="2546" spans="1:5" x14ac:dyDescent="0.2">
      <c r="A2546" s="1">
        <v>45330</v>
      </c>
      <c r="B2546">
        <v>104581</v>
      </c>
      <c r="C2546" s="6">
        <f t="shared" si="117"/>
        <v>-3.6298200177856481E-3</v>
      </c>
      <c r="D2546" s="7">
        <f t="shared" si="118"/>
        <v>-0.33003842988905485</v>
      </c>
      <c r="E2546" s="8">
        <f t="shared" si="119"/>
        <v>-0.76623104399883823</v>
      </c>
    </row>
    <row r="2547" spans="1:5" x14ac:dyDescent="0.2">
      <c r="A2547" s="1">
        <v>45331</v>
      </c>
      <c r="B2547">
        <v>104743.4</v>
      </c>
      <c r="C2547" s="6">
        <f t="shared" si="117"/>
        <v>1.5516588852848285E-3</v>
      </c>
      <c r="D2547" s="7">
        <f t="shared" si="118"/>
        <v>0.10528846284372428</v>
      </c>
      <c r="E2547" s="8">
        <f t="shared" si="119"/>
        <v>-0.64718621171131763</v>
      </c>
    </row>
    <row r="2548" spans="1:5" x14ac:dyDescent="0.2">
      <c r="A2548" s="1">
        <v>45334</v>
      </c>
      <c r="B2548">
        <v>104889.60000000001</v>
      </c>
      <c r="C2548" s="6">
        <f t="shared" si="117"/>
        <v>1.3948187900084657E-3</v>
      </c>
      <c r="D2548" s="7">
        <f t="shared" si="118"/>
        <v>9.2111392626934976E-2</v>
      </c>
      <c r="E2548" s="8">
        <f t="shared" si="119"/>
        <v>-0.6439425024853549</v>
      </c>
    </row>
    <row r="2549" spans="1:5" x14ac:dyDescent="0.2">
      <c r="A2549" s="1">
        <v>45335</v>
      </c>
      <c r="B2549">
        <v>103814.7</v>
      </c>
      <c r="C2549" s="6">
        <f t="shared" si="117"/>
        <v>-1.0300789245371124E-2</v>
      </c>
      <c r="D2549" s="7">
        <f t="shared" si="118"/>
        <v>-0.89050627308337316</v>
      </c>
      <c r="E2549" s="8">
        <f t="shared" si="119"/>
        <v>-1.4698367078675365</v>
      </c>
    </row>
    <row r="2550" spans="1:5" x14ac:dyDescent="0.2">
      <c r="A2550" s="1">
        <v>45336</v>
      </c>
      <c r="B2550">
        <v>103348.4</v>
      </c>
      <c r="C2550" s="6">
        <f t="shared" si="117"/>
        <v>-4.5017745679778402E-3</v>
      </c>
      <c r="D2550" s="7">
        <f t="shared" si="118"/>
        <v>-0.40329652319412213</v>
      </c>
      <c r="E2550" s="8">
        <f t="shared" si="119"/>
        <v>-0.82926023714453923</v>
      </c>
    </row>
    <row r="2551" spans="1:5" x14ac:dyDescent="0.2">
      <c r="A2551" s="1">
        <v>45337</v>
      </c>
      <c r="B2551">
        <v>103232.1</v>
      </c>
      <c r="C2551" s="6">
        <f t="shared" si="117"/>
        <v>-1.1259534398145789E-3</v>
      </c>
      <c r="D2551" s="7">
        <f t="shared" si="118"/>
        <v>-0.11967369086451063</v>
      </c>
      <c r="E2551" s="8">
        <f t="shared" si="119"/>
        <v>-0.65121588282672183</v>
      </c>
    </row>
    <row r="2552" spans="1:5" x14ac:dyDescent="0.2">
      <c r="A2552" s="1">
        <v>45338</v>
      </c>
      <c r="B2552">
        <v>103450</v>
      </c>
      <c r="C2552" s="6">
        <f t="shared" si="117"/>
        <v>2.1085529973990671E-3</v>
      </c>
      <c r="D2552" s="7">
        <f t="shared" si="118"/>
        <v>0.15207645290274197</v>
      </c>
      <c r="E2552" s="8">
        <f t="shared" si="119"/>
        <v>-0.66214772073775785</v>
      </c>
    </row>
    <row r="2553" spans="1:5" x14ac:dyDescent="0.2">
      <c r="A2553" s="1">
        <v>45341</v>
      </c>
      <c r="B2553">
        <v>103269.6</v>
      </c>
      <c r="C2553" s="6">
        <f t="shared" si="117"/>
        <v>-1.7453598574663578E-3</v>
      </c>
      <c r="D2553" s="7">
        <f t="shared" si="118"/>
        <v>-0.17171371190470114</v>
      </c>
      <c r="E2553" s="8">
        <f t="shared" si="119"/>
        <v>-0.67001185141119446</v>
      </c>
    </row>
    <row r="2554" spans="1:5" x14ac:dyDescent="0.2">
      <c r="A2554" s="1">
        <v>45342</v>
      </c>
      <c r="B2554">
        <v>102046</v>
      </c>
      <c r="C2554" s="6">
        <f t="shared" si="117"/>
        <v>-1.1919352318751214E-2</v>
      </c>
      <c r="D2554" s="7">
        <f t="shared" si="118"/>
        <v>-1.0264913936652658</v>
      </c>
      <c r="E2554" s="8">
        <f t="shared" si="119"/>
        <v>-1.6931841441230271</v>
      </c>
    </row>
    <row r="2555" spans="1:5" x14ac:dyDescent="0.2">
      <c r="A2555" s="1">
        <v>45343</v>
      </c>
      <c r="B2555">
        <v>102755.5</v>
      </c>
      <c r="C2555" s="6">
        <f t="shared" si="117"/>
        <v>6.9286879089734176E-3</v>
      </c>
      <c r="D2555" s="7">
        <f t="shared" si="118"/>
        <v>0.55704468549846009</v>
      </c>
      <c r="E2555" s="8">
        <f t="shared" si="119"/>
        <v>-0.99471235453033469</v>
      </c>
    </row>
    <row r="2556" spans="1:5" x14ac:dyDescent="0.2">
      <c r="A2556" s="1">
        <v>45344</v>
      </c>
      <c r="B2556">
        <v>104604.3</v>
      </c>
      <c r="C2556" s="6">
        <f t="shared" si="117"/>
        <v>1.7832279848179013E-2</v>
      </c>
      <c r="D2556" s="7">
        <f t="shared" si="118"/>
        <v>1.4731203633725434</v>
      </c>
      <c r="E2556" s="8">
        <f t="shared" si="119"/>
        <v>-2.4726843032789714</v>
      </c>
    </row>
    <row r="2557" spans="1:5" x14ac:dyDescent="0.2">
      <c r="A2557" s="1">
        <v>45345</v>
      </c>
      <c r="B2557">
        <v>104523.4</v>
      </c>
      <c r="C2557" s="6">
        <f t="shared" si="117"/>
        <v>-7.7368998975783367E-4</v>
      </c>
      <c r="D2557" s="7">
        <f t="shared" si="118"/>
        <v>-9.0077941078545401E-2</v>
      </c>
      <c r="E2557" s="8">
        <f t="shared" si="119"/>
        <v>-0.64348016886616055</v>
      </c>
    </row>
    <row r="2558" spans="1:5" x14ac:dyDescent="0.2">
      <c r="A2558" s="1">
        <v>45348</v>
      </c>
      <c r="B2558">
        <v>104342.5</v>
      </c>
      <c r="C2558" s="6">
        <f t="shared" si="117"/>
        <v>-1.732212345178703E-3</v>
      </c>
      <c r="D2558" s="7">
        <f t="shared" si="118"/>
        <v>-0.17060911111824245</v>
      </c>
      <c r="E2558" s="8">
        <f t="shared" si="119"/>
        <v>-0.66954486526559753</v>
      </c>
    </row>
    <row r="2559" spans="1:5" x14ac:dyDescent="0.2">
      <c r="A2559" s="1">
        <v>45349</v>
      </c>
      <c r="B2559">
        <v>102728.6</v>
      </c>
      <c r="C2559" s="6">
        <f t="shared" si="117"/>
        <v>-1.5588198259019472E-2</v>
      </c>
      <c r="D2559" s="7">
        <f t="shared" si="118"/>
        <v>-1.3347329851046914</v>
      </c>
      <c r="E2559" s="8">
        <f t="shared" si="119"/>
        <v>-2.2280474192138748</v>
      </c>
    </row>
    <row r="2560" spans="1:5" x14ac:dyDescent="0.2">
      <c r="A2560" s="1">
        <v>45350</v>
      </c>
      <c r="B2560">
        <v>101362.7</v>
      </c>
      <c r="C2560" s="6">
        <f t="shared" si="117"/>
        <v>-1.338538579351138E-2</v>
      </c>
      <c r="D2560" s="7">
        <f t="shared" si="118"/>
        <v>-1.149661594518808</v>
      </c>
      <c r="E2560" s="8">
        <f t="shared" si="119"/>
        <v>-1.9037215222282451</v>
      </c>
    </row>
    <row r="2561" spans="1:5" x14ac:dyDescent="0.2">
      <c r="A2561" s="1">
        <v>45351</v>
      </c>
      <c r="B2561">
        <v>101508.5</v>
      </c>
      <c r="C2561" s="6">
        <f t="shared" si="117"/>
        <v>1.4373654328670988E-3</v>
      </c>
      <c r="D2561" s="7">
        <f t="shared" si="118"/>
        <v>9.5685989412590974E-2</v>
      </c>
      <c r="E2561" s="8">
        <f t="shared" si="119"/>
        <v>-0.64478003600405975</v>
      </c>
    </row>
    <row r="2562" spans="1:5" x14ac:dyDescent="0.2">
      <c r="A2562" s="1">
        <v>45352</v>
      </c>
      <c r="B2562">
        <v>101031.9</v>
      </c>
      <c r="C2562" s="6">
        <f t="shared" si="117"/>
        <v>-4.7062302599222283E-3</v>
      </c>
      <c r="D2562" s="7">
        <f t="shared" si="118"/>
        <v>-0.42047406318621544</v>
      </c>
      <c r="E2562" s="8">
        <f t="shared" si="119"/>
        <v>-0.84560039551374711</v>
      </c>
    </row>
    <row r="2563" spans="1:5" x14ac:dyDescent="0.2">
      <c r="A2563" s="1">
        <v>45355</v>
      </c>
      <c r="B2563">
        <v>100781.2</v>
      </c>
      <c r="C2563" s="6">
        <f t="shared" ref="C2563:C2626" si="120">LN(B2563/B2562)</f>
        <v>-2.4844782519723788E-3</v>
      </c>
      <c r="D2563" s="7">
        <f t="shared" ref="D2563:D2626" si="121">(C2563-$G$4)/$G$5</f>
        <v>-0.23381144887537123</v>
      </c>
      <c r="E2563" s="8">
        <f t="shared" ref="E2563:E2626" si="122">LN((PI()*(G$3-2))^(-1/2)*EXP(GAMMALN((G$3+1)/2))*((1+D2563^2/(G$3-2))^(-(G$3+1)/2))/EXP(GAMMALN(G$3/2)))</f>
        <v>-0.70091652188786902</v>
      </c>
    </row>
    <row r="2564" spans="1:5" x14ac:dyDescent="0.2">
      <c r="A2564" s="1">
        <v>45356</v>
      </c>
      <c r="B2564">
        <v>99235.8</v>
      </c>
      <c r="C2564" s="6">
        <f t="shared" si="120"/>
        <v>-1.5452994022476142E-2</v>
      </c>
      <c r="D2564" s="7">
        <f t="shared" si="121"/>
        <v>-1.3233736721981317</v>
      </c>
      <c r="E2564" s="8">
        <f t="shared" si="122"/>
        <v>-2.2079945083766357</v>
      </c>
    </row>
    <row r="2565" spans="1:5" x14ac:dyDescent="0.2">
      <c r="A2565" s="1">
        <v>45357</v>
      </c>
      <c r="B2565">
        <v>101031.5</v>
      </c>
      <c r="C2565" s="6">
        <f t="shared" si="120"/>
        <v>1.7933513121034389E-2</v>
      </c>
      <c r="D2565" s="7">
        <f t="shared" si="121"/>
        <v>1.4816255733594423</v>
      </c>
      <c r="E2565" s="8">
        <f t="shared" si="122"/>
        <v>-2.4877101010764076</v>
      </c>
    </row>
    <row r="2566" spans="1:5" x14ac:dyDescent="0.2">
      <c r="A2566" s="1">
        <v>45358</v>
      </c>
      <c r="B2566">
        <v>100644.3</v>
      </c>
      <c r="C2566" s="6">
        <f t="shared" si="120"/>
        <v>-3.8398308150934635E-3</v>
      </c>
      <c r="D2566" s="7">
        <f t="shared" si="121"/>
        <v>-0.34768268735735569</v>
      </c>
      <c r="E2566" s="8">
        <f t="shared" si="122"/>
        <v>-0.78039877455250239</v>
      </c>
    </row>
    <row r="2567" spans="1:5" x14ac:dyDescent="0.2">
      <c r="A2567" s="1">
        <v>45359</v>
      </c>
      <c r="B2567">
        <v>100299.5</v>
      </c>
      <c r="C2567" s="6">
        <f t="shared" si="120"/>
        <v>-3.4318086788578156E-3</v>
      </c>
      <c r="D2567" s="7">
        <f t="shared" si="121"/>
        <v>-0.31340231836301352</v>
      </c>
      <c r="E2567" s="8">
        <f t="shared" si="122"/>
        <v>-0.75347992071452785</v>
      </c>
    </row>
    <row r="2568" spans="1:5" x14ac:dyDescent="0.2">
      <c r="A2568" s="1">
        <v>45362</v>
      </c>
      <c r="B2568">
        <v>100308.8</v>
      </c>
      <c r="C2568" s="6">
        <f t="shared" si="120"/>
        <v>9.271799827485491E-5</v>
      </c>
      <c r="D2568" s="7">
        <f t="shared" si="121"/>
        <v>-1.7285847484258498E-2</v>
      </c>
      <c r="E2568" s="8">
        <f t="shared" si="122"/>
        <v>-0.63370709934722158</v>
      </c>
    </row>
    <row r="2569" spans="1:5" x14ac:dyDescent="0.2">
      <c r="A2569" s="1">
        <v>45363</v>
      </c>
      <c r="B2569">
        <v>101245.5</v>
      </c>
      <c r="C2569" s="6">
        <f t="shared" si="120"/>
        <v>9.2948326456465148E-3</v>
      </c>
      <c r="D2569" s="7">
        <f t="shared" si="121"/>
        <v>0.75583859265140185</v>
      </c>
      <c r="E2569" s="8">
        <f t="shared" si="122"/>
        <v>-1.2627648768190201</v>
      </c>
    </row>
    <row r="2570" spans="1:5" x14ac:dyDescent="0.2">
      <c r="A2570" s="1">
        <v>45364</v>
      </c>
      <c r="B2570">
        <v>101942.7</v>
      </c>
      <c r="C2570" s="6">
        <f t="shared" si="120"/>
        <v>6.8626301749571067E-3</v>
      </c>
      <c r="D2570" s="7">
        <f t="shared" si="121"/>
        <v>0.55149478196160528</v>
      </c>
      <c r="E2570" s="8">
        <f t="shared" si="122"/>
        <v>-0.98803293302453732</v>
      </c>
    </row>
    <row r="2571" spans="1:5" x14ac:dyDescent="0.2">
      <c r="A2571" s="1">
        <v>45365</v>
      </c>
      <c r="B2571">
        <v>101355.7</v>
      </c>
      <c r="C2571" s="6">
        <f t="shared" si="120"/>
        <v>-5.7747786630435328E-3</v>
      </c>
      <c r="D2571" s="7">
        <f t="shared" si="121"/>
        <v>-0.51024917657898017</v>
      </c>
      <c r="E2571" s="8">
        <f t="shared" si="122"/>
        <v>-0.93996489022986107</v>
      </c>
    </row>
    <row r="2572" spans="1:5" x14ac:dyDescent="0.2">
      <c r="A2572" s="1">
        <v>45366</v>
      </c>
      <c r="B2572">
        <v>100728.4</v>
      </c>
      <c r="C2572" s="6">
        <f t="shared" si="120"/>
        <v>-6.2083262844579625E-3</v>
      </c>
      <c r="D2572" s="7">
        <f t="shared" si="121"/>
        <v>-0.54667409355976526</v>
      </c>
      <c r="E2572" s="8">
        <f t="shared" si="122"/>
        <v>-0.98227106999335179</v>
      </c>
    </row>
    <row r="2573" spans="1:5" x14ac:dyDescent="0.2">
      <c r="A2573" s="1">
        <v>45369</v>
      </c>
      <c r="B2573">
        <v>100472.9</v>
      </c>
      <c r="C2573" s="6">
        <f t="shared" si="120"/>
        <v>-2.5397463867069311E-3</v>
      </c>
      <c r="D2573" s="7">
        <f t="shared" si="121"/>
        <v>-0.23845485393620661</v>
      </c>
      <c r="E2573" s="8">
        <f t="shared" si="122"/>
        <v>-0.7035897461130256</v>
      </c>
    </row>
    <row r="2574" spans="1:5" x14ac:dyDescent="0.2">
      <c r="A2574" s="1">
        <v>45370</v>
      </c>
      <c r="B2574">
        <v>99587.75</v>
      </c>
      <c r="C2574" s="6">
        <f t="shared" si="120"/>
        <v>-8.8488743367203353E-3</v>
      </c>
      <c r="D2574" s="7">
        <f t="shared" si="121"/>
        <v>-0.76852225702942467</v>
      </c>
      <c r="E2574" s="8">
        <f t="shared" si="122"/>
        <v>-1.2815224699158922</v>
      </c>
    </row>
    <row r="2575" spans="1:5" x14ac:dyDescent="0.2">
      <c r="A2575" s="1">
        <v>45371</v>
      </c>
      <c r="B2575">
        <v>100200.2</v>
      </c>
      <c r="C2575" s="6">
        <f t="shared" si="120"/>
        <v>6.1310195982075934E-3</v>
      </c>
      <c r="D2575" s="7">
        <f t="shared" si="121"/>
        <v>0.49002782146156948</v>
      </c>
      <c r="E2575" s="8">
        <f t="shared" si="122"/>
        <v>-0.9174465654265449</v>
      </c>
    </row>
    <row r="2576" spans="1:5" x14ac:dyDescent="0.2">
      <c r="A2576" s="1">
        <v>45373</v>
      </c>
      <c r="B2576">
        <v>100773.9</v>
      </c>
      <c r="C2576" s="6">
        <f t="shared" si="120"/>
        <v>5.7092088812930094E-3</v>
      </c>
      <c r="D2576" s="7">
        <f t="shared" si="121"/>
        <v>0.45458899170835027</v>
      </c>
      <c r="E2576" s="8">
        <f t="shared" si="122"/>
        <v>-0.87972593044621739</v>
      </c>
    </row>
    <row r="2577" spans="1:5" x14ac:dyDescent="0.2">
      <c r="A2577" s="1">
        <v>45376</v>
      </c>
      <c r="B2577">
        <v>101019.6</v>
      </c>
      <c r="C2577" s="6">
        <f t="shared" si="120"/>
        <v>2.4351638820599071E-3</v>
      </c>
      <c r="D2577" s="7">
        <f t="shared" si="121"/>
        <v>0.17951697793659901</v>
      </c>
      <c r="E2577" s="8">
        <f t="shared" si="122"/>
        <v>-0.67339403155168032</v>
      </c>
    </row>
    <row r="2578" spans="1:5" x14ac:dyDescent="0.2">
      <c r="A2578" s="1">
        <v>45377</v>
      </c>
      <c r="B2578">
        <v>102301.3</v>
      </c>
      <c r="C2578" s="6">
        <f t="shared" si="120"/>
        <v>1.260782317911438E-2</v>
      </c>
      <c r="D2578" s="7">
        <f t="shared" si="121"/>
        <v>1.0341826526326225</v>
      </c>
      <c r="E2578" s="8">
        <f t="shared" si="122"/>
        <v>-1.7061398081364019</v>
      </c>
    </row>
    <row r="2579" spans="1:5" x14ac:dyDescent="0.2">
      <c r="A2579" s="1">
        <v>45378</v>
      </c>
      <c r="B2579">
        <v>103271.5</v>
      </c>
      <c r="C2579" s="6">
        <f t="shared" si="120"/>
        <v>9.4390620100727324E-3</v>
      </c>
      <c r="D2579" s="7">
        <f t="shared" si="121"/>
        <v>0.7679561602862488</v>
      </c>
      <c r="E2579" s="8">
        <f t="shared" si="122"/>
        <v>-1.2806816482757679</v>
      </c>
    </row>
    <row r="2580" spans="1:5" x14ac:dyDescent="0.2">
      <c r="A2580" s="1">
        <v>45379</v>
      </c>
      <c r="B2580">
        <v>103936</v>
      </c>
      <c r="C2580" s="6">
        <f t="shared" si="120"/>
        <v>6.4138824898618985E-3</v>
      </c>
      <c r="D2580" s="7">
        <f t="shared" si="121"/>
        <v>0.51379281713110847</v>
      </c>
      <c r="E2580" s="8">
        <f t="shared" si="122"/>
        <v>-0.94398340498725997</v>
      </c>
    </row>
    <row r="2581" spans="1:5" x14ac:dyDescent="0.2">
      <c r="A2581" s="1">
        <v>45384</v>
      </c>
      <c r="B2581">
        <v>103267.8</v>
      </c>
      <c r="C2581" s="6">
        <f t="shared" si="120"/>
        <v>-6.4497110222562389E-3</v>
      </c>
      <c r="D2581" s="7">
        <f t="shared" si="121"/>
        <v>-0.56695426256644987</v>
      </c>
      <c r="E2581" s="8">
        <f t="shared" si="122"/>
        <v>-1.0067597638621366</v>
      </c>
    </row>
    <row r="2582" spans="1:5" x14ac:dyDescent="0.2">
      <c r="A2582" s="1">
        <v>45385</v>
      </c>
      <c r="B2582">
        <v>102845.5</v>
      </c>
      <c r="C2582" s="6">
        <f t="shared" si="120"/>
        <v>-4.0977519735331128E-3</v>
      </c>
      <c r="D2582" s="7">
        <f t="shared" si="121"/>
        <v>-0.36935217951856775</v>
      </c>
      <c r="E2582" s="8">
        <f t="shared" si="122"/>
        <v>-0.79868864127590489</v>
      </c>
    </row>
    <row r="2583" spans="1:5" x14ac:dyDescent="0.2">
      <c r="A2583" s="1">
        <v>45386</v>
      </c>
      <c r="B2583">
        <v>103700.8</v>
      </c>
      <c r="C2583" s="6">
        <f t="shared" si="120"/>
        <v>8.281967663590236E-3</v>
      </c>
      <c r="D2583" s="7">
        <f t="shared" si="121"/>
        <v>0.6707417749966752</v>
      </c>
      <c r="E2583" s="8">
        <f t="shared" si="122"/>
        <v>-1.1416543946185582</v>
      </c>
    </row>
    <row r="2584" spans="1:5" x14ac:dyDescent="0.2">
      <c r="A2584" s="1">
        <v>45387</v>
      </c>
      <c r="B2584">
        <v>102921.1</v>
      </c>
      <c r="C2584" s="6">
        <f t="shared" si="120"/>
        <v>-7.5471544975886746E-3</v>
      </c>
      <c r="D2584" s="7">
        <f t="shared" si="121"/>
        <v>-0.65915702301448054</v>
      </c>
      <c r="E2584" s="8">
        <f t="shared" si="122"/>
        <v>-1.1258553379009468</v>
      </c>
    </row>
    <row r="2585" spans="1:5" x14ac:dyDescent="0.2">
      <c r="A2585" s="1">
        <v>45390</v>
      </c>
      <c r="B2585">
        <v>102596</v>
      </c>
      <c r="C2585" s="6">
        <f t="shared" si="120"/>
        <v>-3.1637296474645383E-3</v>
      </c>
      <c r="D2585" s="7">
        <f t="shared" si="121"/>
        <v>-0.29087940281585334</v>
      </c>
      <c r="E2585" s="8">
        <f t="shared" si="122"/>
        <v>-0.73717269665211571</v>
      </c>
    </row>
    <row r="2586" spans="1:5" x14ac:dyDescent="0.2">
      <c r="A2586" s="1">
        <v>45391</v>
      </c>
      <c r="B2586">
        <v>101545.4</v>
      </c>
      <c r="C2586" s="6">
        <f t="shared" si="120"/>
        <v>-1.029295650430842E-2</v>
      </c>
      <c r="D2586" s="7">
        <f t="shared" si="121"/>
        <v>-0.8898481978712196</v>
      </c>
      <c r="E2586" s="8">
        <f t="shared" si="122"/>
        <v>-1.4687863953003855</v>
      </c>
    </row>
    <row r="2587" spans="1:5" x14ac:dyDescent="0.2">
      <c r="A2587" s="1">
        <v>45392</v>
      </c>
      <c r="B2587">
        <v>102695.4</v>
      </c>
      <c r="C2587" s="6">
        <f t="shared" si="120"/>
        <v>1.1261336161398367E-2</v>
      </c>
      <c r="D2587" s="7">
        <f t="shared" si="121"/>
        <v>0.92105626140482333</v>
      </c>
      <c r="E2587" s="8">
        <f t="shared" si="122"/>
        <v>-1.5189534055514626</v>
      </c>
    </row>
    <row r="2588" spans="1:5" x14ac:dyDescent="0.2">
      <c r="A2588" s="1">
        <v>45393</v>
      </c>
      <c r="B2588">
        <v>102308.5</v>
      </c>
      <c r="C2588" s="6">
        <f t="shared" si="120"/>
        <v>-3.7745668190541318E-3</v>
      </c>
      <c r="D2588" s="7">
        <f t="shared" si="121"/>
        <v>-0.34219947047379556</v>
      </c>
      <c r="E2588" s="8">
        <f t="shared" si="122"/>
        <v>-0.77592562650102703</v>
      </c>
    </row>
    <row r="2589" spans="1:5" x14ac:dyDescent="0.2">
      <c r="A2589" s="1">
        <v>45394</v>
      </c>
      <c r="B2589">
        <v>100816.6</v>
      </c>
      <c r="C2589" s="6">
        <f t="shared" si="120"/>
        <v>-1.4689733841671562E-2</v>
      </c>
      <c r="D2589" s="7">
        <f t="shared" si="121"/>
        <v>-1.259247640022372</v>
      </c>
      <c r="E2589" s="8">
        <f t="shared" si="122"/>
        <v>-2.095045093107184</v>
      </c>
    </row>
    <row r="2590" spans="1:5" x14ac:dyDescent="0.2">
      <c r="A2590" s="1">
        <v>45397</v>
      </c>
      <c r="B2590">
        <v>100148.5</v>
      </c>
      <c r="C2590" s="6">
        <f t="shared" si="120"/>
        <v>-6.6489401523065102E-3</v>
      </c>
      <c r="D2590" s="7">
        <f t="shared" si="121"/>
        <v>-0.58369268797531226</v>
      </c>
      <c r="E2590" s="8">
        <f t="shared" si="122"/>
        <v>-1.0274554443086172</v>
      </c>
    </row>
    <row r="2591" spans="1:5" x14ac:dyDescent="0.2">
      <c r="A2591" s="1">
        <v>45398</v>
      </c>
      <c r="B2591">
        <v>98320.88</v>
      </c>
      <c r="C2591" s="6">
        <f t="shared" si="120"/>
        <v>-1.8417668882086964E-2</v>
      </c>
      <c r="D2591" s="7">
        <f t="shared" si="121"/>
        <v>-1.5724536585766484</v>
      </c>
      <c r="E2591" s="8">
        <f t="shared" si="122"/>
        <v>-2.6478211410017174</v>
      </c>
    </row>
    <row r="2592" spans="1:5" x14ac:dyDescent="0.2">
      <c r="A2592" s="1">
        <v>45399</v>
      </c>
      <c r="B2592">
        <v>97823.94</v>
      </c>
      <c r="C2592" s="6">
        <f t="shared" si="120"/>
        <v>-5.0670832220586276E-3</v>
      </c>
      <c r="D2592" s="7">
        <f t="shared" si="121"/>
        <v>-0.45079146902321865</v>
      </c>
      <c r="E2592" s="8">
        <f t="shared" si="122"/>
        <v>-0.87581930926457752</v>
      </c>
    </row>
    <row r="2593" spans="1:5" x14ac:dyDescent="0.2">
      <c r="A2593" s="1">
        <v>45400</v>
      </c>
      <c r="B2593">
        <v>98418.86</v>
      </c>
      <c r="C2593" s="6">
        <f t="shared" si="120"/>
        <v>6.0631199973476806E-3</v>
      </c>
      <c r="D2593" s="7">
        <f t="shared" si="121"/>
        <v>0.48432317172486483</v>
      </c>
      <c r="E2593" s="8">
        <f t="shared" si="122"/>
        <v>-0.9112228172475515</v>
      </c>
    </row>
    <row r="2594" spans="1:5" x14ac:dyDescent="0.2">
      <c r="A2594" s="1">
        <v>45401</v>
      </c>
      <c r="B2594">
        <v>98700.6</v>
      </c>
      <c r="C2594" s="6">
        <f t="shared" si="120"/>
        <v>2.85857308914881E-3</v>
      </c>
      <c r="D2594" s="7">
        <f t="shared" si="121"/>
        <v>0.21509010636663767</v>
      </c>
      <c r="E2594" s="8">
        <f t="shared" si="122"/>
        <v>-0.69064521022952374</v>
      </c>
    </row>
    <row r="2595" spans="1:5" x14ac:dyDescent="0.2">
      <c r="A2595" s="1">
        <v>45404</v>
      </c>
      <c r="B2595">
        <v>101059.7</v>
      </c>
      <c r="C2595" s="6">
        <f t="shared" si="120"/>
        <v>2.3620405877497672E-2</v>
      </c>
      <c r="D2595" s="7">
        <f t="shared" si="121"/>
        <v>1.9594152931069584</v>
      </c>
      <c r="E2595" s="8">
        <f t="shared" si="122"/>
        <v>-3.3144004686964537</v>
      </c>
    </row>
    <row r="2596" spans="1:5" x14ac:dyDescent="0.2">
      <c r="A2596" s="1">
        <v>45405</v>
      </c>
      <c r="B2596">
        <v>102805.8</v>
      </c>
      <c r="C2596" s="6">
        <f t="shared" si="120"/>
        <v>1.7130340337154364E-2</v>
      </c>
      <c r="D2596" s="7">
        <f t="shared" si="121"/>
        <v>1.4141462457630618</v>
      </c>
      <c r="E2596" s="8">
        <f t="shared" si="122"/>
        <v>-2.3684217353882211</v>
      </c>
    </row>
    <row r="2597" spans="1:5" x14ac:dyDescent="0.2">
      <c r="A2597" s="1">
        <v>45406</v>
      </c>
      <c r="B2597">
        <v>104012.6</v>
      </c>
      <c r="C2597" s="6">
        <f t="shared" si="120"/>
        <v>1.1670273986025806E-2</v>
      </c>
      <c r="D2597" s="7">
        <f t="shared" si="121"/>
        <v>0.95541356283289092</v>
      </c>
      <c r="E2597" s="8">
        <f t="shared" si="122"/>
        <v>-1.5749775913123603</v>
      </c>
    </row>
    <row r="2598" spans="1:5" x14ac:dyDescent="0.2">
      <c r="A2598" s="1">
        <v>45407</v>
      </c>
      <c r="B2598">
        <v>102531.5</v>
      </c>
      <c r="C2598" s="6">
        <f t="shared" si="120"/>
        <v>-1.434197720957766E-2</v>
      </c>
      <c r="D2598" s="7">
        <f t="shared" si="121"/>
        <v>-1.2300305348466769</v>
      </c>
      <c r="E2598" s="8">
        <f t="shared" si="122"/>
        <v>-2.0437806431604177</v>
      </c>
    </row>
    <row r="2599" spans="1:5" x14ac:dyDescent="0.2">
      <c r="A2599" s="1">
        <v>45408</v>
      </c>
      <c r="B2599">
        <v>103903.3</v>
      </c>
      <c r="C2599" s="6">
        <f t="shared" si="120"/>
        <v>1.3290590470338558E-2</v>
      </c>
      <c r="D2599" s="7">
        <f t="shared" si="121"/>
        <v>1.0915459979068964</v>
      </c>
      <c r="E2599" s="8">
        <f t="shared" si="122"/>
        <v>-1.8036295343100568</v>
      </c>
    </row>
    <row r="2600" spans="1:5" x14ac:dyDescent="0.2">
      <c r="A2600" s="1">
        <v>45411</v>
      </c>
      <c r="B2600">
        <v>104610</v>
      </c>
      <c r="C2600" s="6">
        <f t="shared" si="120"/>
        <v>6.778490445916629E-3</v>
      </c>
      <c r="D2600" s="7">
        <f t="shared" si="121"/>
        <v>0.54442570236410592</v>
      </c>
      <c r="E2600" s="8">
        <f t="shared" si="122"/>
        <v>-0.97959649256708914</v>
      </c>
    </row>
    <row r="2601" spans="1:5" x14ac:dyDescent="0.2">
      <c r="A2601" s="1">
        <v>45412</v>
      </c>
      <c r="B2601">
        <v>105021.5</v>
      </c>
      <c r="C2601" s="6">
        <f t="shared" si="120"/>
        <v>3.9259417457583202E-3</v>
      </c>
      <c r="D2601" s="7">
        <f t="shared" si="121"/>
        <v>0.30476610223083594</v>
      </c>
      <c r="E2601" s="8">
        <f t="shared" si="122"/>
        <v>-0.74709605760638786</v>
      </c>
    </row>
    <row r="2602" spans="1:5" x14ac:dyDescent="0.2">
      <c r="A2602" s="1">
        <v>45414</v>
      </c>
      <c r="B2602">
        <v>105857.1</v>
      </c>
      <c r="C2602" s="6">
        <f t="shared" si="120"/>
        <v>7.924980280964276E-3</v>
      </c>
      <c r="D2602" s="7">
        <f t="shared" si="121"/>
        <v>0.64074913950967638</v>
      </c>
      <c r="E2602" s="8">
        <f t="shared" si="122"/>
        <v>-1.1011171684875685</v>
      </c>
    </row>
    <row r="2603" spans="1:5" x14ac:dyDescent="0.2">
      <c r="A2603" s="1">
        <v>45415</v>
      </c>
      <c r="B2603">
        <v>107199.9</v>
      </c>
      <c r="C2603" s="6">
        <f t="shared" si="120"/>
        <v>1.2605244418053461E-2</v>
      </c>
      <c r="D2603" s="7">
        <f t="shared" si="121"/>
        <v>1.0339659955621701</v>
      </c>
      <c r="E2603" s="8">
        <f t="shared" si="122"/>
        <v>-1.7057744551772136</v>
      </c>
    </row>
    <row r="2604" spans="1:5" x14ac:dyDescent="0.2">
      <c r="A2604" s="1">
        <v>45418</v>
      </c>
      <c r="B2604">
        <v>107109.5</v>
      </c>
      <c r="C2604" s="6">
        <f t="shared" si="120"/>
        <v>-8.4364013301968684E-4</v>
      </c>
      <c r="D2604" s="7">
        <f t="shared" si="121"/>
        <v>-9.5954869091192593E-2</v>
      </c>
      <c r="E2604" s="8">
        <f t="shared" si="122"/>
        <v>-0.64484431265362319</v>
      </c>
    </row>
    <row r="2605" spans="1:5" x14ac:dyDescent="0.2">
      <c r="A2605" s="1">
        <v>45419</v>
      </c>
      <c r="B2605">
        <v>107158.8</v>
      </c>
      <c r="C2605" s="6">
        <f t="shared" si="120"/>
        <v>4.6017073799503019E-4</v>
      </c>
      <c r="D2605" s="7">
        <f t="shared" si="121"/>
        <v>1.3586044962073596E-2</v>
      </c>
      <c r="E2605" s="8">
        <f t="shared" si="122"/>
        <v>-0.63356398150552895</v>
      </c>
    </row>
    <row r="2606" spans="1:5" x14ac:dyDescent="0.2">
      <c r="A2606" s="1">
        <v>45420</v>
      </c>
      <c r="B2606">
        <v>107610.1</v>
      </c>
      <c r="C2606" s="6">
        <f t="shared" si="120"/>
        <v>4.2026630881134399E-3</v>
      </c>
      <c r="D2606" s="7">
        <f t="shared" si="121"/>
        <v>0.32801510977748682</v>
      </c>
      <c r="E2606" s="8">
        <f t="shared" si="122"/>
        <v>-0.7646485479617231</v>
      </c>
    </row>
    <row r="2607" spans="1:5" x14ac:dyDescent="0.2">
      <c r="A2607" s="1">
        <v>45421</v>
      </c>
      <c r="B2607">
        <v>108187.4</v>
      </c>
      <c r="C2607" s="6">
        <f t="shared" si="120"/>
        <v>5.3503991212646472E-3</v>
      </c>
      <c r="D2607" s="7">
        <f t="shared" si="121"/>
        <v>0.42444324744549528</v>
      </c>
      <c r="E2607" s="8">
        <f t="shared" si="122"/>
        <v>-0.84945738066758159</v>
      </c>
    </row>
    <row r="2608" spans="1:5" x14ac:dyDescent="0.2">
      <c r="A2608" s="1">
        <v>45422</v>
      </c>
      <c r="B2608">
        <v>108579.2</v>
      </c>
      <c r="C2608" s="6">
        <f t="shared" si="120"/>
        <v>3.6149519959820724E-3</v>
      </c>
      <c r="D2608" s="7">
        <f t="shared" si="121"/>
        <v>0.27863800174554543</v>
      </c>
      <c r="E2608" s="8">
        <f t="shared" si="122"/>
        <v>-0.72877802239380174</v>
      </c>
    </row>
    <row r="2609" spans="1:5" x14ac:dyDescent="0.2">
      <c r="A2609" s="1">
        <v>45425</v>
      </c>
      <c r="B2609">
        <v>109320.3</v>
      </c>
      <c r="C2609" s="6">
        <f t="shared" si="120"/>
        <v>6.8022446824227189E-3</v>
      </c>
      <c r="D2609" s="7">
        <f t="shared" si="121"/>
        <v>0.54642143720369152</v>
      </c>
      <c r="E2609" s="8">
        <f t="shared" si="122"/>
        <v>-0.9819701156084425</v>
      </c>
    </row>
    <row r="2610" spans="1:5" x14ac:dyDescent="0.2">
      <c r="A2610" s="1">
        <v>45426</v>
      </c>
      <c r="B2610">
        <v>110498</v>
      </c>
      <c r="C2610" s="6">
        <f t="shared" si="120"/>
        <v>1.0715315953293472E-2</v>
      </c>
      <c r="D2610" s="7">
        <f t="shared" si="121"/>
        <v>0.87518185276393257</v>
      </c>
      <c r="E2610" s="8">
        <f t="shared" si="122"/>
        <v>-1.4454663541885109</v>
      </c>
    </row>
    <row r="2611" spans="1:5" x14ac:dyDescent="0.2">
      <c r="A2611" s="1">
        <v>45427</v>
      </c>
      <c r="B2611">
        <v>111377</v>
      </c>
      <c r="C2611" s="6">
        <f t="shared" si="120"/>
        <v>7.923421734535448E-3</v>
      </c>
      <c r="D2611" s="7">
        <f t="shared" si="121"/>
        <v>0.64061819674473741</v>
      </c>
      <c r="E2611" s="8">
        <f t="shared" si="122"/>
        <v>-1.1009428368790759</v>
      </c>
    </row>
    <row r="2612" spans="1:5" x14ac:dyDescent="0.2">
      <c r="A2612" s="1">
        <v>45428</v>
      </c>
      <c r="B2612">
        <v>111716.8</v>
      </c>
      <c r="C2612" s="6">
        <f t="shared" si="120"/>
        <v>3.0462546495619298E-3</v>
      </c>
      <c r="D2612" s="7">
        <f t="shared" si="121"/>
        <v>0.23085835169703298</v>
      </c>
      <c r="E2612" s="8">
        <f t="shared" si="122"/>
        <v>-0.69924230273425536</v>
      </c>
    </row>
    <row r="2613" spans="1:5" x14ac:dyDescent="0.2">
      <c r="A2613" s="1">
        <v>45429</v>
      </c>
      <c r="B2613">
        <v>110578.3</v>
      </c>
      <c r="C2613" s="6">
        <f t="shared" si="120"/>
        <v>-1.0243230324240394E-2</v>
      </c>
      <c r="D2613" s="7">
        <f t="shared" si="121"/>
        <v>-0.88567040541824704</v>
      </c>
      <c r="E2613" s="8">
        <f t="shared" si="122"/>
        <v>-1.4621263167343883</v>
      </c>
    </row>
    <row r="2614" spans="1:5" x14ac:dyDescent="0.2">
      <c r="A2614" s="1">
        <v>45432</v>
      </c>
      <c r="B2614">
        <v>110656.4</v>
      </c>
      <c r="C2614" s="6">
        <f t="shared" si="120"/>
        <v>7.0603755418408986E-4</v>
      </c>
      <c r="D2614" s="7">
        <f t="shared" si="121"/>
        <v>3.424278006028246E-2</v>
      </c>
      <c r="E2614" s="8">
        <f t="shared" si="122"/>
        <v>-0.63480166083353085</v>
      </c>
    </row>
    <row r="2615" spans="1:5" x14ac:dyDescent="0.2">
      <c r="A2615" s="1">
        <v>45433</v>
      </c>
      <c r="B2615">
        <v>110205.4</v>
      </c>
      <c r="C2615" s="6">
        <f t="shared" si="120"/>
        <v>-4.0840075273918782E-3</v>
      </c>
      <c r="D2615" s="7">
        <f t="shared" si="121"/>
        <v>-0.3681974267649763</v>
      </c>
      <c r="E2615" s="8">
        <f t="shared" si="122"/>
        <v>-0.79768956564866833</v>
      </c>
    </row>
    <row r="2616" spans="1:5" x14ac:dyDescent="0.2">
      <c r="A2616" s="1">
        <v>45434</v>
      </c>
      <c r="B2616">
        <v>110080.5</v>
      </c>
      <c r="C2616" s="6">
        <f t="shared" si="120"/>
        <v>-1.1339810072655465E-3</v>
      </c>
      <c r="D2616" s="7">
        <f t="shared" si="121"/>
        <v>-0.12034813460152201</v>
      </c>
      <c r="E2616" s="8">
        <f t="shared" si="122"/>
        <v>-0.65141728853489045</v>
      </c>
    </row>
    <row r="2617" spans="1:5" x14ac:dyDescent="0.2">
      <c r="A2617" s="1">
        <v>45435</v>
      </c>
      <c r="B2617">
        <v>109886.3</v>
      </c>
      <c r="C2617" s="6">
        <f t="shared" si="120"/>
        <v>-1.765721467566401E-3</v>
      </c>
      <c r="D2617" s="7">
        <f t="shared" si="121"/>
        <v>-0.17342441200050498</v>
      </c>
      <c r="E2617" s="8">
        <f t="shared" si="122"/>
        <v>-0.670740848090287</v>
      </c>
    </row>
    <row r="2618" spans="1:5" x14ac:dyDescent="0.2">
      <c r="A2618" s="1">
        <v>45436</v>
      </c>
      <c r="B2618">
        <v>109834.9</v>
      </c>
      <c r="C2618" s="6">
        <f t="shared" si="120"/>
        <v>-4.6786564917382221E-4</v>
      </c>
      <c r="D2618" s="7">
        <f t="shared" si="121"/>
        <v>-6.4383817373902766E-2</v>
      </c>
      <c r="E2618" s="8">
        <f t="shared" si="122"/>
        <v>-0.63852195762283626</v>
      </c>
    </row>
    <row r="2619" spans="1:5" x14ac:dyDescent="0.2">
      <c r="A2619" s="1">
        <v>45439</v>
      </c>
      <c r="B2619">
        <v>109531.5</v>
      </c>
      <c r="C2619" s="6">
        <f t="shared" si="120"/>
        <v>-2.7661500891437538E-3</v>
      </c>
      <c r="D2619" s="7">
        <f t="shared" si="121"/>
        <v>-0.25747637696636189</v>
      </c>
      <c r="E2619" s="8">
        <f t="shared" si="122"/>
        <v>-0.71505669778820768</v>
      </c>
    </row>
    <row r="2620" spans="1:5" x14ac:dyDescent="0.2">
      <c r="A2620" s="1">
        <v>45440</v>
      </c>
      <c r="B2620">
        <v>109056.3</v>
      </c>
      <c r="C2620" s="6">
        <f t="shared" si="120"/>
        <v>-4.3479164767028866E-3</v>
      </c>
      <c r="D2620" s="7">
        <f t="shared" si="121"/>
        <v>-0.3903699888880901</v>
      </c>
      <c r="E2620" s="8">
        <f t="shared" si="122"/>
        <v>-0.81734595713531133</v>
      </c>
    </row>
    <row r="2621" spans="1:5" x14ac:dyDescent="0.2">
      <c r="A2621" s="1">
        <v>45442</v>
      </c>
      <c r="B2621">
        <v>107784</v>
      </c>
      <c r="C2621" s="6">
        <f t="shared" si="120"/>
        <v>-1.1735038189747332E-2</v>
      </c>
      <c r="D2621" s="7">
        <f t="shared" si="121"/>
        <v>-1.0110060662969615</v>
      </c>
      <c r="E2621" s="8">
        <f t="shared" si="122"/>
        <v>-1.6671910694219687</v>
      </c>
    </row>
    <row r="2622" spans="1:5" x14ac:dyDescent="0.2">
      <c r="A2622" s="1">
        <v>45443</v>
      </c>
      <c r="B2622">
        <v>106760.3</v>
      </c>
      <c r="C2622" s="6">
        <f t="shared" si="120"/>
        <v>-9.5430898799573807E-3</v>
      </c>
      <c r="D2622" s="7">
        <f t="shared" si="121"/>
        <v>-0.82684743811722083</v>
      </c>
      <c r="E2622" s="8">
        <f t="shared" si="122"/>
        <v>-1.3698754578623968</v>
      </c>
    </row>
    <row r="2623" spans="1:5" x14ac:dyDescent="0.2">
      <c r="A2623" s="1">
        <v>45446</v>
      </c>
      <c r="B2623">
        <v>108263.6</v>
      </c>
      <c r="C2623" s="6">
        <f t="shared" si="120"/>
        <v>1.3982859521507468E-2</v>
      </c>
      <c r="D2623" s="7">
        <f t="shared" si="121"/>
        <v>1.1497076426068</v>
      </c>
      <c r="E2623" s="8">
        <f t="shared" si="122"/>
        <v>-1.903801277342593</v>
      </c>
    </row>
    <row r="2624" spans="1:5" x14ac:dyDescent="0.2">
      <c r="A2624" s="1">
        <v>45447</v>
      </c>
      <c r="B2624">
        <v>108233.7</v>
      </c>
      <c r="C2624" s="6">
        <f t="shared" si="120"/>
        <v>-2.7621591761290012E-4</v>
      </c>
      <c r="D2624" s="7">
        <f t="shared" si="121"/>
        <v>-4.8282182359226211E-2</v>
      </c>
      <c r="E2624" s="8">
        <f t="shared" si="122"/>
        <v>-0.63625229132597771</v>
      </c>
    </row>
    <row r="2625" spans="1:5" x14ac:dyDescent="0.2">
      <c r="A2625" s="1">
        <v>45448</v>
      </c>
      <c r="B2625">
        <v>108628.9</v>
      </c>
      <c r="C2625" s="6">
        <f t="shared" si="120"/>
        <v>3.6447081007321964E-3</v>
      </c>
      <c r="D2625" s="7">
        <f t="shared" si="121"/>
        <v>0.2811379892709267</v>
      </c>
      <c r="E2625" s="8">
        <f t="shared" si="122"/>
        <v>-0.73046535848562977</v>
      </c>
    </row>
    <row r="2626" spans="1:5" x14ac:dyDescent="0.2">
      <c r="A2626" s="1">
        <v>45449</v>
      </c>
      <c r="B2626">
        <v>109440.5</v>
      </c>
      <c r="C2626" s="6">
        <f t="shared" si="120"/>
        <v>7.4435362990381533E-3</v>
      </c>
      <c r="D2626" s="7">
        <f t="shared" si="121"/>
        <v>0.60030016411143683</v>
      </c>
      <c r="E2626" s="8">
        <f t="shared" si="122"/>
        <v>-1.0484087259294361</v>
      </c>
    </row>
    <row r="2627" spans="1:5" x14ac:dyDescent="0.2">
      <c r="A2627" s="1">
        <v>45450</v>
      </c>
      <c r="B2627">
        <v>108920.9</v>
      </c>
      <c r="C2627" s="6">
        <f t="shared" ref="C2627:C2690" si="123">LN(B2627/B2626)</f>
        <v>-4.7590918605522389E-3</v>
      </c>
      <c r="D2627" s="7">
        <f t="shared" ref="D2627:D2690" si="124">(C2627-$G$4)/$G$5</f>
        <v>-0.42491528098862835</v>
      </c>
      <c r="E2627" s="8">
        <f t="shared" ref="E2627:E2690" si="125">LN((PI()*(G$3-2))^(-1/2)*EXP(GAMMALN((G$3+1)/2))*((1+D2627^2/(G$3-2))^(-(G$3+1)/2))/EXP(GAMMALN(G$3/2)))</f>
        <v>-0.84991808340778718</v>
      </c>
    </row>
    <row r="2628" spans="1:5" x14ac:dyDescent="0.2">
      <c r="A2628" s="1">
        <v>45453</v>
      </c>
      <c r="B2628">
        <v>107765.9</v>
      </c>
      <c r="C2628" s="6">
        <f t="shared" si="123"/>
        <v>-1.0660648814207595E-2</v>
      </c>
      <c r="D2628" s="7">
        <f t="shared" si="124"/>
        <v>-0.92074021803466999</v>
      </c>
      <c r="E2628" s="8">
        <f t="shared" si="125"/>
        <v>-1.5184418047210668</v>
      </c>
    </row>
    <row r="2629" spans="1:5" x14ac:dyDescent="0.2">
      <c r="A2629" s="1">
        <v>45454</v>
      </c>
      <c r="B2629">
        <v>107505.60000000001</v>
      </c>
      <c r="C2629" s="6">
        <f t="shared" si="123"/>
        <v>-2.4183426683152759E-3</v>
      </c>
      <c r="D2629" s="7">
        <f t="shared" si="124"/>
        <v>-0.22825500472668342</v>
      </c>
      <c r="E2629" s="8">
        <f t="shared" si="125"/>
        <v>-0.69778310305729829</v>
      </c>
    </row>
    <row r="2630" spans="1:5" x14ac:dyDescent="0.2">
      <c r="A2630" s="1">
        <v>45455</v>
      </c>
      <c r="B2630">
        <v>108703.3</v>
      </c>
      <c r="C2630" s="6">
        <f t="shared" si="123"/>
        <v>1.1079213217814887E-2</v>
      </c>
      <c r="D2630" s="7">
        <f t="shared" si="124"/>
        <v>0.90575502856981915</v>
      </c>
      <c r="E2630" s="8">
        <f t="shared" si="125"/>
        <v>-1.4942666160884266</v>
      </c>
    </row>
    <row r="2631" spans="1:5" x14ac:dyDescent="0.2">
      <c r="A2631" s="1">
        <v>45456</v>
      </c>
      <c r="B2631">
        <v>107470.7</v>
      </c>
      <c r="C2631" s="6">
        <f t="shared" si="123"/>
        <v>-1.1403900174531519E-2</v>
      </c>
      <c r="D2631" s="7">
        <f t="shared" si="124"/>
        <v>-0.98318519007103</v>
      </c>
      <c r="E2631" s="8">
        <f t="shared" si="125"/>
        <v>-1.6208175834407625</v>
      </c>
    </row>
    <row r="2632" spans="1:5" x14ac:dyDescent="0.2">
      <c r="A2632" s="1">
        <v>45457</v>
      </c>
      <c r="B2632">
        <v>107327.5</v>
      </c>
      <c r="C2632" s="6">
        <f t="shared" si="123"/>
        <v>-1.3333447041471609E-3</v>
      </c>
      <c r="D2632" s="7">
        <f t="shared" si="124"/>
        <v>-0.13709786577108504</v>
      </c>
      <c r="E2632" s="8">
        <f t="shared" si="125"/>
        <v>-0.65677630928099051</v>
      </c>
    </row>
    <row r="2633" spans="1:5" x14ac:dyDescent="0.2">
      <c r="A2633" s="1">
        <v>45461</v>
      </c>
      <c r="B2633">
        <v>109921.3</v>
      </c>
      <c r="C2633" s="6">
        <f t="shared" si="123"/>
        <v>2.3879747613903247E-2</v>
      </c>
      <c r="D2633" s="7">
        <f t="shared" si="124"/>
        <v>1.9812041364810886</v>
      </c>
      <c r="E2633" s="8">
        <f t="shared" si="125"/>
        <v>-3.3508837959937736</v>
      </c>
    </row>
    <row r="2634" spans="1:5" x14ac:dyDescent="0.2">
      <c r="A2634" s="1">
        <v>45462</v>
      </c>
      <c r="B2634">
        <v>111231.4</v>
      </c>
      <c r="C2634" s="6">
        <f t="shared" si="123"/>
        <v>1.1848060869920098E-2</v>
      </c>
      <c r="D2634" s="7">
        <f t="shared" si="124"/>
        <v>0.97035049747687485</v>
      </c>
      <c r="E2634" s="8">
        <f t="shared" si="125"/>
        <v>-1.5995740435853076</v>
      </c>
    </row>
    <row r="2635" spans="1:5" x14ac:dyDescent="0.2">
      <c r="A2635" s="1">
        <v>45463</v>
      </c>
      <c r="B2635">
        <v>109772.8</v>
      </c>
      <c r="C2635" s="6">
        <f t="shared" si="123"/>
        <v>-1.3199940803120815E-2</v>
      </c>
      <c r="D2635" s="7">
        <f t="shared" si="124"/>
        <v>-1.1340812567523557</v>
      </c>
      <c r="E2635" s="8">
        <f t="shared" si="125"/>
        <v>-1.876774446452093</v>
      </c>
    </row>
    <row r="2636" spans="1:5" x14ac:dyDescent="0.2">
      <c r="A2636" s="1">
        <v>45464</v>
      </c>
      <c r="B2636">
        <v>108802.9</v>
      </c>
      <c r="C2636" s="6">
        <f t="shared" si="123"/>
        <v>-8.874786775633298E-3</v>
      </c>
      <c r="D2636" s="7">
        <f t="shared" si="124"/>
        <v>-0.77069931530296565</v>
      </c>
      <c r="E2636" s="8">
        <f t="shared" si="125"/>
        <v>-1.2847591752474403</v>
      </c>
    </row>
    <row r="2637" spans="1:5" x14ac:dyDescent="0.2">
      <c r="A2637" s="1">
        <v>45467</v>
      </c>
      <c r="B2637">
        <v>109739.5</v>
      </c>
      <c r="C2637" s="6">
        <f t="shared" si="123"/>
        <v>8.5713869182636147E-3</v>
      </c>
      <c r="D2637" s="7">
        <f t="shared" si="124"/>
        <v>0.69505760975947573</v>
      </c>
      <c r="E2637" s="8">
        <f t="shared" si="125"/>
        <v>-1.1753746558635465</v>
      </c>
    </row>
    <row r="2638" spans="1:5" x14ac:dyDescent="0.2">
      <c r="A2638" s="1">
        <v>45468</v>
      </c>
      <c r="B2638">
        <v>108423.2</v>
      </c>
      <c r="C2638" s="6">
        <f t="shared" si="123"/>
        <v>-1.2067287150351751E-2</v>
      </c>
      <c r="D2638" s="7">
        <f t="shared" si="124"/>
        <v>-1.0389202796594645</v>
      </c>
      <c r="E2638" s="8">
        <f t="shared" si="125"/>
        <v>-1.7141346923946637</v>
      </c>
    </row>
    <row r="2639" spans="1:5" x14ac:dyDescent="0.2">
      <c r="A2639" s="1">
        <v>45469</v>
      </c>
      <c r="B2639">
        <v>107823.9</v>
      </c>
      <c r="C2639" s="6">
        <f t="shared" si="123"/>
        <v>-5.5427474801703945E-3</v>
      </c>
      <c r="D2639" s="7">
        <f t="shared" si="124"/>
        <v>-0.49075485541182895</v>
      </c>
      <c r="E2639" s="8">
        <f t="shared" si="125"/>
        <v>-0.91824387011941666</v>
      </c>
    </row>
    <row r="2640" spans="1:5" x14ac:dyDescent="0.2">
      <c r="A2640" s="1">
        <v>45470</v>
      </c>
      <c r="B2640">
        <v>107789</v>
      </c>
      <c r="C2640" s="6">
        <f t="shared" si="123"/>
        <v>-3.2372831407382745E-4</v>
      </c>
      <c r="D2640" s="7">
        <f t="shared" si="124"/>
        <v>-5.2273981670686621E-2</v>
      </c>
      <c r="E2640" s="8">
        <f t="shared" si="125"/>
        <v>-0.63675466899810107</v>
      </c>
    </row>
    <row r="2641" spans="1:5" x14ac:dyDescent="0.2">
      <c r="A2641" s="1">
        <v>45471</v>
      </c>
      <c r="B2641">
        <v>108233.2</v>
      </c>
      <c r="C2641" s="6">
        <f t="shared" si="123"/>
        <v>4.1125460815046129E-3</v>
      </c>
      <c r="D2641" s="7">
        <f t="shared" si="124"/>
        <v>0.32044384350326682</v>
      </c>
      <c r="E2641" s="8">
        <f t="shared" si="125"/>
        <v>-0.75880449872175049</v>
      </c>
    </row>
    <row r="2642" spans="1:5" x14ac:dyDescent="0.2">
      <c r="A2642" s="1">
        <v>45474</v>
      </c>
      <c r="B2642">
        <v>107801</v>
      </c>
      <c r="C2642" s="6">
        <f t="shared" si="123"/>
        <v>-4.0012236638378856E-3</v>
      </c>
      <c r="D2642" s="7">
        <f t="shared" si="124"/>
        <v>-0.36124226149970456</v>
      </c>
      <c r="E2642" s="8">
        <f t="shared" si="125"/>
        <v>-0.79172992180744561</v>
      </c>
    </row>
    <row r="2643" spans="1:5" x14ac:dyDescent="0.2">
      <c r="A2643" s="1">
        <v>45475</v>
      </c>
      <c r="B2643">
        <v>107672.4</v>
      </c>
      <c r="C2643" s="6">
        <f t="shared" si="123"/>
        <v>-1.193650958950314E-3</v>
      </c>
      <c r="D2643" s="7">
        <f t="shared" si="124"/>
        <v>-0.12536136251238969</v>
      </c>
      <c r="E2643" s="8">
        <f t="shared" si="125"/>
        <v>-0.65294930659089967</v>
      </c>
    </row>
    <row r="2644" spans="1:5" x14ac:dyDescent="0.2">
      <c r="A2644" s="1">
        <v>45476</v>
      </c>
      <c r="B2644">
        <v>108516.7</v>
      </c>
      <c r="C2644" s="6">
        <f t="shared" si="123"/>
        <v>7.8107942764231502E-3</v>
      </c>
      <c r="D2644" s="7">
        <f t="shared" si="124"/>
        <v>0.63115569341439215</v>
      </c>
      <c r="E2644" s="8">
        <f t="shared" si="125"/>
        <v>-1.0884073187042449</v>
      </c>
    </row>
    <row r="2645" spans="1:5" x14ac:dyDescent="0.2">
      <c r="A2645" s="1">
        <v>45477</v>
      </c>
      <c r="B2645">
        <v>108702.9</v>
      </c>
      <c r="C2645" s="6">
        <f t="shared" si="123"/>
        <v>1.7143945169384737E-3</v>
      </c>
      <c r="D2645" s="7">
        <f t="shared" si="124"/>
        <v>0.11896085217309252</v>
      </c>
      <c r="E2645" s="8">
        <f t="shared" si="125"/>
        <v>-0.65100422427187266</v>
      </c>
    </row>
    <row r="2646" spans="1:5" x14ac:dyDescent="0.2">
      <c r="A2646" s="1">
        <v>45478</v>
      </c>
      <c r="B2646">
        <v>107957.9</v>
      </c>
      <c r="C2646" s="6">
        <f t="shared" si="123"/>
        <v>-6.8771363922706975E-3</v>
      </c>
      <c r="D2646" s="7">
        <f t="shared" si="124"/>
        <v>-0.60286481275575776</v>
      </c>
      <c r="E2646" s="8">
        <f t="shared" si="125"/>
        <v>-1.0516809715849085</v>
      </c>
    </row>
    <row r="2647" spans="1:5" x14ac:dyDescent="0.2">
      <c r="A2647" s="1">
        <v>45481</v>
      </c>
      <c r="B2647">
        <v>107992.5</v>
      </c>
      <c r="C2647" s="6">
        <f t="shared" si="123"/>
        <v>3.204439565388084E-4</v>
      </c>
      <c r="D2647" s="7">
        <f t="shared" si="124"/>
        <v>1.8467661305330584E-3</v>
      </c>
      <c r="E2647" s="8">
        <f t="shared" si="125"/>
        <v>-0.63333695809498824</v>
      </c>
    </row>
    <row r="2648" spans="1:5" x14ac:dyDescent="0.2">
      <c r="A2648" s="1">
        <v>45482</v>
      </c>
      <c r="B2648">
        <v>107801.9</v>
      </c>
      <c r="C2648" s="6">
        <f t="shared" si="123"/>
        <v>-1.7664967169130656E-3</v>
      </c>
      <c r="D2648" s="7">
        <f t="shared" si="124"/>
        <v>-0.17348954531388713</v>
      </c>
      <c r="E2648" s="8">
        <f t="shared" si="125"/>
        <v>-0.67076874254199481</v>
      </c>
    </row>
    <row r="2649" spans="1:5" x14ac:dyDescent="0.2">
      <c r="A2649" s="1">
        <v>45483</v>
      </c>
      <c r="B2649">
        <v>107557.1</v>
      </c>
      <c r="C2649" s="6">
        <f t="shared" si="123"/>
        <v>-2.2734142100919157E-3</v>
      </c>
      <c r="D2649" s="7">
        <f t="shared" si="124"/>
        <v>-0.21607870205959337</v>
      </c>
      <c r="E2649" s="8">
        <f t="shared" si="125"/>
        <v>-0.69116718847235614</v>
      </c>
    </row>
    <row r="2650" spans="1:5" x14ac:dyDescent="0.2">
      <c r="A2650" s="1">
        <v>45484</v>
      </c>
      <c r="B2650">
        <v>108528</v>
      </c>
      <c r="C2650" s="6">
        <f t="shared" si="123"/>
        <v>8.9863348623305025E-3</v>
      </c>
      <c r="D2650" s="7">
        <f t="shared" si="124"/>
        <v>0.72991985710539264</v>
      </c>
      <c r="E2650" s="8">
        <f t="shared" si="125"/>
        <v>-1.2249795682620643</v>
      </c>
    </row>
    <row r="2651" spans="1:5" x14ac:dyDescent="0.2">
      <c r="A2651" s="1">
        <v>45485</v>
      </c>
      <c r="B2651">
        <v>110071.9</v>
      </c>
      <c r="C2651" s="6">
        <f t="shared" si="123"/>
        <v>1.4125584425122004E-2</v>
      </c>
      <c r="D2651" s="7">
        <f t="shared" si="124"/>
        <v>1.1616988115314255</v>
      </c>
      <c r="E2651" s="8">
        <f t="shared" si="125"/>
        <v>-1.924591494482667</v>
      </c>
    </row>
    <row r="2652" spans="1:5" x14ac:dyDescent="0.2">
      <c r="A2652" s="1">
        <v>45488</v>
      </c>
      <c r="B2652">
        <v>110209.7</v>
      </c>
      <c r="C2652" s="6">
        <f t="shared" si="123"/>
        <v>1.2511259948632932E-3</v>
      </c>
      <c r="D2652" s="7">
        <f t="shared" si="124"/>
        <v>8.0038905372076641E-2</v>
      </c>
      <c r="E2652" s="8">
        <f t="shared" si="125"/>
        <v>-0.6413477929930308</v>
      </c>
    </row>
    <row r="2653" spans="1:5" x14ac:dyDescent="0.2">
      <c r="A2653" s="1">
        <v>45489</v>
      </c>
      <c r="B2653">
        <v>108002.3</v>
      </c>
      <c r="C2653" s="6">
        <f t="shared" si="123"/>
        <v>-2.0232391429955934E-2</v>
      </c>
      <c r="D2653" s="7">
        <f t="shared" si="124"/>
        <v>-1.7249193045272222</v>
      </c>
      <c r="E2653" s="8">
        <f t="shared" si="125"/>
        <v>-2.9141551375262296</v>
      </c>
    </row>
    <row r="2654" spans="1:5" x14ac:dyDescent="0.2">
      <c r="A2654" s="1">
        <v>45490</v>
      </c>
      <c r="B2654">
        <v>107371</v>
      </c>
      <c r="C2654" s="6">
        <f t="shared" si="123"/>
        <v>-5.8623962025545501E-3</v>
      </c>
      <c r="D2654" s="7">
        <f t="shared" si="124"/>
        <v>-0.5176104477406982</v>
      </c>
      <c r="E2654" s="8">
        <f t="shared" si="125"/>
        <v>-0.9483364401174913</v>
      </c>
    </row>
    <row r="2655" spans="1:5" x14ac:dyDescent="0.2">
      <c r="A2655" s="1">
        <v>45491</v>
      </c>
      <c r="B2655">
        <v>107584.9</v>
      </c>
      <c r="C2655" s="6">
        <f t="shared" si="123"/>
        <v>1.9901763161771302E-3</v>
      </c>
      <c r="D2655" s="7">
        <f t="shared" si="124"/>
        <v>0.14213092310856931</v>
      </c>
      <c r="E2655" s="8">
        <f t="shared" si="125"/>
        <v>-0.65852038602326024</v>
      </c>
    </row>
    <row r="2656" spans="1:5" x14ac:dyDescent="0.2">
      <c r="A2656" s="1">
        <v>45492</v>
      </c>
      <c r="B2656">
        <v>106710.39999999999</v>
      </c>
      <c r="C2656" s="6">
        <f t="shared" si="123"/>
        <v>-8.1616802087467744E-3</v>
      </c>
      <c r="D2656" s="7">
        <f t="shared" si="124"/>
        <v>-0.7107869868428246</v>
      </c>
      <c r="E2656" s="8">
        <f t="shared" si="125"/>
        <v>-1.1975770604576859</v>
      </c>
    </row>
    <row r="2657" spans="1:5" x14ac:dyDescent="0.2">
      <c r="A2657" s="1">
        <v>45495</v>
      </c>
      <c r="B2657">
        <v>108490.1</v>
      </c>
      <c r="C2657" s="6">
        <f t="shared" si="123"/>
        <v>1.6540301479245106E-2</v>
      </c>
      <c r="D2657" s="7">
        <f t="shared" si="124"/>
        <v>1.3645735682687998</v>
      </c>
      <c r="E2657" s="8">
        <f t="shared" si="125"/>
        <v>-2.2807672488107578</v>
      </c>
    </row>
    <row r="2658" spans="1:5" x14ac:dyDescent="0.2">
      <c r="A2658" s="1">
        <v>45496</v>
      </c>
      <c r="B2658">
        <v>108166</v>
      </c>
      <c r="C2658" s="6">
        <f t="shared" si="123"/>
        <v>-2.9918404490297474E-3</v>
      </c>
      <c r="D2658" s="7">
        <f t="shared" si="124"/>
        <v>-0.27643796784164099</v>
      </c>
      <c r="E2658" s="8">
        <f t="shared" si="125"/>
        <v>-0.72730467118633824</v>
      </c>
    </row>
    <row r="2659" spans="1:5" x14ac:dyDescent="0.2">
      <c r="A2659" s="1">
        <v>45497</v>
      </c>
      <c r="B2659">
        <v>107692.8</v>
      </c>
      <c r="C2659" s="6">
        <f t="shared" si="123"/>
        <v>-4.384354568908665E-3</v>
      </c>
      <c r="D2659" s="7">
        <f t="shared" si="124"/>
        <v>-0.39343136996360739</v>
      </c>
      <c r="E2659" s="8">
        <f t="shared" si="125"/>
        <v>-0.82013763400027573</v>
      </c>
    </row>
    <row r="2660" spans="1:5" x14ac:dyDescent="0.2">
      <c r="A2660" s="1">
        <v>45498</v>
      </c>
      <c r="B2660">
        <v>107995.5</v>
      </c>
      <c r="C2660" s="6">
        <f t="shared" si="123"/>
        <v>2.8068300295376897E-3</v>
      </c>
      <c r="D2660" s="7">
        <f t="shared" si="124"/>
        <v>0.21074286385492005</v>
      </c>
      <c r="E2660" s="8">
        <f t="shared" si="125"/>
        <v>-0.68837700551906367</v>
      </c>
    </row>
    <row r="2661" spans="1:5" x14ac:dyDescent="0.2">
      <c r="A2661" s="1">
        <v>45499</v>
      </c>
      <c r="B2661">
        <v>108110.39999999999</v>
      </c>
      <c r="C2661" s="6">
        <f t="shared" si="123"/>
        <v>1.0633676436128854E-3</v>
      </c>
      <c r="D2661" s="7">
        <f t="shared" si="124"/>
        <v>6.4264208386234645E-2</v>
      </c>
      <c r="E2661" s="8">
        <f t="shared" si="125"/>
        <v>-0.63850271473208875</v>
      </c>
    </row>
    <row r="2662" spans="1:5" x14ac:dyDescent="0.2">
      <c r="A2662" s="1">
        <v>45502</v>
      </c>
      <c r="B2662">
        <v>108097.4</v>
      </c>
      <c r="C2662" s="6">
        <f t="shared" si="123"/>
        <v>-1.2025468105833678E-4</v>
      </c>
      <c r="D2662" s="7">
        <f t="shared" si="124"/>
        <v>-3.5178950296305564E-2</v>
      </c>
      <c r="E2662" s="8">
        <f t="shared" si="125"/>
        <v>-0.63488305480653462</v>
      </c>
    </row>
    <row r="2663" spans="1:5" x14ac:dyDescent="0.2">
      <c r="A2663" s="1">
        <v>45503</v>
      </c>
      <c r="B2663">
        <v>108704.9</v>
      </c>
      <c r="C2663" s="6">
        <f t="shared" si="123"/>
        <v>5.6041987560163679E-3</v>
      </c>
      <c r="D2663" s="7">
        <f t="shared" si="124"/>
        <v>0.44576646586248203</v>
      </c>
      <c r="E2663" s="8">
        <f t="shared" si="125"/>
        <v>-0.8706910432003363</v>
      </c>
    </row>
    <row r="2664" spans="1:5" x14ac:dyDescent="0.2">
      <c r="A2664" s="1">
        <v>45504</v>
      </c>
      <c r="B2664">
        <v>109921.5</v>
      </c>
      <c r="C2664" s="6">
        <f t="shared" si="123"/>
        <v>1.1129603361094717E-2</v>
      </c>
      <c r="D2664" s="7">
        <f t="shared" si="124"/>
        <v>0.90998860452539598</v>
      </c>
      <c r="E2664" s="8">
        <f t="shared" si="125"/>
        <v>-1.5010800036520751</v>
      </c>
    </row>
    <row r="2665" spans="1:5" x14ac:dyDescent="0.2">
      <c r="A2665" s="1">
        <v>45505</v>
      </c>
      <c r="B2665">
        <v>108945.9</v>
      </c>
      <c r="C2665" s="6">
        <f t="shared" si="123"/>
        <v>-8.9150459278669776E-3</v>
      </c>
      <c r="D2665" s="7">
        <f t="shared" si="124"/>
        <v>-0.77408172638169426</v>
      </c>
      <c r="E2665" s="8">
        <f t="shared" si="125"/>
        <v>-1.2897977215968786</v>
      </c>
    </row>
    <row r="2666" spans="1:5" x14ac:dyDescent="0.2">
      <c r="A2666" s="1">
        <v>45506</v>
      </c>
      <c r="B2666">
        <v>107624.5</v>
      </c>
      <c r="C2666" s="6">
        <f t="shared" si="123"/>
        <v>-1.2203111764912103E-2</v>
      </c>
      <c r="D2666" s="7">
        <f t="shared" si="124"/>
        <v>-1.0503317142169124</v>
      </c>
      <c r="E2666" s="8">
        <f t="shared" si="125"/>
        <v>-1.7334359553673488</v>
      </c>
    </row>
    <row r="2667" spans="1:5" x14ac:dyDescent="0.2">
      <c r="A2667" s="1">
        <v>45509</v>
      </c>
      <c r="B2667">
        <v>106807.2</v>
      </c>
      <c r="C2667" s="6">
        <f t="shared" si="123"/>
        <v>-7.6229769922666743E-3</v>
      </c>
      <c r="D2667" s="7">
        <f t="shared" si="124"/>
        <v>-0.66552732223308031</v>
      </c>
      <c r="E2667" s="8">
        <f t="shared" si="125"/>
        <v>-1.1345213476963079</v>
      </c>
    </row>
    <row r="2668" spans="1:5" x14ac:dyDescent="0.2">
      <c r="A2668" s="1">
        <v>45510</v>
      </c>
      <c r="B2668">
        <v>106055.7</v>
      </c>
      <c r="C2668" s="6">
        <f t="shared" si="123"/>
        <v>-7.060912185820274E-3</v>
      </c>
      <c r="D2668" s="7">
        <f t="shared" si="124"/>
        <v>-0.61830491135734222</v>
      </c>
      <c r="E2668" s="8">
        <f t="shared" si="125"/>
        <v>-1.0715831921303252</v>
      </c>
    </row>
    <row r="2669" spans="1:5" x14ac:dyDescent="0.2">
      <c r="A2669" s="1">
        <v>45511</v>
      </c>
      <c r="B2669">
        <v>107978.6</v>
      </c>
      <c r="C2669" s="6">
        <f t="shared" si="123"/>
        <v>1.7968631543860539E-2</v>
      </c>
      <c r="D2669" s="7">
        <f t="shared" si="124"/>
        <v>1.4845760811531774</v>
      </c>
      <c r="E2669" s="8">
        <f t="shared" si="125"/>
        <v>-2.4929216836718697</v>
      </c>
    </row>
    <row r="2670" spans="1:5" x14ac:dyDescent="0.2">
      <c r="A2670" s="1">
        <v>45512</v>
      </c>
      <c r="B2670">
        <v>109351.9</v>
      </c>
      <c r="C2670" s="6">
        <f t="shared" si="123"/>
        <v>1.2638063029784055E-2</v>
      </c>
      <c r="D2670" s="7">
        <f t="shared" si="124"/>
        <v>1.0367232825328874</v>
      </c>
      <c r="E2670" s="8">
        <f t="shared" si="125"/>
        <v>-1.7104258365435865</v>
      </c>
    </row>
    <row r="2671" spans="1:5" x14ac:dyDescent="0.2">
      <c r="A2671" s="1">
        <v>45516</v>
      </c>
      <c r="B2671">
        <v>110014.2</v>
      </c>
      <c r="C2671" s="6">
        <f t="shared" si="123"/>
        <v>6.0383259980748968E-3</v>
      </c>
      <c r="D2671" s="7">
        <f t="shared" si="124"/>
        <v>0.48224008022458992</v>
      </c>
      <c r="E2671" s="8">
        <f t="shared" si="125"/>
        <v>-0.90896450339204415</v>
      </c>
    </row>
    <row r="2672" spans="1:5" x14ac:dyDescent="0.2">
      <c r="A2672" s="1">
        <v>45517</v>
      </c>
      <c r="B2672">
        <v>110132.9</v>
      </c>
      <c r="C2672" s="6">
        <f t="shared" si="123"/>
        <v>1.0783699762825707E-3</v>
      </c>
      <c r="D2672" s="7">
        <f t="shared" si="124"/>
        <v>6.5524643676430933E-2</v>
      </c>
      <c r="E2672" s="8">
        <f t="shared" si="125"/>
        <v>-0.63870728626266005</v>
      </c>
    </row>
    <row r="2673" spans="1:5" x14ac:dyDescent="0.2">
      <c r="A2673" s="1">
        <v>45518</v>
      </c>
      <c r="B2673">
        <v>110331.2</v>
      </c>
      <c r="C2673" s="6">
        <f t="shared" si="123"/>
        <v>1.798932828315652E-3</v>
      </c>
      <c r="D2673" s="7">
        <f t="shared" si="124"/>
        <v>0.12606341904582358</v>
      </c>
      <c r="E2673" s="8">
        <f t="shared" si="125"/>
        <v>-0.65316876502632071</v>
      </c>
    </row>
    <row r="2674" spans="1:5" x14ac:dyDescent="0.2">
      <c r="A2674" s="1">
        <v>45519</v>
      </c>
      <c r="B2674">
        <v>111114.2</v>
      </c>
      <c r="C2674" s="6">
        <f t="shared" si="123"/>
        <v>7.0717500849139829E-3</v>
      </c>
      <c r="D2674" s="7">
        <f t="shared" si="124"/>
        <v>0.56906419067928615</v>
      </c>
      <c r="E2674" s="8">
        <f t="shared" si="125"/>
        <v>-1.009344718969327</v>
      </c>
    </row>
    <row r="2675" spans="1:5" x14ac:dyDescent="0.2">
      <c r="A2675" s="1">
        <v>45520</v>
      </c>
      <c r="B2675">
        <v>112092</v>
      </c>
      <c r="C2675" s="6">
        <f t="shared" si="123"/>
        <v>8.761461419207188E-3</v>
      </c>
      <c r="D2675" s="7">
        <f t="shared" si="124"/>
        <v>0.7110269002711993</v>
      </c>
      <c r="E2675" s="8">
        <f t="shared" si="125"/>
        <v>-1.1979180087628212</v>
      </c>
    </row>
    <row r="2676" spans="1:5" x14ac:dyDescent="0.2">
      <c r="A2676" s="1">
        <v>45523</v>
      </c>
      <c r="B2676">
        <v>112782</v>
      </c>
      <c r="C2676" s="6">
        <f t="shared" si="123"/>
        <v>6.1367891838014646E-3</v>
      </c>
      <c r="D2676" s="7">
        <f t="shared" si="124"/>
        <v>0.49051255869893379</v>
      </c>
      <c r="E2676" s="8">
        <f t="shared" si="125"/>
        <v>-0.91797805143666777</v>
      </c>
    </row>
    <row r="2677" spans="1:5" x14ac:dyDescent="0.2">
      <c r="A2677" s="1">
        <v>45524</v>
      </c>
      <c r="B2677">
        <v>112289.3</v>
      </c>
      <c r="C2677" s="6">
        <f t="shared" si="123"/>
        <v>-4.3781751562551527E-3</v>
      </c>
      <c r="D2677" s="7">
        <f t="shared" si="124"/>
        <v>-0.39291220071488708</v>
      </c>
      <c r="E2677" s="8">
        <f t="shared" si="125"/>
        <v>-0.81966288781772223</v>
      </c>
    </row>
    <row r="2678" spans="1:5" x14ac:dyDescent="0.2">
      <c r="A2678" s="1">
        <v>45525</v>
      </c>
      <c r="B2678">
        <v>112906</v>
      </c>
      <c r="C2678" s="6">
        <f t="shared" si="123"/>
        <v>5.4770374127994636E-3</v>
      </c>
      <c r="D2678" s="7">
        <f t="shared" si="124"/>
        <v>0.43508288431097986</v>
      </c>
      <c r="E2678" s="8">
        <f t="shared" si="125"/>
        <v>-0.85994483492891061</v>
      </c>
    </row>
    <row r="2679" spans="1:5" x14ac:dyDescent="0.2">
      <c r="A2679" s="1">
        <v>45526</v>
      </c>
      <c r="B2679">
        <v>113540.9</v>
      </c>
      <c r="C2679" s="6">
        <f t="shared" si="123"/>
        <v>5.6075103139662857E-3</v>
      </c>
      <c r="D2679" s="7">
        <f t="shared" si="124"/>
        <v>0.44604468956258975</v>
      </c>
      <c r="E2679" s="8">
        <f t="shared" si="125"/>
        <v>-0.87097375539096233</v>
      </c>
    </row>
    <row r="2680" spans="1:5" x14ac:dyDescent="0.2">
      <c r="A2680" s="1">
        <v>45527</v>
      </c>
      <c r="B2680">
        <v>114656.2</v>
      </c>
      <c r="C2680" s="6">
        <f t="shared" si="123"/>
        <v>9.7749610363093136E-3</v>
      </c>
      <c r="D2680" s="7">
        <f t="shared" si="124"/>
        <v>0.79617703739469092</v>
      </c>
      <c r="E2680" s="8">
        <f t="shared" si="125"/>
        <v>-1.3229988713343279</v>
      </c>
    </row>
    <row r="2681" spans="1:5" x14ac:dyDescent="0.2">
      <c r="A2681" s="1">
        <v>45530</v>
      </c>
      <c r="B2681">
        <v>113668.9</v>
      </c>
      <c r="C2681" s="6">
        <f t="shared" si="123"/>
        <v>-8.6482489531059317E-3</v>
      </c>
      <c r="D2681" s="7">
        <f t="shared" si="124"/>
        <v>-0.75166652404546419</v>
      </c>
      <c r="E2681" s="8">
        <f t="shared" si="125"/>
        <v>-1.2566326068493989</v>
      </c>
    </row>
    <row r="2682" spans="1:5" x14ac:dyDescent="0.2">
      <c r="A2682" s="1">
        <v>45531</v>
      </c>
      <c r="B2682">
        <v>114172.3</v>
      </c>
      <c r="C2682" s="6">
        <f t="shared" si="123"/>
        <v>4.4188743663072629E-3</v>
      </c>
      <c r="D2682" s="7">
        <f t="shared" si="124"/>
        <v>0.34618030656215848</v>
      </c>
      <c r="E2682" s="8">
        <f t="shared" si="125"/>
        <v>-0.77916687659794426</v>
      </c>
    </row>
    <row r="2683" spans="1:5" x14ac:dyDescent="0.2">
      <c r="A2683" s="1">
        <v>45532</v>
      </c>
      <c r="B2683">
        <v>113748</v>
      </c>
      <c r="C2683" s="6">
        <f t="shared" si="123"/>
        <v>-3.7232356236298406E-3</v>
      </c>
      <c r="D2683" s="7">
        <f t="shared" si="124"/>
        <v>-0.33788683112461787</v>
      </c>
      <c r="E2683" s="8">
        <f t="shared" si="125"/>
        <v>-0.77245185261524929</v>
      </c>
    </row>
    <row r="2684" spans="1:5" x14ac:dyDescent="0.2">
      <c r="A2684" s="1">
        <v>45533</v>
      </c>
      <c r="B2684">
        <v>113870.8</v>
      </c>
      <c r="C2684" s="6">
        <f t="shared" si="123"/>
        <v>1.0789970943876604E-3</v>
      </c>
      <c r="D2684" s="7">
        <f t="shared" si="124"/>
        <v>6.5577331602247518E-2</v>
      </c>
      <c r="E2684" s="8">
        <f t="shared" si="125"/>
        <v>-0.63871592378206377</v>
      </c>
    </row>
    <row r="2685" spans="1:5" x14ac:dyDescent="0.2">
      <c r="A2685" s="1">
        <v>45534</v>
      </c>
      <c r="B2685">
        <v>114315.4</v>
      </c>
      <c r="C2685" s="6">
        <f t="shared" si="123"/>
        <v>3.8968225301307196E-3</v>
      </c>
      <c r="D2685" s="7">
        <f t="shared" si="124"/>
        <v>0.30231962355262165</v>
      </c>
      <c r="E2685" s="8">
        <f t="shared" si="125"/>
        <v>-0.74531714335840893</v>
      </c>
    </row>
    <row r="2686" spans="1:5" x14ac:dyDescent="0.2">
      <c r="A2686" s="1">
        <v>45537</v>
      </c>
      <c r="B2686">
        <v>113915.1</v>
      </c>
      <c r="C2686" s="6">
        <f t="shared" si="123"/>
        <v>-3.507860785277254E-3</v>
      </c>
      <c r="D2686" s="7">
        <f t="shared" si="124"/>
        <v>-0.31979190863110046</v>
      </c>
      <c r="E2686" s="8">
        <f t="shared" si="125"/>
        <v>-0.75830703796125931</v>
      </c>
    </row>
    <row r="2687" spans="1:5" x14ac:dyDescent="0.2">
      <c r="A2687" s="1">
        <v>45538</v>
      </c>
      <c r="B2687">
        <v>112576.6</v>
      </c>
      <c r="C2687" s="6">
        <f t="shared" si="123"/>
        <v>-1.1819555264453337E-2</v>
      </c>
      <c r="D2687" s="7">
        <f t="shared" si="124"/>
        <v>-1.0181068489505058</v>
      </c>
      <c r="E2687" s="8">
        <f t="shared" si="125"/>
        <v>-1.6790947158824507</v>
      </c>
    </row>
    <row r="2688" spans="1:5" x14ac:dyDescent="0.2">
      <c r="A2688" s="1">
        <v>45539</v>
      </c>
      <c r="B2688">
        <v>111647.4</v>
      </c>
      <c r="C2688" s="6">
        <f t="shared" si="123"/>
        <v>-8.2881878764435347E-3</v>
      </c>
      <c r="D2688" s="7">
        <f t="shared" si="124"/>
        <v>-0.72141564922195089</v>
      </c>
      <c r="E2688" s="8">
        <f t="shared" si="125"/>
        <v>-1.2127469860092528</v>
      </c>
    </row>
    <row r="2689" spans="1:5" x14ac:dyDescent="0.2">
      <c r="A2689" s="1">
        <v>45540</v>
      </c>
      <c r="B2689">
        <v>112541.1</v>
      </c>
      <c r="C2689" s="6">
        <f t="shared" si="123"/>
        <v>7.9727973025858229E-3</v>
      </c>
      <c r="D2689" s="7">
        <f t="shared" si="124"/>
        <v>0.6447665321945929</v>
      </c>
      <c r="E2689" s="8">
        <f t="shared" si="125"/>
        <v>-1.1064771223207477</v>
      </c>
    </row>
    <row r="2690" spans="1:5" x14ac:dyDescent="0.2">
      <c r="A2690" s="1">
        <v>45541</v>
      </c>
      <c r="B2690">
        <v>111161.7</v>
      </c>
      <c r="C2690" s="6">
        <f t="shared" si="123"/>
        <v>-1.2332590231512184E-2</v>
      </c>
      <c r="D2690" s="7">
        <f t="shared" si="124"/>
        <v>-1.0612099710997913</v>
      </c>
      <c r="E2690" s="8">
        <f t="shared" si="125"/>
        <v>-1.7518915777570545</v>
      </c>
    </row>
    <row r="2691" spans="1:5" x14ac:dyDescent="0.2">
      <c r="A2691" s="1">
        <v>45544</v>
      </c>
      <c r="B2691">
        <v>111247.6</v>
      </c>
      <c r="C2691" s="6">
        <f t="shared" ref="C2691:C2754" si="126">LN(B2691/B2690)</f>
        <v>7.7244975161769726E-4</v>
      </c>
      <c r="D2691" s="7">
        <f t="shared" ref="D2691:D2754" si="127">(C2691-$G$4)/$G$5</f>
        <v>3.9822464179269393E-2</v>
      </c>
      <c r="E2691" s="8">
        <f t="shared" ref="E2691:E2754" si="128">LN((PI()*(G$3-2))^(-1/2)*EXP(GAMMALN((G$3+1)/2))*((1+D2691^2/(G$3-2))^(-(G$3+1)/2))/EXP(GAMMALN(G$3/2)))</f>
        <v>-0.63531918199231641</v>
      </c>
    </row>
    <row r="2692" spans="1:5" x14ac:dyDescent="0.2">
      <c r="A2692" s="1">
        <v>45545</v>
      </c>
      <c r="B2692">
        <v>111472.4</v>
      </c>
      <c r="C2692" s="6">
        <f t="shared" si="126"/>
        <v>2.0186788464395698E-3</v>
      </c>
      <c r="D2692" s="7">
        <f t="shared" si="127"/>
        <v>0.1445255903775641</v>
      </c>
      <c r="E2692" s="8">
        <f t="shared" si="128"/>
        <v>-0.65937182729374966</v>
      </c>
    </row>
    <row r="2693" spans="1:5" x14ac:dyDescent="0.2">
      <c r="A2693" s="1">
        <v>45546</v>
      </c>
      <c r="B2693">
        <v>111018.2</v>
      </c>
      <c r="C2693" s="6">
        <f t="shared" si="126"/>
        <v>-4.0828747907036573E-3</v>
      </c>
      <c r="D2693" s="7">
        <f t="shared" si="127"/>
        <v>-0.36810225881158071</v>
      </c>
      <c r="E2693" s="8">
        <f t="shared" si="128"/>
        <v>-0.79760734942074674</v>
      </c>
    </row>
    <row r="2694" spans="1:5" x14ac:dyDescent="0.2">
      <c r="A2694" s="1">
        <v>45547</v>
      </c>
      <c r="B2694">
        <v>111067.2</v>
      </c>
      <c r="C2694" s="6">
        <f t="shared" si="126"/>
        <v>4.4127169814050507E-4</v>
      </c>
      <c r="D2694" s="7">
        <f t="shared" si="127"/>
        <v>1.1998224100614909E-2</v>
      </c>
      <c r="E2694" s="8">
        <f t="shared" si="128"/>
        <v>-0.63351307850539462</v>
      </c>
    </row>
    <row r="2695" spans="1:5" x14ac:dyDescent="0.2">
      <c r="A2695" s="1">
        <v>45548</v>
      </c>
      <c r="B2695">
        <v>111179.8</v>
      </c>
      <c r="C2695" s="6">
        <f t="shared" si="126"/>
        <v>1.013287105196973E-3</v>
      </c>
      <c r="D2695" s="7">
        <f t="shared" si="127"/>
        <v>6.0056644178636598E-2</v>
      </c>
      <c r="E2695" s="8">
        <f t="shared" si="128"/>
        <v>-0.63784847532405542</v>
      </c>
    </row>
    <row r="2696" spans="1:5" x14ac:dyDescent="0.2">
      <c r="A2696" s="1">
        <v>45551</v>
      </c>
      <c r="B2696">
        <v>110676.2</v>
      </c>
      <c r="C2696" s="6">
        <f t="shared" si="126"/>
        <v>-4.5398895225529333E-3</v>
      </c>
      <c r="D2696" s="7">
        <f t="shared" si="127"/>
        <v>-0.40649878746118184</v>
      </c>
      <c r="E2696" s="8">
        <f t="shared" si="128"/>
        <v>-0.83226273445573318</v>
      </c>
    </row>
    <row r="2697" spans="1:5" x14ac:dyDescent="0.2">
      <c r="A2697" s="1">
        <v>45552</v>
      </c>
      <c r="B2697">
        <v>111962.9</v>
      </c>
      <c r="C2697" s="6">
        <f t="shared" si="126"/>
        <v>1.155874530323373E-2</v>
      </c>
      <c r="D2697" s="7">
        <f t="shared" si="127"/>
        <v>0.94604337415921258</v>
      </c>
      <c r="E2697" s="8">
        <f t="shared" si="128"/>
        <v>-1.5596201100890776</v>
      </c>
    </row>
    <row r="2698" spans="1:5" x14ac:dyDescent="0.2">
      <c r="A2698" s="1">
        <v>45553</v>
      </c>
      <c r="B2698">
        <v>111588.7</v>
      </c>
      <c r="C2698" s="6">
        <f t="shared" si="126"/>
        <v>-3.3477760793517693E-3</v>
      </c>
      <c r="D2698" s="7">
        <f t="shared" si="127"/>
        <v>-0.30634223935554189</v>
      </c>
      <c r="E2698" s="8">
        <f t="shared" si="128"/>
        <v>-0.74824903471402227</v>
      </c>
    </row>
    <row r="2699" spans="1:5" x14ac:dyDescent="0.2">
      <c r="A2699" s="1">
        <v>45554</v>
      </c>
      <c r="B2699">
        <v>113388.6</v>
      </c>
      <c r="C2699" s="6">
        <f t="shared" si="126"/>
        <v>1.6001066799391041E-2</v>
      </c>
      <c r="D2699" s="7">
        <f t="shared" si="127"/>
        <v>1.3192692522567209</v>
      </c>
      <c r="E2699" s="8">
        <f t="shared" si="128"/>
        <v>-2.2007514978060425</v>
      </c>
    </row>
    <row r="2700" spans="1:5" x14ac:dyDescent="0.2">
      <c r="A2700" s="1">
        <v>45555</v>
      </c>
      <c r="B2700">
        <v>113433.4</v>
      </c>
      <c r="C2700" s="6">
        <f t="shared" si="126"/>
        <v>3.9502341556412173E-4</v>
      </c>
      <c r="D2700" s="7">
        <f t="shared" si="127"/>
        <v>8.1126305230218663E-3</v>
      </c>
      <c r="E2700" s="8">
        <f t="shared" si="128"/>
        <v>-0.63341515888757105</v>
      </c>
    </row>
    <row r="2701" spans="1:5" x14ac:dyDescent="0.2">
      <c r="A2701" s="1">
        <v>45558</v>
      </c>
      <c r="B2701">
        <v>114041.9</v>
      </c>
      <c r="C2701" s="6">
        <f t="shared" si="126"/>
        <v>5.3500441711478051E-3</v>
      </c>
      <c r="D2701" s="7">
        <f t="shared" si="127"/>
        <v>0.42441342597283649</v>
      </c>
      <c r="E2701" s="8">
        <f t="shared" si="128"/>
        <v>-0.84942828937951254</v>
      </c>
    </row>
    <row r="2702" spans="1:5" x14ac:dyDescent="0.2">
      <c r="A2702" s="1">
        <v>45560</v>
      </c>
      <c r="B2702">
        <v>116444.2</v>
      </c>
      <c r="C2702" s="6">
        <f t="shared" si="126"/>
        <v>2.0846263579477456E-2</v>
      </c>
      <c r="D2702" s="7">
        <f t="shared" si="127"/>
        <v>1.7263430816423764</v>
      </c>
      <c r="E2702" s="8">
        <f t="shared" si="128"/>
        <v>-2.9166230260016204</v>
      </c>
    </row>
    <row r="2703" spans="1:5" x14ac:dyDescent="0.2">
      <c r="A2703" s="1">
        <v>45561</v>
      </c>
      <c r="B2703">
        <v>119628.7</v>
      </c>
      <c r="C2703" s="6">
        <f t="shared" si="126"/>
        <v>2.6980590978423216E-2</v>
      </c>
      <c r="D2703" s="7">
        <f t="shared" si="127"/>
        <v>2.2417244496927498</v>
      </c>
      <c r="E2703" s="8">
        <f t="shared" si="128"/>
        <v>-3.7765052961453809</v>
      </c>
    </row>
    <row r="2704" spans="1:5" x14ac:dyDescent="0.2">
      <c r="A2704" s="1">
        <v>45562</v>
      </c>
      <c r="B2704">
        <v>120741.1</v>
      </c>
      <c r="C2704" s="6">
        <f t="shared" si="126"/>
        <v>9.2558045277735968E-3</v>
      </c>
      <c r="D2704" s="7">
        <f t="shared" si="127"/>
        <v>0.75255960809879507</v>
      </c>
      <c r="E2704" s="8">
        <f t="shared" si="128"/>
        <v>-1.2579437075888942</v>
      </c>
    </row>
    <row r="2705" spans="1:5" x14ac:dyDescent="0.2">
      <c r="A2705" s="1">
        <v>45565</v>
      </c>
      <c r="B2705">
        <v>119804.9</v>
      </c>
      <c r="C2705" s="6">
        <f t="shared" si="126"/>
        <v>-7.7839974647109051E-3</v>
      </c>
      <c r="D2705" s="7">
        <f t="shared" si="127"/>
        <v>-0.67905561082535326</v>
      </c>
      <c r="E2705" s="8">
        <f t="shared" si="128"/>
        <v>-1.1530996585688835</v>
      </c>
    </row>
    <row r="2706" spans="1:5" x14ac:dyDescent="0.2">
      <c r="A2706" s="1">
        <v>45566</v>
      </c>
      <c r="B2706">
        <v>119690.4</v>
      </c>
      <c r="C2706" s="6">
        <f t="shared" si="126"/>
        <v>-9.5617750096735289E-4</v>
      </c>
      <c r="D2706" s="7">
        <f t="shared" si="127"/>
        <v>-0.10540980341041789</v>
      </c>
      <c r="E2706" s="8">
        <f t="shared" si="128"/>
        <v>-0.64721807262654696</v>
      </c>
    </row>
    <row r="2707" spans="1:5" x14ac:dyDescent="0.2">
      <c r="A2707" s="1">
        <v>45567</v>
      </c>
      <c r="B2707">
        <v>120750</v>
      </c>
      <c r="C2707" s="6">
        <f t="shared" si="126"/>
        <v>8.8138836862398824E-3</v>
      </c>
      <c r="D2707" s="7">
        <f t="shared" si="127"/>
        <v>0.71543120704234675</v>
      </c>
      <c r="E2707" s="8">
        <f t="shared" si="128"/>
        <v>-1.2041892341006439</v>
      </c>
    </row>
    <row r="2708" spans="1:5" x14ac:dyDescent="0.2">
      <c r="A2708" s="1">
        <v>45568</v>
      </c>
      <c r="B2708">
        <v>120066.7</v>
      </c>
      <c r="C2708" s="6">
        <f t="shared" si="126"/>
        <v>-5.67487083543211E-3</v>
      </c>
      <c r="D2708" s="7">
        <f t="shared" si="127"/>
        <v>-0.50185532513861453</v>
      </c>
      <c r="E2708" s="8">
        <f t="shared" si="128"/>
        <v>-0.93053177986040958</v>
      </c>
    </row>
    <row r="2709" spans="1:5" x14ac:dyDescent="0.2">
      <c r="A2709" s="1">
        <v>45569</v>
      </c>
      <c r="B2709">
        <v>119400.9</v>
      </c>
      <c r="C2709" s="6">
        <f t="shared" si="126"/>
        <v>-5.5606830787143288E-3</v>
      </c>
      <c r="D2709" s="7">
        <f t="shared" si="127"/>
        <v>-0.49226173183253707</v>
      </c>
      <c r="E2709" s="8">
        <f t="shared" si="128"/>
        <v>-0.91989934241190285</v>
      </c>
    </row>
    <row r="2710" spans="1:5" x14ac:dyDescent="0.2">
      <c r="A2710" s="1">
        <v>45572</v>
      </c>
      <c r="B2710">
        <v>119944.7</v>
      </c>
      <c r="C2710" s="6">
        <f t="shared" si="126"/>
        <v>4.5440646138631005E-3</v>
      </c>
      <c r="D2710" s="7">
        <f t="shared" si="127"/>
        <v>0.35669828463143805</v>
      </c>
      <c r="E2710" s="8">
        <f t="shared" si="128"/>
        <v>-0.78789019162416185</v>
      </c>
    </row>
    <row r="2711" spans="1:5" x14ac:dyDescent="0.2">
      <c r="A2711" s="1">
        <v>45573</v>
      </c>
      <c r="B2711">
        <v>118562</v>
      </c>
      <c r="C2711" s="6">
        <f t="shared" si="126"/>
        <v>-1.159477273108717E-2</v>
      </c>
      <c r="D2711" s="7">
        <f t="shared" si="127"/>
        <v>-0.99922152998627956</v>
      </c>
      <c r="E2711" s="8">
        <f t="shared" si="128"/>
        <v>-1.6474952569889931</v>
      </c>
    </row>
    <row r="2712" spans="1:5" x14ac:dyDescent="0.2">
      <c r="A2712" s="1">
        <v>45574</v>
      </c>
      <c r="B2712">
        <v>118863.1</v>
      </c>
      <c r="C2712" s="6">
        <f t="shared" si="126"/>
        <v>2.5363802009165178E-3</v>
      </c>
      <c r="D2712" s="7">
        <f t="shared" si="127"/>
        <v>0.18802076351711886</v>
      </c>
      <c r="E2712" s="8">
        <f t="shared" si="128"/>
        <v>-0.67724537942338303</v>
      </c>
    </row>
    <row r="2713" spans="1:5" x14ac:dyDescent="0.2">
      <c r="A2713" s="1">
        <v>45575</v>
      </c>
      <c r="B2713">
        <v>118110.6</v>
      </c>
      <c r="C2713" s="6">
        <f t="shared" si="126"/>
        <v>-6.3509370812155014E-3</v>
      </c>
      <c r="D2713" s="7">
        <f t="shared" si="127"/>
        <v>-0.55865567568795182</v>
      </c>
      <c r="E2713" s="8">
        <f t="shared" si="128"/>
        <v>-0.99666036917113898</v>
      </c>
    </row>
    <row r="2714" spans="1:5" x14ac:dyDescent="0.2">
      <c r="A2714" s="1">
        <v>45576</v>
      </c>
      <c r="B2714">
        <v>118409.60000000001</v>
      </c>
      <c r="C2714" s="6">
        <f t="shared" si="126"/>
        <v>2.5283266230804575E-3</v>
      </c>
      <c r="D2714" s="7">
        <f t="shared" si="127"/>
        <v>0.18734413449279222</v>
      </c>
      <c r="E2714" s="8">
        <f t="shared" si="128"/>
        <v>-0.67693263112657798</v>
      </c>
    </row>
    <row r="2715" spans="1:5" x14ac:dyDescent="0.2">
      <c r="A2715" s="1">
        <v>45579</v>
      </c>
      <c r="B2715">
        <v>118943.8</v>
      </c>
      <c r="C2715" s="6">
        <f t="shared" si="126"/>
        <v>4.5013124057888387E-3</v>
      </c>
      <c r="D2715" s="7">
        <f t="shared" si="127"/>
        <v>0.35310641708809926</v>
      </c>
      <c r="E2715" s="8">
        <f t="shared" si="128"/>
        <v>-0.78488528603653795</v>
      </c>
    </row>
    <row r="2716" spans="1:5" x14ac:dyDescent="0.2">
      <c r="A2716" s="1">
        <v>45580</v>
      </c>
      <c r="B2716">
        <v>117442.8</v>
      </c>
      <c r="C2716" s="6">
        <f t="shared" si="126"/>
        <v>-1.2699706106038842E-2</v>
      </c>
      <c r="D2716" s="7">
        <f t="shared" si="127"/>
        <v>-1.0920535614955493</v>
      </c>
      <c r="E2716" s="8">
        <f t="shared" si="128"/>
        <v>-1.8044983946281976</v>
      </c>
    </row>
    <row r="2717" spans="1:5" x14ac:dyDescent="0.2">
      <c r="A2717" s="1">
        <v>45581</v>
      </c>
      <c r="B2717">
        <v>117546.4</v>
      </c>
      <c r="C2717" s="6">
        <f t="shared" si="126"/>
        <v>8.8174270742780799E-4</v>
      </c>
      <c r="D2717" s="7">
        <f t="shared" si="127"/>
        <v>4.9004816117864038E-2</v>
      </c>
      <c r="E2717" s="8">
        <f t="shared" si="128"/>
        <v>-0.63634028714489066</v>
      </c>
    </row>
    <row r="2718" spans="1:5" x14ac:dyDescent="0.2">
      <c r="A2718" s="1">
        <v>45582</v>
      </c>
      <c r="B2718">
        <v>116842.5</v>
      </c>
      <c r="C2718" s="6">
        <f t="shared" si="126"/>
        <v>-6.0062751787147281E-3</v>
      </c>
      <c r="D2718" s="7">
        <f t="shared" si="127"/>
        <v>-0.52969857717113311</v>
      </c>
      <c r="E2718" s="8">
        <f t="shared" si="128"/>
        <v>-0.9622812054301122</v>
      </c>
    </row>
    <row r="2719" spans="1:5" x14ac:dyDescent="0.2">
      <c r="A2719" s="1">
        <v>45583</v>
      </c>
      <c r="B2719">
        <v>117556</v>
      </c>
      <c r="C2719" s="6">
        <f t="shared" si="126"/>
        <v>6.0879417206585289E-3</v>
      </c>
      <c r="D2719" s="7">
        <f t="shared" si="127"/>
        <v>0.48640859248664409</v>
      </c>
      <c r="E2719" s="8">
        <f t="shared" si="128"/>
        <v>-0.91349134841077362</v>
      </c>
    </row>
    <row r="2720" spans="1:5" x14ac:dyDescent="0.2">
      <c r="A2720" s="1">
        <v>45586</v>
      </c>
      <c r="B2720">
        <v>116923.6</v>
      </c>
      <c r="C2720" s="6">
        <f t="shared" si="126"/>
        <v>-5.3940857402258544E-3</v>
      </c>
      <c r="D2720" s="7">
        <f t="shared" si="127"/>
        <v>-0.47826489751969992</v>
      </c>
      <c r="E2720" s="8">
        <f t="shared" si="128"/>
        <v>-0.90467633409681236</v>
      </c>
    </row>
    <row r="2721" spans="1:5" x14ac:dyDescent="0.2">
      <c r="A2721" s="1">
        <v>45587</v>
      </c>
      <c r="B2721">
        <v>116572</v>
      </c>
      <c r="C2721" s="6">
        <f t="shared" si="126"/>
        <v>-3.0116221954256139E-3</v>
      </c>
      <c r="D2721" s="7">
        <f t="shared" si="127"/>
        <v>-0.27809995013519762</v>
      </c>
      <c r="E2721" s="8">
        <f t="shared" si="128"/>
        <v>-0.72841669365824713</v>
      </c>
    </row>
    <row r="2722" spans="1:5" x14ac:dyDescent="0.2">
      <c r="A2722" s="1">
        <v>45588</v>
      </c>
      <c r="B2722">
        <v>116769.3</v>
      </c>
      <c r="C2722" s="6">
        <f t="shared" si="126"/>
        <v>1.6910855216747756E-3</v>
      </c>
      <c r="D2722" s="7">
        <f t="shared" si="127"/>
        <v>0.11700252470120881</v>
      </c>
      <c r="E2722" s="8">
        <f t="shared" si="128"/>
        <v>-0.6504291689605487</v>
      </c>
    </row>
    <row r="2723" spans="1:5" x14ac:dyDescent="0.2">
      <c r="A2723" s="1">
        <v>45589</v>
      </c>
      <c r="B2723">
        <v>116225.8</v>
      </c>
      <c r="C2723" s="6">
        <f t="shared" si="126"/>
        <v>-4.6653426255905761E-3</v>
      </c>
      <c r="D2723" s="7">
        <f t="shared" si="127"/>
        <v>-0.41703884958450715</v>
      </c>
      <c r="E2723" s="8">
        <f t="shared" si="128"/>
        <v>-0.84228678359300591</v>
      </c>
    </row>
    <row r="2724" spans="1:5" x14ac:dyDescent="0.2">
      <c r="A2724" s="1">
        <v>45590</v>
      </c>
      <c r="B2724">
        <v>117280.6</v>
      </c>
      <c r="C2724" s="6">
        <f t="shared" si="126"/>
        <v>9.0345033334081285E-3</v>
      </c>
      <c r="D2724" s="7">
        <f t="shared" si="127"/>
        <v>0.73396677715161451</v>
      </c>
      <c r="E2724" s="8">
        <f t="shared" si="128"/>
        <v>-1.2308298336753185</v>
      </c>
    </row>
    <row r="2725" spans="1:5" x14ac:dyDescent="0.2">
      <c r="A2725" s="1">
        <v>45593</v>
      </c>
      <c r="B2725">
        <v>118373.7</v>
      </c>
      <c r="C2725" s="6">
        <f t="shared" si="126"/>
        <v>9.2772153103088586E-3</v>
      </c>
      <c r="D2725" s="7">
        <f t="shared" si="127"/>
        <v>0.7543584554175653</v>
      </c>
      <c r="E2725" s="8">
        <f t="shared" si="128"/>
        <v>-1.2605871536979794</v>
      </c>
    </row>
    <row r="2726" spans="1:5" x14ac:dyDescent="0.2">
      <c r="A2726" s="1">
        <v>45594</v>
      </c>
      <c r="B2726">
        <v>118816.9</v>
      </c>
      <c r="C2726" s="6">
        <f t="shared" si="126"/>
        <v>3.7370833060256905E-3</v>
      </c>
      <c r="D2726" s="7">
        <f t="shared" si="127"/>
        <v>0.28889898026176902</v>
      </c>
      <c r="E2726" s="8">
        <f t="shared" si="128"/>
        <v>-0.73579207224308063</v>
      </c>
    </row>
    <row r="2727" spans="1:5" x14ac:dyDescent="0.2">
      <c r="A2727" s="1">
        <v>45595</v>
      </c>
      <c r="B2727">
        <v>117727</v>
      </c>
      <c r="C2727" s="6">
        <f t="shared" si="126"/>
        <v>-9.2152679731227535E-3</v>
      </c>
      <c r="D2727" s="7">
        <f t="shared" si="127"/>
        <v>-0.79930516790022066</v>
      </c>
      <c r="E2727" s="8">
        <f t="shared" si="128"/>
        <v>-1.3277386788280541</v>
      </c>
    </row>
    <row r="2728" spans="1:5" x14ac:dyDescent="0.2">
      <c r="A2728" s="1">
        <v>45596</v>
      </c>
      <c r="B2728">
        <v>116122.3</v>
      </c>
      <c r="C2728" s="6">
        <f t="shared" si="126"/>
        <v>-1.3724438673888955E-2</v>
      </c>
      <c r="D2728" s="7">
        <f t="shared" si="127"/>
        <v>-1.1781474456914149</v>
      </c>
      <c r="E2728" s="8">
        <f t="shared" si="128"/>
        <v>-1.953176701115579</v>
      </c>
    </row>
    <row r="2729" spans="1:5" x14ac:dyDescent="0.2">
      <c r="A2729" s="1">
        <v>45597</v>
      </c>
      <c r="B2729">
        <v>117331</v>
      </c>
      <c r="C2729" s="6">
        <f t="shared" si="126"/>
        <v>1.0355054312236026E-2</v>
      </c>
      <c r="D2729" s="7">
        <f t="shared" si="127"/>
        <v>0.84491412733144777</v>
      </c>
      <c r="E2729" s="8">
        <f t="shared" si="128"/>
        <v>-1.3978944306866754</v>
      </c>
    </row>
    <row r="2730" spans="1:5" x14ac:dyDescent="0.2">
      <c r="A2730" s="1">
        <v>45600</v>
      </c>
      <c r="B2730">
        <v>117116.8</v>
      </c>
      <c r="C2730" s="6">
        <f t="shared" si="126"/>
        <v>-1.8272729332485338E-3</v>
      </c>
      <c r="D2730" s="7">
        <f t="shared" si="127"/>
        <v>-0.17859571710466604</v>
      </c>
      <c r="E2730" s="8">
        <f t="shared" si="128"/>
        <v>-0.67298714685356575</v>
      </c>
    </row>
    <row r="2731" spans="1:5" x14ac:dyDescent="0.2">
      <c r="A2731" s="1">
        <v>45601</v>
      </c>
      <c r="B2731">
        <v>117396.5</v>
      </c>
      <c r="C2731" s="6">
        <f t="shared" si="126"/>
        <v>2.3853669077516454E-3</v>
      </c>
      <c r="D2731" s="7">
        <f t="shared" si="127"/>
        <v>0.17533323763800135</v>
      </c>
      <c r="E2731" s="8">
        <f t="shared" si="128"/>
        <v>-0.67156254909763424</v>
      </c>
    </row>
    <row r="2732" spans="1:5" x14ac:dyDescent="0.2">
      <c r="A2732" s="1">
        <v>45602</v>
      </c>
      <c r="B2732">
        <v>116384.7</v>
      </c>
      <c r="C2732" s="6">
        <f t="shared" si="126"/>
        <v>-8.6560109841770875E-3</v>
      </c>
      <c r="D2732" s="7">
        <f t="shared" si="127"/>
        <v>-0.7523186584902265</v>
      </c>
      <c r="E2732" s="8">
        <f t="shared" si="128"/>
        <v>-1.2575898936732715</v>
      </c>
    </row>
    <row r="2733" spans="1:5" x14ac:dyDescent="0.2">
      <c r="A2733" s="1">
        <v>45603</v>
      </c>
      <c r="B2733">
        <v>115911</v>
      </c>
      <c r="C2733" s="6">
        <f t="shared" si="126"/>
        <v>-4.078428112188252E-3</v>
      </c>
      <c r="D2733" s="7">
        <f t="shared" si="127"/>
        <v>-0.36772866687435485</v>
      </c>
      <c r="E2733" s="8">
        <f t="shared" si="128"/>
        <v>-0.79728478018005777</v>
      </c>
    </row>
    <row r="2734" spans="1:5" x14ac:dyDescent="0.2">
      <c r="A2734" s="1">
        <v>45604</v>
      </c>
      <c r="B2734">
        <v>115311.7</v>
      </c>
      <c r="C2734" s="6">
        <f t="shared" si="126"/>
        <v>-5.1837587053487873E-3</v>
      </c>
      <c r="D2734" s="7">
        <f t="shared" si="127"/>
        <v>-0.46059407105035455</v>
      </c>
      <c r="E2734" s="8">
        <f t="shared" si="128"/>
        <v>-0.88595774283690276</v>
      </c>
    </row>
    <row r="2735" spans="1:5" x14ac:dyDescent="0.2">
      <c r="A2735" s="1">
        <v>45607</v>
      </c>
      <c r="B2735">
        <v>115759.6</v>
      </c>
      <c r="C2735" s="6">
        <f t="shared" si="126"/>
        <v>3.8767303508373914E-3</v>
      </c>
      <c r="D2735" s="7">
        <f t="shared" si="127"/>
        <v>0.30063155994305812</v>
      </c>
      <c r="E2735" s="8">
        <f t="shared" si="128"/>
        <v>-0.74409732426996045</v>
      </c>
    </row>
    <row r="2736" spans="1:5" x14ac:dyDescent="0.2">
      <c r="A2736" s="1">
        <v>45608</v>
      </c>
      <c r="B2736">
        <v>115740.6</v>
      </c>
      <c r="C2736" s="6">
        <f t="shared" si="126"/>
        <v>-1.6414672680768071E-4</v>
      </c>
      <c r="D2736" s="7">
        <f t="shared" si="127"/>
        <v>-3.8866582389224844E-2</v>
      </c>
      <c r="E2736" s="8">
        <f t="shared" si="128"/>
        <v>-0.63522499613868988</v>
      </c>
    </row>
    <row r="2737" spans="1:5" x14ac:dyDescent="0.2">
      <c r="A2737" s="1">
        <v>45609</v>
      </c>
      <c r="B2737">
        <v>115140.4</v>
      </c>
      <c r="C2737" s="6">
        <f t="shared" si="126"/>
        <v>-5.1992268921907643E-3</v>
      </c>
      <c r="D2737" s="7">
        <f t="shared" si="127"/>
        <v>-0.46189364552322126</v>
      </c>
      <c r="E2737" s="8">
        <f t="shared" si="128"/>
        <v>-0.88731508464471887</v>
      </c>
    </row>
    <row r="2738" spans="1:5" x14ac:dyDescent="0.2">
      <c r="A2738" s="1">
        <v>45610</v>
      </c>
      <c r="B2738">
        <v>115967.4</v>
      </c>
      <c r="C2738" s="6">
        <f t="shared" si="126"/>
        <v>7.1568638527727832E-3</v>
      </c>
      <c r="D2738" s="7">
        <f t="shared" si="127"/>
        <v>0.57621510507725726</v>
      </c>
      <c r="E2738" s="8">
        <f t="shared" si="128"/>
        <v>-1.0181568539935557</v>
      </c>
    </row>
    <row r="2739" spans="1:5" x14ac:dyDescent="0.2">
      <c r="A2739" s="1">
        <v>45611</v>
      </c>
      <c r="B2739">
        <v>115336.5</v>
      </c>
      <c r="C2739" s="6">
        <f t="shared" si="126"/>
        <v>-5.455174465928826E-3</v>
      </c>
      <c r="D2739" s="7">
        <f t="shared" si="127"/>
        <v>-0.48339732508309707</v>
      </c>
      <c r="E2739" s="8">
        <f t="shared" si="128"/>
        <v>-0.91021814221994102</v>
      </c>
    </row>
    <row r="2740" spans="1:5" x14ac:dyDescent="0.2">
      <c r="A2740" s="1">
        <v>45614</v>
      </c>
      <c r="B2740">
        <v>115890</v>
      </c>
      <c r="C2740" s="6">
        <f t="shared" si="126"/>
        <v>4.7875226862130697E-3</v>
      </c>
      <c r="D2740" s="7">
        <f t="shared" si="127"/>
        <v>0.37715264681826843</v>
      </c>
      <c r="E2740" s="8">
        <f t="shared" si="128"/>
        <v>-0.80550874414924234</v>
      </c>
    </row>
    <row r="2741" spans="1:5" x14ac:dyDescent="0.2">
      <c r="A2741" s="1">
        <v>45615</v>
      </c>
      <c r="B2741">
        <v>115371.9</v>
      </c>
      <c r="C2741" s="6">
        <f t="shared" si="126"/>
        <v>-4.4806417900010668E-3</v>
      </c>
      <c r="D2741" s="7">
        <f t="shared" si="127"/>
        <v>-0.40152103269352613</v>
      </c>
      <c r="E2741" s="8">
        <f t="shared" si="128"/>
        <v>-0.82760419521862449</v>
      </c>
    </row>
    <row r="2742" spans="1:5" x14ac:dyDescent="0.2">
      <c r="A2742" s="1">
        <v>45616</v>
      </c>
      <c r="B2742">
        <v>116121.8</v>
      </c>
      <c r="C2742" s="6">
        <f t="shared" si="126"/>
        <v>6.4788166856375529E-3</v>
      </c>
      <c r="D2742" s="7">
        <f t="shared" si="127"/>
        <v>0.51924832553091427</v>
      </c>
      <c r="E2742" s="8">
        <f t="shared" si="128"/>
        <v>-0.95021155997484974</v>
      </c>
    </row>
    <row r="2743" spans="1:5" x14ac:dyDescent="0.2">
      <c r="A2743" s="1">
        <v>45617</v>
      </c>
      <c r="B2743">
        <v>116586.3</v>
      </c>
      <c r="C2743" s="6">
        <f t="shared" si="126"/>
        <v>3.99213105945869E-3</v>
      </c>
      <c r="D2743" s="7">
        <f t="shared" si="127"/>
        <v>0.31032706056036274</v>
      </c>
      <c r="E2743" s="8">
        <f t="shared" si="128"/>
        <v>-0.75118812949342995</v>
      </c>
    </row>
    <row r="2744" spans="1:5" x14ac:dyDescent="0.2">
      <c r="A2744" s="1">
        <v>45618</v>
      </c>
      <c r="B2744">
        <v>116208</v>
      </c>
      <c r="C2744" s="6">
        <f t="shared" si="126"/>
        <v>-3.2500824375824204E-3</v>
      </c>
      <c r="D2744" s="7">
        <f t="shared" si="127"/>
        <v>-0.29813441485084341</v>
      </c>
      <c r="E2744" s="8">
        <f t="shared" si="128"/>
        <v>-0.74230429457219516</v>
      </c>
    </row>
    <row r="2745" spans="1:5" x14ac:dyDescent="0.2">
      <c r="A2745" s="1">
        <v>45621</v>
      </c>
      <c r="B2745">
        <v>116029.6</v>
      </c>
      <c r="C2745" s="6">
        <f t="shared" si="126"/>
        <v>-1.5363578945976465E-3</v>
      </c>
      <c r="D2745" s="7">
        <f t="shared" si="127"/>
        <v>-0.15415421262414405</v>
      </c>
      <c r="E2745" s="8">
        <f t="shared" si="128"/>
        <v>-0.66293579297725092</v>
      </c>
    </row>
    <row r="2746" spans="1:5" x14ac:dyDescent="0.2">
      <c r="A2746" s="1">
        <v>45622</v>
      </c>
      <c r="B2746">
        <v>117011.1</v>
      </c>
      <c r="C2746" s="6">
        <f t="shared" si="126"/>
        <v>8.4234711233691917E-3</v>
      </c>
      <c r="D2746" s="7">
        <f t="shared" si="127"/>
        <v>0.68263032315230054</v>
      </c>
      <c r="E2746" s="8">
        <f t="shared" si="128"/>
        <v>-1.1580478653021347</v>
      </c>
    </row>
    <row r="2747" spans="1:5" x14ac:dyDescent="0.2">
      <c r="A2747" s="1">
        <v>45623</v>
      </c>
      <c r="B2747">
        <v>116840.9</v>
      </c>
      <c r="C2747" s="6">
        <f t="shared" si="126"/>
        <v>-1.4556217612177245E-3</v>
      </c>
      <c r="D2747" s="7">
        <f t="shared" si="127"/>
        <v>-0.14737108936280777</v>
      </c>
      <c r="E2747" s="8">
        <f t="shared" si="128"/>
        <v>-0.66040167169689978</v>
      </c>
    </row>
    <row r="2748" spans="1:5" x14ac:dyDescent="0.2">
      <c r="A2748" s="1">
        <v>45624</v>
      </c>
      <c r="B2748">
        <v>116475.1</v>
      </c>
      <c r="C2748" s="6">
        <f t="shared" si="126"/>
        <v>-3.1356640755365491E-3</v>
      </c>
      <c r="D2748" s="7">
        <f t="shared" si="127"/>
        <v>-0.28852144701814864</v>
      </c>
      <c r="E2748" s="8">
        <f t="shared" si="128"/>
        <v>-0.73552986423731892</v>
      </c>
    </row>
    <row r="2749" spans="1:5" x14ac:dyDescent="0.2">
      <c r="A2749" s="1">
        <v>45625</v>
      </c>
      <c r="B2749">
        <v>116073.5</v>
      </c>
      <c r="C2749" s="6">
        <f t="shared" si="126"/>
        <v>-3.453905112644855E-3</v>
      </c>
      <c r="D2749" s="7">
        <f t="shared" si="127"/>
        <v>-0.31525877132575497</v>
      </c>
      <c r="E2749" s="8">
        <f t="shared" si="128"/>
        <v>-0.7548733252923171</v>
      </c>
    </row>
    <row r="2750" spans="1:5" x14ac:dyDescent="0.2">
      <c r="A2750" s="1">
        <v>45628</v>
      </c>
      <c r="B2750">
        <v>118729.8</v>
      </c>
      <c r="C2750" s="6">
        <f t="shared" si="126"/>
        <v>2.2626712038866747E-2</v>
      </c>
      <c r="D2750" s="7">
        <f t="shared" si="127"/>
        <v>1.8759291573547572</v>
      </c>
      <c r="E2750" s="8">
        <f t="shared" si="128"/>
        <v>-3.1734394153662291</v>
      </c>
    </row>
    <row r="2751" spans="1:5" x14ac:dyDescent="0.2">
      <c r="A2751" s="1">
        <v>45629</v>
      </c>
      <c r="B2751">
        <v>119254.3</v>
      </c>
      <c r="C2751" s="6">
        <f t="shared" si="126"/>
        <v>4.4078646365093574E-3</v>
      </c>
      <c r="D2751" s="7">
        <f t="shared" si="127"/>
        <v>0.34525531361083917</v>
      </c>
      <c r="E2751" s="8">
        <f t="shared" si="128"/>
        <v>-0.77841076808820031</v>
      </c>
    </row>
    <row r="2752" spans="1:5" x14ac:dyDescent="0.2">
      <c r="A2752" s="1">
        <v>45630</v>
      </c>
      <c r="B2752">
        <v>120165</v>
      </c>
      <c r="C2752" s="6">
        <f t="shared" si="126"/>
        <v>7.6076105166288455E-3</v>
      </c>
      <c r="D2752" s="7">
        <f t="shared" si="127"/>
        <v>0.61408501601520349</v>
      </c>
      <c r="E2752" s="8">
        <f t="shared" si="128"/>
        <v>-1.066109618547717</v>
      </c>
    </row>
    <row r="2753" spans="1:5" x14ac:dyDescent="0.2">
      <c r="A2753" s="1">
        <v>45631</v>
      </c>
      <c r="B2753">
        <v>121173.1</v>
      </c>
      <c r="C2753" s="6">
        <f t="shared" si="126"/>
        <v>8.3543034713812556E-3</v>
      </c>
      <c r="D2753" s="7">
        <f t="shared" si="127"/>
        <v>0.6768191368904618</v>
      </c>
      <c r="E2753" s="8">
        <f t="shared" si="128"/>
        <v>-1.1500121200038598</v>
      </c>
    </row>
    <row r="2754" spans="1:5" x14ac:dyDescent="0.2">
      <c r="A2754" s="1">
        <v>45632</v>
      </c>
      <c r="B2754">
        <v>121474.8</v>
      </c>
      <c r="C2754" s="6">
        <f t="shared" si="126"/>
        <v>2.4867320547338994E-3</v>
      </c>
      <c r="D2754" s="7">
        <f t="shared" si="127"/>
        <v>0.18384952715546651</v>
      </c>
      <c r="E2754" s="8">
        <f t="shared" si="128"/>
        <v>-0.67533470815900265</v>
      </c>
    </row>
    <row r="2755" spans="1:5" x14ac:dyDescent="0.2">
      <c r="A2755" s="1">
        <v>45635</v>
      </c>
      <c r="B2755">
        <v>121599</v>
      </c>
      <c r="C2755" s="6">
        <f t="shared" ref="C2755:C2768" si="129">LN(B2755/B2754)</f>
        <v>1.0219119527364214E-3</v>
      </c>
      <c r="D2755" s="7">
        <f t="shared" ref="D2755:D2818" si="130">(C2755-$G$4)/$G$5</f>
        <v>6.0781268972036236E-2</v>
      </c>
      <c r="E2755" s="8">
        <f t="shared" ref="E2755:E2818" si="131">LN((PI()*(G$3-2))^(-1/2)*EXP(GAMMALN((G$3+1)/2))*((1+D2755^2/(G$3-2))^(-(G$3+1)/2))/EXP(GAMMALN(G$3/2)))</f>
        <v>-0.63795800347806109</v>
      </c>
    </row>
    <row r="2756" spans="1:5" x14ac:dyDescent="0.2">
      <c r="A2756" s="1">
        <v>45636</v>
      </c>
      <c r="B2756">
        <v>120985.5</v>
      </c>
      <c r="C2756" s="6">
        <f t="shared" si="129"/>
        <v>-5.0580421087968001E-3</v>
      </c>
      <c r="D2756" s="7">
        <f t="shared" si="130"/>
        <v>-0.45003187126807115</v>
      </c>
      <c r="E2756" s="8">
        <f t="shared" si="131"/>
        <v>-0.8750410921920253</v>
      </c>
    </row>
    <row r="2757" spans="1:5" x14ac:dyDescent="0.2">
      <c r="A2757" s="1">
        <v>45637</v>
      </c>
      <c r="B2757">
        <v>121045.6</v>
      </c>
      <c r="C2757" s="6">
        <f t="shared" si="129"/>
        <v>4.9663040192166931E-4</v>
      </c>
      <c r="D2757" s="7">
        <f t="shared" si="130"/>
        <v>1.6649238406296583E-2</v>
      </c>
      <c r="E2757" s="8">
        <f t="shared" si="131"/>
        <v>-0.63368003087995894</v>
      </c>
    </row>
    <row r="2758" spans="1:5" x14ac:dyDescent="0.2">
      <c r="A2758" s="1">
        <v>45638</v>
      </c>
      <c r="B2758">
        <v>121112.9</v>
      </c>
      <c r="C2758" s="6">
        <f t="shared" si="129"/>
        <v>5.5583431292065939E-4</v>
      </c>
      <c r="D2758" s="7">
        <f t="shared" si="130"/>
        <v>2.162331146438538E-2</v>
      </c>
      <c r="E2758" s="8">
        <f t="shared" si="131"/>
        <v>-0.63391854991562113</v>
      </c>
    </row>
    <row r="2759" spans="1:5" x14ac:dyDescent="0.2">
      <c r="A2759" s="1">
        <v>45639</v>
      </c>
      <c r="B2759">
        <v>122334.8</v>
      </c>
      <c r="C2759" s="6">
        <f t="shared" si="129"/>
        <v>1.0038379995322366E-2</v>
      </c>
      <c r="D2759" s="7">
        <f t="shared" si="130"/>
        <v>0.81830843251551277</v>
      </c>
      <c r="E2759" s="8">
        <f t="shared" si="131"/>
        <v>-1.3567354249053263</v>
      </c>
    </row>
    <row r="2760" spans="1:5" x14ac:dyDescent="0.2">
      <c r="A2760" s="1">
        <v>45643</v>
      </c>
      <c r="B2760">
        <v>121020.5</v>
      </c>
      <c r="C2760" s="6">
        <f t="shared" si="129"/>
        <v>-1.0801595681264336E-2</v>
      </c>
      <c r="D2760" s="7">
        <f t="shared" si="130"/>
        <v>-0.93258200352179621</v>
      </c>
      <c r="E2760" s="8">
        <f t="shared" si="131"/>
        <v>-1.5376586690178575</v>
      </c>
    </row>
    <row r="2761" spans="1:5" x14ac:dyDescent="0.2">
      <c r="A2761" s="1">
        <v>45644</v>
      </c>
      <c r="B2761">
        <v>120176.2</v>
      </c>
      <c r="C2761" s="6">
        <f t="shared" si="129"/>
        <v>-7.0009535660717024E-3</v>
      </c>
      <c r="D2761" s="7">
        <f t="shared" si="130"/>
        <v>-0.61326743072372925</v>
      </c>
      <c r="E2761" s="8">
        <f t="shared" si="131"/>
        <v>-1.0650520906736634</v>
      </c>
    </row>
    <row r="2762" spans="1:5" x14ac:dyDescent="0.2">
      <c r="A2762" s="1">
        <v>45645</v>
      </c>
      <c r="B2762">
        <v>119032</v>
      </c>
      <c r="C2762" s="6">
        <f t="shared" si="129"/>
        <v>-9.5666346426769959E-3</v>
      </c>
      <c r="D2762" s="7">
        <f t="shared" si="130"/>
        <v>-0.82882557381681554</v>
      </c>
      <c r="E2762" s="8">
        <f t="shared" si="131"/>
        <v>-1.3729290027780174</v>
      </c>
    </row>
    <row r="2763" spans="1:5" x14ac:dyDescent="0.2">
      <c r="A2763" s="1">
        <v>45646</v>
      </c>
      <c r="B2763">
        <v>118954.2</v>
      </c>
      <c r="C2763" s="6">
        <f t="shared" si="129"/>
        <v>-6.5381944643426535E-4</v>
      </c>
      <c r="D2763" s="7">
        <f t="shared" si="130"/>
        <v>-8.0006903034886459E-2</v>
      </c>
      <c r="E2763" s="8">
        <f t="shared" si="131"/>
        <v>-0.6413413951064687</v>
      </c>
    </row>
    <row r="2764" spans="1:5" x14ac:dyDescent="0.2">
      <c r="A2764" s="1">
        <v>45649</v>
      </c>
      <c r="B2764">
        <v>119647.7</v>
      </c>
      <c r="C2764" s="6">
        <f t="shared" si="129"/>
        <v>5.813046357690004E-3</v>
      </c>
      <c r="D2764" s="7">
        <f t="shared" si="130"/>
        <v>0.4633129963399874</v>
      </c>
      <c r="E2764" s="8">
        <f t="shared" si="131"/>
        <v>-0.88880104962272533</v>
      </c>
    </row>
    <row r="2765" spans="1:5" x14ac:dyDescent="0.2">
      <c r="A2765" s="1">
        <v>45650</v>
      </c>
      <c r="B2765">
        <v>119644.8</v>
      </c>
      <c r="C2765" s="6">
        <f t="shared" si="129"/>
        <v>-2.4238118621636742E-5</v>
      </c>
      <c r="D2765" s="7">
        <f t="shared" si="130"/>
        <v>-2.7112027211531022E-2</v>
      </c>
      <c r="E2765" s="8">
        <f t="shared" si="131"/>
        <v>-0.6342536606249598</v>
      </c>
    </row>
    <row r="2766" spans="1:5" x14ac:dyDescent="0.2">
      <c r="A2766" s="1">
        <v>45653</v>
      </c>
      <c r="B2766">
        <v>119999.2</v>
      </c>
      <c r="C2766" s="6">
        <f t="shared" si="129"/>
        <v>2.9577227751266077E-3</v>
      </c>
      <c r="D2766" s="7">
        <f t="shared" si="130"/>
        <v>0.2234202618144516</v>
      </c>
      <c r="E2766" s="8">
        <f t="shared" si="131"/>
        <v>-0.69511488371248542</v>
      </c>
    </row>
    <row r="2767" spans="1:5" x14ac:dyDescent="0.2">
      <c r="A2767" s="1">
        <v>45656</v>
      </c>
      <c r="B2767">
        <v>118662.6</v>
      </c>
      <c r="C2767" s="6">
        <f t="shared" si="129"/>
        <v>-1.1200904159375866E-2</v>
      </c>
      <c r="D2767" s="7">
        <f t="shared" si="130"/>
        <v>-0.96613028621675001</v>
      </c>
      <c r="E2767" s="8">
        <f t="shared" si="131"/>
        <v>-1.5926106209266884</v>
      </c>
    </row>
    <row r="2768" spans="1:5" x14ac:dyDescent="0.2">
      <c r="A2768" s="1">
        <v>45657</v>
      </c>
      <c r="B2768">
        <v>118683.5</v>
      </c>
      <c r="C2768" s="6">
        <f t="shared" si="129"/>
        <v>1.7611412240617889E-4</v>
      </c>
      <c r="D2768" s="7">
        <f t="shared" si="130"/>
        <v>-1.0279242562537635E-2</v>
      </c>
      <c r="E2768" s="8">
        <f t="shared" si="131"/>
        <v>-0.63346509251299277</v>
      </c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</sheetData>
  <mergeCells count="2">
    <mergeCell ref="F1:G1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ALLSHARE</vt:lpstr>
      <vt:lpstr>TOP40</vt:lpstr>
      <vt:lpstr>INDUSTRIAL25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Mokone, K, Mr [23939443@sun.ac.za]</dc:creator>
  <cp:lastModifiedBy>Mc Leroth, JM, Mr [24913693@sun.ac.za]</cp:lastModifiedBy>
  <dcterms:created xsi:type="dcterms:W3CDTF">2025-03-07T09:12:36Z</dcterms:created>
  <dcterms:modified xsi:type="dcterms:W3CDTF">2025-03-10T23:28:06Z</dcterms:modified>
</cp:coreProperties>
</file>